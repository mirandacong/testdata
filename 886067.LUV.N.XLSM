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45" windowWidth="6135" windowHeight="8760" tabRatio="898"/>
  </bookViews>
  <sheets>
    <sheet name="ImportantDisclosures" sheetId="367" r:id="rId1"/>
    <sheet name="Cover" sheetId="362" r:id="rId2"/>
    <sheet name="Valuation" sheetId="363" r:id="rId3"/>
    <sheet name="Model" sheetId="1" r:id="rId4"/>
    <sheet name="IndexInformation" sheetId="368" r:id="rId5"/>
    <sheet name="ModPubIndex" sheetId="369" r:id="rId6"/>
    <sheet name="MW-Cache" sheetId="311" state="veryHidden" r:id="rId7"/>
    <sheet name="__FDSCACHE__" sheetId="334" state="veryHidden" r:id="rId8"/>
  </sheets>
  <externalReferences>
    <externalReference r:id="rId9"/>
    <externalReference r:id="rId10"/>
    <externalReference r:id="rId11"/>
  </externalReferences>
  <definedNames>
    <definedName name="__FDS_HYPERLINK_TOGGLE_STATE__" hidden="1">"ON"</definedName>
    <definedName name="__FDS_UNIQUE_RANGE_ID_GENERATOR_COUNTER" hidden="1">1</definedName>
    <definedName name="_7__123Graph_XLIQUIDS" hidden="1">[1]P!$R$29:$AK$29</definedName>
    <definedName name="_9__123Graph_XR_M_MARG" hidden="1">[1]P!$R$29:$AK$29</definedName>
    <definedName name="_bdm.D34F16A3699148499F43DF9F35A14E24.edm" hidden="1">Model!$1:$1048576</definedName>
    <definedName name="_Order1" hidden="1">255</definedName>
    <definedName name="AdditionalInstructions">IndexInformation!$B$42</definedName>
    <definedName name="Address" localSheetId="0">ImportantDisclosures!$A$2:$A$2</definedName>
    <definedName name="ANA" localSheetId="5">ModPubIndex!$A$7</definedName>
    <definedName name="anscount" hidden="1">1</definedName>
    <definedName name="Authors" localSheetId="0">ImportantDisclosures!$A$7</definedName>
    <definedName name="Authors" localSheetId="4">IndexInformation!$B$18</definedName>
    <definedName name="basept">[2]Valuation!$BE$37</definedName>
    <definedName name="BRO" localSheetId="5">ModPubIndex!$A$1</definedName>
    <definedName name="CopyrightStamp">ImportantDisclosures!$A$27</definedName>
    <definedName name="COU" localSheetId="5">ModPubIndex!$A$5</definedName>
    <definedName name="CQEnd" localSheetId="4">IndexInformation!$B$31</definedName>
    <definedName name="Currency" localSheetId="4">IndexInformation!$B$24</definedName>
    <definedName name="Currency_ISOcode">#REF!</definedName>
    <definedName name="CurrentStockPrice" localSheetId="4">IndexInformation!$B$23</definedName>
    <definedName name="CurrQtrEPS" localSheetId="4">IndexInformation!$B$29</definedName>
    <definedName name="CurrYearEPS" localSheetId="4">IndexInformation!$B$11</definedName>
    <definedName name="CurrYearTotalRevenue" localSheetId="4">IndexInformation!$B$10</definedName>
    <definedName name="CurrYearTotalRevenueActual" localSheetId="4">IndexInformation!$B$32</definedName>
    <definedName name="CUSIP" localSheetId="4">IndexInformation!$B$20</definedName>
    <definedName name="CYEnd" localSheetId="4">IndexInformation!$B$30</definedName>
    <definedName name="Date" localSheetId="0">ImportantDisclosures!$A$8</definedName>
    <definedName name="Deleted" localSheetId="4">IndexInformation!$B$27</definedName>
    <definedName name="Description" localSheetId="4">IndexInformation!$B$7</definedName>
    <definedName name="Discipline" localSheetId="4">IndexInformation!$B$3</definedName>
    <definedName name="DISCIPLINE" localSheetId="5">ModPubIndex!$A$12</definedName>
    <definedName name="DisclosuresText">ImportantDisclosures!$A$22</definedName>
    <definedName name="Distribution" localSheetId="4">IndexInformation!$B$26</definedName>
    <definedName name="DistTable" localSheetId="0">ImportantDisclosures!#REF!</definedName>
    <definedName name="DistTablePreamble" localSheetId="0">ImportantDisclosures!#REF!</definedName>
    <definedName name="DOCDAT" localSheetId="5">ModPubIndex!$A$2</definedName>
    <definedName name="DOCTIME" localSheetId="5">ModPubIndex!$A$3</definedName>
    <definedName name="DocType" localSheetId="4">IndexInformation!$B$5</definedName>
    <definedName name="Download_series">[3]!Download_series</definedName>
    <definedName name="EMAIL_ALERT" localSheetId="5">ModPubIndex!$A$10</definedName>
    <definedName name="EmailAlert" localSheetId="4">IndexInformation!$B$28</definedName>
    <definedName name="FiveYearGrowthRate" localSheetId="4">IndexInformation!$B$16</definedName>
    <definedName name="FollowingYearEPS" localSheetId="4">IndexInformation!$B$15</definedName>
    <definedName name="FollowingYearTotalRevenue" localSheetId="4">IndexInformation!$B$14</definedName>
    <definedName name="FollowingYearTotalRevenueActual" localSheetId="4">IndexInformation!$B$34</definedName>
    <definedName name="HL" localSheetId="5">ModPubIndex!$A$8</definedName>
    <definedName name="IND" localSheetId="5">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39177.5491319444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BLU">{"Client Name or Project Name"}</definedName>
    <definedName name="KeepVersions" localSheetId="4">IndexInformation!$B$8</definedName>
    <definedName name="LanguageCode">IndexInformation!$B$38</definedName>
    <definedName name="LastCell" localSheetId="0">ImportantDisclosures!$A$22</definedName>
    <definedName name="Linking_1">Valuation!$B$36:$H$50</definedName>
    <definedName name="Linking_2">Valuation!$L$6:$S$57</definedName>
    <definedName name="Linking_3">Valuation!$B$36:$I$50</definedName>
    <definedName name="Linking_4">Valuation!$L$6:$T$57</definedName>
    <definedName name="Linking_5">Valuation!$B$36:$J$50</definedName>
    <definedName name="Linking_6">Valuation!$L$6:$V$57</definedName>
    <definedName name="MacroVersion" localSheetId="4">IndexInformation!$B$1</definedName>
    <definedName name="ModelPrice" localSheetId="0">ImportantDisclosures!$A$14</definedName>
    <definedName name="Multiplier" localSheetId="4">IndexInformation!$B$35</definedName>
    <definedName name="mwTaxrate2">0.37</definedName>
    <definedName name="NextYearEPS" localSheetId="4">IndexInformation!$B$13</definedName>
    <definedName name="NextYearTotalRevenue" localSheetId="4">IndexInformation!$B$12</definedName>
    <definedName name="NextYearTotalRevenueActual" localSheetId="4">IndexInformation!$B$33</definedName>
    <definedName name="ObjectType">IndexInformation!$B$37</definedName>
    <definedName name="PANA" localSheetId="5">ModPubIndex!$A$11</definedName>
    <definedName name="PathName" localSheetId="4">IndexInformation!$B$25</definedName>
    <definedName name="_xlnm.Print_Area" localSheetId="3">Model!$A$1:$FS$298</definedName>
    <definedName name="_xlnm.Print_Area" localSheetId="2">Valuation!$B$2:$T$59</definedName>
    <definedName name="_xlnm.Print_Area">#REF!</definedName>
    <definedName name="_xlnm.Print_Titles" localSheetId="3">Model!$A:$A,Model!$1:$2</definedName>
    <definedName name="_xlnm.Print_Titles">#REF!</definedName>
    <definedName name="PRODUCT" localSheetId="5">ModPubIndex!$A$6</definedName>
    <definedName name="ProjectName">{"Client Name or Project Name"}</definedName>
    <definedName name="PSYM" localSheetId="5">ModPubIndex!$A$4</definedName>
    <definedName name="PublishDate" localSheetId="4">IndexInformation!$B$2</definedName>
    <definedName name="Questions1">{"Client Name or Project Name"}</definedName>
    <definedName name="Rating" localSheetId="4">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4">IndexInformation!$B$4</definedName>
    <definedName name="RIC" localSheetId="4">IndexInformation!$B$21</definedName>
    <definedName name="SECSettlement" localSheetId="0">ImportantDisclosures!#REF!</definedName>
    <definedName name="SEDOL" localSheetId="4">IndexInformation!$B$22</definedName>
    <definedName name="sedol">2831543</definedName>
    <definedName name="SedolTicker">2831543</definedName>
    <definedName name="SourceDefined" localSheetId="0">ImportantDisclosures!$A$19</definedName>
    <definedName name="Statement">[0]!Statement</definedName>
    <definedName name="StockRating" localSheetId="0">ImportantDisclosures!$A$11</definedName>
    <definedName name="SubjectCode" localSheetId="4">IndexInformation!$B$6</definedName>
    <definedName name="SubmitterUserId">IndexInformation!$B$39</definedName>
    <definedName name="SUPPRESSED" localSheetId="5">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4">IndexInformation!$B$19</definedName>
    <definedName name="trEdate">"0FY"</definedName>
    <definedName name="trSdate">#N/A</definedName>
    <definedName name="Update_This">[3]!Update_This</definedName>
    <definedName name="UpdateReason" localSheetId="4">IndexInformation!$B$17</definedName>
    <definedName name="USRegDisclosures" localSheetId="0">ImportantDisclosures!#REF!</definedName>
    <definedName name="Version">"June 29, 2004"</definedName>
  </definedNames>
  <calcPr calcId="145621"/>
</workbook>
</file>

<file path=xl/calcChain.xml><?xml version="1.0" encoding="utf-8"?>
<calcChain xmlns="http://schemas.openxmlformats.org/spreadsheetml/2006/main">
  <c r="DS433" i="1" l="1"/>
  <c r="DS434" i="1" s="1"/>
  <c r="DS429" i="1"/>
  <c r="DS428" i="1" s="1"/>
  <c r="DZ432" i="1"/>
  <c r="DZ431" i="1"/>
  <c r="DY431" i="1"/>
  <c r="DZ430" i="1"/>
  <c r="FE378" i="1"/>
  <c r="EZ378" i="1"/>
  <c r="EU378" i="1"/>
  <c r="EP378" i="1"/>
  <c r="EK378" i="1"/>
  <c r="EF378" i="1"/>
  <c r="EA378" i="1"/>
  <c r="DV378" i="1"/>
  <c r="DQ378" i="1"/>
  <c r="DL378" i="1"/>
  <c r="DK378" i="1"/>
  <c r="DJ378" i="1"/>
  <c r="DI378" i="1"/>
  <c r="DH378" i="1"/>
  <c r="DG378" i="1"/>
  <c r="DF378" i="1"/>
  <c r="DE378" i="1"/>
  <c r="DD378" i="1"/>
  <c r="DC378" i="1"/>
  <c r="DB378" i="1"/>
  <c r="DA378" i="1"/>
  <c r="CZ378" i="1"/>
  <c r="CY378" i="1"/>
  <c r="CX378" i="1"/>
  <c r="CW378" i="1"/>
  <c r="CV378" i="1"/>
  <c r="CU378" i="1"/>
  <c r="CT378" i="1"/>
  <c r="CS378" i="1"/>
  <c r="CW365" i="1"/>
  <c r="DY430" i="1" l="1"/>
  <c r="DZ429" i="1"/>
  <c r="DY432" i="1"/>
  <c r="DZ433" i="1"/>
  <c r="DF365" i="1"/>
  <c r="DE365" i="1"/>
  <c r="DK354" i="1"/>
  <c r="DK356" i="1" s="1"/>
  <c r="DJ354" i="1"/>
  <c r="DJ356" i="1" s="1"/>
  <c r="DI354" i="1"/>
  <c r="DI356" i="1" s="1"/>
  <c r="DH354" i="1"/>
  <c r="DH356" i="1" s="1"/>
  <c r="DF354" i="1"/>
  <c r="DF356" i="1" s="1"/>
  <c r="DE354" i="1"/>
  <c r="DE356" i="1" s="1"/>
  <c r="DD354" i="1"/>
  <c r="DD356" i="1" s="1"/>
  <c r="DA354" i="1"/>
  <c r="DA356" i="1" s="1"/>
  <c r="CZ354" i="1"/>
  <c r="CZ356" i="1" s="1"/>
  <c r="CY354" i="1"/>
  <c r="CY356" i="1" s="1"/>
  <c r="DD349" i="1"/>
  <c r="DK348" i="1"/>
  <c r="DJ348" i="1"/>
  <c r="DI348" i="1"/>
  <c r="DH348" i="1"/>
  <c r="DF348" i="1"/>
  <c r="DE348" i="1"/>
  <c r="DD348" i="1"/>
  <c r="CY344" i="1"/>
  <c r="CZ344" i="1" s="1"/>
  <c r="DA344" i="1" s="1"/>
  <c r="CT344" i="1"/>
  <c r="CU344" i="1" s="1"/>
  <c r="CC328" i="1"/>
  <c r="BX328" i="1"/>
  <c r="BS328" i="1"/>
  <c r="BN328" i="1"/>
  <c r="BI328" i="1"/>
  <c r="BD328" i="1"/>
  <c r="AY328" i="1"/>
  <c r="DK328" i="1"/>
  <c r="DJ328" i="1"/>
  <c r="DI328" i="1"/>
  <c r="DH328" i="1"/>
  <c r="DF328" i="1"/>
  <c r="DE328" i="1"/>
  <c r="DD328" i="1"/>
  <c r="CR328" i="1"/>
  <c r="CQ328" i="1"/>
  <c r="CP328" i="1"/>
  <c r="CO328" i="1"/>
  <c r="CN328" i="1"/>
  <c r="CM328" i="1"/>
  <c r="CL328" i="1"/>
  <c r="CK328" i="1"/>
  <c r="CJ328" i="1"/>
  <c r="CI328" i="1"/>
  <c r="CH328" i="1"/>
  <c r="DB305" i="1"/>
  <c r="DC305" i="1" s="1"/>
  <c r="DD305" i="1" s="1"/>
  <c r="DE305" i="1" s="1"/>
  <c r="DF305" i="1" s="1"/>
  <c r="DG305" i="1" s="1"/>
  <c r="DE304" i="1"/>
  <c r="DF304" i="1" s="1"/>
  <c r="DG304" i="1" s="1"/>
  <c r="BX302" i="1"/>
  <c r="BS302" i="1"/>
  <c r="BN302" i="1"/>
  <c r="BI302" i="1"/>
  <c r="BD302" i="1"/>
  <c r="AY302" i="1"/>
  <c r="DK302" i="1"/>
  <c r="DJ302" i="1"/>
  <c r="DI302" i="1"/>
  <c r="DH302" i="1"/>
  <c r="DF302" i="1"/>
  <c r="DE302" i="1"/>
  <c r="CR302" i="1"/>
  <c r="CQ302" i="1"/>
  <c r="CP302" i="1"/>
  <c r="CO302" i="1"/>
  <c r="CN302" i="1"/>
  <c r="CM302" i="1"/>
  <c r="CL302" i="1"/>
  <c r="CK302" i="1"/>
  <c r="CJ302" i="1"/>
  <c r="CI302" i="1"/>
  <c r="CH302" i="1"/>
  <c r="CG302" i="1"/>
  <c r="CF302" i="1"/>
  <c r="CE302" i="1"/>
  <c r="CD302" i="1"/>
  <c r="CC302" i="1"/>
  <c r="CR295" i="1"/>
  <c r="CR294" i="1"/>
  <c r="CM295" i="1"/>
  <c r="CH295" i="1"/>
  <c r="CC295" i="1"/>
  <c r="CC294" i="1"/>
  <c r="BX295" i="1"/>
  <c r="BX294" i="1"/>
  <c r="BS295" i="1"/>
  <c r="BS294" i="1"/>
  <c r="BN295" i="1"/>
  <c r="BN294" i="1"/>
  <c r="BI295" i="1"/>
  <c r="BI294" i="1"/>
  <c r="AY295" i="1"/>
  <c r="AY294" i="1"/>
  <c r="AT295" i="1"/>
  <c r="AT294" i="1"/>
  <c r="AO295" i="1"/>
  <c r="AO294" i="1"/>
  <c r="AJ295" i="1"/>
  <c r="AJ294" i="1"/>
  <c r="BX289" i="1"/>
  <c r="BX287" i="1"/>
  <c r="BS287" i="1"/>
  <c r="BN287" i="1"/>
  <c r="Z288" i="1"/>
  <c r="Z289" i="1" s="1"/>
  <c r="P287" i="1"/>
  <c r="EM288" i="1"/>
  <c r="EG288" i="1"/>
  <c r="EB288" i="1"/>
  <c r="CN288" i="1"/>
  <c r="CN289" i="1" s="1"/>
  <c r="CJ288" i="1"/>
  <c r="CJ289" i="1" s="1"/>
  <c r="CF288" i="1"/>
  <c r="CF289" i="1" s="1"/>
  <c r="EO287" i="1"/>
  <c r="EN287" i="1"/>
  <c r="EM287" i="1"/>
  <c r="EL287" i="1"/>
  <c r="EJ287" i="1"/>
  <c r="EI287" i="1"/>
  <c r="EH287" i="1"/>
  <c r="EG287" i="1"/>
  <c r="EE287" i="1"/>
  <c r="ED287" i="1"/>
  <c r="EC287" i="1"/>
  <c r="EB287" i="1"/>
  <c r="EA287" i="1"/>
  <c r="DZ287" i="1"/>
  <c r="DY287" i="1"/>
  <c r="DX287" i="1"/>
  <c r="DW287" i="1"/>
  <c r="DW288" i="1" s="1"/>
  <c r="DU287" i="1"/>
  <c r="DT287" i="1"/>
  <c r="DS287" i="1"/>
  <c r="DR287" i="1"/>
  <c r="DP287" i="1"/>
  <c r="DO287" i="1"/>
  <c r="DN287" i="1"/>
  <c r="DM287" i="1"/>
  <c r="DK287" i="1"/>
  <c r="DJ287" i="1"/>
  <c r="DI287" i="1"/>
  <c r="DH287" i="1"/>
  <c r="DF287" i="1"/>
  <c r="DE287" i="1"/>
  <c r="DD287" i="1"/>
  <c r="CR287" i="1"/>
  <c r="CQ287" i="1"/>
  <c r="CQ288" i="1" s="1"/>
  <c r="CQ289" i="1" s="1"/>
  <c r="CP287" i="1"/>
  <c r="CP288" i="1" s="1"/>
  <c r="CP289" i="1" s="1"/>
  <c r="CO287" i="1"/>
  <c r="CO288" i="1" s="1"/>
  <c r="CO289" i="1" s="1"/>
  <c r="CN287" i="1"/>
  <c r="CM287" i="1"/>
  <c r="CL287" i="1"/>
  <c r="CL288" i="1" s="1"/>
  <c r="CL289" i="1" s="1"/>
  <c r="CK287" i="1"/>
  <c r="CK288" i="1" s="1"/>
  <c r="CK289" i="1" s="1"/>
  <c r="CJ287" i="1"/>
  <c r="CI287" i="1"/>
  <c r="CI288" i="1" s="1"/>
  <c r="CI289" i="1" s="1"/>
  <c r="CH287" i="1"/>
  <c r="CG287" i="1"/>
  <c r="CG288" i="1" s="1"/>
  <c r="CG289" i="1" s="1"/>
  <c r="CF287" i="1"/>
  <c r="CE287" i="1"/>
  <c r="CE288" i="1" s="1"/>
  <c r="CE289" i="1" s="1"/>
  <c r="CD287" i="1"/>
  <c r="CD288" i="1" s="1"/>
  <c r="CD289" i="1" s="1"/>
  <c r="CC287" i="1"/>
  <c r="EK286" i="1"/>
  <c r="EK285" i="1"/>
  <c r="EK284" i="1"/>
  <c r="EK283" i="1"/>
  <c r="EK282" i="1"/>
  <c r="EK287" i="1" s="1"/>
  <c r="EF286" i="1"/>
  <c r="EF285" i="1"/>
  <c r="EF284" i="1"/>
  <c r="EF283" i="1"/>
  <c r="EF282" i="1"/>
  <c r="EF287" i="1" s="1"/>
  <c r="EA286" i="1"/>
  <c r="EA285" i="1"/>
  <c r="EA284" i="1"/>
  <c r="EA283" i="1"/>
  <c r="EA282" i="1"/>
  <c r="DV286" i="1"/>
  <c r="DV285" i="1"/>
  <c r="DV284" i="1"/>
  <c r="DV283" i="1"/>
  <c r="DV282" i="1"/>
  <c r="DV287" i="1" s="1"/>
  <c r="DQ286" i="1"/>
  <c r="DQ285" i="1"/>
  <c r="DQ284" i="1"/>
  <c r="DQ283" i="1"/>
  <c r="DQ282" i="1"/>
  <c r="DQ287" i="1" s="1"/>
  <c r="DL286" i="1"/>
  <c r="DL285" i="1"/>
  <c r="DL284" i="1"/>
  <c r="DL283" i="1"/>
  <c r="DL282" i="1"/>
  <c r="DL287" i="1" s="1"/>
  <c r="DG286" i="1"/>
  <c r="DG285" i="1"/>
  <c r="DG284" i="1"/>
  <c r="DG283" i="1"/>
  <c r="DG287" i="1" s="1"/>
  <c r="DG282" i="1"/>
  <c r="BD285" i="1"/>
  <c r="AY285" i="1"/>
  <c r="AT285" i="1"/>
  <c r="AO285" i="1"/>
  <c r="AJ285" i="1"/>
  <c r="AE285" i="1"/>
  <c r="Z285" i="1"/>
  <c r="U285" i="1"/>
  <c r="P285" i="1"/>
  <c r="EP286" i="1"/>
  <c r="ER285" i="1"/>
  <c r="ES285" i="1" s="1"/>
  <c r="ET285" i="1" s="1"/>
  <c r="EU285" i="1" s="1"/>
  <c r="EZ285" i="1" s="1"/>
  <c r="FE285" i="1" s="1"/>
  <c r="EQ285" i="1"/>
  <c r="EP285" i="1"/>
  <c r="EP284" i="1"/>
  <c r="ER283" i="1"/>
  <c r="ES283" i="1" s="1"/>
  <c r="ET283" i="1" s="1"/>
  <c r="EU283" i="1" s="1"/>
  <c r="EZ283" i="1" s="1"/>
  <c r="FE283" i="1" s="1"/>
  <c r="EQ283" i="1"/>
  <c r="EP283" i="1"/>
  <c r="EQ282" i="1"/>
  <c r="ER282" i="1" s="1"/>
  <c r="EP282" i="1"/>
  <c r="EP287" i="1" s="1"/>
  <c r="DB286" i="1"/>
  <c r="CW286" i="1"/>
  <c r="CU287" i="1"/>
  <c r="DC287" i="1"/>
  <c r="DB285" i="1"/>
  <c r="CY287" i="1"/>
  <c r="CW285" i="1"/>
  <c r="DB284" i="1"/>
  <c r="CW284" i="1"/>
  <c r="DB283" i="1"/>
  <c r="CW283" i="1"/>
  <c r="DA287" i="1"/>
  <c r="CX287" i="1"/>
  <c r="CS287" i="1"/>
  <c r="CM280" i="1"/>
  <c r="CH280" i="1"/>
  <c r="CH288" i="1" s="1"/>
  <c r="CH289" i="1" s="1"/>
  <c r="CC280" i="1"/>
  <c r="BX280" i="1"/>
  <c r="BX288" i="1" s="1"/>
  <c r="BS280" i="1"/>
  <c r="BS288" i="1" s="1"/>
  <c r="BS289" i="1" s="1"/>
  <c r="BS279" i="1"/>
  <c r="BN280" i="1"/>
  <c r="BI280" i="1"/>
  <c r="BI288" i="1" s="1"/>
  <c r="BI289" i="1" s="1"/>
  <c r="BI279" i="1"/>
  <c r="BD280" i="1"/>
  <c r="BD288" i="1" s="1"/>
  <c r="BD289" i="1" s="1"/>
  <c r="AY280" i="1"/>
  <c r="AY288" i="1" s="1"/>
  <c r="AY289" i="1" s="1"/>
  <c r="AY279" i="1"/>
  <c r="AT280" i="1"/>
  <c r="AT279" i="1" s="1"/>
  <c r="AO280" i="1"/>
  <c r="AO288" i="1" s="1"/>
  <c r="AO289" i="1" s="1"/>
  <c r="AO279" i="1"/>
  <c r="AJ280" i="1"/>
  <c r="AJ288" i="1" s="1"/>
  <c r="AJ289" i="1" s="1"/>
  <c r="AE280" i="1"/>
  <c r="AE288" i="1" s="1"/>
  <c r="AE289" i="1" s="1"/>
  <c r="AE279" i="1"/>
  <c r="Z280" i="1"/>
  <c r="Z279" i="1"/>
  <c r="U280" i="1"/>
  <c r="U288" i="1" s="1"/>
  <c r="U289" i="1" s="1"/>
  <c r="P280" i="1"/>
  <c r="P288" i="1" s="1"/>
  <c r="P289" i="1" s="1"/>
  <c r="P279" i="1"/>
  <c r="EO280" i="1"/>
  <c r="EO288" i="1" s="1"/>
  <c r="EN280" i="1"/>
  <c r="EN288" i="1" s="1"/>
  <c r="EM280" i="1"/>
  <c r="EL280" i="1"/>
  <c r="EL288" i="1" s="1"/>
  <c r="EJ280" i="1"/>
  <c r="EJ288" i="1" s="1"/>
  <c r="EI280" i="1"/>
  <c r="EI288" i="1" s="1"/>
  <c r="EH280" i="1"/>
  <c r="EH288" i="1" s="1"/>
  <c r="EG280" i="1"/>
  <c r="EE280" i="1"/>
  <c r="EE288" i="1" s="1"/>
  <c r="ED280" i="1"/>
  <c r="ED288" i="1" s="1"/>
  <c r="EC280" i="1"/>
  <c r="EC288" i="1" s="1"/>
  <c r="EC289" i="1" s="1"/>
  <c r="EB280" i="1"/>
  <c r="DZ280" i="1"/>
  <c r="DZ288" i="1" s="1"/>
  <c r="DY280" i="1"/>
  <c r="DY288" i="1" s="1"/>
  <c r="DX280" i="1"/>
  <c r="DX288" i="1" s="1"/>
  <c r="DW280" i="1"/>
  <c r="DU280" i="1"/>
  <c r="DU288" i="1" s="1"/>
  <c r="DT280" i="1"/>
  <c r="DT288" i="1" s="1"/>
  <c r="DS280" i="1"/>
  <c r="DR280" i="1"/>
  <c r="DR288" i="1" s="1"/>
  <c r="DP280" i="1"/>
  <c r="DP288" i="1" s="1"/>
  <c r="DO280" i="1"/>
  <c r="DO288" i="1" s="1"/>
  <c r="DN280" i="1"/>
  <c r="DN288" i="1" s="1"/>
  <c r="DM280" i="1"/>
  <c r="DM288" i="1" s="1"/>
  <c r="DK280" i="1"/>
  <c r="DK288" i="1" s="1"/>
  <c r="DJ280" i="1"/>
  <c r="DJ288" i="1" s="1"/>
  <c r="DI280" i="1"/>
  <c r="DI288" i="1" s="1"/>
  <c r="DH280" i="1"/>
  <c r="DH288" i="1" s="1"/>
  <c r="DF280" i="1"/>
  <c r="DF288" i="1" s="1"/>
  <c r="DF289" i="1" s="1"/>
  <c r="DE280" i="1"/>
  <c r="DE288" i="1" s="1"/>
  <c r="DE289" i="1" s="1"/>
  <c r="DD280" i="1"/>
  <c r="DD288" i="1" s="1"/>
  <c r="DD289" i="1" s="1"/>
  <c r="DC288" i="1"/>
  <c r="DC289" i="1" s="1"/>
  <c r="CZ279" i="1"/>
  <c r="CZ277" i="1" s="1"/>
  <c r="EO279" i="1"/>
  <c r="EN279" i="1"/>
  <c r="EN277" i="1" s="1"/>
  <c r="EM279" i="1"/>
  <c r="EL279" i="1"/>
  <c r="EJ279" i="1"/>
  <c r="EJ277" i="1" s="1"/>
  <c r="EK277" i="1" s="1"/>
  <c r="EI279" i="1"/>
  <c r="EH279" i="1"/>
  <c r="EG279" i="1"/>
  <c r="EE279" i="1"/>
  <c r="ED279" i="1"/>
  <c r="EC279" i="1"/>
  <c r="EB279" i="1"/>
  <c r="EB277" i="1" s="1"/>
  <c r="DZ279" i="1"/>
  <c r="DY279" i="1"/>
  <c r="DX279" i="1"/>
  <c r="DX277" i="1" s="1"/>
  <c r="DW279" i="1"/>
  <c r="DU279" i="1"/>
  <c r="DT279" i="1"/>
  <c r="DT277" i="1" s="1"/>
  <c r="DS279" i="1"/>
  <c r="DR279" i="1"/>
  <c r="DP279" i="1"/>
  <c r="DP277" i="1" s="1"/>
  <c r="DO279" i="1"/>
  <c r="DN279" i="1"/>
  <c r="DM279" i="1"/>
  <c r="DK279" i="1"/>
  <c r="DJ279" i="1"/>
  <c r="DI279" i="1"/>
  <c r="DH279" i="1"/>
  <c r="DH277" i="1" s="1"/>
  <c r="DF279" i="1"/>
  <c r="DE279" i="1"/>
  <c r="DD279" i="1"/>
  <c r="DD277" i="1" s="1"/>
  <c r="CR279" i="1"/>
  <c r="CQ279" i="1"/>
  <c r="CP279" i="1"/>
  <c r="CO279" i="1"/>
  <c r="CN279" i="1"/>
  <c r="CN277" i="1" s="1"/>
  <c r="CL279" i="1"/>
  <c r="CK279" i="1"/>
  <c r="CJ279" i="1"/>
  <c r="CI279" i="1"/>
  <c r="CG279" i="1"/>
  <c r="CF279" i="1"/>
  <c r="CE279" i="1"/>
  <c r="CD279" i="1"/>
  <c r="EQ277" i="1"/>
  <c r="EO277" i="1"/>
  <c r="EP277" i="1" s="1"/>
  <c r="EM277" i="1"/>
  <c r="EL277" i="1"/>
  <c r="EI277" i="1"/>
  <c r="EH277" i="1"/>
  <c r="EG277" i="1"/>
  <c r="EE277" i="1"/>
  <c r="ED277" i="1"/>
  <c r="EC277" i="1"/>
  <c r="EA277" i="1"/>
  <c r="DZ277" i="1"/>
  <c r="DY277" i="1"/>
  <c r="DW277" i="1"/>
  <c r="DU277" i="1"/>
  <c r="DV277" i="1" s="1"/>
  <c r="DS277" i="1"/>
  <c r="DR277" i="1"/>
  <c r="DO277" i="1"/>
  <c r="DN277" i="1"/>
  <c r="DM277" i="1"/>
  <c r="DK277" i="1"/>
  <c r="DJ277" i="1"/>
  <c r="DI277" i="1"/>
  <c r="DG277" i="1"/>
  <c r="DF277" i="1"/>
  <c r="DE277" i="1"/>
  <c r="CQ277" i="1"/>
  <c r="CP277" i="1"/>
  <c r="CO277" i="1"/>
  <c r="CM277" i="1"/>
  <c r="CL277" i="1"/>
  <c r="CK277" i="1"/>
  <c r="CJ277" i="1"/>
  <c r="CI277" i="1"/>
  <c r="CG277" i="1"/>
  <c r="CF277" i="1"/>
  <c r="CE277" i="1"/>
  <c r="CD277" i="1"/>
  <c r="EK276" i="1"/>
  <c r="EK275" i="1"/>
  <c r="EK274" i="1"/>
  <c r="EK273" i="1"/>
  <c r="EK280" i="1" s="1"/>
  <c r="EK269" i="1"/>
  <c r="EK268" i="1"/>
  <c r="EK267" i="1"/>
  <c r="EF276" i="1"/>
  <c r="EF275" i="1"/>
  <c r="EF274" i="1"/>
  <c r="EF271" i="1"/>
  <c r="EF269" i="1"/>
  <c r="EF268" i="1"/>
  <c r="EF267" i="1"/>
  <c r="EA276" i="1"/>
  <c r="EA275" i="1"/>
  <c r="EA274" i="1"/>
  <c r="EA269" i="1"/>
  <c r="EA268" i="1"/>
  <c r="EA267" i="1"/>
  <c r="DV276" i="1"/>
  <c r="DV275" i="1"/>
  <c r="DV274" i="1"/>
  <c r="DV269" i="1"/>
  <c r="DV268" i="1"/>
  <c r="DQ276" i="1"/>
  <c r="DQ275" i="1"/>
  <c r="DQ274" i="1"/>
  <c r="DQ273" i="1"/>
  <c r="DQ269" i="1"/>
  <c r="DQ268" i="1"/>
  <c r="DQ267" i="1"/>
  <c r="DL276" i="1"/>
  <c r="DL275" i="1"/>
  <c r="DL274" i="1"/>
  <c r="DL271" i="1"/>
  <c r="DL269" i="1"/>
  <c r="DL268" i="1"/>
  <c r="DL267" i="1"/>
  <c r="DG276" i="1"/>
  <c r="DG275" i="1"/>
  <c r="DG274" i="1"/>
  <c r="DG269" i="1"/>
  <c r="DG268" i="1"/>
  <c r="DG267" i="1"/>
  <c r="DB276" i="1"/>
  <c r="DB275" i="1"/>
  <c r="CW276" i="1"/>
  <c r="DC279" i="1"/>
  <c r="DC277" i="1" s="1"/>
  <c r="BX271" i="1"/>
  <c r="BS271" i="1"/>
  <c r="BN271" i="1"/>
  <c r="BI271" i="1"/>
  <c r="BD271" i="1"/>
  <c r="AY271" i="1"/>
  <c r="AT271" i="1"/>
  <c r="AO271" i="1"/>
  <c r="AJ271" i="1"/>
  <c r="AE271" i="1"/>
  <c r="Z271" i="1"/>
  <c r="U271" i="1"/>
  <c r="P271" i="1"/>
  <c r="EO271" i="1"/>
  <c r="EN271" i="1"/>
  <c r="EM271" i="1"/>
  <c r="EL271" i="1"/>
  <c r="EJ271" i="1"/>
  <c r="EK271" i="1" s="1"/>
  <c r="EI271" i="1"/>
  <c r="EH271" i="1"/>
  <c r="EG271" i="1"/>
  <c r="EE271" i="1"/>
  <c r="ED271" i="1"/>
  <c r="EC271" i="1"/>
  <c r="EB271" i="1"/>
  <c r="DZ271" i="1"/>
  <c r="EA271" i="1" s="1"/>
  <c r="EA273" i="1" s="1"/>
  <c r="EA280" i="1" s="1"/>
  <c r="DY271" i="1"/>
  <c r="DT271" i="1"/>
  <c r="DS271" i="1"/>
  <c r="DR271" i="1"/>
  <c r="DP271" i="1"/>
  <c r="DQ271" i="1" s="1"/>
  <c r="DO271" i="1"/>
  <c r="DN271" i="1"/>
  <c r="DM271" i="1"/>
  <c r="DK271" i="1"/>
  <c r="DJ271" i="1"/>
  <c r="DI271" i="1"/>
  <c r="DH271" i="1"/>
  <c r="DF271" i="1"/>
  <c r="DG271" i="1" s="1"/>
  <c r="DE271" i="1"/>
  <c r="DD271" i="1"/>
  <c r="CR271" i="1"/>
  <c r="CQ271" i="1"/>
  <c r="CP271" i="1"/>
  <c r="CO271" i="1"/>
  <c r="CN271" i="1"/>
  <c r="CM271" i="1"/>
  <c r="CL271" i="1"/>
  <c r="CK271" i="1"/>
  <c r="CJ271" i="1"/>
  <c r="CI271" i="1"/>
  <c r="CH271" i="1"/>
  <c r="CG271" i="1"/>
  <c r="CF271" i="1"/>
  <c r="CE271" i="1"/>
  <c r="CD271" i="1"/>
  <c r="CC271" i="1"/>
  <c r="EU276" i="1"/>
  <c r="EP276" i="1"/>
  <c r="EP275" i="1"/>
  <c r="EP274" i="1"/>
  <c r="EP271" i="1"/>
  <c r="EP269" i="1"/>
  <c r="EP268" i="1"/>
  <c r="ER267" i="1"/>
  <c r="EQ267" i="1"/>
  <c r="EP267" i="1"/>
  <c r="DU267" i="1"/>
  <c r="DU271" i="1" s="1"/>
  <c r="DV271" i="1" s="1"/>
  <c r="CX279" i="1"/>
  <c r="CX277" i="1" s="1"/>
  <c r="DB269" i="1"/>
  <c r="CW275" i="1"/>
  <c r="CW274" i="1"/>
  <c r="CT279" i="1"/>
  <c r="CT277" i="1" s="1"/>
  <c r="CS279" i="1"/>
  <c r="CS277" i="1" s="1"/>
  <c r="CW269" i="1"/>
  <c r="EZ251" i="1"/>
  <c r="CR265" i="1"/>
  <c r="BX264" i="1"/>
  <c r="BX262" i="1"/>
  <c r="BS264" i="1"/>
  <c r="BN264" i="1"/>
  <c r="BI264" i="1"/>
  <c r="BD264" i="1"/>
  <c r="BD262" i="1"/>
  <c r="AY264" i="1"/>
  <c r="AT264" i="1"/>
  <c r="AO264" i="1"/>
  <c r="AJ264" i="1"/>
  <c r="AJ262" i="1"/>
  <c r="AE264" i="1"/>
  <c r="Z264" i="1"/>
  <c r="U264" i="1"/>
  <c r="P264" i="1"/>
  <c r="EN265" i="1"/>
  <c r="EN264" i="1" s="1"/>
  <c r="EJ265" i="1"/>
  <c r="EJ264" i="1" s="1"/>
  <c r="EB265" i="1"/>
  <c r="EB264" i="1" s="1"/>
  <c r="DX265" i="1"/>
  <c r="DX264" i="1" s="1"/>
  <c r="DP265" i="1"/>
  <c r="DP264" i="1" s="1"/>
  <c r="DH265" i="1"/>
  <c r="DH264" i="1" s="1"/>
  <c r="EG264" i="1"/>
  <c r="DF264" i="1"/>
  <c r="DE264" i="1"/>
  <c r="DD264" i="1"/>
  <c r="CX264" i="1"/>
  <c r="CT264" i="1"/>
  <c r="CQ264" i="1"/>
  <c r="CP264" i="1"/>
  <c r="CO264" i="1"/>
  <c r="CN264" i="1"/>
  <c r="CM264" i="1"/>
  <c r="CL264" i="1"/>
  <c r="CK264" i="1"/>
  <c r="CJ264" i="1"/>
  <c r="CI264" i="1"/>
  <c r="CH264" i="1"/>
  <c r="CG264" i="1"/>
  <c r="CF264" i="1"/>
  <c r="CE264" i="1"/>
  <c r="CD264" i="1"/>
  <c r="CC264" i="1"/>
  <c r="EK262" i="1"/>
  <c r="EK261" i="1"/>
  <c r="EK259" i="1"/>
  <c r="EK258" i="1"/>
  <c r="EK260" i="1" s="1"/>
  <c r="EK253" i="1"/>
  <c r="EK250" i="1"/>
  <c r="EK247" i="1"/>
  <c r="EF262" i="1"/>
  <c r="EF261" i="1"/>
  <c r="EF259" i="1"/>
  <c r="EF258" i="1"/>
  <c r="EF253" i="1"/>
  <c r="EF250" i="1"/>
  <c r="EF302" i="1" s="1"/>
  <c r="EF247" i="1"/>
  <c r="EA262" i="1"/>
  <c r="EA261" i="1"/>
  <c r="EA260" i="1"/>
  <c r="EA259" i="1"/>
  <c r="EA258" i="1"/>
  <c r="EA253" i="1"/>
  <c r="EA250" i="1"/>
  <c r="EA302" i="1" s="1"/>
  <c r="EA247" i="1"/>
  <c r="DV262" i="1"/>
  <c r="DV261" i="1"/>
  <c r="DV260" i="1"/>
  <c r="DV259" i="1"/>
  <c r="DV258" i="1"/>
  <c r="DV253" i="1"/>
  <c r="DQ262" i="1"/>
  <c r="DQ261" i="1"/>
  <c r="DQ260" i="1"/>
  <c r="DQ259" i="1"/>
  <c r="DQ258" i="1"/>
  <c r="DQ253" i="1"/>
  <c r="DL262" i="1"/>
  <c r="DL261" i="1"/>
  <c r="DL259" i="1"/>
  <c r="DL258" i="1"/>
  <c r="DL260" i="1" s="1"/>
  <c r="DL253" i="1"/>
  <c r="DG262" i="1"/>
  <c r="DF262" i="1"/>
  <c r="CQ262" i="1"/>
  <c r="CE262" i="1"/>
  <c r="P262" i="1"/>
  <c r="DG261" i="1"/>
  <c r="DG259" i="1"/>
  <c r="DG258" i="1"/>
  <c r="DG260" i="1" s="1"/>
  <c r="DG253" i="1"/>
  <c r="DB261" i="1"/>
  <c r="CW261" i="1"/>
  <c r="CW258" i="1"/>
  <c r="EO260" i="1"/>
  <c r="EO265" i="1" s="1"/>
  <c r="EO264" i="1" s="1"/>
  <c r="EN260" i="1"/>
  <c r="EM260" i="1"/>
  <c r="EM265" i="1" s="1"/>
  <c r="EM264" i="1" s="1"/>
  <c r="EL260" i="1"/>
  <c r="EL265" i="1" s="1"/>
  <c r="EL264" i="1" s="1"/>
  <c r="EJ260" i="1"/>
  <c r="EI260" i="1"/>
  <c r="EI265" i="1" s="1"/>
  <c r="EI264" i="1" s="1"/>
  <c r="EH260" i="1"/>
  <c r="EH265" i="1" s="1"/>
  <c r="EH264" i="1" s="1"/>
  <c r="EG260" i="1"/>
  <c r="EG265" i="1" s="1"/>
  <c r="EE260" i="1"/>
  <c r="EE265" i="1" s="1"/>
  <c r="EE264" i="1" s="1"/>
  <c r="ED260" i="1"/>
  <c r="ED265" i="1" s="1"/>
  <c r="ED264" i="1" s="1"/>
  <c r="EC260" i="1"/>
  <c r="EC265" i="1" s="1"/>
  <c r="EC264" i="1" s="1"/>
  <c r="EB260" i="1"/>
  <c r="DZ260" i="1"/>
  <c r="DZ265" i="1" s="1"/>
  <c r="DZ264" i="1" s="1"/>
  <c r="DY260" i="1"/>
  <c r="DY265" i="1" s="1"/>
  <c r="DY264" i="1" s="1"/>
  <c r="DX260" i="1"/>
  <c r="DW260" i="1"/>
  <c r="DW265" i="1" s="1"/>
  <c r="DW264" i="1" s="1"/>
  <c r="DU260" i="1"/>
  <c r="DU265" i="1" s="1"/>
  <c r="DU264" i="1" s="1"/>
  <c r="DT260" i="1"/>
  <c r="DT265" i="1" s="1"/>
  <c r="DT264" i="1" s="1"/>
  <c r="DS260" i="1"/>
  <c r="DS265" i="1" s="1"/>
  <c r="DS264" i="1" s="1"/>
  <c r="DR260" i="1"/>
  <c r="DR265" i="1" s="1"/>
  <c r="DR264" i="1" s="1"/>
  <c r="DP260" i="1"/>
  <c r="DO260" i="1"/>
  <c r="DO265" i="1" s="1"/>
  <c r="DO264" i="1" s="1"/>
  <c r="DN260" i="1"/>
  <c r="DN265" i="1" s="1"/>
  <c r="DN264" i="1" s="1"/>
  <c r="DM260" i="1"/>
  <c r="DM265" i="1" s="1"/>
  <c r="DK260" i="1"/>
  <c r="DK265" i="1" s="1"/>
  <c r="DK264" i="1" s="1"/>
  <c r="DJ260" i="1"/>
  <c r="DJ265" i="1" s="1"/>
  <c r="DJ264" i="1" s="1"/>
  <c r="DI260" i="1"/>
  <c r="DI265" i="1" s="1"/>
  <c r="DI264" i="1" s="1"/>
  <c r="DH260" i="1"/>
  <c r="DF260" i="1"/>
  <c r="DE260" i="1"/>
  <c r="DE262" i="1" s="1"/>
  <c r="DD260" i="1"/>
  <c r="DD262" i="1" s="1"/>
  <c r="CQ260" i="1"/>
  <c r="CP260" i="1"/>
  <c r="CP262" i="1" s="1"/>
  <c r="CO260" i="1"/>
  <c r="CO262" i="1" s="1"/>
  <c r="CN260" i="1"/>
  <c r="CN262" i="1" s="1"/>
  <c r="CM260" i="1"/>
  <c r="CM262" i="1" s="1"/>
  <c r="CL260" i="1"/>
  <c r="CL262" i="1" s="1"/>
  <c r="CK260" i="1"/>
  <c r="CK262" i="1" s="1"/>
  <c r="CJ260" i="1"/>
  <c r="CJ262" i="1" s="1"/>
  <c r="CI260" i="1"/>
  <c r="CI262" i="1" s="1"/>
  <c r="CH260" i="1"/>
  <c r="CH262" i="1" s="1"/>
  <c r="CG260" i="1"/>
  <c r="CG262" i="1" s="1"/>
  <c r="CF260" i="1"/>
  <c r="CF262" i="1" s="1"/>
  <c r="CE260" i="1"/>
  <c r="CD260" i="1"/>
  <c r="CD262" i="1" s="1"/>
  <c r="CC260" i="1"/>
  <c r="CC262" i="1" s="1"/>
  <c r="BX260" i="1"/>
  <c r="BS260" i="1"/>
  <c r="BS262" i="1" s="1"/>
  <c r="BN260" i="1"/>
  <c r="BN262" i="1" s="1"/>
  <c r="BI260" i="1"/>
  <c r="BI262" i="1" s="1"/>
  <c r="BD260" i="1"/>
  <c r="AY260" i="1"/>
  <c r="AY262" i="1" s="1"/>
  <c r="AT260" i="1"/>
  <c r="AT262" i="1" s="1"/>
  <c r="AO260" i="1"/>
  <c r="AO262" i="1" s="1"/>
  <c r="AJ260" i="1"/>
  <c r="AE260" i="1"/>
  <c r="AE262" i="1" s="1"/>
  <c r="Z260" i="1"/>
  <c r="Z262" i="1" s="1"/>
  <c r="U260" i="1"/>
  <c r="U262" i="1" s="1"/>
  <c r="P260" i="1"/>
  <c r="DC260" i="1"/>
  <c r="DC262" i="1" s="1"/>
  <c r="DC264" i="1"/>
  <c r="CW259" i="1"/>
  <c r="CU260" i="1"/>
  <c r="CR259" i="1"/>
  <c r="CR260" i="1" s="1"/>
  <c r="CR256" i="1"/>
  <c r="CR264" i="1" s="1"/>
  <c r="EQ262" i="1"/>
  <c r="EP262" i="1"/>
  <c r="EP261" i="1"/>
  <c r="EQ261" i="1" s="1"/>
  <c r="ER261" i="1" s="1"/>
  <c r="ES261" i="1" s="1"/>
  <c r="ET261" i="1" s="1"/>
  <c r="EU261" i="1" s="1"/>
  <c r="EZ261" i="1" s="1"/>
  <c r="FE261" i="1" s="1"/>
  <c r="EP259" i="1"/>
  <c r="EP258" i="1"/>
  <c r="EP260" i="1" s="1"/>
  <c r="EU253" i="1"/>
  <c r="EP253" i="1"/>
  <c r="DB259" i="1"/>
  <c r="DB258" i="1"/>
  <c r="DB260" i="1" s="1"/>
  <c r="CZ260" i="1"/>
  <c r="CX260" i="1"/>
  <c r="CY264" i="1"/>
  <c r="CX262" i="1"/>
  <c r="DB253" i="1"/>
  <c r="CV260" i="1"/>
  <c r="CT260" i="1"/>
  <c r="CS260" i="1"/>
  <c r="CV264" i="1"/>
  <c r="CU264" i="1"/>
  <c r="CT262" i="1"/>
  <c r="CW253" i="1"/>
  <c r="DV250" i="1"/>
  <c r="DV302" i="1" s="1"/>
  <c r="DV247" i="1"/>
  <c r="DQ250" i="1"/>
  <c r="DQ247" i="1"/>
  <c r="DL250" i="1"/>
  <c r="DL302" i="1" s="1"/>
  <c r="DL247" i="1"/>
  <c r="DG250" i="1"/>
  <c r="DG302" i="1" s="1"/>
  <c r="DG247" i="1"/>
  <c r="EP250" i="1"/>
  <c r="EP302" i="1" s="1"/>
  <c r="EP247" i="1"/>
  <c r="DA302" i="1"/>
  <c r="CZ302" i="1"/>
  <c r="CX302" i="1"/>
  <c r="CV302" i="1"/>
  <c r="CU302" i="1"/>
  <c r="CT302" i="1"/>
  <c r="CS302" i="1"/>
  <c r="DB247" i="1"/>
  <c r="CW247" i="1"/>
  <c r="P243" i="1"/>
  <c r="EP241" i="1"/>
  <c r="EK241" i="1"/>
  <c r="EF241" i="1"/>
  <c r="EF238" i="1"/>
  <c r="EA241" i="1"/>
  <c r="DV241" i="1"/>
  <c r="DQ241" i="1"/>
  <c r="DQ237" i="1"/>
  <c r="DL241" i="1"/>
  <c r="DL238" i="1"/>
  <c r="DL237" i="1"/>
  <c r="DG241" i="1"/>
  <c r="DB241" i="1"/>
  <c r="EO240" i="1"/>
  <c r="EN240" i="1"/>
  <c r="EM240" i="1"/>
  <c r="EL240" i="1"/>
  <c r="EJ240" i="1"/>
  <c r="EI240" i="1"/>
  <c r="EH240" i="1"/>
  <c r="EG240" i="1"/>
  <c r="ED240" i="1"/>
  <c r="EC240" i="1"/>
  <c r="EB240" i="1"/>
  <c r="DX240" i="1"/>
  <c r="DW240" i="1"/>
  <c r="DU240" i="1"/>
  <c r="DT240" i="1"/>
  <c r="DS240" i="1"/>
  <c r="DR240" i="1"/>
  <c r="DP240" i="1"/>
  <c r="DO240" i="1"/>
  <c r="DN240" i="1"/>
  <c r="DM240" i="1"/>
  <c r="DK240" i="1"/>
  <c r="DJ240" i="1"/>
  <c r="DI240" i="1"/>
  <c r="DH240" i="1"/>
  <c r="DF240" i="1"/>
  <c r="DE240" i="1"/>
  <c r="DD240" i="1"/>
  <c r="CR240" i="1"/>
  <c r="CQ240" i="1"/>
  <c r="CP240" i="1"/>
  <c r="CO240" i="1"/>
  <c r="CN240" i="1"/>
  <c r="CM240" i="1"/>
  <c r="CL240" i="1"/>
  <c r="CK240" i="1"/>
  <c r="CJ240" i="1"/>
  <c r="CI240" i="1"/>
  <c r="CH240" i="1"/>
  <c r="CG240" i="1"/>
  <c r="CF240" i="1"/>
  <c r="CE240" i="1"/>
  <c r="CD240" i="1"/>
  <c r="CC240" i="1"/>
  <c r="BX240" i="1"/>
  <c r="BS240" i="1"/>
  <c r="BN240" i="1"/>
  <c r="BI240" i="1"/>
  <c r="BD240" i="1"/>
  <c r="AY240" i="1"/>
  <c r="AT240" i="1"/>
  <c r="AO240" i="1"/>
  <c r="AJ240" i="1"/>
  <c r="AE240" i="1"/>
  <c r="Z240" i="1"/>
  <c r="U240" i="1"/>
  <c r="P240" i="1"/>
  <c r="EE239" i="1"/>
  <c r="EE238" i="1" s="1"/>
  <c r="EE237" i="1"/>
  <c r="EF237" i="1" s="1"/>
  <c r="DZ239" i="1"/>
  <c r="DZ237" i="1"/>
  <c r="EA237" i="1" s="1"/>
  <c r="FS238" i="1"/>
  <c r="EN238" i="1"/>
  <c r="EM238" i="1"/>
  <c r="EL238" i="1"/>
  <c r="EI238" i="1"/>
  <c r="EH238" i="1"/>
  <c r="EG238" i="1"/>
  <c r="ED238" i="1"/>
  <c r="EC238" i="1"/>
  <c r="EB238" i="1"/>
  <c r="DY238" i="1"/>
  <c r="DX238" i="1"/>
  <c r="DW238" i="1"/>
  <c r="DU238" i="1"/>
  <c r="DT238" i="1"/>
  <c r="DS238" i="1"/>
  <c r="DR238" i="1"/>
  <c r="DP238" i="1"/>
  <c r="DO238" i="1"/>
  <c r="DN238" i="1"/>
  <c r="DM238" i="1"/>
  <c r="DK238" i="1"/>
  <c r="DJ238" i="1"/>
  <c r="DI238" i="1"/>
  <c r="DH238" i="1"/>
  <c r="DF238" i="1"/>
  <c r="DE238" i="1"/>
  <c r="DD238" i="1"/>
  <c r="CQ238" i="1"/>
  <c r="CP238" i="1"/>
  <c r="CO238" i="1"/>
  <c r="CN238" i="1"/>
  <c r="CM238" i="1"/>
  <c r="CL238" i="1"/>
  <c r="CK238" i="1"/>
  <c r="CJ238" i="1"/>
  <c r="CI238" i="1"/>
  <c r="CG238" i="1"/>
  <c r="CF238" i="1"/>
  <c r="CE238" i="1"/>
  <c r="CD238" i="1"/>
  <c r="BX237" i="1"/>
  <c r="BX238" i="1" s="1"/>
  <c r="BS238" i="1"/>
  <c r="BN237" i="1"/>
  <c r="BI238" i="1"/>
  <c r="BI237" i="1"/>
  <c r="AY237" i="1"/>
  <c r="AO238" i="1"/>
  <c r="AO237" i="1"/>
  <c r="AJ238" i="1"/>
  <c r="AE237" i="1"/>
  <c r="AE238" i="1" s="1"/>
  <c r="Z238" i="1"/>
  <c r="U238" i="1"/>
  <c r="U237" i="1"/>
  <c r="P237" i="1"/>
  <c r="FE237" i="1"/>
  <c r="EO237" i="1"/>
  <c r="EO238" i="1" s="1"/>
  <c r="EJ237" i="1"/>
  <c r="DU237" i="1"/>
  <c r="DV237" i="1" s="1"/>
  <c r="CY238" i="1"/>
  <c r="CR237" i="1"/>
  <c r="CR238" i="1" s="1"/>
  <c r="CM237" i="1"/>
  <c r="CH237" i="1"/>
  <c r="CH238" i="1" s="1"/>
  <c r="CC237" i="1"/>
  <c r="CC238" i="1" s="1"/>
  <c r="FE234" i="1"/>
  <c r="EZ234" i="1"/>
  <c r="EZ237" i="1" s="1"/>
  <c r="EU234" i="1"/>
  <c r="EU237" i="1" s="1"/>
  <c r="EU231" i="1"/>
  <c r="EA231" i="1"/>
  <c r="EA230" i="1"/>
  <c r="DV231" i="1"/>
  <c r="DV294" i="1" s="1"/>
  <c r="DV230" i="1"/>
  <c r="DV229" i="1"/>
  <c r="DV295" i="1" s="1"/>
  <c r="DQ232" i="1"/>
  <c r="DQ231" i="1"/>
  <c r="DQ230" i="1"/>
  <c r="DQ229" i="1"/>
  <c r="DQ295" i="1" s="1"/>
  <c r="DL231" i="1"/>
  <c r="DL294" i="1" s="1"/>
  <c r="DL230" i="1"/>
  <c r="DL229" i="1"/>
  <c r="DG230" i="1"/>
  <c r="CR232" i="1"/>
  <c r="CM232" i="1"/>
  <c r="CH233" i="1"/>
  <c r="CH232" i="1"/>
  <c r="CC232" i="1"/>
  <c r="BX233" i="1"/>
  <c r="BX232" i="1"/>
  <c r="BS232" i="1"/>
  <c r="BN233" i="1"/>
  <c r="BN231" i="1"/>
  <c r="BN232" i="1" s="1"/>
  <c r="BI232" i="1"/>
  <c r="BI231" i="1"/>
  <c r="BD231" i="1"/>
  <c r="AY232" i="1"/>
  <c r="AY231" i="1"/>
  <c r="AT231" i="1"/>
  <c r="AT238" i="1" s="1"/>
  <c r="AO232" i="1"/>
  <c r="AJ232" i="1"/>
  <c r="AE232" i="1"/>
  <c r="Z232" i="1"/>
  <c r="EO232" i="1"/>
  <c r="EN232" i="1"/>
  <c r="EM232" i="1"/>
  <c r="EL232" i="1"/>
  <c r="EK232" i="1"/>
  <c r="EJ232" i="1"/>
  <c r="EI232" i="1"/>
  <c r="EH232" i="1"/>
  <c r="EG232" i="1"/>
  <c r="ED232" i="1"/>
  <c r="EC232" i="1"/>
  <c r="EB232" i="1"/>
  <c r="DY232" i="1"/>
  <c r="DX232" i="1"/>
  <c r="DW232" i="1"/>
  <c r="DU232" i="1"/>
  <c r="DT232" i="1"/>
  <c r="DS232" i="1"/>
  <c r="DR232" i="1"/>
  <c r="DP232" i="1"/>
  <c r="DO232" i="1"/>
  <c r="DN232" i="1"/>
  <c r="DM232" i="1"/>
  <c r="DK232" i="1"/>
  <c r="DJ232" i="1"/>
  <c r="DI232" i="1"/>
  <c r="DH232" i="1"/>
  <c r="DF232" i="1"/>
  <c r="DE232" i="1"/>
  <c r="DD232" i="1"/>
  <c r="CQ232" i="1"/>
  <c r="CP232" i="1"/>
  <c r="CO232" i="1"/>
  <c r="CN232" i="1"/>
  <c r="CL232" i="1"/>
  <c r="CK232" i="1"/>
  <c r="CJ232" i="1"/>
  <c r="CI232" i="1"/>
  <c r="CG232" i="1"/>
  <c r="CF232" i="1"/>
  <c r="CE232" i="1"/>
  <c r="CD232" i="1"/>
  <c r="U232" i="1"/>
  <c r="P231" i="1"/>
  <c r="EP231" i="1"/>
  <c r="EP230" i="1"/>
  <c r="EP229" i="1"/>
  <c r="EP295" i="1" s="1"/>
  <c r="EK231" i="1"/>
  <c r="EK294" i="1" s="1"/>
  <c r="EK230" i="1"/>
  <c r="EK229" i="1"/>
  <c r="EK295" i="1" s="1"/>
  <c r="EF231" i="1"/>
  <c r="EF230" i="1"/>
  <c r="DG231" i="1"/>
  <c r="EE230" i="1"/>
  <c r="EE229" i="1"/>
  <c r="EF229" i="1" s="1"/>
  <c r="DZ230" i="1"/>
  <c r="DZ229" i="1"/>
  <c r="CZ238" i="1"/>
  <c r="DA232" i="1"/>
  <c r="CZ232" i="1"/>
  <c r="CY232" i="1"/>
  <c r="CX238" i="1"/>
  <c r="CV232" i="1"/>
  <c r="CW231" i="1"/>
  <c r="CW230" i="1"/>
  <c r="CU232" i="1"/>
  <c r="CW229" i="1"/>
  <c r="EK225" i="1"/>
  <c r="EE227" i="1"/>
  <c r="DZ227" i="1"/>
  <c r="DV225" i="1"/>
  <c r="DQ225" i="1"/>
  <c r="DL225" i="1"/>
  <c r="DC240" i="1"/>
  <c r="CX240" i="1"/>
  <c r="EO226" i="1"/>
  <c r="EN226" i="1"/>
  <c r="EM226" i="1"/>
  <c r="EL226" i="1"/>
  <c r="EP226" i="1" s="1"/>
  <c r="EJ226" i="1"/>
  <c r="EI226" i="1"/>
  <c r="EH226" i="1"/>
  <c r="EG226" i="1"/>
  <c r="EK226" i="1" s="1"/>
  <c r="ED226" i="1"/>
  <c r="EC226" i="1"/>
  <c r="EB226" i="1"/>
  <c r="DY226" i="1"/>
  <c r="DX226" i="1"/>
  <c r="DW226" i="1"/>
  <c r="DU226" i="1"/>
  <c r="DT226" i="1"/>
  <c r="DS226" i="1"/>
  <c r="DR226" i="1"/>
  <c r="DP226" i="1"/>
  <c r="DO226" i="1"/>
  <c r="DN226" i="1"/>
  <c r="DM226" i="1"/>
  <c r="DK226" i="1"/>
  <c r="DJ226" i="1"/>
  <c r="DI226" i="1"/>
  <c r="DH226" i="1"/>
  <c r="DF226" i="1"/>
  <c r="DE226" i="1"/>
  <c r="CQ226" i="1"/>
  <c r="CP226" i="1"/>
  <c r="CO226" i="1"/>
  <c r="CN226" i="1"/>
  <c r="CM226" i="1"/>
  <c r="CL226" i="1"/>
  <c r="CK226" i="1"/>
  <c r="CJ226" i="1"/>
  <c r="CI226" i="1"/>
  <c r="CH226" i="1"/>
  <c r="CG226" i="1"/>
  <c r="CF226" i="1"/>
  <c r="CE226" i="1"/>
  <c r="CD226" i="1"/>
  <c r="CC226" i="1"/>
  <c r="BX226" i="1"/>
  <c r="BS226" i="1"/>
  <c r="BN226" i="1"/>
  <c r="BI226" i="1"/>
  <c r="BD226" i="1"/>
  <c r="AY226" i="1"/>
  <c r="AT226" i="1"/>
  <c r="AO226" i="1"/>
  <c r="AJ226" i="1"/>
  <c r="AE226" i="1"/>
  <c r="Z226" i="1"/>
  <c r="U226" i="1"/>
  <c r="P226" i="1"/>
  <c r="EU225" i="1"/>
  <c r="EU221" i="1"/>
  <c r="EP225" i="1"/>
  <c r="EF225" i="1"/>
  <c r="EA225" i="1"/>
  <c r="DG225" i="1"/>
  <c r="FE221" i="1"/>
  <c r="EZ221" i="1"/>
  <c r="BX224" i="1"/>
  <c r="BS224" i="1"/>
  <c r="BS233" i="1" s="1"/>
  <c r="BN224" i="1"/>
  <c r="BI224" i="1"/>
  <c r="BI233" i="1" s="1"/>
  <c r="BD224" i="1"/>
  <c r="BD233" i="1" s="1"/>
  <c r="AY224" i="1"/>
  <c r="AY233" i="1" s="1"/>
  <c r="AT224" i="1"/>
  <c r="AT233" i="1" s="1"/>
  <c r="AO224" i="1"/>
  <c r="AO233" i="1" s="1"/>
  <c r="AJ224" i="1"/>
  <c r="AJ233" i="1" s="1"/>
  <c r="AE224" i="1"/>
  <c r="AE233" i="1" s="1"/>
  <c r="Z224" i="1"/>
  <c r="Z233" i="1" s="1"/>
  <c r="U224" i="1"/>
  <c r="U223" i="1"/>
  <c r="P224" i="1"/>
  <c r="FP222" i="1"/>
  <c r="FQ222" i="1" s="1"/>
  <c r="FR222" i="1" s="1"/>
  <c r="FS222" i="1" s="1"/>
  <c r="EO224" i="1"/>
  <c r="EN224" i="1"/>
  <c r="EM224" i="1"/>
  <c r="EN223" i="1"/>
  <c r="EJ224" i="1"/>
  <c r="EI224" i="1"/>
  <c r="EH224" i="1"/>
  <c r="EI223" i="1"/>
  <c r="ED224" i="1"/>
  <c r="EC224" i="1"/>
  <c r="EB224" i="1"/>
  <c r="ED223" i="1"/>
  <c r="DX224" i="1"/>
  <c r="DW224" i="1"/>
  <c r="DY223" i="1"/>
  <c r="DU224" i="1"/>
  <c r="DT224" i="1"/>
  <c r="DS224" i="1"/>
  <c r="DR224" i="1"/>
  <c r="DT223" i="1"/>
  <c r="DP224" i="1"/>
  <c r="DO224" i="1"/>
  <c r="DN224" i="1"/>
  <c r="DM224" i="1"/>
  <c r="DO223" i="1"/>
  <c r="DK224" i="1"/>
  <c r="DJ224" i="1"/>
  <c r="DI224" i="1"/>
  <c r="DH224" i="1"/>
  <c r="DJ223" i="1"/>
  <c r="DF224" i="1"/>
  <c r="DE224" i="1"/>
  <c r="CS224" i="1"/>
  <c r="CQ224" i="1"/>
  <c r="CP224" i="1"/>
  <c r="CO224" i="1"/>
  <c r="CN224" i="1"/>
  <c r="CM224" i="1"/>
  <c r="CM233" i="1" s="1"/>
  <c r="CL224" i="1"/>
  <c r="CK224" i="1"/>
  <c r="CJ224" i="1"/>
  <c r="CI224" i="1"/>
  <c r="CH224" i="1"/>
  <c r="CG224" i="1"/>
  <c r="CF224" i="1"/>
  <c r="CE224" i="1"/>
  <c r="CD224" i="1"/>
  <c r="CC224" i="1"/>
  <c r="CC233" i="1" s="1"/>
  <c r="CQ223" i="1"/>
  <c r="CI223" i="1"/>
  <c r="CE223" i="1"/>
  <c r="ES219" i="1"/>
  <c r="ER219" i="1"/>
  <c r="EQ219" i="1"/>
  <c r="EQ258" i="1" s="1"/>
  <c r="EL219" i="1"/>
  <c r="EL224" i="1" s="1"/>
  <c r="EK219" i="1"/>
  <c r="EG219" i="1"/>
  <c r="EG224" i="1" s="1"/>
  <c r="EE219" i="1"/>
  <c r="EE226" i="1" s="1"/>
  <c r="DY219" i="1"/>
  <c r="DZ219" i="1" s="1"/>
  <c r="DV219" i="1"/>
  <c r="DQ219" i="1"/>
  <c r="DL219" i="1"/>
  <c r="DD219" i="1"/>
  <c r="DD226" i="1" s="1"/>
  <c r="CR219" i="1"/>
  <c r="CR226" i="1" s="1"/>
  <c r="EK215" i="1"/>
  <c r="EK213" i="1"/>
  <c r="EE217" i="1"/>
  <c r="EE224" i="1" s="1"/>
  <c r="DY217" i="1"/>
  <c r="DV215" i="1"/>
  <c r="DV213" i="1"/>
  <c r="DQ215" i="1"/>
  <c r="DQ213" i="1"/>
  <c r="DQ211" i="1"/>
  <c r="DL215" i="1"/>
  <c r="DL213" i="1"/>
  <c r="DL212" i="1"/>
  <c r="DL211" i="1"/>
  <c r="DG215" i="1"/>
  <c r="DG213" i="1"/>
  <c r="DC224" i="1"/>
  <c r="DA224" i="1"/>
  <c r="CV224" i="1"/>
  <c r="CU224" i="1"/>
  <c r="CN216" i="1"/>
  <c r="CJ216" i="1"/>
  <c r="CF216" i="1"/>
  <c r="EU215" i="1"/>
  <c r="EP215" i="1"/>
  <c r="EP213" i="1"/>
  <c r="EF215" i="1"/>
  <c r="DB215" i="1"/>
  <c r="EO214" i="1"/>
  <c r="EN214" i="1"/>
  <c r="EM214" i="1"/>
  <c r="EL214" i="1"/>
  <c r="EJ214" i="1"/>
  <c r="EI214" i="1"/>
  <c r="EH214" i="1"/>
  <c r="EG214" i="1"/>
  <c r="ED214" i="1"/>
  <c r="EC214" i="1"/>
  <c r="EB214" i="1"/>
  <c r="DY214" i="1"/>
  <c r="DX214" i="1"/>
  <c r="DW214" i="1"/>
  <c r="DU214" i="1"/>
  <c r="DT214" i="1"/>
  <c r="DS214" i="1"/>
  <c r="DR214" i="1"/>
  <c r="DP214" i="1"/>
  <c r="DO214" i="1"/>
  <c r="DN214" i="1"/>
  <c r="DM214" i="1"/>
  <c r="DK214" i="1"/>
  <c r="DJ214" i="1"/>
  <c r="DI214" i="1"/>
  <c r="DH214" i="1"/>
  <c r="DF214" i="1"/>
  <c r="DE214" i="1"/>
  <c r="DD214" i="1"/>
  <c r="CE214" i="1"/>
  <c r="BI214" i="1"/>
  <c r="U214" i="1"/>
  <c r="P214" i="1"/>
  <c r="EE213" i="1"/>
  <c r="EE212" i="1"/>
  <c r="EE211" i="1"/>
  <c r="EE210" i="1"/>
  <c r="DZ213" i="1"/>
  <c r="CM213" i="1"/>
  <c r="CM209" i="1"/>
  <c r="CH213" i="1"/>
  <c r="CH209" i="1"/>
  <c r="DU212" i="1"/>
  <c r="DT212" i="1"/>
  <c r="DS212" i="1"/>
  <c r="DR212" i="1"/>
  <c r="DP212" i="1"/>
  <c r="DO212" i="1"/>
  <c r="DN212" i="1"/>
  <c r="DM212" i="1"/>
  <c r="DK212" i="1"/>
  <c r="DJ212" i="1"/>
  <c r="DI212" i="1"/>
  <c r="DH212" i="1"/>
  <c r="DU211" i="1"/>
  <c r="DV211" i="1" s="1"/>
  <c r="DU210" i="1"/>
  <c r="DU223" i="1" s="1"/>
  <c r="AE210" i="1"/>
  <c r="Z210" i="1"/>
  <c r="Z223" i="1" s="1"/>
  <c r="U210" i="1"/>
  <c r="U211" i="1" s="1"/>
  <c r="P211" i="1"/>
  <c r="P210" i="1"/>
  <c r="CQ212" i="1"/>
  <c r="CQ216" i="1" s="1"/>
  <c r="CP212" i="1"/>
  <c r="CP216" i="1" s="1"/>
  <c r="CO212" i="1"/>
  <c r="CO216" i="1" s="1"/>
  <c r="CN212" i="1"/>
  <c r="CQ210" i="1"/>
  <c r="CQ211" i="1" s="1"/>
  <c r="CP210" i="1"/>
  <c r="CP223" i="1" s="1"/>
  <c r="CO210" i="1"/>
  <c r="CO211" i="1" s="1"/>
  <c r="CN210" i="1"/>
  <c r="CN211" i="1" s="1"/>
  <c r="CL212" i="1"/>
  <c r="CL216" i="1" s="1"/>
  <c r="CK212" i="1"/>
  <c r="CJ212" i="1"/>
  <c r="CI212" i="1"/>
  <c r="CI216" i="1" s="1"/>
  <c r="CL210" i="1"/>
  <c r="CL223" i="1" s="1"/>
  <c r="CJ210" i="1"/>
  <c r="CJ211" i="1" s="1"/>
  <c r="CI210" i="1"/>
  <c r="CI211" i="1" s="1"/>
  <c r="CG212" i="1"/>
  <c r="CG210" i="1" s="1"/>
  <c r="CG223" i="1" s="1"/>
  <c r="CF212" i="1"/>
  <c r="CE212" i="1"/>
  <c r="CE216" i="1" s="1"/>
  <c r="CD212" i="1"/>
  <c r="CD216" i="1" s="1"/>
  <c r="CG211" i="1"/>
  <c r="CE210" i="1"/>
  <c r="CE211" i="1" s="1"/>
  <c r="CD210" i="1"/>
  <c r="EO212" i="1"/>
  <c r="EN212" i="1"/>
  <c r="EM212" i="1"/>
  <c r="EL212" i="1"/>
  <c r="EO210" i="1"/>
  <c r="EO211" i="1" s="1"/>
  <c r="EN210" i="1"/>
  <c r="EN211" i="1" s="1"/>
  <c r="EM210" i="1"/>
  <c r="EM223" i="1" s="1"/>
  <c r="EL210" i="1"/>
  <c r="EJ212" i="1"/>
  <c r="EI212" i="1"/>
  <c r="EH212" i="1"/>
  <c r="EK212" i="1" s="1"/>
  <c r="EG212" i="1"/>
  <c r="EH211" i="1"/>
  <c r="EJ210" i="1"/>
  <c r="EJ211" i="1" s="1"/>
  <c r="EI210" i="1"/>
  <c r="EI211" i="1" s="1"/>
  <c r="EH210" i="1"/>
  <c r="EH223" i="1" s="1"/>
  <c r="EG210" i="1"/>
  <c r="EG211" i="1" s="1"/>
  <c r="ED212" i="1"/>
  <c r="EC212" i="1"/>
  <c r="EB212" i="1"/>
  <c r="EF212" i="1" s="1"/>
  <c r="DZ212" i="1"/>
  <c r="DY212" i="1"/>
  <c r="DX212" i="1"/>
  <c r="DX211" i="1" s="1"/>
  <c r="DW212" i="1"/>
  <c r="ED210" i="1"/>
  <c r="ED211" i="1" s="1"/>
  <c r="EC210" i="1"/>
  <c r="EC223" i="1" s="1"/>
  <c r="EB210" i="1"/>
  <c r="DZ210" i="1"/>
  <c r="DZ211" i="1" s="1"/>
  <c r="DY210" i="1"/>
  <c r="DY211" i="1" s="1"/>
  <c r="DX210" i="1"/>
  <c r="DX223" i="1" s="1"/>
  <c r="DW210" i="1"/>
  <c r="DW211" i="1" s="1"/>
  <c r="EA211" i="1" s="1"/>
  <c r="DT210" i="1"/>
  <c r="DS210" i="1"/>
  <c r="DS223" i="1" s="1"/>
  <c r="DR210" i="1"/>
  <c r="DR223" i="1" s="1"/>
  <c r="DP210" i="1"/>
  <c r="DP223" i="1" s="1"/>
  <c r="DO210" i="1"/>
  <c r="DN210" i="1"/>
  <c r="DN223" i="1" s="1"/>
  <c r="DM210" i="1"/>
  <c r="DK210" i="1"/>
  <c r="DK223" i="1" s="1"/>
  <c r="DJ210" i="1"/>
  <c r="DI210" i="1"/>
  <c r="DI223" i="1" s="1"/>
  <c r="DH210" i="1"/>
  <c r="DF212" i="1"/>
  <c r="DE212" i="1"/>
  <c r="DD212" i="1"/>
  <c r="DD211" i="1" s="1"/>
  <c r="DE211" i="1"/>
  <c r="DE210" i="1"/>
  <c r="DE223" i="1" s="1"/>
  <c r="DD210" i="1"/>
  <c r="CR213" i="1"/>
  <c r="DA212" i="1"/>
  <c r="CZ212" i="1"/>
  <c r="CZ211" i="1" s="1"/>
  <c r="CY212" i="1"/>
  <c r="DA211" i="1"/>
  <c r="DA210" i="1"/>
  <c r="CZ210" i="1"/>
  <c r="CR209" i="1"/>
  <c r="FE186" i="1"/>
  <c r="FE185" i="1"/>
  <c r="EZ186" i="1"/>
  <c r="EZ185" i="1"/>
  <c r="EO186" i="1"/>
  <c r="EN186" i="1"/>
  <c r="EM186" i="1"/>
  <c r="EL186" i="1"/>
  <c r="EJ186" i="1"/>
  <c r="EI186" i="1"/>
  <c r="EH186" i="1"/>
  <c r="EG186" i="1"/>
  <c r="EE186" i="1"/>
  <c r="ED186" i="1"/>
  <c r="EC186" i="1"/>
  <c r="EB186" i="1"/>
  <c r="DZ186" i="1"/>
  <c r="DY186" i="1"/>
  <c r="DX186" i="1"/>
  <c r="DW186" i="1"/>
  <c r="DU186" i="1"/>
  <c r="DT186" i="1"/>
  <c r="DS186" i="1"/>
  <c r="DR186" i="1"/>
  <c r="DP186" i="1"/>
  <c r="DO186" i="1"/>
  <c r="DN186" i="1"/>
  <c r="DM186" i="1"/>
  <c r="DK186" i="1"/>
  <c r="DJ186" i="1"/>
  <c r="DI186" i="1"/>
  <c r="DH186" i="1"/>
  <c r="CQ186" i="1"/>
  <c r="CP186" i="1"/>
  <c r="CO186" i="1"/>
  <c r="CN186" i="1"/>
  <c r="CL186" i="1"/>
  <c r="CK186" i="1"/>
  <c r="CJ186" i="1"/>
  <c r="CI186" i="1"/>
  <c r="CG186" i="1"/>
  <c r="CF186" i="1"/>
  <c r="CE186" i="1"/>
  <c r="CD186" i="1"/>
  <c r="CB186" i="1"/>
  <c r="CA186" i="1"/>
  <c r="BZ186" i="1"/>
  <c r="BY186" i="1"/>
  <c r="BW186" i="1"/>
  <c r="BV186" i="1"/>
  <c r="BU186" i="1"/>
  <c r="BT186" i="1"/>
  <c r="BR186" i="1"/>
  <c r="BQ186" i="1"/>
  <c r="BP186" i="1"/>
  <c r="BO186" i="1"/>
  <c r="BM186" i="1"/>
  <c r="BL186" i="1"/>
  <c r="BK186" i="1"/>
  <c r="BJ186" i="1"/>
  <c r="BH186" i="1"/>
  <c r="BG186" i="1"/>
  <c r="BF186" i="1"/>
  <c r="BE186" i="1"/>
  <c r="BC186" i="1"/>
  <c r="BB186" i="1"/>
  <c r="BA186" i="1"/>
  <c r="AZ186" i="1"/>
  <c r="AX186" i="1"/>
  <c r="AW186" i="1"/>
  <c r="AV186" i="1"/>
  <c r="AU186" i="1"/>
  <c r="AS186" i="1"/>
  <c r="AR186" i="1"/>
  <c r="AQ186" i="1"/>
  <c r="AP186" i="1"/>
  <c r="AN186" i="1"/>
  <c r="AM186" i="1"/>
  <c r="AL186" i="1"/>
  <c r="AK186" i="1"/>
  <c r="EO185" i="1"/>
  <c r="EN185" i="1"/>
  <c r="EM185" i="1"/>
  <c r="EG185" i="1"/>
  <c r="EE185" i="1"/>
  <c r="ED185" i="1"/>
  <c r="EC185" i="1"/>
  <c r="EB185" i="1"/>
  <c r="DZ185" i="1"/>
  <c r="DY185" i="1"/>
  <c r="DX185" i="1"/>
  <c r="DW185" i="1"/>
  <c r="DU185" i="1"/>
  <c r="DT185" i="1"/>
  <c r="DS185" i="1"/>
  <c r="DR185" i="1"/>
  <c r="DP185" i="1"/>
  <c r="DO185" i="1"/>
  <c r="DN185" i="1"/>
  <c r="DM185" i="1"/>
  <c r="DK185" i="1"/>
  <c r="DJ185" i="1"/>
  <c r="DI185" i="1"/>
  <c r="DH185" i="1"/>
  <c r="CQ185" i="1"/>
  <c r="CP185" i="1"/>
  <c r="CO185" i="1"/>
  <c r="CN185" i="1"/>
  <c r="CL185" i="1"/>
  <c r="CK185" i="1"/>
  <c r="CJ185" i="1"/>
  <c r="CI185" i="1"/>
  <c r="CG185" i="1"/>
  <c r="CF185" i="1"/>
  <c r="CE185" i="1"/>
  <c r="CD185" i="1"/>
  <c r="CB185" i="1"/>
  <c r="CA185" i="1"/>
  <c r="BZ185" i="1"/>
  <c r="BY185" i="1"/>
  <c r="BW185" i="1"/>
  <c r="BV185" i="1"/>
  <c r="BU185" i="1"/>
  <c r="BT185" i="1"/>
  <c r="BR185" i="1"/>
  <c r="BQ185" i="1"/>
  <c r="BP185" i="1"/>
  <c r="BO185" i="1"/>
  <c r="BM185" i="1"/>
  <c r="BL185" i="1"/>
  <c r="BK185" i="1"/>
  <c r="BJ185" i="1"/>
  <c r="BH185" i="1"/>
  <c r="BG185" i="1"/>
  <c r="BF185" i="1"/>
  <c r="BE185" i="1"/>
  <c r="BC185" i="1"/>
  <c r="BB185" i="1"/>
  <c r="BA185" i="1"/>
  <c r="AZ185" i="1"/>
  <c r="AX185" i="1"/>
  <c r="AW185" i="1"/>
  <c r="AV185" i="1"/>
  <c r="AU185" i="1"/>
  <c r="AS185" i="1"/>
  <c r="AR185" i="1"/>
  <c r="AQ185" i="1"/>
  <c r="AP185" i="1"/>
  <c r="AN185" i="1"/>
  <c r="AM185" i="1"/>
  <c r="AL185" i="1"/>
  <c r="AK185" i="1"/>
  <c r="EO181" i="1"/>
  <c r="EN181" i="1"/>
  <c r="EM181" i="1"/>
  <c r="EL181" i="1"/>
  <c r="EJ181" i="1"/>
  <c r="EI181" i="1"/>
  <c r="EH181" i="1"/>
  <c r="EG181" i="1"/>
  <c r="EE181" i="1"/>
  <c r="ED181" i="1"/>
  <c r="EC181" i="1"/>
  <c r="EB181" i="1"/>
  <c r="DZ181" i="1"/>
  <c r="DY181" i="1"/>
  <c r="DX181" i="1"/>
  <c r="DW181" i="1"/>
  <c r="DU181" i="1"/>
  <c r="DT181" i="1"/>
  <c r="DS181" i="1"/>
  <c r="DR181" i="1"/>
  <c r="DP181" i="1"/>
  <c r="DO181" i="1"/>
  <c r="DN181" i="1"/>
  <c r="DM181" i="1"/>
  <c r="DK181" i="1"/>
  <c r="DJ181" i="1"/>
  <c r="DI181" i="1"/>
  <c r="DH181" i="1"/>
  <c r="CQ181" i="1"/>
  <c r="CP181" i="1"/>
  <c r="CO181" i="1"/>
  <c r="CN181" i="1"/>
  <c r="CL181" i="1"/>
  <c r="CK181" i="1"/>
  <c r="CJ181" i="1"/>
  <c r="CI181" i="1"/>
  <c r="CG181" i="1"/>
  <c r="CF181" i="1"/>
  <c r="CE181" i="1"/>
  <c r="CD181" i="1"/>
  <c r="CB181" i="1"/>
  <c r="CA181" i="1"/>
  <c r="BZ181" i="1"/>
  <c r="BY181" i="1"/>
  <c r="BW181" i="1"/>
  <c r="BV181" i="1"/>
  <c r="BU181" i="1"/>
  <c r="BT181" i="1"/>
  <c r="BR181" i="1"/>
  <c r="BQ181" i="1"/>
  <c r="BP181" i="1"/>
  <c r="BO181" i="1"/>
  <c r="BM181" i="1"/>
  <c r="BL181" i="1"/>
  <c r="BK181" i="1"/>
  <c r="BJ181" i="1"/>
  <c r="BH181" i="1"/>
  <c r="BG181" i="1"/>
  <c r="BF181" i="1"/>
  <c r="BE181" i="1"/>
  <c r="BC181" i="1"/>
  <c r="BB181" i="1"/>
  <c r="BA181" i="1"/>
  <c r="AZ181" i="1"/>
  <c r="AX181" i="1"/>
  <c r="AW181" i="1"/>
  <c r="AV181" i="1"/>
  <c r="AU181" i="1"/>
  <c r="AS181" i="1"/>
  <c r="AR181" i="1"/>
  <c r="AQ181" i="1"/>
  <c r="AP181" i="1"/>
  <c r="AN181" i="1"/>
  <c r="AM181" i="1"/>
  <c r="AL181" i="1"/>
  <c r="AK181" i="1"/>
  <c r="EO179" i="1"/>
  <c r="EN179" i="1"/>
  <c r="EM179" i="1"/>
  <c r="EL179" i="1"/>
  <c r="EJ179" i="1"/>
  <c r="EI179" i="1"/>
  <c r="EH179" i="1"/>
  <c r="EG179" i="1"/>
  <c r="EE179" i="1"/>
  <c r="ED179" i="1"/>
  <c r="EC179" i="1"/>
  <c r="EB179" i="1"/>
  <c r="DZ179" i="1"/>
  <c r="DY179" i="1"/>
  <c r="DX179" i="1"/>
  <c r="DW179" i="1"/>
  <c r="DU179" i="1"/>
  <c r="DT179" i="1"/>
  <c r="DS179" i="1"/>
  <c r="DR179" i="1"/>
  <c r="DP179" i="1"/>
  <c r="DO179" i="1"/>
  <c r="DN179" i="1"/>
  <c r="DM179" i="1"/>
  <c r="DK179" i="1"/>
  <c r="DK324" i="1" s="1"/>
  <c r="DJ179" i="1"/>
  <c r="DJ324" i="1" s="1"/>
  <c r="DI179" i="1"/>
  <c r="DH179" i="1"/>
  <c r="DH324" i="1" s="1"/>
  <c r="CQ179" i="1"/>
  <c r="CQ324" i="1" s="1"/>
  <c r="CP179" i="1"/>
  <c r="CP324" i="1" s="1"/>
  <c r="CO179" i="1"/>
  <c r="CN179" i="1"/>
  <c r="CN324" i="1" s="1"/>
  <c r="CL179" i="1"/>
  <c r="CL324" i="1" s="1"/>
  <c r="CK179" i="1"/>
  <c r="CJ179" i="1"/>
  <c r="CJ324" i="1" s="1"/>
  <c r="CI179" i="1"/>
  <c r="CI324" i="1" s="1"/>
  <c r="CG179" i="1"/>
  <c r="CF179" i="1"/>
  <c r="CF324" i="1" s="1"/>
  <c r="CE179" i="1"/>
  <c r="CE324" i="1" s="1"/>
  <c r="CD179" i="1"/>
  <c r="CD324" i="1" s="1"/>
  <c r="CB179" i="1"/>
  <c r="CB324" i="1" s="1"/>
  <c r="CA179" i="1"/>
  <c r="CA324" i="1" s="1"/>
  <c r="BZ179" i="1"/>
  <c r="BZ324" i="1" s="1"/>
  <c r="BY179" i="1"/>
  <c r="BW179" i="1"/>
  <c r="BV179" i="1"/>
  <c r="BU179" i="1"/>
  <c r="BT179" i="1"/>
  <c r="BR179" i="1"/>
  <c r="BQ179" i="1"/>
  <c r="BP179" i="1"/>
  <c r="BO179" i="1"/>
  <c r="BM179" i="1"/>
  <c r="BL179" i="1"/>
  <c r="BK179" i="1"/>
  <c r="BJ179" i="1"/>
  <c r="BH179" i="1"/>
  <c r="BG179" i="1"/>
  <c r="BF179" i="1"/>
  <c r="BE179" i="1"/>
  <c r="BC179" i="1"/>
  <c r="BB179" i="1"/>
  <c r="BA179" i="1"/>
  <c r="AZ179" i="1"/>
  <c r="AX179" i="1"/>
  <c r="AW179" i="1"/>
  <c r="AV179" i="1"/>
  <c r="AU179" i="1"/>
  <c r="AS179" i="1"/>
  <c r="AR179" i="1"/>
  <c r="AQ179" i="1"/>
  <c r="AP179" i="1"/>
  <c r="AN179" i="1"/>
  <c r="AM179" i="1"/>
  <c r="AL179" i="1"/>
  <c r="AK179" i="1"/>
  <c r="EJ177" i="1"/>
  <c r="EI177" i="1"/>
  <c r="EH177" i="1"/>
  <c r="EG177" i="1"/>
  <c r="EE177" i="1"/>
  <c r="ED177" i="1"/>
  <c r="EC177" i="1"/>
  <c r="EB177" i="1"/>
  <c r="DZ177" i="1"/>
  <c r="DY177" i="1"/>
  <c r="DX177" i="1"/>
  <c r="DW177" i="1"/>
  <c r="DU177" i="1"/>
  <c r="DT177" i="1"/>
  <c r="DS177" i="1"/>
  <c r="DR177" i="1"/>
  <c r="DP177" i="1"/>
  <c r="DO177" i="1"/>
  <c r="DN177" i="1"/>
  <c r="DM177" i="1"/>
  <c r="DK177" i="1"/>
  <c r="DJ177" i="1"/>
  <c r="DI177" i="1"/>
  <c r="BW177" i="1"/>
  <c r="BV177" i="1"/>
  <c r="BU177" i="1"/>
  <c r="BT177" i="1"/>
  <c r="BR177" i="1"/>
  <c r="BQ177" i="1"/>
  <c r="BP177" i="1"/>
  <c r="BO177" i="1"/>
  <c r="BM177" i="1"/>
  <c r="BL177" i="1"/>
  <c r="BK177" i="1"/>
  <c r="BJ177" i="1"/>
  <c r="BH177" i="1"/>
  <c r="BG177" i="1"/>
  <c r="BF177" i="1"/>
  <c r="BE177" i="1"/>
  <c r="BC177" i="1"/>
  <c r="BB177" i="1"/>
  <c r="BA177" i="1"/>
  <c r="AZ177" i="1"/>
  <c r="AX177" i="1"/>
  <c r="AW177" i="1"/>
  <c r="AV177" i="1"/>
  <c r="AU177" i="1"/>
  <c r="AS177" i="1"/>
  <c r="AR177" i="1"/>
  <c r="AQ177" i="1"/>
  <c r="AP177" i="1"/>
  <c r="AN177" i="1"/>
  <c r="AM177" i="1"/>
  <c r="AL177" i="1"/>
  <c r="AK177" i="1"/>
  <c r="EJ175" i="1"/>
  <c r="EI175" i="1"/>
  <c r="EH175" i="1"/>
  <c r="EG175" i="1"/>
  <c r="EE175" i="1"/>
  <c r="ED175" i="1"/>
  <c r="EC175" i="1"/>
  <c r="EB175" i="1"/>
  <c r="DZ175" i="1"/>
  <c r="DY175" i="1"/>
  <c r="DX175" i="1"/>
  <c r="DW175" i="1"/>
  <c r="DU175" i="1"/>
  <c r="DT175" i="1"/>
  <c r="DS175" i="1"/>
  <c r="DR175" i="1"/>
  <c r="DP175" i="1"/>
  <c r="DO175" i="1"/>
  <c r="CQ175" i="1"/>
  <c r="CP175" i="1"/>
  <c r="CO175" i="1"/>
  <c r="CN175" i="1"/>
  <c r="CL175" i="1"/>
  <c r="CK175" i="1"/>
  <c r="CJ175" i="1"/>
  <c r="CI175" i="1"/>
  <c r="CG175" i="1"/>
  <c r="CF175" i="1"/>
  <c r="CE175" i="1"/>
  <c r="CE270" i="1" s="1"/>
  <c r="CD175" i="1"/>
  <c r="CB175" i="1"/>
  <c r="CA175" i="1"/>
  <c r="BZ175" i="1"/>
  <c r="BY175" i="1"/>
  <c r="BW175" i="1"/>
  <c r="BV175" i="1"/>
  <c r="BU175" i="1"/>
  <c r="BT175" i="1"/>
  <c r="BR175" i="1"/>
  <c r="BQ175" i="1"/>
  <c r="BP175" i="1"/>
  <c r="BF175" i="1"/>
  <c r="BE175" i="1"/>
  <c r="BC175" i="1"/>
  <c r="BB175" i="1"/>
  <c r="BA175" i="1"/>
  <c r="AZ175" i="1"/>
  <c r="AX175" i="1"/>
  <c r="AW175" i="1"/>
  <c r="AV175" i="1"/>
  <c r="AU175" i="1"/>
  <c r="AS175" i="1"/>
  <c r="AR175" i="1"/>
  <c r="AQ175" i="1"/>
  <c r="AP175" i="1"/>
  <c r="AN175" i="1"/>
  <c r="AM175" i="1"/>
  <c r="AL175" i="1"/>
  <c r="AK175" i="1"/>
  <c r="FE168" i="1"/>
  <c r="EZ168" i="1"/>
  <c r="ET168" i="1"/>
  <c r="ES168" i="1"/>
  <c r="ER168" i="1"/>
  <c r="EQ168" i="1"/>
  <c r="EO168" i="1"/>
  <c r="EN168" i="1"/>
  <c r="EL168" i="1"/>
  <c r="EJ168" i="1"/>
  <c r="EI168" i="1"/>
  <c r="EG168" i="1"/>
  <c r="EE168" i="1"/>
  <c r="ED168" i="1"/>
  <c r="EC168" i="1"/>
  <c r="EB168" i="1"/>
  <c r="DZ168" i="1"/>
  <c r="DY168" i="1"/>
  <c r="DX168" i="1"/>
  <c r="DW168" i="1"/>
  <c r="DU168" i="1"/>
  <c r="DT168" i="1"/>
  <c r="DS168" i="1"/>
  <c r="DR168" i="1"/>
  <c r="DP168" i="1"/>
  <c r="DO168" i="1"/>
  <c r="DN168" i="1"/>
  <c r="DM168" i="1"/>
  <c r="DK168" i="1"/>
  <c r="DJ168" i="1"/>
  <c r="DI168" i="1"/>
  <c r="DH168" i="1"/>
  <c r="DF168" i="1"/>
  <c r="DE168" i="1"/>
  <c r="DD168" i="1"/>
  <c r="CQ168" i="1"/>
  <c r="CP168" i="1"/>
  <c r="CO168" i="1"/>
  <c r="CN168" i="1"/>
  <c r="CL168" i="1"/>
  <c r="CK168" i="1"/>
  <c r="CJ168" i="1"/>
  <c r="CI168" i="1"/>
  <c r="CF168" i="1"/>
  <c r="CD168" i="1"/>
  <c r="CB168" i="1"/>
  <c r="CA168" i="1"/>
  <c r="BZ168" i="1"/>
  <c r="BY168" i="1"/>
  <c r="CC168" i="1" s="1"/>
  <c r="BW168" i="1"/>
  <c r="BV168" i="1"/>
  <c r="BU168" i="1"/>
  <c r="BT168" i="1"/>
  <c r="BX168" i="1" s="1"/>
  <c r="BR168" i="1"/>
  <c r="BQ168" i="1"/>
  <c r="BO168" i="1"/>
  <c r="BM168" i="1"/>
  <c r="BJ168" i="1"/>
  <c r="EU167" i="1"/>
  <c r="EU168" i="1" s="1"/>
  <c r="EU166" i="1"/>
  <c r="EU165" i="1"/>
  <c r="EU164" i="1"/>
  <c r="EP167" i="1"/>
  <c r="EP168" i="1" s="1"/>
  <c r="EP166" i="1"/>
  <c r="EP165" i="1"/>
  <c r="EP164" i="1"/>
  <c r="EK167" i="1"/>
  <c r="EK168" i="1" s="1"/>
  <c r="EK166" i="1"/>
  <c r="EK165" i="1"/>
  <c r="EK164" i="1"/>
  <c r="EF167" i="1"/>
  <c r="EF168" i="1" s="1"/>
  <c r="EF166" i="1"/>
  <c r="EF165" i="1"/>
  <c r="EF164" i="1"/>
  <c r="EA167" i="1"/>
  <c r="EA168" i="1" s="1"/>
  <c r="EA166" i="1"/>
  <c r="EA165" i="1"/>
  <c r="EA164" i="1"/>
  <c r="DV167" i="1"/>
  <c r="DV166" i="1"/>
  <c r="DV165" i="1"/>
  <c r="DV164" i="1"/>
  <c r="DV168" i="1" s="1"/>
  <c r="DQ167" i="1"/>
  <c r="DQ168" i="1" s="1"/>
  <c r="DQ166" i="1"/>
  <c r="DQ165" i="1"/>
  <c r="DQ164" i="1"/>
  <c r="DL167" i="1"/>
  <c r="DL168" i="1" s="1"/>
  <c r="DL166" i="1"/>
  <c r="DL165" i="1"/>
  <c r="DL164" i="1"/>
  <c r="DF167" i="1"/>
  <c r="DG167" i="1"/>
  <c r="DG168" i="1" s="1"/>
  <c r="DA168" i="1"/>
  <c r="CZ168" i="1"/>
  <c r="CY168" i="1"/>
  <c r="CX168" i="1"/>
  <c r="CV168" i="1"/>
  <c r="CU168" i="1"/>
  <c r="CT168" i="1"/>
  <c r="CS168" i="1"/>
  <c r="CM167" i="1"/>
  <c r="CM166" i="1"/>
  <c r="CM165" i="1"/>
  <c r="CM164" i="1"/>
  <c r="CG167" i="1"/>
  <c r="CG168" i="1" s="1"/>
  <c r="CE167" i="1"/>
  <c r="CH167" i="1" s="1"/>
  <c r="CC167" i="1"/>
  <c r="CC166" i="1"/>
  <c r="CC165" i="1"/>
  <c r="CC164" i="1"/>
  <c r="BX167" i="1"/>
  <c r="BX166" i="1"/>
  <c r="BX165" i="1"/>
  <c r="BX164" i="1"/>
  <c r="BS166" i="1"/>
  <c r="BS165" i="1"/>
  <c r="BS164" i="1"/>
  <c r="BP167" i="1"/>
  <c r="BS167" i="1" s="1"/>
  <c r="BN166" i="1"/>
  <c r="BN165" i="1"/>
  <c r="BN164" i="1"/>
  <c r="BL167" i="1"/>
  <c r="BL168" i="1" s="1"/>
  <c r="BK167" i="1"/>
  <c r="BN167" i="1" s="1"/>
  <c r="DG166" i="1"/>
  <c r="DG165" i="1"/>
  <c r="DG164" i="1"/>
  <c r="DB166" i="1"/>
  <c r="DB165" i="1"/>
  <c r="DB164" i="1"/>
  <c r="CW166" i="1"/>
  <c r="CW165" i="1"/>
  <c r="CW164" i="1"/>
  <c r="CR166" i="1"/>
  <c r="CR168" i="1" s="1"/>
  <c r="CR165" i="1"/>
  <c r="CR164" i="1"/>
  <c r="CH166" i="1"/>
  <c r="CH165" i="1"/>
  <c r="CH164" i="1"/>
  <c r="FD161" i="1"/>
  <c r="FC161" i="1"/>
  <c r="EY161" i="1"/>
  <c r="FA161" i="1" s="1"/>
  <c r="FE161" i="1" s="1"/>
  <c r="EX161" i="1"/>
  <c r="ET161" i="1"/>
  <c r="EV161" i="1" s="1"/>
  <c r="EZ161" i="1" s="1"/>
  <c r="ES161" i="1"/>
  <c r="EP161" i="1"/>
  <c r="EK161" i="1"/>
  <c r="EF161" i="1"/>
  <c r="EA161" i="1"/>
  <c r="DV161" i="1"/>
  <c r="DQ161" i="1"/>
  <c r="DQ158" i="1"/>
  <c r="DV155" i="1" s="1"/>
  <c r="DR160" i="1"/>
  <c r="DP160" i="1"/>
  <c r="DO160" i="1"/>
  <c r="DN160" i="1"/>
  <c r="DM160" i="1"/>
  <c r="DK160" i="1"/>
  <c r="DJ160" i="1"/>
  <c r="DI160" i="1"/>
  <c r="DH160" i="1"/>
  <c r="DF160" i="1"/>
  <c r="DE160" i="1"/>
  <c r="DD160" i="1"/>
  <c r="DC160" i="1"/>
  <c r="DA160" i="1"/>
  <c r="CZ160" i="1"/>
  <c r="CY160" i="1"/>
  <c r="CX160" i="1"/>
  <c r="CV160" i="1"/>
  <c r="CU160" i="1"/>
  <c r="CT160" i="1"/>
  <c r="CS160" i="1"/>
  <c r="CQ160" i="1"/>
  <c r="CP160" i="1"/>
  <c r="CO160" i="1"/>
  <c r="CN160" i="1"/>
  <c r="CL160" i="1"/>
  <c r="CK160" i="1"/>
  <c r="CJ160" i="1"/>
  <c r="CI160" i="1"/>
  <c r="CG160" i="1"/>
  <c r="CF160" i="1"/>
  <c r="CE160" i="1"/>
  <c r="CD160" i="1"/>
  <c r="CB160" i="1"/>
  <c r="CA160" i="1"/>
  <c r="BZ160" i="1"/>
  <c r="BY160" i="1"/>
  <c r="DP159" i="1"/>
  <c r="DO159" i="1"/>
  <c r="DN159" i="1"/>
  <c r="DK159" i="1"/>
  <c r="DJ159" i="1"/>
  <c r="DI159" i="1"/>
  <c r="DF159" i="1"/>
  <c r="DE159" i="1"/>
  <c r="DD159" i="1"/>
  <c r="DA159" i="1"/>
  <c r="CZ159" i="1"/>
  <c r="CY159" i="1"/>
  <c r="CV159" i="1"/>
  <c r="CU159" i="1"/>
  <c r="CT159" i="1"/>
  <c r="CQ159" i="1"/>
  <c r="CP159" i="1"/>
  <c r="CO159" i="1"/>
  <c r="CL159" i="1"/>
  <c r="CK159" i="1"/>
  <c r="CJ159" i="1"/>
  <c r="CG159" i="1"/>
  <c r="CF159" i="1"/>
  <c r="CE159" i="1"/>
  <c r="CB159" i="1"/>
  <c r="CA159" i="1"/>
  <c r="BZ159" i="1"/>
  <c r="BY159" i="1"/>
  <c r="BX159" i="1"/>
  <c r="BX158" i="1"/>
  <c r="DL158" i="1"/>
  <c r="DL159" i="1" s="1"/>
  <c r="DL160" i="1" s="1"/>
  <c r="DL155" i="1"/>
  <c r="DL157" i="1" s="1"/>
  <c r="DL156" i="1" s="1"/>
  <c r="DG158" i="1"/>
  <c r="DH159" i="1" s="1"/>
  <c r="DG155" i="1"/>
  <c r="DG157" i="1" s="1"/>
  <c r="DG156" i="1" s="1"/>
  <c r="DB158" i="1"/>
  <c r="DC159" i="1" s="1"/>
  <c r="DB155" i="1"/>
  <c r="DB157" i="1" s="1"/>
  <c r="DB156" i="1" s="1"/>
  <c r="CW158" i="1"/>
  <c r="CX159" i="1" s="1"/>
  <c r="CW155" i="1"/>
  <c r="CW157" i="1" s="1"/>
  <c r="CW156" i="1" s="1"/>
  <c r="CR158" i="1"/>
  <c r="CR159" i="1" s="1"/>
  <c r="CR160" i="1" s="1"/>
  <c r="CR155" i="1"/>
  <c r="CR157" i="1" s="1"/>
  <c r="CR156" i="1" s="1"/>
  <c r="CM158" i="1"/>
  <c r="CN159" i="1" s="1"/>
  <c r="CM155" i="1"/>
  <c r="CM157" i="1" s="1"/>
  <c r="CM156" i="1" s="1"/>
  <c r="CH158" i="1"/>
  <c r="CI159" i="1" s="1"/>
  <c r="CH155" i="1"/>
  <c r="CH157" i="1" s="1"/>
  <c r="CH156" i="1" s="1"/>
  <c r="CC158" i="1"/>
  <c r="CD159" i="1" s="1"/>
  <c r="CC155" i="1"/>
  <c r="CC157" i="1" s="1"/>
  <c r="CC156" i="1" s="1"/>
  <c r="EO160" i="1"/>
  <c r="EN160" i="1"/>
  <c r="EM160" i="1"/>
  <c r="EL160" i="1"/>
  <c r="DR155" i="1"/>
  <c r="DR157" i="1" s="1"/>
  <c r="EQ158" i="1"/>
  <c r="EQ159" i="1" s="1"/>
  <c r="EQ155" i="1"/>
  <c r="EO155" i="1"/>
  <c r="EN155" i="1"/>
  <c r="EM155" i="1"/>
  <c r="EK158" i="1"/>
  <c r="EI160" i="1"/>
  <c r="EH160" i="1"/>
  <c r="EG160" i="1"/>
  <c r="EJ155" i="1"/>
  <c r="EJ157" i="1" s="1"/>
  <c r="EI155" i="1"/>
  <c r="EH155" i="1"/>
  <c r="EE160" i="1"/>
  <c r="ED160" i="1"/>
  <c r="EC160" i="1"/>
  <c r="EB160" i="1"/>
  <c r="EE155" i="1"/>
  <c r="ED155" i="1"/>
  <c r="ED157" i="1" s="1"/>
  <c r="EC155" i="1"/>
  <c r="DZ160" i="1"/>
  <c r="DY160" i="1"/>
  <c r="DX160" i="1"/>
  <c r="DW160" i="1"/>
  <c r="DZ155" i="1"/>
  <c r="DY155" i="1"/>
  <c r="DY157" i="1" s="1"/>
  <c r="DX155" i="1"/>
  <c r="DX157" i="1" s="1"/>
  <c r="DU160" i="1"/>
  <c r="DT160" i="1"/>
  <c r="DS160" i="1"/>
  <c r="DU155" i="1"/>
  <c r="DU157" i="1" s="1"/>
  <c r="DT155" i="1"/>
  <c r="DT157" i="1" s="1"/>
  <c r="DS155" i="1"/>
  <c r="DS156" i="1" s="1"/>
  <c r="DP155" i="1"/>
  <c r="DP157" i="1" s="1"/>
  <c r="DO155" i="1"/>
  <c r="DO157" i="1" s="1"/>
  <c r="DN155" i="1"/>
  <c r="DN157" i="1" s="1"/>
  <c r="DM155" i="1"/>
  <c r="DM157" i="1" s="1"/>
  <c r="DK155" i="1"/>
  <c r="DK157" i="1" s="1"/>
  <c r="DJ155" i="1"/>
  <c r="DJ157" i="1" s="1"/>
  <c r="DI155" i="1"/>
  <c r="DI157" i="1" s="1"/>
  <c r="DH155" i="1"/>
  <c r="DH157" i="1" s="1"/>
  <c r="DF155" i="1"/>
  <c r="DF157" i="1" s="1"/>
  <c r="DE155" i="1"/>
  <c r="DE157" i="1" s="1"/>
  <c r="DD155" i="1"/>
  <c r="DD157" i="1" s="1"/>
  <c r="DC155" i="1"/>
  <c r="DC157" i="1" s="1"/>
  <c r="DA155" i="1"/>
  <c r="DA157" i="1" s="1"/>
  <c r="CZ155" i="1"/>
  <c r="CZ157" i="1" s="1"/>
  <c r="CY155" i="1"/>
  <c r="CY157" i="1" s="1"/>
  <c r="CX155" i="1"/>
  <c r="CX157" i="1" s="1"/>
  <c r="CV155" i="1"/>
  <c r="CV157" i="1" s="1"/>
  <c r="CU155" i="1"/>
  <c r="CU157" i="1" s="1"/>
  <c r="CT155" i="1"/>
  <c r="CT157" i="1" s="1"/>
  <c r="CS155" i="1"/>
  <c r="CS157" i="1" s="1"/>
  <c r="CQ155" i="1"/>
  <c r="CQ157" i="1" s="1"/>
  <c r="CP155" i="1"/>
  <c r="CP157" i="1" s="1"/>
  <c r="CO155" i="1"/>
  <c r="CO157" i="1" s="1"/>
  <c r="CN155" i="1"/>
  <c r="CN157" i="1" s="1"/>
  <c r="CL155" i="1"/>
  <c r="CL157" i="1" s="1"/>
  <c r="CK155" i="1"/>
  <c r="CK157" i="1" s="1"/>
  <c r="CJ155" i="1"/>
  <c r="CJ157" i="1" s="1"/>
  <c r="CI155" i="1"/>
  <c r="CI157" i="1" s="1"/>
  <c r="CG155" i="1"/>
  <c r="CG157" i="1" s="1"/>
  <c r="CF155" i="1"/>
  <c r="CF157" i="1" s="1"/>
  <c r="CE155" i="1"/>
  <c r="CE157" i="1" s="1"/>
  <c r="CD155" i="1"/>
  <c r="CD157" i="1" s="1"/>
  <c r="CB155" i="1"/>
  <c r="CB157" i="1" s="1"/>
  <c r="CA155" i="1"/>
  <c r="CA157" i="1" s="1"/>
  <c r="BZ155" i="1"/>
  <c r="BZ157" i="1" s="1"/>
  <c r="BY155" i="1"/>
  <c r="BY157" i="1" s="1"/>
  <c r="BX155" i="1"/>
  <c r="BW155" i="1"/>
  <c r="BV155" i="1"/>
  <c r="BU155" i="1"/>
  <c r="BT155" i="1"/>
  <c r="EK151" i="1"/>
  <c r="EK150" i="1"/>
  <c r="EF151" i="1"/>
  <c r="EF152" i="1" s="1"/>
  <c r="EF150" i="1"/>
  <c r="EF147" i="1"/>
  <c r="EF142" i="1"/>
  <c r="EA152" i="1"/>
  <c r="EA151" i="1"/>
  <c r="EA150" i="1"/>
  <c r="EA147" i="1"/>
  <c r="EA142" i="1"/>
  <c r="DV152" i="1"/>
  <c r="DL151" i="1"/>
  <c r="DL150" i="1"/>
  <c r="DL147" i="1"/>
  <c r="DL142" i="1"/>
  <c r="DG147" i="1"/>
  <c r="DB364" i="1"/>
  <c r="CW364" i="1"/>
  <c r="CM150" i="1"/>
  <c r="EO152" i="1"/>
  <c r="EN152" i="1"/>
  <c r="EM152" i="1"/>
  <c r="EJ152" i="1"/>
  <c r="EI152" i="1"/>
  <c r="EH152" i="1"/>
  <c r="EG152" i="1"/>
  <c r="EE152" i="1"/>
  <c r="ED152" i="1"/>
  <c r="EC152" i="1"/>
  <c r="EB152" i="1"/>
  <c r="DZ152" i="1"/>
  <c r="DY152" i="1"/>
  <c r="DX152" i="1"/>
  <c r="DW152" i="1"/>
  <c r="DU152" i="1"/>
  <c r="DT152" i="1"/>
  <c r="DS152" i="1"/>
  <c r="DR152" i="1"/>
  <c r="DP152" i="1"/>
  <c r="DO152" i="1"/>
  <c r="DN152" i="1"/>
  <c r="DM152" i="1"/>
  <c r="DK152" i="1"/>
  <c r="DJ152" i="1"/>
  <c r="DI152" i="1"/>
  <c r="DH152" i="1"/>
  <c r="DF152" i="1"/>
  <c r="DE152" i="1"/>
  <c r="CQ152" i="1"/>
  <c r="CP152" i="1"/>
  <c r="CO152" i="1"/>
  <c r="CN152" i="1"/>
  <c r="CL152" i="1"/>
  <c r="CK152" i="1"/>
  <c r="CJ152" i="1"/>
  <c r="CI152" i="1"/>
  <c r="CG152" i="1"/>
  <c r="CF152" i="1"/>
  <c r="CE152" i="1"/>
  <c r="CD152" i="1"/>
  <c r="CB152" i="1"/>
  <c r="CA152" i="1"/>
  <c r="BZ152" i="1"/>
  <c r="BY152" i="1"/>
  <c r="BW152" i="1"/>
  <c r="BV152" i="1"/>
  <c r="BU152" i="1"/>
  <c r="BT152" i="1"/>
  <c r="BR152" i="1"/>
  <c r="BQ152" i="1"/>
  <c r="BP152" i="1"/>
  <c r="BO152" i="1"/>
  <c r="BM152" i="1"/>
  <c r="BL152" i="1"/>
  <c r="BK152" i="1"/>
  <c r="BJ152" i="1"/>
  <c r="BH152" i="1"/>
  <c r="BG152" i="1"/>
  <c r="BF152" i="1"/>
  <c r="BE152" i="1"/>
  <c r="BC152" i="1"/>
  <c r="BB152" i="1"/>
  <c r="BA152" i="1"/>
  <c r="AZ152" i="1"/>
  <c r="AX152" i="1"/>
  <c r="AW152" i="1"/>
  <c r="AV152" i="1"/>
  <c r="AU152" i="1"/>
  <c r="AS152" i="1"/>
  <c r="AR152" i="1"/>
  <c r="AQ152" i="1"/>
  <c r="DC151" i="1"/>
  <c r="CC151" i="1"/>
  <c r="CH152" i="1" s="1"/>
  <c r="CC150" i="1"/>
  <c r="AN151" i="1"/>
  <c r="AP152" i="1" s="1"/>
  <c r="AM151" i="1"/>
  <c r="AM152" i="1" s="1"/>
  <c r="AL151" i="1"/>
  <c r="AL152" i="1" s="1"/>
  <c r="AK151" i="1"/>
  <c r="AK152" i="1" s="1"/>
  <c r="AI151" i="1"/>
  <c r="AI152" i="1" s="1"/>
  <c r="AD151" i="1"/>
  <c r="AD152" i="1" s="1"/>
  <c r="AC151" i="1"/>
  <c r="AC152" i="1" s="1"/>
  <c r="AB151" i="1"/>
  <c r="AB152" i="1" s="1"/>
  <c r="AA151" i="1"/>
  <c r="AA152" i="1" s="1"/>
  <c r="Y151" i="1"/>
  <c r="Y152" i="1" s="1"/>
  <c r="X151" i="1"/>
  <c r="X152" i="1" s="1"/>
  <c r="W151" i="1"/>
  <c r="W152" i="1" s="1"/>
  <c r="V151" i="1"/>
  <c r="R151" i="1"/>
  <c r="R152" i="1" s="1"/>
  <c r="N151" i="1"/>
  <c r="N152" i="1" s="1"/>
  <c r="M151" i="1"/>
  <c r="M152" i="1" s="1"/>
  <c r="H151" i="1"/>
  <c r="I152" i="1" s="1"/>
  <c r="G151" i="1"/>
  <c r="B151" i="1"/>
  <c r="EQ151" i="1"/>
  <c r="EQ229" i="1" s="1"/>
  <c r="EP151" i="1"/>
  <c r="EQ150" i="1"/>
  <c r="EP150" i="1"/>
  <c r="DV150" i="1"/>
  <c r="DV147" i="1"/>
  <c r="DV142" i="1"/>
  <c r="DV214" i="1" s="1"/>
  <c r="DQ150" i="1"/>
  <c r="DQ147" i="1"/>
  <c r="DQ142" i="1"/>
  <c r="CH150" i="1"/>
  <c r="CH153" i="1" s="1"/>
  <c r="CM153" i="1" s="1"/>
  <c r="CR153" i="1" s="1"/>
  <c r="CW153" i="1" s="1"/>
  <c r="AH150" i="1"/>
  <c r="AH151" i="1" s="1"/>
  <c r="AH152" i="1" s="1"/>
  <c r="AG150" i="1"/>
  <c r="AG151" i="1" s="1"/>
  <c r="AF150" i="1"/>
  <c r="AF151" i="1" s="1"/>
  <c r="AF152" i="1" s="1"/>
  <c r="Q150" i="1"/>
  <c r="L150" i="1"/>
  <c r="I150" i="1"/>
  <c r="D150" i="1"/>
  <c r="C150" i="1"/>
  <c r="U149" i="1"/>
  <c r="P149" i="1"/>
  <c r="K149" i="1"/>
  <c r="DA364" i="1"/>
  <c r="CZ364" i="1"/>
  <c r="CY364" i="1"/>
  <c r="CX364" i="1"/>
  <c r="DB150" i="1"/>
  <c r="CV364" i="1"/>
  <c r="CU364" i="1"/>
  <c r="CT364" i="1"/>
  <c r="CS364" i="1"/>
  <c r="FE141" i="1"/>
  <c r="EZ141" i="1"/>
  <c r="F145" i="1"/>
  <c r="U145" i="1"/>
  <c r="U146" i="1" s="1"/>
  <c r="P145" i="1"/>
  <c r="P146" i="1" s="1"/>
  <c r="K145" i="1"/>
  <c r="K146" i="1" s="1"/>
  <c r="EP142" i="1"/>
  <c r="EK142" i="1"/>
  <c r="CQ142" i="1"/>
  <c r="CQ214" i="1" s="1"/>
  <c r="CP142" i="1"/>
  <c r="CP214" i="1" s="1"/>
  <c r="CO142" i="1"/>
  <c r="CO214" i="1" s="1"/>
  <c r="CN142" i="1"/>
  <c r="CN214" i="1" s="1"/>
  <c r="CL142" i="1"/>
  <c r="CL214" i="1" s="1"/>
  <c r="CK142" i="1"/>
  <c r="CK214" i="1" s="1"/>
  <c r="CJ142" i="1"/>
  <c r="CJ214" i="1" s="1"/>
  <c r="CI142" i="1"/>
  <c r="CI214" i="1" s="1"/>
  <c r="CH142" i="1"/>
  <c r="CG142" i="1"/>
  <c r="CG214" i="1" s="1"/>
  <c r="CF142" i="1"/>
  <c r="CF214" i="1" s="1"/>
  <c r="CD142" i="1"/>
  <c r="CD214" i="1" s="1"/>
  <c r="CC142" i="1"/>
  <c r="CC214" i="1" s="1"/>
  <c r="BZ142" i="1"/>
  <c r="BY142" i="1"/>
  <c r="BS142" i="1"/>
  <c r="BS214" i="1" s="1"/>
  <c r="BH142" i="1"/>
  <c r="BD142" i="1"/>
  <c r="BD214" i="1" s="1"/>
  <c r="AY142" i="1"/>
  <c r="AY214" i="1" s="1"/>
  <c r="AT142" i="1"/>
  <c r="AT214" i="1" s="1"/>
  <c r="AO142" i="1"/>
  <c r="AO214" i="1" s="1"/>
  <c r="AJ142" i="1"/>
  <c r="AJ214" i="1" s="1"/>
  <c r="AE142" i="1"/>
  <c r="AE214" i="1" s="1"/>
  <c r="AD142" i="1"/>
  <c r="Z142" i="1"/>
  <c r="Z214" i="1" s="1"/>
  <c r="T142" i="1"/>
  <c r="O142" i="1"/>
  <c r="J142" i="1"/>
  <c r="E142" i="1"/>
  <c r="ET141" i="1"/>
  <c r="ES141" i="1"/>
  <c r="ER141" i="1"/>
  <c r="EQ141" i="1"/>
  <c r="EO136" i="1"/>
  <c r="EN136" i="1"/>
  <c r="EM136" i="1"/>
  <c r="EL136" i="1"/>
  <c r="EP136" i="1" s="1"/>
  <c r="EK136" i="1"/>
  <c r="EF136" i="1"/>
  <c r="EF135" i="1"/>
  <c r="EF134" i="1"/>
  <c r="EF187" i="1" s="1"/>
  <c r="EF133" i="1"/>
  <c r="EF186" i="1" s="1"/>
  <c r="EF130" i="1"/>
  <c r="EF131" i="1" s="1"/>
  <c r="EF132" i="1" s="1"/>
  <c r="EF129" i="1"/>
  <c r="EF185" i="1" s="1"/>
  <c r="EA136" i="1"/>
  <c r="EA135" i="1"/>
  <c r="EA133" i="1"/>
  <c r="EA186" i="1" s="1"/>
  <c r="EA129" i="1"/>
  <c r="EA185" i="1" s="1"/>
  <c r="DV136" i="1"/>
  <c r="DV135" i="1"/>
  <c r="DV134" i="1"/>
  <c r="DV187" i="1" s="1"/>
  <c r="DV133" i="1"/>
  <c r="DV186" i="1" s="1"/>
  <c r="DV129" i="1"/>
  <c r="DV185" i="1" s="1"/>
  <c r="DQ136" i="1"/>
  <c r="DQ135" i="1"/>
  <c r="DQ133" i="1"/>
  <c r="DQ186" i="1" s="1"/>
  <c r="DQ131" i="1"/>
  <c r="DQ132" i="1" s="1"/>
  <c r="DQ130" i="1"/>
  <c r="DQ129" i="1"/>
  <c r="DQ185" i="1" s="1"/>
  <c r="DL136" i="1"/>
  <c r="DL135" i="1"/>
  <c r="DL133" i="1"/>
  <c r="DL186" i="1" s="1"/>
  <c r="DG136" i="1"/>
  <c r="DB136" i="1"/>
  <c r="CQ136" i="1"/>
  <c r="CP136" i="1"/>
  <c r="CO136" i="1"/>
  <c r="CN136" i="1"/>
  <c r="CR136" i="1" s="1"/>
  <c r="CL136" i="1"/>
  <c r="CK136" i="1"/>
  <c r="CJ136" i="1"/>
  <c r="CI136" i="1"/>
  <c r="CM136" i="1" s="1"/>
  <c r="CG136" i="1"/>
  <c r="CF136" i="1"/>
  <c r="CE136" i="1"/>
  <c r="CD136" i="1"/>
  <c r="CH136" i="1" s="1"/>
  <c r="CC136" i="1"/>
  <c r="CB136" i="1"/>
  <c r="CA136" i="1"/>
  <c r="BY136" i="1"/>
  <c r="BX136" i="1"/>
  <c r="BS135" i="1"/>
  <c r="BS133" i="1"/>
  <c r="BS186" i="1" s="1"/>
  <c r="BP136" i="1"/>
  <c r="BS136" i="1" s="1"/>
  <c r="BN135" i="1"/>
  <c r="BN133" i="1"/>
  <c r="BN186" i="1" s="1"/>
  <c r="BL136" i="1"/>
  <c r="BN136" i="1" s="1"/>
  <c r="BG136" i="1"/>
  <c r="BH136" i="1" s="1"/>
  <c r="BD136" i="1"/>
  <c r="BD135" i="1"/>
  <c r="BD133" i="1"/>
  <c r="BD186" i="1" s="1"/>
  <c r="AY136" i="1"/>
  <c r="AY135" i="1"/>
  <c r="AY133" i="1"/>
  <c r="AY186" i="1" s="1"/>
  <c r="AT136" i="1"/>
  <c r="AT135" i="1"/>
  <c r="AT133" i="1"/>
  <c r="AT186" i="1" s="1"/>
  <c r="AO136" i="1"/>
  <c r="AO135" i="1"/>
  <c r="AO133" i="1"/>
  <c r="AO186" i="1" s="1"/>
  <c r="AJ136" i="1"/>
  <c r="AJ135" i="1"/>
  <c r="AJ133" i="1"/>
  <c r="AJ186" i="1" s="1"/>
  <c r="Z136" i="1"/>
  <c r="Z135" i="1"/>
  <c r="Z133" i="1"/>
  <c r="Z134" i="1" s="1"/>
  <c r="Z137" i="1" s="1"/>
  <c r="T136" i="1"/>
  <c r="T135" i="1"/>
  <c r="T133" i="1"/>
  <c r="T134" i="1" s="1"/>
  <c r="T137" i="1" s="1"/>
  <c r="O136" i="1"/>
  <c r="O135" i="1"/>
  <c r="O133" i="1"/>
  <c r="O134" i="1" s="1"/>
  <c r="O137" i="1" s="1"/>
  <c r="O138" i="1" s="1"/>
  <c r="J136" i="1"/>
  <c r="J135" i="1"/>
  <c r="J133" i="1"/>
  <c r="J134" i="1" s="1"/>
  <c r="J137" i="1" s="1"/>
  <c r="E136" i="1"/>
  <c r="E135" i="1"/>
  <c r="E133" i="1"/>
  <c r="E134" i="1" s="1"/>
  <c r="E137" i="1" s="1"/>
  <c r="EP135" i="1"/>
  <c r="EP134" i="1"/>
  <c r="EP187" i="1" s="1"/>
  <c r="EP133" i="1"/>
  <c r="EP186" i="1" s="1"/>
  <c r="EP130" i="1"/>
  <c r="EP131" i="1" s="1"/>
  <c r="EP132" i="1" s="1"/>
  <c r="EP129" i="1"/>
  <c r="EP185" i="1" s="1"/>
  <c r="EK135" i="1"/>
  <c r="EK133" i="1"/>
  <c r="EK186" i="1" s="1"/>
  <c r="EK130" i="1"/>
  <c r="DG135" i="1"/>
  <c r="DB135" i="1"/>
  <c r="CW135" i="1"/>
  <c r="CR135" i="1"/>
  <c r="CM135" i="1"/>
  <c r="CM133" i="1"/>
  <c r="CM186" i="1" s="1"/>
  <c r="CH135" i="1"/>
  <c r="CH133" i="1"/>
  <c r="CH186" i="1" s="1"/>
  <c r="CC135" i="1"/>
  <c r="CC133" i="1"/>
  <c r="CC186" i="1" s="1"/>
  <c r="BX135" i="1"/>
  <c r="BX133" i="1"/>
  <c r="BX186" i="1" s="1"/>
  <c r="BI135" i="1"/>
  <c r="BI133" i="1"/>
  <c r="BI186" i="1" s="1"/>
  <c r="AE136" i="1"/>
  <c r="AD136" i="1"/>
  <c r="AE135" i="1"/>
  <c r="AD135" i="1"/>
  <c r="EO134" i="1"/>
  <c r="EN134" i="1"/>
  <c r="EM134" i="1"/>
  <c r="EM187" i="1" s="1"/>
  <c r="EL134" i="1"/>
  <c r="EJ134" i="1"/>
  <c r="EJ137" i="1" s="1"/>
  <c r="EI134" i="1"/>
  <c r="EI137" i="1" s="1"/>
  <c r="EI138" i="1" s="1"/>
  <c r="EG134" i="1"/>
  <c r="EE134" i="1"/>
  <c r="EE137" i="1" s="1"/>
  <c r="ED134" i="1"/>
  <c r="ED137" i="1" s="1"/>
  <c r="EC134" i="1"/>
  <c r="EC187" i="1" s="1"/>
  <c r="EB134" i="1"/>
  <c r="DZ134" i="1"/>
  <c r="DZ137" i="1" s="1"/>
  <c r="DY134" i="1"/>
  <c r="DX134" i="1"/>
  <c r="DX187" i="1" s="1"/>
  <c r="DW134" i="1"/>
  <c r="DU134" i="1"/>
  <c r="DT134" i="1"/>
  <c r="DS134" i="1"/>
  <c r="DS187" i="1" s="1"/>
  <c r="DR134" i="1"/>
  <c r="DP134" i="1"/>
  <c r="DP137" i="1" s="1"/>
  <c r="DO134" i="1"/>
  <c r="DO137" i="1" s="1"/>
  <c r="DN134" i="1"/>
  <c r="DN187" i="1" s="1"/>
  <c r="DM134" i="1"/>
  <c r="DK134" i="1"/>
  <c r="DK137" i="1" s="1"/>
  <c r="DJ134" i="1"/>
  <c r="DJ137" i="1" s="1"/>
  <c r="DI134" i="1"/>
  <c r="DI187" i="1" s="1"/>
  <c r="DH134" i="1"/>
  <c r="DF134" i="1"/>
  <c r="DF137" i="1" s="1"/>
  <c r="DE134" i="1"/>
  <c r="DD134" i="1"/>
  <c r="CQ134" i="1"/>
  <c r="CP134" i="1"/>
  <c r="CP137" i="1" s="1"/>
  <c r="CO134" i="1"/>
  <c r="CN134" i="1"/>
  <c r="CN187" i="1" s="1"/>
  <c r="CL134" i="1"/>
  <c r="CK134" i="1"/>
  <c r="CJ134" i="1"/>
  <c r="CI134" i="1"/>
  <c r="CI187" i="1" s="1"/>
  <c r="CG134" i="1"/>
  <c r="CF134" i="1"/>
  <c r="CF137" i="1" s="1"/>
  <c r="CE134" i="1"/>
  <c r="CE137" i="1" s="1"/>
  <c r="CD134" i="1"/>
  <c r="CD187" i="1" s="1"/>
  <c r="CB134" i="1"/>
  <c r="CA134" i="1"/>
  <c r="CA137" i="1" s="1"/>
  <c r="BZ134" i="1"/>
  <c r="BZ137" i="1" s="1"/>
  <c r="BY134" i="1"/>
  <c r="BY187" i="1" s="1"/>
  <c r="BW134" i="1"/>
  <c r="BV134" i="1"/>
  <c r="BV137" i="1" s="1"/>
  <c r="BU134" i="1"/>
  <c r="BT134" i="1"/>
  <c r="BT187" i="1" s="1"/>
  <c r="BR134" i="1"/>
  <c r="BQ134" i="1"/>
  <c r="BP134" i="1"/>
  <c r="BO134" i="1"/>
  <c r="BO187" i="1" s="1"/>
  <c r="BM134" i="1"/>
  <c r="BL134" i="1"/>
  <c r="BL137" i="1" s="1"/>
  <c r="BK134" i="1"/>
  <c r="BK137" i="1" s="1"/>
  <c r="BJ134" i="1"/>
  <c r="BJ187" i="1" s="1"/>
  <c r="BH134" i="1"/>
  <c r="BG134" i="1"/>
  <c r="BG137" i="1" s="1"/>
  <c r="BF134" i="1"/>
  <c r="BF137" i="1" s="1"/>
  <c r="BE134" i="1"/>
  <c r="BE187" i="1" s="1"/>
  <c r="BC134" i="1"/>
  <c r="BB134" i="1"/>
  <c r="BB137" i="1" s="1"/>
  <c r="BA134" i="1"/>
  <c r="AZ134" i="1"/>
  <c r="AZ187" i="1" s="1"/>
  <c r="AX134" i="1"/>
  <c r="AW134" i="1"/>
  <c r="AV134" i="1"/>
  <c r="AU134" i="1"/>
  <c r="AU187" i="1" s="1"/>
  <c r="AS134" i="1"/>
  <c r="AR134" i="1"/>
  <c r="AR137" i="1" s="1"/>
  <c r="AQ134" i="1"/>
  <c r="AQ137" i="1" s="1"/>
  <c r="AP134" i="1"/>
  <c r="AP187" i="1" s="1"/>
  <c r="AN134" i="1"/>
  <c r="AM134" i="1"/>
  <c r="AM137" i="1" s="1"/>
  <c r="AL134" i="1"/>
  <c r="AL137" i="1" s="1"/>
  <c r="AK134" i="1"/>
  <c r="AK187" i="1" s="1"/>
  <c r="AI134" i="1"/>
  <c r="AI137" i="1" s="1"/>
  <c r="AH134" i="1"/>
  <c r="AH137" i="1" s="1"/>
  <c r="AH138" i="1" s="1"/>
  <c r="AG134" i="1"/>
  <c r="AG137" i="1" s="1"/>
  <c r="AF134" i="1"/>
  <c r="AF137" i="1" s="1"/>
  <c r="AF138" i="1" s="1"/>
  <c r="AC134" i="1"/>
  <c r="AC137" i="1" s="1"/>
  <c r="AB134" i="1"/>
  <c r="AB137" i="1" s="1"/>
  <c r="AA134" i="1"/>
  <c r="AA137" i="1" s="1"/>
  <c r="Y134" i="1"/>
  <c r="Y137" i="1" s="1"/>
  <c r="Y138" i="1" s="1"/>
  <c r="X134" i="1"/>
  <c r="X137" i="1" s="1"/>
  <c r="W134" i="1"/>
  <c r="W137" i="1" s="1"/>
  <c r="V134" i="1"/>
  <c r="V137" i="1" s="1"/>
  <c r="U134" i="1"/>
  <c r="U137" i="1" s="1"/>
  <c r="S134" i="1"/>
  <c r="S137" i="1" s="1"/>
  <c r="R134" i="1"/>
  <c r="R137" i="1" s="1"/>
  <c r="Q134" i="1"/>
  <c r="Q137" i="1" s="1"/>
  <c r="P134" i="1"/>
  <c r="P137" i="1" s="1"/>
  <c r="N134" i="1"/>
  <c r="N137" i="1" s="1"/>
  <c r="M134" i="1"/>
  <c r="M137" i="1" s="1"/>
  <c r="L134" i="1"/>
  <c r="L137" i="1" s="1"/>
  <c r="K134" i="1"/>
  <c r="K137" i="1" s="1"/>
  <c r="I134" i="1"/>
  <c r="I137" i="1" s="1"/>
  <c r="H134" i="1"/>
  <c r="H137" i="1" s="1"/>
  <c r="G134" i="1"/>
  <c r="G137" i="1" s="1"/>
  <c r="F134" i="1"/>
  <c r="F137" i="1" s="1"/>
  <c r="D134" i="1"/>
  <c r="D137" i="1" s="1"/>
  <c r="C134" i="1"/>
  <c r="C137" i="1" s="1"/>
  <c r="B134" i="1"/>
  <c r="B137" i="1" s="1"/>
  <c r="EQ136" i="1"/>
  <c r="ER136" i="1" s="1"/>
  <c r="ES136" i="1" s="1"/>
  <c r="ET136" i="1" s="1"/>
  <c r="ER135" i="1"/>
  <c r="ES135" i="1" s="1"/>
  <c r="ET135" i="1" s="1"/>
  <c r="EQ135" i="1"/>
  <c r="EU135" i="1" s="1"/>
  <c r="EZ135" i="1" s="1"/>
  <c r="ER133" i="1"/>
  <c r="ER186" i="1" s="1"/>
  <c r="EQ133" i="1"/>
  <c r="EQ186" i="1" s="1"/>
  <c r="DC134" i="1"/>
  <c r="DA134" i="1"/>
  <c r="CZ134" i="1"/>
  <c r="CY134" i="1"/>
  <c r="CV134" i="1"/>
  <c r="CU186" i="1"/>
  <c r="CS186" i="1"/>
  <c r="CR133" i="1"/>
  <c r="CR186" i="1" s="1"/>
  <c r="AE133" i="1"/>
  <c r="AE134" i="1" s="1"/>
  <c r="AE137" i="1" s="1"/>
  <c r="AE138" i="1" s="1"/>
  <c r="CC130" i="1"/>
  <c r="CC131" i="1" s="1"/>
  <c r="CC129" i="1"/>
  <c r="CC185" i="1" s="1"/>
  <c r="EO130" i="1"/>
  <c r="EO131" i="1" s="1"/>
  <c r="EN130" i="1"/>
  <c r="EN131" i="1" s="1"/>
  <c r="EM130" i="1"/>
  <c r="EM131" i="1" s="1"/>
  <c r="EL130" i="1"/>
  <c r="EL131" i="1" s="1"/>
  <c r="EJ130" i="1"/>
  <c r="EJ131" i="1" s="1"/>
  <c r="EI130" i="1"/>
  <c r="EI131" i="1" s="1"/>
  <c r="EH130" i="1"/>
  <c r="EH131" i="1" s="1"/>
  <c r="EG130" i="1"/>
  <c r="EG131" i="1" s="1"/>
  <c r="EE130" i="1"/>
  <c r="EE131" i="1" s="1"/>
  <c r="ED130" i="1"/>
  <c r="ED131" i="1" s="1"/>
  <c r="EC130" i="1"/>
  <c r="EC131" i="1" s="1"/>
  <c r="EB130" i="1"/>
  <c r="EB131" i="1" s="1"/>
  <c r="DZ130" i="1"/>
  <c r="DZ131" i="1" s="1"/>
  <c r="DU130" i="1"/>
  <c r="DU131" i="1" s="1"/>
  <c r="DT130" i="1"/>
  <c r="DT131" i="1" s="1"/>
  <c r="DS130" i="1"/>
  <c r="DS131" i="1" s="1"/>
  <c r="DR130" i="1"/>
  <c r="DR131" i="1" s="1"/>
  <c r="DM131" i="1"/>
  <c r="DI131" i="1"/>
  <c r="DE131" i="1"/>
  <c r="CO131" i="1"/>
  <c r="CK131" i="1"/>
  <c r="DP130" i="1"/>
  <c r="DP131" i="1" s="1"/>
  <c r="DO130" i="1"/>
  <c r="DO131" i="1" s="1"/>
  <c r="DN130" i="1"/>
  <c r="DN131" i="1" s="1"/>
  <c r="DM130" i="1"/>
  <c r="DL130" i="1"/>
  <c r="DL131" i="1" s="1"/>
  <c r="DK130" i="1"/>
  <c r="DK131" i="1" s="1"/>
  <c r="DJ130" i="1"/>
  <c r="DJ131" i="1" s="1"/>
  <c r="DI130" i="1"/>
  <c r="DH130" i="1"/>
  <c r="DH131" i="1" s="1"/>
  <c r="DF130" i="1"/>
  <c r="DF131" i="1" s="1"/>
  <c r="DE130" i="1"/>
  <c r="DD130" i="1"/>
  <c r="DD131" i="1" s="1"/>
  <c r="CZ130" i="1"/>
  <c r="CZ131" i="1" s="1"/>
  <c r="CY130" i="1"/>
  <c r="CV130" i="1"/>
  <c r="CV131" i="1" s="1"/>
  <c r="CU130" i="1"/>
  <c r="CT130" i="1"/>
  <c r="CT131" i="1" s="1"/>
  <c r="CS130" i="1"/>
  <c r="CS131" i="1" s="1"/>
  <c r="CR130" i="1"/>
  <c r="CR131" i="1" s="1"/>
  <c r="CQ130" i="1"/>
  <c r="CQ131" i="1" s="1"/>
  <c r="CP130" i="1"/>
  <c r="CP131" i="1" s="1"/>
  <c r="CO130" i="1"/>
  <c r="CN130" i="1"/>
  <c r="CN131" i="1" s="1"/>
  <c r="CM130" i="1"/>
  <c r="CM131" i="1" s="1"/>
  <c r="CL130" i="1"/>
  <c r="CL131" i="1" s="1"/>
  <c r="CK130" i="1"/>
  <c r="CJ130" i="1"/>
  <c r="CJ131" i="1" s="1"/>
  <c r="CI130" i="1"/>
  <c r="CI131" i="1" s="1"/>
  <c r="CH130" i="1"/>
  <c r="CH131" i="1" s="1"/>
  <c r="ES129" i="1"/>
  <c r="ES185" i="1" s="1"/>
  <c r="ER129" i="1"/>
  <c r="ER185" i="1" s="1"/>
  <c r="EQ129" i="1"/>
  <c r="EQ185" i="1" s="1"/>
  <c r="EH134" i="1"/>
  <c r="DL129" i="1"/>
  <c r="DL185" i="1" s="1"/>
  <c r="DG129" i="1"/>
  <c r="DA185" i="1"/>
  <c r="CS185" i="1"/>
  <c r="CR129" i="1"/>
  <c r="CR185" i="1" s="1"/>
  <c r="CM129" i="1"/>
  <c r="CM185" i="1" s="1"/>
  <c r="CH129" i="1"/>
  <c r="CH185" i="1" s="1"/>
  <c r="BX129" i="1"/>
  <c r="BX185" i="1" s="1"/>
  <c r="BS129" i="1"/>
  <c r="BS185" i="1" s="1"/>
  <c r="BN129" i="1"/>
  <c r="BN185" i="1" s="1"/>
  <c r="BI129" i="1"/>
  <c r="BI185" i="1" s="1"/>
  <c r="BD129" i="1"/>
  <c r="BD185" i="1" s="1"/>
  <c r="AY129" i="1"/>
  <c r="AY185" i="1" s="1"/>
  <c r="AT129" i="1"/>
  <c r="AT185" i="1" s="1"/>
  <c r="AO129" i="1"/>
  <c r="AO185" i="1" s="1"/>
  <c r="AJ129" i="1"/>
  <c r="AJ185" i="1" s="1"/>
  <c r="AE129" i="1"/>
  <c r="AD129" i="1"/>
  <c r="AD134" i="1" s="1"/>
  <c r="AD137" i="1" s="1"/>
  <c r="AD138" i="1" s="1"/>
  <c r="Z129" i="1"/>
  <c r="T129" i="1"/>
  <c r="O129" i="1"/>
  <c r="J129" i="1"/>
  <c r="E129" i="1"/>
  <c r="EP122" i="1"/>
  <c r="EP120" i="1"/>
  <c r="EP119" i="1"/>
  <c r="EK122" i="1"/>
  <c r="EK120" i="1"/>
  <c r="EK119" i="1"/>
  <c r="EF122" i="1"/>
  <c r="EF120" i="1"/>
  <c r="EF119" i="1"/>
  <c r="EA122" i="1"/>
  <c r="EA120" i="1"/>
  <c r="EA119" i="1"/>
  <c r="DV122" i="1"/>
  <c r="DV120" i="1"/>
  <c r="DV119" i="1"/>
  <c r="DQ122" i="1"/>
  <c r="DQ120" i="1"/>
  <c r="DQ119" i="1"/>
  <c r="DL122" i="1"/>
  <c r="DL120" i="1"/>
  <c r="DL119" i="1"/>
  <c r="DG122" i="1"/>
  <c r="DG120" i="1"/>
  <c r="DG119" i="1"/>
  <c r="EQ120" i="1"/>
  <c r="ER120" i="1" s="1"/>
  <c r="ES120" i="1" s="1"/>
  <c r="ET120" i="1" s="1"/>
  <c r="EU120" i="1" s="1"/>
  <c r="EZ120" i="1" s="1"/>
  <c r="FE120" i="1" s="1"/>
  <c r="ER119" i="1"/>
  <c r="ES119" i="1" s="1"/>
  <c r="ET119" i="1" s="1"/>
  <c r="EU119" i="1" s="1"/>
  <c r="EZ119" i="1" s="1"/>
  <c r="FE119" i="1" s="1"/>
  <c r="EQ119" i="1"/>
  <c r="DE106" i="1"/>
  <c r="DE104" i="1"/>
  <c r="DE102" i="1"/>
  <c r="DE103" i="1" s="1"/>
  <c r="DD102" i="1"/>
  <c r="DD103" i="1" s="1"/>
  <c r="DA102" i="1"/>
  <c r="CZ102" i="1"/>
  <c r="CY102" i="1"/>
  <c r="DE101" i="1"/>
  <c r="DA101" i="1"/>
  <c r="CZ101" i="1"/>
  <c r="DE100" i="1"/>
  <c r="DD100" i="1"/>
  <c r="CR176" i="1"/>
  <c r="CM176" i="1"/>
  <c r="CH176" i="1"/>
  <c r="CF101" i="1"/>
  <c r="CC176" i="1"/>
  <c r="BX176" i="1"/>
  <c r="BW104" i="1"/>
  <c r="BV104" i="1"/>
  <c r="BT104" i="1"/>
  <c r="BS176" i="1"/>
  <c r="BP104" i="1"/>
  <c r="BO104" i="1"/>
  <c r="BN176" i="1"/>
  <c r="BL104" i="1"/>
  <c r="BK104" i="1"/>
  <c r="BJ104" i="1"/>
  <c r="BI176" i="1"/>
  <c r="BH104" i="1"/>
  <c r="BG104" i="1"/>
  <c r="BF104" i="1"/>
  <c r="BD176" i="1"/>
  <c r="BC104" i="1"/>
  <c r="BB104" i="1"/>
  <c r="AZ104" i="1"/>
  <c r="AY176" i="1"/>
  <c r="AV104" i="1"/>
  <c r="AU104" i="1"/>
  <c r="AT176" i="1"/>
  <c r="AR104" i="1"/>
  <c r="AQ104" i="1"/>
  <c r="AQ105" i="1" s="1"/>
  <c r="AP104" i="1"/>
  <c r="AO176" i="1"/>
  <c r="AN104" i="1"/>
  <c r="AM104" i="1"/>
  <c r="AL104" i="1"/>
  <c r="AJ176" i="1"/>
  <c r="AI102" i="1"/>
  <c r="AI103" i="1" s="1"/>
  <c r="AH102" i="1"/>
  <c r="AG104" i="1"/>
  <c r="AD102" i="1"/>
  <c r="AC104" i="1"/>
  <c r="AB104" i="1"/>
  <c r="AA102" i="1"/>
  <c r="Y104" i="1"/>
  <c r="X104" i="1"/>
  <c r="W102" i="1"/>
  <c r="V101" i="1"/>
  <c r="U104" i="1"/>
  <c r="S102" i="1"/>
  <c r="R102" i="1"/>
  <c r="Q104" i="1"/>
  <c r="P104" i="1"/>
  <c r="N102" i="1"/>
  <c r="M104" i="1"/>
  <c r="K102" i="1"/>
  <c r="I104" i="1"/>
  <c r="H104" i="1"/>
  <c r="G102" i="1"/>
  <c r="F102" i="1"/>
  <c r="D104" i="1"/>
  <c r="C102" i="1"/>
  <c r="B102" i="1"/>
  <c r="EK98" i="1"/>
  <c r="EF98" i="1"/>
  <c r="EF97" i="1"/>
  <c r="EA98" i="1"/>
  <c r="EA97" i="1"/>
  <c r="DV98" i="1"/>
  <c r="DV97" i="1"/>
  <c r="DQ98" i="1"/>
  <c r="DQ97" i="1"/>
  <c r="DL98" i="1"/>
  <c r="DL97" i="1"/>
  <c r="DG98" i="1"/>
  <c r="DG97" i="1"/>
  <c r="DB98" i="1"/>
  <c r="CW98" i="1"/>
  <c r="CR98" i="1"/>
  <c r="CM98" i="1"/>
  <c r="CH98" i="1"/>
  <c r="CC98" i="1"/>
  <c r="BX98" i="1"/>
  <c r="BS98" i="1"/>
  <c r="BN98" i="1"/>
  <c r="BI98" i="1"/>
  <c r="BD98" i="1"/>
  <c r="AY98" i="1"/>
  <c r="AT98" i="1"/>
  <c r="AO98" i="1"/>
  <c r="AJ98" i="1"/>
  <c r="AD98" i="1"/>
  <c r="AE98" i="1" s="1"/>
  <c r="Z98" i="1"/>
  <c r="T98" i="1"/>
  <c r="O98" i="1"/>
  <c r="J98" i="1"/>
  <c r="E98" i="1"/>
  <c r="EP98" i="1"/>
  <c r="EO98" i="1"/>
  <c r="EO97" i="1"/>
  <c r="EN97" i="1"/>
  <c r="EM97" i="1"/>
  <c r="EL97" i="1"/>
  <c r="EP97" i="1" s="1"/>
  <c r="EH97" i="1"/>
  <c r="EK97" i="1" s="1"/>
  <c r="EJ93" i="1"/>
  <c r="DU93" i="1"/>
  <c r="DP93" i="1"/>
  <c r="EJ92" i="1"/>
  <c r="EB92" i="1"/>
  <c r="DX92" i="1"/>
  <c r="DT92" i="1"/>
  <c r="DP92" i="1"/>
  <c r="EO91" i="1"/>
  <c r="EN91" i="1"/>
  <c r="EN94" i="1" s="1"/>
  <c r="ES94" i="1" s="1"/>
  <c r="EM91" i="1"/>
  <c r="EM94" i="1" s="1"/>
  <c r="ER94" i="1" s="1"/>
  <c r="EL91" i="1"/>
  <c r="EL94" i="1" s="1"/>
  <c r="EQ94" i="1" s="1"/>
  <c r="EJ91" i="1"/>
  <c r="EJ94" i="1" s="1"/>
  <c r="EI91" i="1"/>
  <c r="EI94" i="1" s="1"/>
  <c r="EH91" i="1"/>
  <c r="EH93" i="1" s="1"/>
  <c r="EG91" i="1"/>
  <c r="EG99" i="1" s="1"/>
  <c r="EE91" i="1"/>
  <c r="EE94" i="1" s="1"/>
  <c r="ED91" i="1"/>
  <c r="ED92" i="1" s="1"/>
  <c r="EC91" i="1"/>
  <c r="EC99" i="1" s="1"/>
  <c r="EB91" i="1"/>
  <c r="EB94" i="1" s="1"/>
  <c r="DZ91" i="1"/>
  <c r="DZ92" i="1" s="1"/>
  <c r="DY91" i="1"/>
  <c r="DY99" i="1" s="1"/>
  <c r="DX91" i="1"/>
  <c r="DX94" i="1" s="1"/>
  <c r="DW91" i="1"/>
  <c r="DW94" i="1" s="1"/>
  <c r="DU91" i="1"/>
  <c r="DU99" i="1" s="1"/>
  <c r="DT91" i="1"/>
  <c r="DT94" i="1" s="1"/>
  <c r="DS91" i="1"/>
  <c r="DS93" i="1" s="1"/>
  <c r="DR91" i="1"/>
  <c r="DR92" i="1" s="1"/>
  <c r="DP91" i="1"/>
  <c r="DP94" i="1" s="1"/>
  <c r="DO91" i="1"/>
  <c r="DO94" i="1" s="1"/>
  <c r="DN91" i="1"/>
  <c r="DN93" i="1" s="1"/>
  <c r="DM91" i="1"/>
  <c r="DM99" i="1" s="1"/>
  <c r="DK91" i="1"/>
  <c r="DK94" i="1" s="1"/>
  <c r="DJ91" i="1"/>
  <c r="DJ92" i="1" s="1"/>
  <c r="DI91" i="1"/>
  <c r="DI99" i="1" s="1"/>
  <c r="DH91" i="1"/>
  <c r="DH94" i="1" s="1"/>
  <c r="DF91" i="1"/>
  <c r="DE91" i="1"/>
  <c r="CG91" i="1"/>
  <c r="BV91" i="1"/>
  <c r="BV92" i="1" s="1"/>
  <c r="BR91" i="1"/>
  <c r="BQ91" i="1"/>
  <c r="BM91" i="1"/>
  <c r="BM93" i="1" s="1"/>
  <c r="BL91" i="1"/>
  <c r="BL94" i="1" s="1"/>
  <c r="BJ91" i="1"/>
  <c r="BF91" i="1"/>
  <c r="BE91" i="1"/>
  <c r="BB91" i="1"/>
  <c r="BA91" i="1"/>
  <c r="BA93" i="1" s="1"/>
  <c r="AZ91" i="1"/>
  <c r="AZ94" i="1" s="1"/>
  <c r="AX91" i="1"/>
  <c r="AW91" i="1"/>
  <c r="AV91" i="1"/>
  <c r="AV94" i="1" s="1"/>
  <c r="AS91" i="1"/>
  <c r="AR91" i="1"/>
  <c r="AR94" i="1" s="1"/>
  <c r="AQ91" i="1"/>
  <c r="AP91" i="1"/>
  <c r="AN91" i="1"/>
  <c r="AN94" i="1" s="1"/>
  <c r="AL91" i="1"/>
  <c r="AL93" i="1" s="1"/>
  <c r="AK91" i="1"/>
  <c r="AH91" i="1"/>
  <c r="AG91" i="1"/>
  <c r="AF91" i="1"/>
  <c r="AF94" i="1" s="1"/>
  <c r="AC91" i="1"/>
  <c r="AB91" i="1"/>
  <c r="AB94" i="1" s="1"/>
  <c r="AA91" i="1"/>
  <c r="AA94" i="1" s="1"/>
  <c r="Y91" i="1"/>
  <c r="X91" i="1"/>
  <c r="X94" i="1" s="1"/>
  <c r="V91" i="1"/>
  <c r="U91" i="1"/>
  <c r="R91" i="1"/>
  <c r="Q91" i="1"/>
  <c r="P91" i="1"/>
  <c r="P94" i="1" s="1"/>
  <c r="N91" i="1"/>
  <c r="M91" i="1"/>
  <c r="L91" i="1"/>
  <c r="L94" i="1" s="1"/>
  <c r="I91" i="1"/>
  <c r="H91" i="1"/>
  <c r="H94" i="1" s="1"/>
  <c r="G91" i="1"/>
  <c r="G94" i="1" s="1"/>
  <c r="F91" i="1"/>
  <c r="F94" i="1" s="1"/>
  <c r="D91" i="1"/>
  <c r="D94" i="1" s="1"/>
  <c r="B91" i="1"/>
  <c r="B94" i="1" s="1"/>
  <c r="EJ90" i="1"/>
  <c r="EB90" i="1"/>
  <c r="DX90" i="1"/>
  <c r="DT90" i="1"/>
  <c r="DP90" i="1"/>
  <c r="DD90" i="1"/>
  <c r="CN90" i="1"/>
  <c r="CJ90" i="1"/>
  <c r="CB90" i="1"/>
  <c r="BT90" i="1"/>
  <c r="BP90" i="1"/>
  <c r="BL90" i="1"/>
  <c r="BH90" i="1"/>
  <c r="AZ90" i="1"/>
  <c r="AV90" i="1"/>
  <c r="AR90" i="1"/>
  <c r="AN90" i="1"/>
  <c r="AF90" i="1"/>
  <c r="AB90" i="1"/>
  <c r="X90" i="1"/>
  <c r="P90" i="1"/>
  <c r="L90" i="1"/>
  <c r="H90" i="1"/>
  <c r="ES89" i="1"/>
  <c r="EN89" i="1"/>
  <c r="EM89" i="1"/>
  <c r="ER89" i="1" s="1"/>
  <c r="EL89" i="1"/>
  <c r="EQ89" i="1" s="1"/>
  <c r="EJ89" i="1"/>
  <c r="EI89" i="1"/>
  <c r="EI90" i="1" s="1"/>
  <c r="EH89" i="1"/>
  <c r="EH90" i="1" s="1"/>
  <c r="EG89" i="1"/>
  <c r="EG90" i="1" s="1"/>
  <c r="EE89" i="1"/>
  <c r="EE90" i="1" s="1"/>
  <c r="ED89" i="1"/>
  <c r="ED90" i="1" s="1"/>
  <c r="EC89" i="1"/>
  <c r="EC90" i="1" s="1"/>
  <c r="EB89" i="1"/>
  <c r="DZ89" i="1"/>
  <c r="DZ90" i="1" s="1"/>
  <c r="DY89" i="1"/>
  <c r="DY90" i="1" s="1"/>
  <c r="DX89" i="1"/>
  <c r="DW89" i="1"/>
  <c r="DW90" i="1" s="1"/>
  <c r="DU89" i="1"/>
  <c r="DU90" i="1" s="1"/>
  <c r="DT89" i="1"/>
  <c r="DS89" i="1"/>
  <c r="DS90" i="1" s="1"/>
  <c r="DR89" i="1"/>
  <c r="DR90" i="1" s="1"/>
  <c r="DP89" i="1"/>
  <c r="DO89" i="1"/>
  <c r="DO90" i="1" s="1"/>
  <c r="DN89" i="1"/>
  <c r="DN90" i="1" s="1"/>
  <c r="DM89" i="1"/>
  <c r="DM90" i="1" s="1"/>
  <c r="DK89" i="1"/>
  <c r="DK90" i="1" s="1"/>
  <c r="DJ89" i="1"/>
  <c r="DJ90" i="1" s="1"/>
  <c r="DI89" i="1"/>
  <c r="DI90" i="1" s="1"/>
  <c r="DH89" i="1"/>
  <c r="DF89" i="1"/>
  <c r="DF90" i="1" s="1"/>
  <c r="DE89" i="1"/>
  <c r="DE90" i="1" s="1"/>
  <c r="DD89" i="1"/>
  <c r="DA89" i="1"/>
  <c r="CZ89" i="1"/>
  <c r="CY89" i="1"/>
  <c r="CQ89" i="1"/>
  <c r="CQ90" i="1" s="1"/>
  <c r="CP89" i="1"/>
  <c r="CP90" i="1" s="1"/>
  <c r="CO89" i="1"/>
  <c r="CO90" i="1" s="1"/>
  <c r="CN89" i="1"/>
  <c r="CL89" i="1"/>
  <c r="CL90" i="1" s="1"/>
  <c r="CK89" i="1"/>
  <c r="CK90" i="1" s="1"/>
  <c r="CJ89" i="1"/>
  <c r="CI89" i="1"/>
  <c r="CI90" i="1" s="1"/>
  <c r="CG89" i="1"/>
  <c r="CG90" i="1" s="1"/>
  <c r="CF89" i="1"/>
  <c r="CE89" i="1"/>
  <c r="CE90" i="1" s="1"/>
  <c r="CD89" i="1"/>
  <c r="CB89" i="1"/>
  <c r="BZ89" i="1"/>
  <c r="BZ90" i="1" s="1"/>
  <c r="BW89" i="1"/>
  <c r="BW90" i="1" s="1"/>
  <c r="BV89" i="1"/>
  <c r="BV90" i="1" s="1"/>
  <c r="BU89" i="1"/>
  <c r="BU90" i="1" s="1"/>
  <c r="BT89" i="1"/>
  <c r="BR89" i="1"/>
  <c r="BR90" i="1" s="1"/>
  <c r="BQ89" i="1"/>
  <c r="BQ90" i="1" s="1"/>
  <c r="BP89" i="1"/>
  <c r="BO89" i="1"/>
  <c r="BO90" i="1" s="1"/>
  <c r="BM89" i="1"/>
  <c r="BM90" i="1" s="1"/>
  <c r="BL89" i="1"/>
  <c r="BK89" i="1"/>
  <c r="BK90" i="1" s="1"/>
  <c r="BJ89" i="1"/>
  <c r="BJ90" i="1" s="1"/>
  <c r="BH89" i="1"/>
  <c r="BG89" i="1"/>
  <c r="BG90" i="1" s="1"/>
  <c r="BF89" i="1"/>
  <c r="BF90" i="1" s="1"/>
  <c r="BE89" i="1"/>
  <c r="BE90" i="1" s="1"/>
  <c r="BC89" i="1"/>
  <c r="BC90" i="1" s="1"/>
  <c r="BB89" i="1"/>
  <c r="BB90" i="1" s="1"/>
  <c r="BA89" i="1"/>
  <c r="BA90" i="1" s="1"/>
  <c r="AZ89" i="1"/>
  <c r="AX89" i="1"/>
  <c r="AX90" i="1" s="1"/>
  <c r="AW89" i="1"/>
  <c r="AW90" i="1" s="1"/>
  <c r="AV89" i="1"/>
  <c r="AU89" i="1"/>
  <c r="AU90" i="1" s="1"/>
  <c r="AS89" i="1"/>
  <c r="AS90" i="1" s="1"/>
  <c r="AR89" i="1"/>
  <c r="AQ89" i="1"/>
  <c r="AQ90" i="1" s="1"/>
  <c r="AP89" i="1"/>
  <c r="AP90" i="1" s="1"/>
  <c r="AN89" i="1"/>
  <c r="AM89" i="1"/>
  <c r="AM90" i="1" s="1"/>
  <c r="AL89" i="1"/>
  <c r="AL90" i="1" s="1"/>
  <c r="AK89" i="1"/>
  <c r="AK90" i="1" s="1"/>
  <c r="AI89" i="1"/>
  <c r="AI90" i="1" s="1"/>
  <c r="AH89" i="1"/>
  <c r="AH90" i="1" s="1"/>
  <c r="AG89" i="1"/>
  <c r="AG90" i="1" s="1"/>
  <c r="AF89" i="1"/>
  <c r="AD89" i="1"/>
  <c r="AD90" i="1" s="1"/>
  <c r="AC89" i="1"/>
  <c r="AC90" i="1" s="1"/>
  <c r="AB89" i="1"/>
  <c r="AA89" i="1"/>
  <c r="AA90" i="1" s="1"/>
  <c r="Y89" i="1"/>
  <c r="X89" i="1"/>
  <c r="W89" i="1"/>
  <c r="W90" i="1" s="1"/>
  <c r="V89" i="1"/>
  <c r="V90" i="1" s="1"/>
  <c r="U89" i="1"/>
  <c r="U90" i="1" s="1"/>
  <c r="S89" i="1"/>
  <c r="S90" i="1" s="1"/>
  <c r="R89" i="1"/>
  <c r="R90" i="1" s="1"/>
  <c r="Q89" i="1"/>
  <c r="Q90" i="1" s="1"/>
  <c r="P89" i="1"/>
  <c r="N89" i="1"/>
  <c r="N90" i="1" s="1"/>
  <c r="M89" i="1"/>
  <c r="M90" i="1" s="1"/>
  <c r="L89" i="1"/>
  <c r="K89" i="1"/>
  <c r="K90" i="1" s="1"/>
  <c r="I89" i="1"/>
  <c r="I90" i="1" s="1"/>
  <c r="H89" i="1"/>
  <c r="G89" i="1"/>
  <c r="G90" i="1" s="1"/>
  <c r="F89" i="1"/>
  <c r="D89" i="1"/>
  <c r="C89" i="1"/>
  <c r="B89" i="1"/>
  <c r="FH89" i="1"/>
  <c r="EN88" i="1"/>
  <c r="EM88" i="1"/>
  <c r="EJ88" i="1"/>
  <c r="EI88" i="1"/>
  <c r="EH88" i="1"/>
  <c r="EG88" i="1"/>
  <c r="EE88" i="1"/>
  <c r="ED88" i="1"/>
  <c r="EC88" i="1"/>
  <c r="EB88" i="1"/>
  <c r="DZ88" i="1"/>
  <c r="DY88" i="1"/>
  <c r="DX88" i="1"/>
  <c r="DW88" i="1"/>
  <c r="DU88" i="1"/>
  <c r="DT88" i="1"/>
  <c r="DS88" i="1"/>
  <c r="DR88" i="1"/>
  <c r="DP88" i="1"/>
  <c r="DO88" i="1"/>
  <c r="DN88" i="1"/>
  <c r="DM88" i="1"/>
  <c r="DK88" i="1"/>
  <c r="DJ88" i="1"/>
  <c r="DI88" i="1"/>
  <c r="DH88" i="1"/>
  <c r="DF88" i="1"/>
  <c r="DE88" i="1"/>
  <c r="DA88" i="1"/>
  <c r="CZ88" i="1"/>
  <c r="CQ88" i="1"/>
  <c r="CP88" i="1"/>
  <c r="CO88" i="1"/>
  <c r="CN88" i="1"/>
  <c r="CL88" i="1"/>
  <c r="CK88" i="1"/>
  <c r="CJ88" i="1"/>
  <c r="CI88" i="1"/>
  <c r="CG88" i="1"/>
  <c r="CF88" i="1"/>
  <c r="CE88" i="1"/>
  <c r="CD88" i="1"/>
  <c r="CB88" i="1"/>
  <c r="BW88" i="1"/>
  <c r="BV88" i="1"/>
  <c r="BU88" i="1"/>
  <c r="BT88" i="1"/>
  <c r="BR88" i="1"/>
  <c r="BQ88" i="1"/>
  <c r="BP88" i="1"/>
  <c r="BO88" i="1"/>
  <c r="BM88" i="1"/>
  <c r="BL88" i="1"/>
  <c r="BK88" i="1"/>
  <c r="BJ88" i="1"/>
  <c r="BH88" i="1"/>
  <c r="BG88" i="1"/>
  <c r="BF88" i="1"/>
  <c r="BE88" i="1"/>
  <c r="BC88" i="1"/>
  <c r="BB88" i="1"/>
  <c r="BA88" i="1"/>
  <c r="AZ88" i="1"/>
  <c r="AX88" i="1"/>
  <c r="AW88" i="1"/>
  <c r="AV88" i="1"/>
  <c r="AU88" i="1"/>
  <c r="AS88" i="1"/>
  <c r="AR88" i="1"/>
  <c r="AQ88" i="1"/>
  <c r="AP88" i="1"/>
  <c r="AN88" i="1"/>
  <c r="AM88" i="1"/>
  <c r="AL88" i="1"/>
  <c r="AK88" i="1"/>
  <c r="AI88" i="1"/>
  <c r="AH88" i="1"/>
  <c r="AG88" i="1"/>
  <c r="AD88" i="1"/>
  <c r="AC88" i="1"/>
  <c r="AB88" i="1"/>
  <c r="AA88" i="1"/>
  <c r="Y88" i="1"/>
  <c r="X88" i="1"/>
  <c r="W88" i="1"/>
  <c r="T88" i="1"/>
  <c r="S88" i="1"/>
  <c r="R88" i="1"/>
  <c r="N88" i="1"/>
  <c r="M88" i="1"/>
  <c r="J88" i="1"/>
  <c r="I88" i="1"/>
  <c r="H88" i="1"/>
  <c r="E88" i="1"/>
  <c r="D88" i="1"/>
  <c r="C88" i="1"/>
  <c r="EJ87" i="1"/>
  <c r="EI87" i="1"/>
  <c r="EH87" i="1"/>
  <c r="EG87" i="1"/>
  <c r="EF87" i="1"/>
  <c r="EE87" i="1"/>
  <c r="ED87" i="1"/>
  <c r="EC87" i="1"/>
  <c r="EB87" i="1"/>
  <c r="DZ87" i="1"/>
  <c r="DY87" i="1"/>
  <c r="DX87" i="1"/>
  <c r="DW87" i="1"/>
  <c r="DU87" i="1"/>
  <c r="DT87" i="1"/>
  <c r="DS87" i="1"/>
  <c r="DR87" i="1"/>
  <c r="DP87" i="1"/>
  <c r="DO87" i="1"/>
  <c r="DN87" i="1"/>
  <c r="DM87" i="1"/>
  <c r="DK87" i="1"/>
  <c r="DJ87" i="1"/>
  <c r="DI87" i="1"/>
  <c r="DH87" i="1"/>
  <c r="DF87" i="1"/>
  <c r="DE87" i="1"/>
  <c r="DD87" i="1"/>
  <c r="CV87" i="1"/>
  <c r="CQ87" i="1"/>
  <c r="CP87" i="1"/>
  <c r="CO87" i="1"/>
  <c r="CN87" i="1"/>
  <c r="CL87" i="1"/>
  <c r="CK87" i="1"/>
  <c r="CJ87" i="1"/>
  <c r="CI87" i="1"/>
  <c r="CG87" i="1"/>
  <c r="CF87" i="1"/>
  <c r="CE87" i="1"/>
  <c r="CB87" i="1"/>
  <c r="BZ87" i="1"/>
  <c r="BX87" i="1"/>
  <c r="BW87" i="1"/>
  <c r="BV87" i="1"/>
  <c r="BU87" i="1"/>
  <c r="BT87" i="1"/>
  <c r="BR87" i="1"/>
  <c r="BQ87" i="1"/>
  <c r="BP87" i="1"/>
  <c r="BO87" i="1"/>
  <c r="BM87" i="1"/>
  <c r="BL87" i="1"/>
  <c r="BK87" i="1"/>
  <c r="BJ87" i="1"/>
  <c r="BH87" i="1"/>
  <c r="BG87" i="1"/>
  <c r="BF87" i="1"/>
  <c r="BE87" i="1"/>
  <c r="BC87" i="1"/>
  <c r="BB87" i="1"/>
  <c r="BA87" i="1"/>
  <c r="AZ87" i="1"/>
  <c r="AX87" i="1"/>
  <c r="AW87" i="1"/>
  <c r="AV87" i="1"/>
  <c r="AU87" i="1"/>
  <c r="AS87" i="1"/>
  <c r="AR87" i="1"/>
  <c r="AQ87" i="1"/>
  <c r="AP87" i="1"/>
  <c r="AN87" i="1"/>
  <c r="AM87" i="1"/>
  <c r="AL87" i="1"/>
  <c r="AK87" i="1"/>
  <c r="AH87" i="1"/>
  <c r="AG87" i="1"/>
  <c r="AF87" i="1"/>
  <c r="AC87" i="1"/>
  <c r="AB87" i="1"/>
  <c r="AA87" i="1"/>
  <c r="Y87" i="1"/>
  <c r="X87" i="1"/>
  <c r="W87" i="1"/>
  <c r="V87" i="1"/>
  <c r="U87" i="1"/>
  <c r="S87" i="1"/>
  <c r="R87" i="1"/>
  <c r="Q87" i="1"/>
  <c r="P87" i="1"/>
  <c r="N87" i="1"/>
  <c r="M87" i="1"/>
  <c r="L87" i="1"/>
  <c r="K87" i="1"/>
  <c r="I87" i="1"/>
  <c r="H87" i="1"/>
  <c r="G87" i="1"/>
  <c r="EP86" i="1"/>
  <c r="EO86" i="1"/>
  <c r="EO89" i="1" s="1"/>
  <c r="ET89" i="1" s="1"/>
  <c r="EK86" i="1"/>
  <c r="EF86" i="1"/>
  <c r="EA86" i="1"/>
  <c r="DV86" i="1"/>
  <c r="DV87" i="1" s="1"/>
  <c r="DQ86" i="1"/>
  <c r="DL86" i="1"/>
  <c r="DG86" i="1"/>
  <c r="DL87" i="1" s="1"/>
  <c r="DD88" i="1"/>
  <c r="DB86" i="1"/>
  <c r="CY88" i="1"/>
  <c r="CT88" i="1"/>
  <c r="CR86" i="1"/>
  <c r="CM86" i="1"/>
  <c r="CR87" i="1" s="1"/>
  <c r="CH86" i="1"/>
  <c r="CA86" i="1"/>
  <c r="BY86" i="1"/>
  <c r="BX86" i="1"/>
  <c r="BS86" i="1"/>
  <c r="BN86" i="1"/>
  <c r="BI86" i="1"/>
  <c r="BD86" i="1"/>
  <c r="AY86" i="1"/>
  <c r="AT86" i="1"/>
  <c r="AO86" i="1"/>
  <c r="AJ86" i="1"/>
  <c r="AD86" i="1"/>
  <c r="AD87" i="1" s="1"/>
  <c r="Z86" i="1"/>
  <c r="T86" i="1"/>
  <c r="O86" i="1"/>
  <c r="J86" i="1"/>
  <c r="J87" i="1" s="1"/>
  <c r="E86" i="1"/>
  <c r="G88" i="1" s="1"/>
  <c r="EH83" i="1"/>
  <c r="DR83" i="1"/>
  <c r="CL83" i="1"/>
  <c r="BV83" i="1"/>
  <c r="BF83" i="1"/>
  <c r="AP83" i="1"/>
  <c r="EO82" i="1"/>
  <c r="EN82" i="1"/>
  <c r="EM82" i="1"/>
  <c r="EL82" i="1"/>
  <c r="EJ82" i="1"/>
  <c r="EJ83" i="1" s="1"/>
  <c r="EI82" i="1"/>
  <c r="EI83" i="1" s="1"/>
  <c r="EH82" i="1"/>
  <c r="EG82" i="1"/>
  <c r="EE82" i="1"/>
  <c r="EE83" i="1" s="1"/>
  <c r="ED82" i="1"/>
  <c r="EC82" i="1"/>
  <c r="EB82" i="1"/>
  <c r="EB83" i="1" s="1"/>
  <c r="DZ82" i="1"/>
  <c r="DY82" i="1"/>
  <c r="DX82" i="1"/>
  <c r="DW82" i="1"/>
  <c r="DW83" i="1" s="1"/>
  <c r="DU82" i="1"/>
  <c r="DT82" i="1"/>
  <c r="DS82" i="1"/>
  <c r="DS83" i="1" s="1"/>
  <c r="DR82" i="1"/>
  <c r="DP82" i="1"/>
  <c r="DO82" i="1"/>
  <c r="DO83" i="1" s="1"/>
  <c r="DN82" i="1"/>
  <c r="DM82" i="1"/>
  <c r="DK82" i="1"/>
  <c r="DK83" i="1" s="1"/>
  <c r="DJ82" i="1"/>
  <c r="DI82" i="1"/>
  <c r="DH82" i="1"/>
  <c r="DF82" i="1"/>
  <c r="DE82" i="1"/>
  <c r="DD82" i="1"/>
  <c r="DA82" i="1"/>
  <c r="DF83" i="1" s="1"/>
  <c r="CZ82" i="1"/>
  <c r="CY82" i="1"/>
  <c r="CQ82" i="1"/>
  <c r="CQ83" i="1" s="1"/>
  <c r="CP82" i="1"/>
  <c r="CO82" i="1"/>
  <c r="CN82" i="1"/>
  <c r="CN83" i="1" s="1"/>
  <c r="CL82" i="1"/>
  <c r="CK82" i="1"/>
  <c r="CK83" i="1" s="1"/>
  <c r="CJ82" i="1"/>
  <c r="CI82" i="1"/>
  <c r="CI83" i="1" s="1"/>
  <c r="CG82" i="1"/>
  <c r="CF82" i="1"/>
  <c r="CE82" i="1"/>
  <c r="CE83" i="1" s="1"/>
  <c r="CD82" i="1"/>
  <c r="CB82" i="1"/>
  <c r="CA82" i="1"/>
  <c r="CA83" i="1" s="1"/>
  <c r="BZ82" i="1"/>
  <c r="BZ83" i="1" s="1"/>
  <c r="BY82" i="1"/>
  <c r="CD83" i="1" s="1"/>
  <c r="BW82" i="1"/>
  <c r="BW83" i="1" s="1"/>
  <c r="BV82" i="1"/>
  <c r="BU82" i="1"/>
  <c r="BU83" i="1" s="1"/>
  <c r="BT82" i="1"/>
  <c r="BR82" i="1"/>
  <c r="BR83" i="1" s="1"/>
  <c r="BQ82" i="1"/>
  <c r="BP82" i="1"/>
  <c r="BO82" i="1"/>
  <c r="BO83" i="1" s="1"/>
  <c r="BM82" i="1"/>
  <c r="BM83" i="1" s="1"/>
  <c r="BL82" i="1"/>
  <c r="BK82" i="1"/>
  <c r="BK83" i="1" s="1"/>
  <c r="BJ82" i="1"/>
  <c r="BJ83" i="1" s="1"/>
  <c r="BH82" i="1"/>
  <c r="BG82" i="1"/>
  <c r="BG83" i="1" s="1"/>
  <c r="BF82" i="1"/>
  <c r="BE82" i="1"/>
  <c r="BE83" i="1" s="1"/>
  <c r="BC82" i="1"/>
  <c r="BC83" i="1" s="1"/>
  <c r="BB82" i="1"/>
  <c r="BB83" i="1" s="1"/>
  <c r="BA82" i="1"/>
  <c r="AZ82" i="1"/>
  <c r="AX82" i="1"/>
  <c r="AX83" i="1" s="1"/>
  <c r="AW82" i="1"/>
  <c r="AW83" i="1" s="1"/>
  <c r="AV82" i="1"/>
  <c r="AU82" i="1"/>
  <c r="AU83" i="1" s="1"/>
  <c r="AS82" i="1"/>
  <c r="AS83" i="1" s="1"/>
  <c r="AR82" i="1"/>
  <c r="AQ82" i="1"/>
  <c r="AQ83" i="1" s="1"/>
  <c r="AP82" i="1"/>
  <c r="AN82" i="1"/>
  <c r="AM82" i="1"/>
  <c r="AM83" i="1" s="1"/>
  <c r="AL82" i="1"/>
  <c r="AL83" i="1" s="1"/>
  <c r="AK82" i="1"/>
  <c r="AI82" i="1"/>
  <c r="AH82" i="1"/>
  <c r="AH83" i="1" s="1"/>
  <c r="AG82" i="1"/>
  <c r="AG83" i="1" s="1"/>
  <c r="AF82" i="1"/>
  <c r="AC82" i="1"/>
  <c r="AC83" i="1" s="1"/>
  <c r="AB82" i="1"/>
  <c r="AA82" i="1"/>
  <c r="AA83" i="1" s="1"/>
  <c r="Y82" i="1"/>
  <c r="X82" i="1"/>
  <c r="W82" i="1"/>
  <c r="W83" i="1" s="1"/>
  <c r="V82" i="1"/>
  <c r="V83" i="1" s="1"/>
  <c r="U82" i="1"/>
  <c r="U83" i="1" s="1"/>
  <c r="S82" i="1"/>
  <c r="S83" i="1" s="1"/>
  <c r="R82" i="1"/>
  <c r="R83" i="1" s="1"/>
  <c r="Q82" i="1"/>
  <c r="Q83" i="1" s="1"/>
  <c r="P82" i="1"/>
  <c r="N82" i="1"/>
  <c r="N83" i="1" s="1"/>
  <c r="M82" i="1"/>
  <c r="M83" i="1" s="1"/>
  <c r="L82" i="1"/>
  <c r="K82" i="1"/>
  <c r="K83" i="1" s="1"/>
  <c r="I82" i="1"/>
  <c r="I83" i="1" s="1"/>
  <c r="H82" i="1"/>
  <c r="G82" i="1"/>
  <c r="G83" i="1" s="1"/>
  <c r="F82" i="1"/>
  <c r="D82" i="1"/>
  <c r="C82" i="1"/>
  <c r="B82" i="1"/>
  <c r="EO81" i="1"/>
  <c r="EN81" i="1"/>
  <c r="EM81" i="1"/>
  <c r="EJ81" i="1"/>
  <c r="EI81" i="1"/>
  <c r="EH81" i="1"/>
  <c r="EG81" i="1"/>
  <c r="EE81" i="1"/>
  <c r="ED81" i="1"/>
  <c r="EC81" i="1"/>
  <c r="EB81" i="1"/>
  <c r="DZ81" i="1"/>
  <c r="DY81" i="1"/>
  <c r="DX81" i="1"/>
  <c r="DW81" i="1"/>
  <c r="DU81" i="1"/>
  <c r="DT81" i="1"/>
  <c r="DS81" i="1"/>
  <c r="DR81" i="1"/>
  <c r="DP81" i="1"/>
  <c r="DO81" i="1"/>
  <c r="DN81" i="1"/>
  <c r="DM81" i="1"/>
  <c r="DK81" i="1"/>
  <c r="DJ81" i="1"/>
  <c r="DI81" i="1"/>
  <c r="DH81" i="1"/>
  <c r="DF81" i="1"/>
  <c r="DE81" i="1"/>
  <c r="DA81" i="1"/>
  <c r="CZ81" i="1"/>
  <c r="CQ81" i="1"/>
  <c r="CP81" i="1"/>
  <c r="CO81" i="1"/>
  <c r="CN81" i="1"/>
  <c r="CL81" i="1"/>
  <c r="CK81" i="1"/>
  <c r="CJ81" i="1"/>
  <c r="CI81" i="1"/>
  <c r="CG81" i="1"/>
  <c r="CF81" i="1"/>
  <c r="CE81" i="1"/>
  <c r="CD81" i="1"/>
  <c r="CB81" i="1"/>
  <c r="CA81" i="1"/>
  <c r="BZ81" i="1"/>
  <c r="BY81" i="1"/>
  <c r="BW81" i="1"/>
  <c r="BV81" i="1"/>
  <c r="BU81" i="1"/>
  <c r="BT81" i="1"/>
  <c r="BR81" i="1"/>
  <c r="BQ81" i="1"/>
  <c r="BP81" i="1"/>
  <c r="BO81" i="1"/>
  <c r="BM81" i="1"/>
  <c r="BL81" i="1"/>
  <c r="BK81" i="1"/>
  <c r="BJ81" i="1"/>
  <c r="BH81" i="1"/>
  <c r="BG81" i="1"/>
  <c r="BF81" i="1"/>
  <c r="BE81" i="1"/>
  <c r="BC81" i="1"/>
  <c r="BB81" i="1"/>
  <c r="BA81" i="1"/>
  <c r="AZ81" i="1"/>
  <c r="AX81" i="1"/>
  <c r="AW81" i="1"/>
  <c r="AV81" i="1"/>
  <c r="AU81" i="1"/>
  <c r="AS81" i="1"/>
  <c r="AR81" i="1"/>
  <c r="AQ81" i="1"/>
  <c r="AP81" i="1"/>
  <c r="AN81" i="1"/>
  <c r="AM81" i="1"/>
  <c r="AL81" i="1"/>
  <c r="AK81" i="1"/>
  <c r="AI81" i="1"/>
  <c r="AH81" i="1"/>
  <c r="AG81" i="1"/>
  <c r="AC81" i="1"/>
  <c r="AB81" i="1"/>
  <c r="AA81" i="1"/>
  <c r="Y81" i="1"/>
  <c r="X81" i="1"/>
  <c r="W81" i="1"/>
  <c r="S81" i="1"/>
  <c r="R81" i="1"/>
  <c r="N81" i="1"/>
  <c r="M81" i="1"/>
  <c r="I81" i="1"/>
  <c r="H81" i="1"/>
  <c r="D81" i="1"/>
  <c r="C81" i="1"/>
  <c r="EJ80" i="1"/>
  <c r="EI80" i="1"/>
  <c r="EH80" i="1"/>
  <c r="EG80" i="1"/>
  <c r="EE80" i="1"/>
  <c r="ED80" i="1"/>
  <c r="EC80" i="1"/>
  <c r="EB80" i="1"/>
  <c r="DZ80" i="1"/>
  <c r="DY80" i="1"/>
  <c r="DX80" i="1"/>
  <c r="DW80" i="1"/>
  <c r="DU80" i="1"/>
  <c r="DT80" i="1"/>
  <c r="DS80" i="1"/>
  <c r="DR80" i="1"/>
  <c r="DP80" i="1"/>
  <c r="DO80" i="1"/>
  <c r="DN80" i="1"/>
  <c r="DM80" i="1"/>
  <c r="DK80" i="1"/>
  <c r="DJ80" i="1"/>
  <c r="DI80" i="1"/>
  <c r="DF80" i="1"/>
  <c r="DE80" i="1"/>
  <c r="DD80" i="1"/>
  <c r="CQ80" i="1"/>
  <c r="CP80" i="1"/>
  <c r="CO80" i="1"/>
  <c r="CN80" i="1"/>
  <c r="CL80" i="1"/>
  <c r="CK80" i="1"/>
  <c r="CJ80" i="1"/>
  <c r="CI80" i="1"/>
  <c r="CG80" i="1"/>
  <c r="CF80" i="1"/>
  <c r="CE80" i="1"/>
  <c r="CD80" i="1"/>
  <c r="CB80" i="1"/>
  <c r="CA80" i="1"/>
  <c r="BZ80" i="1"/>
  <c r="BY80" i="1"/>
  <c r="BW80" i="1"/>
  <c r="BV80" i="1"/>
  <c r="BU80" i="1"/>
  <c r="BT80" i="1"/>
  <c r="BR80" i="1"/>
  <c r="BQ80" i="1"/>
  <c r="BP80" i="1"/>
  <c r="BO80" i="1"/>
  <c r="BM80" i="1"/>
  <c r="BL80" i="1"/>
  <c r="BK80" i="1"/>
  <c r="BJ80" i="1"/>
  <c r="BH80" i="1"/>
  <c r="BG80" i="1"/>
  <c r="BF80" i="1"/>
  <c r="BE80" i="1"/>
  <c r="BC80" i="1"/>
  <c r="BB80" i="1"/>
  <c r="BA80" i="1"/>
  <c r="AZ80" i="1"/>
  <c r="AX80" i="1"/>
  <c r="AW80" i="1"/>
  <c r="AV80" i="1"/>
  <c r="AU80" i="1"/>
  <c r="AS80" i="1"/>
  <c r="AR80" i="1"/>
  <c r="AQ80" i="1"/>
  <c r="AP80" i="1"/>
  <c r="AN80" i="1"/>
  <c r="AM80" i="1"/>
  <c r="AL80" i="1"/>
  <c r="AK80" i="1"/>
  <c r="AH80" i="1"/>
  <c r="AG80" i="1"/>
  <c r="AF80" i="1"/>
  <c r="AC80" i="1"/>
  <c r="AB80" i="1"/>
  <c r="AA80" i="1"/>
  <c r="X80" i="1"/>
  <c r="W80" i="1"/>
  <c r="V80" i="1"/>
  <c r="U80" i="1"/>
  <c r="S80" i="1"/>
  <c r="R80" i="1"/>
  <c r="Q80" i="1"/>
  <c r="P80" i="1"/>
  <c r="N80" i="1"/>
  <c r="M80" i="1"/>
  <c r="L80" i="1"/>
  <c r="K80" i="1"/>
  <c r="I80" i="1"/>
  <c r="H80" i="1"/>
  <c r="G80" i="1"/>
  <c r="EP79" i="1"/>
  <c r="EK79" i="1"/>
  <c r="EF79" i="1"/>
  <c r="EA79" i="1"/>
  <c r="DV79" i="1"/>
  <c r="DV80" i="1" s="1"/>
  <c r="DQ79" i="1"/>
  <c r="DL79" i="1"/>
  <c r="DG79" i="1"/>
  <c r="DH80" i="1"/>
  <c r="CY81" i="1"/>
  <c r="CT81" i="1"/>
  <c r="CR79" i="1"/>
  <c r="CR179" i="1" s="1"/>
  <c r="CM79" i="1"/>
  <c r="CM80" i="1" s="1"/>
  <c r="CH79" i="1"/>
  <c r="CH80" i="1" s="1"/>
  <c r="CC79" i="1"/>
  <c r="CC179" i="1" s="1"/>
  <c r="BX79" i="1"/>
  <c r="BX80" i="1" s="1"/>
  <c r="BS79" i="1"/>
  <c r="BS179" i="1" s="1"/>
  <c r="BN79" i="1"/>
  <c r="BN80" i="1" s="1"/>
  <c r="BI79" i="1"/>
  <c r="BD79" i="1"/>
  <c r="BD80" i="1" s="1"/>
  <c r="AY79" i="1"/>
  <c r="AY179" i="1" s="1"/>
  <c r="AT79" i="1"/>
  <c r="AT80" i="1" s="1"/>
  <c r="AO79" i="1"/>
  <c r="AJ79" i="1"/>
  <c r="AD79" i="1"/>
  <c r="AD80" i="1" s="1"/>
  <c r="Z79" i="1"/>
  <c r="T79" i="1"/>
  <c r="O79" i="1"/>
  <c r="J79" i="1"/>
  <c r="E79" i="1"/>
  <c r="G81" i="1" s="1"/>
  <c r="EO78" i="1"/>
  <c r="EN78" i="1"/>
  <c r="EM78" i="1"/>
  <c r="EL78" i="1"/>
  <c r="I78" i="1"/>
  <c r="H78" i="1"/>
  <c r="G78" i="1"/>
  <c r="F78" i="1"/>
  <c r="D78" i="1"/>
  <c r="C78" i="1"/>
  <c r="B78" i="1"/>
  <c r="FP77" i="1"/>
  <c r="FP76" i="1"/>
  <c r="FQ76" i="1"/>
  <c r="CB78" i="1"/>
  <c r="CA78" i="1"/>
  <c r="BZ78" i="1"/>
  <c r="BY78" i="1"/>
  <c r="CB76" i="1"/>
  <c r="CB77" i="1" s="1"/>
  <c r="CA76" i="1"/>
  <c r="CA77" i="1" s="1"/>
  <c r="BZ76" i="1"/>
  <c r="BZ77" i="1" s="1"/>
  <c r="BY76" i="1"/>
  <c r="BY77" i="1" s="1"/>
  <c r="BW78" i="1"/>
  <c r="BV78" i="1"/>
  <c r="BU78" i="1"/>
  <c r="BT78" i="1"/>
  <c r="BW76" i="1"/>
  <c r="BW77" i="1" s="1"/>
  <c r="BV76" i="1"/>
  <c r="BV77" i="1" s="1"/>
  <c r="BU76" i="1"/>
  <c r="BU77" i="1" s="1"/>
  <c r="BT76" i="1"/>
  <c r="BT77" i="1" s="1"/>
  <c r="BR78" i="1"/>
  <c r="BQ78" i="1"/>
  <c r="BP78" i="1"/>
  <c r="BO78" i="1"/>
  <c r="BR76" i="1"/>
  <c r="BR77" i="1" s="1"/>
  <c r="BQ76" i="1"/>
  <c r="BQ77" i="1" s="1"/>
  <c r="BP76" i="1"/>
  <c r="BP77" i="1" s="1"/>
  <c r="BO76" i="1"/>
  <c r="BO77" i="1" s="1"/>
  <c r="BM78" i="1"/>
  <c r="BL78" i="1"/>
  <c r="BK78" i="1"/>
  <c r="BJ78" i="1"/>
  <c r="BM76" i="1"/>
  <c r="BM77" i="1" s="1"/>
  <c r="BL76" i="1"/>
  <c r="BL77" i="1" s="1"/>
  <c r="BK76" i="1"/>
  <c r="BK77" i="1" s="1"/>
  <c r="BJ76" i="1"/>
  <c r="BJ77" i="1" s="1"/>
  <c r="BH78" i="1"/>
  <c r="BG78" i="1"/>
  <c r="BF78" i="1"/>
  <c r="BE78" i="1"/>
  <c r="BH76" i="1"/>
  <c r="BH77" i="1" s="1"/>
  <c r="BG76" i="1"/>
  <c r="BG77" i="1" s="1"/>
  <c r="BF76" i="1"/>
  <c r="BF77" i="1" s="1"/>
  <c r="BE76" i="1"/>
  <c r="BE77" i="1" s="1"/>
  <c r="BC78" i="1"/>
  <c r="BB78" i="1"/>
  <c r="BA78" i="1"/>
  <c r="AZ78" i="1"/>
  <c r="BC76" i="1"/>
  <c r="BC77" i="1" s="1"/>
  <c r="BB76" i="1"/>
  <c r="BB77" i="1" s="1"/>
  <c r="BA76" i="1"/>
  <c r="BA77" i="1" s="1"/>
  <c r="AZ76" i="1"/>
  <c r="AZ77" i="1" s="1"/>
  <c r="AX78" i="1"/>
  <c r="AW78" i="1"/>
  <c r="AV78" i="1"/>
  <c r="AU78" i="1"/>
  <c r="AX76" i="1"/>
  <c r="AX77" i="1" s="1"/>
  <c r="AW76" i="1"/>
  <c r="AW77" i="1" s="1"/>
  <c r="AV76" i="1"/>
  <c r="AV77" i="1" s="1"/>
  <c r="AU76" i="1"/>
  <c r="AU77" i="1" s="1"/>
  <c r="AS78" i="1"/>
  <c r="AR78" i="1"/>
  <c r="AQ78" i="1"/>
  <c r="AP78" i="1"/>
  <c r="AS76" i="1"/>
  <c r="AS77" i="1" s="1"/>
  <c r="AR76" i="1"/>
  <c r="AR77" i="1" s="1"/>
  <c r="AQ76" i="1"/>
  <c r="AQ77" i="1" s="1"/>
  <c r="AP76" i="1"/>
  <c r="AP77" i="1" s="1"/>
  <c r="AN78" i="1"/>
  <c r="AM78" i="1"/>
  <c r="AL78" i="1"/>
  <c r="AK78" i="1"/>
  <c r="AN76" i="1"/>
  <c r="AN77" i="1" s="1"/>
  <c r="AM76" i="1"/>
  <c r="AM77" i="1" s="1"/>
  <c r="AL76" i="1"/>
  <c r="AL77" i="1" s="1"/>
  <c r="AK76" i="1"/>
  <c r="AK77" i="1" s="1"/>
  <c r="AI78" i="1"/>
  <c r="AH78" i="1"/>
  <c r="AG78" i="1"/>
  <c r="AF78" i="1"/>
  <c r="AC78" i="1"/>
  <c r="AB78" i="1"/>
  <c r="AA78" i="1"/>
  <c r="AC77" i="1"/>
  <c r="AA77" i="1"/>
  <c r="AI76" i="1"/>
  <c r="AH76" i="1"/>
  <c r="AH77" i="1" s="1"/>
  <c r="AG76" i="1"/>
  <c r="AF76" i="1"/>
  <c r="AF77" i="1" s="1"/>
  <c r="AC76" i="1"/>
  <c r="AB76" i="1"/>
  <c r="AG77" i="1" s="1"/>
  <c r="AA76" i="1"/>
  <c r="Y78" i="1"/>
  <c r="X78" i="1"/>
  <c r="W78" i="1"/>
  <c r="V78" i="1"/>
  <c r="U78" i="1"/>
  <c r="X77" i="1"/>
  <c r="V77" i="1"/>
  <c r="Y76" i="1"/>
  <c r="X76" i="1"/>
  <c r="W76" i="1"/>
  <c r="W77" i="1" s="1"/>
  <c r="V76" i="1"/>
  <c r="U76" i="1"/>
  <c r="U77" i="1" s="1"/>
  <c r="S78" i="1"/>
  <c r="R78" i="1"/>
  <c r="Q78" i="1"/>
  <c r="P78" i="1"/>
  <c r="S76" i="1"/>
  <c r="S77" i="1" s="1"/>
  <c r="R76" i="1"/>
  <c r="R77" i="1" s="1"/>
  <c r="Q76" i="1"/>
  <c r="Q77" i="1" s="1"/>
  <c r="P76" i="1"/>
  <c r="P77" i="1" s="1"/>
  <c r="N78" i="1"/>
  <c r="M78" i="1"/>
  <c r="L78" i="1"/>
  <c r="K78" i="1"/>
  <c r="N76" i="1"/>
  <c r="N77" i="1" s="1"/>
  <c r="M76" i="1"/>
  <c r="M77" i="1" s="1"/>
  <c r="L76" i="1"/>
  <c r="L77" i="1" s="1"/>
  <c r="K76" i="1"/>
  <c r="K77" i="1" s="1"/>
  <c r="I76" i="1"/>
  <c r="I77" i="1" s="1"/>
  <c r="H76" i="1"/>
  <c r="G76" i="1"/>
  <c r="G77" i="1" s="1"/>
  <c r="F76" i="1"/>
  <c r="D76" i="1"/>
  <c r="C76" i="1"/>
  <c r="H77" i="1" s="1"/>
  <c r="B76" i="1"/>
  <c r="EO76" i="1"/>
  <c r="EN76" i="1"/>
  <c r="EM76" i="1"/>
  <c r="EL76" i="1"/>
  <c r="EO75" i="1"/>
  <c r="EN75" i="1"/>
  <c r="EM75" i="1"/>
  <c r="EL75" i="1"/>
  <c r="DF78" i="1"/>
  <c r="DE78" i="1"/>
  <c r="DD78" i="1"/>
  <c r="CQ78" i="1"/>
  <c r="CP78" i="1"/>
  <c r="CO78" i="1"/>
  <c r="CN78" i="1"/>
  <c r="CO77" i="1"/>
  <c r="DF76" i="1"/>
  <c r="DF77" i="1" s="1"/>
  <c r="DE76" i="1"/>
  <c r="DD76" i="1"/>
  <c r="DD77" i="1" s="1"/>
  <c r="DA76" i="1"/>
  <c r="CZ76" i="1"/>
  <c r="DE77" i="1" s="1"/>
  <c r="CY76" i="1"/>
  <c r="CQ76" i="1"/>
  <c r="CP76" i="1"/>
  <c r="CP77" i="1" s="1"/>
  <c r="CO76" i="1"/>
  <c r="CN76" i="1"/>
  <c r="CN77" i="1" s="1"/>
  <c r="DE75" i="1"/>
  <c r="DD75" i="1"/>
  <c r="CQ75" i="1"/>
  <c r="CP75" i="1"/>
  <c r="CO75" i="1"/>
  <c r="CN75" i="1"/>
  <c r="FS74" i="1"/>
  <c r="FS76" i="1" s="1"/>
  <c r="FR74" i="1"/>
  <c r="FR76" i="1" s="1"/>
  <c r="EO74" i="1"/>
  <c r="EN74" i="1"/>
  <c r="EM74" i="1"/>
  <c r="EJ78" i="1"/>
  <c r="EI78" i="1"/>
  <c r="EH78" i="1"/>
  <c r="EG78" i="1"/>
  <c r="EJ76" i="1"/>
  <c r="EJ77" i="1" s="1"/>
  <c r="EI76" i="1"/>
  <c r="EI77" i="1" s="1"/>
  <c r="EH76" i="1"/>
  <c r="EH77" i="1" s="1"/>
  <c r="EG76" i="1"/>
  <c r="EG77" i="1" s="1"/>
  <c r="EJ75" i="1"/>
  <c r="EI75" i="1"/>
  <c r="EH75" i="1"/>
  <c r="EG75" i="1"/>
  <c r="EJ74" i="1"/>
  <c r="EI74" i="1"/>
  <c r="EH74" i="1"/>
  <c r="EG74" i="1"/>
  <c r="EE78" i="1"/>
  <c r="ED78" i="1"/>
  <c r="EC78" i="1"/>
  <c r="EB78" i="1"/>
  <c r="EE76" i="1"/>
  <c r="EE77" i="1" s="1"/>
  <c r="ED76" i="1"/>
  <c r="ED77" i="1" s="1"/>
  <c r="EC76" i="1"/>
  <c r="EC77" i="1" s="1"/>
  <c r="EB76" i="1"/>
  <c r="EB77" i="1" s="1"/>
  <c r="EE75" i="1"/>
  <c r="ED75" i="1"/>
  <c r="EC75" i="1"/>
  <c r="EB75" i="1"/>
  <c r="EE74" i="1"/>
  <c r="ED74" i="1"/>
  <c r="EC74" i="1"/>
  <c r="EB74" i="1"/>
  <c r="DZ78" i="1"/>
  <c r="DY78" i="1"/>
  <c r="DX78" i="1"/>
  <c r="DW78" i="1"/>
  <c r="DZ76" i="1"/>
  <c r="DZ77" i="1" s="1"/>
  <c r="DY76" i="1"/>
  <c r="DY77" i="1" s="1"/>
  <c r="DX76" i="1"/>
  <c r="DX77" i="1" s="1"/>
  <c r="DW76" i="1"/>
  <c r="DW77" i="1" s="1"/>
  <c r="DZ75" i="1"/>
  <c r="DY75" i="1"/>
  <c r="DX75" i="1"/>
  <c r="DW75" i="1"/>
  <c r="DZ74" i="1"/>
  <c r="DY74" i="1"/>
  <c r="DX74" i="1"/>
  <c r="DW74" i="1"/>
  <c r="DU78" i="1"/>
  <c r="DT78" i="1"/>
  <c r="DS78" i="1"/>
  <c r="DR78" i="1"/>
  <c r="DU76" i="1"/>
  <c r="DU77" i="1" s="1"/>
  <c r="DT76" i="1"/>
  <c r="DT77" i="1" s="1"/>
  <c r="DS76" i="1"/>
  <c r="DS77" i="1" s="1"/>
  <c r="DR76" i="1"/>
  <c r="DR77" i="1" s="1"/>
  <c r="DU75" i="1"/>
  <c r="DT75" i="1"/>
  <c r="DS75" i="1"/>
  <c r="DR75" i="1"/>
  <c r="DU74" i="1"/>
  <c r="DT74" i="1"/>
  <c r="DS74" i="1"/>
  <c r="DR74" i="1"/>
  <c r="DP78" i="1"/>
  <c r="DO78" i="1"/>
  <c r="DN78" i="1"/>
  <c r="DM78" i="1"/>
  <c r="DP76" i="1"/>
  <c r="DP77" i="1" s="1"/>
  <c r="DO76" i="1"/>
  <c r="DO77" i="1" s="1"/>
  <c r="DN76" i="1"/>
  <c r="DN77" i="1" s="1"/>
  <c r="DM76" i="1"/>
  <c r="DM77" i="1" s="1"/>
  <c r="DP75" i="1"/>
  <c r="DO75" i="1"/>
  <c r="DN75" i="1"/>
  <c r="DM75" i="1"/>
  <c r="DP74" i="1"/>
  <c r="DO74" i="1"/>
  <c r="DN74" i="1"/>
  <c r="DM74" i="1"/>
  <c r="DK78" i="1"/>
  <c r="DJ78" i="1"/>
  <c r="DI78" i="1"/>
  <c r="DH78" i="1"/>
  <c r="DK76" i="1"/>
  <c r="DK77" i="1" s="1"/>
  <c r="DJ76" i="1"/>
  <c r="DJ77" i="1" s="1"/>
  <c r="DI76" i="1"/>
  <c r="DI77" i="1" s="1"/>
  <c r="DH76" i="1"/>
  <c r="DK75" i="1"/>
  <c r="DJ75" i="1"/>
  <c r="DI75" i="1"/>
  <c r="DH75" i="1"/>
  <c r="DK74" i="1"/>
  <c r="DJ74" i="1"/>
  <c r="DI74" i="1"/>
  <c r="DH74" i="1"/>
  <c r="DF74" i="1"/>
  <c r="DE74" i="1"/>
  <c r="DC74" i="1"/>
  <c r="DA74" i="1"/>
  <c r="CZ74" i="1"/>
  <c r="CX74" i="1"/>
  <c r="CS74" i="1"/>
  <c r="CQ74" i="1"/>
  <c r="CP74" i="1"/>
  <c r="CO74" i="1"/>
  <c r="CN74" i="1"/>
  <c r="CL78" i="1"/>
  <c r="CK78" i="1"/>
  <c r="CJ78" i="1"/>
  <c r="CI78" i="1"/>
  <c r="CL76" i="1"/>
  <c r="CQ77" i="1" s="1"/>
  <c r="CK76" i="1"/>
  <c r="CK77" i="1" s="1"/>
  <c r="CJ76" i="1"/>
  <c r="CJ77" i="1" s="1"/>
  <c r="CI76" i="1"/>
  <c r="CI77" i="1" s="1"/>
  <c r="CL75" i="1"/>
  <c r="CJ75" i="1"/>
  <c r="CI75" i="1"/>
  <c r="CL74" i="1"/>
  <c r="CK74" i="1"/>
  <c r="CJ74" i="1"/>
  <c r="CI74" i="1"/>
  <c r="CG78" i="1"/>
  <c r="CF78" i="1"/>
  <c r="CE78" i="1"/>
  <c r="CD78" i="1"/>
  <c r="CG76" i="1"/>
  <c r="CG77" i="1" s="1"/>
  <c r="CF76" i="1"/>
  <c r="CF77" i="1" s="1"/>
  <c r="CE76" i="1"/>
  <c r="CE77" i="1" s="1"/>
  <c r="CD76" i="1"/>
  <c r="CD77" i="1" s="1"/>
  <c r="CG75" i="1"/>
  <c r="CE75" i="1"/>
  <c r="CD75" i="1"/>
  <c r="CG74" i="1"/>
  <c r="CF74" i="1"/>
  <c r="CE74" i="1"/>
  <c r="CD74" i="1"/>
  <c r="CB74" i="1"/>
  <c r="CA74" i="1"/>
  <c r="BZ74" i="1"/>
  <c r="BY74" i="1"/>
  <c r="BW74" i="1"/>
  <c r="BV74" i="1"/>
  <c r="BU74" i="1"/>
  <c r="BT74" i="1"/>
  <c r="BR74" i="1"/>
  <c r="BQ74" i="1"/>
  <c r="BP74" i="1"/>
  <c r="BO74" i="1"/>
  <c r="BM74" i="1"/>
  <c r="BL74" i="1"/>
  <c r="BK74" i="1"/>
  <c r="BJ74" i="1"/>
  <c r="BH74" i="1"/>
  <c r="BG74" i="1"/>
  <c r="BF74" i="1"/>
  <c r="BE74" i="1"/>
  <c r="BC74" i="1"/>
  <c r="BB74" i="1"/>
  <c r="BA74" i="1"/>
  <c r="AZ74" i="1"/>
  <c r="AX74" i="1"/>
  <c r="AW74" i="1"/>
  <c r="AV74" i="1"/>
  <c r="AU74" i="1"/>
  <c r="AS74" i="1"/>
  <c r="AR74" i="1"/>
  <c r="AQ74" i="1"/>
  <c r="AP74" i="1"/>
  <c r="AI74" i="1"/>
  <c r="AH74" i="1"/>
  <c r="AG74" i="1"/>
  <c r="AC74" i="1"/>
  <c r="AB74" i="1"/>
  <c r="AA74" i="1"/>
  <c r="Y74" i="1"/>
  <c r="X74" i="1"/>
  <c r="W74" i="1"/>
  <c r="S74" i="1"/>
  <c r="R74" i="1"/>
  <c r="N74" i="1"/>
  <c r="M74" i="1"/>
  <c r="I74" i="1"/>
  <c r="H74" i="1"/>
  <c r="D74" i="1"/>
  <c r="C74" i="1"/>
  <c r="EK73" i="1"/>
  <c r="EJ73" i="1"/>
  <c r="EI73" i="1"/>
  <c r="EH73" i="1"/>
  <c r="EG73" i="1"/>
  <c r="EE73" i="1"/>
  <c r="ED73" i="1"/>
  <c r="EC73" i="1"/>
  <c r="EB73" i="1"/>
  <c r="DZ73" i="1"/>
  <c r="DY73" i="1"/>
  <c r="DX73" i="1"/>
  <c r="DW73" i="1"/>
  <c r="DU73" i="1"/>
  <c r="DT73" i="1"/>
  <c r="DS73" i="1"/>
  <c r="DR73" i="1"/>
  <c r="DQ73" i="1"/>
  <c r="DP73" i="1"/>
  <c r="DO73" i="1"/>
  <c r="DN73" i="1"/>
  <c r="DM73" i="1"/>
  <c r="DK73" i="1"/>
  <c r="DJ73" i="1"/>
  <c r="DI73" i="1"/>
  <c r="DF73" i="1"/>
  <c r="DE73" i="1"/>
  <c r="DD73" i="1"/>
  <c r="DA73" i="1"/>
  <c r="CS73" i="1"/>
  <c r="CQ73" i="1"/>
  <c r="CP73" i="1"/>
  <c r="CO73" i="1"/>
  <c r="CN73" i="1"/>
  <c r="CL73" i="1"/>
  <c r="CK73" i="1"/>
  <c r="CJ73" i="1"/>
  <c r="CI73" i="1"/>
  <c r="CG73" i="1"/>
  <c r="CF73" i="1"/>
  <c r="CE73" i="1"/>
  <c r="CD73" i="1"/>
  <c r="CC73" i="1"/>
  <c r="CB73" i="1"/>
  <c r="CA73" i="1"/>
  <c r="BZ73" i="1"/>
  <c r="BY73" i="1"/>
  <c r="BW73" i="1"/>
  <c r="BV73" i="1"/>
  <c r="BU73" i="1"/>
  <c r="BT73" i="1"/>
  <c r="BR73" i="1"/>
  <c r="BQ73" i="1"/>
  <c r="BP73" i="1"/>
  <c r="BO73" i="1"/>
  <c r="BM73" i="1"/>
  <c r="BL73" i="1"/>
  <c r="BK73" i="1"/>
  <c r="BJ73" i="1"/>
  <c r="BI73" i="1"/>
  <c r="BH73" i="1"/>
  <c r="BG73" i="1"/>
  <c r="BF73" i="1"/>
  <c r="BE73" i="1"/>
  <c r="BC73" i="1"/>
  <c r="BB73" i="1"/>
  <c r="BA73" i="1"/>
  <c r="AZ73" i="1"/>
  <c r="AX73" i="1"/>
  <c r="AW73" i="1"/>
  <c r="AV73" i="1"/>
  <c r="AU73" i="1"/>
  <c r="AS73" i="1"/>
  <c r="AR73" i="1"/>
  <c r="AQ73" i="1"/>
  <c r="AP73" i="1"/>
  <c r="AO73" i="1"/>
  <c r="AN73" i="1"/>
  <c r="AM73" i="1"/>
  <c r="AL73" i="1"/>
  <c r="AK73" i="1"/>
  <c r="AH73" i="1"/>
  <c r="AG73" i="1"/>
  <c r="AF73" i="1"/>
  <c r="AC73" i="1"/>
  <c r="AB73" i="1"/>
  <c r="AA73" i="1"/>
  <c r="Y73" i="1"/>
  <c r="X73" i="1"/>
  <c r="W73" i="1"/>
  <c r="V73" i="1"/>
  <c r="U73" i="1"/>
  <c r="S73" i="1"/>
  <c r="R73" i="1"/>
  <c r="Q73" i="1"/>
  <c r="P73" i="1"/>
  <c r="N73" i="1"/>
  <c r="M73" i="1"/>
  <c r="L73" i="1"/>
  <c r="K73" i="1"/>
  <c r="I73" i="1"/>
  <c r="H73" i="1"/>
  <c r="G73" i="1"/>
  <c r="ET72" i="1"/>
  <c r="ES72" i="1"/>
  <c r="ES74" i="1" s="1"/>
  <c r="ER72" i="1"/>
  <c r="EQ72" i="1"/>
  <c r="EQ74" i="1" s="1"/>
  <c r="EP72" i="1"/>
  <c r="EP181" i="1" s="1"/>
  <c r="EK72" i="1"/>
  <c r="EK181" i="1" s="1"/>
  <c r="EK66" i="1"/>
  <c r="EF72" i="1"/>
  <c r="EF181" i="1" s="1"/>
  <c r="EF66" i="1"/>
  <c r="EA72" i="1"/>
  <c r="EA181" i="1" s="1"/>
  <c r="EA66" i="1"/>
  <c r="EF67" i="1" s="1"/>
  <c r="DV72" i="1"/>
  <c r="DV181" i="1" s="1"/>
  <c r="DV66" i="1"/>
  <c r="DQ72" i="1"/>
  <c r="DQ181" i="1" s="1"/>
  <c r="DQ66" i="1"/>
  <c r="DL72" i="1"/>
  <c r="DL181" i="1" s="1"/>
  <c r="DL66" i="1"/>
  <c r="DG72" i="1"/>
  <c r="DG181" i="1" s="1"/>
  <c r="DB72" i="1"/>
  <c r="DB181" i="1" s="1"/>
  <c r="CR72" i="1"/>
  <c r="CM72" i="1"/>
  <c r="CM66" i="1"/>
  <c r="CH72" i="1"/>
  <c r="CH66" i="1"/>
  <c r="CC72" i="1"/>
  <c r="CC66" i="1"/>
  <c r="BX72" i="1"/>
  <c r="BX66" i="1"/>
  <c r="BX67" i="1" s="1"/>
  <c r="BS72" i="1"/>
  <c r="BS66" i="1"/>
  <c r="BS67" i="1" s="1"/>
  <c r="BN72" i="1"/>
  <c r="BN66" i="1"/>
  <c r="BI72" i="1"/>
  <c r="BI66" i="1"/>
  <c r="BD72" i="1"/>
  <c r="BD66" i="1"/>
  <c r="BD67" i="1" s="1"/>
  <c r="AY72" i="1"/>
  <c r="AY66" i="1"/>
  <c r="AY67" i="1" s="1"/>
  <c r="AT72" i="1"/>
  <c r="AT66" i="1"/>
  <c r="AO72" i="1"/>
  <c r="AO66" i="1"/>
  <c r="AJ72" i="1"/>
  <c r="AJ66" i="1"/>
  <c r="AJ67" i="1" s="1"/>
  <c r="AE72" i="1"/>
  <c r="AE73" i="1" s="1"/>
  <c r="AD72" i="1"/>
  <c r="AD76" i="1" s="1"/>
  <c r="Z72" i="1"/>
  <c r="Z66" i="1"/>
  <c r="T72" i="1"/>
  <c r="T67" i="1"/>
  <c r="O72" i="1"/>
  <c r="O67" i="1"/>
  <c r="J72" i="1"/>
  <c r="J67" i="1"/>
  <c r="E72" i="1"/>
  <c r="EO70" i="1"/>
  <c r="EN70" i="1"/>
  <c r="EM70" i="1"/>
  <c r="EL70" i="1"/>
  <c r="CQ71" i="1"/>
  <c r="DF70" i="1"/>
  <c r="DF71" i="1" s="1"/>
  <c r="DE70" i="1"/>
  <c r="DE71" i="1" s="1"/>
  <c r="DD70" i="1"/>
  <c r="DA70" i="1"/>
  <c r="CZ70" i="1"/>
  <c r="CQ70" i="1"/>
  <c r="CP70" i="1"/>
  <c r="CP71" i="1" s="1"/>
  <c r="CO70" i="1"/>
  <c r="CO71" i="1" s="1"/>
  <c r="CN70" i="1"/>
  <c r="CN71" i="1" s="1"/>
  <c r="D70" i="1"/>
  <c r="C70" i="1"/>
  <c r="B70" i="1"/>
  <c r="CP69" i="1"/>
  <c r="ET68" i="1"/>
  <c r="EQ68" i="1"/>
  <c r="EO68" i="1"/>
  <c r="EN68" i="1"/>
  <c r="ES68" i="1" s="1"/>
  <c r="EM68" i="1"/>
  <c r="ER68" i="1" s="1"/>
  <c r="EL68" i="1"/>
  <c r="D68" i="1"/>
  <c r="C68" i="1"/>
  <c r="B68" i="1"/>
  <c r="EJ70" i="1"/>
  <c r="EJ71" i="1" s="1"/>
  <c r="EI70" i="1"/>
  <c r="EI71" i="1" s="1"/>
  <c r="EH70" i="1"/>
  <c r="EH71" i="1" s="1"/>
  <c r="EG70" i="1"/>
  <c r="EG71" i="1" s="1"/>
  <c r="EJ68" i="1"/>
  <c r="EJ69" i="1" s="1"/>
  <c r="EI68" i="1"/>
  <c r="EI69" i="1" s="1"/>
  <c r="EH68" i="1"/>
  <c r="EH69" i="1" s="1"/>
  <c r="EG68" i="1"/>
  <c r="EG69" i="1" s="1"/>
  <c r="EJ67" i="1"/>
  <c r="EI67" i="1"/>
  <c r="EH67" i="1"/>
  <c r="EG67" i="1"/>
  <c r="EE70" i="1"/>
  <c r="EE71" i="1" s="1"/>
  <c r="ED70" i="1"/>
  <c r="ED71" i="1" s="1"/>
  <c r="EC70" i="1"/>
  <c r="EC71" i="1" s="1"/>
  <c r="EB70" i="1"/>
  <c r="EB71" i="1" s="1"/>
  <c r="EE68" i="1"/>
  <c r="EE69" i="1" s="1"/>
  <c r="ED68" i="1"/>
  <c r="ED69" i="1" s="1"/>
  <c r="EC68" i="1"/>
  <c r="EC69" i="1" s="1"/>
  <c r="EB68" i="1"/>
  <c r="EB69" i="1" s="1"/>
  <c r="EE67" i="1"/>
  <c r="ED67" i="1"/>
  <c r="EC67" i="1"/>
  <c r="EB67" i="1"/>
  <c r="DZ70" i="1"/>
  <c r="DZ71" i="1" s="1"/>
  <c r="DY70" i="1"/>
  <c r="DY71" i="1" s="1"/>
  <c r="DX70" i="1"/>
  <c r="DX71" i="1" s="1"/>
  <c r="DW70" i="1"/>
  <c r="DW71" i="1" s="1"/>
  <c r="DZ68" i="1"/>
  <c r="DZ69" i="1" s="1"/>
  <c r="DY68" i="1"/>
  <c r="DY69" i="1" s="1"/>
  <c r="DX68" i="1"/>
  <c r="DX69" i="1" s="1"/>
  <c r="DW68" i="1"/>
  <c r="DW69" i="1" s="1"/>
  <c r="DZ67" i="1"/>
  <c r="DY67" i="1"/>
  <c r="DX67" i="1"/>
  <c r="DW67" i="1"/>
  <c r="DU70" i="1"/>
  <c r="DU71" i="1" s="1"/>
  <c r="DT70" i="1"/>
  <c r="DT71" i="1" s="1"/>
  <c r="DS70" i="1"/>
  <c r="DS71" i="1" s="1"/>
  <c r="DR70" i="1"/>
  <c r="DR71" i="1" s="1"/>
  <c r="DU68" i="1"/>
  <c r="DU69" i="1" s="1"/>
  <c r="DT68" i="1"/>
  <c r="DT69" i="1" s="1"/>
  <c r="DS68" i="1"/>
  <c r="DS69" i="1" s="1"/>
  <c r="DR68" i="1"/>
  <c r="DR69" i="1" s="1"/>
  <c r="DU67" i="1"/>
  <c r="DT67" i="1"/>
  <c r="DS67" i="1"/>
  <c r="DR67" i="1"/>
  <c r="DP70" i="1"/>
  <c r="DP71" i="1" s="1"/>
  <c r="DO70" i="1"/>
  <c r="DO71" i="1" s="1"/>
  <c r="DN70" i="1"/>
  <c r="DN71" i="1" s="1"/>
  <c r="DM70" i="1"/>
  <c r="DM71" i="1" s="1"/>
  <c r="DP68" i="1"/>
  <c r="DP69" i="1" s="1"/>
  <c r="DO68" i="1"/>
  <c r="DO69" i="1" s="1"/>
  <c r="DN68" i="1"/>
  <c r="DN69" i="1" s="1"/>
  <c r="DM68" i="1"/>
  <c r="DM69" i="1" s="1"/>
  <c r="DP67" i="1"/>
  <c r="DO67" i="1"/>
  <c r="DN67" i="1"/>
  <c r="DM67" i="1"/>
  <c r="DK70" i="1"/>
  <c r="DK71" i="1" s="1"/>
  <c r="DJ70" i="1"/>
  <c r="DJ71" i="1" s="1"/>
  <c r="DI70" i="1"/>
  <c r="DI71" i="1" s="1"/>
  <c r="DH70" i="1"/>
  <c r="DK68" i="1"/>
  <c r="DK69" i="1" s="1"/>
  <c r="DJ68" i="1"/>
  <c r="DJ69" i="1" s="1"/>
  <c r="DI68" i="1"/>
  <c r="DI69" i="1" s="1"/>
  <c r="DH68" i="1"/>
  <c r="DK67" i="1"/>
  <c r="DJ67" i="1"/>
  <c r="DI67" i="1"/>
  <c r="DF68" i="1"/>
  <c r="DE68" i="1"/>
  <c r="DD68" i="1"/>
  <c r="DF67" i="1"/>
  <c r="DE67" i="1"/>
  <c r="CQ68" i="1"/>
  <c r="CQ69" i="1" s="1"/>
  <c r="CP68" i="1"/>
  <c r="CO68" i="1"/>
  <c r="CO69" i="1" s="1"/>
  <c r="CN68" i="1"/>
  <c r="CN69" i="1" s="1"/>
  <c r="CQ67" i="1"/>
  <c r="CP67" i="1"/>
  <c r="CO67" i="1"/>
  <c r="CN67" i="1"/>
  <c r="CL70" i="1"/>
  <c r="CL71" i="1" s="1"/>
  <c r="CK70" i="1"/>
  <c r="CK71" i="1" s="1"/>
  <c r="CJ70" i="1"/>
  <c r="CJ71" i="1" s="1"/>
  <c r="CI70" i="1"/>
  <c r="CI71" i="1" s="1"/>
  <c r="CL68" i="1"/>
  <c r="CL69" i="1" s="1"/>
  <c r="CK68" i="1"/>
  <c r="CK69" i="1" s="1"/>
  <c r="CJ68" i="1"/>
  <c r="CJ69" i="1" s="1"/>
  <c r="CI68" i="1"/>
  <c r="CI69" i="1" s="1"/>
  <c r="CL67" i="1"/>
  <c r="CK67" i="1"/>
  <c r="CJ67" i="1"/>
  <c r="CI67" i="1"/>
  <c r="CG70" i="1"/>
  <c r="CG71" i="1" s="1"/>
  <c r="CF70" i="1"/>
  <c r="CF71" i="1" s="1"/>
  <c r="CE70" i="1"/>
  <c r="CE71" i="1" s="1"/>
  <c r="CD70" i="1"/>
  <c r="CD71" i="1" s="1"/>
  <c r="CG68" i="1"/>
  <c r="CG69" i="1" s="1"/>
  <c r="CF68" i="1"/>
  <c r="CF69" i="1" s="1"/>
  <c r="CE68" i="1"/>
  <c r="CE69" i="1" s="1"/>
  <c r="CD68" i="1"/>
  <c r="CD69" i="1" s="1"/>
  <c r="CG67" i="1"/>
  <c r="CF67" i="1"/>
  <c r="CE67" i="1"/>
  <c r="CD67" i="1"/>
  <c r="CB70" i="1"/>
  <c r="CB71" i="1" s="1"/>
  <c r="CA70" i="1"/>
  <c r="CA71" i="1" s="1"/>
  <c r="BZ70" i="1"/>
  <c r="BZ71" i="1" s="1"/>
  <c r="BY70" i="1"/>
  <c r="BY71" i="1" s="1"/>
  <c r="CB68" i="1"/>
  <c r="CB69" i="1" s="1"/>
  <c r="CA68" i="1"/>
  <c r="CA69" i="1" s="1"/>
  <c r="BZ68" i="1"/>
  <c r="BZ69" i="1" s="1"/>
  <c r="BY68" i="1"/>
  <c r="BY69" i="1" s="1"/>
  <c r="CB67" i="1"/>
  <c r="CA67" i="1"/>
  <c r="BZ67" i="1"/>
  <c r="BY67" i="1"/>
  <c r="BW70" i="1"/>
  <c r="BW71" i="1" s="1"/>
  <c r="BV70" i="1"/>
  <c r="BV71" i="1" s="1"/>
  <c r="BU70" i="1"/>
  <c r="BU71" i="1" s="1"/>
  <c r="BT70" i="1"/>
  <c r="BT71" i="1" s="1"/>
  <c r="BW68" i="1"/>
  <c r="BW69" i="1" s="1"/>
  <c r="BV68" i="1"/>
  <c r="BV69" i="1" s="1"/>
  <c r="BU68" i="1"/>
  <c r="BU69" i="1" s="1"/>
  <c r="BT68" i="1"/>
  <c r="BT69" i="1" s="1"/>
  <c r="BW67" i="1"/>
  <c r="BV67" i="1"/>
  <c r="BU67" i="1"/>
  <c r="BT67" i="1"/>
  <c r="BR70" i="1"/>
  <c r="BR71" i="1" s="1"/>
  <c r="BQ70" i="1"/>
  <c r="BQ71" i="1" s="1"/>
  <c r="BP70" i="1"/>
  <c r="BP71" i="1" s="1"/>
  <c r="BO70" i="1"/>
  <c r="BO71" i="1" s="1"/>
  <c r="BR68" i="1"/>
  <c r="BR69" i="1" s="1"/>
  <c r="BQ68" i="1"/>
  <c r="BQ69" i="1" s="1"/>
  <c r="BP68" i="1"/>
  <c r="BP69" i="1" s="1"/>
  <c r="BO68" i="1"/>
  <c r="BO69" i="1" s="1"/>
  <c r="BR67" i="1"/>
  <c r="BQ67" i="1"/>
  <c r="BP67" i="1"/>
  <c r="BO67" i="1"/>
  <c r="BM70" i="1"/>
  <c r="BM71" i="1" s="1"/>
  <c r="BL70" i="1"/>
  <c r="BL71" i="1" s="1"/>
  <c r="BK70" i="1"/>
  <c r="BK71" i="1" s="1"/>
  <c r="BJ70" i="1"/>
  <c r="BJ71" i="1" s="1"/>
  <c r="BM68" i="1"/>
  <c r="BM69" i="1" s="1"/>
  <c r="BL68" i="1"/>
  <c r="BL69" i="1" s="1"/>
  <c r="BK68" i="1"/>
  <c r="BK69" i="1" s="1"/>
  <c r="BJ68" i="1"/>
  <c r="BJ69" i="1" s="1"/>
  <c r="BM67" i="1"/>
  <c r="BL67" i="1"/>
  <c r="BK67" i="1"/>
  <c r="BJ67" i="1"/>
  <c r="BH70" i="1"/>
  <c r="BH71" i="1" s="1"/>
  <c r="BG70" i="1"/>
  <c r="BG71" i="1" s="1"/>
  <c r="BF70" i="1"/>
  <c r="BF71" i="1" s="1"/>
  <c r="BE70" i="1"/>
  <c r="BE71" i="1" s="1"/>
  <c r="BH68" i="1"/>
  <c r="BH69" i="1" s="1"/>
  <c r="BG68" i="1"/>
  <c r="BG69" i="1" s="1"/>
  <c r="BF68" i="1"/>
  <c r="BF69" i="1" s="1"/>
  <c r="BE68" i="1"/>
  <c r="BE69" i="1" s="1"/>
  <c r="BH67" i="1"/>
  <c r="BG67" i="1"/>
  <c r="BF67" i="1"/>
  <c r="BE67" i="1"/>
  <c r="BC70" i="1"/>
  <c r="BC71" i="1" s="1"/>
  <c r="BB70" i="1"/>
  <c r="BB71" i="1" s="1"/>
  <c r="BA70" i="1"/>
  <c r="BA71" i="1" s="1"/>
  <c r="AZ70" i="1"/>
  <c r="AZ71" i="1" s="1"/>
  <c r="BC68" i="1"/>
  <c r="BC69" i="1" s="1"/>
  <c r="BB68" i="1"/>
  <c r="BB69" i="1" s="1"/>
  <c r="BA68" i="1"/>
  <c r="BA69" i="1" s="1"/>
  <c r="AZ68" i="1"/>
  <c r="AZ69" i="1" s="1"/>
  <c r="BC67" i="1"/>
  <c r="BB67" i="1"/>
  <c r="BA67" i="1"/>
  <c r="AZ67" i="1"/>
  <c r="AX70" i="1"/>
  <c r="AX71" i="1" s="1"/>
  <c r="AW70" i="1"/>
  <c r="AW71" i="1" s="1"/>
  <c r="AV70" i="1"/>
  <c r="AV71" i="1" s="1"/>
  <c r="AU70" i="1"/>
  <c r="AU71" i="1" s="1"/>
  <c r="AX68" i="1"/>
  <c r="AX69" i="1" s="1"/>
  <c r="AW68" i="1"/>
  <c r="AW69" i="1" s="1"/>
  <c r="AV68" i="1"/>
  <c r="AV69" i="1" s="1"/>
  <c r="AU68" i="1"/>
  <c r="AU69" i="1" s="1"/>
  <c r="AX67" i="1"/>
  <c r="AW67" i="1"/>
  <c r="AV67" i="1"/>
  <c r="AU67" i="1"/>
  <c r="AS70" i="1"/>
  <c r="AS71" i="1" s="1"/>
  <c r="AR70" i="1"/>
  <c r="AR71" i="1" s="1"/>
  <c r="AQ70" i="1"/>
  <c r="AQ71" i="1" s="1"/>
  <c r="AP70" i="1"/>
  <c r="AP71" i="1" s="1"/>
  <c r="AS68" i="1"/>
  <c r="AS69" i="1" s="1"/>
  <c r="AR68" i="1"/>
  <c r="AR69" i="1" s="1"/>
  <c r="AQ68" i="1"/>
  <c r="AQ69" i="1" s="1"/>
  <c r="AP68" i="1"/>
  <c r="AP69" i="1" s="1"/>
  <c r="AS67" i="1"/>
  <c r="AR67" i="1"/>
  <c r="AQ67" i="1"/>
  <c r="AP67" i="1"/>
  <c r="AN70" i="1"/>
  <c r="AN71" i="1" s="1"/>
  <c r="AM70" i="1"/>
  <c r="AM71" i="1" s="1"/>
  <c r="AL70" i="1"/>
  <c r="AL71" i="1" s="1"/>
  <c r="AK70" i="1"/>
  <c r="AK71" i="1" s="1"/>
  <c r="AN68" i="1"/>
  <c r="AN69" i="1" s="1"/>
  <c r="AM68" i="1"/>
  <c r="AM69" i="1" s="1"/>
  <c r="AL68" i="1"/>
  <c r="AL69" i="1" s="1"/>
  <c r="AK68" i="1"/>
  <c r="AK69" i="1" s="1"/>
  <c r="AN67" i="1"/>
  <c r="AM67" i="1"/>
  <c r="AL67" i="1"/>
  <c r="AK67" i="1"/>
  <c r="AG71" i="1"/>
  <c r="AF71" i="1"/>
  <c r="AC71" i="1"/>
  <c r="AB71" i="1"/>
  <c r="AI70" i="1"/>
  <c r="AI71" i="1" s="1"/>
  <c r="AH70" i="1"/>
  <c r="AH71" i="1" s="1"/>
  <c r="AG70" i="1"/>
  <c r="AF70" i="1"/>
  <c r="AD70" i="1"/>
  <c r="AD71" i="1" s="1"/>
  <c r="AC70" i="1"/>
  <c r="AB70" i="1"/>
  <c r="AA70" i="1"/>
  <c r="AA71" i="1" s="1"/>
  <c r="AI69" i="1"/>
  <c r="AH69" i="1"/>
  <c r="AD69" i="1"/>
  <c r="AA69" i="1"/>
  <c r="AI68" i="1"/>
  <c r="AH68" i="1"/>
  <c r="AG68" i="1"/>
  <c r="AG69" i="1" s="1"/>
  <c r="AF68" i="1"/>
  <c r="AF69" i="1" s="1"/>
  <c r="AD68" i="1"/>
  <c r="AC68" i="1"/>
  <c r="AC69" i="1" s="1"/>
  <c r="AB68" i="1"/>
  <c r="AB69" i="1" s="1"/>
  <c r="AA68" i="1"/>
  <c r="AI67" i="1"/>
  <c r="AH67" i="1"/>
  <c r="AG67" i="1"/>
  <c r="AF67" i="1"/>
  <c r="AD67" i="1"/>
  <c r="AC67" i="1"/>
  <c r="AB67" i="1"/>
  <c r="AA67" i="1"/>
  <c r="Y70" i="1"/>
  <c r="X70" i="1"/>
  <c r="W70" i="1"/>
  <c r="V70" i="1"/>
  <c r="V71" i="1" s="1"/>
  <c r="U70" i="1"/>
  <c r="V69" i="1"/>
  <c r="Y68" i="1"/>
  <c r="X68" i="1"/>
  <c r="X69" i="1" s="1"/>
  <c r="W68" i="1"/>
  <c r="W69" i="1" s="1"/>
  <c r="V68" i="1"/>
  <c r="Y67" i="1"/>
  <c r="X67" i="1"/>
  <c r="W67" i="1"/>
  <c r="V67" i="1"/>
  <c r="S70" i="1"/>
  <c r="X71" i="1" s="1"/>
  <c r="R70" i="1"/>
  <c r="W71" i="1" s="1"/>
  <c r="Q70" i="1"/>
  <c r="Q71" i="1" s="1"/>
  <c r="S68" i="1"/>
  <c r="S69" i="1" s="1"/>
  <c r="R68" i="1"/>
  <c r="R69" i="1" s="1"/>
  <c r="Q68" i="1"/>
  <c r="Q69" i="1" s="1"/>
  <c r="S67" i="1"/>
  <c r="R67" i="1"/>
  <c r="Q67" i="1"/>
  <c r="N70" i="1"/>
  <c r="N71" i="1" s="1"/>
  <c r="M70" i="1"/>
  <c r="M71" i="1" s="1"/>
  <c r="L70" i="1"/>
  <c r="L71" i="1" s="1"/>
  <c r="N68" i="1"/>
  <c r="N69" i="1" s="1"/>
  <c r="M68" i="1"/>
  <c r="M69" i="1" s="1"/>
  <c r="L68" i="1"/>
  <c r="L69" i="1" s="1"/>
  <c r="N67" i="1"/>
  <c r="M67" i="1"/>
  <c r="L67" i="1"/>
  <c r="I71" i="1"/>
  <c r="I70" i="1"/>
  <c r="H70" i="1"/>
  <c r="H71" i="1" s="1"/>
  <c r="G70" i="1"/>
  <c r="G71" i="1" s="1"/>
  <c r="H69" i="1"/>
  <c r="G69" i="1"/>
  <c r="I68" i="1"/>
  <c r="I69" i="1" s="1"/>
  <c r="H68" i="1"/>
  <c r="G68" i="1"/>
  <c r="I67" i="1"/>
  <c r="H67" i="1"/>
  <c r="G67" i="1"/>
  <c r="EP66" i="1"/>
  <c r="DG66" i="1"/>
  <c r="DB66" i="1"/>
  <c r="CY67" i="1"/>
  <c r="CX67" i="1"/>
  <c r="CU67" i="1"/>
  <c r="CT67" i="1"/>
  <c r="CR66" i="1"/>
  <c r="AE66" i="1"/>
  <c r="AE67" i="1" s="1"/>
  <c r="U66" i="1"/>
  <c r="U68" i="1" s="1"/>
  <c r="P66" i="1"/>
  <c r="P70" i="1" s="1"/>
  <c r="P71" i="1" s="1"/>
  <c r="K66" i="1"/>
  <c r="K70" i="1" s="1"/>
  <c r="F66" i="1"/>
  <c r="F68" i="1" s="1"/>
  <c r="FE62" i="1"/>
  <c r="EZ62" i="1"/>
  <c r="EZ56" i="1" s="1"/>
  <c r="I46" i="363" s="1"/>
  <c r="ET62" i="1"/>
  <c r="ES62" i="1"/>
  <c r="ER62" i="1"/>
  <c r="FE56" i="1"/>
  <c r="EN56" i="1"/>
  <c r="EJ56" i="1"/>
  <c r="EJ57" i="1" s="1"/>
  <c r="EI56" i="1"/>
  <c r="EI57" i="1" s="1"/>
  <c r="EH56" i="1"/>
  <c r="EH57" i="1" s="1"/>
  <c r="EG56" i="1"/>
  <c r="EG57" i="1" s="1"/>
  <c r="EF56" i="1"/>
  <c r="EE56" i="1"/>
  <c r="EE57" i="1" s="1"/>
  <c r="ED56" i="1"/>
  <c r="ED57" i="1" s="1"/>
  <c r="EC56" i="1"/>
  <c r="EC57" i="1" s="1"/>
  <c r="EB56" i="1"/>
  <c r="EB57" i="1" s="1"/>
  <c r="DZ56" i="1"/>
  <c r="DZ57" i="1" s="1"/>
  <c r="DY56" i="1"/>
  <c r="DY57" i="1" s="1"/>
  <c r="DX56" i="1"/>
  <c r="DX57" i="1" s="1"/>
  <c r="DW56" i="1"/>
  <c r="DW57" i="1" s="1"/>
  <c r="DU56" i="1"/>
  <c r="DU57" i="1" s="1"/>
  <c r="DT56" i="1"/>
  <c r="DT57" i="1" s="1"/>
  <c r="DS56" i="1"/>
  <c r="DS57" i="1" s="1"/>
  <c r="DR56" i="1"/>
  <c r="DR57" i="1" s="1"/>
  <c r="DP56" i="1"/>
  <c r="DP57" i="1" s="1"/>
  <c r="DO56" i="1"/>
  <c r="DO57" i="1" s="1"/>
  <c r="DN56" i="1"/>
  <c r="DN57" i="1" s="1"/>
  <c r="DM56" i="1"/>
  <c r="DM57" i="1" s="1"/>
  <c r="DK56" i="1"/>
  <c r="DK57" i="1" s="1"/>
  <c r="DJ56" i="1"/>
  <c r="DJ57" i="1" s="1"/>
  <c r="DI56" i="1"/>
  <c r="DH56" i="1"/>
  <c r="DF56" i="1"/>
  <c r="DE56" i="1"/>
  <c r="CG56" i="1"/>
  <c r="CG57" i="1" s="1"/>
  <c r="CF56" i="1"/>
  <c r="CB56" i="1"/>
  <c r="CB57" i="1" s="1"/>
  <c r="BX56" i="1"/>
  <c r="BW56" i="1"/>
  <c r="BW57" i="1" s="1"/>
  <c r="BV56" i="1"/>
  <c r="BV57" i="1" s="1"/>
  <c r="BU56" i="1"/>
  <c r="BU57" i="1" s="1"/>
  <c r="BT56" i="1"/>
  <c r="BT57" i="1" s="1"/>
  <c r="BR56" i="1"/>
  <c r="BR57" i="1" s="1"/>
  <c r="BQ56" i="1"/>
  <c r="BQ57" i="1" s="1"/>
  <c r="BP56" i="1"/>
  <c r="BP57" i="1" s="1"/>
  <c r="BO56" i="1"/>
  <c r="BO57" i="1" s="1"/>
  <c r="BM56" i="1"/>
  <c r="BM57" i="1" s="1"/>
  <c r="BL56" i="1"/>
  <c r="BL57" i="1" s="1"/>
  <c r="BK56" i="1"/>
  <c r="BK57" i="1" s="1"/>
  <c r="BJ56" i="1"/>
  <c r="BJ57" i="1" s="1"/>
  <c r="BH56" i="1"/>
  <c r="BH57" i="1" s="1"/>
  <c r="BG56" i="1"/>
  <c r="BG57" i="1" s="1"/>
  <c r="BF56" i="1"/>
  <c r="BF57" i="1" s="1"/>
  <c r="BE56" i="1"/>
  <c r="BE57" i="1" s="1"/>
  <c r="BC56" i="1"/>
  <c r="BC57" i="1" s="1"/>
  <c r="BB56" i="1"/>
  <c r="BB57" i="1" s="1"/>
  <c r="BA56" i="1"/>
  <c r="BA57" i="1" s="1"/>
  <c r="AZ56" i="1"/>
  <c r="AZ57" i="1" s="1"/>
  <c r="AX56" i="1"/>
  <c r="AX57" i="1" s="1"/>
  <c r="AW56" i="1"/>
  <c r="AW57" i="1" s="1"/>
  <c r="AV56" i="1"/>
  <c r="AV57" i="1" s="1"/>
  <c r="AU56" i="1"/>
  <c r="AU57" i="1" s="1"/>
  <c r="AS56" i="1"/>
  <c r="AS57" i="1" s="1"/>
  <c r="AR56" i="1"/>
  <c r="AR57" i="1" s="1"/>
  <c r="AQ56" i="1"/>
  <c r="AQ57" i="1" s="1"/>
  <c r="AP56" i="1"/>
  <c r="AP57" i="1" s="1"/>
  <c r="AN56" i="1"/>
  <c r="AN57" i="1" s="1"/>
  <c r="AM56" i="1"/>
  <c r="AM57" i="1" s="1"/>
  <c r="AL56" i="1"/>
  <c r="AL57" i="1" s="1"/>
  <c r="AK56" i="1"/>
  <c r="AK57" i="1" s="1"/>
  <c r="AI56" i="1"/>
  <c r="AH56" i="1"/>
  <c r="AH57" i="1" s="1"/>
  <c r="AG56" i="1"/>
  <c r="AG57" i="1" s="1"/>
  <c r="AF56" i="1"/>
  <c r="AF57" i="1" s="1"/>
  <c r="AC56" i="1"/>
  <c r="AC57" i="1" s="1"/>
  <c r="AB56" i="1"/>
  <c r="AB57" i="1" s="1"/>
  <c r="AA56" i="1"/>
  <c r="AA57" i="1" s="1"/>
  <c r="Y56" i="1"/>
  <c r="X56" i="1"/>
  <c r="X57" i="1" s="1"/>
  <c r="W56" i="1"/>
  <c r="W57" i="1" s="1"/>
  <c r="V56" i="1"/>
  <c r="V57" i="1" s="1"/>
  <c r="U56" i="1"/>
  <c r="U57" i="1" s="1"/>
  <c r="S56" i="1"/>
  <c r="S57" i="1" s="1"/>
  <c r="R56" i="1"/>
  <c r="R57" i="1" s="1"/>
  <c r="Q56" i="1"/>
  <c r="Q57" i="1" s="1"/>
  <c r="P56" i="1"/>
  <c r="P57" i="1" s="1"/>
  <c r="N56" i="1"/>
  <c r="N57" i="1" s="1"/>
  <c r="M56" i="1"/>
  <c r="M57" i="1" s="1"/>
  <c r="L56" i="1"/>
  <c r="L57" i="1" s="1"/>
  <c r="K56" i="1"/>
  <c r="K57" i="1" s="1"/>
  <c r="I56" i="1"/>
  <c r="I57" i="1" s="1"/>
  <c r="H56" i="1"/>
  <c r="H57" i="1" s="1"/>
  <c r="G56" i="1"/>
  <c r="G57" i="1" s="1"/>
  <c r="F56" i="1"/>
  <c r="D56" i="1"/>
  <c r="C56" i="1"/>
  <c r="B56" i="1"/>
  <c r="EJ55" i="1"/>
  <c r="EI55" i="1"/>
  <c r="EH55" i="1"/>
  <c r="EG55" i="1"/>
  <c r="EE55" i="1"/>
  <c r="ED55" i="1"/>
  <c r="EC55" i="1"/>
  <c r="EB55" i="1"/>
  <c r="DZ55" i="1"/>
  <c r="DY55" i="1"/>
  <c r="DX55" i="1"/>
  <c r="DW55" i="1"/>
  <c r="DV55" i="1"/>
  <c r="DU55" i="1"/>
  <c r="DT55" i="1"/>
  <c r="DS55" i="1"/>
  <c r="DR55" i="1"/>
  <c r="DP55" i="1"/>
  <c r="DO55" i="1"/>
  <c r="DN55" i="1"/>
  <c r="DM55" i="1"/>
  <c r="DK55" i="1"/>
  <c r="DJ55" i="1"/>
  <c r="DF55" i="1"/>
  <c r="CT55" i="1"/>
  <c r="CP55" i="1"/>
  <c r="CL55" i="1"/>
  <c r="BW55" i="1"/>
  <c r="BV55" i="1"/>
  <c r="BU55" i="1"/>
  <c r="BT55" i="1"/>
  <c r="BR55" i="1"/>
  <c r="BQ55" i="1"/>
  <c r="BP55" i="1"/>
  <c r="BO55" i="1"/>
  <c r="BM55" i="1"/>
  <c r="BL55" i="1"/>
  <c r="BK55" i="1"/>
  <c r="BJ55" i="1"/>
  <c r="BH55" i="1"/>
  <c r="BG55" i="1"/>
  <c r="BF55" i="1"/>
  <c r="BE55" i="1"/>
  <c r="BC55" i="1"/>
  <c r="BB55" i="1"/>
  <c r="BA55" i="1"/>
  <c r="AZ55" i="1"/>
  <c r="AX55" i="1"/>
  <c r="AW55" i="1"/>
  <c r="AV55" i="1"/>
  <c r="AU55" i="1"/>
  <c r="AS55" i="1"/>
  <c r="AR55" i="1"/>
  <c r="AQ55" i="1"/>
  <c r="AP55" i="1"/>
  <c r="AN55" i="1"/>
  <c r="AM55" i="1"/>
  <c r="AL55" i="1"/>
  <c r="AK55" i="1"/>
  <c r="AH55" i="1"/>
  <c r="AG55" i="1"/>
  <c r="AF55" i="1"/>
  <c r="AC55" i="1"/>
  <c r="AB55" i="1"/>
  <c r="AA55" i="1"/>
  <c r="X55" i="1"/>
  <c r="W55" i="1"/>
  <c r="V55" i="1"/>
  <c r="U55" i="1"/>
  <c r="S55" i="1"/>
  <c r="R55" i="1"/>
  <c r="Q55" i="1"/>
  <c r="P55" i="1"/>
  <c r="N55" i="1"/>
  <c r="M55" i="1"/>
  <c r="L55" i="1"/>
  <c r="K55" i="1"/>
  <c r="I55" i="1"/>
  <c r="H55" i="1"/>
  <c r="G55" i="1"/>
  <c r="ET56" i="1"/>
  <c r="ES56" i="1"/>
  <c r="ES57" i="1" s="1"/>
  <c r="ER56" i="1"/>
  <c r="EO54" i="1"/>
  <c r="EO56" i="1" s="1"/>
  <c r="EN54" i="1"/>
  <c r="EM54" i="1"/>
  <c r="EM177" i="1" s="1"/>
  <c r="EL54" i="1"/>
  <c r="EL177" i="1" s="1"/>
  <c r="EK54" i="1"/>
  <c r="EK177" i="1" s="1"/>
  <c r="EF54" i="1"/>
  <c r="EF177" i="1" s="1"/>
  <c r="EF49" i="1"/>
  <c r="EF48" i="1"/>
  <c r="EF47" i="1"/>
  <c r="EF41" i="1"/>
  <c r="EF40" i="1"/>
  <c r="EF39" i="1"/>
  <c r="EA54" i="1"/>
  <c r="EA177" i="1" s="1"/>
  <c r="EA49" i="1"/>
  <c r="EA48" i="1"/>
  <c r="EA47" i="1"/>
  <c r="EA41" i="1"/>
  <c r="EA40" i="1"/>
  <c r="EA39" i="1"/>
  <c r="DV54" i="1"/>
  <c r="DV177" i="1" s="1"/>
  <c r="DV49" i="1"/>
  <c r="DV48" i="1"/>
  <c r="DV47" i="1"/>
  <c r="DV41" i="1"/>
  <c r="DV40" i="1"/>
  <c r="DV39" i="1"/>
  <c r="DQ54" i="1"/>
  <c r="DQ177" i="1" s="1"/>
  <c r="DQ48" i="1"/>
  <c r="DQ47" i="1"/>
  <c r="DQ41" i="1"/>
  <c r="DQ39" i="1"/>
  <c r="DL54" i="1"/>
  <c r="DL177" i="1" s="1"/>
  <c r="DL47" i="1"/>
  <c r="DG47" i="1"/>
  <c r="DL48" i="1" s="1"/>
  <c r="DD54" i="1"/>
  <c r="DD56" i="1" s="1"/>
  <c r="DA54" i="1"/>
  <c r="DA56" i="1" s="1"/>
  <c r="CZ54" i="1"/>
  <c r="CZ56" i="1" s="1"/>
  <c r="CY54" i="1"/>
  <c r="CY56" i="1" s="1"/>
  <c r="CV56" i="1"/>
  <c r="CU56" i="1"/>
  <c r="CS56" i="1"/>
  <c r="CQ54" i="1"/>
  <c r="CQ56" i="1" s="1"/>
  <c r="CP54" i="1"/>
  <c r="CO54" i="1"/>
  <c r="CO56" i="1" s="1"/>
  <c r="CN54" i="1"/>
  <c r="CN56" i="1" s="1"/>
  <c r="CL54" i="1"/>
  <c r="CK54" i="1"/>
  <c r="CK56" i="1" s="1"/>
  <c r="CK57" i="1" s="1"/>
  <c r="CJ54" i="1"/>
  <c r="CJ56" i="1" s="1"/>
  <c r="CJ57" i="1" s="1"/>
  <c r="CI54" i="1"/>
  <c r="CI56" i="1" s="1"/>
  <c r="CF54" i="1"/>
  <c r="CE54" i="1"/>
  <c r="CE56" i="1" s="1"/>
  <c r="CD54" i="1"/>
  <c r="CH54" i="1" s="1"/>
  <c r="CB54" i="1"/>
  <c r="CG55" i="1" s="1"/>
  <c r="CA54" i="1"/>
  <c r="CA56" i="1" s="1"/>
  <c r="CA57" i="1" s="1"/>
  <c r="BZ54" i="1"/>
  <c r="BY54" i="1"/>
  <c r="BY177" i="1" s="1"/>
  <c r="BX54" i="1"/>
  <c r="BX177" i="1" s="1"/>
  <c r="BS54" i="1"/>
  <c r="BS177" i="1" s="1"/>
  <c r="BS47" i="1"/>
  <c r="BN54" i="1"/>
  <c r="BN177" i="1" s="1"/>
  <c r="BN48" i="1"/>
  <c r="BN49" i="1" s="1"/>
  <c r="BN47" i="1"/>
  <c r="BS48" i="1" s="1"/>
  <c r="BS49" i="1" s="1"/>
  <c r="BI54" i="1"/>
  <c r="BI177" i="1" s="1"/>
  <c r="BI47" i="1"/>
  <c r="BD54" i="1"/>
  <c r="BD177" i="1" s="1"/>
  <c r="BD48" i="1"/>
  <c r="BD49" i="1" s="1"/>
  <c r="BD47" i="1"/>
  <c r="BI48" i="1" s="1"/>
  <c r="BI49" i="1" s="1"/>
  <c r="AY54" i="1"/>
  <c r="AY177" i="1" s="1"/>
  <c r="AY47" i="1"/>
  <c r="AT54" i="1"/>
  <c r="AT177" i="1" s="1"/>
  <c r="AT48" i="1"/>
  <c r="AT47" i="1"/>
  <c r="AY48" i="1" s="1"/>
  <c r="AY49" i="1" s="1"/>
  <c r="AO54" i="1"/>
  <c r="AO177" i="1" s="1"/>
  <c r="AO47" i="1"/>
  <c r="AJ54" i="1"/>
  <c r="AJ177" i="1" s="1"/>
  <c r="AJ47" i="1"/>
  <c r="AO48" i="1" s="1"/>
  <c r="AD54" i="1"/>
  <c r="AD56" i="1" s="1"/>
  <c r="AD57" i="1" s="1"/>
  <c r="Z54" i="1"/>
  <c r="Z56" i="1" s="1"/>
  <c r="Z57" i="1" s="1"/>
  <c r="Z47" i="1"/>
  <c r="T54" i="1"/>
  <c r="T55" i="1" s="1"/>
  <c r="T48" i="1"/>
  <c r="O54" i="1"/>
  <c r="O55" i="1" s="1"/>
  <c r="O48" i="1"/>
  <c r="O49" i="1" s="1"/>
  <c r="J54" i="1"/>
  <c r="J56" i="1" s="1"/>
  <c r="J57" i="1" s="1"/>
  <c r="E54" i="1"/>
  <c r="E56" i="1" s="1"/>
  <c r="FN53" i="1"/>
  <c r="FR54" i="1" s="1"/>
  <c r="EU41" i="1"/>
  <c r="FQ52" i="1"/>
  <c r="FQ54" i="1" s="1"/>
  <c r="FP52" i="1"/>
  <c r="FK51" i="1"/>
  <c r="FJ51" i="1"/>
  <c r="FI51" i="1"/>
  <c r="FH51" i="1"/>
  <c r="FP49" i="1"/>
  <c r="FO49" i="1"/>
  <c r="FO54" i="1" s="1"/>
  <c r="EJ49" i="1"/>
  <c r="BZ52" i="1"/>
  <c r="CP49" i="1"/>
  <c r="CL49" i="1"/>
  <c r="CD49" i="1"/>
  <c r="BZ49" i="1"/>
  <c r="BV49" i="1"/>
  <c r="FP48" i="1"/>
  <c r="FP54" i="1" s="1"/>
  <c r="EP48" i="1"/>
  <c r="EO48" i="1"/>
  <c r="EN48" i="1"/>
  <c r="EM48" i="1"/>
  <c r="EL48" i="1"/>
  <c r="EK48" i="1"/>
  <c r="EK49" i="1" s="1"/>
  <c r="EJ48" i="1"/>
  <c r="EI48" i="1"/>
  <c r="EI49" i="1" s="1"/>
  <c r="EH48" i="1"/>
  <c r="EH49" i="1" s="1"/>
  <c r="EG48" i="1"/>
  <c r="EG49" i="1" s="1"/>
  <c r="EE48" i="1"/>
  <c r="EE49" i="1" s="1"/>
  <c r="ED48" i="1"/>
  <c r="ED49" i="1" s="1"/>
  <c r="EC48" i="1"/>
  <c r="EC49" i="1" s="1"/>
  <c r="EB48" i="1"/>
  <c r="EB49" i="1" s="1"/>
  <c r="DZ48" i="1"/>
  <c r="DZ49" i="1" s="1"/>
  <c r="DY48" i="1"/>
  <c r="DY49" i="1" s="1"/>
  <c r="DX48" i="1"/>
  <c r="DX49" i="1" s="1"/>
  <c r="DW48" i="1"/>
  <c r="DW49" i="1" s="1"/>
  <c r="DU48" i="1"/>
  <c r="DU49" i="1" s="1"/>
  <c r="DT48" i="1"/>
  <c r="DT49" i="1" s="1"/>
  <c r="DS48" i="1"/>
  <c r="DS49" i="1" s="1"/>
  <c r="DR48" i="1"/>
  <c r="DR49" i="1" s="1"/>
  <c r="DP48" i="1"/>
  <c r="DP49" i="1" s="1"/>
  <c r="DO48" i="1"/>
  <c r="DO49" i="1" s="1"/>
  <c r="DN48" i="1"/>
  <c r="DN49" i="1" s="1"/>
  <c r="DM48" i="1"/>
  <c r="DM49" i="1" s="1"/>
  <c r="DK48" i="1"/>
  <c r="DK49" i="1" s="1"/>
  <c r="DJ48" i="1"/>
  <c r="DJ49" i="1" s="1"/>
  <c r="DI48" i="1"/>
  <c r="DH48" i="1"/>
  <c r="DF48" i="1"/>
  <c r="DE48" i="1"/>
  <c r="CQ48" i="1"/>
  <c r="CQ52" i="1" s="1"/>
  <c r="CP48" i="1"/>
  <c r="CP52" i="1" s="1"/>
  <c r="CO48" i="1"/>
  <c r="CO52" i="1" s="1"/>
  <c r="CN48" i="1"/>
  <c r="CN49" i="1" s="1"/>
  <c r="CL48" i="1"/>
  <c r="CL52" i="1" s="1"/>
  <c r="CK48" i="1"/>
  <c r="CK49" i="1" s="1"/>
  <c r="CJ48" i="1"/>
  <c r="CJ49" i="1" s="1"/>
  <c r="CI48" i="1"/>
  <c r="CI52" i="1" s="1"/>
  <c r="CG48" i="1"/>
  <c r="CG52" i="1" s="1"/>
  <c r="CF48" i="1"/>
  <c r="CF49" i="1" s="1"/>
  <c r="CE48" i="1"/>
  <c r="CE52" i="1" s="1"/>
  <c r="CD48" i="1"/>
  <c r="CD52" i="1" s="1"/>
  <c r="CB48" i="1"/>
  <c r="CB49" i="1" s="1"/>
  <c r="CA48" i="1"/>
  <c r="CA49" i="1" s="1"/>
  <c r="BY48" i="1"/>
  <c r="BY49" i="1" s="1"/>
  <c r="BX48" i="1"/>
  <c r="BX49" i="1" s="1"/>
  <c r="BW48" i="1"/>
  <c r="BW52" i="1" s="1"/>
  <c r="BV48" i="1"/>
  <c r="BV52" i="1" s="1"/>
  <c r="BU48" i="1"/>
  <c r="BU49" i="1" s="1"/>
  <c r="BT48" i="1"/>
  <c r="BT49" i="1" s="1"/>
  <c r="BR48" i="1"/>
  <c r="BR52" i="1" s="1"/>
  <c r="BQ48" i="1"/>
  <c r="BQ52" i="1" s="1"/>
  <c r="BP48" i="1"/>
  <c r="BP49" i="1" s="1"/>
  <c r="BO48" i="1"/>
  <c r="BO52" i="1" s="1"/>
  <c r="BM48" i="1"/>
  <c r="BM52" i="1" s="1"/>
  <c r="BL48" i="1"/>
  <c r="BL52" i="1" s="1"/>
  <c r="BK48" i="1"/>
  <c r="BK49" i="1" s="1"/>
  <c r="BJ48" i="1"/>
  <c r="BJ52" i="1" s="1"/>
  <c r="BH48" i="1"/>
  <c r="BH49" i="1" s="1"/>
  <c r="BG48" i="1"/>
  <c r="BG52" i="1" s="1"/>
  <c r="BF48" i="1"/>
  <c r="BF52" i="1" s="1"/>
  <c r="BE48" i="1"/>
  <c r="BE52" i="1" s="1"/>
  <c r="BC48" i="1"/>
  <c r="BC52" i="1" s="1"/>
  <c r="BB48" i="1"/>
  <c r="BB52" i="1" s="1"/>
  <c r="BA48" i="1"/>
  <c r="BA52" i="1" s="1"/>
  <c r="AZ48" i="1"/>
  <c r="AZ52" i="1" s="1"/>
  <c r="AX48" i="1"/>
  <c r="AX52" i="1" s="1"/>
  <c r="AW48" i="1"/>
  <c r="AW52" i="1" s="1"/>
  <c r="AV48" i="1"/>
  <c r="AV52" i="1" s="1"/>
  <c r="AU48" i="1"/>
  <c r="AU52" i="1" s="1"/>
  <c r="AS48" i="1"/>
  <c r="AS52" i="1" s="1"/>
  <c r="AR48" i="1"/>
  <c r="AR52" i="1" s="1"/>
  <c r="AQ48" i="1"/>
  <c r="AQ52" i="1" s="1"/>
  <c r="AP48" i="1"/>
  <c r="AP52" i="1" s="1"/>
  <c r="AN48" i="1"/>
  <c r="AN52" i="1" s="1"/>
  <c r="AN53" i="1" s="1"/>
  <c r="AM48" i="1"/>
  <c r="AM52" i="1" s="1"/>
  <c r="AM53" i="1" s="1"/>
  <c r="AL48" i="1"/>
  <c r="AL52" i="1" s="1"/>
  <c r="AK48" i="1"/>
  <c r="AK52" i="1" s="1"/>
  <c r="AI49" i="1"/>
  <c r="AA49" i="1"/>
  <c r="AI48" i="1"/>
  <c r="AI52" i="1" s="1"/>
  <c r="AI53" i="1" s="1"/>
  <c r="AH48" i="1"/>
  <c r="AH52" i="1" s="1"/>
  <c r="AG48" i="1"/>
  <c r="AG49" i="1" s="1"/>
  <c r="AF48" i="1"/>
  <c r="AF49" i="1" s="1"/>
  <c r="AE48" i="1"/>
  <c r="AD48" i="1"/>
  <c r="AD52" i="1" s="1"/>
  <c r="AC48" i="1"/>
  <c r="AC49" i="1" s="1"/>
  <c r="AB48" i="1"/>
  <c r="AB49" i="1" s="1"/>
  <c r="AA48" i="1"/>
  <c r="AA52" i="1" s="1"/>
  <c r="W49" i="1"/>
  <c r="V49" i="1"/>
  <c r="Y48" i="1"/>
  <c r="Y49" i="1" s="1"/>
  <c r="X48" i="1"/>
  <c r="X49" i="1" s="1"/>
  <c r="W48" i="1"/>
  <c r="W52" i="1" s="1"/>
  <c r="V48" i="1"/>
  <c r="V52" i="1" s="1"/>
  <c r="V53" i="1" s="1"/>
  <c r="S48" i="1"/>
  <c r="S52" i="1" s="1"/>
  <c r="R48" i="1"/>
  <c r="R52" i="1" s="1"/>
  <c r="R53" i="1" s="1"/>
  <c r="Q48" i="1"/>
  <c r="Q52" i="1" s="1"/>
  <c r="N48" i="1"/>
  <c r="N52" i="1" s="1"/>
  <c r="M48" i="1"/>
  <c r="M52" i="1" s="1"/>
  <c r="L48" i="1"/>
  <c r="L49" i="1" s="1"/>
  <c r="J48" i="1"/>
  <c r="I48" i="1"/>
  <c r="I52" i="1" s="1"/>
  <c r="H48" i="1"/>
  <c r="H52" i="1" s="1"/>
  <c r="G48" i="1"/>
  <c r="G52" i="1" s="1"/>
  <c r="EP47" i="1"/>
  <c r="EK47" i="1"/>
  <c r="EK41" i="1"/>
  <c r="EK39" i="1"/>
  <c r="CX48" i="1"/>
  <c r="CR47" i="1"/>
  <c r="CW48" i="1" s="1"/>
  <c r="CW49" i="1" s="1"/>
  <c r="CM47" i="1"/>
  <c r="CR48" i="1" s="1"/>
  <c r="CH47" i="1"/>
  <c r="CM48" i="1" s="1"/>
  <c r="CM49" i="1" s="1"/>
  <c r="CC47" i="1"/>
  <c r="CH48" i="1" s="1"/>
  <c r="BX47" i="1"/>
  <c r="CC48" i="1" s="1"/>
  <c r="CC49" i="1" s="1"/>
  <c r="AE47" i="1"/>
  <c r="AJ48" i="1" s="1"/>
  <c r="AJ49" i="1" s="1"/>
  <c r="U47" i="1"/>
  <c r="Z48" i="1" s="1"/>
  <c r="U45" i="1"/>
  <c r="P47" i="1"/>
  <c r="U48" i="1" s="1"/>
  <c r="P45" i="1"/>
  <c r="U46" i="1" s="1"/>
  <c r="K47" i="1"/>
  <c r="P48" i="1" s="1"/>
  <c r="K45" i="1"/>
  <c r="K46" i="1" s="1"/>
  <c r="F47" i="1"/>
  <c r="K48" i="1" s="1"/>
  <c r="K52" i="1" s="1"/>
  <c r="CO46" i="1"/>
  <c r="DD45" i="1"/>
  <c r="DD46" i="1" s="1"/>
  <c r="DA45" i="1"/>
  <c r="CZ45" i="1"/>
  <c r="CY45" i="1"/>
  <c r="CQ45" i="1"/>
  <c r="CQ46" i="1" s="1"/>
  <c r="CP45" i="1"/>
  <c r="CO45" i="1"/>
  <c r="CN45" i="1"/>
  <c r="CN46" i="1" s="1"/>
  <c r="CL45" i="1"/>
  <c r="CL46" i="1" s="1"/>
  <c r="CJ45" i="1"/>
  <c r="CJ46" i="1" s="1"/>
  <c r="CI45" i="1"/>
  <c r="CI46" i="1" s="1"/>
  <c r="CG45" i="1"/>
  <c r="CF45" i="1"/>
  <c r="CE45" i="1"/>
  <c r="CE46" i="1" s="1"/>
  <c r="CD45" i="1"/>
  <c r="BZ45" i="1"/>
  <c r="BW45" i="1"/>
  <c r="BW46" i="1" s="1"/>
  <c r="BV45" i="1"/>
  <c r="BV46" i="1" s="1"/>
  <c r="BR45" i="1"/>
  <c r="BR46" i="1" s="1"/>
  <c r="BQ45" i="1"/>
  <c r="BQ46" i="1" s="1"/>
  <c r="BO45" i="1"/>
  <c r="BO46" i="1" s="1"/>
  <c r="BM45" i="1"/>
  <c r="BL45" i="1"/>
  <c r="BL46" i="1" s="1"/>
  <c r="BJ45" i="1"/>
  <c r="BJ46" i="1" s="1"/>
  <c r="BG45" i="1"/>
  <c r="BG46" i="1" s="1"/>
  <c r="BF45" i="1"/>
  <c r="BF46" i="1" s="1"/>
  <c r="BE45" i="1"/>
  <c r="BE46" i="1" s="1"/>
  <c r="BC45" i="1"/>
  <c r="BC46" i="1" s="1"/>
  <c r="BB45" i="1"/>
  <c r="BB46" i="1" s="1"/>
  <c r="BA45" i="1"/>
  <c r="BA46" i="1" s="1"/>
  <c r="AZ45" i="1"/>
  <c r="AZ46" i="1" s="1"/>
  <c r="AX45" i="1"/>
  <c r="AX46" i="1" s="1"/>
  <c r="AW45" i="1"/>
  <c r="AW46" i="1" s="1"/>
  <c r="AV45" i="1"/>
  <c r="AV46" i="1" s="1"/>
  <c r="AU45" i="1"/>
  <c r="AU46" i="1" s="1"/>
  <c r="AS45" i="1"/>
  <c r="AS46" i="1" s="1"/>
  <c r="AR45" i="1"/>
  <c r="AR46" i="1" s="1"/>
  <c r="AQ45" i="1"/>
  <c r="AQ46" i="1" s="1"/>
  <c r="AP45" i="1"/>
  <c r="AP46" i="1" s="1"/>
  <c r="AN45" i="1"/>
  <c r="AN46" i="1" s="1"/>
  <c r="AM45" i="1"/>
  <c r="AM46" i="1" s="1"/>
  <c r="AL45" i="1"/>
  <c r="AL46" i="1" s="1"/>
  <c r="AK45" i="1"/>
  <c r="AK46" i="1" s="1"/>
  <c r="AI45" i="1"/>
  <c r="AI46" i="1" s="1"/>
  <c r="AH45" i="1"/>
  <c r="AH46" i="1" s="1"/>
  <c r="AG45" i="1"/>
  <c r="AG46" i="1" s="1"/>
  <c r="AF45" i="1"/>
  <c r="AF46" i="1" s="1"/>
  <c r="AD45" i="1"/>
  <c r="AD46" i="1" s="1"/>
  <c r="AC45" i="1"/>
  <c r="AC46" i="1" s="1"/>
  <c r="AB45" i="1"/>
  <c r="AB46" i="1" s="1"/>
  <c r="AA45" i="1"/>
  <c r="AA46" i="1" s="1"/>
  <c r="Y45" i="1"/>
  <c r="X45" i="1"/>
  <c r="X46" i="1" s="1"/>
  <c r="W45" i="1"/>
  <c r="W46" i="1" s="1"/>
  <c r="V45" i="1"/>
  <c r="V46" i="1" s="1"/>
  <c r="S45" i="1"/>
  <c r="S46" i="1" s="1"/>
  <c r="R45" i="1"/>
  <c r="R46" i="1" s="1"/>
  <c r="Q45" i="1"/>
  <c r="Q46" i="1" s="1"/>
  <c r="N45" i="1"/>
  <c r="N46" i="1" s="1"/>
  <c r="M45" i="1"/>
  <c r="M46" i="1" s="1"/>
  <c r="L45" i="1"/>
  <c r="L46" i="1" s="1"/>
  <c r="I45" i="1"/>
  <c r="I46" i="1" s="1"/>
  <c r="H45" i="1"/>
  <c r="H46" i="1" s="1"/>
  <c r="G45" i="1"/>
  <c r="G46" i="1" s="1"/>
  <c r="F45" i="1"/>
  <c r="D45" i="1"/>
  <c r="C45" i="1"/>
  <c r="B45" i="1"/>
  <c r="DI45" i="1"/>
  <c r="DI46" i="1" s="1"/>
  <c r="DH45" i="1"/>
  <c r="DI44" i="1"/>
  <c r="DP43" i="1"/>
  <c r="DP52" i="1" s="1"/>
  <c r="DO43" i="1"/>
  <c r="DO52" i="1" s="1"/>
  <c r="DN43" i="1"/>
  <c r="DN52" i="1" s="1"/>
  <c r="DM43" i="1"/>
  <c r="DQ43" i="1" s="1"/>
  <c r="DK43" i="1"/>
  <c r="DK52" i="1" s="1"/>
  <c r="DJ43" i="1"/>
  <c r="DJ52" i="1" s="1"/>
  <c r="DI43" i="1"/>
  <c r="DI52" i="1" s="1"/>
  <c r="DH43" i="1"/>
  <c r="DL43" i="1" s="1"/>
  <c r="DF43" i="1"/>
  <c r="DF45" i="1" s="1"/>
  <c r="DF46" i="1" s="1"/>
  <c r="DE43" i="1"/>
  <c r="DE45" i="1" s="1"/>
  <c r="DE46" i="1" s="1"/>
  <c r="DD43" i="1"/>
  <c r="EO42" i="1"/>
  <c r="EN42" i="1"/>
  <c r="EM42" i="1"/>
  <c r="EL42" i="1"/>
  <c r="EP42" i="1" s="1"/>
  <c r="EJ43" i="1"/>
  <c r="EJ52" i="1" s="1"/>
  <c r="EI43" i="1"/>
  <c r="EI52" i="1" s="1"/>
  <c r="EH43" i="1"/>
  <c r="EH52" i="1" s="1"/>
  <c r="EG43" i="1"/>
  <c r="EK43" i="1" s="1"/>
  <c r="EJ42" i="1"/>
  <c r="EI42" i="1"/>
  <c r="EH42" i="1"/>
  <c r="EG42" i="1"/>
  <c r="EK42" i="1" s="1"/>
  <c r="EE43" i="1"/>
  <c r="EE52" i="1" s="1"/>
  <c r="ED43" i="1"/>
  <c r="ED52" i="1" s="1"/>
  <c r="EC43" i="1"/>
  <c r="EC52" i="1" s="1"/>
  <c r="EB43" i="1"/>
  <c r="EF43" i="1" s="1"/>
  <c r="EE42" i="1"/>
  <c r="ED42" i="1"/>
  <c r="EC42" i="1"/>
  <c r="EB42" i="1"/>
  <c r="EF42" i="1" s="1"/>
  <c r="DZ43" i="1"/>
  <c r="DZ52" i="1" s="1"/>
  <c r="DZ53" i="1" s="1"/>
  <c r="DY43" i="1"/>
  <c r="DY52" i="1" s="1"/>
  <c r="DX43" i="1"/>
  <c r="DX52" i="1" s="1"/>
  <c r="DX53" i="1" s="1"/>
  <c r="DW43" i="1"/>
  <c r="EA43" i="1" s="1"/>
  <c r="DZ42" i="1"/>
  <c r="DY42" i="1"/>
  <c r="DX42" i="1"/>
  <c r="DW42" i="1"/>
  <c r="EA42" i="1" s="1"/>
  <c r="DS44" i="1"/>
  <c r="DU43" i="1"/>
  <c r="DU52" i="1" s="1"/>
  <c r="DT43" i="1"/>
  <c r="DT52" i="1" s="1"/>
  <c r="DT53" i="1" s="1"/>
  <c r="DS43" i="1"/>
  <c r="DS52" i="1" s="1"/>
  <c r="DS53" i="1" s="1"/>
  <c r="DR43" i="1"/>
  <c r="DV43" i="1" s="1"/>
  <c r="DU42" i="1"/>
  <c r="DT42" i="1"/>
  <c r="DS42" i="1"/>
  <c r="DR42" i="1"/>
  <c r="DV42" i="1" s="1"/>
  <c r="DP42" i="1"/>
  <c r="DQ42" i="1" s="1"/>
  <c r="DL42" i="1"/>
  <c r="DL41" i="1"/>
  <c r="DL39" i="1"/>
  <c r="DQ40" i="1" s="1"/>
  <c r="EP41" i="1"/>
  <c r="DG41" i="1"/>
  <c r="EJ40" i="1"/>
  <c r="EI40" i="1"/>
  <c r="EH40" i="1"/>
  <c r="EG40" i="1"/>
  <c r="EE40" i="1"/>
  <c r="ED40" i="1"/>
  <c r="EC40" i="1"/>
  <c r="EB40" i="1"/>
  <c r="DZ40" i="1"/>
  <c r="DY40" i="1"/>
  <c r="DX40" i="1"/>
  <c r="DW40" i="1"/>
  <c r="DU40" i="1"/>
  <c r="DT40" i="1"/>
  <c r="DS40" i="1"/>
  <c r="DR40" i="1"/>
  <c r="DP40" i="1"/>
  <c r="DO40" i="1"/>
  <c r="DN40" i="1"/>
  <c r="DM40" i="1"/>
  <c r="DK40" i="1"/>
  <c r="DJ40" i="1"/>
  <c r="DI40" i="1"/>
  <c r="DF40" i="1"/>
  <c r="DE40" i="1"/>
  <c r="DD40" i="1"/>
  <c r="CT40" i="1"/>
  <c r="CQ40" i="1"/>
  <c r="CP40" i="1"/>
  <c r="CO40" i="1"/>
  <c r="CN40" i="1"/>
  <c r="CL40" i="1"/>
  <c r="CJ40" i="1"/>
  <c r="CI40" i="1"/>
  <c r="CE40" i="1"/>
  <c r="CD40" i="1"/>
  <c r="BZ40" i="1"/>
  <c r="BW40" i="1"/>
  <c r="BV40" i="1"/>
  <c r="BR40" i="1"/>
  <c r="BQ40" i="1"/>
  <c r="BO40" i="1"/>
  <c r="BL40" i="1"/>
  <c r="BJ40" i="1"/>
  <c r="BG40" i="1"/>
  <c r="BF40" i="1"/>
  <c r="BE40" i="1"/>
  <c r="BC40" i="1"/>
  <c r="BB40" i="1"/>
  <c r="BA40" i="1"/>
  <c r="AZ40" i="1"/>
  <c r="AX40" i="1"/>
  <c r="AW40" i="1"/>
  <c r="AV40" i="1"/>
  <c r="AU40" i="1"/>
  <c r="AS40" i="1"/>
  <c r="AR40" i="1"/>
  <c r="AQ40" i="1"/>
  <c r="AP40" i="1"/>
  <c r="AN40" i="1"/>
  <c r="AM40" i="1"/>
  <c r="AL40" i="1"/>
  <c r="AK40" i="1"/>
  <c r="AI40" i="1"/>
  <c r="AH40" i="1"/>
  <c r="AG40" i="1"/>
  <c r="AF40" i="1"/>
  <c r="AD40" i="1"/>
  <c r="AC40" i="1"/>
  <c r="AB40" i="1"/>
  <c r="AA40" i="1"/>
  <c r="X40" i="1"/>
  <c r="W40" i="1"/>
  <c r="V40" i="1"/>
  <c r="U40" i="1"/>
  <c r="S40" i="1"/>
  <c r="R40" i="1"/>
  <c r="Q40" i="1"/>
  <c r="P40" i="1"/>
  <c r="N40" i="1"/>
  <c r="M40" i="1"/>
  <c r="L40" i="1"/>
  <c r="K40" i="1"/>
  <c r="I40" i="1"/>
  <c r="H40" i="1"/>
  <c r="G40" i="1"/>
  <c r="EO39" i="1"/>
  <c r="EO99" i="1" s="1"/>
  <c r="EN39" i="1"/>
  <c r="EN99" i="1" s="1"/>
  <c r="EM39" i="1"/>
  <c r="EM99" i="1" s="1"/>
  <c r="EL39" i="1"/>
  <c r="DC43" i="1"/>
  <c r="CV40" i="1"/>
  <c r="CX40" i="1"/>
  <c r="CR39" i="1"/>
  <c r="CK39" i="1"/>
  <c r="CK45" i="1" s="1"/>
  <c r="CH39" i="1"/>
  <c r="CB39" i="1"/>
  <c r="CB40" i="1" s="1"/>
  <c r="CA39" i="1"/>
  <c r="CA52" i="1" s="1"/>
  <c r="CA53" i="1" s="1"/>
  <c r="BY39" i="1"/>
  <c r="BX39" i="1"/>
  <c r="BX40" i="1" s="1"/>
  <c r="BU39" i="1"/>
  <c r="BU91" i="1" s="1"/>
  <c r="BT39" i="1"/>
  <c r="BT91" i="1" s="1"/>
  <c r="BS39" i="1"/>
  <c r="BP39" i="1"/>
  <c r="BP91" i="1" s="1"/>
  <c r="BK39" i="1"/>
  <c r="BI39" i="1"/>
  <c r="BH39" i="1"/>
  <c r="BH91" i="1" s="1"/>
  <c r="BD39" i="1"/>
  <c r="AY39" i="1"/>
  <c r="AT39" i="1"/>
  <c r="AO39" i="1"/>
  <c r="AJ39" i="1"/>
  <c r="AE39" i="1"/>
  <c r="Z39" i="1"/>
  <c r="T39" i="1"/>
  <c r="T40" i="1" s="1"/>
  <c r="O39" i="1"/>
  <c r="O52" i="1" s="1"/>
  <c r="O53" i="1" s="1"/>
  <c r="J39" i="1"/>
  <c r="J52" i="1" s="1"/>
  <c r="E39" i="1"/>
  <c r="EJ34" i="1"/>
  <c r="EI34" i="1"/>
  <c r="EI109" i="1" s="1"/>
  <c r="EH34" i="1"/>
  <c r="EH109" i="1" s="1"/>
  <c r="EG34" i="1"/>
  <c r="EG109" i="1" s="1"/>
  <c r="EE34" i="1"/>
  <c r="EE109" i="1" s="1"/>
  <c r="ED34" i="1"/>
  <c r="ED109" i="1" s="1"/>
  <c r="EC34" i="1"/>
  <c r="EC109" i="1" s="1"/>
  <c r="EB34" i="1"/>
  <c r="DZ34" i="1"/>
  <c r="DZ109" i="1" s="1"/>
  <c r="DX34" i="1"/>
  <c r="DW34" i="1"/>
  <c r="DW109" i="1" s="1"/>
  <c r="DU34" i="1"/>
  <c r="DU109" i="1" s="1"/>
  <c r="DT34" i="1"/>
  <c r="DS34" i="1"/>
  <c r="DS109" i="1" s="1"/>
  <c r="DR34" i="1"/>
  <c r="DR109" i="1" s="1"/>
  <c r="DP34" i="1"/>
  <c r="DO34" i="1"/>
  <c r="DO109" i="1" s="1"/>
  <c r="DN34" i="1"/>
  <c r="DN109" i="1" s="1"/>
  <c r="DM34" i="1"/>
  <c r="DM109" i="1" s="1"/>
  <c r="DK34" i="1"/>
  <c r="DK109" i="1" s="1"/>
  <c r="DF34" i="1"/>
  <c r="DF109" i="1" s="1"/>
  <c r="DE34" i="1"/>
  <c r="DE109" i="1" s="1"/>
  <c r="DD34" i="1"/>
  <c r="DA34" i="1"/>
  <c r="DA109" i="1" s="1"/>
  <c r="CZ34" i="1"/>
  <c r="CZ109" i="1" s="1"/>
  <c r="CY34" i="1"/>
  <c r="CY109" i="1" s="1"/>
  <c r="CQ34" i="1"/>
  <c r="CQ109" i="1" s="1"/>
  <c r="CP34" i="1"/>
  <c r="CP109" i="1" s="1"/>
  <c r="CO34" i="1"/>
  <c r="CO109" i="1" s="1"/>
  <c r="CN34" i="1"/>
  <c r="CN109" i="1" s="1"/>
  <c r="CL34" i="1"/>
  <c r="CL109" i="1" s="1"/>
  <c r="CK34" i="1"/>
  <c r="CK109" i="1" s="1"/>
  <c r="CJ34" i="1"/>
  <c r="CJ109" i="1" s="1"/>
  <c r="CI34" i="1"/>
  <c r="CI109" i="1" s="1"/>
  <c r="CG34" i="1"/>
  <c r="CG109" i="1" s="1"/>
  <c r="CF34" i="1"/>
  <c r="CF109" i="1" s="1"/>
  <c r="CE34" i="1"/>
  <c r="CE109" i="1" s="1"/>
  <c r="CD34" i="1"/>
  <c r="CD109" i="1" s="1"/>
  <c r="CB34" i="1"/>
  <c r="CB109" i="1" s="1"/>
  <c r="CA34" i="1"/>
  <c r="CA109" i="1" s="1"/>
  <c r="BZ34" i="1"/>
  <c r="BZ109" i="1" s="1"/>
  <c r="BY34" i="1"/>
  <c r="BY109" i="1" s="1"/>
  <c r="BW34" i="1"/>
  <c r="BW109" i="1" s="1"/>
  <c r="BV34" i="1"/>
  <c r="BV109" i="1" s="1"/>
  <c r="BU34" i="1"/>
  <c r="BU109" i="1" s="1"/>
  <c r="BT34" i="1"/>
  <c r="BT109" i="1" s="1"/>
  <c r="BR34" i="1"/>
  <c r="BR109" i="1" s="1"/>
  <c r="BQ34" i="1"/>
  <c r="BQ109" i="1" s="1"/>
  <c r="BP34" i="1"/>
  <c r="BP109" i="1" s="1"/>
  <c r="BO34" i="1"/>
  <c r="BO109" i="1" s="1"/>
  <c r="BM34" i="1"/>
  <c r="BM109" i="1" s="1"/>
  <c r="BL34" i="1"/>
  <c r="BL109" i="1" s="1"/>
  <c r="BJ34" i="1"/>
  <c r="BJ109" i="1" s="1"/>
  <c r="BH34" i="1"/>
  <c r="BH109" i="1" s="1"/>
  <c r="BF34" i="1"/>
  <c r="BF109" i="1" s="1"/>
  <c r="BE34" i="1"/>
  <c r="BE109" i="1" s="1"/>
  <c r="BC34" i="1"/>
  <c r="BC109" i="1" s="1"/>
  <c r="BB34" i="1"/>
  <c r="BB109" i="1" s="1"/>
  <c r="BA34" i="1"/>
  <c r="BA109" i="1" s="1"/>
  <c r="AZ34" i="1"/>
  <c r="AZ109" i="1" s="1"/>
  <c r="AX34" i="1"/>
  <c r="AX109" i="1" s="1"/>
  <c r="AW34" i="1"/>
  <c r="AW109" i="1" s="1"/>
  <c r="AV34" i="1"/>
  <c r="AV109" i="1" s="1"/>
  <c r="AU34" i="1"/>
  <c r="AU109" i="1" s="1"/>
  <c r="AS34" i="1"/>
  <c r="AS109" i="1" s="1"/>
  <c r="AR34" i="1"/>
  <c r="AR109" i="1" s="1"/>
  <c r="AQ34" i="1"/>
  <c r="AQ109" i="1" s="1"/>
  <c r="AP34" i="1"/>
  <c r="AP109" i="1" s="1"/>
  <c r="AN34" i="1"/>
  <c r="AN109" i="1" s="1"/>
  <c r="AM34" i="1"/>
  <c r="AM109" i="1" s="1"/>
  <c r="AL34" i="1"/>
  <c r="AL109" i="1" s="1"/>
  <c r="AK34" i="1"/>
  <c r="AK109" i="1" s="1"/>
  <c r="AI34" i="1"/>
  <c r="AI109" i="1" s="1"/>
  <c r="AH34" i="1"/>
  <c r="AH109" i="1" s="1"/>
  <c r="AG34" i="1"/>
  <c r="AG109" i="1" s="1"/>
  <c r="AF34" i="1"/>
  <c r="AF109" i="1" s="1"/>
  <c r="AC34" i="1"/>
  <c r="AC109" i="1" s="1"/>
  <c r="AB34" i="1"/>
  <c r="AB109" i="1" s="1"/>
  <c r="AA34" i="1"/>
  <c r="AA109" i="1" s="1"/>
  <c r="Y34" i="1"/>
  <c r="Y109" i="1" s="1"/>
  <c r="X34" i="1"/>
  <c r="X109" i="1" s="1"/>
  <c r="W34" i="1"/>
  <c r="W109" i="1" s="1"/>
  <c r="V34" i="1"/>
  <c r="V109" i="1" s="1"/>
  <c r="U34" i="1"/>
  <c r="U109" i="1" s="1"/>
  <c r="S34" i="1"/>
  <c r="S109" i="1" s="1"/>
  <c r="R34" i="1"/>
  <c r="R109" i="1" s="1"/>
  <c r="Q34" i="1"/>
  <c r="Q109" i="1" s="1"/>
  <c r="P34" i="1"/>
  <c r="P109" i="1" s="1"/>
  <c r="N34" i="1"/>
  <c r="N109" i="1" s="1"/>
  <c r="M34" i="1"/>
  <c r="M109" i="1" s="1"/>
  <c r="L34" i="1"/>
  <c r="L109" i="1" s="1"/>
  <c r="K34" i="1"/>
  <c r="K109" i="1" s="1"/>
  <c r="I34" i="1"/>
  <c r="I109" i="1" s="1"/>
  <c r="H34" i="1"/>
  <c r="H109" i="1" s="1"/>
  <c r="G34" i="1"/>
  <c r="G109" i="1" s="1"/>
  <c r="D34" i="1"/>
  <c r="D109" i="1" s="1"/>
  <c r="D111" i="1" s="1"/>
  <c r="C34" i="1"/>
  <c r="C109" i="1" s="1"/>
  <c r="B34" i="1"/>
  <c r="B109" i="1" s="1"/>
  <c r="EJ32" i="1"/>
  <c r="EI32" i="1"/>
  <c r="EI33" i="1" s="1"/>
  <c r="EH32" i="1"/>
  <c r="EH33" i="1" s="1"/>
  <c r="EG32" i="1"/>
  <c r="EG33" i="1" s="1"/>
  <c r="EE32" i="1"/>
  <c r="EJ33" i="1" s="1"/>
  <c r="ED32" i="1"/>
  <c r="EC32" i="1"/>
  <c r="EC33" i="1" s="1"/>
  <c r="EB32" i="1"/>
  <c r="DZ32" i="1"/>
  <c r="DZ33" i="1" s="1"/>
  <c r="DX32" i="1"/>
  <c r="DW32" i="1"/>
  <c r="EB33" i="1" s="1"/>
  <c r="DU32" i="1"/>
  <c r="DU33" i="1" s="1"/>
  <c r="DT32" i="1"/>
  <c r="DS32" i="1"/>
  <c r="DX33" i="1" s="1"/>
  <c r="DR32" i="1"/>
  <c r="DR33" i="1" s="1"/>
  <c r="DP32" i="1"/>
  <c r="DO32" i="1"/>
  <c r="DT33" i="1" s="1"/>
  <c r="DN32" i="1"/>
  <c r="DM32" i="1"/>
  <c r="DK32" i="1"/>
  <c r="DP33" i="1" s="1"/>
  <c r="DF32" i="1"/>
  <c r="DF33" i="1" s="1"/>
  <c r="DE32" i="1"/>
  <c r="DE33" i="1" s="1"/>
  <c r="DD32" i="1"/>
  <c r="DA32" i="1"/>
  <c r="CZ32" i="1"/>
  <c r="CY32" i="1"/>
  <c r="DD33" i="1" s="1"/>
  <c r="CQ32" i="1"/>
  <c r="CQ33" i="1" s="1"/>
  <c r="CP32" i="1"/>
  <c r="CP33" i="1" s="1"/>
  <c r="CO32" i="1"/>
  <c r="CO33" i="1" s="1"/>
  <c r="CN32" i="1"/>
  <c r="CL32" i="1"/>
  <c r="CL33" i="1" s="1"/>
  <c r="CK32" i="1"/>
  <c r="CK33" i="1" s="1"/>
  <c r="CJ32" i="1"/>
  <c r="CI32" i="1"/>
  <c r="CN33" i="1" s="1"/>
  <c r="CG32" i="1"/>
  <c r="CG33" i="1" s="1"/>
  <c r="CF32" i="1"/>
  <c r="CE32" i="1"/>
  <c r="CJ33" i="1" s="1"/>
  <c r="CD32" i="1"/>
  <c r="CD33" i="1" s="1"/>
  <c r="CB32" i="1"/>
  <c r="CA32" i="1"/>
  <c r="CF33" i="1" s="1"/>
  <c r="BZ32" i="1"/>
  <c r="BZ33" i="1" s="1"/>
  <c r="BY32" i="1"/>
  <c r="BY33" i="1" s="1"/>
  <c r="BW32" i="1"/>
  <c r="CB33" i="1" s="1"/>
  <c r="BV32" i="1"/>
  <c r="BV33" i="1" s="1"/>
  <c r="BU32" i="1"/>
  <c r="BU33" i="1" s="1"/>
  <c r="BT32" i="1"/>
  <c r="BR32" i="1"/>
  <c r="BR33" i="1" s="1"/>
  <c r="BQ32" i="1"/>
  <c r="BQ33" i="1" s="1"/>
  <c r="BP32" i="1"/>
  <c r="BO32" i="1"/>
  <c r="BT33" i="1" s="1"/>
  <c r="BM32" i="1"/>
  <c r="BM33" i="1" s="1"/>
  <c r="BL32" i="1"/>
  <c r="BJ32" i="1"/>
  <c r="BJ33" i="1" s="1"/>
  <c r="BH32" i="1"/>
  <c r="BG32" i="1"/>
  <c r="BL33" i="1" s="1"/>
  <c r="BF32" i="1"/>
  <c r="BF33" i="1" s="1"/>
  <c r="BE32" i="1"/>
  <c r="BE33" i="1" s="1"/>
  <c r="BC32" i="1"/>
  <c r="BH33" i="1" s="1"/>
  <c r="BB32" i="1"/>
  <c r="BB33" i="1" s="1"/>
  <c r="BA32" i="1"/>
  <c r="BA33" i="1" s="1"/>
  <c r="AZ32" i="1"/>
  <c r="AX32" i="1"/>
  <c r="AX33" i="1" s="1"/>
  <c r="AW32" i="1"/>
  <c r="AW33" i="1" s="1"/>
  <c r="AV32" i="1"/>
  <c r="AU32" i="1"/>
  <c r="AZ33" i="1" s="1"/>
  <c r="AS32" i="1"/>
  <c r="AS33" i="1" s="1"/>
  <c r="AR32" i="1"/>
  <c r="AQ32" i="1"/>
  <c r="AV33" i="1" s="1"/>
  <c r="AP32" i="1"/>
  <c r="AP33" i="1" s="1"/>
  <c r="AN32" i="1"/>
  <c r="AM32" i="1"/>
  <c r="AR33" i="1" s="1"/>
  <c r="AL32" i="1"/>
  <c r="AL33" i="1" s="1"/>
  <c r="AK32" i="1"/>
  <c r="AK33" i="1" s="1"/>
  <c r="AI32" i="1"/>
  <c r="AN33" i="1" s="1"/>
  <c r="AH32" i="1"/>
  <c r="AH33" i="1" s="1"/>
  <c r="AG32" i="1"/>
  <c r="AG33" i="1" s="1"/>
  <c r="AF32" i="1"/>
  <c r="AC32" i="1"/>
  <c r="AC33" i="1" s="1"/>
  <c r="AB32" i="1"/>
  <c r="AA32" i="1"/>
  <c r="AF33" i="1" s="1"/>
  <c r="Y32" i="1"/>
  <c r="X32" i="1"/>
  <c r="W32" i="1"/>
  <c r="AB33" i="1" s="1"/>
  <c r="V32" i="1"/>
  <c r="V33" i="1" s="1"/>
  <c r="U32" i="1"/>
  <c r="U33" i="1" s="1"/>
  <c r="S32" i="1"/>
  <c r="X33" i="1" s="1"/>
  <c r="R32" i="1"/>
  <c r="R33" i="1" s="1"/>
  <c r="Q32" i="1"/>
  <c r="Q33" i="1" s="1"/>
  <c r="P32" i="1"/>
  <c r="N32" i="1"/>
  <c r="N33" i="1" s="1"/>
  <c r="M32" i="1"/>
  <c r="M33" i="1" s="1"/>
  <c r="L32" i="1"/>
  <c r="K32" i="1"/>
  <c r="P33" i="1" s="1"/>
  <c r="I32" i="1"/>
  <c r="I33" i="1" s="1"/>
  <c r="H32" i="1"/>
  <c r="G32" i="1"/>
  <c r="L33" i="1" s="1"/>
  <c r="F32" i="1"/>
  <c r="D32" i="1"/>
  <c r="C32" i="1"/>
  <c r="H33" i="1" s="1"/>
  <c r="B32" i="1"/>
  <c r="EJ31" i="1"/>
  <c r="EI31" i="1"/>
  <c r="EH31" i="1"/>
  <c r="EG31" i="1"/>
  <c r="EE31" i="1"/>
  <c r="EC31" i="1"/>
  <c r="EB31" i="1"/>
  <c r="DZ31" i="1"/>
  <c r="DX31" i="1"/>
  <c r="DW31" i="1"/>
  <c r="DU31" i="1"/>
  <c r="DT31" i="1"/>
  <c r="DS31" i="1"/>
  <c r="DR31" i="1"/>
  <c r="DP31" i="1"/>
  <c r="DK31" i="1"/>
  <c r="DI31" i="1"/>
  <c r="DF31" i="1"/>
  <c r="DE31" i="1"/>
  <c r="DD31" i="1"/>
  <c r="CZ31" i="1"/>
  <c r="CU31" i="1"/>
  <c r="CQ31" i="1"/>
  <c r="CP31" i="1"/>
  <c r="CO31" i="1"/>
  <c r="CN31" i="1"/>
  <c r="CL31" i="1"/>
  <c r="CK31" i="1"/>
  <c r="CJ31" i="1"/>
  <c r="CI31" i="1"/>
  <c r="CG31" i="1"/>
  <c r="CF31" i="1"/>
  <c r="CE31" i="1"/>
  <c r="CD31" i="1"/>
  <c r="CB31" i="1"/>
  <c r="CA31" i="1"/>
  <c r="BZ31" i="1"/>
  <c r="BY31" i="1"/>
  <c r="BW31" i="1"/>
  <c r="BV31" i="1"/>
  <c r="BU31" i="1"/>
  <c r="BT31" i="1"/>
  <c r="BR31" i="1"/>
  <c r="BQ31" i="1"/>
  <c r="BO31" i="1"/>
  <c r="BM31" i="1"/>
  <c r="BL31" i="1"/>
  <c r="BJ31" i="1"/>
  <c r="BH31" i="1"/>
  <c r="BG31" i="1"/>
  <c r="BF31" i="1"/>
  <c r="BE31" i="1"/>
  <c r="BC31" i="1"/>
  <c r="BB31" i="1"/>
  <c r="BA31" i="1"/>
  <c r="AZ31" i="1"/>
  <c r="AX31" i="1"/>
  <c r="AW31" i="1"/>
  <c r="AV31" i="1"/>
  <c r="AU31" i="1"/>
  <c r="AS31" i="1"/>
  <c r="AR31" i="1"/>
  <c r="AQ31" i="1"/>
  <c r="AP31" i="1"/>
  <c r="AN31" i="1"/>
  <c r="AM31" i="1"/>
  <c r="AL31" i="1"/>
  <c r="AK31" i="1"/>
  <c r="AH31" i="1"/>
  <c r="AG31" i="1"/>
  <c r="AF31" i="1"/>
  <c r="AC31" i="1"/>
  <c r="AB31" i="1"/>
  <c r="AA31" i="1"/>
  <c r="X31" i="1"/>
  <c r="W31" i="1"/>
  <c r="V31" i="1"/>
  <c r="U31" i="1"/>
  <c r="S31" i="1"/>
  <c r="R31" i="1"/>
  <c r="Q31" i="1"/>
  <c r="P31" i="1"/>
  <c r="N31" i="1"/>
  <c r="M31" i="1"/>
  <c r="L31" i="1"/>
  <c r="K31" i="1"/>
  <c r="I31" i="1"/>
  <c r="H31" i="1"/>
  <c r="G31" i="1"/>
  <c r="ET30" i="1"/>
  <c r="ET32" i="1" s="1"/>
  <c r="ET33" i="1" s="1"/>
  <c r="ES30" i="1"/>
  <c r="ES32" i="1" s="1"/>
  <c r="EO30" i="1"/>
  <c r="EO32" i="1" s="1"/>
  <c r="EN30" i="1"/>
  <c r="EN32" i="1" s="1"/>
  <c r="EM30" i="1"/>
  <c r="ER30" i="1" s="1"/>
  <c r="EL30" i="1"/>
  <c r="EQ30" i="1" s="1"/>
  <c r="EK30" i="1"/>
  <c r="EK31" i="1" s="1"/>
  <c r="EF30" i="1"/>
  <c r="EF32" i="1" s="1"/>
  <c r="EF28" i="1"/>
  <c r="EF26" i="1" s="1"/>
  <c r="EA28" i="1"/>
  <c r="DY30" i="1"/>
  <c r="ED31" i="1" s="1"/>
  <c r="DY29" i="1"/>
  <c r="DV30" i="1"/>
  <c r="DV31" i="1" s="1"/>
  <c r="DV28" i="1"/>
  <c r="DV26" i="1" s="1"/>
  <c r="DQ30" i="1"/>
  <c r="DQ31" i="1" s="1"/>
  <c r="DQ29" i="1"/>
  <c r="DQ28" i="1"/>
  <c r="DQ26" i="1" s="1"/>
  <c r="DQ27" i="1" s="1"/>
  <c r="DL30" i="1"/>
  <c r="DL32" i="1" s="1"/>
  <c r="DL28" i="1"/>
  <c r="DL26" i="1"/>
  <c r="DJ30" i="1"/>
  <c r="DJ31" i="1" s="1"/>
  <c r="DI30" i="1"/>
  <c r="DN31" i="1" s="1"/>
  <c r="DH30" i="1"/>
  <c r="DH32" i="1" s="1"/>
  <c r="DG30" i="1"/>
  <c r="DC32" i="1"/>
  <c r="CX31" i="1"/>
  <c r="CV32" i="1"/>
  <c r="CV33" i="1" s="1"/>
  <c r="CU32" i="1"/>
  <c r="CT31" i="1"/>
  <c r="CS31" i="1"/>
  <c r="CR30" i="1"/>
  <c r="CR32" i="1" s="1"/>
  <c r="CR33" i="1" s="1"/>
  <c r="CM30" i="1"/>
  <c r="CM32" i="1" s="1"/>
  <c r="CM28" i="1"/>
  <c r="CM26" i="1" s="1"/>
  <c r="CH30" i="1"/>
  <c r="CH31" i="1" s="1"/>
  <c r="CH29" i="1"/>
  <c r="CH28" i="1"/>
  <c r="CH26" i="1" s="1"/>
  <c r="CH27" i="1" s="1"/>
  <c r="CC30" i="1"/>
  <c r="CC31" i="1" s="1"/>
  <c r="CC29" i="1"/>
  <c r="CC28" i="1"/>
  <c r="CC26" i="1"/>
  <c r="CC27" i="1" s="1"/>
  <c r="BX30" i="1"/>
  <c r="BX32" i="1" s="1"/>
  <c r="BX33" i="1" s="1"/>
  <c r="BX28" i="1"/>
  <c r="BX29" i="1" s="1"/>
  <c r="BX26" i="1"/>
  <c r="BS30" i="1"/>
  <c r="BS32" i="1" s="1"/>
  <c r="BS28" i="1"/>
  <c r="BS26" i="1" s="1"/>
  <c r="BN28" i="1"/>
  <c r="BK30" i="1"/>
  <c r="BK32" i="1" s="1"/>
  <c r="BK29" i="1"/>
  <c r="BI30" i="1"/>
  <c r="BI31" i="1" s="1"/>
  <c r="BI28" i="1"/>
  <c r="BI26" i="1" s="1"/>
  <c r="BD30" i="1"/>
  <c r="BD32" i="1" s="1"/>
  <c r="BD29" i="1"/>
  <c r="BD28" i="1"/>
  <c r="BD26" i="1" s="1"/>
  <c r="BD27" i="1" s="1"/>
  <c r="AY30" i="1"/>
  <c r="AY32" i="1" s="1"/>
  <c r="AY29" i="1"/>
  <c r="AY28" i="1"/>
  <c r="AY26" i="1"/>
  <c r="AY27" i="1" s="1"/>
  <c r="AT30" i="1"/>
  <c r="AT31" i="1" s="1"/>
  <c r="AT28" i="1"/>
  <c r="AT29" i="1" s="1"/>
  <c r="AT26" i="1"/>
  <c r="AO30" i="1"/>
  <c r="AO31" i="1" s="1"/>
  <c r="AO28" i="1"/>
  <c r="AO26" i="1" s="1"/>
  <c r="AJ30" i="1"/>
  <c r="AJ32" i="1" s="1"/>
  <c r="AJ28" i="1"/>
  <c r="AJ26" i="1" s="1"/>
  <c r="AE30" i="1"/>
  <c r="AE32" i="1" s="1"/>
  <c r="AD30" i="1"/>
  <c r="AD31" i="1" s="1"/>
  <c r="Z30" i="1"/>
  <c r="Z31" i="1" s="1"/>
  <c r="Z28" i="1"/>
  <c r="Z26" i="1" s="1"/>
  <c r="Z27" i="1" s="1"/>
  <c r="T30" i="1"/>
  <c r="T32" i="1" s="1"/>
  <c r="T33" i="1" s="1"/>
  <c r="T28" i="1"/>
  <c r="T26" i="1" s="1"/>
  <c r="T20" i="1"/>
  <c r="T22" i="1" s="1"/>
  <c r="O30" i="1"/>
  <c r="O32" i="1" s="1"/>
  <c r="O28" i="1"/>
  <c r="O26" i="1" s="1"/>
  <c r="O27" i="1" s="1"/>
  <c r="O20" i="1"/>
  <c r="O22" i="1" s="1"/>
  <c r="J30" i="1"/>
  <c r="J31" i="1" s="1"/>
  <c r="J28" i="1"/>
  <c r="J29" i="1" s="1"/>
  <c r="J26" i="1"/>
  <c r="E30" i="1"/>
  <c r="E32" i="1" s="1"/>
  <c r="EK29" i="1"/>
  <c r="EJ29" i="1"/>
  <c r="EI29" i="1"/>
  <c r="EH29" i="1"/>
  <c r="EG29" i="1"/>
  <c r="EE29" i="1"/>
  <c r="ED29" i="1"/>
  <c r="EC29" i="1"/>
  <c r="EB29" i="1"/>
  <c r="DZ29" i="1"/>
  <c r="DX29" i="1"/>
  <c r="DW29" i="1"/>
  <c r="DU29" i="1"/>
  <c r="DT29" i="1"/>
  <c r="DS29" i="1"/>
  <c r="DR29" i="1"/>
  <c r="DP29" i="1"/>
  <c r="DO29" i="1"/>
  <c r="DN29" i="1"/>
  <c r="DM29" i="1"/>
  <c r="DK29" i="1"/>
  <c r="DJ29" i="1"/>
  <c r="DI29" i="1"/>
  <c r="DH29" i="1"/>
  <c r="DF29" i="1"/>
  <c r="DE29" i="1"/>
  <c r="DD29" i="1"/>
  <c r="DC29" i="1"/>
  <c r="DA29" i="1"/>
  <c r="CZ29" i="1"/>
  <c r="CY29" i="1"/>
  <c r="CX29" i="1"/>
  <c r="CV29" i="1"/>
  <c r="CU29" i="1"/>
  <c r="CT29" i="1"/>
  <c r="CS29" i="1"/>
  <c r="CQ29" i="1"/>
  <c r="CP29" i="1"/>
  <c r="CO29" i="1"/>
  <c r="CN29" i="1"/>
  <c r="CL29" i="1"/>
  <c r="CK29" i="1"/>
  <c r="CJ29" i="1"/>
  <c r="CI29" i="1"/>
  <c r="CG29" i="1"/>
  <c r="CF29" i="1"/>
  <c r="CE29" i="1"/>
  <c r="CD29" i="1"/>
  <c r="CB29" i="1"/>
  <c r="CA29" i="1"/>
  <c r="BZ29" i="1"/>
  <c r="BY29" i="1"/>
  <c r="BW29" i="1"/>
  <c r="BV29" i="1"/>
  <c r="BU29" i="1"/>
  <c r="BT29" i="1"/>
  <c r="BR29" i="1"/>
  <c r="BQ29" i="1"/>
  <c r="BP29" i="1"/>
  <c r="BO29" i="1"/>
  <c r="BM29" i="1"/>
  <c r="BL29" i="1"/>
  <c r="BJ29" i="1"/>
  <c r="BH29" i="1"/>
  <c r="BG29" i="1"/>
  <c r="BF29" i="1"/>
  <c r="BE29" i="1"/>
  <c r="BC29" i="1"/>
  <c r="BB29" i="1"/>
  <c r="BA29" i="1"/>
  <c r="AZ29" i="1"/>
  <c r="AX29" i="1"/>
  <c r="AW29" i="1"/>
  <c r="AV29" i="1"/>
  <c r="AU29" i="1"/>
  <c r="AS29" i="1"/>
  <c r="AR29" i="1"/>
  <c r="AQ29" i="1"/>
  <c r="AP29" i="1"/>
  <c r="AN29" i="1"/>
  <c r="AM29" i="1"/>
  <c r="AL29" i="1"/>
  <c r="AK29" i="1"/>
  <c r="AH29" i="1"/>
  <c r="AG29" i="1"/>
  <c r="AF29" i="1"/>
  <c r="AD29" i="1"/>
  <c r="AC29" i="1"/>
  <c r="AB29" i="1"/>
  <c r="AA29" i="1"/>
  <c r="Y29" i="1"/>
  <c r="X29" i="1"/>
  <c r="W29" i="1"/>
  <c r="V29" i="1"/>
  <c r="U29" i="1"/>
  <c r="S29" i="1"/>
  <c r="R29" i="1"/>
  <c r="Q29" i="1"/>
  <c r="P29" i="1"/>
  <c r="N29" i="1"/>
  <c r="M29" i="1"/>
  <c r="L29" i="1"/>
  <c r="K29" i="1"/>
  <c r="I29" i="1"/>
  <c r="H29" i="1"/>
  <c r="G29" i="1"/>
  <c r="ET28" i="1"/>
  <c r="ES28" i="1"/>
  <c r="ER28" i="1"/>
  <c r="EQ28" i="1"/>
  <c r="EQ26" i="1" s="1"/>
  <c r="EQ27" i="1" s="1"/>
  <c r="EP28" i="1"/>
  <c r="EK28" i="1"/>
  <c r="EK26" i="1"/>
  <c r="DG28" i="1"/>
  <c r="DL29" i="1" s="1"/>
  <c r="DG26" i="1"/>
  <c r="DB28" i="1"/>
  <c r="CW28" i="1"/>
  <c r="CW29" i="1" s="1"/>
  <c r="CR28" i="1"/>
  <c r="CR29" i="1" s="1"/>
  <c r="CR26" i="1"/>
  <c r="AD28" i="1"/>
  <c r="AE28" i="1" s="1"/>
  <c r="E28" i="1"/>
  <c r="E26" i="1" s="1"/>
  <c r="J27" i="1" s="1"/>
  <c r="EO26" i="1"/>
  <c r="EN26" i="1"/>
  <c r="EM26" i="1"/>
  <c r="EL26" i="1"/>
  <c r="AG27" i="1"/>
  <c r="AF27" i="1"/>
  <c r="AC27" i="1"/>
  <c r="AB27" i="1"/>
  <c r="AI26" i="1"/>
  <c r="AI27" i="1" s="1"/>
  <c r="AH26" i="1"/>
  <c r="AH27" i="1" s="1"/>
  <c r="AG26" i="1"/>
  <c r="AF26" i="1"/>
  <c r="AD26" i="1"/>
  <c r="AD27" i="1" s="1"/>
  <c r="AC26" i="1"/>
  <c r="AB26" i="1"/>
  <c r="AA26" i="1"/>
  <c r="AA27" i="1" s="1"/>
  <c r="X27" i="1"/>
  <c r="U27" i="1"/>
  <c r="Y26" i="1"/>
  <c r="X26" i="1"/>
  <c r="W26" i="1"/>
  <c r="W27" i="1" s="1"/>
  <c r="V26" i="1"/>
  <c r="V27" i="1" s="1"/>
  <c r="U26" i="1"/>
  <c r="S26" i="1"/>
  <c r="S27" i="1" s="1"/>
  <c r="R26" i="1"/>
  <c r="R27" i="1" s="1"/>
  <c r="Q26" i="1"/>
  <c r="Q27" i="1" s="1"/>
  <c r="P26" i="1"/>
  <c r="P27" i="1" s="1"/>
  <c r="N26" i="1"/>
  <c r="N27" i="1" s="1"/>
  <c r="M26" i="1"/>
  <c r="M27" i="1" s="1"/>
  <c r="L26" i="1"/>
  <c r="L27" i="1" s="1"/>
  <c r="K26" i="1"/>
  <c r="K27" i="1" s="1"/>
  <c r="F26" i="1"/>
  <c r="D26" i="1"/>
  <c r="C26" i="1"/>
  <c r="B26" i="1"/>
  <c r="ET26" i="1"/>
  <c r="ET27" i="1" s="1"/>
  <c r="ES26" i="1"/>
  <c r="ES27" i="1" s="1"/>
  <c r="EJ26" i="1"/>
  <c r="EJ27" i="1" s="1"/>
  <c r="EI26" i="1"/>
  <c r="EI27" i="1" s="1"/>
  <c r="EH26" i="1"/>
  <c r="EH27" i="1" s="1"/>
  <c r="EG26" i="1"/>
  <c r="EG27" i="1" s="1"/>
  <c r="EE26" i="1"/>
  <c r="EE27" i="1" s="1"/>
  <c r="ED26" i="1"/>
  <c r="ED27" i="1" s="1"/>
  <c r="EC26" i="1"/>
  <c r="EC27" i="1" s="1"/>
  <c r="EB26" i="1"/>
  <c r="EB27" i="1" s="1"/>
  <c r="DZ26" i="1"/>
  <c r="DZ27" i="1" s="1"/>
  <c r="DY26" i="1"/>
  <c r="DY27" i="1" s="1"/>
  <c r="DX26" i="1"/>
  <c r="DX27" i="1" s="1"/>
  <c r="DW26" i="1"/>
  <c r="DW27" i="1" s="1"/>
  <c r="DU26" i="1"/>
  <c r="DU27" i="1" s="1"/>
  <c r="DT26" i="1"/>
  <c r="DT27" i="1" s="1"/>
  <c r="DS26" i="1"/>
  <c r="DS27" i="1" s="1"/>
  <c r="DR26" i="1"/>
  <c r="DR27" i="1" s="1"/>
  <c r="DP26" i="1"/>
  <c r="DP27" i="1" s="1"/>
  <c r="DO26" i="1"/>
  <c r="DO27" i="1" s="1"/>
  <c r="DN26" i="1"/>
  <c r="DN27" i="1" s="1"/>
  <c r="DM26" i="1"/>
  <c r="DM27" i="1" s="1"/>
  <c r="DK26" i="1"/>
  <c r="DK27" i="1" s="1"/>
  <c r="DJ26" i="1"/>
  <c r="DJ27" i="1" s="1"/>
  <c r="DI26" i="1"/>
  <c r="DI27" i="1" s="1"/>
  <c r="DH26" i="1"/>
  <c r="DF26" i="1"/>
  <c r="DF27" i="1" s="1"/>
  <c r="DE26" i="1"/>
  <c r="DE27" i="1" s="1"/>
  <c r="DD26" i="1"/>
  <c r="DD27" i="1" s="1"/>
  <c r="DC26" i="1"/>
  <c r="DA26" i="1"/>
  <c r="CZ26" i="1"/>
  <c r="CY26" i="1"/>
  <c r="CX26" i="1"/>
  <c r="CV26" i="1"/>
  <c r="CV27" i="1" s="1"/>
  <c r="CU26" i="1"/>
  <c r="CU27" i="1" s="1"/>
  <c r="CT26" i="1"/>
  <c r="CT27" i="1" s="1"/>
  <c r="CS26" i="1"/>
  <c r="CS27" i="1" s="1"/>
  <c r="CQ26" i="1"/>
  <c r="CQ27" i="1" s="1"/>
  <c r="CP26" i="1"/>
  <c r="CP27" i="1" s="1"/>
  <c r="CO26" i="1"/>
  <c r="CO27" i="1" s="1"/>
  <c r="CN26" i="1"/>
  <c r="CN27" i="1" s="1"/>
  <c r="CL26" i="1"/>
  <c r="CL27" i="1" s="1"/>
  <c r="CK26" i="1"/>
  <c r="CK27" i="1" s="1"/>
  <c r="CJ26" i="1"/>
  <c r="CJ27" i="1" s="1"/>
  <c r="CI26" i="1"/>
  <c r="CI27" i="1" s="1"/>
  <c r="CG26" i="1"/>
  <c r="CG27" i="1" s="1"/>
  <c r="CF26" i="1"/>
  <c r="CF27" i="1" s="1"/>
  <c r="CE26" i="1"/>
  <c r="CE27" i="1" s="1"/>
  <c r="CD26" i="1"/>
  <c r="CD27" i="1" s="1"/>
  <c r="CB26" i="1"/>
  <c r="CB27" i="1" s="1"/>
  <c r="CA26" i="1"/>
  <c r="CA27" i="1" s="1"/>
  <c r="BZ26" i="1"/>
  <c r="BZ27" i="1" s="1"/>
  <c r="BY26" i="1"/>
  <c r="BY27" i="1" s="1"/>
  <c r="BW26" i="1"/>
  <c r="BW27" i="1" s="1"/>
  <c r="BV26" i="1"/>
  <c r="BV27" i="1" s="1"/>
  <c r="BU26" i="1"/>
  <c r="BU27" i="1" s="1"/>
  <c r="BT26" i="1"/>
  <c r="BT27" i="1" s="1"/>
  <c r="BR26" i="1"/>
  <c r="BR27" i="1" s="1"/>
  <c r="BQ26" i="1"/>
  <c r="BQ27" i="1" s="1"/>
  <c r="BP26" i="1"/>
  <c r="BP27" i="1" s="1"/>
  <c r="BO26" i="1"/>
  <c r="BO27" i="1" s="1"/>
  <c r="BM26" i="1"/>
  <c r="BM27" i="1" s="1"/>
  <c r="BL26" i="1"/>
  <c r="BL27" i="1" s="1"/>
  <c r="BK26" i="1"/>
  <c r="BK27" i="1" s="1"/>
  <c r="BJ26" i="1"/>
  <c r="BJ27" i="1" s="1"/>
  <c r="BH26" i="1"/>
  <c r="BH27" i="1" s="1"/>
  <c r="BG26" i="1"/>
  <c r="BG27" i="1" s="1"/>
  <c r="BF26" i="1"/>
  <c r="BF27" i="1" s="1"/>
  <c r="BE26" i="1"/>
  <c r="BE27" i="1" s="1"/>
  <c r="BC26" i="1"/>
  <c r="BC27" i="1" s="1"/>
  <c r="BB26" i="1"/>
  <c r="BB27" i="1" s="1"/>
  <c r="BA26" i="1"/>
  <c r="BA27" i="1" s="1"/>
  <c r="AZ26" i="1"/>
  <c r="AZ27" i="1" s="1"/>
  <c r="AX26" i="1"/>
  <c r="AX27" i="1" s="1"/>
  <c r="AW26" i="1"/>
  <c r="AW27" i="1" s="1"/>
  <c r="AV26" i="1"/>
  <c r="AV27" i="1" s="1"/>
  <c r="AU26" i="1"/>
  <c r="AU27" i="1" s="1"/>
  <c r="AS26" i="1"/>
  <c r="AS27" i="1" s="1"/>
  <c r="AR26" i="1"/>
  <c r="AR27" i="1" s="1"/>
  <c r="AQ26" i="1"/>
  <c r="AQ27" i="1" s="1"/>
  <c r="AP26" i="1"/>
  <c r="AP27" i="1" s="1"/>
  <c r="AN26" i="1"/>
  <c r="AN27" i="1" s="1"/>
  <c r="AM26" i="1"/>
  <c r="AM27" i="1" s="1"/>
  <c r="AL26" i="1"/>
  <c r="AL27" i="1" s="1"/>
  <c r="AK26" i="1"/>
  <c r="AK27" i="1" s="1"/>
  <c r="H27" i="1"/>
  <c r="G27" i="1"/>
  <c r="I26" i="1"/>
  <c r="I27" i="1" s="1"/>
  <c r="H26" i="1"/>
  <c r="G26" i="1"/>
  <c r="P22" i="1"/>
  <c r="P23" i="1" s="1"/>
  <c r="P21" i="1"/>
  <c r="EJ22" i="1"/>
  <c r="EJ25" i="1" s="1"/>
  <c r="EI22" i="1"/>
  <c r="EI25" i="1" s="1"/>
  <c r="EH22" i="1"/>
  <c r="EH25" i="1" s="1"/>
  <c r="EG22" i="1"/>
  <c r="EG23" i="1" s="1"/>
  <c r="EE22" i="1"/>
  <c r="EE25" i="1" s="1"/>
  <c r="ED22" i="1"/>
  <c r="ED25" i="1" s="1"/>
  <c r="EC22" i="1"/>
  <c r="EC23" i="1" s="1"/>
  <c r="EB22" i="1"/>
  <c r="EB24" i="1" s="1"/>
  <c r="DZ22" i="1"/>
  <c r="DZ25" i="1" s="1"/>
  <c r="DY22" i="1"/>
  <c r="DY23" i="1" s="1"/>
  <c r="DX22" i="1"/>
  <c r="DX24" i="1" s="1"/>
  <c r="DW22" i="1"/>
  <c r="DW24" i="1" s="1"/>
  <c r="DU22" i="1"/>
  <c r="DU25" i="1" s="1"/>
  <c r="DT22" i="1"/>
  <c r="DS22" i="1"/>
  <c r="DR22" i="1"/>
  <c r="DP22" i="1"/>
  <c r="DP25" i="1" s="1"/>
  <c r="DO22" i="1"/>
  <c r="DO25" i="1" s="1"/>
  <c r="DN22" i="1"/>
  <c r="DN25" i="1" s="1"/>
  <c r="DM22" i="1"/>
  <c r="DK22" i="1"/>
  <c r="DF22" i="1"/>
  <c r="DF25" i="1" s="1"/>
  <c r="DE22" i="1"/>
  <c r="DE23" i="1" s="1"/>
  <c r="DD22" i="1"/>
  <c r="DA22" i="1"/>
  <c r="DA25" i="1" s="1"/>
  <c r="CZ22" i="1"/>
  <c r="CZ24" i="1" s="1"/>
  <c r="CY22" i="1"/>
  <c r="CY24" i="1" s="1"/>
  <c r="CQ22" i="1"/>
  <c r="CQ25" i="1" s="1"/>
  <c r="CP22" i="1"/>
  <c r="CP25" i="1" s="1"/>
  <c r="CO22" i="1"/>
  <c r="CO23" i="1" s="1"/>
  <c r="CN22" i="1"/>
  <c r="CN24" i="1" s="1"/>
  <c r="CL22" i="1"/>
  <c r="CL25" i="1" s="1"/>
  <c r="CK22" i="1"/>
  <c r="CK23" i="1" s="1"/>
  <c r="CJ22" i="1"/>
  <c r="CJ24" i="1" s="1"/>
  <c r="CI22" i="1"/>
  <c r="CI24" i="1" s="1"/>
  <c r="CG22" i="1"/>
  <c r="CG25" i="1" s="1"/>
  <c r="CF22" i="1"/>
  <c r="CF24" i="1" s="1"/>
  <c r="CE22" i="1"/>
  <c r="CE24" i="1" s="1"/>
  <c r="CD22" i="1"/>
  <c r="CD24" i="1" s="1"/>
  <c r="CB22" i="1"/>
  <c r="CB25" i="1" s="1"/>
  <c r="CA22" i="1"/>
  <c r="CA25" i="1" s="1"/>
  <c r="BZ22" i="1"/>
  <c r="BZ25" i="1" s="1"/>
  <c r="BY22" i="1"/>
  <c r="BY23" i="1" s="1"/>
  <c r="BW22" i="1"/>
  <c r="BW25" i="1" s="1"/>
  <c r="BV22" i="1"/>
  <c r="BV25" i="1" s="1"/>
  <c r="BU22" i="1"/>
  <c r="BU23" i="1" s="1"/>
  <c r="BT22" i="1"/>
  <c r="BT24" i="1" s="1"/>
  <c r="BR22" i="1"/>
  <c r="BR25" i="1" s="1"/>
  <c r="BQ22" i="1"/>
  <c r="BQ23" i="1" s="1"/>
  <c r="BP22" i="1"/>
  <c r="BP24" i="1" s="1"/>
  <c r="BO22" i="1"/>
  <c r="BO24" i="1" s="1"/>
  <c r="BM22" i="1"/>
  <c r="BM25" i="1" s="1"/>
  <c r="BL22" i="1"/>
  <c r="BL24" i="1" s="1"/>
  <c r="BJ22" i="1"/>
  <c r="BJ24" i="1" s="1"/>
  <c r="BH22" i="1"/>
  <c r="BH25" i="1" s="1"/>
  <c r="BG22" i="1"/>
  <c r="BG25" i="1" s="1"/>
  <c r="BF22" i="1"/>
  <c r="BF25" i="1" s="1"/>
  <c r="BE22" i="1"/>
  <c r="BE23" i="1" s="1"/>
  <c r="BC22" i="1"/>
  <c r="BC25" i="1" s="1"/>
  <c r="BB22" i="1"/>
  <c r="BB25" i="1" s="1"/>
  <c r="BA22" i="1"/>
  <c r="BA23" i="1" s="1"/>
  <c r="AZ22" i="1"/>
  <c r="AZ24" i="1" s="1"/>
  <c r="AX22" i="1"/>
  <c r="AX25" i="1" s="1"/>
  <c r="AW22" i="1"/>
  <c r="AW23" i="1" s="1"/>
  <c r="AV22" i="1"/>
  <c r="AV24" i="1" s="1"/>
  <c r="AU22" i="1"/>
  <c r="AU24" i="1" s="1"/>
  <c r="AS22" i="1"/>
  <c r="AS25" i="1" s="1"/>
  <c r="AR22" i="1"/>
  <c r="AR24" i="1" s="1"/>
  <c r="AQ22" i="1"/>
  <c r="AQ24" i="1" s="1"/>
  <c r="AP22" i="1"/>
  <c r="AP24" i="1" s="1"/>
  <c r="AN22" i="1"/>
  <c r="AN25" i="1" s="1"/>
  <c r="AM22" i="1"/>
  <c r="AM25" i="1" s="1"/>
  <c r="AL22" i="1"/>
  <c r="AL25" i="1" s="1"/>
  <c r="AK22" i="1"/>
  <c r="AK23" i="1" s="1"/>
  <c r="AI22" i="1"/>
  <c r="AI25" i="1" s="1"/>
  <c r="AH22" i="1"/>
  <c r="AH25" i="1" s="1"/>
  <c r="AG22" i="1"/>
  <c r="AG23" i="1" s="1"/>
  <c r="AF22" i="1"/>
  <c r="AF24" i="1" s="1"/>
  <c r="AC22" i="1"/>
  <c r="AC23" i="1" s="1"/>
  <c r="AB22" i="1"/>
  <c r="AB24" i="1" s="1"/>
  <c r="AA22" i="1"/>
  <c r="AA24" i="1" s="1"/>
  <c r="Y22" i="1"/>
  <c r="Y25" i="1" s="1"/>
  <c r="X22" i="1"/>
  <c r="X24" i="1" s="1"/>
  <c r="W22" i="1"/>
  <c r="W24" i="1" s="1"/>
  <c r="V22" i="1"/>
  <c r="V24" i="1" s="1"/>
  <c r="U22" i="1"/>
  <c r="U23" i="1" s="1"/>
  <c r="F22" i="1"/>
  <c r="P24" i="1" s="1"/>
  <c r="D22" i="1"/>
  <c r="D25" i="1" s="1"/>
  <c r="C22" i="1"/>
  <c r="C25" i="1" s="1"/>
  <c r="B22" i="1"/>
  <c r="EJ21" i="1"/>
  <c r="EI21" i="1"/>
  <c r="EH21" i="1"/>
  <c r="EG21" i="1"/>
  <c r="EE21" i="1"/>
  <c r="ED21" i="1"/>
  <c r="EC21" i="1"/>
  <c r="EB21" i="1"/>
  <c r="DZ21" i="1"/>
  <c r="DY21" i="1"/>
  <c r="DX21" i="1"/>
  <c r="DW21" i="1"/>
  <c r="DU21" i="1"/>
  <c r="DT21" i="1"/>
  <c r="DS21" i="1"/>
  <c r="DR21" i="1"/>
  <c r="DP21" i="1"/>
  <c r="DM21" i="1"/>
  <c r="DK21" i="1"/>
  <c r="DI21" i="1"/>
  <c r="DF21" i="1"/>
  <c r="DE21" i="1"/>
  <c r="DD21" i="1"/>
  <c r="CZ21" i="1"/>
  <c r="CQ21" i="1"/>
  <c r="CP21" i="1"/>
  <c r="CO21" i="1"/>
  <c r="CN21" i="1"/>
  <c r="CL21" i="1"/>
  <c r="CK21" i="1"/>
  <c r="CJ21" i="1"/>
  <c r="CI21" i="1"/>
  <c r="CG21" i="1"/>
  <c r="CF21" i="1"/>
  <c r="CE21" i="1"/>
  <c r="CD21" i="1"/>
  <c r="CB21" i="1"/>
  <c r="CA21" i="1"/>
  <c r="BZ21" i="1"/>
  <c r="BY21" i="1"/>
  <c r="BW21" i="1"/>
  <c r="BV21" i="1"/>
  <c r="BU21" i="1"/>
  <c r="BT21" i="1"/>
  <c r="BR21" i="1"/>
  <c r="BQ21" i="1"/>
  <c r="BO21" i="1"/>
  <c r="BM21" i="1"/>
  <c r="BL21" i="1"/>
  <c r="BJ21" i="1"/>
  <c r="BH21" i="1"/>
  <c r="BF21" i="1"/>
  <c r="BE21" i="1"/>
  <c r="BC21" i="1"/>
  <c r="BB21" i="1"/>
  <c r="BA21" i="1"/>
  <c r="AZ21" i="1"/>
  <c r="AX21" i="1"/>
  <c r="AW21" i="1"/>
  <c r="AV21" i="1"/>
  <c r="AU21" i="1"/>
  <c r="AS21" i="1"/>
  <c r="AR21" i="1"/>
  <c r="AQ21" i="1"/>
  <c r="AP21" i="1"/>
  <c r="AO21" i="1"/>
  <c r="AN21" i="1"/>
  <c r="AM21" i="1"/>
  <c r="AL21" i="1"/>
  <c r="AK21" i="1"/>
  <c r="AH21" i="1"/>
  <c r="AG21" i="1"/>
  <c r="AF21" i="1"/>
  <c r="AC21" i="1"/>
  <c r="AB21" i="1"/>
  <c r="AA21" i="1"/>
  <c r="Z21" i="1"/>
  <c r="Y21" i="1"/>
  <c r="X21" i="1"/>
  <c r="W21" i="1"/>
  <c r="V21" i="1"/>
  <c r="U21" i="1"/>
  <c r="S25" i="1"/>
  <c r="S24" i="1"/>
  <c r="R24" i="1"/>
  <c r="R23" i="1"/>
  <c r="S22" i="1"/>
  <c r="R22" i="1"/>
  <c r="R25" i="1" s="1"/>
  <c r="Q22" i="1"/>
  <c r="Q24" i="1" s="1"/>
  <c r="S21" i="1"/>
  <c r="R21" i="1"/>
  <c r="Q21" i="1"/>
  <c r="N25" i="1"/>
  <c r="M25" i="1"/>
  <c r="M24" i="1"/>
  <c r="L24" i="1"/>
  <c r="N22" i="1"/>
  <c r="N23" i="1" s="1"/>
  <c r="M22" i="1"/>
  <c r="L22" i="1"/>
  <c r="N21" i="1"/>
  <c r="M21" i="1"/>
  <c r="L21" i="1"/>
  <c r="I23" i="1"/>
  <c r="K22" i="1"/>
  <c r="K23" i="1" s="1"/>
  <c r="I22" i="1"/>
  <c r="I25" i="1" s="1"/>
  <c r="H22" i="1"/>
  <c r="H23" i="1" s="1"/>
  <c r="G22" i="1"/>
  <c r="K21" i="1"/>
  <c r="I21" i="1"/>
  <c r="H21" i="1"/>
  <c r="G21" i="1"/>
  <c r="EO20" i="1"/>
  <c r="EN20" i="1"/>
  <c r="EN175" i="1" s="1"/>
  <c r="EM20" i="1"/>
  <c r="EM175" i="1" s="1"/>
  <c r="EL20" i="1"/>
  <c r="EL175" i="1" s="1"/>
  <c r="EK20" i="1"/>
  <c r="EK175" i="1" s="1"/>
  <c r="EF20" i="1"/>
  <c r="EF175" i="1" s="1"/>
  <c r="EA20" i="1"/>
  <c r="EA175" i="1" s="1"/>
  <c r="DV20" i="1"/>
  <c r="DV175" i="1" s="1"/>
  <c r="DQ20" i="1"/>
  <c r="DQ175" i="1" s="1"/>
  <c r="DL20" i="1"/>
  <c r="DL175" i="1" s="1"/>
  <c r="DJ20" i="1"/>
  <c r="DI20" i="1"/>
  <c r="DI34" i="1" s="1"/>
  <c r="DH20" i="1"/>
  <c r="DH175" i="1" s="1"/>
  <c r="DG20" i="1"/>
  <c r="DG175" i="1" s="1"/>
  <c r="CX22" i="1"/>
  <c r="CU34" i="1"/>
  <c r="CT22" i="1"/>
  <c r="CS175" i="1"/>
  <c r="CR20" i="1"/>
  <c r="CR175" i="1" s="1"/>
  <c r="CM20" i="1"/>
  <c r="CM175" i="1" s="1"/>
  <c r="CH20" i="1"/>
  <c r="CH175" i="1" s="1"/>
  <c r="CC20" i="1"/>
  <c r="CC175" i="1" s="1"/>
  <c r="BX20" i="1"/>
  <c r="BX175" i="1" s="1"/>
  <c r="BS20" i="1"/>
  <c r="BS175" i="1" s="1"/>
  <c r="BK20" i="1"/>
  <c r="BK34" i="1" s="1"/>
  <c r="BI20" i="1"/>
  <c r="BI175" i="1" s="1"/>
  <c r="BG20" i="1"/>
  <c r="BG34" i="1" s="1"/>
  <c r="BD20" i="1"/>
  <c r="BD175" i="1" s="1"/>
  <c r="AY20" i="1"/>
  <c r="AY175" i="1" s="1"/>
  <c r="AT20" i="1"/>
  <c r="AT175" i="1" s="1"/>
  <c r="AO20" i="1"/>
  <c r="AO175" i="1" s="1"/>
  <c r="AJ20" i="1"/>
  <c r="AJ175" i="1" s="1"/>
  <c r="AE20" i="1"/>
  <c r="AE21" i="1" s="1"/>
  <c r="AD20" i="1"/>
  <c r="AD34" i="1" s="1"/>
  <c r="Z20" i="1"/>
  <c r="Z22" i="1" s="1"/>
  <c r="J20" i="1"/>
  <c r="J34" i="1" s="1"/>
  <c r="E20" i="1"/>
  <c r="E34" i="1" s="1"/>
  <c r="EJ17" i="1"/>
  <c r="EI17" i="1"/>
  <c r="EH17" i="1"/>
  <c r="EG17" i="1"/>
  <c r="EE17" i="1"/>
  <c r="ED17" i="1"/>
  <c r="EC17" i="1"/>
  <c r="EB17" i="1"/>
  <c r="DZ17" i="1"/>
  <c r="DY17" i="1"/>
  <c r="DX17" i="1"/>
  <c r="DW17" i="1"/>
  <c r="DU17" i="1"/>
  <c r="DT17" i="1"/>
  <c r="DS17" i="1"/>
  <c r="DR17" i="1"/>
  <c r="DP17" i="1"/>
  <c r="DO17" i="1"/>
  <c r="DN17" i="1"/>
  <c r="DM17" i="1"/>
  <c r="DK17" i="1"/>
  <c r="DJ17" i="1"/>
  <c r="DI17" i="1"/>
  <c r="CQ17" i="1"/>
  <c r="CP17" i="1"/>
  <c r="CO17" i="1"/>
  <c r="CN17" i="1"/>
  <c r="CL17" i="1"/>
  <c r="CK17" i="1"/>
  <c r="CJ17" i="1"/>
  <c r="CI17" i="1"/>
  <c r="CG17" i="1"/>
  <c r="CF17" i="1"/>
  <c r="CE17" i="1"/>
  <c r="CD17" i="1"/>
  <c r="CB17" i="1"/>
  <c r="CA17" i="1"/>
  <c r="BZ17" i="1"/>
  <c r="BY17" i="1"/>
  <c r="BW17" i="1"/>
  <c r="BV17" i="1"/>
  <c r="BU17" i="1"/>
  <c r="BT17" i="1"/>
  <c r="BR17" i="1"/>
  <c r="BQ17" i="1"/>
  <c r="BP17" i="1"/>
  <c r="BO17" i="1"/>
  <c r="BM17" i="1"/>
  <c r="BL17" i="1"/>
  <c r="BK17" i="1"/>
  <c r="BJ17" i="1"/>
  <c r="BH17" i="1"/>
  <c r="BG17" i="1"/>
  <c r="BF17" i="1"/>
  <c r="BE17" i="1"/>
  <c r="BC17" i="1"/>
  <c r="BB17" i="1"/>
  <c r="BA17" i="1"/>
  <c r="AZ17" i="1"/>
  <c r="AX17" i="1"/>
  <c r="AW17" i="1"/>
  <c r="AV17" i="1"/>
  <c r="AU17" i="1"/>
  <c r="AS17" i="1"/>
  <c r="AR17" i="1"/>
  <c r="AQ17" i="1"/>
  <c r="AP17" i="1"/>
  <c r="AN17" i="1"/>
  <c r="AM17" i="1"/>
  <c r="AL17" i="1"/>
  <c r="AK17" i="1"/>
  <c r="AI17" i="1"/>
  <c r="AH17" i="1"/>
  <c r="AG17" i="1"/>
  <c r="AF17" i="1"/>
  <c r="AD17" i="1"/>
  <c r="AC17" i="1"/>
  <c r="AB17" i="1"/>
  <c r="AA17" i="1"/>
  <c r="X17" i="1"/>
  <c r="W17" i="1"/>
  <c r="V17" i="1"/>
  <c r="U17" i="1"/>
  <c r="S17" i="1"/>
  <c r="R17" i="1"/>
  <c r="Q17" i="1"/>
  <c r="P17" i="1"/>
  <c r="N17" i="1"/>
  <c r="M17" i="1"/>
  <c r="L17" i="1"/>
  <c r="K17" i="1"/>
  <c r="I17" i="1"/>
  <c r="H17" i="1"/>
  <c r="G17" i="1"/>
  <c r="EO16" i="1"/>
  <c r="EN16" i="1"/>
  <c r="EM16" i="1"/>
  <c r="EJ16" i="1"/>
  <c r="EI16" i="1"/>
  <c r="EH16" i="1"/>
  <c r="EF16" i="1"/>
  <c r="EE16" i="1"/>
  <c r="ED16" i="1"/>
  <c r="EC16" i="1"/>
  <c r="EB16" i="1"/>
  <c r="DZ16" i="1"/>
  <c r="DY16" i="1"/>
  <c r="DX16" i="1"/>
  <c r="DU16" i="1"/>
  <c r="DT16" i="1"/>
  <c r="DS16" i="1"/>
  <c r="DP16" i="1"/>
  <c r="DO16" i="1"/>
  <c r="DN16" i="1"/>
  <c r="DL16" i="1"/>
  <c r="DK16" i="1"/>
  <c r="DJ16" i="1"/>
  <c r="DI16" i="1"/>
  <c r="DH16" i="1"/>
  <c r="DF16" i="1"/>
  <c r="DE16" i="1"/>
  <c r="CQ16" i="1"/>
  <c r="CP16" i="1"/>
  <c r="CO16" i="1"/>
  <c r="CN16" i="1"/>
  <c r="CL16" i="1"/>
  <c r="CK16" i="1"/>
  <c r="CJ16" i="1"/>
  <c r="CI16" i="1"/>
  <c r="CG16" i="1"/>
  <c r="CF16" i="1"/>
  <c r="CE16" i="1"/>
  <c r="CD16" i="1"/>
  <c r="CB16" i="1"/>
  <c r="CA16" i="1"/>
  <c r="BZ16" i="1"/>
  <c r="BY16" i="1"/>
  <c r="BW16" i="1"/>
  <c r="BV16" i="1"/>
  <c r="BU16" i="1"/>
  <c r="BT16" i="1"/>
  <c r="BR16" i="1"/>
  <c r="BQ16" i="1"/>
  <c r="BP16" i="1"/>
  <c r="BO16" i="1"/>
  <c r="BM16" i="1"/>
  <c r="BL16" i="1"/>
  <c r="BK16" i="1"/>
  <c r="BJ16" i="1"/>
  <c r="BH16" i="1"/>
  <c r="BG16" i="1"/>
  <c r="BF16" i="1"/>
  <c r="BE16" i="1"/>
  <c r="BC16" i="1"/>
  <c r="BB16" i="1"/>
  <c r="BA16" i="1"/>
  <c r="AZ16" i="1"/>
  <c r="AX16" i="1"/>
  <c r="AW16" i="1"/>
  <c r="AV16" i="1"/>
  <c r="AU16" i="1"/>
  <c r="AS16" i="1"/>
  <c r="AR16" i="1"/>
  <c r="AQ16" i="1"/>
  <c r="AP16" i="1"/>
  <c r="AN16" i="1"/>
  <c r="AM16" i="1"/>
  <c r="AL16" i="1"/>
  <c r="AK16" i="1"/>
  <c r="AI16" i="1"/>
  <c r="AH16" i="1"/>
  <c r="AG16" i="1"/>
  <c r="AF16" i="1"/>
  <c r="AD16" i="1"/>
  <c r="AD50" i="1" s="1"/>
  <c r="AC16" i="1"/>
  <c r="AB16" i="1"/>
  <c r="AA16" i="1"/>
  <c r="Y16" i="1"/>
  <c r="X16" i="1"/>
  <c r="W16" i="1"/>
  <c r="U16" i="1"/>
  <c r="U84" i="1" s="1"/>
  <c r="T16" i="1"/>
  <c r="T50" i="1" s="1"/>
  <c r="S16" i="1"/>
  <c r="R16" i="1"/>
  <c r="P16" i="1"/>
  <c r="P84" i="1" s="1"/>
  <c r="P85" i="1" s="1"/>
  <c r="N16" i="1"/>
  <c r="M16" i="1"/>
  <c r="L16" i="1"/>
  <c r="K16" i="1"/>
  <c r="K84" i="1" s="1"/>
  <c r="I16" i="1"/>
  <c r="H16" i="1"/>
  <c r="D16" i="1"/>
  <c r="C16" i="1"/>
  <c r="EQ17" i="1"/>
  <c r="EQ15" i="1"/>
  <c r="EQ16" i="1" s="1"/>
  <c r="EP15" i="1"/>
  <c r="EK15" i="1"/>
  <c r="EP16" i="1" s="1"/>
  <c r="EF15" i="1"/>
  <c r="EL16" i="1" s="1"/>
  <c r="EA15" i="1"/>
  <c r="EF17" i="1" s="1"/>
  <c r="DV15" i="1"/>
  <c r="DV17" i="1" s="1"/>
  <c r="DQ15" i="1"/>
  <c r="DV16" i="1" s="1"/>
  <c r="DL15" i="1"/>
  <c r="DQ16" i="1" s="1"/>
  <c r="DG15" i="1"/>
  <c r="DL17" i="1" s="1"/>
  <c r="DH17" i="1"/>
  <c r="DB15" i="1"/>
  <c r="DA78" i="1"/>
  <c r="CZ78" i="1"/>
  <c r="CY78" i="1"/>
  <c r="CX17" i="1"/>
  <c r="CW15" i="1"/>
  <c r="CV16" i="1"/>
  <c r="CT17" i="1"/>
  <c r="CT16" i="1"/>
  <c r="CR15" i="1"/>
  <c r="CW16" i="1" s="1"/>
  <c r="CM15" i="1"/>
  <c r="CR16" i="1" s="1"/>
  <c r="CH15" i="1"/>
  <c r="CH17" i="1" s="1"/>
  <c r="CC15" i="1"/>
  <c r="CH16" i="1" s="1"/>
  <c r="BX15" i="1"/>
  <c r="CC16" i="1" s="1"/>
  <c r="BS15" i="1"/>
  <c r="BX16" i="1" s="1"/>
  <c r="BN15" i="1"/>
  <c r="BN17" i="1" s="1"/>
  <c r="BI15" i="1"/>
  <c r="BN16" i="1" s="1"/>
  <c r="BD15" i="1"/>
  <c r="BI16" i="1" s="1"/>
  <c r="BI50" i="1" s="1"/>
  <c r="AY15" i="1"/>
  <c r="BD16" i="1" s="1"/>
  <c r="AT15" i="1"/>
  <c r="AT17" i="1" s="1"/>
  <c r="AO15" i="1"/>
  <c r="AT16" i="1" s="1"/>
  <c r="AJ15" i="1"/>
  <c r="AO16" i="1" s="1"/>
  <c r="AO50" i="1" s="1"/>
  <c r="AE15" i="1"/>
  <c r="AJ16" i="1" s="1"/>
  <c r="Z15" i="1"/>
  <c r="Z17" i="1" s="1"/>
  <c r="T15" i="1"/>
  <c r="V16" i="1" s="1"/>
  <c r="T13" i="1"/>
  <c r="T14" i="1" s="1"/>
  <c r="T9" i="1"/>
  <c r="T8" i="1"/>
  <c r="T6" i="1"/>
  <c r="T11" i="1" s="1"/>
  <c r="T5" i="1"/>
  <c r="T4" i="1"/>
  <c r="O15" i="1"/>
  <c r="Q16" i="1" s="1"/>
  <c r="O13" i="1"/>
  <c r="O14" i="1" s="1"/>
  <c r="O9" i="1"/>
  <c r="O8" i="1"/>
  <c r="O6" i="1"/>
  <c r="O11" i="1" s="1"/>
  <c r="O12" i="1" s="1"/>
  <c r="O5" i="1"/>
  <c r="O4" i="1"/>
  <c r="J15" i="1"/>
  <c r="J17" i="1" s="1"/>
  <c r="J13" i="1"/>
  <c r="J8" i="1"/>
  <c r="J6" i="1"/>
  <c r="J11" i="1" s="1"/>
  <c r="J4" i="1"/>
  <c r="E15" i="1"/>
  <c r="E16" i="1" s="1"/>
  <c r="ET13" i="1"/>
  <c r="EQ13" i="1"/>
  <c r="EO13" i="1"/>
  <c r="EN13" i="1"/>
  <c r="ES13" i="1" s="1"/>
  <c r="EM13" i="1"/>
  <c r="ER13" i="1" s="1"/>
  <c r="EL13" i="1"/>
  <c r="F13" i="1"/>
  <c r="D13" i="1"/>
  <c r="C13" i="1"/>
  <c r="B13" i="1"/>
  <c r="ET11" i="1"/>
  <c r="EQ11" i="1"/>
  <c r="EO11" i="1"/>
  <c r="EN11" i="1"/>
  <c r="ES11" i="1" s="1"/>
  <c r="ES6" i="1" s="1"/>
  <c r="EM11" i="1"/>
  <c r="ER11" i="1" s="1"/>
  <c r="ER6" i="1" s="1"/>
  <c r="EL11" i="1"/>
  <c r="CN14" i="1"/>
  <c r="DF13" i="1"/>
  <c r="DF14" i="1" s="1"/>
  <c r="DE13" i="1"/>
  <c r="DD13" i="1"/>
  <c r="DA13" i="1"/>
  <c r="CZ13" i="1"/>
  <c r="DE14" i="1" s="1"/>
  <c r="CY13" i="1"/>
  <c r="DD14" i="1" s="1"/>
  <c r="CQ13" i="1"/>
  <c r="CQ14" i="1" s="1"/>
  <c r="CP13" i="1"/>
  <c r="CP14" i="1" s="1"/>
  <c r="CO13" i="1"/>
  <c r="CN13" i="1"/>
  <c r="DF11" i="1"/>
  <c r="DE11" i="1"/>
  <c r="DE12" i="1" s="1"/>
  <c r="DD11" i="1"/>
  <c r="DD12" i="1" s="1"/>
  <c r="DA11" i="1"/>
  <c r="DF12" i="1" s="1"/>
  <c r="CZ11" i="1"/>
  <c r="CY11" i="1"/>
  <c r="CQ11" i="1"/>
  <c r="CP11" i="1"/>
  <c r="CO11" i="1"/>
  <c r="CO12" i="1" s="1"/>
  <c r="CN11" i="1"/>
  <c r="CN12" i="1" s="1"/>
  <c r="W14" i="1"/>
  <c r="Y13" i="1"/>
  <c r="Y14" i="1" s="1"/>
  <c r="X13" i="1"/>
  <c r="X14" i="1" s="1"/>
  <c r="W13" i="1"/>
  <c r="V13" i="1"/>
  <c r="U13" i="1"/>
  <c r="U14" i="1" s="1"/>
  <c r="X12" i="1"/>
  <c r="U12" i="1"/>
  <c r="Y11" i="1"/>
  <c r="X11" i="1"/>
  <c r="W11" i="1"/>
  <c r="W12" i="1" s="1"/>
  <c r="V11" i="1"/>
  <c r="V12" i="1" s="1"/>
  <c r="U11" i="1"/>
  <c r="S13" i="1"/>
  <c r="S14" i="1" s="1"/>
  <c r="R13" i="1"/>
  <c r="R14" i="1" s="1"/>
  <c r="Q13" i="1"/>
  <c r="Q14" i="1" s="1"/>
  <c r="P13" i="1"/>
  <c r="P14" i="1" s="1"/>
  <c r="S11" i="1"/>
  <c r="S12" i="1" s="1"/>
  <c r="R11" i="1"/>
  <c r="R12" i="1" s="1"/>
  <c r="Q11" i="1"/>
  <c r="Q12" i="1" s="1"/>
  <c r="P11" i="1"/>
  <c r="P12" i="1" s="1"/>
  <c r="N13" i="1"/>
  <c r="N14" i="1" s="1"/>
  <c r="M13" i="1"/>
  <c r="M14" i="1" s="1"/>
  <c r="L13" i="1"/>
  <c r="L14" i="1" s="1"/>
  <c r="K13" i="1"/>
  <c r="K14" i="1" s="1"/>
  <c r="N11" i="1"/>
  <c r="N12" i="1" s="1"/>
  <c r="M11" i="1"/>
  <c r="M12" i="1" s="1"/>
  <c r="L11" i="1"/>
  <c r="L12" i="1" s="1"/>
  <c r="K11" i="1"/>
  <c r="K12" i="1" s="1"/>
  <c r="F11" i="1"/>
  <c r="D11" i="1"/>
  <c r="C11" i="1"/>
  <c r="B11" i="1"/>
  <c r="EO10" i="1"/>
  <c r="EN10" i="1"/>
  <c r="EM10" i="1"/>
  <c r="EL10" i="1"/>
  <c r="EJ13" i="1"/>
  <c r="EJ14" i="1" s="1"/>
  <c r="EI13" i="1"/>
  <c r="EI14" i="1" s="1"/>
  <c r="EH13" i="1"/>
  <c r="EH14" i="1" s="1"/>
  <c r="EG13" i="1"/>
  <c r="EG14" i="1" s="1"/>
  <c r="EJ11" i="1"/>
  <c r="EJ12" i="1" s="1"/>
  <c r="EI11" i="1"/>
  <c r="EI12" i="1" s="1"/>
  <c r="EH11" i="1"/>
  <c r="EH12" i="1" s="1"/>
  <c r="EG11" i="1"/>
  <c r="EG12" i="1" s="1"/>
  <c r="EJ10" i="1"/>
  <c r="EI10" i="1"/>
  <c r="EH10" i="1"/>
  <c r="EG10" i="1"/>
  <c r="EE13" i="1"/>
  <c r="EE14" i="1" s="1"/>
  <c r="ED13" i="1"/>
  <c r="ED14" i="1" s="1"/>
  <c r="EC13" i="1"/>
  <c r="EC14" i="1" s="1"/>
  <c r="EB13" i="1"/>
  <c r="EB14" i="1" s="1"/>
  <c r="EE11" i="1"/>
  <c r="EE12" i="1" s="1"/>
  <c r="ED11" i="1"/>
  <c r="ED12" i="1" s="1"/>
  <c r="EC11" i="1"/>
  <c r="EC12" i="1" s="1"/>
  <c r="EB11" i="1"/>
  <c r="EB12" i="1" s="1"/>
  <c r="EE10" i="1"/>
  <c r="ED10" i="1"/>
  <c r="EC10" i="1"/>
  <c r="EB10" i="1"/>
  <c r="DZ13" i="1"/>
  <c r="DZ14" i="1" s="1"/>
  <c r="DY13" i="1"/>
  <c r="DY14" i="1" s="1"/>
  <c r="DX13" i="1"/>
  <c r="DX14" i="1" s="1"/>
  <c r="DW13" i="1"/>
  <c r="DW14" i="1" s="1"/>
  <c r="DZ11" i="1"/>
  <c r="DZ12" i="1" s="1"/>
  <c r="DY11" i="1"/>
  <c r="DY12" i="1" s="1"/>
  <c r="DX11" i="1"/>
  <c r="DX12" i="1" s="1"/>
  <c r="DW11" i="1"/>
  <c r="DW12" i="1" s="1"/>
  <c r="DZ10" i="1"/>
  <c r="DY10" i="1"/>
  <c r="DX10" i="1"/>
  <c r="DW10" i="1"/>
  <c r="DU13" i="1"/>
  <c r="DU14" i="1" s="1"/>
  <c r="DT13" i="1"/>
  <c r="DT14" i="1" s="1"/>
  <c r="DS13" i="1"/>
  <c r="DS14" i="1" s="1"/>
  <c r="DR13" i="1"/>
  <c r="DR14" i="1" s="1"/>
  <c r="DU11" i="1"/>
  <c r="DU12" i="1" s="1"/>
  <c r="DT11" i="1"/>
  <c r="DT12" i="1" s="1"/>
  <c r="DS11" i="1"/>
  <c r="DS12" i="1" s="1"/>
  <c r="DR11" i="1"/>
  <c r="DR12" i="1" s="1"/>
  <c r="DU10" i="1"/>
  <c r="DT10" i="1"/>
  <c r="DS10" i="1"/>
  <c r="DR10" i="1"/>
  <c r="DP13" i="1"/>
  <c r="DP14" i="1" s="1"/>
  <c r="DO13" i="1"/>
  <c r="DO14" i="1" s="1"/>
  <c r="DN13" i="1"/>
  <c r="DN14" i="1" s="1"/>
  <c r="DM13" i="1"/>
  <c r="DM14" i="1" s="1"/>
  <c r="DP11" i="1"/>
  <c r="DP12" i="1" s="1"/>
  <c r="DO11" i="1"/>
  <c r="DO12" i="1" s="1"/>
  <c r="DN11" i="1"/>
  <c r="DN12" i="1" s="1"/>
  <c r="DM11" i="1"/>
  <c r="DM12" i="1" s="1"/>
  <c r="DP10" i="1"/>
  <c r="DO10" i="1"/>
  <c r="DN10" i="1"/>
  <c r="DM10" i="1"/>
  <c r="DK13" i="1"/>
  <c r="DK14" i="1" s="1"/>
  <c r="DJ13" i="1"/>
  <c r="DJ14" i="1" s="1"/>
  <c r="DI13" i="1"/>
  <c r="DI14" i="1" s="1"/>
  <c r="DH13" i="1"/>
  <c r="DK11" i="1"/>
  <c r="DK12" i="1" s="1"/>
  <c r="DJ11" i="1"/>
  <c r="DJ12" i="1" s="1"/>
  <c r="DI11" i="1"/>
  <c r="DI12" i="1" s="1"/>
  <c r="DH11" i="1"/>
  <c r="DK10" i="1"/>
  <c r="DJ10" i="1"/>
  <c r="DI10" i="1"/>
  <c r="DH10" i="1"/>
  <c r="DF10" i="1"/>
  <c r="DE10" i="1"/>
  <c r="DA10" i="1"/>
  <c r="CZ10" i="1"/>
  <c r="CQ10" i="1"/>
  <c r="CP10" i="1"/>
  <c r="CO10" i="1"/>
  <c r="CN10" i="1"/>
  <c r="CL13" i="1"/>
  <c r="CL14" i="1" s="1"/>
  <c r="CK13" i="1"/>
  <c r="CK14" i="1" s="1"/>
  <c r="CJ13" i="1"/>
  <c r="CO14" i="1" s="1"/>
  <c r="CI13" i="1"/>
  <c r="CI14" i="1" s="1"/>
  <c r="CL11" i="1"/>
  <c r="CQ12" i="1" s="1"/>
  <c r="CK11" i="1"/>
  <c r="CP12" i="1" s="1"/>
  <c r="CJ11" i="1"/>
  <c r="CJ12" i="1" s="1"/>
  <c r="CI11" i="1"/>
  <c r="CI12" i="1" s="1"/>
  <c r="CL10" i="1"/>
  <c r="CK10" i="1"/>
  <c r="CJ10" i="1"/>
  <c r="CI10" i="1"/>
  <c r="CG13" i="1"/>
  <c r="CG14" i="1" s="1"/>
  <c r="CF13" i="1"/>
  <c r="CF14" i="1" s="1"/>
  <c r="CE13" i="1"/>
  <c r="CE14" i="1" s="1"/>
  <c r="CD13" i="1"/>
  <c r="CD14" i="1" s="1"/>
  <c r="CG11" i="1"/>
  <c r="CG12" i="1" s="1"/>
  <c r="CF11" i="1"/>
  <c r="CF12" i="1" s="1"/>
  <c r="CE11" i="1"/>
  <c r="CE12" i="1" s="1"/>
  <c r="CD11" i="1"/>
  <c r="CD12" i="1" s="1"/>
  <c r="CG10" i="1"/>
  <c r="CF10" i="1"/>
  <c r="CE10" i="1"/>
  <c r="CD10" i="1"/>
  <c r="CB13" i="1"/>
  <c r="CB14" i="1" s="1"/>
  <c r="CA13" i="1"/>
  <c r="CA14" i="1" s="1"/>
  <c r="BZ13" i="1"/>
  <c r="BZ14" i="1" s="1"/>
  <c r="BY13" i="1"/>
  <c r="BY14" i="1" s="1"/>
  <c r="CB11" i="1"/>
  <c r="CB12" i="1" s="1"/>
  <c r="CA11" i="1"/>
  <c r="CA12" i="1" s="1"/>
  <c r="BZ11" i="1"/>
  <c r="BZ12" i="1" s="1"/>
  <c r="BY11" i="1"/>
  <c r="BY12" i="1" s="1"/>
  <c r="CB10" i="1"/>
  <c r="CA10" i="1"/>
  <c r="BZ10" i="1"/>
  <c r="BY10" i="1"/>
  <c r="BW13" i="1"/>
  <c r="BW14" i="1" s="1"/>
  <c r="BV13" i="1"/>
  <c r="BV14" i="1" s="1"/>
  <c r="BU13" i="1"/>
  <c r="BU14" i="1" s="1"/>
  <c r="BT13" i="1"/>
  <c r="BT14" i="1" s="1"/>
  <c r="BW11" i="1"/>
  <c r="BW12" i="1" s="1"/>
  <c r="BV11" i="1"/>
  <c r="BV12" i="1" s="1"/>
  <c r="BU11" i="1"/>
  <c r="BU12" i="1" s="1"/>
  <c r="BT11" i="1"/>
  <c r="BT12" i="1" s="1"/>
  <c r="BW10" i="1"/>
  <c r="BV10" i="1"/>
  <c r="BU10" i="1"/>
  <c r="BT10" i="1"/>
  <c r="BR13" i="1"/>
  <c r="BR14" i="1" s="1"/>
  <c r="BQ13" i="1"/>
  <c r="BQ14" i="1" s="1"/>
  <c r="BP13" i="1"/>
  <c r="BP14" i="1" s="1"/>
  <c r="BO13" i="1"/>
  <c r="BO14" i="1" s="1"/>
  <c r="BR11" i="1"/>
  <c r="BR12" i="1" s="1"/>
  <c r="BQ11" i="1"/>
  <c r="BQ12" i="1" s="1"/>
  <c r="BP11" i="1"/>
  <c r="BP12" i="1" s="1"/>
  <c r="BO11" i="1"/>
  <c r="BO12" i="1" s="1"/>
  <c r="BR10" i="1"/>
  <c r="BQ10" i="1"/>
  <c r="BP10" i="1"/>
  <c r="BO10" i="1"/>
  <c r="BM13" i="1"/>
  <c r="BM14" i="1" s="1"/>
  <c r="BL13" i="1"/>
  <c r="BL14" i="1" s="1"/>
  <c r="BK13" i="1"/>
  <c r="BK14" i="1" s="1"/>
  <c r="BJ13" i="1"/>
  <c r="BJ14" i="1" s="1"/>
  <c r="BM11" i="1"/>
  <c r="BM12" i="1" s="1"/>
  <c r="BL11" i="1"/>
  <c r="BL12" i="1" s="1"/>
  <c r="BK11" i="1"/>
  <c r="BK12" i="1" s="1"/>
  <c r="BJ11" i="1"/>
  <c r="BJ12" i="1" s="1"/>
  <c r="BM10" i="1"/>
  <c r="BL10" i="1"/>
  <c r="BK10" i="1"/>
  <c r="BJ10" i="1"/>
  <c r="BH13" i="1"/>
  <c r="BH14" i="1" s="1"/>
  <c r="BG13" i="1"/>
  <c r="BG14" i="1" s="1"/>
  <c r="BF13" i="1"/>
  <c r="BF14" i="1" s="1"/>
  <c r="BE13" i="1"/>
  <c r="BE14" i="1" s="1"/>
  <c r="BH11" i="1"/>
  <c r="BH12" i="1" s="1"/>
  <c r="BG11" i="1"/>
  <c r="BG12" i="1" s="1"/>
  <c r="BF11" i="1"/>
  <c r="BF12" i="1" s="1"/>
  <c r="BE11" i="1"/>
  <c r="BE12" i="1" s="1"/>
  <c r="BH10" i="1"/>
  <c r="BG10" i="1"/>
  <c r="BF10" i="1"/>
  <c r="BE10" i="1"/>
  <c r="BC13" i="1"/>
  <c r="BC14" i="1" s="1"/>
  <c r="BB13" i="1"/>
  <c r="BB14" i="1" s="1"/>
  <c r="BA13" i="1"/>
  <c r="BA14" i="1" s="1"/>
  <c r="AZ13" i="1"/>
  <c r="AZ14" i="1" s="1"/>
  <c r="BC11" i="1"/>
  <c r="BC12" i="1" s="1"/>
  <c r="BB11" i="1"/>
  <c r="BB12" i="1" s="1"/>
  <c r="BA11" i="1"/>
  <c r="BA12" i="1" s="1"/>
  <c r="AZ11" i="1"/>
  <c r="AZ12" i="1" s="1"/>
  <c r="BC10" i="1"/>
  <c r="BB10" i="1"/>
  <c r="BA10" i="1"/>
  <c r="AZ10" i="1"/>
  <c r="AX13" i="1"/>
  <c r="AX14" i="1" s="1"/>
  <c r="AW13" i="1"/>
  <c r="AW14" i="1" s="1"/>
  <c r="AV13" i="1"/>
  <c r="AV14" i="1" s="1"/>
  <c r="AU13" i="1"/>
  <c r="AU14" i="1" s="1"/>
  <c r="AX11" i="1"/>
  <c r="AX12" i="1" s="1"/>
  <c r="AW11" i="1"/>
  <c r="AW12" i="1" s="1"/>
  <c r="AV11" i="1"/>
  <c r="AV12" i="1" s="1"/>
  <c r="AU11" i="1"/>
  <c r="AU12" i="1" s="1"/>
  <c r="AX10" i="1"/>
  <c r="AW10" i="1"/>
  <c r="AV10" i="1"/>
  <c r="AU10" i="1"/>
  <c r="AS13" i="1"/>
  <c r="AS14" i="1" s="1"/>
  <c r="AR13" i="1"/>
  <c r="AR14" i="1" s="1"/>
  <c r="AQ13" i="1"/>
  <c r="AQ14" i="1" s="1"/>
  <c r="AP13" i="1"/>
  <c r="AP14" i="1" s="1"/>
  <c r="AS11" i="1"/>
  <c r="AS12" i="1" s="1"/>
  <c r="AR11" i="1"/>
  <c r="AR12" i="1" s="1"/>
  <c r="AQ11" i="1"/>
  <c r="AQ12" i="1" s="1"/>
  <c r="AP11" i="1"/>
  <c r="AP12" i="1" s="1"/>
  <c r="AS10" i="1"/>
  <c r="AR10" i="1"/>
  <c r="AQ10" i="1"/>
  <c r="AP10" i="1"/>
  <c r="AN13" i="1"/>
  <c r="AN14" i="1" s="1"/>
  <c r="AM13" i="1"/>
  <c r="AM14" i="1" s="1"/>
  <c r="AL13" i="1"/>
  <c r="AL14" i="1" s="1"/>
  <c r="AK13" i="1"/>
  <c r="AK14" i="1" s="1"/>
  <c r="AN11" i="1"/>
  <c r="AN12" i="1" s="1"/>
  <c r="AM11" i="1"/>
  <c r="AM12" i="1" s="1"/>
  <c r="AL11" i="1"/>
  <c r="AL12" i="1" s="1"/>
  <c r="AK11" i="1"/>
  <c r="AK12" i="1" s="1"/>
  <c r="AN10" i="1"/>
  <c r="AM10" i="1"/>
  <c r="AL10" i="1"/>
  <c r="AK10" i="1"/>
  <c r="AI13" i="1"/>
  <c r="AH13" i="1"/>
  <c r="AH14" i="1" s="1"/>
  <c r="AG13" i="1"/>
  <c r="AG14" i="1" s="1"/>
  <c r="AF13" i="1"/>
  <c r="AF14" i="1" s="1"/>
  <c r="AI11" i="1"/>
  <c r="AH11" i="1"/>
  <c r="AH12" i="1" s="1"/>
  <c r="AG11" i="1"/>
  <c r="AG12" i="1" s="1"/>
  <c r="AF11" i="1"/>
  <c r="AF12" i="1" s="1"/>
  <c r="AI10" i="1"/>
  <c r="AH10" i="1"/>
  <c r="AG10" i="1"/>
  <c r="AF10" i="1"/>
  <c r="AC13" i="1"/>
  <c r="AC14" i="1" s="1"/>
  <c r="AB13" i="1"/>
  <c r="AB14" i="1" s="1"/>
  <c r="AA13" i="1"/>
  <c r="AA14" i="1" s="1"/>
  <c r="AC11" i="1"/>
  <c r="AC12" i="1" s="1"/>
  <c r="AB11" i="1"/>
  <c r="AB12" i="1" s="1"/>
  <c r="AA11" i="1"/>
  <c r="AA12" i="1" s="1"/>
  <c r="AD10" i="1"/>
  <c r="AC10" i="1"/>
  <c r="AB10" i="1"/>
  <c r="AA10" i="1"/>
  <c r="Y10" i="1"/>
  <c r="X10" i="1"/>
  <c r="W10" i="1"/>
  <c r="V10" i="1"/>
  <c r="D10" i="1"/>
  <c r="C10" i="1"/>
  <c r="EJ9" i="1"/>
  <c r="EI9" i="1"/>
  <c r="EH9" i="1"/>
  <c r="EG9" i="1"/>
  <c r="EE9" i="1"/>
  <c r="ED9" i="1"/>
  <c r="EC9" i="1"/>
  <c r="EB9" i="1"/>
  <c r="DZ9" i="1"/>
  <c r="DY9" i="1"/>
  <c r="DX9" i="1"/>
  <c r="DW9" i="1"/>
  <c r="DV9" i="1"/>
  <c r="DU9" i="1"/>
  <c r="DT9" i="1"/>
  <c r="DS9" i="1"/>
  <c r="DR9" i="1"/>
  <c r="DP9" i="1"/>
  <c r="DO9" i="1"/>
  <c r="DN9" i="1"/>
  <c r="DM9" i="1"/>
  <c r="DK9" i="1"/>
  <c r="DJ9" i="1"/>
  <c r="DI9" i="1"/>
  <c r="DF9" i="1"/>
  <c r="DE9" i="1"/>
  <c r="DD9" i="1"/>
  <c r="DA9" i="1"/>
  <c r="CQ9" i="1"/>
  <c r="CP9" i="1"/>
  <c r="CO9" i="1"/>
  <c r="CN9" i="1"/>
  <c r="CL9" i="1"/>
  <c r="CK9" i="1"/>
  <c r="CJ9" i="1"/>
  <c r="CI9" i="1"/>
  <c r="CG9" i="1"/>
  <c r="CF9" i="1"/>
  <c r="CE9" i="1"/>
  <c r="CD9" i="1"/>
  <c r="CB9" i="1"/>
  <c r="CA9" i="1"/>
  <c r="BZ9" i="1"/>
  <c r="BY9" i="1"/>
  <c r="BW9" i="1"/>
  <c r="BV9" i="1"/>
  <c r="BU9" i="1"/>
  <c r="BT9" i="1"/>
  <c r="BR9" i="1"/>
  <c r="BQ9" i="1"/>
  <c r="BP9" i="1"/>
  <c r="BO9" i="1"/>
  <c r="BM9" i="1"/>
  <c r="BL9" i="1"/>
  <c r="BK9" i="1"/>
  <c r="BJ9" i="1"/>
  <c r="BH9" i="1"/>
  <c r="BG9" i="1"/>
  <c r="BF9" i="1"/>
  <c r="BE9" i="1"/>
  <c r="BC9" i="1"/>
  <c r="BB9" i="1"/>
  <c r="BA9" i="1"/>
  <c r="AZ9" i="1"/>
  <c r="AX9" i="1"/>
  <c r="AW9" i="1"/>
  <c r="AV9" i="1"/>
  <c r="AU9" i="1"/>
  <c r="AS9" i="1"/>
  <c r="AR9" i="1"/>
  <c r="AQ9" i="1"/>
  <c r="AP9" i="1"/>
  <c r="AN9" i="1"/>
  <c r="AM9" i="1"/>
  <c r="AL9" i="1"/>
  <c r="AK9" i="1"/>
  <c r="AI9" i="1"/>
  <c r="AH9" i="1"/>
  <c r="AG9" i="1"/>
  <c r="AF9" i="1"/>
  <c r="AD9" i="1"/>
  <c r="AC9" i="1"/>
  <c r="AB9" i="1"/>
  <c r="AA9" i="1"/>
  <c r="Y9" i="1"/>
  <c r="X9" i="1"/>
  <c r="W9" i="1"/>
  <c r="V9" i="1"/>
  <c r="U9" i="1"/>
  <c r="S10" i="1"/>
  <c r="R10" i="1"/>
  <c r="Q10" i="1"/>
  <c r="S9" i="1"/>
  <c r="R9" i="1"/>
  <c r="Q9" i="1"/>
  <c r="P9" i="1"/>
  <c r="N10" i="1"/>
  <c r="M10" i="1"/>
  <c r="L10" i="1"/>
  <c r="N9" i="1"/>
  <c r="M9" i="1"/>
  <c r="L9" i="1"/>
  <c r="K9" i="1"/>
  <c r="I14" i="1"/>
  <c r="I13" i="1"/>
  <c r="H13" i="1"/>
  <c r="H14" i="1" s="1"/>
  <c r="G13" i="1"/>
  <c r="G14" i="1" s="1"/>
  <c r="H12" i="1"/>
  <c r="G12" i="1"/>
  <c r="I11" i="1"/>
  <c r="I12" i="1" s="1"/>
  <c r="H11" i="1"/>
  <c r="G11" i="1"/>
  <c r="I10" i="1"/>
  <c r="H10" i="1"/>
  <c r="I9" i="1"/>
  <c r="H9" i="1"/>
  <c r="G9" i="1"/>
  <c r="FQ8" i="1"/>
  <c r="FP8" i="1"/>
  <c r="ET8" i="1"/>
  <c r="ET10" i="1" s="1"/>
  <c r="ES8" i="1"/>
  <c r="ES10" i="1" s="1"/>
  <c r="ER8" i="1"/>
  <c r="ER10" i="1" s="1"/>
  <c r="EQ8" i="1"/>
  <c r="EP8" i="1"/>
  <c r="EP70" i="1" s="1"/>
  <c r="EK8" i="1"/>
  <c r="EK70" i="1" s="1"/>
  <c r="EK7" i="1"/>
  <c r="EK6" i="1"/>
  <c r="EK13" i="1" s="1"/>
  <c r="EK4" i="1"/>
  <c r="EK5" i="1" s="1"/>
  <c r="G37" i="363" s="1"/>
  <c r="EF8" i="1"/>
  <c r="EF7" i="1"/>
  <c r="EF6" i="1"/>
  <c r="EF11" i="1" s="1"/>
  <c r="EF4" i="1"/>
  <c r="EF5" i="1" s="1"/>
  <c r="F37" i="363" s="1"/>
  <c r="EA8" i="1"/>
  <c r="EA6" i="1"/>
  <c r="EA7" i="1" s="1"/>
  <c r="EA5" i="1"/>
  <c r="EA4" i="1"/>
  <c r="DV8" i="1"/>
  <c r="DV32" i="1" s="1"/>
  <c r="DV6" i="1"/>
  <c r="DV13" i="1" s="1"/>
  <c r="DV14" i="1" s="1"/>
  <c r="DV5" i="1"/>
  <c r="DV4" i="1"/>
  <c r="DQ8" i="1"/>
  <c r="DQ70" i="1" s="1"/>
  <c r="DQ7" i="1"/>
  <c r="DQ6" i="1"/>
  <c r="DQ13" i="1" s="1"/>
  <c r="DQ4" i="1"/>
  <c r="DQ5" i="1" s="1"/>
  <c r="DL8" i="1"/>
  <c r="DL6" i="1"/>
  <c r="DL11" i="1" s="1"/>
  <c r="DL4" i="1"/>
  <c r="DG8" i="1"/>
  <c r="DG70" i="1" s="1"/>
  <c r="DC70" i="1"/>
  <c r="CX70" i="1"/>
  <c r="CX71" i="1" s="1"/>
  <c r="CV70" i="1"/>
  <c r="CV71" i="1" s="1"/>
  <c r="CU22" i="1"/>
  <c r="CT70" i="1"/>
  <c r="CT71" i="1" s="1"/>
  <c r="CS70" i="1"/>
  <c r="CS71" i="1" s="1"/>
  <c r="CR8" i="1"/>
  <c r="CR70" i="1" s="1"/>
  <c r="CM8" i="1"/>
  <c r="CM22" i="1" s="1"/>
  <c r="CM7" i="1"/>
  <c r="CM6" i="1"/>
  <c r="CM13" i="1" s="1"/>
  <c r="CM4" i="1"/>
  <c r="CM5" i="1" s="1"/>
  <c r="CH8" i="1"/>
  <c r="CH7" i="1"/>
  <c r="CH6" i="1"/>
  <c r="CH13" i="1" s="1"/>
  <c r="CH4" i="1"/>
  <c r="CH5" i="1" s="1"/>
  <c r="CC8" i="1"/>
  <c r="CC70" i="1" s="1"/>
  <c r="CC71" i="1" s="1"/>
  <c r="CC6" i="1"/>
  <c r="CC11" i="1" s="1"/>
  <c r="CC5" i="1"/>
  <c r="CC4" i="1"/>
  <c r="BX8" i="1"/>
  <c r="BX70" i="1" s="1"/>
  <c r="BX6" i="1"/>
  <c r="BX11" i="1" s="1"/>
  <c r="BX5" i="1"/>
  <c r="BX4" i="1"/>
  <c r="BS8" i="1"/>
  <c r="BS22" i="1" s="1"/>
  <c r="BS7" i="1"/>
  <c r="BS6" i="1"/>
  <c r="BS13" i="1" s="1"/>
  <c r="BS4" i="1"/>
  <c r="BS5" i="1" s="1"/>
  <c r="BN8" i="1"/>
  <c r="BN70" i="1" s="1"/>
  <c r="BN71" i="1" s="1"/>
  <c r="BN7" i="1"/>
  <c r="BN6" i="1"/>
  <c r="BN13" i="1" s="1"/>
  <c r="BN4" i="1"/>
  <c r="BN5" i="1" s="1"/>
  <c r="BI8" i="1"/>
  <c r="BI70" i="1" s="1"/>
  <c r="BI71" i="1" s="1"/>
  <c r="BI6" i="1"/>
  <c r="BI11" i="1" s="1"/>
  <c r="BI5" i="1"/>
  <c r="BI4" i="1"/>
  <c r="BD8" i="1"/>
  <c r="BD70" i="1" s="1"/>
  <c r="BD6" i="1"/>
  <c r="BD11" i="1" s="1"/>
  <c r="BD5" i="1"/>
  <c r="BD4" i="1"/>
  <c r="AY8" i="1"/>
  <c r="AY7" i="1"/>
  <c r="AY6" i="1"/>
  <c r="AY13" i="1" s="1"/>
  <c r="AY4" i="1"/>
  <c r="AY5" i="1" s="1"/>
  <c r="AT8" i="1"/>
  <c r="AT70" i="1" s="1"/>
  <c r="AT71" i="1" s="1"/>
  <c r="AT7" i="1"/>
  <c r="AT6" i="1"/>
  <c r="AT13" i="1" s="1"/>
  <c r="AT4" i="1"/>
  <c r="AT5" i="1" s="1"/>
  <c r="AO8" i="1"/>
  <c r="AO70" i="1" s="1"/>
  <c r="AO71" i="1" s="1"/>
  <c r="AO6" i="1"/>
  <c r="AO11" i="1" s="1"/>
  <c r="AO5" i="1"/>
  <c r="AO4" i="1"/>
  <c r="AJ8" i="1"/>
  <c r="AJ70" i="1" s="1"/>
  <c r="AJ6" i="1"/>
  <c r="AJ11" i="1" s="1"/>
  <c r="AJ5" i="1"/>
  <c r="AJ4" i="1"/>
  <c r="AE8" i="1"/>
  <c r="AE4" i="1"/>
  <c r="AE5" i="1" s="1"/>
  <c r="Z8" i="1"/>
  <c r="Z70" i="1" s="1"/>
  <c r="Z71" i="1" s="1"/>
  <c r="E8" i="1"/>
  <c r="EJ7" i="1"/>
  <c r="EI7" i="1"/>
  <c r="EH7" i="1"/>
  <c r="EG7" i="1"/>
  <c r="EE7" i="1"/>
  <c r="ED7" i="1"/>
  <c r="EC7" i="1"/>
  <c r="EB7" i="1"/>
  <c r="DZ7" i="1"/>
  <c r="DY7" i="1"/>
  <c r="DX7" i="1"/>
  <c r="DW7" i="1"/>
  <c r="DU7" i="1"/>
  <c r="DT7" i="1"/>
  <c r="DS7" i="1"/>
  <c r="DR7" i="1"/>
  <c r="DP7" i="1"/>
  <c r="DO7" i="1"/>
  <c r="DN7" i="1"/>
  <c r="DM7" i="1"/>
  <c r="DK7" i="1"/>
  <c r="DJ7" i="1"/>
  <c r="DI7" i="1"/>
  <c r="DH7" i="1"/>
  <c r="DF7" i="1"/>
  <c r="DE7" i="1"/>
  <c r="DD7" i="1"/>
  <c r="DA7" i="1"/>
  <c r="CZ7" i="1"/>
  <c r="CV7" i="1"/>
  <c r="CR7" i="1"/>
  <c r="CQ7" i="1"/>
  <c r="CP7" i="1"/>
  <c r="CO7" i="1"/>
  <c r="CN7" i="1"/>
  <c r="CL7" i="1"/>
  <c r="CK7" i="1"/>
  <c r="CJ7" i="1"/>
  <c r="CI7" i="1"/>
  <c r="CG7" i="1"/>
  <c r="CF7" i="1"/>
  <c r="CE7" i="1"/>
  <c r="CD7" i="1"/>
  <c r="CB7" i="1"/>
  <c r="CA7" i="1"/>
  <c r="BZ7" i="1"/>
  <c r="BY7" i="1"/>
  <c r="BW7" i="1"/>
  <c r="BV7" i="1"/>
  <c r="BU7" i="1"/>
  <c r="BT7" i="1"/>
  <c r="BR7" i="1"/>
  <c r="BQ7" i="1"/>
  <c r="BP7" i="1"/>
  <c r="BO7" i="1"/>
  <c r="BM7" i="1"/>
  <c r="BL7" i="1"/>
  <c r="BK7" i="1"/>
  <c r="BJ7" i="1"/>
  <c r="BH7" i="1"/>
  <c r="BG7" i="1"/>
  <c r="BF7" i="1"/>
  <c r="BE7" i="1"/>
  <c r="BC7" i="1"/>
  <c r="BB7" i="1"/>
  <c r="BA7" i="1"/>
  <c r="AZ7" i="1"/>
  <c r="AX7" i="1"/>
  <c r="AW7" i="1"/>
  <c r="AV7" i="1"/>
  <c r="AU7" i="1"/>
  <c r="AS7" i="1"/>
  <c r="AR7" i="1"/>
  <c r="AQ7" i="1"/>
  <c r="AP7" i="1"/>
  <c r="AN7" i="1"/>
  <c r="AM7" i="1"/>
  <c r="AL7" i="1"/>
  <c r="AK7" i="1"/>
  <c r="AI7" i="1"/>
  <c r="AH7" i="1"/>
  <c r="AG7" i="1"/>
  <c r="AF7" i="1"/>
  <c r="AD7" i="1"/>
  <c r="AC7" i="1"/>
  <c r="AB7" i="1"/>
  <c r="AA7" i="1"/>
  <c r="U7" i="1"/>
  <c r="S7" i="1"/>
  <c r="R7" i="1"/>
  <c r="Q7" i="1"/>
  <c r="P7" i="1"/>
  <c r="N7" i="1"/>
  <c r="M7" i="1"/>
  <c r="L7" i="1"/>
  <c r="K7" i="1"/>
  <c r="I7" i="1"/>
  <c r="H7" i="1"/>
  <c r="G7" i="1"/>
  <c r="EP6" i="1"/>
  <c r="EP13" i="1" s="1"/>
  <c r="DC11" i="1"/>
  <c r="CX7" i="1"/>
  <c r="CV13" i="1"/>
  <c r="CU11" i="1"/>
  <c r="CU12" i="1" s="1"/>
  <c r="CT7" i="1"/>
  <c r="CS13" i="1"/>
  <c r="CS14" i="1" s="1"/>
  <c r="CR6" i="1"/>
  <c r="CR13" i="1" s="1"/>
  <c r="CR14" i="1" s="1"/>
  <c r="AD6" i="1"/>
  <c r="AD13" i="1" s="1"/>
  <c r="AD14" i="1" s="1"/>
  <c r="AD5" i="1"/>
  <c r="Z6" i="1"/>
  <c r="Z13" i="1" s="1"/>
  <c r="Z14" i="1" s="1"/>
  <c r="Z4" i="1"/>
  <c r="Z5" i="1" s="1"/>
  <c r="E6" i="1"/>
  <c r="E13" i="1" s="1"/>
  <c r="FS7" i="1"/>
  <c r="FR7" i="1"/>
  <c r="EJ5" i="1"/>
  <c r="EI5" i="1"/>
  <c r="EH5" i="1"/>
  <c r="EG5" i="1"/>
  <c r="EE5" i="1"/>
  <c r="ED5" i="1"/>
  <c r="EC5" i="1"/>
  <c r="EB5" i="1"/>
  <c r="DZ5" i="1"/>
  <c r="DY5" i="1"/>
  <c r="DX5" i="1"/>
  <c r="DW5" i="1"/>
  <c r="DU5" i="1"/>
  <c r="DT5" i="1"/>
  <c r="DS5" i="1"/>
  <c r="DR5" i="1"/>
  <c r="DP5" i="1"/>
  <c r="DO5" i="1"/>
  <c r="DN5" i="1"/>
  <c r="DM5" i="1"/>
  <c r="DK5" i="1"/>
  <c r="DJ5" i="1"/>
  <c r="DI5" i="1"/>
  <c r="DF5" i="1"/>
  <c r="DE5" i="1"/>
  <c r="DD5" i="1"/>
  <c r="CX5" i="1"/>
  <c r="CT5" i="1"/>
  <c r="CS5" i="1"/>
  <c r="CQ5" i="1"/>
  <c r="CP5" i="1"/>
  <c r="CO5" i="1"/>
  <c r="CN5" i="1"/>
  <c r="CL5" i="1"/>
  <c r="CK5" i="1"/>
  <c r="CJ5" i="1"/>
  <c r="CI5" i="1"/>
  <c r="CG5" i="1"/>
  <c r="CF5" i="1"/>
  <c r="CE5" i="1"/>
  <c r="CD5" i="1"/>
  <c r="CB5" i="1"/>
  <c r="CA5" i="1"/>
  <c r="BZ5" i="1"/>
  <c r="BY5" i="1"/>
  <c r="BW5" i="1"/>
  <c r="BV5" i="1"/>
  <c r="BU5" i="1"/>
  <c r="BT5" i="1"/>
  <c r="BR5" i="1"/>
  <c r="BQ5" i="1"/>
  <c r="BP5" i="1"/>
  <c r="BO5" i="1"/>
  <c r="BM5" i="1"/>
  <c r="BL5" i="1"/>
  <c r="BK5" i="1"/>
  <c r="BJ5" i="1"/>
  <c r="BH5" i="1"/>
  <c r="BG5" i="1"/>
  <c r="BF5" i="1"/>
  <c r="BE5" i="1"/>
  <c r="BC5" i="1"/>
  <c r="BB5" i="1"/>
  <c r="BA5" i="1"/>
  <c r="AZ5" i="1"/>
  <c r="AX5" i="1"/>
  <c r="AW5" i="1"/>
  <c r="AV5" i="1"/>
  <c r="AU5" i="1"/>
  <c r="AS5" i="1"/>
  <c r="AR5" i="1"/>
  <c r="AQ5" i="1"/>
  <c r="AP5" i="1"/>
  <c r="AN5" i="1"/>
  <c r="AM5" i="1"/>
  <c r="AL5" i="1"/>
  <c r="AK5" i="1"/>
  <c r="AI5" i="1"/>
  <c r="AH5" i="1"/>
  <c r="AG5" i="1"/>
  <c r="AF5" i="1"/>
  <c r="AC5" i="1"/>
  <c r="AB5" i="1"/>
  <c r="AA5" i="1"/>
  <c r="Y5" i="1"/>
  <c r="X5" i="1"/>
  <c r="W5" i="1"/>
  <c r="V5" i="1"/>
  <c r="U5" i="1"/>
  <c r="S5" i="1"/>
  <c r="R5" i="1"/>
  <c r="Q5" i="1"/>
  <c r="P5" i="1"/>
  <c r="N5" i="1"/>
  <c r="M5" i="1"/>
  <c r="L5" i="1"/>
  <c r="K5" i="1"/>
  <c r="I5" i="1"/>
  <c r="H5" i="1"/>
  <c r="G5" i="1"/>
  <c r="ET6" i="1"/>
  <c r="ET7" i="1" s="1"/>
  <c r="EQ6" i="1"/>
  <c r="EU6" i="1" s="1"/>
  <c r="ET4" i="1"/>
  <c r="ET5" i="1" s="1"/>
  <c r="EQ4" i="1"/>
  <c r="EP4" i="1"/>
  <c r="DH5" i="1"/>
  <c r="DB4" i="1"/>
  <c r="CV5" i="1"/>
  <c r="CZ5" i="1"/>
  <c r="CY5" i="1"/>
  <c r="CW4" i="1"/>
  <c r="CW5" i="1" s="1"/>
  <c r="CR4" i="1"/>
  <c r="CR5" i="1" s="1"/>
  <c r="E4" i="1"/>
  <c r="J5" i="1" s="1"/>
  <c r="S53" i="363"/>
  <c r="R53" i="363"/>
  <c r="Q53" i="363"/>
  <c r="P53" i="363"/>
  <c r="O53" i="363"/>
  <c r="G52" i="363"/>
  <c r="F52" i="363"/>
  <c r="E52" i="363" s="1"/>
  <c r="S50" i="363"/>
  <c r="R50" i="363"/>
  <c r="R57" i="363" s="1"/>
  <c r="Q50" i="363"/>
  <c r="Q57" i="363" s="1"/>
  <c r="O50" i="363"/>
  <c r="O57" i="363" s="1"/>
  <c r="J46" i="363"/>
  <c r="F46" i="363"/>
  <c r="J41" i="363"/>
  <c r="I41" i="363"/>
  <c r="V41" i="363"/>
  <c r="U41" i="363"/>
  <c r="T41" i="363"/>
  <c r="R41" i="363"/>
  <c r="S40" i="363"/>
  <c r="R40" i="363"/>
  <c r="P40" i="363"/>
  <c r="O40" i="363"/>
  <c r="S39" i="363"/>
  <c r="R39" i="363"/>
  <c r="Q39" i="363"/>
  <c r="P39" i="363"/>
  <c r="O39" i="363"/>
  <c r="V38" i="363"/>
  <c r="U38" i="363"/>
  <c r="T38" i="363"/>
  <c r="R38" i="363"/>
  <c r="R42" i="363" s="1"/>
  <c r="Q38" i="363"/>
  <c r="P38" i="363"/>
  <c r="O38" i="363"/>
  <c r="J38" i="363"/>
  <c r="I38" i="363"/>
  <c r="E37" i="363"/>
  <c r="G36" i="363"/>
  <c r="F36" i="363"/>
  <c r="E36" i="363" s="1"/>
  <c r="S35" i="363"/>
  <c r="V34" i="363"/>
  <c r="U34" i="363"/>
  <c r="T34" i="363"/>
  <c r="S34" i="363"/>
  <c r="S36" i="363" s="1"/>
  <c r="P34" i="363"/>
  <c r="O34" i="363"/>
  <c r="S28" i="363"/>
  <c r="G32" i="363" s="1"/>
  <c r="R28" i="363"/>
  <c r="Q28" i="363"/>
  <c r="P28" i="363"/>
  <c r="O28" i="363"/>
  <c r="S25" i="363"/>
  <c r="R25" i="363"/>
  <c r="Q25" i="363"/>
  <c r="P25" i="363"/>
  <c r="O25" i="363"/>
  <c r="H23" i="363"/>
  <c r="F23" i="363"/>
  <c r="S18" i="363"/>
  <c r="S51" i="363" s="1"/>
  <c r="R18" i="363"/>
  <c r="R51" i="363" s="1"/>
  <c r="Q18" i="363"/>
  <c r="Q51" i="363" s="1"/>
  <c r="P18" i="363"/>
  <c r="P51" i="363" s="1"/>
  <c r="O18" i="363"/>
  <c r="O51" i="363" s="1"/>
  <c r="S17" i="363"/>
  <c r="R17" i="363"/>
  <c r="Q17" i="363"/>
  <c r="P17" i="363"/>
  <c r="O17" i="363"/>
  <c r="S15" i="363"/>
  <c r="R15" i="363"/>
  <c r="Q15" i="363"/>
  <c r="P15" i="363"/>
  <c r="O15" i="363"/>
  <c r="S14" i="363"/>
  <c r="R14" i="363"/>
  <c r="Q14" i="363"/>
  <c r="P14" i="363"/>
  <c r="O14" i="363"/>
  <c r="S13" i="363"/>
  <c r="R13" i="363"/>
  <c r="Q13" i="363"/>
  <c r="P13" i="363"/>
  <c r="O13" i="363"/>
  <c r="H10" i="363"/>
  <c r="F10" i="363"/>
  <c r="S9" i="363"/>
  <c r="R9" i="363"/>
  <c r="Q9" i="363"/>
  <c r="P9" i="363"/>
  <c r="O9" i="363"/>
  <c r="S6" i="363"/>
  <c r="R6" i="363" s="1"/>
  <c r="Q6" i="363" s="1"/>
  <c r="P6" i="363" s="1"/>
  <c r="O6" i="363" s="1"/>
  <c r="B2" i="363"/>
  <c r="C6" i="362"/>
  <c r="CU365" i="1"/>
  <c r="DA27" i="1" l="1"/>
  <c r="CZ27" i="1"/>
  <c r="FH74" i="1"/>
  <c r="AQ93" i="1"/>
  <c r="K103" i="1"/>
  <c r="AL105" i="1"/>
  <c r="AU105" i="1"/>
  <c r="BG105" i="1"/>
  <c r="BK105" i="1"/>
  <c r="EC157" i="1"/>
  <c r="EI157" i="1"/>
  <c r="EO157" i="1"/>
  <c r="ER158" i="1"/>
  <c r="G103" i="1"/>
  <c r="W103" i="1"/>
  <c r="CX27" i="1"/>
  <c r="DC27" i="1"/>
  <c r="DH27" i="1"/>
  <c r="DG32" i="1"/>
  <c r="DL33" i="1" s="1"/>
  <c r="DL27" i="1"/>
  <c r="AG93" i="1"/>
  <c r="BF93" i="1"/>
  <c r="S103" i="1"/>
  <c r="EE157" i="1"/>
  <c r="EM157" i="1"/>
  <c r="CY27" i="1"/>
  <c r="BO105" i="1"/>
  <c r="DZ157" i="1"/>
  <c r="EH157" i="1"/>
  <c r="EN157" i="1"/>
  <c r="FE57" i="1"/>
  <c r="CW136" i="1"/>
  <c r="CT226" i="1"/>
  <c r="CY226" i="1"/>
  <c r="DA240" i="1"/>
  <c r="DB231" i="1"/>
  <c r="CU238" i="1"/>
  <c r="CU240" i="1"/>
  <c r="CY260" i="1"/>
  <c r="CY262" i="1" s="1"/>
  <c r="CX55" i="1"/>
  <c r="CU226" i="1"/>
  <c r="CZ226" i="1"/>
  <c r="CT238" i="1"/>
  <c r="DB274" i="1"/>
  <c r="CZ75" i="1"/>
  <c r="DA130" i="1"/>
  <c r="DA131" i="1" s="1"/>
  <c r="CY224" i="1"/>
  <c r="CW219" i="1"/>
  <c r="CT240" i="1"/>
  <c r="DC302" i="1"/>
  <c r="CU279" i="1"/>
  <c r="CU277" i="1" s="1"/>
  <c r="BK91" i="1"/>
  <c r="DA75" i="1"/>
  <c r="C91" i="1"/>
  <c r="C93" i="1" s="1"/>
  <c r="M93" i="1"/>
  <c r="R93" i="1"/>
  <c r="W91" i="1"/>
  <c r="W93" i="1" s="1"/>
  <c r="AH92" i="1"/>
  <c r="AM91" i="1"/>
  <c r="AW92" i="1"/>
  <c r="BB92" i="1"/>
  <c r="BG91" i="1"/>
  <c r="BG94" i="1" s="1"/>
  <c r="BO91" i="1"/>
  <c r="BO94" i="1" s="1"/>
  <c r="BW91" i="1"/>
  <c r="BW94" i="1" s="1"/>
  <c r="H92" i="1"/>
  <c r="AV92" i="1"/>
  <c r="L101" i="1"/>
  <c r="AF101" i="1"/>
  <c r="CW237" i="1"/>
  <c r="DG237" i="1"/>
  <c r="DD302" i="1"/>
  <c r="V92" i="1"/>
  <c r="DC56" i="1"/>
  <c r="I92" i="1"/>
  <c r="N92" i="1"/>
  <c r="S91" i="1"/>
  <c r="AC92" i="1"/>
  <c r="AI91" i="1"/>
  <c r="AI94" i="1" s="1"/>
  <c r="AS92" i="1"/>
  <c r="AX92" i="1"/>
  <c r="BC91" i="1"/>
  <c r="BC94" i="1" s="1"/>
  <c r="BJ92" i="1"/>
  <c r="BQ92" i="1"/>
  <c r="L92" i="1"/>
  <c r="AF92" i="1"/>
  <c r="CV226" i="1"/>
  <c r="C111" i="1"/>
  <c r="K91" i="1"/>
  <c r="K94" i="1" s="1"/>
  <c r="U92" i="1"/>
  <c r="AP92" i="1"/>
  <c r="AU91" i="1"/>
  <c r="AU94" i="1" s="1"/>
  <c r="BE93" i="1"/>
  <c r="BR92" i="1"/>
  <c r="P92" i="1"/>
  <c r="BL92" i="1"/>
  <c r="AX176" i="1"/>
  <c r="BR176" i="1"/>
  <c r="CL176" i="1"/>
  <c r="CW142" i="1"/>
  <c r="DB142" i="1"/>
  <c r="DG142" i="1"/>
  <c r="CV238" i="1"/>
  <c r="CV279" i="1"/>
  <c r="CV277" i="1" s="1"/>
  <c r="DA279" i="1"/>
  <c r="DA277" i="1" s="1"/>
  <c r="DB277" i="1" s="1"/>
  <c r="DA288" i="1"/>
  <c r="EU7" i="1"/>
  <c r="F39" i="363"/>
  <c r="Y12" i="1"/>
  <c r="T12" i="1"/>
  <c r="V84" i="1"/>
  <c r="V50" i="1"/>
  <c r="DB17" i="1"/>
  <c r="AD109" i="1"/>
  <c r="AD36" i="1"/>
  <c r="AD35" i="1"/>
  <c r="CX24" i="1"/>
  <c r="DI109" i="1"/>
  <c r="DI35" i="1"/>
  <c r="DI36" i="1"/>
  <c r="CZ33" i="1"/>
  <c r="CU33" i="1"/>
  <c r="Y33" i="1"/>
  <c r="DA14" i="1"/>
  <c r="CV14" i="1"/>
  <c r="AY14" i="1"/>
  <c r="BS14" i="1"/>
  <c r="CM14" i="1"/>
  <c r="CZ12" i="1"/>
  <c r="J14" i="1"/>
  <c r="Q84" i="1"/>
  <c r="Q50" i="1"/>
  <c r="E109" i="1"/>
  <c r="E111" i="1" s="1"/>
  <c r="E36" i="1"/>
  <c r="BK109" i="1"/>
  <c r="BK36" i="1"/>
  <c r="BK35" i="1"/>
  <c r="CT24" i="1"/>
  <c r="CT23" i="1"/>
  <c r="DD24" i="1"/>
  <c r="T23" i="1"/>
  <c r="T25" i="1"/>
  <c r="AJ33" i="1"/>
  <c r="BD33" i="1"/>
  <c r="BP33" i="1"/>
  <c r="BK33" i="1"/>
  <c r="DH33" i="1"/>
  <c r="DA33" i="1"/>
  <c r="AO12" i="1"/>
  <c r="BI12" i="1"/>
  <c r="CC12" i="1"/>
  <c r="AI14" i="1"/>
  <c r="ER4" i="1"/>
  <c r="ER5" i="1" s="1"/>
  <c r="ER7" i="1"/>
  <c r="J109" i="1"/>
  <c r="J36" i="1"/>
  <c r="J37" i="1" s="1"/>
  <c r="J35" i="1"/>
  <c r="CU109" i="1"/>
  <c r="CU36" i="1"/>
  <c r="CU35" i="1"/>
  <c r="AE29" i="1"/>
  <c r="AE26" i="1"/>
  <c r="AE27" i="1" s="1"/>
  <c r="AJ29" i="1"/>
  <c r="O25" i="1"/>
  <c r="T27" i="1"/>
  <c r="Y27" i="1"/>
  <c r="AT27" i="1"/>
  <c r="AO27" i="1"/>
  <c r="BI27" i="1"/>
  <c r="DV27" i="1"/>
  <c r="EU30" i="1"/>
  <c r="EQ32" i="1"/>
  <c r="ES33" i="1"/>
  <c r="DM33" i="1"/>
  <c r="DB5" i="1"/>
  <c r="CU25" i="1"/>
  <c r="CU24" i="1"/>
  <c r="CU23" i="1"/>
  <c r="DH12" i="1"/>
  <c r="ES7" i="1"/>
  <c r="ES4" i="1"/>
  <c r="ES5" i="1" s="1"/>
  <c r="DB16" i="1"/>
  <c r="CX16" i="1"/>
  <c r="CW17" i="1"/>
  <c r="EL84" i="1"/>
  <c r="EQ84" i="1" s="1"/>
  <c r="EQ79" i="1" s="1"/>
  <c r="EL50" i="1"/>
  <c r="Z24" i="1"/>
  <c r="Z23" i="1"/>
  <c r="BG109" i="1"/>
  <c r="BG36" i="1"/>
  <c r="BG35" i="1"/>
  <c r="BX27" i="1"/>
  <c r="CR27" i="1"/>
  <c r="CM27" i="1"/>
  <c r="EK27" i="1"/>
  <c r="ER32" i="1"/>
  <c r="ER26" i="1"/>
  <c r="ER27" i="1" s="1"/>
  <c r="S57" i="363"/>
  <c r="EQ5" i="1"/>
  <c r="EQ7" i="1"/>
  <c r="DA5" i="1"/>
  <c r="CW6" i="1"/>
  <c r="CU7" i="1"/>
  <c r="CY7" i="1"/>
  <c r="DC7" i="1"/>
  <c r="E68" i="1"/>
  <c r="E70" i="1"/>
  <c r="AE6" i="1"/>
  <c r="CW8" i="1"/>
  <c r="DG4" i="1"/>
  <c r="DG5" i="1" s="1"/>
  <c r="EA70" i="1"/>
  <c r="EA68" i="1"/>
  <c r="EQ86" i="1"/>
  <c r="EQ66" i="1"/>
  <c r="EQ70" i="1" s="1"/>
  <c r="EQ71" i="1" s="1"/>
  <c r="AO9" i="1"/>
  <c r="BI9" i="1"/>
  <c r="CC9" i="1"/>
  <c r="CS9" i="1"/>
  <c r="DQ9" i="1"/>
  <c r="EK9" i="1"/>
  <c r="G38" i="363" s="1"/>
  <c r="FP9" i="1"/>
  <c r="CJ14" i="1"/>
  <c r="CT10" i="1"/>
  <c r="FI10" i="1" s="1"/>
  <c r="CY10" i="1"/>
  <c r="DD10" i="1"/>
  <c r="V14" i="1"/>
  <c r="CR11" i="1"/>
  <c r="CV11" i="1"/>
  <c r="CV12" i="1" s="1"/>
  <c r="DA12" i="1"/>
  <c r="CT13" i="1"/>
  <c r="CT14" i="1" s="1"/>
  <c r="CX13" i="1"/>
  <c r="CX14" i="1" s="1"/>
  <c r="EP11" i="1"/>
  <c r="J89" i="1"/>
  <c r="J70" i="1"/>
  <c r="J68" i="1"/>
  <c r="J69" i="1" s="1"/>
  <c r="O68" i="1"/>
  <c r="O69" i="1" s="1"/>
  <c r="O70" i="1"/>
  <c r="T70" i="1"/>
  <c r="T71" i="1" s="1"/>
  <c r="T68" i="1"/>
  <c r="Z11" i="1"/>
  <c r="Z12" i="1" s="1"/>
  <c r="AJ13" i="1"/>
  <c r="AT11" i="1"/>
  <c r="AT12" i="1" s="1"/>
  <c r="BD13" i="1"/>
  <c r="BD14" i="1" s="1"/>
  <c r="BN11" i="1"/>
  <c r="BN12" i="1" s="1"/>
  <c r="BX13" i="1"/>
  <c r="BX14" i="1" s="1"/>
  <c r="CH11" i="1"/>
  <c r="CH12" i="1" s="1"/>
  <c r="DQ11" i="1"/>
  <c r="DQ12" i="1" s="1"/>
  <c r="EA13" i="1"/>
  <c r="EA14" i="1" s="1"/>
  <c r="EK11" i="1"/>
  <c r="G16" i="1"/>
  <c r="O16" i="1"/>
  <c r="O50" i="1" s="1"/>
  <c r="S84" i="1"/>
  <c r="S50" i="1"/>
  <c r="W50" i="1"/>
  <c r="W84" i="1"/>
  <c r="AA50" i="1"/>
  <c r="AA51" i="1" s="1"/>
  <c r="AA84" i="1"/>
  <c r="AA85" i="1" s="1"/>
  <c r="AE16" i="1"/>
  <c r="AI84" i="1"/>
  <c r="AI50" i="1"/>
  <c r="AI51" i="1" s="1"/>
  <c r="AM84" i="1"/>
  <c r="AM50" i="1"/>
  <c r="AQ50" i="1"/>
  <c r="AQ84" i="1"/>
  <c r="AU84" i="1"/>
  <c r="AU50" i="1"/>
  <c r="AY16" i="1"/>
  <c r="AY50" i="1" s="1"/>
  <c r="BC50" i="1"/>
  <c r="BC84" i="1"/>
  <c r="BG84" i="1"/>
  <c r="BG50" i="1"/>
  <c r="BK50" i="1"/>
  <c r="BK84" i="1"/>
  <c r="BO84" i="1"/>
  <c r="BO50" i="1"/>
  <c r="BS16" i="1"/>
  <c r="BW84" i="1"/>
  <c r="BW50" i="1"/>
  <c r="CA84" i="1"/>
  <c r="CA50" i="1"/>
  <c r="CE84" i="1"/>
  <c r="CE50" i="1"/>
  <c r="CI50" i="1"/>
  <c r="CI84" i="1"/>
  <c r="CM16" i="1"/>
  <c r="CQ84" i="1"/>
  <c r="CQ50" i="1"/>
  <c r="CU16" i="1"/>
  <c r="CY16" i="1"/>
  <c r="CY84" i="1" s="1"/>
  <c r="DC16" i="1"/>
  <c r="DG16" i="1"/>
  <c r="DK84" i="1"/>
  <c r="DK50" i="1"/>
  <c r="DO84" i="1"/>
  <c r="DO50" i="1"/>
  <c r="DS84" i="1"/>
  <c r="DS50" i="1"/>
  <c r="DW16" i="1"/>
  <c r="EA16" i="1"/>
  <c r="EE84" i="1"/>
  <c r="EE50" i="1"/>
  <c r="EI84" i="1"/>
  <c r="EI50" i="1"/>
  <c r="EM84" i="1"/>
  <c r="ER84" i="1" s="1"/>
  <c r="EM50" i="1"/>
  <c r="ER50" i="1" s="1"/>
  <c r="O17" i="1"/>
  <c r="AE17" i="1"/>
  <c r="AY17" i="1"/>
  <c r="BS17" i="1"/>
  <c r="CM17" i="1"/>
  <c r="CU17" i="1"/>
  <c r="CY17" i="1"/>
  <c r="DC17" i="1"/>
  <c r="DG17" i="1"/>
  <c r="EA17" i="1"/>
  <c r="AT270" i="1"/>
  <c r="BI270" i="1"/>
  <c r="BX270" i="1"/>
  <c r="CR270" i="1"/>
  <c r="CV175" i="1"/>
  <c r="DF175" i="1"/>
  <c r="DE175" i="1"/>
  <c r="DD175" i="1"/>
  <c r="DC175" i="1"/>
  <c r="DN175" i="1"/>
  <c r="DJ175" i="1"/>
  <c r="DM175" i="1"/>
  <c r="EM270" i="1"/>
  <c r="ER270" i="1" s="1"/>
  <c r="J22" i="1"/>
  <c r="L25" i="1" s="1"/>
  <c r="Q23" i="1"/>
  <c r="AJ21" i="1"/>
  <c r="BD21" i="1"/>
  <c r="BP21" i="1"/>
  <c r="BX21" i="1"/>
  <c r="CR21" i="1"/>
  <c r="CV21" i="1"/>
  <c r="DH21" i="1"/>
  <c r="DL21" i="1"/>
  <c r="EF21" i="1"/>
  <c r="AD22" i="1"/>
  <c r="AT22" i="1"/>
  <c r="CH22" i="1"/>
  <c r="CM23" i="1" s="1"/>
  <c r="DJ22" i="1"/>
  <c r="DV22" i="1"/>
  <c r="EL22" i="1"/>
  <c r="EQ22" i="1" s="1"/>
  <c r="EQ20" i="1" s="1"/>
  <c r="V23" i="1"/>
  <c r="AH23" i="1"/>
  <c r="AL23" i="1"/>
  <c r="AP23" i="1"/>
  <c r="AX23" i="1"/>
  <c r="BB23" i="1"/>
  <c r="BF23" i="1"/>
  <c r="BJ23" i="1"/>
  <c r="BR23" i="1"/>
  <c r="BV23" i="1"/>
  <c r="BZ23" i="1"/>
  <c r="CD23" i="1"/>
  <c r="CL23" i="1"/>
  <c r="CP23" i="1"/>
  <c r="DF23" i="1"/>
  <c r="DR23" i="1"/>
  <c r="DZ23" i="1"/>
  <c r="ED23" i="1"/>
  <c r="EH23" i="1"/>
  <c r="U24" i="1"/>
  <c r="Y24" i="1"/>
  <c r="AC24" i="1"/>
  <c r="AG24" i="1"/>
  <c r="AK24" i="1"/>
  <c r="AS24" i="1"/>
  <c r="AW24" i="1"/>
  <c r="BA24" i="1"/>
  <c r="BE24" i="1"/>
  <c r="BM24" i="1"/>
  <c r="BQ24" i="1"/>
  <c r="BY24" i="1"/>
  <c r="CG24" i="1"/>
  <c r="CK24" i="1"/>
  <c r="CO24" i="1"/>
  <c r="DA24" i="1"/>
  <c r="DE24" i="1"/>
  <c r="DU24" i="1"/>
  <c r="DY24" i="1"/>
  <c r="EC24" i="1"/>
  <c r="EG24" i="1"/>
  <c r="H25" i="1"/>
  <c r="V25" i="1"/>
  <c r="AA25" i="1"/>
  <c r="AF25" i="1"/>
  <c r="AK25" i="1"/>
  <c r="AP25" i="1"/>
  <c r="AU25" i="1"/>
  <c r="AZ25" i="1"/>
  <c r="BE25" i="1"/>
  <c r="BJ25" i="1"/>
  <c r="BO25" i="1"/>
  <c r="BT25" i="1"/>
  <c r="BY25" i="1"/>
  <c r="CD25" i="1"/>
  <c r="CI25" i="1"/>
  <c r="CN25" i="1"/>
  <c r="DM25" i="1"/>
  <c r="DR25" i="1"/>
  <c r="DW25" i="1"/>
  <c r="EB25" i="1"/>
  <c r="EG25" i="1"/>
  <c r="DB29" i="1"/>
  <c r="O31" i="1"/>
  <c r="AE31" i="1"/>
  <c r="AI31" i="1"/>
  <c r="AY31" i="1"/>
  <c r="BK31" i="1"/>
  <c r="CM31" i="1"/>
  <c r="CY31" i="1"/>
  <c r="DC31" i="1"/>
  <c r="DO31" i="1"/>
  <c r="AO32" i="1"/>
  <c r="AO33" i="1" s="1"/>
  <c r="BI32" i="1"/>
  <c r="BI33" i="1" s="1"/>
  <c r="CC32" i="1"/>
  <c r="CC33" i="1" s="1"/>
  <c r="CS32" i="1"/>
  <c r="CS33" i="1" s="1"/>
  <c r="DI32" i="1"/>
  <c r="DI33" i="1" s="1"/>
  <c r="DQ32" i="1"/>
  <c r="DQ33" i="1" s="1"/>
  <c r="DY32" i="1"/>
  <c r="DY33" i="1" s="1"/>
  <c r="EK32" i="1"/>
  <c r="EK33" i="1" s="1"/>
  <c r="G33" i="1"/>
  <c r="K33" i="1"/>
  <c r="S33" i="1"/>
  <c r="W33" i="1"/>
  <c r="AA33" i="1"/>
  <c r="AM33" i="1"/>
  <c r="AQ33" i="1"/>
  <c r="AU33" i="1"/>
  <c r="BC33" i="1"/>
  <c r="BG33" i="1"/>
  <c r="BO33" i="1"/>
  <c r="BW33" i="1"/>
  <c r="CA33" i="1"/>
  <c r="CE33" i="1"/>
  <c r="CI33" i="1"/>
  <c r="DK33" i="1"/>
  <c r="DS33" i="1"/>
  <c r="DW33" i="1"/>
  <c r="EE33" i="1"/>
  <c r="C115" i="1"/>
  <c r="C140" i="1"/>
  <c r="C113" i="1"/>
  <c r="C117" i="1" s="1"/>
  <c r="G110" i="1"/>
  <c r="G111" i="1"/>
  <c r="O34" i="1"/>
  <c r="S110" i="1"/>
  <c r="S111" i="1"/>
  <c r="W110" i="1"/>
  <c r="W111" i="1"/>
  <c r="AA110" i="1"/>
  <c r="AE109" i="1"/>
  <c r="AA111" i="1"/>
  <c r="AE34" i="1"/>
  <c r="AI110" i="1"/>
  <c r="AI111" i="1"/>
  <c r="AM174" i="1"/>
  <c r="AM110" i="1"/>
  <c r="AM111" i="1"/>
  <c r="AQ174" i="1"/>
  <c r="AQ110" i="1"/>
  <c r="AQ111" i="1"/>
  <c r="AU174" i="1"/>
  <c r="AU111" i="1"/>
  <c r="AY109" i="1"/>
  <c r="AU110" i="1"/>
  <c r="AY34" i="1"/>
  <c r="BC174" i="1"/>
  <c r="BC110" i="1"/>
  <c r="BC111" i="1"/>
  <c r="BO174" i="1"/>
  <c r="BS109" i="1"/>
  <c r="BO111" i="1"/>
  <c r="BO110" i="1"/>
  <c r="BS34" i="1"/>
  <c r="BW174" i="1"/>
  <c r="BW110" i="1"/>
  <c r="BW111" i="1"/>
  <c r="CA174" i="1"/>
  <c r="CA111" i="1"/>
  <c r="CA110" i="1"/>
  <c r="CE222" i="1"/>
  <c r="CE174" i="1"/>
  <c r="CE111" i="1"/>
  <c r="CE110" i="1"/>
  <c r="CI222" i="1"/>
  <c r="CI174" i="1"/>
  <c r="CI110" i="1"/>
  <c r="CM109" i="1"/>
  <c r="CI111" i="1"/>
  <c r="CM34" i="1"/>
  <c r="CQ222" i="1"/>
  <c r="CQ174" i="1"/>
  <c r="CQ111" i="1"/>
  <c r="CQ110" i="1"/>
  <c r="CY111" i="1"/>
  <c r="DC34" i="1"/>
  <c r="DK222" i="1"/>
  <c r="DK110" i="1"/>
  <c r="DO222" i="1"/>
  <c r="DO174" i="1"/>
  <c r="DS222" i="1"/>
  <c r="DS110" i="1"/>
  <c r="DW222" i="1"/>
  <c r="DW110" i="1"/>
  <c r="EE110" i="1"/>
  <c r="EI222" i="1"/>
  <c r="EI174" i="1"/>
  <c r="EI110" i="1"/>
  <c r="EM34" i="1"/>
  <c r="G35" i="1"/>
  <c r="S35" i="1"/>
  <c r="W35" i="1"/>
  <c r="AA35" i="1"/>
  <c r="AI35" i="1"/>
  <c r="AM35" i="1"/>
  <c r="AQ35" i="1"/>
  <c r="AU35" i="1"/>
  <c r="BC35" i="1"/>
  <c r="BO35" i="1"/>
  <c r="BW35" i="1"/>
  <c r="CA35" i="1"/>
  <c r="CE35" i="1"/>
  <c r="CI35" i="1"/>
  <c r="CQ35" i="1"/>
  <c r="DK35" i="1"/>
  <c r="DS35" i="1"/>
  <c r="DW35" i="1"/>
  <c r="EE35" i="1"/>
  <c r="EI35" i="1"/>
  <c r="C36" i="1"/>
  <c r="G36" i="1"/>
  <c r="K36" i="1"/>
  <c r="S36" i="1"/>
  <c r="W36" i="1"/>
  <c r="AA36" i="1"/>
  <c r="AI36" i="1"/>
  <c r="AI37" i="1" s="1"/>
  <c r="AM36" i="1"/>
  <c r="AQ36" i="1"/>
  <c r="AU36" i="1"/>
  <c r="BC36" i="1"/>
  <c r="BO36" i="1"/>
  <c r="BW36" i="1"/>
  <c r="CA36" i="1"/>
  <c r="CE36" i="1"/>
  <c r="CI36" i="1"/>
  <c r="CQ36" i="1"/>
  <c r="CY36" i="1"/>
  <c r="DN36" i="1"/>
  <c r="DN37" i="1" s="1"/>
  <c r="DS36" i="1"/>
  <c r="ED36" i="1"/>
  <c r="EI36" i="1"/>
  <c r="E45" i="1"/>
  <c r="Z45" i="1"/>
  <c r="Z46" i="1" s="1"/>
  <c r="Z52" i="1"/>
  <c r="AT45" i="1"/>
  <c r="AT52" i="1"/>
  <c r="BI45" i="1"/>
  <c r="BI52" i="1"/>
  <c r="BI40" i="1"/>
  <c r="EL99" i="1"/>
  <c r="EL43" i="1"/>
  <c r="EP39" i="1"/>
  <c r="AT40" i="1"/>
  <c r="DV45" i="1"/>
  <c r="DV52" i="1"/>
  <c r="DV44" i="1"/>
  <c r="EC53" i="1"/>
  <c r="EH53" i="1"/>
  <c r="DO53" i="1"/>
  <c r="P52" i="1"/>
  <c r="P53" i="1" s="1"/>
  <c r="P49" i="1"/>
  <c r="Z49" i="1"/>
  <c r="AE49" i="1"/>
  <c r="CT50" i="1"/>
  <c r="CY50" i="1"/>
  <c r="AA53" i="1"/>
  <c r="AQ53" i="1"/>
  <c r="AV53" i="1"/>
  <c r="BA53" i="1"/>
  <c r="BF53" i="1"/>
  <c r="CE53" i="1"/>
  <c r="CV57" i="1"/>
  <c r="DA57" i="1"/>
  <c r="DE57" i="1"/>
  <c r="CS68" i="1"/>
  <c r="CS69" i="1" s="1"/>
  <c r="EP68" i="1"/>
  <c r="U71" i="1"/>
  <c r="Y71" i="1"/>
  <c r="E78" i="1"/>
  <c r="O78" i="1"/>
  <c r="Z78" i="1"/>
  <c r="AT78" i="1"/>
  <c r="BN78" i="1"/>
  <c r="CH78" i="1"/>
  <c r="CS76" i="1"/>
  <c r="CS77" i="1" s="1"/>
  <c r="DV68" i="1"/>
  <c r="O82" i="1"/>
  <c r="AJ82" i="1"/>
  <c r="CV82" i="1"/>
  <c r="CV83" i="1" s="1"/>
  <c r="DL82" i="1"/>
  <c r="CH89" i="1"/>
  <c r="CH70" i="1"/>
  <c r="CH71" i="1" s="1"/>
  <c r="DL70" i="1"/>
  <c r="DL71" i="1" s="1"/>
  <c r="DL68" i="1"/>
  <c r="EF70" i="1"/>
  <c r="EF71" i="1" s="1"/>
  <c r="EF68" i="1"/>
  <c r="EF69" i="1" s="1"/>
  <c r="ER86" i="1"/>
  <c r="Z9" i="1"/>
  <c r="AT9" i="1"/>
  <c r="BN9" i="1"/>
  <c r="CH9" i="1"/>
  <c r="CT9" i="1"/>
  <c r="CX9" i="1"/>
  <c r="EU8" i="1"/>
  <c r="EU11" i="1" s="1"/>
  <c r="FQ9" i="1"/>
  <c r="CK12" i="1"/>
  <c r="CU10" i="1"/>
  <c r="FJ10" i="1" s="1"/>
  <c r="CS11" i="1"/>
  <c r="CS12" i="1" s="1"/>
  <c r="CU13" i="1"/>
  <c r="DC13" i="1"/>
  <c r="DC14" i="1" s="1"/>
  <c r="J9" i="1"/>
  <c r="AO13" i="1"/>
  <c r="AO14" i="1" s="1"/>
  <c r="AY11" i="1"/>
  <c r="AY12" i="1" s="1"/>
  <c r="BI13" i="1"/>
  <c r="BI14" i="1" s="1"/>
  <c r="BS11" i="1"/>
  <c r="BS12" i="1" s="1"/>
  <c r="CC13" i="1"/>
  <c r="CC14" i="1" s="1"/>
  <c r="CM11" i="1"/>
  <c r="CM12" i="1" s="1"/>
  <c r="DL13" i="1"/>
  <c r="DQ14" i="1" s="1"/>
  <c r="DV11" i="1"/>
  <c r="DV12" i="1" s="1"/>
  <c r="EF13" i="1"/>
  <c r="EF14" i="1" s="1"/>
  <c r="H84" i="1"/>
  <c r="H50" i="1"/>
  <c r="L84" i="1"/>
  <c r="L50" i="1"/>
  <c r="T51" i="1"/>
  <c r="X84" i="1"/>
  <c r="X85" i="1" s="1"/>
  <c r="X50" i="1"/>
  <c r="X51" i="1" s="1"/>
  <c r="AB84" i="1"/>
  <c r="AB85" i="1" s="1"/>
  <c r="AB50" i="1"/>
  <c r="AB51" i="1" s="1"/>
  <c r="AF84" i="1"/>
  <c r="AF85" i="1" s="1"/>
  <c r="AF50" i="1"/>
  <c r="AF51" i="1" s="1"/>
  <c r="AN84" i="1"/>
  <c r="AN85" i="1" s="1"/>
  <c r="AN50" i="1"/>
  <c r="AN51" i="1" s="1"/>
  <c r="AR84" i="1"/>
  <c r="AR85" i="1" s="1"/>
  <c r="AR50" i="1"/>
  <c r="AR51" i="1" s="1"/>
  <c r="AV84" i="1"/>
  <c r="AV85" i="1" s="1"/>
  <c r="AV50" i="1"/>
  <c r="AV51" i="1" s="1"/>
  <c r="AZ84" i="1"/>
  <c r="AZ85" i="1" s="1"/>
  <c r="AZ50" i="1"/>
  <c r="AZ51" i="1" s="1"/>
  <c r="BH84" i="1"/>
  <c r="BH85" i="1" s="1"/>
  <c r="BH50" i="1"/>
  <c r="BH51" i="1" s="1"/>
  <c r="BL84" i="1"/>
  <c r="BL85" i="1" s="1"/>
  <c r="BL50" i="1"/>
  <c r="BL51" i="1" s="1"/>
  <c r="BP84" i="1"/>
  <c r="BP85" i="1" s="1"/>
  <c r="BP50" i="1"/>
  <c r="BP51" i="1" s="1"/>
  <c r="BT84" i="1"/>
  <c r="BT85" i="1" s="1"/>
  <c r="BT50" i="1"/>
  <c r="CB84" i="1"/>
  <c r="CB85" i="1" s="1"/>
  <c r="CB50" i="1"/>
  <c r="CB51" i="1" s="1"/>
  <c r="CF84" i="1"/>
  <c r="CF85" i="1" s="1"/>
  <c r="CF50" i="1"/>
  <c r="CF51" i="1" s="1"/>
  <c r="CJ84" i="1"/>
  <c r="CJ85" i="1" s="1"/>
  <c r="CJ50" i="1"/>
  <c r="CJ51" i="1" s="1"/>
  <c r="CN84" i="1"/>
  <c r="CN85" i="1" s="1"/>
  <c r="CN50" i="1"/>
  <c r="CZ16" i="1"/>
  <c r="CZ84" i="1" s="1"/>
  <c r="DD16" i="1"/>
  <c r="DH84" i="1"/>
  <c r="DH50" i="1"/>
  <c r="DP84" i="1"/>
  <c r="DP85" i="1" s="1"/>
  <c r="DP50" i="1"/>
  <c r="DP51" i="1" s="1"/>
  <c r="DT50" i="1"/>
  <c r="DT51" i="1" s="1"/>
  <c r="DT84" i="1"/>
  <c r="DT85" i="1" s="1"/>
  <c r="DX84" i="1"/>
  <c r="DX85" i="1" s="1"/>
  <c r="DX50" i="1"/>
  <c r="DX51" i="1" s="1"/>
  <c r="EB84" i="1"/>
  <c r="EB50" i="1"/>
  <c r="EJ84" i="1"/>
  <c r="EJ85" i="1" s="1"/>
  <c r="EJ50" i="1"/>
  <c r="EJ51" i="1" s="1"/>
  <c r="EN50" i="1"/>
  <c r="ES50" i="1" s="1"/>
  <c r="EN84" i="1"/>
  <c r="ES84" i="1" s="1"/>
  <c r="T17" i="1"/>
  <c r="AJ17" i="1"/>
  <c r="BD17" i="1"/>
  <c r="BX17" i="1"/>
  <c r="CR17" i="1"/>
  <c r="CV17" i="1"/>
  <c r="CZ17" i="1"/>
  <c r="DD17" i="1"/>
  <c r="AY270" i="1"/>
  <c r="BM175" i="1"/>
  <c r="BL175" i="1"/>
  <c r="BO175" i="1"/>
  <c r="BO192" i="1" s="1"/>
  <c r="BK175" i="1"/>
  <c r="CC270" i="1"/>
  <c r="CW20" i="1"/>
  <c r="EN270" i="1"/>
  <c r="ES270" i="1" s="1"/>
  <c r="L23" i="1"/>
  <c r="BI21" i="1"/>
  <c r="CC21" i="1"/>
  <c r="CS21" i="1"/>
  <c r="DA21" i="1"/>
  <c r="DQ21" i="1"/>
  <c r="EK21" i="1"/>
  <c r="E22" i="1"/>
  <c r="E25" i="1" s="1"/>
  <c r="AE22" i="1"/>
  <c r="AY22" i="1"/>
  <c r="BK22" i="1"/>
  <c r="DC22" i="1"/>
  <c r="DD25" i="1" s="1"/>
  <c r="DG22" i="1"/>
  <c r="EA22" i="1"/>
  <c r="EM22" i="1"/>
  <c r="W23" i="1"/>
  <c r="AA23" i="1"/>
  <c r="AI23" i="1"/>
  <c r="AM23" i="1"/>
  <c r="AQ23" i="1"/>
  <c r="AU23" i="1"/>
  <c r="BC23" i="1"/>
  <c r="BG23" i="1"/>
  <c r="BO23" i="1"/>
  <c r="BW23" i="1"/>
  <c r="CA23" i="1"/>
  <c r="CE23" i="1"/>
  <c r="CI23" i="1"/>
  <c r="CQ23" i="1"/>
  <c r="CY23" i="1"/>
  <c r="DK23" i="1"/>
  <c r="DO23" i="1"/>
  <c r="DS23" i="1"/>
  <c r="DW23" i="1"/>
  <c r="EE23" i="1"/>
  <c r="EI23" i="1"/>
  <c r="AH24" i="1"/>
  <c r="AL24" i="1"/>
  <c r="AX24" i="1"/>
  <c r="BB24" i="1"/>
  <c r="BF24" i="1"/>
  <c r="BR24" i="1"/>
  <c r="BV24" i="1"/>
  <c r="BZ24" i="1"/>
  <c r="CL24" i="1"/>
  <c r="CP24" i="1"/>
  <c r="DN24" i="1"/>
  <c r="DZ24" i="1"/>
  <c r="ED24" i="1"/>
  <c r="EH24" i="1"/>
  <c r="W25" i="1"/>
  <c r="AB25" i="1"/>
  <c r="AG25" i="1"/>
  <c r="AQ25" i="1"/>
  <c r="AV25" i="1"/>
  <c r="BA25" i="1"/>
  <c r="BP25" i="1"/>
  <c r="BU25" i="1"/>
  <c r="CE25" i="1"/>
  <c r="CJ25" i="1"/>
  <c r="CO25" i="1"/>
  <c r="CY25" i="1"/>
  <c r="DS25" i="1"/>
  <c r="DX25" i="1"/>
  <c r="EC25" i="1"/>
  <c r="DG29" i="1"/>
  <c r="T21" i="1"/>
  <c r="T29" i="1"/>
  <c r="BN29" i="1"/>
  <c r="CW30" i="1"/>
  <c r="EA29" i="1"/>
  <c r="EP30" i="1"/>
  <c r="T31" i="1"/>
  <c r="AJ31" i="1"/>
  <c r="BD31" i="1"/>
  <c r="BP31" i="1"/>
  <c r="BX31" i="1"/>
  <c r="CR31" i="1"/>
  <c r="CV31" i="1"/>
  <c r="DH31" i="1"/>
  <c r="DL31" i="1"/>
  <c r="EU28" i="1"/>
  <c r="J32" i="1"/>
  <c r="J33" i="1" s="1"/>
  <c r="Z32" i="1"/>
  <c r="Z33" i="1" s="1"/>
  <c r="AD32" i="1"/>
  <c r="AD33" i="1" s="1"/>
  <c r="AT32" i="1"/>
  <c r="AT33" i="1" s="1"/>
  <c r="CH32" i="1"/>
  <c r="CH33" i="1" s="1"/>
  <c r="CT32" i="1"/>
  <c r="CT33" i="1" s="1"/>
  <c r="CX32" i="1"/>
  <c r="CX33" i="1" s="1"/>
  <c r="DJ32" i="1"/>
  <c r="DJ33" i="1" s="1"/>
  <c r="EL32" i="1"/>
  <c r="D115" i="1"/>
  <c r="D140" i="1"/>
  <c r="D113" i="1"/>
  <c r="D117" i="1" s="1"/>
  <c r="H111" i="1"/>
  <c r="H110" i="1"/>
  <c r="L111" i="1"/>
  <c r="L110" i="1"/>
  <c r="P251" i="1"/>
  <c r="P222" i="1"/>
  <c r="P110" i="1"/>
  <c r="T34" i="1"/>
  <c r="X111" i="1"/>
  <c r="X110" i="1"/>
  <c r="AB111" i="1"/>
  <c r="AB110" i="1"/>
  <c r="AF111" i="1"/>
  <c r="AF110" i="1"/>
  <c r="AJ109" i="1"/>
  <c r="AJ34" i="1"/>
  <c r="AN174" i="1"/>
  <c r="AN111" i="1"/>
  <c r="AN110" i="1"/>
  <c r="AR174" i="1"/>
  <c r="AR110" i="1"/>
  <c r="AR111" i="1"/>
  <c r="AV174" i="1"/>
  <c r="AV110" i="1"/>
  <c r="AV111" i="1"/>
  <c r="AZ174" i="1"/>
  <c r="AZ111" i="1"/>
  <c r="AZ110" i="1"/>
  <c r="BD109" i="1"/>
  <c r="BD34" i="1"/>
  <c r="BH174" i="1"/>
  <c r="BH110" i="1"/>
  <c r="BH111" i="1"/>
  <c r="BL174" i="1"/>
  <c r="BL110" i="1"/>
  <c r="BL111" i="1"/>
  <c r="BP174" i="1"/>
  <c r="BP111" i="1"/>
  <c r="BP110" i="1"/>
  <c r="BT174" i="1"/>
  <c r="BT111" i="1"/>
  <c r="BT110" i="1"/>
  <c r="BX109" i="1"/>
  <c r="BX34" i="1"/>
  <c r="CB174" i="1"/>
  <c r="CB110" i="1"/>
  <c r="CB111" i="1"/>
  <c r="CF222" i="1"/>
  <c r="CF174" i="1"/>
  <c r="CF111" i="1"/>
  <c r="CF110" i="1"/>
  <c r="CJ222" i="1"/>
  <c r="CJ174" i="1"/>
  <c r="CJ111" i="1"/>
  <c r="CJ110" i="1"/>
  <c r="CN222" i="1"/>
  <c r="CN174" i="1"/>
  <c r="CN110" i="1"/>
  <c r="CN111" i="1"/>
  <c r="CR109" i="1"/>
  <c r="CR34" i="1"/>
  <c r="CV34" i="1"/>
  <c r="CZ111" i="1"/>
  <c r="CZ110" i="1"/>
  <c r="DD109" i="1"/>
  <c r="DD36" i="1"/>
  <c r="DD37" i="1" s="1"/>
  <c r="DH34" i="1"/>
  <c r="DP109" i="1"/>
  <c r="DS174" i="1" s="1"/>
  <c r="DP36" i="1"/>
  <c r="DT109" i="1"/>
  <c r="DW174" i="1" s="1"/>
  <c r="DT36" i="1"/>
  <c r="DX109" i="1"/>
  <c r="DX36" i="1"/>
  <c r="DX37" i="1" s="1"/>
  <c r="EB109" i="1"/>
  <c r="EE174" i="1" s="1"/>
  <c r="EB36" i="1"/>
  <c r="EF34" i="1"/>
  <c r="EJ109" i="1"/>
  <c r="EJ36" i="1"/>
  <c r="EN34" i="1"/>
  <c r="H35" i="1"/>
  <c r="L35" i="1"/>
  <c r="P35" i="1"/>
  <c r="X35" i="1"/>
  <c r="AB35" i="1"/>
  <c r="AF35" i="1"/>
  <c r="AN35" i="1"/>
  <c r="AR35" i="1"/>
  <c r="AV35" i="1"/>
  <c r="AZ35" i="1"/>
  <c r="BH35" i="1"/>
  <c r="BL35" i="1"/>
  <c r="BP35" i="1"/>
  <c r="BT35" i="1"/>
  <c r="CB35" i="1"/>
  <c r="CF35" i="1"/>
  <c r="CJ35" i="1"/>
  <c r="CN35" i="1"/>
  <c r="CZ35" i="1"/>
  <c r="DD35" i="1"/>
  <c r="DP35" i="1"/>
  <c r="DT35" i="1"/>
  <c r="DX35" i="1"/>
  <c r="EB35" i="1"/>
  <c r="EJ35" i="1"/>
  <c r="D36" i="1"/>
  <c r="H36" i="1"/>
  <c r="H37" i="1" s="1"/>
  <c r="L36" i="1"/>
  <c r="L37" i="1" s="1"/>
  <c r="P36" i="1"/>
  <c r="P37" i="1" s="1"/>
  <c r="X36" i="1"/>
  <c r="X37" i="1" s="1"/>
  <c r="AB36" i="1"/>
  <c r="AB37" i="1" s="1"/>
  <c r="AF36" i="1"/>
  <c r="AF37" i="1" s="1"/>
  <c r="AN36" i="1"/>
  <c r="AN37" i="1" s="1"/>
  <c r="AR36" i="1"/>
  <c r="AR37" i="1" s="1"/>
  <c r="AV36" i="1"/>
  <c r="AV37" i="1" s="1"/>
  <c r="AZ36" i="1"/>
  <c r="AZ37" i="1" s="1"/>
  <c r="BH36" i="1"/>
  <c r="BH37" i="1" s="1"/>
  <c r="BL36" i="1"/>
  <c r="BL37" i="1" s="1"/>
  <c r="BP36" i="1"/>
  <c r="BP37" i="1" s="1"/>
  <c r="BT36" i="1"/>
  <c r="BT37" i="1" s="1"/>
  <c r="CB36" i="1"/>
  <c r="CB37" i="1" s="1"/>
  <c r="CF36" i="1"/>
  <c r="CF37" i="1" s="1"/>
  <c r="CJ36" i="1"/>
  <c r="CJ37" i="1" s="1"/>
  <c r="CN36" i="1"/>
  <c r="CN37" i="1" s="1"/>
  <c r="CZ36" i="1"/>
  <c r="CZ37" i="1" s="1"/>
  <c r="DE36" i="1"/>
  <c r="DE37" i="1" s="1"/>
  <c r="DO36" i="1"/>
  <c r="DU36" i="1"/>
  <c r="DU37" i="1" s="1"/>
  <c r="DZ36" i="1"/>
  <c r="EE36" i="1"/>
  <c r="EE37" i="1" s="1"/>
  <c r="AE45" i="1"/>
  <c r="AE46" i="1" s="1"/>
  <c r="AY40" i="1"/>
  <c r="CS45" i="1"/>
  <c r="CS46" i="1" s="1"/>
  <c r="CS40" i="1"/>
  <c r="CW39" i="1"/>
  <c r="DS45" i="1"/>
  <c r="DY53" i="1"/>
  <c r="ED53" i="1"/>
  <c r="EI53" i="1"/>
  <c r="DP53" i="1"/>
  <c r="CR49" i="1"/>
  <c r="CU50" i="1"/>
  <c r="CZ50" i="1"/>
  <c r="M53" i="1"/>
  <c r="S53" i="1"/>
  <c r="AR53" i="1"/>
  <c r="AW53" i="1"/>
  <c r="BB53" i="1"/>
  <c r="BG53" i="1"/>
  <c r="BL53" i="1"/>
  <c r="BQ53" i="1"/>
  <c r="BV53" i="1"/>
  <c r="CN57" i="1"/>
  <c r="CS57" i="1"/>
  <c r="DF57" i="1"/>
  <c r="DH71" i="1"/>
  <c r="ER66" i="1"/>
  <c r="AI77" i="1"/>
  <c r="AD77" i="1"/>
  <c r="AO68" i="1"/>
  <c r="BI68" i="1"/>
  <c r="CC68" i="1"/>
  <c r="AO82" i="1"/>
  <c r="AO83" i="1" s="1"/>
  <c r="DQ82" i="1"/>
  <c r="DQ83" i="1" s="1"/>
  <c r="CU5" i="1"/>
  <c r="DC5" i="1"/>
  <c r="DB6" i="1"/>
  <c r="CS7" i="1"/>
  <c r="AE70" i="1"/>
  <c r="AE71" i="1" s="1"/>
  <c r="AE68" i="1"/>
  <c r="AJ7" i="1"/>
  <c r="AY70" i="1"/>
  <c r="AY71" i="1" s="1"/>
  <c r="AY68" i="1"/>
  <c r="BD7" i="1"/>
  <c r="BS70" i="1"/>
  <c r="BS71" i="1" s="1"/>
  <c r="BS68" i="1"/>
  <c r="BX7" i="1"/>
  <c r="CM70" i="1"/>
  <c r="CM71" i="1" s="1"/>
  <c r="CM68" i="1"/>
  <c r="CU70" i="1"/>
  <c r="CU71" i="1" s="1"/>
  <c r="CU68" i="1"/>
  <c r="DB8" i="1"/>
  <c r="DG6" i="1"/>
  <c r="DQ71" i="1"/>
  <c r="DV7" i="1"/>
  <c r="EK71" i="1"/>
  <c r="ES86" i="1"/>
  <c r="AE9" i="1"/>
  <c r="AY9" i="1"/>
  <c r="BS9" i="1"/>
  <c r="CM9" i="1"/>
  <c r="CU9" i="1"/>
  <c r="CY9" i="1"/>
  <c r="DC9" i="1"/>
  <c r="DG9" i="1"/>
  <c r="EA9" i="1"/>
  <c r="E38" i="363" s="1"/>
  <c r="FR9" i="1"/>
  <c r="E10" i="1"/>
  <c r="AD11" i="1"/>
  <c r="AD12" i="1" s="1"/>
  <c r="CL12" i="1"/>
  <c r="CV10" i="1"/>
  <c r="FK10" i="1" s="1"/>
  <c r="E11" i="1"/>
  <c r="J12" i="1" s="1"/>
  <c r="CT11" i="1"/>
  <c r="CX11" i="1"/>
  <c r="CX12" i="1" s="1"/>
  <c r="J10" i="1"/>
  <c r="O10" i="1"/>
  <c r="T10" i="1"/>
  <c r="EA11" i="1"/>
  <c r="I84" i="1"/>
  <c r="I50" i="1"/>
  <c r="M84" i="1"/>
  <c r="M85" i="1" s="1"/>
  <c r="M50" i="1"/>
  <c r="M51" i="1" s="1"/>
  <c r="U85" i="1"/>
  <c r="Y84" i="1"/>
  <c r="Y50" i="1"/>
  <c r="Y51" i="1" s="1"/>
  <c r="AC84" i="1"/>
  <c r="AC85" i="1" s="1"/>
  <c r="AC50" i="1"/>
  <c r="AC51" i="1" s="1"/>
  <c r="AG84" i="1"/>
  <c r="AG85" i="1" s="1"/>
  <c r="AG50" i="1"/>
  <c r="AG51" i="1" s="1"/>
  <c r="AK84" i="1"/>
  <c r="AK85" i="1" s="1"/>
  <c r="AK50" i="1"/>
  <c r="AK51" i="1" s="1"/>
  <c r="AS84" i="1"/>
  <c r="AS85" i="1" s="1"/>
  <c r="AS50" i="1"/>
  <c r="AS51" i="1" s="1"/>
  <c r="AW84" i="1"/>
  <c r="AW85" i="1" s="1"/>
  <c r="AW50" i="1"/>
  <c r="AW51" i="1" s="1"/>
  <c r="BA84" i="1"/>
  <c r="BA85" i="1" s="1"/>
  <c r="BA50" i="1"/>
  <c r="BA51" i="1" s="1"/>
  <c r="BE84" i="1"/>
  <c r="BE85" i="1" s="1"/>
  <c r="BE50" i="1"/>
  <c r="BE51" i="1" s="1"/>
  <c r="BM84" i="1"/>
  <c r="BM85" i="1" s="1"/>
  <c r="BM50" i="1"/>
  <c r="BM51" i="1" s="1"/>
  <c r="BQ84" i="1"/>
  <c r="BQ85" i="1" s="1"/>
  <c r="BQ50" i="1"/>
  <c r="BQ51" i="1" s="1"/>
  <c r="BU84" i="1"/>
  <c r="BU85" i="1" s="1"/>
  <c r="BU50" i="1"/>
  <c r="BU51" i="1" s="1"/>
  <c r="BY84" i="1"/>
  <c r="BY85" i="1" s="1"/>
  <c r="BY50" i="1"/>
  <c r="CG84" i="1"/>
  <c r="CG85" i="1" s="1"/>
  <c r="CG50" i="1"/>
  <c r="CG51" i="1" s="1"/>
  <c r="CK84" i="1"/>
  <c r="CK85" i="1" s="1"/>
  <c r="CK50" i="1"/>
  <c r="CK51" i="1" s="1"/>
  <c r="CO84" i="1"/>
  <c r="CO85" i="1" s="1"/>
  <c r="CO50" i="1"/>
  <c r="CO51" i="1" s="1"/>
  <c r="CS16" i="1"/>
  <c r="DA16" i="1"/>
  <c r="DA84" i="1" s="1"/>
  <c r="DE84" i="1"/>
  <c r="DE85" i="1" s="1"/>
  <c r="DE50" i="1"/>
  <c r="DE51" i="1" s="1"/>
  <c r="DI84" i="1"/>
  <c r="DI50" i="1"/>
  <c r="DM16" i="1"/>
  <c r="DU84" i="1"/>
  <c r="DU85" i="1" s="1"/>
  <c r="DU50" i="1"/>
  <c r="DU51" i="1" s="1"/>
  <c r="DY84" i="1"/>
  <c r="DY85" i="1" s="1"/>
  <c r="DY50" i="1"/>
  <c r="DY51" i="1" s="1"/>
  <c r="EC84" i="1"/>
  <c r="EC85" i="1" s="1"/>
  <c r="EC50" i="1"/>
  <c r="EC51" i="1" s="1"/>
  <c r="EG16" i="1"/>
  <c r="EK16" i="1"/>
  <c r="EK84" i="1" s="1"/>
  <c r="EK85" i="1" s="1"/>
  <c r="EO84" i="1"/>
  <c r="ET84" i="1" s="1"/>
  <c r="EO50" i="1"/>
  <c r="ET50" i="1" s="1"/>
  <c r="Y17" i="1"/>
  <c r="AO17" i="1"/>
  <c r="BI17" i="1"/>
  <c r="CC17" i="1"/>
  <c r="CS17" i="1"/>
  <c r="DA17" i="1"/>
  <c r="DE17" i="1"/>
  <c r="DQ17" i="1"/>
  <c r="EK17" i="1"/>
  <c r="AJ270" i="1"/>
  <c r="BD270" i="1"/>
  <c r="BN20" i="1"/>
  <c r="CH270" i="1"/>
  <c r="CT175" i="1"/>
  <c r="CX175" i="1"/>
  <c r="DA175" i="1"/>
  <c r="CZ175" i="1"/>
  <c r="CY175" i="1"/>
  <c r="DH270" i="1"/>
  <c r="EO175" i="1"/>
  <c r="G23" i="1"/>
  <c r="M23" i="1"/>
  <c r="N24" i="1"/>
  <c r="S23" i="1"/>
  <c r="Q25" i="1"/>
  <c r="AD21" i="1"/>
  <c r="AT21" i="1"/>
  <c r="CH21" i="1"/>
  <c r="CT21" i="1"/>
  <c r="CX21" i="1"/>
  <c r="DJ21" i="1"/>
  <c r="DN21" i="1"/>
  <c r="DV21" i="1"/>
  <c r="AJ22" i="1"/>
  <c r="BD22" i="1"/>
  <c r="BX22" i="1"/>
  <c r="CR22" i="1"/>
  <c r="CV22" i="1"/>
  <c r="DH22" i="1"/>
  <c r="DM23" i="1" s="1"/>
  <c r="DL22" i="1"/>
  <c r="EF22" i="1"/>
  <c r="EN22" i="1"/>
  <c r="X23" i="1"/>
  <c r="AB23" i="1"/>
  <c r="AF23" i="1"/>
  <c r="AN23" i="1"/>
  <c r="AR23" i="1"/>
  <c r="AV23" i="1"/>
  <c r="AZ23" i="1"/>
  <c r="BH23" i="1"/>
  <c r="BL23" i="1"/>
  <c r="BP23" i="1"/>
  <c r="BT23" i="1"/>
  <c r="CB23" i="1"/>
  <c r="CF23" i="1"/>
  <c r="CJ23" i="1"/>
  <c r="CN23" i="1"/>
  <c r="CZ23" i="1"/>
  <c r="DD23" i="1"/>
  <c r="DP23" i="1"/>
  <c r="DT23" i="1"/>
  <c r="DX23" i="1"/>
  <c r="EB23" i="1"/>
  <c r="DT431" i="1" s="1"/>
  <c r="EJ23" i="1"/>
  <c r="AI24" i="1"/>
  <c r="AM24" i="1"/>
  <c r="BC24" i="1"/>
  <c r="BG24" i="1"/>
  <c r="BW24" i="1"/>
  <c r="CA24" i="1"/>
  <c r="CQ24" i="1"/>
  <c r="DK24" i="1"/>
  <c r="DO24" i="1"/>
  <c r="EE24" i="1"/>
  <c r="EI24" i="1"/>
  <c r="X25" i="1"/>
  <c r="AC25" i="1"/>
  <c r="AR25" i="1"/>
  <c r="AW25" i="1"/>
  <c r="BL25" i="1"/>
  <c r="BQ25" i="1"/>
  <c r="CF25" i="1"/>
  <c r="CK25" i="1"/>
  <c r="CZ25" i="1"/>
  <c r="DE25" i="1"/>
  <c r="DT25" i="1"/>
  <c r="DY25" i="1"/>
  <c r="AI29" i="1"/>
  <c r="O21" i="1"/>
  <c r="O29" i="1"/>
  <c r="Z29" i="1"/>
  <c r="AO29" i="1"/>
  <c r="BI29" i="1"/>
  <c r="BN30" i="1"/>
  <c r="BS29" i="1"/>
  <c r="CM29" i="1"/>
  <c r="DV29" i="1"/>
  <c r="EA30" i="1"/>
  <c r="EF29" i="1"/>
  <c r="Y31" i="1"/>
  <c r="DA31" i="1"/>
  <c r="DM31" i="1"/>
  <c r="DY31" i="1"/>
  <c r="EM32" i="1"/>
  <c r="I111" i="1"/>
  <c r="I110" i="1"/>
  <c r="M111" i="1"/>
  <c r="M110" i="1"/>
  <c r="Q111" i="1"/>
  <c r="Q110" i="1"/>
  <c r="U251" i="1"/>
  <c r="U222" i="1"/>
  <c r="U110" i="1"/>
  <c r="Y111" i="1"/>
  <c r="AC111" i="1"/>
  <c r="AC110" i="1"/>
  <c r="AG111" i="1"/>
  <c r="AG110" i="1"/>
  <c r="AK174" i="1"/>
  <c r="AK111" i="1"/>
  <c r="AK110" i="1"/>
  <c r="AO109" i="1"/>
  <c r="AO34" i="1"/>
  <c r="AS174" i="1"/>
  <c r="AS111" i="1"/>
  <c r="AS110" i="1"/>
  <c r="AW174" i="1"/>
  <c r="AW111" i="1"/>
  <c r="AW110" i="1"/>
  <c r="BA174" i="1"/>
  <c r="BA111" i="1"/>
  <c r="BA110" i="1"/>
  <c r="BE174" i="1"/>
  <c r="BE111" i="1"/>
  <c r="BE110" i="1"/>
  <c r="BI109" i="1"/>
  <c r="BI34" i="1"/>
  <c r="BM174" i="1"/>
  <c r="BM111" i="1"/>
  <c r="BM110" i="1"/>
  <c r="BQ174" i="1"/>
  <c r="BQ111" i="1"/>
  <c r="BQ110" i="1"/>
  <c r="BU174" i="1"/>
  <c r="BU111" i="1"/>
  <c r="BU110" i="1"/>
  <c r="BY174" i="1"/>
  <c r="BY111" i="1"/>
  <c r="BY110" i="1"/>
  <c r="CC109" i="1"/>
  <c r="CC34" i="1"/>
  <c r="CG222" i="1"/>
  <c r="CG174" i="1"/>
  <c r="CG111" i="1"/>
  <c r="CG110" i="1"/>
  <c r="CK222" i="1"/>
  <c r="CK174" i="1"/>
  <c r="CK111" i="1"/>
  <c r="CK110" i="1"/>
  <c r="CO222" i="1"/>
  <c r="CO174" i="1"/>
  <c r="CO111" i="1"/>
  <c r="CO110" i="1"/>
  <c r="CS34" i="1"/>
  <c r="DA222" i="1"/>
  <c r="DA111" i="1"/>
  <c r="DE222" i="1"/>
  <c r="DE111" i="1"/>
  <c r="DE110" i="1"/>
  <c r="DM222" i="1"/>
  <c r="DM111" i="1"/>
  <c r="DQ34" i="1"/>
  <c r="DU222" i="1"/>
  <c r="DU174" i="1"/>
  <c r="DU111" i="1"/>
  <c r="DU110" i="1"/>
  <c r="DY34" i="1"/>
  <c r="EA34" i="1" s="1"/>
  <c r="EC222" i="1"/>
  <c r="EC111" i="1"/>
  <c r="EC110" i="1"/>
  <c r="EG174" i="1"/>
  <c r="EG111" i="1"/>
  <c r="EG110" i="1"/>
  <c r="EK34" i="1"/>
  <c r="EO34" i="1"/>
  <c r="I35" i="1"/>
  <c r="M35" i="1"/>
  <c r="Q35" i="1"/>
  <c r="U35" i="1"/>
  <c r="Y35" i="1"/>
  <c r="AC35" i="1"/>
  <c r="AG35" i="1"/>
  <c r="AK35" i="1"/>
  <c r="AS35" i="1"/>
  <c r="AW35" i="1"/>
  <c r="BA35" i="1"/>
  <c r="BE35" i="1"/>
  <c r="BM35" i="1"/>
  <c r="BQ35" i="1"/>
  <c r="BU35" i="1"/>
  <c r="BY35" i="1"/>
  <c r="CG35" i="1"/>
  <c r="CK35" i="1"/>
  <c r="CO35" i="1"/>
  <c r="DA35" i="1"/>
  <c r="DE35" i="1"/>
  <c r="DM35" i="1"/>
  <c r="DU35" i="1"/>
  <c r="EC35" i="1"/>
  <c r="EG35" i="1"/>
  <c r="I36" i="1"/>
  <c r="I37" i="1" s="1"/>
  <c r="M36" i="1"/>
  <c r="M37" i="1" s="1"/>
  <c r="Q36" i="1"/>
  <c r="Q37" i="1" s="1"/>
  <c r="U36" i="1"/>
  <c r="U37" i="1" s="1"/>
  <c r="Y36" i="1"/>
  <c r="AC36" i="1"/>
  <c r="AC37" i="1" s="1"/>
  <c r="AG36" i="1"/>
  <c r="AG37" i="1" s="1"/>
  <c r="AK36" i="1"/>
  <c r="AK37" i="1" s="1"/>
  <c r="AS36" i="1"/>
  <c r="AS37" i="1" s="1"/>
  <c r="AW36" i="1"/>
  <c r="AW37" i="1" s="1"/>
  <c r="BA36" i="1"/>
  <c r="BA37" i="1" s="1"/>
  <c r="BE36" i="1"/>
  <c r="BE37" i="1" s="1"/>
  <c r="BM36" i="1"/>
  <c r="BM37" i="1" s="1"/>
  <c r="BQ36" i="1"/>
  <c r="BQ37" i="1" s="1"/>
  <c r="BU36" i="1"/>
  <c r="BU37" i="1" s="1"/>
  <c r="BY36" i="1"/>
  <c r="BY37" i="1" s="1"/>
  <c r="CG36" i="1"/>
  <c r="CG37" i="1" s="1"/>
  <c r="CK36" i="1"/>
  <c r="CK37" i="1" s="1"/>
  <c r="CO36" i="1"/>
  <c r="CO37" i="1" s="1"/>
  <c r="DA36" i="1"/>
  <c r="DF36" i="1"/>
  <c r="DK36" i="1"/>
  <c r="EG36" i="1"/>
  <c r="EG37" i="1" s="1"/>
  <c r="AJ45" i="1"/>
  <c r="AJ46" i="1" s="1"/>
  <c r="BD45" i="1"/>
  <c r="CH45" i="1"/>
  <c r="CH52" i="1"/>
  <c r="CT45" i="1"/>
  <c r="CT46" i="1" s="1"/>
  <c r="CX45" i="1"/>
  <c r="CX46" i="1" s="1"/>
  <c r="J40" i="1"/>
  <c r="EE53" i="1"/>
  <c r="EJ53" i="1"/>
  <c r="DL45" i="1"/>
  <c r="DL52" i="1"/>
  <c r="DQ45" i="1"/>
  <c r="DQ46" i="1" s="1"/>
  <c r="DQ52" i="1"/>
  <c r="DQ53" i="1" s="1"/>
  <c r="DQ44" i="1"/>
  <c r="U49" i="1"/>
  <c r="U52" i="1"/>
  <c r="U53" i="1" s="1"/>
  <c r="DA50" i="1"/>
  <c r="N53" i="1"/>
  <c r="AS53" i="1"/>
  <c r="AX53" i="1"/>
  <c r="BC53" i="1"/>
  <c r="BR53" i="1"/>
  <c r="BW53" i="1"/>
  <c r="CL53" i="1"/>
  <c r="CQ53" i="1"/>
  <c r="AO49" i="1"/>
  <c r="CH177" i="1"/>
  <c r="CH56" i="1"/>
  <c r="CO57" i="1"/>
  <c r="DD57" i="1"/>
  <c r="CF57" i="1"/>
  <c r="DH57" i="1"/>
  <c r="DB68" i="1"/>
  <c r="ES66" i="1"/>
  <c r="CZ71" i="1"/>
  <c r="J78" i="1"/>
  <c r="T78" i="1"/>
  <c r="AO78" i="1"/>
  <c r="BI76" i="1"/>
  <c r="CC76" i="1"/>
  <c r="CU76" i="1"/>
  <c r="CU77" i="1" s="1"/>
  <c r="DC76" i="1"/>
  <c r="DQ68" i="1"/>
  <c r="DQ69" i="1" s="1"/>
  <c r="EK68" i="1"/>
  <c r="EK69" i="1" s="1"/>
  <c r="DH77" i="1"/>
  <c r="AJ71" i="1"/>
  <c r="AO7" i="1"/>
  <c r="BD71" i="1"/>
  <c r="BI7" i="1"/>
  <c r="BX71" i="1"/>
  <c r="CC7" i="1"/>
  <c r="CR71" i="1"/>
  <c r="DC71" i="1"/>
  <c r="DV89" i="1"/>
  <c r="DV70" i="1"/>
  <c r="DV71" i="1" s="1"/>
  <c r="ET66" i="1"/>
  <c r="ET70" i="1" s="1"/>
  <c r="ET71" i="1" s="1"/>
  <c r="ET86" i="1"/>
  <c r="G10" i="1"/>
  <c r="AJ9" i="1"/>
  <c r="BD9" i="1"/>
  <c r="BX9" i="1"/>
  <c r="CR9" i="1"/>
  <c r="CV9" i="1"/>
  <c r="CZ9" i="1"/>
  <c r="DH9" i="1"/>
  <c r="DL9" i="1"/>
  <c r="EF9" i="1"/>
  <c r="F38" i="363" s="1"/>
  <c r="FO9" i="1"/>
  <c r="FO5" i="1" s="1"/>
  <c r="CS10" i="1"/>
  <c r="FH10" i="1" s="1"/>
  <c r="CX10" i="1"/>
  <c r="DC10" i="1"/>
  <c r="EQ10" i="1"/>
  <c r="J7" i="1"/>
  <c r="O7" i="1"/>
  <c r="T7" i="1"/>
  <c r="ER15" i="1"/>
  <c r="J16" i="1"/>
  <c r="J50" i="1" s="1"/>
  <c r="N84" i="1"/>
  <c r="N85" i="1" s="1"/>
  <c r="N50" i="1"/>
  <c r="N51" i="1" s="1"/>
  <c r="R84" i="1"/>
  <c r="R85" i="1" s="1"/>
  <c r="R50" i="1"/>
  <c r="R51" i="1" s="1"/>
  <c r="Z16" i="1"/>
  <c r="AD51" i="1"/>
  <c r="AH84" i="1"/>
  <c r="AH85" i="1" s="1"/>
  <c r="AH50" i="1"/>
  <c r="AH51" i="1" s="1"/>
  <c r="AL84" i="1"/>
  <c r="AL85" i="1" s="1"/>
  <c r="AL50" i="1"/>
  <c r="AL51" i="1" s="1"/>
  <c r="AP84" i="1"/>
  <c r="AP85" i="1" s="1"/>
  <c r="AP50" i="1"/>
  <c r="AP51" i="1" s="1"/>
  <c r="AX84" i="1"/>
  <c r="AX85" i="1" s="1"/>
  <c r="AX50" i="1"/>
  <c r="AX51" i="1" s="1"/>
  <c r="BB84" i="1"/>
  <c r="BB85" i="1" s="1"/>
  <c r="BB50" i="1"/>
  <c r="BB51" i="1" s="1"/>
  <c r="BF84" i="1"/>
  <c r="BF85" i="1" s="1"/>
  <c r="BF50" i="1"/>
  <c r="BF51" i="1" s="1"/>
  <c r="BJ84" i="1"/>
  <c r="BJ85" i="1" s="1"/>
  <c r="BJ50" i="1"/>
  <c r="BR84" i="1"/>
  <c r="BR85" i="1" s="1"/>
  <c r="BR50" i="1"/>
  <c r="BR51" i="1" s="1"/>
  <c r="BV84" i="1"/>
  <c r="BV85" i="1" s="1"/>
  <c r="BV50" i="1"/>
  <c r="BV51" i="1" s="1"/>
  <c r="BZ84" i="1"/>
  <c r="BZ85" i="1" s="1"/>
  <c r="BZ50" i="1"/>
  <c r="BZ51" i="1" s="1"/>
  <c r="CD84" i="1"/>
  <c r="CD85" i="1" s="1"/>
  <c r="CD50" i="1"/>
  <c r="CL84" i="1"/>
  <c r="CL85" i="1" s="1"/>
  <c r="CL50" i="1"/>
  <c r="CL51" i="1" s="1"/>
  <c r="CP84" i="1"/>
  <c r="CP85" i="1" s="1"/>
  <c r="CP50" i="1"/>
  <c r="CP51" i="1" s="1"/>
  <c r="DF84" i="1"/>
  <c r="DF85" i="1" s="1"/>
  <c r="DF50" i="1"/>
  <c r="DF51" i="1" s="1"/>
  <c r="DJ50" i="1"/>
  <c r="DJ51" i="1" s="1"/>
  <c r="DJ84" i="1"/>
  <c r="DJ85" i="1" s="1"/>
  <c r="DN84" i="1"/>
  <c r="DN85" i="1" s="1"/>
  <c r="DN50" i="1"/>
  <c r="DN51" i="1" s="1"/>
  <c r="DR16" i="1"/>
  <c r="DZ84" i="1"/>
  <c r="DZ85" i="1" s="1"/>
  <c r="DZ50" i="1"/>
  <c r="DZ51" i="1" s="1"/>
  <c r="ED50" i="1"/>
  <c r="ED51" i="1" s="1"/>
  <c r="ED84" i="1"/>
  <c r="ED85" i="1" s="1"/>
  <c r="EH84" i="1"/>
  <c r="EH85" i="1" s="1"/>
  <c r="EH50" i="1"/>
  <c r="EH51" i="1" s="1"/>
  <c r="DF17" i="1"/>
  <c r="AO270" i="1"/>
  <c r="BJ175" i="1"/>
  <c r="BH175" i="1"/>
  <c r="BH192" i="1" s="1"/>
  <c r="BG175" i="1"/>
  <c r="BS270" i="1"/>
  <c r="CM270" i="1"/>
  <c r="CU175" i="1"/>
  <c r="DB20" i="1"/>
  <c r="DG21" i="1" s="1"/>
  <c r="DI175" i="1"/>
  <c r="DK175" i="1"/>
  <c r="EL270" i="1"/>
  <c r="EQ270" i="1" s="1"/>
  <c r="EP20" i="1"/>
  <c r="J21" i="1"/>
  <c r="AI21" i="1"/>
  <c r="AY21" i="1"/>
  <c r="BG21" i="1"/>
  <c r="BK21" i="1"/>
  <c r="BS21" i="1"/>
  <c r="CM21" i="1"/>
  <c r="CU21" i="1"/>
  <c r="CY21" i="1"/>
  <c r="DC21" i="1"/>
  <c r="DO21" i="1"/>
  <c r="EA21" i="1"/>
  <c r="AO22" i="1"/>
  <c r="BI22" i="1"/>
  <c r="CC22" i="1"/>
  <c r="CM24" i="1" s="1"/>
  <c r="CS22" i="1"/>
  <c r="CX23" i="1" s="1"/>
  <c r="DI22" i="1"/>
  <c r="DQ22" i="1"/>
  <c r="EK22" i="1"/>
  <c r="EO22" i="1"/>
  <c r="Y23" i="1"/>
  <c r="AS23" i="1"/>
  <c r="BM23" i="1"/>
  <c r="CG23" i="1"/>
  <c r="DA23" i="1"/>
  <c r="DU23" i="1"/>
  <c r="AN24" i="1"/>
  <c r="BH24" i="1"/>
  <c r="CB24" i="1"/>
  <c r="DP24" i="1"/>
  <c r="EJ24" i="1"/>
  <c r="CW26" i="1"/>
  <c r="CW27" i="1" s="1"/>
  <c r="DB30" i="1"/>
  <c r="B111" i="1"/>
  <c r="F109" i="1"/>
  <c r="K110" i="1" s="1"/>
  <c r="F34" i="1"/>
  <c r="F36" i="1" s="1"/>
  <c r="N111" i="1"/>
  <c r="N110" i="1"/>
  <c r="R110" i="1"/>
  <c r="R111" i="1"/>
  <c r="V110" i="1"/>
  <c r="Z109" i="1"/>
  <c r="V111" i="1"/>
  <c r="Z34" i="1"/>
  <c r="AH110" i="1"/>
  <c r="AH111" i="1"/>
  <c r="AL174" i="1"/>
  <c r="AL110" i="1"/>
  <c r="AL111" i="1"/>
  <c r="AP174" i="1"/>
  <c r="AP111" i="1"/>
  <c r="AT109" i="1"/>
  <c r="AP110" i="1"/>
  <c r="AT34" i="1"/>
  <c r="AX174" i="1"/>
  <c r="AX110" i="1"/>
  <c r="AX111" i="1"/>
  <c r="BB174" i="1"/>
  <c r="BB110" i="1"/>
  <c r="BB111" i="1"/>
  <c r="BF174" i="1"/>
  <c r="BF111" i="1"/>
  <c r="BF110" i="1"/>
  <c r="BJ174" i="1"/>
  <c r="BJ111" i="1"/>
  <c r="BN109" i="1"/>
  <c r="BJ110" i="1"/>
  <c r="BN34" i="1"/>
  <c r="BR174" i="1"/>
  <c r="BR110" i="1"/>
  <c r="BR111" i="1"/>
  <c r="BV174" i="1"/>
  <c r="BV111" i="1"/>
  <c r="BV110" i="1"/>
  <c r="BZ174" i="1"/>
  <c r="BZ111" i="1"/>
  <c r="BZ110" i="1"/>
  <c r="CD222" i="1"/>
  <c r="CD174" i="1"/>
  <c r="CD110" i="1"/>
  <c r="CH109" i="1"/>
  <c r="CD111" i="1"/>
  <c r="CH34" i="1"/>
  <c r="CL222" i="1"/>
  <c r="CL174" i="1"/>
  <c r="CL111" i="1"/>
  <c r="CL110" i="1"/>
  <c r="CP222" i="1"/>
  <c r="CP174" i="1"/>
  <c r="CP111" i="1"/>
  <c r="CP110" i="1"/>
  <c r="CT34" i="1"/>
  <c r="CY35" i="1" s="1"/>
  <c r="CX34" i="1"/>
  <c r="DF222" i="1"/>
  <c r="DF110" i="1"/>
  <c r="DJ34" i="1"/>
  <c r="DN222" i="1"/>
  <c r="DN110" i="1"/>
  <c r="DR222" i="1"/>
  <c r="DR174" i="1"/>
  <c r="DR110" i="1"/>
  <c r="DV34" i="1"/>
  <c r="DZ110" i="1"/>
  <c r="ED222" i="1"/>
  <c r="ED174" i="1"/>
  <c r="EH222" i="1"/>
  <c r="EH174" i="1"/>
  <c r="EH110" i="1"/>
  <c r="EL34" i="1"/>
  <c r="N35" i="1"/>
  <c r="R35" i="1"/>
  <c r="V35" i="1"/>
  <c r="AH35" i="1"/>
  <c r="AL35" i="1"/>
  <c r="AP35" i="1"/>
  <c r="AX35" i="1"/>
  <c r="BB35" i="1"/>
  <c r="BF35" i="1"/>
  <c r="BJ35" i="1"/>
  <c r="BR35" i="1"/>
  <c r="BV35" i="1"/>
  <c r="BZ35" i="1"/>
  <c r="CD35" i="1"/>
  <c r="CL35" i="1"/>
  <c r="CP35" i="1"/>
  <c r="DF35" i="1"/>
  <c r="DN35" i="1"/>
  <c r="DR35" i="1"/>
  <c r="DZ35" i="1"/>
  <c r="ED35" i="1"/>
  <c r="EH35" i="1"/>
  <c r="B36" i="1"/>
  <c r="N36" i="1"/>
  <c r="N37" i="1" s="1"/>
  <c r="R36" i="1"/>
  <c r="R37" i="1" s="1"/>
  <c r="V36" i="1"/>
  <c r="V37" i="1" s="1"/>
  <c r="AH36" i="1"/>
  <c r="AH37" i="1" s="1"/>
  <c r="AL36" i="1"/>
  <c r="AL37" i="1" s="1"/>
  <c r="AP36" i="1"/>
  <c r="AP37" i="1" s="1"/>
  <c r="AX36" i="1"/>
  <c r="AX37" i="1" s="1"/>
  <c r="BB36" i="1"/>
  <c r="BB37" i="1" s="1"/>
  <c r="BF36" i="1"/>
  <c r="BF37" i="1" s="1"/>
  <c r="BJ36" i="1"/>
  <c r="BJ37" i="1" s="1"/>
  <c r="BR36" i="1"/>
  <c r="BR37" i="1" s="1"/>
  <c r="BV36" i="1"/>
  <c r="BV37" i="1" s="1"/>
  <c r="BZ36" i="1"/>
  <c r="BZ37" i="1" s="1"/>
  <c r="CD36" i="1"/>
  <c r="CD37" i="1" s="1"/>
  <c r="CL36" i="1"/>
  <c r="CL37" i="1" s="1"/>
  <c r="CP36" i="1"/>
  <c r="CP37" i="1" s="1"/>
  <c r="DM36" i="1"/>
  <c r="DR36" i="1"/>
  <c r="DR37" i="1" s="1"/>
  <c r="DW36" i="1"/>
  <c r="DW37" i="1" s="1"/>
  <c r="EC36" i="1"/>
  <c r="EC37" i="1" s="1"/>
  <c r="EH36" i="1"/>
  <c r="AO45" i="1"/>
  <c r="AO46" i="1" s="1"/>
  <c r="BS45" i="1"/>
  <c r="BS52" i="1"/>
  <c r="BY52" i="1"/>
  <c r="BY45" i="1"/>
  <c r="BY40" i="1"/>
  <c r="CC39" i="1"/>
  <c r="CK46" i="1"/>
  <c r="CP46" i="1"/>
  <c r="DG43" i="1"/>
  <c r="DC45" i="1"/>
  <c r="DC46" i="1" s="1"/>
  <c r="DH44" i="1"/>
  <c r="Z40" i="1"/>
  <c r="CH40" i="1"/>
  <c r="DU53" i="1"/>
  <c r="EA45" i="1"/>
  <c r="EA46" i="1" s="1"/>
  <c r="EA52" i="1"/>
  <c r="EA53" i="1" s="1"/>
  <c r="EA44" i="1"/>
  <c r="EF45" i="1"/>
  <c r="EF46" i="1" s="1"/>
  <c r="EF52" i="1"/>
  <c r="EF53" i="1" s="1"/>
  <c r="EF44" i="1"/>
  <c r="EK45" i="1"/>
  <c r="EK44" i="1"/>
  <c r="EK52" i="1"/>
  <c r="EK53" i="1" s="1"/>
  <c r="DN53" i="1"/>
  <c r="CH49" i="1"/>
  <c r="CS50" i="1"/>
  <c r="CX50" i="1"/>
  <c r="DC50" i="1"/>
  <c r="W53" i="1"/>
  <c r="AP53" i="1"/>
  <c r="AU53" i="1"/>
  <c r="AZ53" i="1"/>
  <c r="BE53" i="1"/>
  <c r="BJ53" i="1"/>
  <c r="BO53" i="1"/>
  <c r="CD53" i="1"/>
  <c r="CI53" i="1"/>
  <c r="Z50" i="1"/>
  <c r="AT49" i="1"/>
  <c r="CZ57" i="1"/>
  <c r="DQ49" i="1"/>
  <c r="ET57" i="1"/>
  <c r="AI57" i="1"/>
  <c r="DI57" i="1"/>
  <c r="CR68" i="1"/>
  <c r="CR69" i="1" s="1"/>
  <c r="CV68" i="1"/>
  <c r="DL67" i="1"/>
  <c r="DG68" i="1"/>
  <c r="DG69" i="1" s="1"/>
  <c r="DG67" i="1"/>
  <c r="DA71" i="1"/>
  <c r="Z68" i="1"/>
  <c r="Z69" i="1" s="1"/>
  <c r="AT68" i="1"/>
  <c r="AT69" i="1" s="1"/>
  <c r="BN68" i="1"/>
  <c r="BN69" i="1" s="1"/>
  <c r="CH68" i="1"/>
  <c r="CH69" i="1" s="1"/>
  <c r="CR76" i="1"/>
  <c r="CV76" i="1"/>
  <c r="CU82" i="1"/>
  <c r="CU83" i="1" s="1"/>
  <c r="BH94" i="1"/>
  <c r="BH95" i="1" s="1"/>
  <c r="BH93" i="1"/>
  <c r="BH92" i="1"/>
  <c r="BP94" i="1"/>
  <c r="BP93" i="1"/>
  <c r="BP92" i="1"/>
  <c r="EO176" i="1"/>
  <c r="EO104" i="1"/>
  <c r="EO106" i="1"/>
  <c r="EO102" i="1"/>
  <c r="EO101" i="1"/>
  <c r="Y40" i="1"/>
  <c r="AO40" i="1"/>
  <c r="BM40" i="1"/>
  <c r="BU40" i="1"/>
  <c r="CG40" i="1"/>
  <c r="CK40" i="1"/>
  <c r="DA40" i="1"/>
  <c r="DR44" i="1"/>
  <c r="DR45" i="1"/>
  <c r="DR46" i="1" s="1"/>
  <c r="DW44" i="1"/>
  <c r="DW45" i="1"/>
  <c r="EB44" i="1"/>
  <c r="EB45" i="1"/>
  <c r="EB46" i="1" s="1"/>
  <c r="EG44" i="1"/>
  <c r="EG45" i="1"/>
  <c r="EO43" i="1"/>
  <c r="DM44" i="1"/>
  <c r="DM45" i="1"/>
  <c r="DM46" i="1" s="1"/>
  <c r="J45" i="1"/>
  <c r="J46" i="1" s="1"/>
  <c r="O45" i="1"/>
  <c r="O46" i="1" s="1"/>
  <c r="T45" i="1"/>
  <c r="T46" i="1" s="1"/>
  <c r="BH45" i="1"/>
  <c r="BH46" i="1" s="1"/>
  <c r="CB45" i="1"/>
  <c r="CB46" i="1" s="1"/>
  <c r="CU45" i="1"/>
  <c r="CU46" i="1" s="1"/>
  <c r="M49" i="1"/>
  <c r="L52" i="1"/>
  <c r="L53" i="1" s="1"/>
  <c r="R49" i="1"/>
  <c r="U50" i="1"/>
  <c r="AD49" i="1"/>
  <c r="AH49" i="1"/>
  <c r="AE52" i="1"/>
  <c r="AE53" i="1" s="1"/>
  <c r="AM49" i="1"/>
  <c r="AR49" i="1"/>
  <c r="AW49" i="1"/>
  <c r="BB49" i="1"/>
  <c r="BG49" i="1"/>
  <c r="BL49" i="1"/>
  <c r="BQ49" i="1"/>
  <c r="CU48" i="1"/>
  <c r="CU49" i="1" s="1"/>
  <c r="CY48" i="1"/>
  <c r="DH52" i="1"/>
  <c r="DM52" i="1"/>
  <c r="DR52" i="1"/>
  <c r="DW52" i="1"/>
  <c r="DW53" i="1" s="1"/>
  <c r="EB52" i="1"/>
  <c r="EB53" i="1" s="1"/>
  <c r="CG49" i="1"/>
  <c r="CO49" i="1"/>
  <c r="BT52" i="1"/>
  <c r="BT53" i="1" s="1"/>
  <c r="BX52" i="1"/>
  <c r="BX53" i="1" s="1"/>
  <c r="CB52" i="1"/>
  <c r="CB53" i="1" s="1"/>
  <c r="CF52" i="1"/>
  <c r="CJ52" i="1"/>
  <c r="CJ53" i="1" s="1"/>
  <c r="CN52" i="1"/>
  <c r="CN53" i="1" s="1"/>
  <c r="CR52" i="1"/>
  <c r="EG52" i="1"/>
  <c r="EG53" i="1" s="1"/>
  <c r="T52" i="1"/>
  <c r="T53" i="1" s="1"/>
  <c r="AJ50" i="1"/>
  <c r="AO52" i="1"/>
  <c r="AT50" i="1"/>
  <c r="AT51" i="1" s="1"/>
  <c r="AY52" i="1"/>
  <c r="AY53" i="1" s="1"/>
  <c r="BD50" i="1"/>
  <c r="BD51" i="1" s="1"/>
  <c r="BY194" i="1"/>
  <c r="CC54" i="1"/>
  <c r="CL177" i="1"/>
  <c r="CL194" i="1" s="1"/>
  <c r="CL91" i="1"/>
  <c r="CP177" i="1"/>
  <c r="CP194" i="1" s="1"/>
  <c r="CP91" i="1"/>
  <c r="CT177" i="1"/>
  <c r="CX177" i="1"/>
  <c r="DB54" i="1"/>
  <c r="DG54" i="1"/>
  <c r="DL55" i="1" s="1"/>
  <c r="EP54" i="1"/>
  <c r="Y55" i="1"/>
  <c r="AO55" i="1"/>
  <c r="BI55" i="1"/>
  <c r="BY55" i="1"/>
  <c r="CK55" i="1"/>
  <c r="CO55" i="1"/>
  <c r="CS55" i="1"/>
  <c r="DA55" i="1"/>
  <c r="DE55" i="1"/>
  <c r="DI55" i="1"/>
  <c r="DQ55" i="1"/>
  <c r="EK55" i="1"/>
  <c r="O56" i="1"/>
  <c r="O57" i="1" s="1"/>
  <c r="AY56" i="1"/>
  <c r="BS56" i="1"/>
  <c r="EA56" i="1"/>
  <c r="EM56" i="1"/>
  <c r="ER57" i="1" s="1"/>
  <c r="R71" i="1"/>
  <c r="CR67" i="1"/>
  <c r="CV67" i="1"/>
  <c r="CZ67" i="1"/>
  <c r="CT68" i="1"/>
  <c r="CX68" i="1"/>
  <c r="CX69" i="1" s="1"/>
  <c r="AJ68" i="1"/>
  <c r="AJ69" i="1" s="1"/>
  <c r="AJ212" i="1"/>
  <c r="AJ181" i="1"/>
  <c r="BD68" i="1"/>
  <c r="BD69" i="1" s="1"/>
  <c r="BD212" i="1"/>
  <c r="BD181" i="1"/>
  <c r="BX68" i="1"/>
  <c r="BX69" i="1" s="1"/>
  <c r="BX212" i="1"/>
  <c r="BX181" i="1"/>
  <c r="CM67" i="1"/>
  <c r="CT212" i="1"/>
  <c r="CT181" i="1"/>
  <c r="CX212" i="1"/>
  <c r="CZ181" i="1"/>
  <c r="CY181" i="1"/>
  <c r="CX181" i="1"/>
  <c r="DA181" i="1"/>
  <c r="EA67" i="1"/>
  <c r="ET212" i="1"/>
  <c r="ET210" i="1"/>
  <c r="ET181" i="1"/>
  <c r="T73" i="1"/>
  <c r="AJ73" i="1"/>
  <c r="BD73" i="1"/>
  <c r="BX73" i="1"/>
  <c r="CR73" i="1"/>
  <c r="CV73" i="1"/>
  <c r="CZ73" i="1"/>
  <c r="DH73" i="1"/>
  <c r="DL73" i="1"/>
  <c r="EF73" i="1"/>
  <c r="EU72" i="1"/>
  <c r="E74" i="1"/>
  <c r="J74" i="1"/>
  <c r="O74" i="1"/>
  <c r="T74" i="1"/>
  <c r="AD74" i="1"/>
  <c r="CL77" i="1"/>
  <c r="CV74" i="1"/>
  <c r="FK74" i="1" s="1"/>
  <c r="CZ77" i="1"/>
  <c r="CS78" i="1"/>
  <c r="ET76" i="1"/>
  <c r="ET77" i="1" s="1"/>
  <c r="AE76" i="1"/>
  <c r="J84" i="1"/>
  <c r="T84" i="1"/>
  <c r="Z84" i="1"/>
  <c r="Z85" i="1" s="1"/>
  <c r="BD76" i="1"/>
  <c r="BI179" i="1"/>
  <c r="BI84" i="1"/>
  <c r="BX76" i="1"/>
  <c r="CC324" i="1"/>
  <c r="CS354" i="1"/>
  <c r="CS356" i="1" s="1"/>
  <c r="CS179" i="1"/>
  <c r="CS84" i="1"/>
  <c r="CS85" i="1" s="1"/>
  <c r="CW79" i="1"/>
  <c r="DG354" i="1"/>
  <c r="DG356" i="1" s="1"/>
  <c r="DG179" i="1"/>
  <c r="DG84" i="1"/>
  <c r="DL78" i="1"/>
  <c r="DV76" i="1"/>
  <c r="EA354" i="1"/>
  <c r="EA356" i="1" s="1"/>
  <c r="EA179" i="1"/>
  <c r="EA84" i="1"/>
  <c r="EF78" i="1"/>
  <c r="EP354" i="1"/>
  <c r="EP356" i="1" s="1"/>
  <c r="EP179" i="1"/>
  <c r="EP84" i="1"/>
  <c r="EP82" i="1"/>
  <c r="J80" i="1"/>
  <c r="Z80" i="1"/>
  <c r="CT80" i="1"/>
  <c r="CX80" i="1"/>
  <c r="DD81" i="1"/>
  <c r="FI81" i="1" s="1"/>
  <c r="H83" i="1"/>
  <c r="L83" i="1"/>
  <c r="P83" i="1"/>
  <c r="T82" i="1"/>
  <c r="T83" i="1" s="1"/>
  <c r="X83" i="1"/>
  <c r="AB83" i="1"/>
  <c r="AF83" i="1"/>
  <c r="AN83" i="1"/>
  <c r="AR83" i="1"/>
  <c r="AV83" i="1"/>
  <c r="AZ83" i="1"/>
  <c r="BD82" i="1"/>
  <c r="BH83" i="1"/>
  <c r="BL83" i="1"/>
  <c r="BP83" i="1"/>
  <c r="BT83" i="1"/>
  <c r="BX82" i="1"/>
  <c r="CB83" i="1"/>
  <c r="CF83" i="1"/>
  <c r="CO83" i="1"/>
  <c r="CS82" i="1"/>
  <c r="CS83" i="1" s="1"/>
  <c r="DD83" i="1"/>
  <c r="DP83" i="1"/>
  <c r="DT83" i="1"/>
  <c r="DY83" i="1"/>
  <c r="EC83" i="1"/>
  <c r="EG83" i="1"/>
  <c r="EK82" i="1"/>
  <c r="CP83" i="1"/>
  <c r="BS84" i="1"/>
  <c r="CV84" i="1"/>
  <c r="CV85" i="1" s="1"/>
  <c r="AY91" i="1"/>
  <c r="BS91" i="1"/>
  <c r="CC84" i="1"/>
  <c r="CV91" i="1"/>
  <c r="DG89" i="1"/>
  <c r="DG87" i="1"/>
  <c r="DM104" i="1"/>
  <c r="DM106" i="1"/>
  <c r="DM102" i="1"/>
  <c r="EB95" i="1"/>
  <c r="EG104" i="1"/>
  <c r="EG106" i="1"/>
  <c r="EG102" i="1"/>
  <c r="EQ91" i="1"/>
  <c r="T104" i="1"/>
  <c r="AR105" i="1"/>
  <c r="AV105" i="1"/>
  <c r="AZ105" i="1"/>
  <c r="BH105" i="1"/>
  <c r="BL105" i="1"/>
  <c r="BP105" i="1"/>
  <c r="BT105" i="1"/>
  <c r="CB104" i="1"/>
  <c r="CB105" i="1" s="1"/>
  <c r="CF104" i="1"/>
  <c r="CJ104" i="1"/>
  <c r="CN104" i="1"/>
  <c r="CV104" i="1"/>
  <c r="DX44" i="1"/>
  <c r="DX45" i="1"/>
  <c r="DX46" i="1" s="1"/>
  <c r="EC44" i="1"/>
  <c r="EC45" i="1"/>
  <c r="EH44" i="1"/>
  <c r="EH45" i="1"/>
  <c r="EH46" i="1" s="1"/>
  <c r="DN44" i="1"/>
  <c r="DN45" i="1"/>
  <c r="DN46" i="1" s="1"/>
  <c r="BT45" i="1"/>
  <c r="BT46" i="1" s="1"/>
  <c r="CR45" i="1"/>
  <c r="CV45" i="1"/>
  <c r="P46" i="1"/>
  <c r="BX45" i="1"/>
  <c r="BX46" i="1" s="1"/>
  <c r="N49" i="1"/>
  <c r="S49" i="1"/>
  <c r="X52" i="1"/>
  <c r="X53" i="1" s="1"/>
  <c r="AB52" i="1"/>
  <c r="AB53" i="1" s="1"/>
  <c r="AF52" i="1"/>
  <c r="AF53" i="1" s="1"/>
  <c r="AN49" i="1"/>
  <c r="AS49" i="1"/>
  <c r="AX49" i="1"/>
  <c r="BC49" i="1"/>
  <c r="BH52" i="1"/>
  <c r="BH53" i="1" s="1"/>
  <c r="BM49" i="1"/>
  <c r="BR49" i="1"/>
  <c r="CV48" i="1"/>
  <c r="CV49" i="1" s="1"/>
  <c r="CZ48" i="1"/>
  <c r="DD48" i="1"/>
  <c r="DD49" i="1" s="1"/>
  <c r="BU52" i="1"/>
  <c r="CK52" i="1"/>
  <c r="CK53" i="1" s="1"/>
  <c r="DE52" i="1"/>
  <c r="DJ53" i="1" s="1"/>
  <c r="K50" i="1"/>
  <c r="T49" i="1"/>
  <c r="AY45" i="1"/>
  <c r="AY46" i="1" s="1"/>
  <c r="BZ177" i="1"/>
  <c r="BZ194" i="1" s="1"/>
  <c r="BZ91" i="1"/>
  <c r="CD177" i="1"/>
  <c r="CD194" i="1" s="1"/>
  <c r="CD91" i="1"/>
  <c r="CI177" i="1"/>
  <c r="CI194" i="1" s="1"/>
  <c r="CI91" i="1"/>
  <c r="CM54" i="1"/>
  <c r="CQ177" i="1"/>
  <c r="CQ194" i="1" s="1"/>
  <c r="CQ91" i="1"/>
  <c r="CU177" i="1"/>
  <c r="CY177" i="1"/>
  <c r="CY91" i="1"/>
  <c r="CY104" i="1"/>
  <c r="DC177" i="1"/>
  <c r="DE177" i="1"/>
  <c r="FN54" i="1"/>
  <c r="J55" i="1"/>
  <c r="Z55" i="1"/>
  <c r="AD55" i="1"/>
  <c r="AT55" i="1"/>
  <c r="BN55" i="1"/>
  <c r="BZ55" i="1"/>
  <c r="CD55" i="1"/>
  <c r="T56" i="1"/>
  <c r="T57" i="1" s="1"/>
  <c r="AJ56" i="1"/>
  <c r="BD56" i="1"/>
  <c r="BD57" i="1" s="1"/>
  <c r="DL56" i="1"/>
  <c r="CW66" i="1"/>
  <c r="DB67" i="1" s="1"/>
  <c r="S71" i="1"/>
  <c r="CS67" i="1"/>
  <c r="DA67" i="1"/>
  <c r="DC67" i="1"/>
  <c r="AT67" i="1"/>
  <c r="AY212" i="1"/>
  <c r="AY181" i="1"/>
  <c r="BN67" i="1"/>
  <c r="BS212" i="1"/>
  <c r="BS181" i="1"/>
  <c r="CH67" i="1"/>
  <c r="CM212" i="1"/>
  <c r="CM181" i="1"/>
  <c r="CU181" i="1"/>
  <c r="CU212" i="1"/>
  <c r="DV67" i="1"/>
  <c r="EQ212" i="1"/>
  <c r="EQ210" i="1"/>
  <c r="EQ181" i="1"/>
  <c r="G74" i="1"/>
  <c r="L74" i="1"/>
  <c r="Q74" i="1"/>
  <c r="V74" i="1"/>
  <c r="AF74" i="1"/>
  <c r="ER74" i="1"/>
  <c r="CT78" i="1"/>
  <c r="CX78" i="1"/>
  <c r="DB78" i="1"/>
  <c r="EQ76" i="1"/>
  <c r="EQ77" i="1" s="1"/>
  <c r="E76" i="1"/>
  <c r="AD78" i="1"/>
  <c r="J76" i="1"/>
  <c r="O76" i="1"/>
  <c r="O77" i="1" s="1"/>
  <c r="T76" i="1"/>
  <c r="T77" i="1" s="1"/>
  <c r="Z76" i="1"/>
  <c r="Z77" i="1" s="1"/>
  <c r="AD84" i="1"/>
  <c r="AD85" i="1" s="1"/>
  <c r="AJ78" i="1"/>
  <c r="AY78" i="1"/>
  <c r="BN179" i="1"/>
  <c r="BN84" i="1"/>
  <c r="BN85" i="1" s="1"/>
  <c r="BS78" i="1"/>
  <c r="CH179" i="1"/>
  <c r="CH82" i="1"/>
  <c r="CH84" i="1"/>
  <c r="CH85" i="1" s="1"/>
  <c r="CM78" i="1"/>
  <c r="CT354" i="1"/>
  <c r="CT356" i="1" s="1"/>
  <c r="CT179" i="1"/>
  <c r="CT84" i="1"/>
  <c r="CT85" i="1" s="1"/>
  <c r="CT82" i="1"/>
  <c r="CT83" i="1" s="1"/>
  <c r="CX354" i="1"/>
  <c r="CX356" i="1" s="1"/>
  <c r="CZ179" i="1"/>
  <c r="CY179" i="1"/>
  <c r="CX179" i="1"/>
  <c r="DA179" i="1"/>
  <c r="CX84" i="1"/>
  <c r="CX85" i="1" s="1"/>
  <c r="CX82" i="1"/>
  <c r="CX83" i="1" s="1"/>
  <c r="DG76" i="1"/>
  <c r="DL354" i="1"/>
  <c r="DL356" i="1" s="1"/>
  <c r="DL179" i="1"/>
  <c r="DL84" i="1"/>
  <c r="DL85" i="1" s="1"/>
  <c r="DQ78" i="1"/>
  <c r="EA76" i="1"/>
  <c r="EA77" i="1" s="1"/>
  <c r="EF354" i="1"/>
  <c r="EF356" i="1" s="1"/>
  <c r="EF179" i="1"/>
  <c r="EF84" i="1"/>
  <c r="EF85" i="1" s="1"/>
  <c r="EK78" i="1"/>
  <c r="O80" i="1"/>
  <c r="AI80" i="1"/>
  <c r="AY80" i="1"/>
  <c r="BS80" i="1"/>
  <c r="CU80" i="1"/>
  <c r="CY80" i="1"/>
  <c r="DC80" i="1"/>
  <c r="EA80" i="1"/>
  <c r="CU81" i="1"/>
  <c r="FJ81" i="1" s="1"/>
  <c r="E82" i="1"/>
  <c r="BI82" i="1"/>
  <c r="BI83" i="1" s="1"/>
  <c r="CC82" i="1"/>
  <c r="CC83" i="1" s="1"/>
  <c r="CZ83" i="1"/>
  <c r="DE83" i="1"/>
  <c r="DI83" i="1"/>
  <c r="DM83" i="1"/>
  <c r="DU83" i="1"/>
  <c r="BY83" i="1"/>
  <c r="DJ83" i="1"/>
  <c r="DZ83" i="1"/>
  <c r="O91" i="1"/>
  <c r="O89" i="1"/>
  <c r="O90" i="1" s="1"/>
  <c r="Q88" i="1"/>
  <c r="O87" i="1"/>
  <c r="AJ91" i="1"/>
  <c r="AJ89" i="1"/>
  <c r="AO87" i="1"/>
  <c r="BD91" i="1"/>
  <c r="BD89" i="1"/>
  <c r="BI87" i="1"/>
  <c r="BX91" i="1"/>
  <c r="CW86" i="1"/>
  <c r="DL89" i="1"/>
  <c r="DL90" i="1" s="1"/>
  <c r="EK89" i="1"/>
  <c r="T87" i="1"/>
  <c r="AN95" i="1"/>
  <c r="DI104" i="1"/>
  <c r="DI100" i="1"/>
  <c r="DI106" i="1"/>
  <c r="DI107" i="1" s="1"/>
  <c r="DI102" i="1"/>
  <c r="DI103" i="1" s="1"/>
  <c r="EC104" i="1"/>
  <c r="EC106" i="1"/>
  <c r="EC102" i="1"/>
  <c r="ER91" i="1"/>
  <c r="EQ97" i="1"/>
  <c r="E104" i="1"/>
  <c r="I105" i="1"/>
  <c r="M105" i="1"/>
  <c r="U105" i="1"/>
  <c r="Y105" i="1"/>
  <c r="AC105" i="1"/>
  <c r="AG105" i="1"/>
  <c r="CX104" i="1"/>
  <c r="BK93" i="1"/>
  <c r="BK94" i="1"/>
  <c r="BK92" i="1"/>
  <c r="BT94" i="1"/>
  <c r="BT95" i="1" s="1"/>
  <c r="BT93" i="1"/>
  <c r="BT92" i="1"/>
  <c r="EM102" i="1"/>
  <c r="EM101" i="1"/>
  <c r="EM104" i="1"/>
  <c r="EM106" i="1"/>
  <c r="O40" i="1"/>
  <c r="AE40" i="1"/>
  <c r="BK40" i="1"/>
  <c r="CA40" i="1"/>
  <c r="CU40" i="1"/>
  <c r="CY40" i="1"/>
  <c r="DC40" i="1"/>
  <c r="DH40" i="1"/>
  <c r="DG39" i="1"/>
  <c r="DT44" i="1"/>
  <c r="DT45" i="1"/>
  <c r="DY44" i="1"/>
  <c r="DY45" i="1"/>
  <c r="DY46" i="1" s="1"/>
  <c r="ED44" i="1"/>
  <c r="ED45" i="1"/>
  <c r="EI44" i="1"/>
  <c r="EI45" i="1"/>
  <c r="EI46" i="1" s="1"/>
  <c r="EM43" i="1"/>
  <c r="DO44" i="1"/>
  <c r="DO45" i="1"/>
  <c r="DO46" i="1" s="1"/>
  <c r="DJ44" i="1"/>
  <c r="DJ45" i="1"/>
  <c r="DJ46" i="1" s="1"/>
  <c r="BK45" i="1"/>
  <c r="BK46" i="1" s="1"/>
  <c r="BP45" i="1"/>
  <c r="BP46" i="1" s="1"/>
  <c r="BU45" i="1"/>
  <c r="BU46" i="1" s="1"/>
  <c r="CW47" i="1"/>
  <c r="DB48" i="1" s="1"/>
  <c r="DB49" i="1" s="1"/>
  <c r="EK40" i="1"/>
  <c r="P50" i="1"/>
  <c r="P51" i="1" s="1"/>
  <c r="Y52" i="1"/>
  <c r="Y53" i="1" s="1"/>
  <c r="AE50" i="1"/>
  <c r="AE51" i="1" s="1"/>
  <c r="AC52" i="1"/>
  <c r="AC53" i="1" s="1"/>
  <c r="AG52" i="1"/>
  <c r="AG53" i="1" s="1"/>
  <c r="AK49" i="1"/>
  <c r="AP49" i="1"/>
  <c r="AU49" i="1"/>
  <c r="AZ49" i="1"/>
  <c r="BE49" i="1"/>
  <c r="BJ49" i="1"/>
  <c r="BO49" i="1"/>
  <c r="CS48" i="1"/>
  <c r="CS49" i="1" s="1"/>
  <c r="DA48" i="1"/>
  <c r="BW49" i="1"/>
  <c r="CE49" i="1"/>
  <c r="CI49" i="1"/>
  <c r="CQ49" i="1"/>
  <c r="CV50" i="1"/>
  <c r="CV51" i="1" s="1"/>
  <c r="CX52" i="1"/>
  <c r="DF52" i="1"/>
  <c r="AE54" i="1"/>
  <c r="AJ52" i="1"/>
  <c r="AJ53" i="1" s="1"/>
  <c r="BD52" i="1"/>
  <c r="BD53" i="1" s="1"/>
  <c r="CA177" i="1"/>
  <c r="CA194" i="1" s="1"/>
  <c r="CE177" i="1"/>
  <c r="CE194" i="1" s="1"/>
  <c r="CG177" i="1"/>
  <c r="CG194" i="1" s="1"/>
  <c r="CE91" i="1"/>
  <c r="CJ177" i="1"/>
  <c r="CJ194" i="1" s="1"/>
  <c r="CJ91" i="1"/>
  <c r="CN177" i="1"/>
  <c r="CN194" i="1" s="1"/>
  <c r="CN91" i="1"/>
  <c r="CR54" i="1"/>
  <c r="CV177" i="1"/>
  <c r="CZ177" i="1"/>
  <c r="CZ91" i="1"/>
  <c r="CZ104" i="1"/>
  <c r="DH177" i="1"/>
  <c r="DD177" i="1"/>
  <c r="DF177" i="1"/>
  <c r="DD91" i="1"/>
  <c r="DD104" i="1"/>
  <c r="DD105" i="1" s="1"/>
  <c r="DD106" i="1"/>
  <c r="EN177" i="1"/>
  <c r="AI55" i="1"/>
  <c r="AY55" i="1"/>
  <c r="BS55" i="1"/>
  <c r="CA55" i="1"/>
  <c r="CE55" i="1"/>
  <c r="CI55" i="1"/>
  <c r="CQ55" i="1"/>
  <c r="CU55" i="1"/>
  <c r="CY55" i="1"/>
  <c r="DC55" i="1"/>
  <c r="EA55" i="1"/>
  <c r="AO56" i="1"/>
  <c r="AO57" i="1" s="1"/>
  <c r="BI56" i="1"/>
  <c r="BI57" i="1" s="1"/>
  <c r="BY56" i="1"/>
  <c r="BY57" i="1" s="1"/>
  <c r="DQ56" i="1"/>
  <c r="DQ57" i="1" s="1"/>
  <c r="EK56" i="1"/>
  <c r="K67" i="1"/>
  <c r="K68" i="1"/>
  <c r="K69" i="1" s="1"/>
  <c r="P67" i="1"/>
  <c r="P68" i="1"/>
  <c r="P69" i="1" s="1"/>
  <c r="U67" i="1"/>
  <c r="DD67" i="1"/>
  <c r="DC68" i="1"/>
  <c r="DC69" i="1" s="1"/>
  <c r="F70" i="1"/>
  <c r="K71" i="1" s="1"/>
  <c r="CY70" i="1"/>
  <c r="CY71" i="1" s="1"/>
  <c r="Z67" i="1"/>
  <c r="AO67" i="1"/>
  <c r="AT212" i="1"/>
  <c r="AT181" i="1"/>
  <c r="BI67" i="1"/>
  <c r="BN212" i="1"/>
  <c r="BN181" i="1"/>
  <c r="CC67" i="1"/>
  <c r="CH212" i="1"/>
  <c r="CH181" i="1"/>
  <c r="CR212" i="1"/>
  <c r="CR181" i="1"/>
  <c r="CV212" i="1"/>
  <c r="CV181" i="1"/>
  <c r="DC212" i="1"/>
  <c r="DD181" i="1"/>
  <c r="DC181" i="1"/>
  <c r="DF181" i="1"/>
  <c r="DE181" i="1"/>
  <c r="DQ67" i="1"/>
  <c r="EK67" i="1"/>
  <c r="ER212" i="1"/>
  <c r="ER211" i="1" s="1"/>
  <c r="ER210" i="1"/>
  <c r="ER181" i="1"/>
  <c r="J73" i="1"/>
  <c r="Z73" i="1"/>
  <c r="AD73" i="1"/>
  <c r="AT73" i="1"/>
  <c r="BN73" i="1"/>
  <c r="CH73" i="1"/>
  <c r="CT73" i="1"/>
  <c r="CX73" i="1"/>
  <c r="DV73" i="1"/>
  <c r="CT74" i="1"/>
  <c r="CY74" i="1"/>
  <c r="DD74" i="1"/>
  <c r="CU78" i="1"/>
  <c r="DC78" i="1"/>
  <c r="ER76" i="1"/>
  <c r="ER77" i="1" s="1"/>
  <c r="AB77" i="1"/>
  <c r="AE78" i="1"/>
  <c r="AE79" i="1"/>
  <c r="AJ179" i="1"/>
  <c r="AJ84" i="1"/>
  <c r="AO179" i="1"/>
  <c r="AO84" i="1"/>
  <c r="AT179" i="1"/>
  <c r="AT84" i="1"/>
  <c r="AT85" i="1" s="1"/>
  <c r="AY324" i="1"/>
  <c r="BD78" i="1"/>
  <c r="BN76" i="1"/>
  <c r="BN77" i="1" s="1"/>
  <c r="BS324" i="1"/>
  <c r="BX78" i="1"/>
  <c r="CH76" i="1"/>
  <c r="CH77" i="1" s="1"/>
  <c r="CM179" i="1"/>
  <c r="CM84" i="1"/>
  <c r="CM85" i="1" s="1"/>
  <c r="CU354" i="1"/>
  <c r="CU356" i="1" s="1"/>
  <c r="CU179" i="1"/>
  <c r="CU84" i="1"/>
  <c r="CU85" i="1" s="1"/>
  <c r="DB79" i="1"/>
  <c r="DG80" i="1" s="1"/>
  <c r="DL76" i="1"/>
  <c r="DL77" i="1" s="1"/>
  <c r="DQ354" i="1"/>
  <c r="DQ356" i="1" s="1"/>
  <c r="DQ179" i="1"/>
  <c r="DV78" i="1"/>
  <c r="EF76" i="1"/>
  <c r="EF77" i="1" s="1"/>
  <c r="EK354" i="1"/>
  <c r="EK356" i="1" s="1"/>
  <c r="EK179" i="1"/>
  <c r="T80" i="1"/>
  <c r="AJ80" i="1"/>
  <c r="CR80" i="1"/>
  <c r="CV80" i="1"/>
  <c r="CZ80" i="1"/>
  <c r="DL80" i="1"/>
  <c r="EF80" i="1"/>
  <c r="E81" i="1"/>
  <c r="J81" i="1"/>
  <c r="O81" i="1"/>
  <c r="T81" i="1"/>
  <c r="AD81" i="1"/>
  <c r="CV81" i="1"/>
  <c r="FK81" i="1" s="1"/>
  <c r="J82" i="1"/>
  <c r="J83" i="1" s="1"/>
  <c r="Z82" i="1"/>
  <c r="Z83" i="1" s="1"/>
  <c r="AD82" i="1"/>
  <c r="AD83" i="1" s="1"/>
  <c r="AT82" i="1"/>
  <c r="AT83" i="1" s="1"/>
  <c r="BN82" i="1"/>
  <c r="BN83" i="1" s="1"/>
  <c r="CM82" i="1"/>
  <c r="CM83" i="1" s="1"/>
  <c r="DA83" i="1"/>
  <c r="EA82" i="1"/>
  <c r="DN83" i="1"/>
  <c r="ED83" i="1"/>
  <c r="O84" i="1"/>
  <c r="O85" i="1" s="1"/>
  <c r="T91" i="1"/>
  <c r="AO91" i="1"/>
  <c r="BI91" i="1"/>
  <c r="BZ88" i="1"/>
  <c r="CD87" i="1"/>
  <c r="CC86" i="1"/>
  <c r="BY88" i="1"/>
  <c r="BY87" i="1"/>
  <c r="BY91" i="1"/>
  <c r="BY89" i="1"/>
  <c r="BY90" i="1" s="1"/>
  <c r="CH87" i="1"/>
  <c r="FI88" i="1"/>
  <c r="DB87" i="1"/>
  <c r="DB89" i="1"/>
  <c r="DQ84" i="1"/>
  <c r="DQ85" i="1" s="1"/>
  <c r="EA89" i="1"/>
  <c r="EA90" i="1" s="1"/>
  <c r="EA87" i="1"/>
  <c r="BD87" i="1"/>
  <c r="O88" i="1"/>
  <c r="K95" i="1"/>
  <c r="P95" i="1"/>
  <c r="Y92" i="1"/>
  <c r="AF95" i="1"/>
  <c r="AZ95" i="1"/>
  <c r="BL95" i="1"/>
  <c r="DT95" i="1"/>
  <c r="DY104" i="1"/>
  <c r="DY106" i="1"/>
  <c r="DY102" i="1"/>
  <c r="ES91" i="1"/>
  <c r="J102" i="1"/>
  <c r="Z102" i="1"/>
  <c r="BZ104" i="1"/>
  <c r="CD104" i="1"/>
  <c r="CP104" i="1"/>
  <c r="CT104" i="1"/>
  <c r="DC104" i="1"/>
  <c r="BN39" i="1"/>
  <c r="BS40" i="1" s="1"/>
  <c r="BU93" i="1"/>
  <c r="BU92" i="1"/>
  <c r="BU94" i="1"/>
  <c r="BU95" i="1" s="1"/>
  <c r="CM39" i="1"/>
  <c r="DB39" i="1"/>
  <c r="EN104" i="1"/>
  <c r="EN106" i="1"/>
  <c r="EN102" i="1"/>
  <c r="EN101" i="1"/>
  <c r="AJ40" i="1"/>
  <c r="BD40" i="1"/>
  <c r="BH40" i="1"/>
  <c r="BP40" i="1"/>
  <c r="BT40" i="1"/>
  <c r="CF40" i="1"/>
  <c r="CZ40" i="1"/>
  <c r="DU44" i="1"/>
  <c r="DU45" i="1"/>
  <c r="DZ44" i="1"/>
  <c r="DZ45" i="1"/>
  <c r="DZ46" i="1" s="1"/>
  <c r="EE44" i="1"/>
  <c r="EE45" i="1"/>
  <c r="EJ44" i="1"/>
  <c r="EJ45" i="1"/>
  <c r="EJ46" i="1" s="1"/>
  <c r="EN43" i="1"/>
  <c r="DP44" i="1"/>
  <c r="DP45" i="1"/>
  <c r="DP46" i="1" s="1"/>
  <c r="DK44" i="1"/>
  <c r="DK45" i="1"/>
  <c r="DK46" i="1" s="1"/>
  <c r="CA45" i="1"/>
  <c r="CA46" i="1" s="1"/>
  <c r="DB47" i="1"/>
  <c r="Q49" i="1"/>
  <c r="AL49" i="1"/>
  <c r="AQ49" i="1"/>
  <c r="AV49" i="1"/>
  <c r="BA49" i="1"/>
  <c r="BF49" i="1"/>
  <c r="BK52" i="1"/>
  <c r="BK53" i="1" s="1"/>
  <c r="BP52" i="1"/>
  <c r="BP53" i="1" s="1"/>
  <c r="CT48" i="1"/>
  <c r="CT49" i="1" s="1"/>
  <c r="CB177" i="1"/>
  <c r="CB194" i="1" s="1"/>
  <c r="CB91" i="1"/>
  <c r="CF177" i="1"/>
  <c r="CF194" i="1" s="1"/>
  <c r="CF91" i="1"/>
  <c r="CK177" i="1"/>
  <c r="CK194" i="1" s="1"/>
  <c r="CK91" i="1"/>
  <c r="CO177" i="1"/>
  <c r="CO194" i="1" s="1"/>
  <c r="CO91" i="1"/>
  <c r="CS177" i="1"/>
  <c r="CW54" i="1"/>
  <c r="DA177" i="1"/>
  <c r="DA104" i="1"/>
  <c r="DA105" i="1" s="1"/>
  <c r="DA91" i="1"/>
  <c r="EO177" i="1"/>
  <c r="AJ55" i="1"/>
  <c r="BD55" i="1"/>
  <c r="BX55" i="1"/>
  <c r="CB55" i="1"/>
  <c r="CF55" i="1"/>
  <c r="CJ55" i="1"/>
  <c r="CN55" i="1"/>
  <c r="CV55" i="1"/>
  <c r="CZ55" i="1"/>
  <c r="DD55" i="1"/>
  <c r="DH55" i="1"/>
  <c r="EF55" i="1"/>
  <c r="AT56" i="1"/>
  <c r="AT57" i="1" s="1"/>
  <c r="BN56" i="1"/>
  <c r="BN57" i="1" s="1"/>
  <c r="BZ56" i="1"/>
  <c r="BZ57" i="1" s="1"/>
  <c r="CD56" i="1"/>
  <c r="CD57" i="1" s="1"/>
  <c r="CL56" i="1"/>
  <c r="CL57" i="1" s="1"/>
  <c r="CP56" i="1"/>
  <c r="CP57" i="1" s="1"/>
  <c r="CT56" i="1"/>
  <c r="CT57" i="1" s="1"/>
  <c r="CX56" i="1"/>
  <c r="CX57" i="1" s="1"/>
  <c r="DV56" i="1"/>
  <c r="DV57" i="1" s="1"/>
  <c r="EL56" i="1"/>
  <c r="EQ57" i="1" s="1"/>
  <c r="DH67" i="1"/>
  <c r="AO212" i="1"/>
  <c r="AO181" i="1"/>
  <c r="BI212" i="1"/>
  <c r="BI181" i="1"/>
  <c r="CC212" i="1"/>
  <c r="CC181" i="1"/>
  <c r="CS212" i="1"/>
  <c r="CS181" i="1"/>
  <c r="CW72" i="1"/>
  <c r="ES212" i="1"/>
  <c r="ES211" i="1" s="1"/>
  <c r="ES210" i="1"/>
  <c r="ES223" i="1" s="1"/>
  <c r="ES181" i="1"/>
  <c r="O73" i="1"/>
  <c r="AI73" i="1"/>
  <c r="AY73" i="1"/>
  <c r="BS73" i="1"/>
  <c r="CM73" i="1"/>
  <c r="CU73" i="1"/>
  <c r="CY73" i="1"/>
  <c r="DC73" i="1"/>
  <c r="DG73" i="1"/>
  <c r="EA73" i="1"/>
  <c r="CU74" i="1"/>
  <c r="FJ74" i="1" s="1"/>
  <c r="ET74" i="1"/>
  <c r="CT76" i="1"/>
  <c r="CX76" i="1"/>
  <c r="CX77" i="1" s="1"/>
  <c r="DB76" i="1"/>
  <c r="CR78" i="1"/>
  <c r="CV78" i="1"/>
  <c r="EP76" i="1"/>
  <c r="ES76" i="1"/>
  <c r="ES77" i="1" s="1"/>
  <c r="EQ78" i="1"/>
  <c r="FP78" i="1"/>
  <c r="AJ76" i="1"/>
  <c r="AJ77" i="1" s="1"/>
  <c r="AO76" i="1"/>
  <c r="AT76" i="1"/>
  <c r="AY76" i="1"/>
  <c r="AY77" i="1" s="1"/>
  <c r="BD179" i="1"/>
  <c r="BD84" i="1"/>
  <c r="BD85" i="1" s="1"/>
  <c r="BI78" i="1"/>
  <c r="BS76" i="1"/>
  <c r="BS77" i="1" s="1"/>
  <c r="BX179" i="1"/>
  <c r="BX84" i="1"/>
  <c r="BX85" i="1" s="1"/>
  <c r="CC78" i="1"/>
  <c r="CM76" i="1"/>
  <c r="CM77" i="1" s="1"/>
  <c r="CR324" i="1"/>
  <c r="CV354" i="1"/>
  <c r="CV356" i="1" s="1"/>
  <c r="CV179" i="1"/>
  <c r="DC354" i="1"/>
  <c r="DC356" i="1" s="1"/>
  <c r="DD179" i="1"/>
  <c r="DC179" i="1"/>
  <c r="DF179" i="1"/>
  <c r="DE179" i="1"/>
  <c r="DC84" i="1"/>
  <c r="DC85" i="1" s="1"/>
  <c r="DG78" i="1"/>
  <c r="DQ76" i="1"/>
  <c r="DQ77" i="1" s="1"/>
  <c r="DV354" i="1"/>
  <c r="DV356" i="1" s="1"/>
  <c r="DV179" i="1"/>
  <c r="DV82" i="1"/>
  <c r="DV83" i="1" s="1"/>
  <c r="DV84" i="1"/>
  <c r="DV85" i="1" s="1"/>
  <c r="EA78" i="1"/>
  <c r="EK76" i="1"/>
  <c r="EK77" i="1" s="1"/>
  <c r="EP78" i="1"/>
  <c r="Y80" i="1"/>
  <c r="AO80" i="1"/>
  <c r="BI80" i="1"/>
  <c r="CC80" i="1"/>
  <c r="CS80" i="1"/>
  <c r="DA80" i="1"/>
  <c r="DQ80" i="1"/>
  <c r="EK80" i="1"/>
  <c r="L81" i="1"/>
  <c r="Q81" i="1"/>
  <c r="V81" i="1"/>
  <c r="AF81" i="1"/>
  <c r="CS81" i="1"/>
  <c r="FH81" i="1" s="1"/>
  <c r="CX81" i="1"/>
  <c r="DC81" i="1"/>
  <c r="AY82" i="1"/>
  <c r="AY83" i="1" s="1"/>
  <c r="BS82" i="1"/>
  <c r="BS83" i="1" s="1"/>
  <c r="CJ83" i="1"/>
  <c r="CR82" i="1"/>
  <c r="CR83" i="1" s="1"/>
  <c r="DC82" i="1"/>
  <c r="DC83" i="1" s="1"/>
  <c r="DG82" i="1"/>
  <c r="DX83" i="1"/>
  <c r="EF82" i="1"/>
  <c r="EF83" i="1" s="1"/>
  <c r="AK83" i="1"/>
  <c r="BA83" i="1"/>
  <c r="BQ83" i="1"/>
  <c r="CG83" i="1"/>
  <c r="AY84" i="1"/>
  <c r="AY85" i="1" s="1"/>
  <c r="CR84" i="1"/>
  <c r="CR85" i="1" s="1"/>
  <c r="Z87" i="1"/>
  <c r="Z91" i="1"/>
  <c r="Z89" i="1"/>
  <c r="Z90" i="1" s="1"/>
  <c r="AT87" i="1"/>
  <c r="AT91" i="1"/>
  <c r="AT89" i="1"/>
  <c r="AY87" i="1"/>
  <c r="BN87" i="1"/>
  <c r="BN91" i="1"/>
  <c r="BN89" i="1"/>
  <c r="BS87" i="1"/>
  <c r="CA91" i="1"/>
  <c r="CM91" i="1"/>
  <c r="CM89" i="1"/>
  <c r="CM90" i="1" s="1"/>
  <c r="CM87" i="1"/>
  <c r="CU91" i="1"/>
  <c r="CU89" i="1"/>
  <c r="CV88" i="1"/>
  <c r="FK88" i="1" s="1"/>
  <c r="CU88" i="1"/>
  <c r="CU87" i="1"/>
  <c r="DQ89" i="1"/>
  <c r="DQ90" i="1" s="1"/>
  <c r="EF89" i="1"/>
  <c r="EF90" i="1" s="1"/>
  <c r="EP89" i="1"/>
  <c r="CZ87" i="1"/>
  <c r="FJ88" i="1"/>
  <c r="G95" i="1"/>
  <c r="L95" i="1"/>
  <c r="Q93" i="1"/>
  <c r="BM92" i="1"/>
  <c r="DF92" i="1"/>
  <c r="DP95" i="1"/>
  <c r="DU104" i="1"/>
  <c r="DU106" i="1"/>
  <c r="DU102" i="1"/>
  <c r="EJ95" i="1"/>
  <c r="EQ98" i="1"/>
  <c r="O102" i="1"/>
  <c r="O103" i="1" s="1"/>
  <c r="AE102" i="1"/>
  <c r="CA104" i="1"/>
  <c r="CA105" i="1" s="1"/>
  <c r="CE104" i="1"/>
  <c r="CE105" i="1" s="1"/>
  <c r="CI104" i="1"/>
  <c r="CI105" i="1" s="1"/>
  <c r="CQ104" i="1"/>
  <c r="CU104" i="1"/>
  <c r="CU105" i="1" s="1"/>
  <c r="AI87" i="1"/>
  <c r="CA87" i="1"/>
  <c r="CY87" i="1"/>
  <c r="DC87" i="1"/>
  <c r="CA88" i="1"/>
  <c r="EO88" i="1"/>
  <c r="FK89" i="1"/>
  <c r="E89" i="1"/>
  <c r="AO89" i="1"/>
  <c r="AO90" i="1" s="1"/>
  <c r="BI89" i="1"/>
  <c r="BI90" i="1" s="1"/>
  <c r="CS89" i="1"/>
  <c r="CS90" i="1" s="1"/>
  <c r="E91" i="1"/>
  <c r="CS91" i="1"/>
  <c r="DQ91" i="1"/>
  <c r="EK91" i="1"/>
  <c r="EK99" i="1" s="1"/>
  <c r="G92" i="1"/>
  <c r="K92" i="1"/>
  <c r="S92" i="1"/>
  <c r="W92" i="1"/>
  <c r="AA92" i="1"/>
  <c r="AM92" i="1"/>
  <c r="AQ92" i="1"/>
  <c r="AU92" i="1"/>
  <c r="BC92" i="1"/>
  <c r="BG92" i="1"/>
  <c r="BO92" i="1"/>
  <c r="BW92" i="1"/>
  <c r="DK92" i="1"/>
  <c r="DO92" i="1"/>
  <c r="DS92" i="1"/>
  <c r="DW92" i="1"/>
  <c r="EE92" i="1"/>
  <c r="EI92" i="1"/>
  <c r="D93" i="1"/>
  <c r="I93" i="1"/>
  <c r="N93" i="1"/>
  <c r="S93" i="1"/>
  <c r="X93" i="1"/>
  <c r="AC93" i="1"/>
  <c r="AH93" i="1"/>
  <c r="AM93" i="1"/>
  <c r="AR93" i="1"/>
  <c r="AW93" i="1"/>
  <c r="BB93" i="1"/>
  <c r="BG93" i="1"/>
  <c r="BL93" i="1"/>
  <c r="BQ93" i="1"/>
  <c r="BV93" i="1"/>
  <c r="DE93" i="1"/>
  <c r="DJ93" i="1"/>
  <c r="DO93" i="1"/>
  <c r="DT93" i="1"/>
  <c r="DY93" i="1"/>
  <c r="ED93" i="1"/>
  <c r="EI93" i="1"/>
  <c r="EO93" i="1"/>
  <c r="I94" i="1"/>
  <c r="I95" i="1" s="1"/>
  <c r="M94" i="1"/>
  <c r="M95" i="1" s="1"/>
  <c r="Q94" i="1"/>
  <c r="Q95" i="1" s="1"/>
  <c r="U94" i="1"/>
  <c r="U95" i="1" s="1"/>
  <c r="Y94" i="1"/>
  <c r="AC94" i="1"/>
  <c r="AC95" i="1" s="1"/>
  <c r="AG94" i="1"/>
  <c r="AG95" i="1" s="1"/>
  <c r="AK94" i="1"/>
  <c r="AK95" i="1" s="1"/>
  <c r="AS94" i="1"/>
  <c r="AS95" i="1" s="1"/>
  <c r="AW94" i="1"/>
  <c r="AW95" i="1" s="1"/>
  <c r="BA94" i="1"/>
  <c r="BA95" i="1" s="1"/>
  <c r="BE94" i="1"/>
  <c r="BE95" i="1" s="1"/>
  <c r="BM94" i="1"/>
  <c r="BM95" i="1" s="1"/>
  <c r="BQ94" i="1"/>
  <c r="BQ95" i="1" s="1"/>
  <c r="CG94" i="1"/>
  <c r="DE94" i="1"/>
  <c r="DI94" i="1"/>
  <c r="DM94" i="1"/>
  <c r="DM95" i="1" s="1"/>
  <c r="DU94" i="1"/>
  <c r="DU95" i="1" s="1"/>
  <c r="DY94" i="1"/>
  <c r="DY95" i="1" s="1"/>
  <c r="EC94" i="1"/>
  <c r="EC95" i="1" s="1"/>
  <c r="EG94" i="1"/>
  <c r="EG95" i="1" s="1"/>
  <c r="EO94" i="1"/>
  <c r="ET94" i="1" s="1"/>
  <c r="ET91" i="1" s="1"/>
  <c r="AK176" i="1"/>
  <c r="AO178" i="1"/>
  <c r="AS176" i="1"/>
  <c r="AW176" i="1"/>
  <c r="BA176" i="1"/>
  <c r="BE176" i="1"/>
  <c r="BI178" i="1"/>
  <c r="BM176" i="1"/>
  <c r="BQ176" i="1"/>
  <c r="BU176" i="1"/>
  <c r="BY176" i="1"/>
  <c r="CG176" i="1"/>
  <c r="CK176" i="1"/>
  <c r="CO176" i="1"/>
  <c r="CS176" i="1"/>
  <c r="CW99" i="1"/>
  <c r="DF99" i="1"/>
  <c r="DJ99" i="1"/>
  <c r="DN99" i="1"/>
  <c r="DN111" i="1" s="1"/>
  <c r="DR99" i="1"/>
  <c r="DR111" i="1" s="1"/>
  <c r="DZ99" i="1"/>
  <c r="ED99" i="1"/>
  <c r="EH99" i="1"/>
  <c r="EH111" i="1" s="1"/>
  <c r="J100" i="1"/>
  <c r="N100" i="1"/>
  <c r="R100" i="1"/>
  <c r="V100" i="1"/>
  <c r="Z100" i="1"/>
  <c r="AD100" i="1"/>
  <c r="AH100" i="1"/>
  <c r="AL100" i="1"/>
  <c r="AP100" i="1"/>
  <c r="AT100" i="1"/>
  <c r="AX100" i="1"/>
  <c r="BB100" i="1"/>
  <c r="BF100" i="1"/>
  <c r="BJ100" i="1"/>
  <c r="BN100" i="1"/>
  <c r="BR100" i="1"/>
  <c r="BV100" i="1"/>
  <c r="BZ100" i="1"/>
  <c r="CD100" i="1"/>
  <c r="CH100" i="1"/>
  <c r="CL100" i="1"/>
  <c r="CP100" i="1"/>
  <c r="CT100" i="1"/>
  <c r="CX100" i="1"/>
  <c r="C101" i="1"/>
  <c r="H101" i="1"/>
  <c r="M101" i="1"/>
  <c r="R101" i="1"/>
  <c r="W101" i="1"/>
  <c r="AB101" i="1"/>
  <c r="AG101" i="1"/>
  <c r="AL101" i="1"/>
  <c r="AQ101" i="1"/>
  <c r="AV101" i="1"/>
  <c r="BA101" i="1"/>
  <c r="BF101" i="1"/>
  <c r="BK101" i="1"/>
  <c r="BP101" i="1"/>
  <c r="BU101" i="1"/>
  <c r="BZ101" i="1"/>
  <c r="CE101" i="1"/>
  <c r="CJ101" i="1"/>
  <c r="CO101" i="1"/>
  <c r="CT101" i="1"/>
  <c r="CY101" i="1"/>
  <c r="DD101" i="1"/>
  <c r="D102" i="1"/>
  <c r="H102" i="1"/>
  <c r="H103" i="1" s="1"/>
  <c r="L102" i="1"/>
  <c r="L103" i="1" s="1"/>
  <c r="P102" i="1"/>
  <c r="P103" i="1" s="1"/>
  <c r="T102" i="1"/>
  <c r="T103" i="1" s="1"/>
  <c r="X102" i="1"/>
  <c r="X103" i="1" s="1"/>
  <c r="AB102" i="1"/>
  <c r="AB103" i="1" s="1"/>
  <c r="AF102" i="1"/>
  <c r="AF103" i="1" s="1"/>
  <c r="AJ102" i="1"/>
  <c r="AJ103" i="1" s="1"/>
  <c r="AN102" i="1"/>
  <c r="AN103" i="1" s="1"/>
  <c r="AR102" i="1"/>
  <c r="AV102" i="1"/>
  <c r="AZ102" i="1"/>
  <c r="BD102" i="1"/>
  <c r="BH102" i="1"/>
  <c r="BL102" i="1"/>
  <c r="BP102" i="1"/>
  <c r="BT102" i="1"/>
  <c r="BX102" i="1"/>
  <c r="CB102" i="1"/>
  <c r="CF102" i="1"/>
  <c r="CJ102" i="1"/>
  <c r="CN102" i="1"/>
  <c r="CR102" i="1"/>
  <c r="CV102" i="1"/>
  <c r="B104" i="1"/>
  <c r="F104" i="1"/>
  <c r="J104" i="1"/>
  <c r="J105" i="1" s="1"/>
  <c r="N104" i="1"/>
  <c r="N105" i="1" s="1"/>
  <c r="R104" i="1"/>
  <c r="R105" i="1" s="1"/>
  <c r="V104" i="1"/>
  <c r="V105" i="1" s="1"/>
  <c r="Z104" i="1"/>
  <c r="Z105" i="1" s="1"/>
  <c r="AD104" i="1"/>
  <c r="AD105" i="1" s="1"/>
  <c r="AH104" i="1"/>
  <c r="AH105" i="1" s="1"/>
  <c r="AT104" i="1"/>
  <c r="AX104" i="1"/>
  <c r="BN104" i="1"/>
  <c r="BR104" i="1"/>
  <c r="BW105" i="1" s="1"/>
  <c r="CH104" i="1"/>
  <c r="CL104" i="1"/>
  <c r="DC106" i="1"/>
  <c r="EH187" i="1"/>
  <c r="EH137" i="1"/>
  <c r="CZ137" i="1"/>
  <c r="G138" i="1"/>
  <c r="L138" i="1"/>
  <c r="Q138" i="1"/>
  <c r="V138" i="1"/>
  <c r="AA138" i="1"/>
  <c r="AG138" i="1"/>
  <c r="AL138" i="1"/>
  <c r="AQ138" i="1"/>
  <c r="BK138" i="1"/>
  <c r="CE138" i="1"/>
  <c r="DO138" i="1"/>
  <c r="EJ138" i="1"/>
  <c r="J138" i="1"/>
  <c r="CT89" i="1"/>
  <c r="CT90" i="1" s="1"/>
  <c r="CX89" i="1"/>
  <c r="CX90" i="1" s="1"/>
  <c r="J91" i="1"/>
  <c r="AD91" i="1"/>
  <c r="AI92" i="1" s="1"/>
  <c r="CH91" i="1"/>
  <c r="CT91" i="1"/>
  <c r="CX91" i="1"/>
  <c r="DV91" i="1"/>
  <c r="EP91" i="1"/>
  <c r="EP94" i="1" s="1"/>
  <c r="Y93" i="1"/>
  <c r="AI93" i="1"/>
  <c r="AS93" i="1"/>
  <c r="AX93" i="1"/>
  <c r="BC93" i="1"/>
  <c r="BR93" i="1"/>
  <c r="BW93" i="1"/>
  <c r="DF93" i="1"/>
  <c r="DK93" i="1"/>
  <c r="DZ93" i="1"/>
  <c r="EE93" i="1"/>
  <c r="N94" i="1"/>
  <c r="N95" i="1" s="1"/>
  <c r="R94" i="1"/>
  <c r="R95" i="1" s="1"/>
  <c r="V94" i="1"/>
  <c r="V95" i="1" s="1"/>
  <c r="AH94" i="1"/>
  <c r="AH95" i="1" s="1"/>
  <c r="AL94" i="1"/>
  <c r="AL95" i="1" s="1"/>
  <c r="AP94" i="1"/>
  <c r="AP95" i="1" s="1"/>
  <c r="AX94" i="1"/>
  <c r="AX95" i="1" s="1"/>
  <c r="BB94" i="1"/>
  <c r="BB95" i="1" s="1"/>
  <c r="BF94" i="1"/>
  <c r="BF95" i="1" s="1"/>
  <c r="BJ94" i="1"/>
  <c r="BJ95" i="1" s="1"/>
  <c r="BR94" i="1"/>
  <c r="BR95" i="1" s="1"/>
  <c r="BV94" i="1"/>
  <c r="BV95" i="1" s="1"/>
  <c r="DF94" i="1"/>
  <c r="DK95" i="1" s="1"/>
  <c r="DJ94" i="1"/>
  <c r="DJ95" i="1" s="1"/>
  <c r="DN94" i="1"/>
  <c r="DN95" i="1" s="1"/>
  <c r="DR94" i="1"/>
  <c r="DR95" i="1" s="1"/>
  <c r="DZ94" i="1"/>
  <c r="DZ95" i="1" s="1"/>
  <c r="ED94" i="1"/>
  <c r="ED95" i="1" s="1"/>
  <c r="EH94" i="1"/>
  <c r="EH95" i="1" s="1"/>
  <c r="AL176" i="1"/>
  <c r="AP176" i="1"/>
  <c r="AT178" i="1"/>
  <c r="AX193" i="1"/>
  <c r="AX178" i="1"/>
  <c r="AX195" i="1" s="1"/>
  <c r="BB176" i="1"/>
  <c r="BF176" i="1"/>
  <c r="BJ176" i="1"/>
  <c r="BN178" i="1"/>
  <c r="BR193" i="1"/>
  <c r="BR178" i="1"/>
  <c r="BR195" i="1" s="1"/>
  <c r="BV176" i="1"/>
  <c r="BZ176" i="1"/>
  <c r="CD176" i="1"/>
  <c r="CH178" i="1"/>
  <c r="CL193" i="1"/>
  <c r="CL178" i="1"/>
  <c r="CL195" i="1" s="1"/>
  <c r="CP176" i="1"/>
  <c r="CT176" i="1"/>
  <c r="CX176" i="1"/>
  <c r="DA176" i="1"/>
  <c r="CZ176" i="1"/>
  <c r="CY176" i="1"/>
  <c r="DK99" i="1"/>
  <c r="DM176" i="1" s="1"/>
  <c r="DO99" i="1"/>
  <c r="DS99" i="1"/>
  <c r="DU176" i="1" s="1"/>
  <c r="DW99" i="1"/>
  <c r="DY176" i="1" s="1"/>
  <c r="EE99" i="1"/>
  <c r="EI99" i="1"/>
  <c r="G100" i="1"/>
  <c r="K100" i="1"/>
  <c r="O100" i="1"/>
  <c r="S100" i="1"/>
  <c r="W100" i="1"/>
  <c r="AA100" i="1"/>
  <c r="AE100" i="1"/>
  <c r="AI100" i="1"/>
  <c r="AM100" i="1"/>
  <c r="AQ100" i="1"/>
  <c r="AU100" i="1"/>
  <c r="AY100" i="1"/>
  <c r="BC100" i="1"/>
  <c r="BG100" i="1"/>
  <c r="BK100" i="1"/>
  <c r="BO100" i="1"/>
  <c r="BS100" i="1"/>
  <c r="BW100" i="1"/>
  <c r="CA100" i="1"/>
  <c r="CE100" i="1"/>
  <c r="CI100" i="1"/>
  <c r="CM100" i="1"/>
  <c r="CQ100" i="1"/>
  <c r="CU100" i="1"/>
  <c r="CY100" i="1"/>
  <c r="DC100" i="1"/>
  <c r="D101" i="1"/>
  <c r="I101" i="1"/>
  <c r="N101" i="1"/>
  <c r="S101" i="1"/>
  <c r="X101" i="1"/>
  <c r="AC101" i="1"/>
  <c r="AH101" i="1"/>
  <c r="AM101" i="1"/>
  <c r="AR101" i="1"/>
  <c r="AW101" i="1"/>
  <c r="BB101" i="1"/>
  <c r="BG101" i="1"/>
  <c r="BL101" i="1"/>
  <c r="BQ101" i="1"/>
  <c r="BV101" i="1"/>
  <c r="CA101" i="1"/>
  <c r="CK101" i="1"/>
  <c r="CP101" i="1"/>
  <c r="CU101" i="1"/>
  <c r="E102" i="1"/>
  <c r="I102" i="1"/>
  <c r="I103" i="1" s="1"/>
  <c r="M102" i="1"/>
  <c r="M103" i="1" s="1"/>
  <c r="Q102" i="1"/>
  <c r="U102" i="1"/>
  <c r="U103" i="1" s="1"/>
  <c r="Y102" i="1"/>
  <c r="Y103" i="1" s="1"/>
  <c r="AC102" i="1"/>
  <c r="AC103" i="1" s="1"/>
  <c r="AG102" i="1"/>
  <c r="AK102" i="1"/>
  <c r="AK103" i="1" s="1"/>
  <c r="AO102" i="1"/>
  <c r="AO103" i="1" s="1"/>
  <c r="AS102" i="1"/>
  <c r="AS103" i="1" s="1"/>
  <c r="AW102" i="1"/>
  <c r="BA102" i="1"/>
  <c r="BA103" i="1" s="1"/>
  <c r="BE102" i="1"/>
  <c r="BE103" i="1" s="1"/>
  <c r="BI102" i="1"/>
  <c r="BI103" i="1" s="1"/>
  <c r="BM102" i="1"/>
  <c r="BQ102" i="1"/>
  <c r="BQ103" i="1" s="1"/>
  <c r="BU102" i="1"/>
  <c r="BU103" i="1" s="1"/>
  <c r="BY102" i="1"/>
  <c r="BY103" i="1" s="1"/>
  <c r="CC102" i="1"/>
  <c r="CG102" i="1"/>
  <c r="CG103" i="1" s="1"/>
  <c r="CK102" i="1"/>
  <c r="CK103" i="1" s="1"/>
  <c r="CO102" i="1"/>
  <c r="CO103" i="1" s="1"/>
  <c r="CS102" i="1"/>
  <c r="C104" i="1"/>
  <c r="H105" i="1" s="1"/>
  <c r="G104" i="1"/>
  <c r="G105" i="1" s="1"/>
  <c r="K104" i="1"/>
  <c r="K105" i="1" s="1"/>
  <c r="O104" i="1"/>
  <c r="S104" i="1"/>
  <c r="S105" i="1" s="1"/>
  <c r="W104" i="1"/>
  <c r="W105" i="1" s="1"/>
  <c r="AA104" i="1"/>
  <c r="AA105" i="1" s="1"/>
  <c r="AE104" i="1"/>
  <c r="AI104" i="1"/>
  <c r="AI105" i="1" s="1"/>
  <c r="AY104" i="1"/>
  <c r="AY105" i="1" s="1"/>
  <c r="BS104" i="1"/>
  <c r="BS105" i="1" s="1"/>
  <c r="CM104" i="1"/>
  <c r="CV137" i="1"/>
  <c r="DA137" i="1"/>
  <c r="EZ134" i="1"/>
  <c r="FE135" i="1"/>
  <c r="FE134" i="1" s="1"/>
  <c r="H138" i="1"/>
  <c r="M138" i="1"/>
  <c r="R138" i="1"/>
  <c r="W138" i="1"/>
  <c r="AB138" i="1"/>
  <c r="AM138" i="1"/>
  <c r="AR138" i="1"/>
  <c r="BG138" i="1"/>
  <c r="BL138" i="1"/>
  <c r="CA138" i="1"/>
  <c r="CF138" i="1"/>
  <c r="DF138" i="1"/>
  <c r="DK138" i="1"/>
  <c r="DP138" i="1"/>
  <c r="EE138" i="1"/>
  <c r="Z138" i="1"/>
  <c r="CS87" i="1"/>
  <c r="DA87" i="1"/>
  <c r="DQ87" i="1"/>
  <c r="EK87" i="1"/>
  <c r="L88" i="1"/>
  <c r="V88" i="1"/>
  <c r="AF88" i="1"/>
  <c r="CS88" i="1"/>
  <c r="FH88" i="1" s="1"/>
  <c r="CX88" i="1"/>
  <c r="DC88" i="1"/>
  <c r="FI89" i="1"/>
  <c r="AY89" i="1"/>
  <c r="AY90" i="1" s="1"/>
  <c r="BS89" i="1"/>
  <c r="BS90" i="1" s="1"/>
  <c r="CA89" i="1"/>
  <c r="DC89" i="1"/>
  <c r="DC91" i="1"/>
  <c r="EA91" i="1"/>
  <c r="M92" i="1"/>
  <c r="Q92" i="1"/>
  <c r="AG92" i="1"/>
  <c r="AK92" i="1"/>
  <c r="BA92" i="1"/>
  <c r="BE92" i="1"/>
  <c r="DI92" i="1"/>
  <c r="DM92" i="1"/>
  <c r="DU92" i="1"/>
  <c r="DY92" i="1"/>
  <c r="EC92" i="1"/>
  <c r="EG92" i="1"/>
  <c r="G93" i="1"/>
  <c r="V93" i="1"/>
  <c r="AA93" i="1"/>
  <c r="AF93" i="1"/>
  <c r="AP93" i="1"/>
  <c r="AU93" i="1"/>
  <c r="AZ93" i="1"/>
  <c r="BJ93" i="1"/>
  <c r="BO93" i="1"/>
  <c r="DH93" i="1"/>
  <c r="DM93" i="1"/>
  <c r="DR93" i="1"/>
  <c r="DW93" i="1"/>
  <c r="EB93" i="1"/>
  <c r="EG93" i="1"/>
  <c r="EM93" i="1"/>
  <c r="C94" i="1"/>
  <c r="H95" i="1" s="1"/>
  <c r="W94" i="1"/>
  <c r="W95" i="1" s="1"/>
  <c r="AQ94" i="1"/>
  <c r="AQ95" i="1" s="1"/>
  <c r="DS94" i="1"/>
  <c r="DS95" i="1" s="1"/>
  <c r="AM176" i="1"/>
  <c r="AQ176" i="1"/>
  <c r="AU176" i="1"/>
  <c r="AY178" i="1"/>
  <c r="BC176" i="1"/>
  <c r="BG176" i="1"/>
  <c r="BK176" i="1"/>
  <c r="BO176" i="1"/>
  <c r="BS178" i="1"/>
  <c r="BW176" i="1"/>
  <c r="CA176" i="1"/>
  <c r="CE176" i="1"/>
  <c r="CI176" i="1"/>
  <c r="CQ176" i="1"/>
  <c r="CU176" i="1"/>
  <c r="DB99" i="1"/>
  <c r="DH99" i="1"/>
  <c r="DM100" i="1" s="1"/>
  <c r="DP99" i="1"/>
  <c r="DU100" i="1" s="1"/>
  <c r="DT99" i="1"/>
  <c r="DX99" i="1"/>
  <c r="EB99" i="1"/>
  <c r="EC176" i="1" s="1"/>
  <c r="EJ99" i="1"/>
  <c r="EN176" i="1" s="1"/>
  <c r="H100" i="1"/>
  <c r="L100" i="1"/>
  <c r="P100" i="1"/>
  <c r="T100" i="1"/>
  <c r="X100" i="1"/>
  <c r="AB100" i="1"/>
  <c r="AF100" i="1"/>
  <c r="AJ100" i="1"/>
  <c r="AN100" i="1"/>
  <c r="AR100" i="1"/>
  <c r="AV100" i="1"/>
  <c r="AZ100" i="1"/>
  <c r="BD100" i="1"/>
  <c r="BH100" i="1"/>
  <c r="BL100" i="1"/>
  <c r="BP100" i="1"/>
  <c r="BT100" i="1"/>
  <c r="BX100" i="1"/>
  <c r="CB100" i="1"/>
  <c r="CF100" i="1"/>
  <c r="CJ100" i="1"/>
  <c r="CN100" i="1"/>
  <c r="CR100" i="1"/>
  <c r="CV100" i="1"/>
  <c r="CZ100" i="1"/>
  <c r="E101" i="1"/>
  <c r="J101" i="1"/>
  <c r="O101" i="1"/>
  <c r="T101" i="1"/>
  <c r="Y101" i="1"/>
  <c r="AD101" i="1"/>
  <c r="AI101" i="1"/>
  <c r="AN101" i="1"/>
  <c r="AS101" i="1"/>
  <c r="AX101" i="1"/>
  <c r="BC101" i="1"/>
  <c r="BH101" i="1"/>
  <c r="BM101" i="1"/>
  <c r="BR101" i="1"/>
  <c r="BW101" i="1"/>
  <c r="CB101" i="1"/>
  <c r="CG101" i="1"/>
  <c r="CL101" i="1"/>
  <c r="CQ101" i="1"/>
  <c r="CV101" i="1"/>
  <c r="V102" i="1"/>
  <c r="V103" i="1" s="1"/>
  <c r="AL102" i="1"/>
  <c r="AL103" i="1" s="1"/>
  <c r="AP102" i="1"/>
  <c r="AP103" i="1" s="1"/>
  <c r="AT102" i="1"/>
  <c r="AT103" i="1" s="1"/>
  <c r="AX102" i="1"/>
  <c r="AX103" i="1" s="1"/>
  <c r="BB102" i="1"/>
  <c r="BB103" i="1" s="1"/>
  <c r="BF102" i="1"/>
  <c r="BF103" i="1" s="1"/>
  <c r="BJ102" i="1"/>
  <c r="BJ103" i="1" s="1"/>
  <c r="BN102" i="1"/>
  <c r="BN103" i="1" s="1"/>
  <c r="BR102" i="1"/>
  <c r="BR103" i="1" s="1"/>
  <c r="BV102" i="1"/>
  <c r="BV103" i="1" s="1"/>
  <c r="BZ102" i="1"/>
  <c r="BZ103" i="1" s="1"/>
  <c r="CD102" i="1"/>
  <c r="CD103" i="1" s="1"/>
  <c r="CH102" i="1"/>
  <c r="CH103" i="1" s="1"/>
  <c r="CL102" i="1"/>
  <c r="CL103" i="1" s="1"/>
  <c r="CP102" i="1"/>
  <c r="CP103" i="1" s="1"/>
  <c r="CT102" i="1"/>
  <c r="CX102" i="1"/>
  <c r="CX103" i="1" s="1"/>
  <c r="L104" i="1"/>
  <c r="L105" i="1" s="1"/>
  <c r="AF104" i="1"/>
  <c r="AF105" i="1" s="1"/>
  <c r="AJ104" i="1"/>
  <c r="AJ105" i="1" s="1"/>
  <c r="BD104" i="1"/>
  <c r="BX104" i="1"/>
  <c r="BX105" i="1" s="1"/>
  <c r="CR104" i="1"/>
  <c r="CR105" i="1" s="1"/>
  <c r="DG185" i="1"/>
  <c r="DC187" i="1"/>
  <c r="DC137" i="1"/>
  <c r="I138" i="1"/>
  <c r="N138" i="1"/>
  <c r="S138" i="1"/>
  <c r="X138" i="1"/>
  <c r="AC138" i="1"/>
  <c r="AI138" i="1"/>
  <c r="T138" i="1"/>
  <c r="AE86" i="1"/>
  <c r="AJ87" i="1" s="1"/>
  <c r="CT87" i="1"/>
  <c r="CX87" i="1"/>
  <c r="FJ89" i="1"/>
  <c r="T89" i="1"/>
  <c r="T90" i="1" s="1"/>
  <c r="BX89" i="1"/>
  <c r="BX90" i="1" s="1"/>
  <c r="CR89" i="1"/>
  <c r="CR90" i="1" s="1"/>
  <c r="CV89" i="1"/>
  <c r="CV90" i="1" s="1"/>
  <c r="DL91" i="1"/>
  <c r="EF91" i="1"/>
  <c r="R92" i="1"/>
  <c r="AL92" i="1"/>
  <c r="BF92" i="1"/>
  <c r="DN92" i="1"/>
  <c r="EH92" i="1"/>
  <c r="H93" i="1"/>
  <c r="AB93" i="1"/>
  <c r="AV93" i="1"/>
  <c r="DI93" i="1"/>
  <c r="DX93" i="1"/>
  <c r="EC93" i="1"/>
  <c r="EN93" i="1"/>
  <c r="AJ178" i="1"/>
  <c r="AN176" i="1"/>
  <c r="AR176" i="1"/>
  <c r="AV176" i="1"/>
  <c r="AZ176" i="1"/>
  <c r="BD178" i="1"/>
  <c r="BH176" i="1"/>
  <c r="BL176" i="1"/>
  <c r="BP176" i="1"/>
  <c r="BT176" i="1"/>
  <c r="BX178" i="1"/>
  <c r="CB176" i="1"/>
  <c r="CF176" i="1"/>
  <c r="CJ176" i="1"/>
  <c r="CN176" i="1"/>
  <c r="CV176" i="1"/>
  <c r="DE176" i="1"/>
  <c r="DD176" i="1"/>
  <c r="DC176" i="1"/>
  <c r="I100" i="1"/>
  <c r="M100" i="1"/>
  <c r="Q100" i="1"/>
  <c r="U100" i="1"/>
  <c r="Y100" i="1"/>
  <c r="AC100" i="1"/>
  <c r="AG100" i="1"/>
  <c r="AK100" i="1"/>
  <c r="AO100" i="1"/>
  <c r="AS100" i="1"/>
  <c r="AW100" i="1"/>
  <c r="BA100" i="1"/>
  <c r="BE100" i="1"/>
  <c r="BI100" i="1"/>
  <c r="BM100" i="1"/>
  <c r="BQ100" i="1"/>
  <c r="BU100" i="1"/>
  <c r="BY100" i="1"/>
  <c r="CC100" i="1"/>
  <c r="CG100" i="1"/>
  <c r="CK100" i="1"/>
  <c r="CO100" i="1"/>
  <c r="CS100" i="1"/>
  <c r="DA100" i="1"/>
  <c r="G101" i="1"/>
  <c r="Q101" i="1"/>
  <c r="AA101" i="1"/>
  <c r="AK101" i="1"/>
  <c r="AP101" i="1"/>
  <c r="AU101" i="1"/>
  <c r="AZ101" i="1"/>
  <c r="BE101" i="1"/>
  <c r="BJ101" i="1"/>
  <c r="BO101" i="1"/>
  <c r="BT101" i="1"/>
  <c r="BY101" i="1"/>
  <c r="CD101" i="1"/>
  <c r="CI101" i="1"/>
  <c r="CN101" i="1"/>
  <c r="CS101" i="1"/>
  <c r="CX101" i="1"/>
  <c r="DC101" i="1"/>
  <c r="AM102" i="1"/>
  <c r="AM103" i="1" s="1"/>
  <c r="AQ102" i="1"/>
  <c r="AQ103" i="1" s="1"/>
  <c r="AU102" i="1"/>
  <c r="AY102" i="1"/>
  <c r="BC102" i="1"/>
  <c r="BG102" i="1"/>
  <c r="BG103" i="1" s="1"/>
  <c r="BK102" i="1"/>
  <c r="BO102" i="1"/>
  <c r="BS102" i="1"/>
  <c r="BW102" i="1"/>
  <c r="BW103" i="1" s="1"/>
  <c r="CA102" i="1"/>
  <c r="CE102" i="1"/>
  <c r="CI102" i="1"/>
  <c r="CM102" i="1"/>
  <c r="CM103" i="1" s="1"/>
  <c r="CQ102" i="1"/>
  <c r="CU102" i="1"/>
  <c r="DC102" i="1"/>
  <c r="AK104" i="1"/>
  <c r="AK105" i="1" s="1"/>
  <c r="AO104" i="1"/>
  <c r="AO105" i="1" s="1"/>
  <c r="AS104" i="1"/>
  <c r="AS105" i="1" s="1"/>
  <c r="AW104" i="1"/>
  <c r="AW105" i="1" s="1"/>
  <c r="BA104" i="1"/>
  <c r="BA105" i="1" s="1"/>
  <c r="BE104" i="1"/>
  <c r="BE105" i="1" s="1"/>
  <c r="BI104" i="1"/>
  <c r="BI105" i="1" s="1"/>
  <c r="BM104" i="1"/>
  <c r="BM105" i="1" s="1"/>
  <c r="BQ104" i="1"/>
  <c r="BQ105" i="1" s="1"/>
  <c r="BU104" i="1"/>
  <c r="BU105" i="1" s="1"/>
  <c r="BY104" i="1"/>
  <c r="BY105" i="1" s="1"/>
  <c r="CC104" i="1"/>
  <c r="CG104" i="1"/>
  <c r="CG105" i="1" s="1"/>
  <c r="CK104" i="1"/>
  <c r="CK105" i="1" s="1"/>
  <c r="CO104" i="1"/>
  <c r="CO105" i="1" s="1"/>
  <c r="CS104" i="1"/>
  <c r="CS105" i="1" s="1"/>
  <c r="CY137" i="1"/>
  <c r="K138" i="1"/>
  <c r="P138" i="1"/>
  <c r="U138" i="1"/>
  <c r="CV185" i="1"/>
  <c r="CZ185" i="1"/>
  <c r="CT186" i="1"/>
  <c r="CX186" i="1"/>
  <c r="DB133" i="1"/>
  <c r="ES133" i="1"/>
  <c r="ER134" i="1"/>
  <c r="AN187" i="1"/>
  <c r="AN204" i="1" s="1"/>
  <c r="AS187" i="1"/>
  <c r="AS204" i="1" s="1"/>
  <c r="AX187" i="1"/>
  <c r="AX204" i="1" s="1"/>
  <c r="BC187" i="1"/>
  <c r="BC204" i="1" s="1"/>
  <c r="BH187" i="1"/>
  <c r="BH204" i="1" s="1"/>
  <c r="BM187" i="1"/>
  <c r="BM204" i="1" s="1"/>
  <c r="BR187" i="1"/>
  <c r="BR204" i="1" s="1"/>
  <c r="BW187" i="1"/>
  <c r="BW204" i="1" s="1"/>
  <c r="CB187" i="1"/>
  <c r="CB204" i="1" s="1"/>
  <c r="CG187" i="1"/>
  <c r="CG204" i="1" s="1"/>
  <c r="CL187" i="1"/>
  <c r="CQ187" i="1"/>
  <c r="CU134" i="1"/>
  <c r="DH187" i="1"/>
  <c r="DM187" i="1"/>
  <c r="DR187" i="1"/>
  <c r="DR204" i="1" s="1"/>
  <c r="DW187" i="1"/>
  <c r="EB187" i="1"/>
  <c r="EG187" i="1"/>
  <c r="EG204" i="1" s="1"/>
  <c r="EL187" i="1"/>
  <c r="BI320" i="1"/>
  <c r="BX134" i="1"/>
  <c r="CM320" i="1"/>
  <c r="EK131" i="1"/>
  <c r="EK132" i="1" s="1"/>
  <c r="EP320" i="1"/>
  <c r="AJ134" i="1"/>
  <c r="AO134" i="1"/>
  <c r="AT134" i="1"/>
  <c r="AY134" i="1"/>
  <c r="BD134" i="1"/>
  <c r="BS134" i="1"/>
  <c r="DV320" i="1"/>
  <c r="EA134" i="1"/>
  <c r="AP137" i="1"/>
  <c r="AP138" i="1" s="1"/>
  <c r="AX137" i="1"/>
  <c r="AX138" i="1" s="1"/>
  <c r="BJ137" i="1"/>
  <c r="BR137" i="1"/>
  <c r="CD137" i="1"/>
  <c r="CD138" i="1" s="1"/>
  <c r="CL137" i="1"/>
  <c r="CL138" i="1" s="1"/>
  <c r="DN137" i="1"/>
  <c r="DR137" i="1"/>
  <c r="DV137" i="1"/>
  <c r="EL137" i="1"/>
  <c r="EP137" i="1"/>
  <c r="CM142" i="1"/>
  <c r="AG152" i="1"/>
  <c r="BN168" i="1"/>
  <c r="CW129" i="1"/>
  <c r="CU320" i="1"/>
  <c r="CY186" i="1"/>
  <c r="DD186" i="1"/>
  <c r="DC186" i="1"/>
  <c r="DF186" i="1"/>
  <c r="DE186" i="1"/>
  <c r="EU136" i="1"/>
  <c r="AK204" i="1"/>
  <c r="AP204" i="1"/>
  <c r="AU204" i="1"/>
  <c r="AZ204" i="1"/>
  <c r="BE204" i="1"/>
  <c r="BJ204" i="1"/>
  <c r="BO204" i="1"/>
  <c r="BT204" i="1"/>
  <c r="BY204" i="1"/>
  <c r="CD204" i="1"/>
  <c r="CI316" i="1"/>
  <c r="CI204" i="1"/>
  <c r="CN316" i="1"/>
  <c r="CN204" i="1"/>
  <c r="CR134" i="1"/>
  <c r="DD187" i="1"/>
  <c r="DI316" i="1"/>
  <c r="BI134" i="1"/>
  <c r="CH320" i="1"/>
  <c r="CM134" i="1"/>
  <c r="EP316" i="1"/>
  <c r="DQ320" i="1"/>
  <c r="DV316" i="1"/>
  <c r="AU137" i="1"/>
  <c r="BC137" i="1"/>
  <c r="BC138" i="1" s="1"/>
  <c r="BO137" i="1"/>
  <c r="BO138" i="1" s="1"/>
  <c r="BW137" i="1"/>
  <c r="BW138" i="1" s="1"/>
  <c r="CI137" i="1"/>
  <c r="CQ137" i="1"/>
  <c r="CQ138" i="1" s="1"/>
  <c r="DS137" i="1"/>
  <c r="DS138" i="1" s="1"/>
  <c r="DW137" i="1"/>
  <c r="DW138" i="1" s="1"/>
  <c r="EM137" i="1"/>
  <c r="CR142" i="1"/>
  <c r="CH168" i="1"/>
  <c r="CT185" i="1"/>
  <c r="CX185" i="1"/>
  <c r="DB129" i="1"/>
  <c r="EJ185" i="1"/>
  <c r="EI185" i="1"/>
  <c r="EI202" i="1" s="1"/>
  <c r="EL185" i="1"/>
  <c r="EH185" i="1"/>
  <c r="EH202" i="1" s="1"/>
  <c r="ET129" i="1"/>
  <c r="CR320" i="1"/>
  <c r="CV186" i="1"/>
  <c r="CZ186" i="1"/>
  <c r="AL187" i="1"/>
  <c r="AL204" i="1" s="1"/>
  <c r="AQ187" i="1"/>
  <c r="AQ204" i="1" s="1"/>
  <c r="AV187" i="1"/>
  <c r="AV204" i="1" s="1"/>
  <c r="BA187" i="1"/>
  <c r="BA204" i="1" s="1"/>
  <c r="BF187" i="1"/>
  <c r="BF204" i="1" s="1"/>
  <c r="BK187" i="1"/>
  <c r="BP187" i="1"/>
  <c r="BP204" i="1" s="1"/>
  <c r="BU187" i="1"/>
  <c r="BU204" i="1" s="1"/>
  <c r="BZ187" i="1"/>
  <c r="BZ204" i="1" s="1"/>
  <c r="CE187" i="1"/>
  <c r="CE204" i="1" s="1"/>
  <c r="CJ187" i="1"/>
  <c r="CO187" i="1"/>
  <c r="CS134" i="1"/>
  <c r="DE187" i="1"/>
  <c r="DJ187" i="1"/>
  <c r="DO187" i="1"/>
  <c r="DO204" i="1" s="1"/>
  <c r="DT187" i="1"/>
  <c r="DY187" i="1"/>
  <c r="ED187" i="1"/>
  <c r="ED204" i="1" s="1"/>
  <c r="EI187" i="1"/>
  <c r="EN187" i="1"/>
  <c r="CC320" i="1"/>
  <c r="CH134" i="1"/>
  <c r="EK129" i="1"/>
  <c r="EK320" i="1"/>
  <c r="BN320" i="1"/>
  <c r="DG133" i="1"/>
  <c r="DL320" i="1"/>
  <c r="DQ134" i="1"/>
  <c r="EF320" i="1"/>
  <c r="AN137" i="1"/>
  <c r="AN138" i="1" s="1"/>
  <c r="AV137" i="1"/>
  <c r="AV138" i="1" s="1"/>
  <c r="AZ137" i="1"/>
  <c r="AZ138" i="1" s="1"/>
  <c r="BH137" i="1"/>
  <c r="BH138" i="1" s="1"/>
  <c r="BP137" i="1"/>
  <c r="BP138" i="1" s="1"/>
  <c r="BT137" i="1"/>
  <c r="CB137" i="1"/>
  <c r="CJ137" i="1"/>
  <c r="CJ138" i="1" s="1"/>
  <c r="CN137" i="1"/>
  <c r="CN138" i="1" s="1"/>
  <c r="DD137" i="1"/>
  <c r="DD138" i="1" s="1"/>
  <c r="DH137" i="1"/>
  <c r="DT137" i="1"/>
  <c r="DT138" i="1" s="1"/>
  <c r="DX137" i="1"/>
  <c r="DX138" i="1" s="1"/>
  <c r="EB137" i="1"/>
  <c r="EB138" i="1" s="1"/>
  <c r="EF137" i="1"/>
  <c r="EN137" i="1"/>
  <c r="DB153" i="1"/>
  <c r="DC364" i="1"/>
  <c r="DG151" i="1"/>
  <c r="DG152" i="1" s="1"/>
  <c r="DC152" i="1"/>
  <c r="DD152" i="1"/>
  <c r="CU185" i="1"/>
  <c r="CY185" i="1"/>
  <c r="DD185" i="1"/>
  <c r="DC185" i="1"/>
  <c r="DF185" i="1"/>
  <c r="DE185" i="1"/>
  <c r="CU131" i="1"/>
  <c r="CY131" i="1"/>
  <c r="EU129" i="1"/>
  <c r="CS320" i="1"/>
  <c r="CW133" i="1"/>
  <c r="DA186" i="1"/>
  <c r="EQ134" i="1"/>
  <c r="AM187" i="1"/>
  <c r="AM204" i="1" s="1"/>
  <c r="AR187" i="1"/>
  <c r="AR204" i="1" s="1"/>
  <c r="AW187" i="1"/>
  <c r="AW204" i="1" s="1"/>
  <c r="BB187" i="1"/>
  <c r="BB204" i="1" s="1"/>
  <c r="BG187" i="1"/>
  <c r="BL187" i="1"/>
  <c r="BL204" i="1" s="1"/>
  <c r="BQ187" i="1"/>
  <c r="BQ204" i="1" s="1"/>
  <c r="BV187" i="1"/>
  <c r="BV204" i="1" s="1"/>
  <c r="CA187" i="1"/>
  <c r="CA204" i="1" s="1"/>
  <c r="CF187" i="1"/>
  <c r="CF204" i="1" s="1"/>
  <c r="CK187" i="1"/>
  <c r="CP187" i="1"/>
  <c r="CT134" i="1"/>
  <c r="CX134" i="1"/>
  <c r="DF187" i="1"/>
  <c r="DK187" i="1"/>
  <c r="DP187" i="1"/>
  <c r="DU187" i="1"/>
  <c r="DU204" i="1" s="1"/>
  <c r="DZ187" i="1"/>
  <c r="EE187" i="1"/>
  <c r="EJ187" i="1"/>
  <c r="EO187" i="1"/>
  <c r="BX320" i="1"/>
  <c r="CC134" i="1"/>
  <c r="AY320" i="1"/>
  <c r="BD320" i="1"/>
  <c r="BN134" i="1"/>
  <c r="BS320" i="1"/>
  <c r="DL134" i="1"/>
  <c r="EA320" i="1"/>
  <c r="EF316" i="1"/>
  <c r="AK137" i="1"/>
  <c r="AK138" i="1" s="1"/>
  <c r="AS137" i="1"/>
  <c r="AW137" i="1"/>
  <c r="AW138" i="1" s="1"/>
  <c r="BA137" i="1"/>
  <c r="BA138" i="1" s="1"/>
  <c r="BE137" i="1"/>
  <c r="BM137" i="1"/>
  <c r="BQ137" i="1"/>
  <c r="BQ138" i="1" s="1"/>
  <c r="BU137" i="1"/>
  <c r="BU138" i="1" s="1"/>
  <c r="BY137" i="1"/>
  <c r="BY138" i="1" s="1"/>
  <c r="CG137" i="1"/>
  <c r="CG138" i="1" s="1"/>
  <c r="CK137" i="1"/>
  <c r="CK138" i="1" s="1"/>
  <c r="CO137" i="1"/>
  <c r="DE137" i="1"/>
  <c r="DI137" i="1"/>
  <c r="DM137" i="1"/>
  <c r="DM138" i="1" s="1"/>
  <c r="DU137" i="1"/>
  <c r="DU138" i="1" s="1"/>
  <c r="DY137" i="1"/>
  <c r="EC137" i="1"/>
  <c r="EG137" i="1"/>
  <c r="EG138" i="1" s="1"/>
  <c r="EO137" i="1"/>
  <c r="DV157" i="1"/>
  <c r="DV156" i="1" s="1"/>
  <c r="CT152" i="1"/>
  <c r="CY152" i="1"/>
  <c r="S152" i="1"/>
  <c r="CW152" i="1"/>
  <c r="DQ152" i="1"/>
  <c r="EK152" i="1"/>
  <c r="BY156" i="1"/>
  <c r="CD156" i="1"/>
  <c r="CI156" i="1"/>
  <c r="CN156" i="1"/>
  <c r="CS156" i="1"/>
  <c r="CX156" i="1"/>
  <c r="DC156" i="1"/>
  <c r="DH156" i="1"/>
  <c r="DM156" i="1"/>
  <c r="DT156" i="1"/>
  <c r="ER159" i="1"/>
  <c r="CC159" i="1"/>
  <c r="CC160" i="1" s="1"/>
  <c r="CS159" i="1"/>
  <c r="CW159" i="1"/>
  <c r="CW160" i="1" s="1"/>
  <c r="DM159" i="1"/>
  <c r="DR159" i="1"/>
  <c r="DQ155" i="1"/>
  <c r="DQ157" i="1" s="1"/>
  <c r="DQ156" i="1" s="1"/>
  <c r="DQ159" i="1"/>
  <c r="DQ160" i="1" s="1"/>
  <c r="EF158" i="1"/>
  <c r="EG159" i="1" s="1"/>
  <c r="EU161" i="1"/>
  <c r="BK168" i="1"/>
  <c r="CE168" i="1"/>
  <c r="CM168" i="1"/>
  <c r="DC168" i="1"/>
  <c r="CU152" i="1"/>
  <c r="CZ152" i="1"/>
  <c r="H152" i="1"/>
  <c r="AN152" i="1"/>
  <c r="DG364" i="1"/>
  <c r="BZ156" i="1"/>
  <c r="CE156" i="1"/>
  <c r="CJ156" i="1"/>
  <c r="CO156" i="1"/>
  <c r="CT156" i="1"/>
  <c r="CY156" i="1"/>
  <c r="DD156" i="1"/>
  <c r="DI156" i="1"/>
  <c r="DN156" i="1"/>
  <c r="DU156" i="1"/>
  <c r="DX159" i="1"/>
  <c r="EC159" i="1"/>
  <c r="EH159" i="1"/>
  <c r="EN156" i="1"/>
  <c r="EM159" i="1"/>
  <c r="CH159" i="1"/>
  <c r="CH160" i="1" s="1"/>
  <c r="DB159" i="1"/>
  <c r="DB160" i="1" s="1"/>
  <c r="DS159" i="1"/>
  <c r="EA158" i="1"/>
  <c r="BP168" i="1"/>
  <c r="CV152" i="1"/>
  <c r="DA152" i="1"/>
  <c r="DB152" i="1"/>
  <c r="DG150" i="1"/>
  <c r="CA156" i="1"/>
  <c r="CF156" i="1"/>
  <c r="CK156" i="1"/>
  <c r="CP156" i="1"/>
  <c r="CU156" i="1"/>
  <c r="CZ156" i="1"/>
  <c r="DE156" i="1"/>
  <c r="DJ156" i="1"/>
  <c r="DO156" i="1"/>
  <c r="DS157" i="1"/>
  <c r="DY156" i="1"/>
  <c r="DY159" i="1"/>
  <c r="ED156" i="1"/>
  <c r="ED159" i="1"/>
  <c r="EI156" i="1"/>
  <c r="EI159" i="1"/>
  <c r="EO156" i="1"/>
  <c r="DR156" i="1"/>
  <c r="EN159" i="1"/>
  <c r="CM159" i="1"/>
  <c r="CM160" i="1" s="1"/>
  <c r="DG159" i="1"/>
  <c r="DG160" i="1" s="1"/>
  <c r="DT159" i="1"/>
  <c r="DV158" i="1"/>
  <c r="DW159" i="1" s="1"/>
  <c r="EP158" i="1"/>
  <c r="CW167" i="1"/>
  <c r="CW168" i="1" s="1"/>
  <c r="CS152" i="1"/>
  <c r="CX152" i="1"/>
  <c r="ER151" i="1"/>
  <c r="CB156" i="1"/>
  <c r="CG156" i="1"/>
  <c r="CL156" i="1"/>
  <c r="CQ156" i="1"/>
  <c r="CV156" i="1"/>
  <c r="DA156" i="1"/>
  <c r="DF156" i="1"/>
  <c r="DK156" i="1"/>
  <c r="DP156" i="1"/>
  <c r="DZ156" i="1"/>
  <c r="DZ159" i="1"/>
  <c r="EE156" i="1"/>
  <c r="EE159" i="1"/>
  <c r="EJ156" i="1"/>
  <c r="EJ159" i="1"/>
  <c r="EJ160" i="1"/>
  <c r="EQ230" i="1"/>
  <c r="EQ232" i="1" s="1"/>
  <c r="EQ156" i="1"/>
  <c r="EO159" i="1"/>
  <c r="DU159" i="1"/>
  <c r="DB167" i="1"/>
  <c r="DB168" i="1" s="1"/>
  <c r="AM192" i="1"/>
  <c r="AQ192" i="1"/>
  <c r="AU192" i="1"/>
  <c r="BC192" i="1"/>
  <c r="BW192" i="1"/>
  <c r="CA192" i="1"/>
  <c r="CI270" i="1"/>
  <c r="CI192" i="1"/>
  <c r="CQ270" i="1"/>
  <c r="CQ192" i="1"/>
  <c r="DO270" i="1"/>
  <c r="DO192" i="1"/>
  <c r="DS270" i="1"/>
  <c r="DW270" i="1"/>
  <c r="EE270" i="1"/>
  <c r="EI270" i="1"/>
  <c r="EI192" i="1"/>
  <c r="AL194" i="1"/>
  <c r="AP194" i="1"/>
  <c r="AZ194" i="1"/>
  <c r="BE194" i="1"/>
  <c r="BM194" i="1"/>
  <c r="BR194" i="1"/>
  <c r="ED194" i="1"/>
  <c r="AV196" i="1"/>
  <c r="BA196" i="1"/>
  <c r="BF196" i="1"/>
  <c r="BJ196" i="1"/>
  <c r="BT196" i="1"/>
  <c r="BY324" i="1"/>
  <c r="BY196" i="1"/>
  <c r="CG324" i="1"/>
  <c r="CG196" i="1"/>
  <c r="ED196" i="1"/>
  <c r="AL198" i="1"/>
  <c r="AP198" i="1"/>
  <c r="AZ198" i="1"/>
  <c r="BE198" i="1"/>
  <c r="BM198" i="1"/>
  <c r="BR198" i="1"/>
  <c r="CB198" i="1"/>
  <c r="CF198" i="1"/>
  <c r="CK198" i="1"/>
  <c r="CP198" i="1"/>
  <c r="EH198" i="1"/>
  <c r="AK202" i="1"/>
  <c r="AS202" i="1"/>
  <c r="BQ202" i="1"/>
  <c r="CO202" i="1"/>
  <c r="EG202" i="1"/>
  <c r="BA203" i="1"/>
  <c r="BY203" i="1"/>
  <c r="CG203" i="1"/>
  <c r="DU203" i="1"/>
  <c r="AN192" i="1"/>
  <c r="AR192" i="1"/>
  <c r="AV192" i="1"/>
  <c r="AZ192" i="1"/>
  <c r="BP192" i="1"/>
  <c r="BT192" i="1"/>
  <c r="CB192" i="1"/>
  <c r="CF270" i="1"/>
  <c r="CF192" i="1"/>
  <c r="CJ270" i="1"/>
  <c r="CJ192" i="1"/>
  <c r="CN270" i="1"/>
  <c r="CN192" i="1"/>
  <c r="DP270" i="1"/>
  <c r="DT270" i="1"/>
  <c r="DX270" i="1"/>
  <c r="EB270" i="1"/>
  <c r="EJ270" i="1"/>
  <c r="AM194" i="1"/>
  <c r="AQ194" i="1"/>
  <c r="AV194" i="1"/>
  <c r="BA194" i="1"/>
  <c r="BF194" i="1"/>
  <c r="BJ194" i="1"/>
  <c r="BT194" i="1"/>
  <c r="DU194" i="1"/>
  <c r="AN196" i="1"/>
  <c r="AR196" i="1"/>
  <c r="AW196" i="1"/>
  <c r="BB196" i="1"/>
  <c r="BP196" i="1"/>
  <c r="BU196" i="1"/>
  <c r="DU196" i="1"/>
  <c r="AV198" i="1"/>
  <c r="BA198" i="1"/>
  <c r="BF198" i="1"/>
  <c r="BJ198" i="1"/>
  <c r="BT198" i="1"/>
  <c r="BY198" i="1"/>
  <c r="CG198" i="1"/>
  <c r="CL198" i="1"/>
  <c r="ED198" i="1"/>
  <c r="BE202" i="1"/>
  <c r="BM202" i="1"/>
  <c r="CK202" i="1"/>
  <c r="AW203" i="1"/>
  <c r="BU203" i="1"/>
  <c r="DI320" i="1"/>
  <c r="EG203" i="1"/>
  <c r="EZ320" i="1"/>
  <c r="AK192" i="1"/>
  <c r="AS192" i="1"/>
  <c r="AW192" i="1"/>
  <c r="BA192" i="1"/>
  <c r="BE192" i="1"/>
  <c r="BQ192" i="1"/>
  <c r="BU192" i="1"/>
  <c r="BY192" i="1"/>
  <c r="CG270" i="1"/>
  <c r="CG192" i="1"/>
  <c r="CK270" i="1"/>
  <c r="CK192" i="1"/>
  <c r="CO270" i="1"/>
  <c r="CO192" i="1"/>
  <c r="DU270" i="1"/>
  <c r="DU192" i="1"/>
  <c r="DY270" i="1"/>
  <c r="EC270" i="1"/>
  <c r="EG270" i="1"/>
  <c r="EG192" i="1"/>
  <c r="AN194" i="1"/>
  <c r="AR194" i="1"/>
  <c r="AW194" i="1"/>
  <c r="BB194" i="1"/>
  <c r="BP194" i="1"/>
  <c r="BU194" i="1"/>
  <c r="DR194" i="1"/>
  <c r="EG194" i="1"/>
  <c r="AK196" i="1"/>
  <c r="AS196" i="1"/>
  <c r="AX196" i="1"/>
  <c r="BH196" i="1"/>
  <c r="BL196" i="1"/>
  <c r="BQ196" i="1"/>
  <c r="BV196" i="1"/>
  <c r="CO324" i="1"/>
  <c r="CO196" i="1"/>
  <c r="DI324" i="1"/>
  <c r="DR196" i="1"/>
  <c r="EG196" i="1"/>
  <c r="AN198" i="1"/>
  <c r="AR198" i="1"/>
  <c r="AW198" i="1"/>
  <c r="BB198" i="1"/>
  <c r="BP198" i="1"/>
  <c r="BU198" i="1"/>
  <c r="BZ198" i="1"/>
  <c r="CD198" i="1"/>
  <c r="CN198" i="1"/>
  <c r="DU198" i="1"/>
  <c r="BA202" i="1"/>
  <c r="BY202" i="1"/>
  <c r="CG202" i="1"/>
  <c r="AK203" i="1"/>
  <c r="AS203" i="1"/>
  <c r="BQ203" i="1"/>
  <c r="CO320" i="1"/>
  <c r="CO203" i="1"/>
  <c r="CE192" i="1"/>
  <c r="AL192" i="1"/>
  <c r="AP192" i="1"/>
  <c r="AX192" i="1"/>
  <c r="BB192" i="1"/>
  <c r="BF192" i="1"/>
  <c r="BR192" i="1"/>
  <c r="BV192" i="1"/>
  <c r="BZ192" i="1"/>
  <c r="CD270" i="1"/>
  <c r="CD192" i="1"/>
  <c r="CL270" i="1"/>
  <c r="CL192" i="1"/>
  <c r="CP270" i="1"/>
  <c r="CP192" i="1"/>
  <c r="DR270" i="1"/>
  <c r="DR192" i="1"/>
  <c r="DZ270" i="1"/>
  <c r="ED270" i="1"/>
  <c r="ED192" i="1"/>
  <c r="EH270" i="1"/>
  <c r="EH192" i="1"/>
  <c r="AK194" i="1"/>
  <c r="AS194" i="1"/>
  <c r="AX194" i="1"/>
  <c r="BH194" i="1"/>
  <c r="BL194" i="1"/>
  <c r="BQ194" i="1"/>
  <c r="BV194" i="1"/>
  <c r="EH194" i="1"/>
  <c r="AL196" i="1"/>
  <c r="AP196" i="1"/>
  <c r="AZ196" i="1"/>
  <c r="BE196" i="1"/>
  <c r="BM196" i="1"/>
  <c r="BR196" i="1"/>
  <c r="CK324" i="1"/>
  <c r="CK196" i="1"/>
  <c r="EH196" i="1"/>
  <c r="AK198" i="1"/>
  <c r="AS198" i="1"/>
  <c r="AX198" i="1"/>
  <c r="BH198" i="1"/>
  <c r="BL198" i="1"/>
  <c r="BQ198" i="1"/>
  <c r="BV198" i="1"/>
  <c r="CJ198" i="1"/>
  <c r="CO198" i="1"/>
  <c r="DR198" i="1"/>
  <c r="EG198" i="1"/>
  <c r="AW202" i="1"/>
  <c r="BU202" i="1"/>
  <c r="DU202" i="1"/>
  <c r="BE203" i="1"/>
  <c r="BM203" i="1"/>
  <c r="ES282" i="1"/>
  <c r="DH223" i="1"/>
  <c r="DL210" i="1"/>
  <c r="DL75" i="1" s="1"/>
  <c r="EB223" i="1"/>
  <c r="EB211" i="1"/>
  <c r="CW295" i="1"/>
  <c r="CW232" i="1"/>
  <c r="CK320" i="1"/>
  <c r="CK203" i="1"/>
  <c r="EF210" i="1"/>
  <c r="EF75" i="1" s="1"/>
  <c r="DZ214" i="1"/>
  <c r="EA213" i="1"/>
  <c r="EA214" i="1" s="1"/>
  <c r="AL202" i="1"/>
  <c r="AP202" i="1"/>
  <c r="AX202" i="1"/>
  <c r="BB202" i="1"/>
  <c r="BF202" i="1"/>
  <c r="BJ202" i="1"/>
  <c r="BR202" i="1"/>
  <c r="BV202" i="1"/>
  <c r="BZ202" i="1"/>
  <c r="CD202" i="1"/>
  <c r="CL202" i="1"/>
  <c r="CP202" i="1"/>
  <c r="DR202" i="1"/>
  <c r="ED202" i="1"/>
  <c r="AL203" i="1"/>
  <c r="AP203" i="1"/>
  <c r="AX203" i="1"/>
  <c r="BB203" i="1"/>
  <c r="BF203" i="1"/>
  <c r="BJ203" i="1"/>
  <c r="BR203" i="1"/>
  <c r="BV203" i="1"/>
  <c r="BZ203" i="1"/>
  <c r="CD203" i="1"/>
  <c r="CL320" i="1"/>
  <c r="CL203" i="1"/>
  <c r="CP320" i="1"/>
  <c r="CP203" i="1"/>
  <c r="DJ320" i="1"/>
  <c r="DR203" i="1"/>
  <c r="ED203" i="1"/>
  <c r="EH203" i="1"/>
  <c r="FE320" i="1"/>
  <c r="CB196" i="1"/>
  <c r="CF196" i="1"/>
  <c r="CJ196" i="1"/>
  <c r="CN196" i="1"/>
  <c r="CS214" i="1"/>
  <c r="CW213" i="1"/>
  <c r="CW214" i="1" s="1"/>
  <c r="DA214" i="1"/>
  <c r="AE223" i="1"/>
  <c r="AE211" i="1"/>
  <c r="ER223" i="1"/>
  <c r="ET219" i="1"/>
  <c r="DG229" i="1"/>
  <c r="DC232" i="1"/>
  <c r="DC238" i="1"/>
  <c r="DG238" i="1" s="1"/>
  <c r="CF263" i="1"/>
  <c r="AM202" i="1"/>
  <c r="AQ202" i="1"/>
  <c r="AU202" i="1"/>
  <c r="BC202" i="1"/>
  <c r="BO202" i="1"/>
  <c r="BW202" i="1"/>
  <c r="CA202" i="1"/>
  <c r="CE202" i="1"/>
  <c r="CI202" i="1"/>
  <c r="CQ202" i="1"/>
  <c r="DO202" i="1"/>
  <c r="AM203" i="1"/>
  <c r="AQ203" i="1"/>
  <c r="AU203" i="1"/>
  <c r="BC203" i="1"/>
  <c r="BO203" i="1"/>
  <c r="BW203" i="1"/>
  <c r="CA203" i="1"/>
  <c r="CE203" i="1"/>
  <c r="CI320" i="1"/>
  <c r="CI203" i="1"/>
  <c r="CQ320" i="1"/>
  <c r="CQ203" i="1"/>
  <c r="DK320" i="1"/>
  <c r="DO203" i="1"/>
  <c r="EI203" i="1"/>
  <c r="CY210" i="1"/>
  <c r="CY211" i="1" s="1"/>
  <c r="EP214" i="1"/>
  <c r="DG214" i="1"/>
  <c r="DB219" i="1"/>
  <c r="DA226" i="1"/>
  <c r="EJ238" i="1"/>
  <c r="EK238" i="1" s="1"/>
  <c r="S41" i="363" s="1"/>
  <c r="EK237" i="1"/>
  <c r="BI263" i="1"/>
  <c r="AN202" i="1"/>
  <c r="AR202" i="1"/>
  <c r="AV202" i="1"/>
  <c r="AZ202" i="1"/>
  <c r="BH202" i="1"/>
  <c r="BL202" i="1"/>
  <c r="BP202" i="1"/>
  <c r="BT202" i="1"/>
  <c r="CB202" i="1"/>
  <c r="CF202" i="1"/>
  <c r="CJ202" i="1"/>
  <c r="CN202" i="1"/>
  <c r="AN203" i="1"/>
  <c r="AR203" i="1"/>
  <c r="AV203" i="1"/>
  <c r="AZ203" i="1"/>
  <c r="BH203" i="1"/>
  <c r="BL203" i="1"/>
  <c r="BP203" i="1"/>
  <c r="BT203" i="1"/>
  <c r="CB203" i="1"/>
  <c r="CF203" i="1"/>
  <c r="CJ320" i="1"/>
  <c r="CJ203" i="1"/>
  <c r="CN320" i="1"/>
  <c r="CN203" i="1"/>
  <c r="DH320" i="1"/>
  <c r="BZ196" i="1"/>
  <c r="CD196" i="1"/>
  <c r="CL196" i="1"/>
  <c r="CP196" i="1"/>
  <c r="DF210" i="1"/>
  <c r="CK216" i="1"/>
  <c r="CK210" i="1"/>
  <c r="CZ224" i="1"/>
  <c r="CS226" i="1"/>
  <c r="CW226" i="1" s="1"/>
  <c r="CS240" i="1"/>
  <c r="EF295" i="1"/>
  <c r="EF232" i="1"/>
  <c r="EF239" i="1" s="1"/>
  <c r="BD238" i="1"/>
  <c r="BD232" i="1"/>
  <c r="DQ302" i="1"/>
  <c r="CT214" i="1"/>
  <c r="CX214" i="1"/>
  <c r="EK211" i="1"/>
  <c r="CD223" i="1"/>
  <c r="CD211" i="1"/>
  <c r="CM216" i="1"/>
  <c r="DL214" i="1"/>
  <c r="DQ214" i="1"/>
  <c r="CY222" i="1"/>
  <c r="DZ226" i="1"/>
  <c r="DZ223" i="1"/>
  <c r="DZ222" i="1"/>
  <c r="DB230" i="1"/>
  <c r="DB294" i="1" s="1"/>
  <c r="DL295" i="1"/>
  <c r="DL232" i="1"/>
  <c r="DL239" i="1" s="1"/>
  <c r="ER237" i="1"/>
  <c r="EQ237" i="1"/>
  <c r="ET237" i="1" s="1"/>
  <c r="DB237" i="1"/>
  <c r="U243" i="1"/>
  <c r="EE240" i="1"/>
  <c r="P246" i="1"/>
  <c r="U242" i="1"/>
  <c r="BD263" i="1"/>
  <c r="CX270" i="1"/>
  <c r="DQ210" i="1"/>
  <c r="DQ75" i="1" s="1"/>
  <c r="DM223" i="1"/>
  <c r="CP211" i="1"/>
  <c r="CH214" i="1"/>
  <c r="CU214" i="1"/>
  <c r="DB213" i="1"/>
  <c r="DB214" i="1" s="1"/>
  <c r="CX224" i="1"/>
  <c r="CU222" i="1"/>
  <c r="CZ222" i="1"/>
  <c r="EA219" i="1"/>
  <c r="EF226" i="1"/>
  <c r="R35" i="363" s="1"/>
  <c r="CY240" i="1"/>
  <c r="EK227" i="1"/>
  <c r="EA229" i="1"/>
  <c r="DZ232" i="1"/>
  <c r="DG294" i="1"/>
  <c r="AY238" i="1"/>
  <c r="DA238" i="1"/>
  <c r="DB238" i="1" s="1"/>
  <c r="ES237" i="1"/>
  <c r="DQ238" i="1"/>
  <c r="O41" i="363" s="1"/>
  <c r="O42" i="363" s="1"/>
  <c r="DV238" i="1"/>
  <c r="P41" i="363" s="1"/>
  <c r="P42" i="363" s="1"/>
  <c r="EA238" i="1"/>
  <c r="Q41" i="363" s="1"/>
  <c r="DZ238" i="1"/>
  <c r="DQ239" i="1"/>
  <c r="ER262" i="1"/>
  <c r="CI263" i="1"/>
  <c r="FE251" i="1"/>
  <c r="CH272" i="1"/>
  <c r="CL272" i="1"/>
  <c r="CR214" i="1"/>
  <c r="CV214" i="1"/>
  <c r="CZ214" i="1"/>
  <c r="EP210" i="1"/>
  <c r="EP75" i="1" s="1"/>
  <c r="EM211" i="1"/>
  <c r="CF211" i="1"/>
  <c r="CF210" i="1"/>
  <c r="CY214" i="1"/>
  <c r="CR216" i="1"/>
  <c r="CT224" i="1"/>
  <c r="DV210" i="1"/>
  <c r="DV75" i="1" s="1"/>
  <c r="DY240" i="1"/>
  <c r="DZ217" i="1"/>
  <c r="EK214" i="1"/>
  <c r="DA223" i="1"/>
  <c r="ER258" i="1"/>
  <c r="EQ260" i="1"/>
  <c r="DY224" i="1"/>
  <c r="CW225" i="1"/>
  <c r="CX226" i="1"/>
  <c r="DB226" i="1" s="1"/>
  <c r="DB225" i="1"/>
  <c r="DL226" i="1"/>
  <c r="DL227" i="1" s="1"/>
  <c r="DQ226" i="1"/>
  <c r="O35" i="363" s="1"/>
  <c r="O36" i="363" s="1"/>
  <c r="DV226" i="1"/>
  <c r="P35" i="363" s="1"/>
  <c r="P36" i="363" s="1"/>
  <c r="EA226" i="1"/>
  <c r="Q35" i="363" s="1"/>
  <c r="CV240" i="1"/>
  <c r="CZ240" i="1"/>
  <c r="DQ227" i="1"/>
  <c r="P238" i="1"/>
  <c r="P232" i="1"/>
  <c r="CS238" i="1"/>
  <c r="DV239" i="1"/>
  <c r="EP238" i="1"/>
  <c r="CJ263" i="1"/>
  <c r="CN263" i="1"/>
  <c r="DM289" i="1"/>
  <c r="DM264" i="1"/>
  <c r="CQ263" i="1"/>
  <c r="CY279" i="1"/>
  <c r="CY277" i="1" s="1"/>
  <c r="CY271" i="1"/>
  <c r="EP328" i="1"/>
  <c r="EQ268" i="1"/>
  <c r="EC211" i="1"/>
  <c r="CL211" i="1"/>
  <c r="EP212" i="1"/>
  <c r="CG216" i="1"/>
  <c r="DQ212" i="1"/>
  <c r="CJ223" i="1"/>
  <c r="CN223" i="1"/>
  <c r="CZ223" i="1"/>
  <c r="DD223" i="1"/>
  <c r="EE222" i="1"/>
  <c r="EE223" i="1"/>
  <c r="EJ223" i="1"/>
  <c r="EO223" i="1"/>
  <c r="CS232" i="1"/>
  <c r="CX232" i="1"/>
  <c r="EF294" i="1"/>
  <c r="EP232" i="1"/>
  <c r="DV232" i="1"/>
  <c r="EA294" i="1"/>
  <c r="EP237" i="1"/>
  <c r="CY302" i="1"/>
  <c r="EQ259" i="1"/>
  <c r="ER259" i="1" s="1"/>
  <c r="ES259" i="1" s="1"/>
  <c r="ET259" i="1" s="1"/>
  <c r="EU259" i="1" s="1"/>
  <c r="CC263" i="1"/>
  <c r="CG263" i="1"/>
  <c r="CK263" i="1"/>
  <c r="CO263" i="1"/>
  <c r="CW260" i="1"/>
  <c r="CE263" i="1"/>
  <c r="CU262" i="1"/>
  <c r="EK302" i="1"/>
  <c r="CS264" i="1"/>
  <c r="CS262" i="1"/>
  <c r="DA264" i="1"/>
  <c r="CS270" i="1"/>
  <c r="CY348" i="1"/>
  <c r="CY328" i="1"/>
  <c r="EP273" i="1"/>
  <c r="EP280" i="1" s="1"/>
  <c r="EA288" i="1"/>
  <c r="EA279" i="1"/>
  <c r="AO272" i="1"/>
  <c r="DG270" i="1"/>
  <c r="DQ277" i="1"/>
  <c r="EI289" i="1"/>
  <c r="EN289" i="1"/>
  <c r="DW289" i="1"/>
  <c r="DL305" i="1"/>
  <c r="DQ305" i="1" s="1"/>
  <c r="DV305" i="1" s="1"/>
  <c r="EA305" i="1" s="1"/>
  <c r="EF305" i="1" s="1"/>
  <c r="EK305" i="1" s="1"/>
  <c r="DH305" i="1"/>
  <c r="DI305" i="1" s="1"/>
  <c r="DJ305" i="1" s="1"/>
  <c r="DK305" i="1" s="1"/>
  <c r="Z211" i="1"/>
  <c r="CH216" i="1"/>
  <c r="DV212" i="1"/>
  <c r="EK210" i="1"/>
  <c r="DG219" i="1"/>
  <c r="EF219" i="1"/>
  <c r="EP219" i="1"/>
  <c r="CO223" i="1"/>
  <c r="DW223" i="1"/>
  <c r="EG222" i="1"/>
  <c r="EG223" i="1"/>
  <c r="EL223" i="1"/>
  <c r="EQ223" i="1"/>
  <c r="DC226" i="1"/>
  <c r="DG226" i="1" s="1"/>
  <c r="DL223" i="1"/>
  <c r="DV223" i="1"/>
  <c r="CT232" i="1"/>
  <c r="EE232" i="1"/>
  <c r="DB229" i="1"/>
  <c r="BN238" i="1"/>
  <c r="Z263" i="1"/>
  <c r="AT263" i="1"/>
  <c r="BN263" i="1"/>
  <c r="CD263" i="1"/>
  <c r="CL263" i="1"/>
  <c r="CP263" i="1"/>
  <c r="AJ263" i="1"/>
  <c r="BX263" i="1"/>
  <c r="CT348" i="1"/>
  <c r="CT328" i="1"/>
  <c r="CT271" i="1"/>
  <c r="CZ270" i="1"/>
  <c r="EA270" i="1"/>
  <c r="CS288" i="1"/>
  <c r="CS289" i="1" s="1"/>
  <c r="DH289" i="1"/>
  <c r="DP289" i="1"/>
  <c r="DU289" i="1"/>
  <c r="EE289" i="1"/>
  <c r="CM288" i="1"/>
  <c r="CM289" i="1" s="1"/>
  <c r="CM279" i="1"/>
  <c r="EA210" i="1"/>
  <c r="EA75" i="1" s="1"/>
  <c r="EA212" i="1"/>
  <c r="EL211" i="1"/>
  <c r="EP211" i="1" s="1"/>
  <c r="DC214" i="1"/>
  <c r="EE214" i="1"/>
  <c r="EF213" i="1"/>
  <c r="EF214" i="1" s="1"/>
  <c r="CR222" i="1"/>
  <c r="DD222" i="1"/>
  <c r="CR224" i="1"/>
  <c r="CR233" i="1" s="1"/>
  <c r="DD224" i="1"/>
  <c r="EP294" i="1"/>
  <c r="AT232" i="1"/>
  <c r="DQ294" i="1"/>
  <c r="CZ264" i="1"/>
  <c r="CZ262" i="1"/>
  <c r="AE263" i="1"/>
  <c r="AY263" i="1"/>
  <c r="BS263" i="1"/>
  <c r="EF260" i="1"/>
  <c r="CU270" i="1"/>
  <c r="CW277" i="1"/>
  <c r="ES267" i="1"/>
  <c r="EF277" i="1"/>
  <c r="DA289" i="1"/>
  <c r="EB289" i="1"/>
  <c r="DA260" i="1"/>
  <c r="DA262" i="1" s="1"/>
  <c r="CR262" i="1"/>
  <c r="CV262" i="1"/>
  <c r="CU348" i="1"/>
  <c r="CU328" i="1"/>
  <c r="CU271" i="1"/>
  <c r="CZ348" i="1"/>
  <c r="CZ328" i="1"/>
  <c r="CZ271" i="1"/>
  <c r="BS272" i="1"/>
  <c r="DG273" i="1"/>
  <c r="DG280" i="1" s="1"/>
  <c r="DL348" i="1"/>
  <c r="DL273" i="1"/>
  <c r="DV270" i="1"/>
  <c r="EF348" i="1"/>
  <c r="EF273" i="1"/>
  <c r="EF280" i="1" s="1"/>
  <c r="CT288" i="1"/>
  <c r="CT289" i="1" s="1"/>
  <c r="CY288" i="1"/>
  <c r="CY289" i="1" s="1"/>
  <c r="DI289" i="1"/>
  <c r="EJ289" i="1"/>
  <c r="EO289" i="1"/>
  <c r="BN288" i="1"/>
  <c r="BN289" i="1" s="1"/>
  <c r="BN279" i="1"/>
  <c r="CT287" i="1"/>
  <c r="EG289" i="1"/>
  <c r="CW250" i="1"/>
  <c r="CV348" i="1"/>
  <c r="CW267" i="1"/>
  <c r="CV328" i="1"/>
  <c r="CW268" i="1"/>
  <c r="CV270" i="1"/>
  <c r="CV271" i="1"/>
  <c r="DA348" i="1"/>
  <c r="DA328" i="1"/>
  <c r="DB268" i="1"/>
  <c r="DA270" i="1"/>
  <c r="DA271" i="1"/>
  <c r="EP348" i="1"/>
  <c r="BI272" i="1"/>
  <c r="DB267" i="1"/>
  <c r="DQ270" i="1"/>
  <c r="EK270" i="1"/>
  <c r="CL278" i="1"/>
  <c r="CR277" i="1"/>
  <c r="CU288" i="1"/>
  <c r="CU289" i="1" s="1"/>
  <c r="DS288" i="1"/>
  <c r="DS289" i="1" s="1"/>
  <c r="DX289" i="1"/>
  <c r="CC279" i="1"/>
  <c r="CC288" i="1"/>
  <c r="CC289" i="1" s="1"/>
  <c r="CZ287" i="1"/>
  <c r="CZ288" i="1" s="1"/>
  <c r="CZ289" i="1" s="1"/>
  <c r="EM289" i="1"/>
  <c r="DB250" i="1"/>
  <c r="CS348" i="1"/>
  <c r="CS328" i="1"/>
  <c r="CS271" i="1"/>
  <c r="CX348" i="1"/>
  <c r="CX328" i="1"/>
  <c r="CX271" i="1"/>
  <c r="AY272" i="1"/>
  <c r="DL270" i="1"/>
  <c r="DQ280" i="1"/>
  <c r="DV267" i="1"/>
  <c r="EF270" i="1"/>
  <c r="EK288" i="1"/>
  <c r="EK279" i="1"/>
  <c r="DL277" i="1"/>
  <c r="ER277" i="1"/>
  <c r="DK289" i="1"/>
  <c r="DO289" i="1"/>
  <c r="DT289" i="1"/>
  <c r="DY289" i="1"/>
  <c r="CV287" i="1"/>
  <c r="CV288" i="1" s="1"/>
  <c r="CV289" i="1" s="1"/>
  <c r="CW282" i="1"/>
  <c r="CW287" i="1" s="1"/>
  <c r="AT288" i="1"/>
  <c r="AT289" i="1" s="1"/>
  <c r="DL304" i="1"/>
  <c r="DQ304" i="1" s="1"/>
  <c r="DV304" i="1" s="1"/>
  <c r="EA304" i="1" s="1"/>
  <c r="EF304" i="1" s="1"/>
  <c r="EK304" i="1" s="1"/>
  <c r="DH304" i="1"/>
  <c r="DI304" i="1" s="1"/>
  <c r="DJ304" i="1" s="1"/>
  <c r="DK304" i="1" s="1"/>
  <c r="DC348" i="1"/>
  <c r="DC271" i="1"/>
  <c r="DL328" i="1"/>
  <c r="EF328" i="1"/>
  <c r="AJ279" i="1"/>
  <c r="BD279" i="1"/>
  <c r="BX279" i="1"/>
  <c r="CH279" i="1"/>
  <c r="DC328" i="1"/>
  <c r="DG348" i="1"/>
  <c r="DQ348" i="1"/>
  <c r="EA348" i="1"/>
  <c r="EK348" i="1"/>
  <c r="CX288" i="1"/>
  <c r="CX289" i="1" s="1"/>
  <c r="DJ289" i="1"/>
  <c r="DN289" i="1"/>
  <c r="DR289" i="1"/>
  <c r="DZ289" i="1"/>
  <c r="ED289" i="1"/>
  <c r="EH289" i="1"/>
  <c r="EL289" i="1"/>
  <c r="U279" i="1"/>
  <c r="DB282" i="1"/>
  <c r="DB287" i="1" s="1"/>
  <c r="DG328" i="1"/>
  <c r="DQ328" i="1"/>
  <c r="EA328" i="1"/>
  <c r="EK328" i="1"/>
  <c r="CV344" i="1"/>
  <c r="CW344" i="1" s="1"/>
  <c r="DB344" i="1" s="1"/>
  <c r="DY433" i="1"/>
  <c r="DZ434" i="1"/>
  <c r="DY434" i="1" s="1"/>
  <c r="DG365" i="1"/>
  <c r="DY429" i="1"/>
  <c r="DZ428" i="1"/>
  <c r="DY428" i="1" s="1"/>
  <c r="H32" i="363"/>
  <c r="F32" i="363"/>
  <c r="CW294" i="1" l="1"/>
  <c r="DG153" i="1"/>
  <c r="DL153" i="1" s="1"/>
  <c r="DQ153" i="1" s="1"/>
  <c r="DV153" i="1" s="1"/>
  <c r="EA153" i="1" s="1"/>
  <c r="EF153" i="1" s="1"/>
  <c r="AZ92" i="1"/>
  <c r="ES158" i="1"/>
  <c r="ER155" i="1"/>
  <c r="ER230" i="1" s="1"/>
  <c r="CY14" i="1"/>
  <c r="EI204" i="1"/>
  <c r="EH204" i="1"/>
  <c r="CW238" i="1"/>
  <c r="CW239" i="1" s="1"/>
  <c r="DE138" i="1"/>
  <c r="DC105" i="1"/>
  <c r="S94" i="1"/>
  <c r="X95" i="1" s="1"/>
  <c r="X92" i="1"/>
  <c r="AM94" i="1"/>
  <c r="AR95" i="1" s="1"/>
  <c r="AR92" i="1"/>
  <c r="AK93" i="1"/>
  <c r="AB92" i="1"/>
  <c r="AM105" i="1"/>
  <c r="DC103" i="1"/>
  <c r="AN92" i="1"/>
  <c r="AN93" i="1"/>
  <c r="EC178" i="1"/>
  <c r="DM178" i="1"/>
  <c r="EQ175" i="1"/>
  <c r="EQ34" i="1"/>
  <c r="EQ21" i="1"/>
  <c r="DY178" i="1"/>
  <c r="DR140" i="1"/>
  <c r="DR115" i="1"/>
  <c r="DR113" i="1"/>
  <c r="DR112" i="1"/>
  <c r="EA109" i="1"/>
  <c r="Q11" i="363"/>
  <c r="EA36" i="1"/>
  <c r="EA35" i="1"/>
  <c r="DS263" i="1"/>
  <c r="DS251" i="1"/>
  <c r="DS196" i="1"/>
  <c r="DS191" i="1"/>
  <c r="DS198" i="1"/>
  <c r="DS194" i="1"/>
  <c r="DS197" i="1"/>
  <c r="DS192" i="1"/>
  <c r="DS203" i="1"/>
  <c r="DS204" i="1"/>
  <c r="DS202" i="1"/>
  <c r="DU193" i="1"/>
  <c r="DU178" i="1"/>
  <c r="EH115" i="1"/>
  <c r="EH113" i="1"/>
  <c r="EH112" i="1"/>
  <c r="EH140" i="1"/>
  <c r="DN115" i="1"/>
  <c r="DN113" i="1"/>
  <c r="DN140" i="1"/>
  <c r="EK176" i="1"/>
  <c r="EK104" i="1"/>
  <c r="EK106" i="1"/>
  <c r="EK102" i="1"/>
  <c r="S19" i="363"/>
  <c r="S16" i="363" s="1"/>
  <c r="DB262" i="1"/>
  <c r="EN178" i="1"/>
  <c r="EE251" i="1"/>
  <c r="EE263" i="1"/>
  <c r="EE197" i="1"/>
  <c r="EE196" i="1"/>
  <c r="EE198" i="1"/>
  <c r="EE194" i="1"/>
  <c r="EE191" i="1"/>
  <c r="EE192" i="1"/>
  <c r="EE202" i="1"/>
  <c r="EE203" i="1"/>
  <c r="DW263" i="1"/>
  <c r="DW251" i="1"/>
  <c r="DW191" i="1"/>
  <c r="DW198" i="1"/>
  <c r="DW194" i="1"/>
  <c r="DW197" i="1"/>
  <c r="DW196" i="1"/>
  <c r="DW202" i="1"/>
  <c r="DW203" i="1"/>
  <c r="DW192" i="1"/>
  <c r="H39" i="363"/>
  <c r="EZ11" i="1"/>
  <c r="EU12" i="1"/>
  <c r="CW262" i="1"/>
  <c r="EP223" i="1"/>
  <c r="EP227" i="1"/>
  <c r="DL365" i="1"/>
  <c r="DH365" i="1"/>
  <c r="DG344" i="1"/>
  <c r="DC344" i="1"/>
  <c r="DD344" i="1" s="1"/>
  <c r="DE344" i="1" s="1"/>
  <c r="DF344" i="1" s="1"/>
  <c r="DV348" i="1"/>
  <c r="DV273" i="1"/>
  <c r="DV280" i="1" s="1"/>
  <c r="DW267" i="1"/>
  <c r="DV130" i="1"/>
  <c r="DV131" i="1" s="1"/>
  <c r="DV132" i="1" s="1"/>
  <c r="EA130" i="1"/>
  <c r="EA131" i="1" s="1"/>
  <c r="EA132" i="1" s="1"/>
  <c r="P50" i="363"/>
  <c r="DB348" i="1"/>
  <c r="DB130" i="1"/>
  <c r="DG130" i="1"/>
  <c r="DG131" i="1" s="1"/>
  <c r="DC130" i="1"/>
  <c r="DC131" i="1" s="1"/>
  <c r="DB328" i="1"/>
  <c r="CW302" i="1"/>
  <c r="DG279" i="1"/>
  <c r="DG288" i="1"/>
  <c r="DG227" i="1"/>
  <c r="ER268" i="1"/>
  <c r="DZ224" i="1"/>
  <c r="DZ240" i="1"/>
  <c r="ES262" i="1"/>
  <c r="CK223" i="1"/>
  <c r="CK75" i="1"/>
  <c r="DF223" i="1"/>
  <c r="DF75" i="1"/>
  <c r="EK239" i="1"/>
  <c r="S38" i="363"/>
  <c r="S42" i="363" s="1"/>
  <c r="DB227" i="1"/>
  <c r="DQ223" i="1"/>
  <c r="ET282" i="1"/>
  <c r="EP159" i="1"/>
  <c r="EP160" i="1" s="1"/>
  <c r="DY138" i="1"/>
  <c r="CX187" i="1"/>
  <c r="CX137" i="1"/>
  <c r="DC138" i="1" s="1"/>
  <c r="DA320" i="1"/>
  <c r="EU185" i="1"/>
  <c r="BT138" i="1"/>
  <c r="DG186" i="1"/>
  <c r="DG134" i="1"/>
  <c r="DE316" i="1"/>
  <c r="CZ320" i="1"/>
  <c r="ET185" i="1"/>
  <c r="BI187" i="1"/>
  <c r="BI137" i="1"/>
  <c r="DD316" i="1"/>
  <c r="DD320" i="1"/>
  <c r="CW185" i="1"/>
  <c r="DN138" i="1"/>
  <c r="BJ138" i="1"/>
  <c r="EA187" i="1"/>
  <c r="EA137" i="1"/>
  <c r="BS187" i="1"/>
  <c r="BS137" i="1"/>
  <c r="AO187" i="1"/>
  <c r="AO137" i="1"/>
  <c r="BX187" i="1"/>
  <c r="BX137" i="1"/>
  <c r="BX138" i="1" s="1"/>
  <c r="CL316" i="1"/>
  <c r="CL204" i="1"/>
  <c r="ES186" i="1"/>
  <c r="ES134" i="1"/>
  <c r="ET133" i="1"/>
  <c r="CU103" i="1"/>
  <c r="CE103" i="1"/>
  <c r="BO103" i="1"/>
  <c r="AY103" i="1"/>
  <c r="DE178" i="1"/>
  <c r="CN178" i="1"/>
  <c r="CN193" i="1"/>
  <c r="BL178" i="1"/>
  <c r="BL195" i="1" s="1"/>
  <c r="BL193" i="1"/>
  <c r="AZ178" i="1"/>
  <c r="AZ195" i="1" s="1"/>
  <c r="AZ193" i="1"/>
  <c r="CY103" i="1"/>
  <c r="CT103" i="1"/>
  <c r="DX176" i="1"/>
  <c r="DX104" i="1"/>
  <c r="DX100" i="1"/>
  <c r="DX106" i="1"/>
  <c r="DX102" i="1"/>
  <c r="DX101" i="1"/>
  <c r="DB176" i="1"/>
  <c r="DB102" i="1"/>
  <c r="DB91" i="1"/>
  <c r="DB104" i="1"/>
  <c r="DB100" i="1"/>
  <c r="BW178" i="1"/>
  <c r="BW195" i="1" s="1"/>
  <c r="BW193" i="1"/>
  <c r="BK178" i="1"/>
  <c r="AY278" i="1"/>
  <c r="CF90" i="1"/>
  <c r="CA90" i="1"/>
  <c r="DA187" i="1"/>
  <c r="EI176" i="1"/>
  <c r="EI102" i="1"/>
  <c r="EI103" i="1" s="1"/>
  <c r="EI104" i="1"/>
  <c r="EI101" i="1"/>
  <c r="EI100" i="1"/>
  <c r="EI106" i="1"/>
  <c r="EI107" i="1" s="1"/>
  <c r="DO176" i="1"/>
  <c r="DO102" i="1"/>
  <c r="DO104" i="1"/>
  <c r="DO105" i="1" s="1"/>
  <c r="DO101" i="1"/>
  <c r="DO100" i="1"/>
  <c r="DO106" i="1"/>
  <c r="DA178" i="1"/>
  <c r="CD193" i="1"/>
  <c r="CD178" i="1"/>
  <c r="BF193" i="1"/>
  <c r="BF178" i="1"/>
  <c r="BF195" i="1" s="1"/>
  <c r="AT278" i="1"/>
  <c r="AT272" i="1"/>
  <c r="CX92" i="1"/>
  <c r="CX93" i="1"/>
  <c r="CX94" i="1"/>
  <c r="J92" i="1"/>
  <c r="J94" i="1"/>
  <c r="J93" i="1"/>
  <c r="BN105" i="1"/>
  <c r="CV103" i="1"/>
  <c r="CF103" i="1"/>
  <c r="BP103" i="1"/>
  <c r="AZ103" i="1"/>
  <c r="ED176" i="1"/>
  <c r="ED106" i="1"/>
  <c r="ED107" i="1" s="1"/>
  <c r="ED102" i="1"/>
  <c r="ED103" i="1" s="1"/>
  <c r="ED101" i="1"/>
  <c r="ED104" i="1"/>
  <c r="ED105" i="1" s="1"/>
  <c r="ED100" i="1"/>
  <c r="DJ176" i="1"/>
  <c r="DJ106" i="1"/>
  <c r="DJ107" i="1" s="1"/>
  <c r="DJ102" i="1"/>
  <c r="DJ103" i="1" s="1"/>
  <c r="DJ101" i="1"/>
  <c r="FJ101" i="1" s="1"/>
  <c r="DJ104" i="1"/>
  <c r="DJ105" i="1" s="1"/>
  <c r="DJ100" i="1"/>
  <c r="CO193" i="1"/>
  <c r="CO178" i="1"/>
  <c r="BM193" i="1"/>
  <c r="BM178" i="1"/>
  <c r="BM195" i="1" s="1"/>
  <c r="BA193" i="1"/>
  <c r="BA178" i="1"/>
  <c r="BA195" i="1" s="1"/>
  <c r="DQ92" i="1"/>
  <c r="DQ94" i="1"/>
  <c r="CQ105" i="1"/>
  <c r="AA103" i="1"/>
  <c r="EE95" i="1"/>
  <c r="AA95" i="1"/>
  <c r="Y90" i="1"/>
  <c r="BN90" i="1"/>
  <c r="AT90" i="1"/>
  <c r="Z92" i="1"/>
  <c r="Z94" i="1"/>
  <c r="Z95" i="1" s="1"/>
  <c r="DV324" i="1"/>
  <c r="DD324" i="1"/>
  <c r="AO77" i="1"/>
  <c r="CW181" i="1"/>
  <c r="CW76" i="1"/>
  <c r="CW77" i="1" s="1"/>
  <c r="CW73" i="1"/>
  <c r="CW78" i="1"/>
  <c r="CC210" i="1"/>
  <c r="CC216" i="1"/>
  <c r="CC211" i="1"/>
  <c r="AO211" i="1"/>
  <c r="AO210" i="1"/>
  <c r="AO223" i="1" s="1"/>
  <c r="CO93" i="1"/>
  <c r="CO92" i="1"/>
  <c r="CO94" i="1"/>
  <c r="CF94" i="1"/>
  <c r="CG93" i="1"/>
  <c r="CF92" i="1"/>
  <c r="CF93" i="1"/>
  <c r="EN52" i="1"/>
  <c r="ES52" i="1" s="1"/>
  <c r="EN45" i="1"/>
  <c r="CZ103" i="1"/>
  <c r="CD105" i="1"/>
  <c r="BF105" i="1"/>
  <c r="AD103" i="1"/>
  <c r="J103" i="1"/>
  <c r="CD90" i="1"/>
  <c r="EK324" i="1"/>
  <c r="DQ324" i="1"/>
  <c r="CM324" i="1"/>
  <c r="FI74" i="1"/>
  <c r="CJ94" i="1"/>
  <c r="CJ93" i="1"/>
  <c r="CJ92" i="1"/>
  <c r="AE55" i="1"/>
  <c r="AE56" i="1"/>
  <c r="AE57" i="1" s="1"/>
  <c r="EM52" i="1"/>
  <c r="ER52" i="1" s="1"/>
  <c r="EM45" i="1"/>
  <c r="ER93" i="1"/>
  <c r="ER92" i="1"/>
  <c r="EC100" i="1"/>
  <c r="DI101" i="1"/>
  <c r="DI105" i="1"/>
  <c r="CW87" i="1"/>
  <c r="CW89" i="1"/>
  <c r="CW90" i="1" s="1"/>
  <c r="BD94" i="1"/>
  <c r="BD92" i="1"/>
  <c r="DL324" i="1"/>
  <c r="CZ324" i="1"/>
  <c r="CT324" i="1"/>
  <c r="CH83" i="1"/>
  <c r="BN324" i="1"/>
  <c r="CU210" i="1"/>
  <c r="CU211" i="1" s="1"/>
  <c r="CY93" i="1"/>
  <c r="CY94" i="1"/>
  <c r="CY92" i="1"/>
  <c r="CD92" i="1"/>
  <c r="CD93" i="1"/>
  <c r="CD94" i="1"/>
  <c r="DA46" i="1"/>
  <c r="CV46" i="1"/>
  <c r="CN105" i="1"/>
  <c r="AB105" i="1"/>
  <c r="EG100" i="1"/>
  <c r="DQ99" i="1"/>
  <c r="BG95" i="1"/>
  <c r="DG90" i="1"/>
  <c r="BS94" i="1"/>
  <c r="BS92" i="1"/>
  <c r="DV77" i="1"/>
  <c r="BI85" i="1"/>
  <c r="T85" i="1"/>
  <c r="BX210" i="1"/>
  <c r="EA57" i="1"/>
  <c r="E46" i="363"/>
  <c r="EP177" i="1"/>
  <c r="EP56" i="1"/>
  <c r="CL92" i="1"/>
  <c r="CL94" i="1"/>
  <c r="CL95" i="1" s="1"/>
  <c r="CL93" i="1"/>
  <c r="AJ51" i="1"/>
  <c r="DM53" i="1"/>
  <c r="DA77" i="1"/>
  <c r="CV77" i="1"/>
  <c r="CE57" i="1"/>
  <c r="CX51" i="1"/>
  <c r="DB50" i="1"/>
  <c r="DH46" i="1"/>
  <c r="CU52" i="1"/>
  <c r="CU53" i="1" s="1"/>
  <c r="DJ109" i="1"/>
  <c r="DJ35" i="1"/>
  <c r="DJ36" i="1"/>
  <c r="DJ37" i="1" s="1"/>
  <c r="CP182" i="1"/>
  <c r="CP140" i="1"/>
  <c r="CP115" i="1"/>
  <c r="CP113" i="1"/>
  <c r="CP112" i="1"/>
  <c r="CL182" i="1"/>
  <c r="CL140" i="1"/>
  <c r="CL115" i="1"/>
  <c r="CL113" i="1"/>
  <c r="CL112" i="1"/>
  <c r="CD182" i="1"/>
  <c r="CD140" i="1"/>
  <c r="CD115" i="1"/>
  <c r="CD113" i="1"/>
  <c r="CD112" i="1"/>
  <c r="CH111" i="1"/>
  <c r="BN222" i="1"/>
  <c r="BN174" i="1"/>
  <c r="BN110" i="1"/>
  <c r="BF182" i="1"/>
  <c r="BF199" i="1" s="1"/>
  <c r="BF140" i="1"/>
  <c r="BF115" i="1"/>
  <c r="BF113" i="1"/>
  <c r="BF112" i="1"/>
  <c r="BB197" i="1"/>
  <c r="BB191" i="1"/>
  <c r="AT36" i="1"/>
  <c r="AT35" i="1"/>
  <c r="AP197" i="1"/>
  <c r="AP191" i="1"/>
  <c r="AH140" i="1"/>
  <c r="AH115" i="1"/>
  <c r="AH113" i="1"/>
  <c r="AH112" i="1"/>
  <c r="Z251" i="1"/>
  <c r="Z222" i="1"/>
  <c r="Z110" i="1"/>
  <c r="B140" i="1"/>
  <c r="B113" i="1"/>
  <c r="B115" i="1"/>
  <c r="F111" i="1"/>
  <c r="DQ23" i="1"/>
  <c r="DQ24" i="1"/>
  <c r="BI23" i="1"/>
  <c r="BI24" i="1"/>
  <c r="EP175" i="1"/>
  <c r="EP34" i="1"/>
  <c r="EP22" i="1"/>
  <c r="DK270" i="1"/>
  <c r="DR84" i="1"/>
  <c r="DR50" i="1"/>
  <c r="ER17" i="1"/>
  <c r="ER16" i="1"/>
  <c r="ES15" i="1"/>
  <c r="ES16" i="1" s="1"/>
  <c r="CC77" i="1"/>
  <c r="EF57" i="1"/>
  <c r="CY57" i="1"/>
  <c r="BD46" i="1"/>
  <c r="DF37" i="1"/>
  <c r="EC115" i="1"/>
  <c r="EC113" i="1"/>
  <c r="EC140" i="1"/>
  <c r="DQ109" i="1"/>
  <c r="DQ36" i="1"/>
  <c r="O11" i="363"/>
  <c r="CO251" i="1"/>
  <c r="CO197" i="1"/>
  <c r="CO191" i="1"/>
  <c r="CK251" i="1"/>
  <c r="CK197" i="1"/>
  <c r="CK191" i="1"/>
  <c r="CG251" i="1"/>
  <c r="CG197" i="1"/>
  <c r="CG191" i="1"/>
  <c r="BU182" i="1"/>
  <c r="BU199" i="1" s="1"/>
  <c r="BU115" i="1"/>
  <c r="BU113" i="1"/>
  <c r="BU112" i="1"/>
  <c r="BU140" i="1"/>
  <c r="BQ197" i="1"/>
  <c r="BQ191" i="1"/>
  <c r="BI36" i="1"/>
  <c r="BI35" i="1"/>
  <c r="BE197" i="1"/>
  <c r="BE191" i="1"/>
  <c r="AS182" i="1"/>
  <c r="AS199" i="1" s="1"/>
  <c r="AS115" i="1"/>
  <c r="AS113" i="1"/>
  <c r="AS112" i="1"/>
  <c r="AS140" i="1"/>
  <c r="AG115" i="1"/>
  <c r="AG113" i="1"/>
  <c r="AG112" i="1"/>
  <c r="AG140" i="1"/>
  <c r="Y115" i="1"/>
  <c r="Y113" i="1"/>
  <c r="Y140" i="1"/>
  <c r="EA32" i="1"/>
  <c r="EF31" i="1"/>
  <c r="EA31" i="1"/>
  <c r="BN31" i="1"/>
  <c r="BN32" i="1"/>
  <c r="BS31" i="1"/>
  <c r="ES22" i="1"/>
  <c r="EN25" i="1"/>
  <c r="CV25" i="1"/>
  <c r="CV24" i="1"/>
  <c r="CV23" i="1"/>
  <c r="AJ24" i="1"/>
  <c r="AJ23" i="1"/>
  <c r="CY270" i="1"/>
  <c r="CT270" i="1"/>
  <c r="EG84" i="1"/>
  <c r="EG85" i="1" s="1"/>
  <c r="EG50" i="1"/>
  <c r="DA85" i="1"/>
  <c r="CC50" i="1"/>
  <c r="BY51" i="1"/>
  <c r="FR5" i="1"/>
  <c r="FR10" i="1"/>
  <c r="DB70" i="1"/>
  <c r="DB9" i="1"/>
  <c r="AE69" i="1"/>
  <c r="Y83" i="1"/>
  <c r="CC69" i="1"/>
  <c r="DC57" i="1"/>
  <c r="CU51" i="1"/>
  <c r="BZ46" i="1"/>
  <c r="CW45" i="1"/>
  <c r="CW46" i="1" s="1"/>
  <c r="CW52" i="1"/>
  <c r="CW53" i="1" s="1"/>
  <c r="CW40" i="1"/>
  <c r="EN109" i="1"/>
  <c r="EN36" i="1"/>
  <c r="EB37" i="1"/>
  <c r="DT37" i="1"/>
  <c r="DH109" i="1"/>
  <c r="DH36" i="1"/>
  <c r="DH35" i="1"/>
  <c r="DL34" i="1"/>
  <c r="DQ35" i="1" s="1"/>
  <c r="CZ115" i="1"/>
  <c r="CZ113" i="1"/>
  <c r="CZ140" i="1"/>
  <c r="CR174" i="1"/>
  <c r="CR198" i="1" s="1"/>
  <c r="CR110" i="1"/>
  <c r="BX36" i="1"/>
  <c r="BX35" i="1"/>
  <c r="BT197" i="1"/>
  <c r="BT191" i="1"/>
  <c r="BL140" i="1"/>
  <c r="BL115" i="1"/>
  <c r="BL113" i="1"/>
  <c r="AR197" i="1"/>
  <c r="AR191" i="1"/>
  <c r="AJ36" i="1"/>
  <c r="AJ35" i="1"/>
  <c r="T109" i="1"/>
  <c r="T36" i="1"/>
  <c r="Y37" i="1" s="1"/>
  <c r="T35" i="1"/>
  <c r="EU26" i="1"/>
  <c r="EU29" i="1"/>
  <c r="EZ28" i="1"/>
  <c r="CW31" i="1"/>
  <c r="CW32" i="1"/>
  <c r="CW33" i="1" s="1"/>
  <c r="DC24" i="1"/>
  <c r="DC23" i="1"/>
  <c r="DC25" i="1"/>
  <c r="BL192" i="1"/>
  <c r="EF50" i="1"/>
  <c r="DL50" i="1"/>
  <c r="DH51" i="1"/>
  <c r="CR50" i="1"/>
  <c r="CN51" i="1"/>
  <c r="BX50" i="1"/>
  <c r="BT51" i="1"/>
  <c r="O83" i="1"/>
  <c r="Y57" i="1"/>
  <c r="CO53" i="1"/>
  <c r="EP99" i="1"/>
  <c r="AT46" i="1"/>
  <c r="EI37" i="1"/>
  <c r="CA37" i="1"/>
  <c r="AU37" i="1"/>
  <c r="AA37" i="1"/>
  <c r="G37" i="1"/>
  <c r="EI251" i="1"/>
  <c r="EI263" i="1"/>
  <c r="EI196" i="1"/>
  <c r="EI191" i="1"/>
  <c r="EI198" i="1"/>
  <c r="EI194" i="1"/>
  <c r="EI197" i="1"/>
  <c r="DO251" i="1"/>
  <c r="DO263" i="1"/>
  <c r="DO197" i="1"/>
  <c r="DO196" i="1"/>
  <c r="DO198" i="1"/>
  <c r="DO194" i="1"/>
  <c r="DO191" i="1"/>
  <c r="CQ251" i="1"/>
  <c r="CQ191" i="1"/>
  <c r="CQ198" i="1"/>
  <c r="CQ197" i="1"/>
  <c r="CQ196" i="1"/>
  <c r="CM222" i="1"/>
  <c r="CM174" i="1"/>
  <c r="CM110" i="1"/>
  <c r="BO140" i="1"/>
  <c r="BO115" i="1"/>
  <c r="BO113" i="1"/>
  <c r="BO112" i="1"/>
  <c r="BS111" i="1"/>
  <c r="AY222" i="1"/>
  <c r="AY174" i="1"/>
  <c r="AY110" i="1"/>
  <c r="AM197" i="1"/>
  <c r="AM196" i="1"/>
  <c r="AM198" i="1"/>
  <c r="AM191" i="1"/>
  <c r="AA140" i="1"/>
  <c r="AA112" i="1"/>
  <c r="AA115" i="1"/>
  <c r="AA113" i="1"/>
  <c r="C141" i="1"/>
  <c r="C143" i="1"/>
  <c r="DM24" i="1"/>
  <c r="DV24" i="1"/>
  <c r="DV23" i="1"/>
  <c r="AD25" i="1"/>
  <c r="AD24" i="1"/>
  <c r="AD23" i="1"/>
  <c r="DM270" i="1"/>
  <c r="DD270" i="1"/>
  <c r="EI51" i="1"/>
  <c r="DO51" i="1"/>
  <c r="CQ51" i="1"/>
  <c r="CM50" i="1"/>
  <c r="CI51" i="1"/>
  <c r="CA85" i="1"/>
  <c r="BS50" i="1"/>
  <c r="BO51" i="1"/>
  <c r="BG51" i="1"/>
  <c r="AY51" i="1"/>
  <c r="AQ51" i="1"/>
  <c r="AI85" i="1"/>
  <c r="W85" i="1"/>
  <c r="O51" i="1"/>
  <c r="T69" i="1"/>
  <c r="Y69" i="1"/>
  <c r="EQ87" i="1"/>
  <c r="EU86" i="1"/>
  <c r="EQ88" i="1"/>
  <c r="CW13" i="1"/>
  <c r="CW14" i="1" s="1"/>
  <c r="CW7" i="1"/>
  <c r="CW11" i="1"/>
  <c r="CW12" i="1" s="1"/>
  <c r="ER33" i="1"/>
  <c r="AE33" i="1"/>
  <c r="BG37" i="1"/>
  <c r="EP50" i="1"/>
  <c r="EQ50" i="1"/>
  <c r="DC12" i="1"/>
  <c r="EQ33" i="1"/>
  <c r="BN26" i="1"/>
  <c r="O24" i="1"/>
  <c r="CU37" i="1"/>
  <c r="J111" i="1"/>
  <c r="J110" i="1"/>
  <c r="BX12" i="1"/>
  <c r="T24" i="1"/>
  <c r="BK174" i="1"/>
  <c r="BK193" i="1" s="1"/>
  <c r="BK111" i="1"/>
  <c r="BO182" i="1" s="1"/>
  <c r="BO199" i="1" s="1"/>
  <c r="BK110" i="1"/>
  <c r="Q51" i="1"/>
  <c r="DI222" i="1"/>
  <c r="DI174" i="1"/>
  <c r="DI111" i="1"/>
  <c r="DI110" i="1"/>
  <c r="V51" i="1"/>
  <c r="EU304" i="1"/>
  <c r="EZ304" i="1" s="1"/>
  <c r="FE304" i="1" s="1"/>
  <c r="EP304" i="1"/>
  <c r="EP305" i="1"/>
  <c r="EU305" i="1"/>
  <c r="EZ305" i="1" s="1"/>
  <c r="FE305" i="1" s="1"/>
  <c r="DQ279" i="1"/>
  <c r="DQ288" i="1"/>
  <c r="DB271" i="1"/>
  <c r="DA272" i="1"/>
  <c r="CW328" i="1"/>
  <c r="CW348" i="1"/>
  <c r="CX130" i="1"/>
  <c r="CX131" i="1" s="1"/>
  <c r="CW130" i="1"/>
  <c r="EF288" i="1"/>
  <c r="EF279" i="1"/>
  <c r="ET267" i="1"/>
  <c r="EK223" i="1"/>
  <c r="EK75" i="1"/>
  <c r="ET223" i="1"/>
  <c r="DV159" i="1"/>
  <c r="DV160" i="1" s="1"/>
  <c r="EA155" i="1"/>
  <c r="EA157" i="1" s="1"/>
  <c r="EA156" i="1" s="1"/>
  <c r="DW155" i="1"/>
  <c r="DL364" i="1"/>
  <c r="DH364" i="1"/>
  <c r="EP155" i="1"/>
  <c r="EF159" i="1"/>
  <c r="EF160" i="1" s="1"/>
  <c r="EK155" i="1"/>
  <c r="EL155" i="1"/>
  <c r="EG155" i="1"/>
  <c r="EL159" i="1"/>
  <c r="EK159" i="1"/>
  <c r="EK160" i="1" s="1"/>
  <c r="CO138" i="1"/>
  <c r="BN187" i="1"/>
  <c r="BN137" i="1"/>
  <c r="BN138" i="1" s="1"/>
  <c r="CC187" i="1"/>
  <c r="CC137" i="1"/>
  <c r="CC138" i="1" s="1"/>
  <c r="CT187" i="1"/>
  <c r="CT137" i="1"/>
  <c r="CT138" i="1" s="1"/>
  <c r="CW186" i="1"/>
  <c r="CW134" i="1"/>
  <c r="CW131" i="1"/>
  <c r="DQ187" i="1"/>
  <c r="DQ137" i="1"/>
  <c r="EK185" i="1"/>
  <c r="EK134" i="1"/>
  <c r="CS187" i="1"/>
  <c r="CS137" i="1"/>
  <c r="CS138" i="1" s="1"/>
  <c r="CV320" i="1"/>
  <c r="DB185" i="1"/>
  <c r="CM187" i="1"/>
  <c r="CM137" i="1"/>
  <c r="CR187" i="1"/>
  <c r="CR137" i="1"/>
  <c r="CR138" i="1" s="1"/>
  <c r="DE320" i="1"/>
  <c r="CY320" i="1"/>
  <c r="CM214" i="1"/>
  <c r="BD187" i="1"/>
  <c r="BD137" i="1"/>
  <c r="AJ187" i="1"/>
  <c r="AJ137" i="1"/>
  <c r="AJ138" i="1" s="1"/>
  <c r="DH316" i="1"/>
  <c r="DB186" i="1"/>
  <c r="DB134" i="1"/>
  <c r="DB131" i="1"/>
  <c r="CQ103" i="1"/>
  <c r="CA103" i="1"/>
  <c r="BK103" i="1"/>
  <c r="AU103" i="1"/>
  <c r="CV178" i="1"/>
  <c r="CJ178" i="1"/>
  <c r="CJ193" i="1"/>
  <c r="BX272" i="1"/>
  <c r="BX278" i="1"/>
  <c r="BH178" i="1"/>
  <c r="BH195" i="1" s="1"/>
  <c r="BH193" i="1"/>
  <c r="AV178" i="1"/>
  <c r="AV195" i="1" s="1"/>
  <c r="AV193" i="1"/>
  <c r="AJ272" i="1"/>
  <c r="AJ278" i="1"/>
  <c r="DT176" i="1"/>
  <c r="DT104" i="1"/>
  <c r="DT105" i="1" s="1"/>
  <c r="DT100" i="1"/>
  <c r="DT106" i="1"/>
  <c r="DT107" i="1" s="1"/>
  <c r="DT101" i="1"/>
  <c r="DT102" i="1"/>
  <c r="DT103" i="1" s="1"/>
  <c r="CU178" i="1"/>
  <c r="CI178" i="1"/>
  <c r="CI193" i="1"/>
  <c r="BG178" i="1"/>
  <c r="AU178" i="1"/>
  <c r="AU195" i="1" s="1"/>
  <c r="AU193" i="1"/>
  <c r="EA94" i="1"/>
  <c r="EA92" i="1"/>
  <c r="BB138" i="1"/>
  <c r="FE187" i="1"/>
  <c r="FE137" i="1"/>
  <c r="CV138" i="1"/>
  <c r="EE176" i="1"/>
  <c r="EE102" i="1"/>
  <c r="EE103" i="1" s="1"/>
  <c r="EE101" i="1"/>
  <c r="EE104" i="1"/>
  <c r="EE100" i="1"/>
  <c r="EE106" i="1"/>
  <c r="EE107" i="1" s="1"/>
  <c r="DK176" i="1"/>
  <c r="DK102" i="1"/>
  <c r="DK101" i="1"/>
  <c r="DK104" i="1"/>
  <c r="DK100" i="1"/>
  <c r="DK106" i="1"/>
  <c r="CX178" i="1"/>
  <c r="BZ193" i="1"/>
  <c r="BZ178" i="1"/>
  <c r="BZ195" i="1" s="1"/>
  <c r="BN278" i="1"/>
  <c r="BN272" i="1"/>
  <c r="BN195" i="1"/>
  <c r="BB193" i="1"/>
  <c r="BB178" i="1"/>
  <c r="BB195" i="1" s="1"/>
  <c r="CT93" i="1"/>
  <c r="CT92" i="1"/>
  <c r="CT94" i="1"/>
  <c r="ED138" i="1"/>
  <c r="BZ138" i="1"/>
  <c r="CZ187" i="1"/>
  <c r="CL105" i="1"/>
  <c r="AX105" i="1"/>
  <c r="CR103" i="1"/>
  <c r="CB103" i="1"/>
  <c r="BL103" i="1"/>
  <c r="AV103" i="1"/>
  <c r="DZ176" i="1"/>
  <c r="DZ106" i="1"/>
  <c r="DZ107" i="1" s="1"/>
  <c r="DZ102" i="1"/>
  <c r="DZ103" i="1" s="1"/>
  <c r="DZ101" i="1"/>
  <c r="DZ104" i="1"/>
  <c r="DZ105" i="1" s="1"/>
  <c r="DZ100" i="1"/>
  <c r="DF176" i="1"/>
  <c r="DF106" i="1"/>
  <c r="DF102" i="1"/>
  <c r="DF103" i="1" s="1"/>
  <c r="DF101" i="1"/>
  <c r="FK101" i="1" s="1"/>
  <c r="DG99" i="1"/>
  <c r="DF104" i="1"/>
  <c r="DF105" i="1" s="1"/>
  <c r="DF100" i="1"/>
  <c r="CK193" i="1"/>
  <c r="CK178" i="1"/>
  <c r="BY193" i="1"/>
  <c r="BY178" i="1"/>
  <c r="BY195" i="1" s="1"/>
  <c r="BI278" i="1"/>
  <c r="AW193" i="1"/>
  <c r="AW178" i="1"/>
  <c r="AW195" i="1" s="1"/>
  <c r="AK193" i="1"/>
  <c r="AK178" i="1"/>
  <c r="AK195" i="1" s="1"/>
  <c r="CS93" i="1"/>
  <c r="CS92" i="1"/>
  <c r="CS94" i="1"/>
  <c r="BC105" i="1"/>
  <c r="CZ90" i="1"/>
  <c r="CU90" i="1"/>
  <c r="CM94" i="1"/>
  <c r="CM92" i="1"/>
  <c r="BN92" i="1"/>
  <c r="BN94" i="1"/>
  <c r="AT92" i="1"/>
  <c r="AT94" i="1"/>
  <c r="DE324" i="1"/>
  <c r="BX324" i="1"/>
  <c r="BD324" i="1"/>
  <c r="DB45" i="1"/>
  <c r="DB46" i="1" s="1"/>
  <c r="DB52" i="1"/>
  <c r="DB53" i="1" s="1"/>
  <c r="DB40" i="1"/>
  <c r="BZ105" i="1"/>
  <c r="BB105" i="1"/>
  <c r="Z103" i="1"/>
  <c r="ES93" i="1"/>
  <c r="ES92" i="1"/>
  <c r="DY107" i="1"/>
  <c r="BI92" i="1"/>
  <c r="BI94" i="1"/>
  <c r="BI95" i="1" s="1"/>
  <c r="CU324" i="1"/>
  <c r="DG212" i="1"/>
  <c r="DC210" i="1"/>
  <c r="DC211" i="1" s="1"/>
  <c r="CR210" i="1"/>
  <c r="BN198" i="1"/>
  <c r="AT210" i="1"/>
  <c r="AT223" i="1" s="1"/>
  <c r="EK57" i="1"/>
  <c r="G46" i="363"/>
  <c r="DD94" i="1"/>
  <c r="DD95" i="1" s="1"/>
  <c r="DD93" i="1"/>
  <c r="DD92" i="1"/>
  <c r="CZ105" i="1"/>
  <c r="CR177" i="1"/>
  <c r="CR55" i="1"/>
  <c r="CR56" i="1"/>
  <c r="DA52" i="1"/>
  <c r="DF49" i="1"/>
  <c r="DA49" i="1"/>
  <c r="DG40" i="1"/>
  <c r="DL40" i="1"/>
  <c r="EC101" i="1"/>
  <c r="EC105" i="1"/>
  <c r="DI176" i="1"/>
  <c r="BX94" i="1"/>
  <c r="BX95" i="1" s="1"/>
  <c r="BX92" i="1"/>
  <c r="DA324" i="1"/>
  <c r="CH324" i="1"/>
  <c r="AY210" i="1"/>
  <c r="AY223" i="1" s="1"/>
  <c r="CM177" i="1"/>
  <c r="CM55" i="1"/>
  <c r="CM56" i="1"/>
  <c r="CM57" i="1" s="1"/>
  <c r="BZ53" i="1"/>
  <c r="BU53" i="1"/>
  <c r="CJ105" i="1"/>
  <c r="X105" i="1"/>
  <c r="EQ92" i="1"/>
  <c r="EU91" i="1"/>
  <c r="EQ93" i="1"/>
  <c r="EG101" i="1"/>
  <c r="DW95" i="1"/>
  <c r="DA90" i="1"/>
  <c r="CV94" i="1"/>
  <c r="CV93" i="1"/>
  <c r="CV92" i="1"/>
  <c r="AY94" i="1"/>
  <c r="AY95" i="1" s="1"/>
  <c r="AY92" i="1"/>
  <c r="EK83" i="1"/>
  <c r="CY83" i="1"/>
  <c r="EA85" i="1"/>
  <c r="CW354" i="1"/>
  <c r="CW356" i="1" s="1"/>
  <c r="CW179" i="1"/>
  <c r="CW84" i="1"/>
  <c r="CW85" i="1" s="1"/>
  <c r="CW82" i="1"/>
  <c r="CW83" i="1" s="1"/>
  <c r="CW80" i="1"/>
  <c r="BI324" i="1"/>
  <c r="EU181" i="1"/>
  <c r="EZ72" i="1"/>
  <c r="EU76" i="1"/>
  <c r="EU77" i="1" s="1"/>
  <c r="EU73" i="1"/>
  <c r="FQ78" i="1"/>
  <c r="T17" i="363"/>
  <c r="CT210" i="1"/>
  <c r="CT211" i="1" s="1"/>
  <c r="BS57" i="1"/>
  <c r="BP95" i="1"/>
  <c r="CR77" i="1"/>
  <c r="AK53" i="1"/>
  <c r="Q53" i="1"/>
  <c r="CW50" i="1"/>
  <c r="CW51" i="1" s="1"/>
  <c r="CS51" i="1"/>
  <c r="BY46" i="1"/>
  <c r="ED111" i="1"/>
  <c r="EG121" i="1" s="1"/>
  <c r="EG123" i="1" s="1"/>
  <c r="DZ111" i="1"/>
  <c r="CX109" i="1"/>
  <c r="CX36" i="1"/>
  <c r="CX35" i="1"/>
  <c r="DB34" i="1"/>
  <c r="CP251" i="1"/>
  <c r="CP197" i="1"/>
  <c r="CP191" i="1"/>
  <c r="CL251" i="1"/>
  <c r="CL197" i="1"/>
  <c r="CL191" i="1"/>
  <c r="CH222" i="1"/>
  <c r="CH174" i="1"/>
  <c r="CH110" i="1"/>
  <c r="BV182" i="1"/>
  <c r="BV199" i="1" s="1"/>
  <c r="BV140" i="1"/>
  <c r="BV115" i="1"/>
  <c r="BV113" i="1"/>
  <c r="BV112" i="1"/>
  <c r="BR197" i="1"/>
  <c r="BR191" i="1"/>
  <c r="BJ140" i="1"/>
  <c r="BJ115" i="1"/>
  <c r="BJ113" i="1"/>
  <c r="BJ112" i="1"/>
  <c r="BN111" i="1"/>
  <c r="BF197" i="1"/>
  <c r="BF191" i="1"/>
  <c r="AX182" i="1"/>
  <c r="AX199" i="1" s="1"/>
  <c r="AX140" i="1"/>
  <c r="AX115" i="1"/>
  <c r="AX116" i="1" s="1"/>
  <c r="AX113" i="1"/>
  <c r="AX112" i="1"/>
  <c r="AL182" i="1"/>
  <c r="AL199" i="1" s="1"/>
  <c r="AL140" i="1"/>
  <c r="AL115" i="1"/>
  <c r="AL116" i="1" s="1"/>
  <c r="AL113" i="1"/>
  <c r="AL112" i="1"/>
  <c r="N140" i="1"/>
  <c r="N115" i="1"/>
  <c r="N113" i="1"/>
  <c r="N112" i="1"/>
  <c r="DB31" i="1"/>
  <c r="DB32" i="1"/>
  <c r="DI23" i="1"/>
  <c r="DI25" i="1"/>
  <c r="DI24" i="1"/>
  <c r="AO23" i="1"/>
  <c r="AO24" i="1"/>
  <c r="DI270" i="1"/>
  <c r="DI192" i="1"/>
  <c r="ET54" i="1"/>
  <c r="ET67" i="1"/>
  <c r="BI77" i="1"/>
  <c r="CG53" i="1"/>
  <c r="BM53" i="1"/>
  <c r="EG140" i="1"/>
  <c r="EG115" i="1"/>
  <c r="EG113" i="1"/>
  <c r="DU140" i="1"/>
  <c r="DU115" i="1"/>
  <c r="DU113" i="1"/>
  <c r="CS109" i="1"/>
  <c r="CS36" i="1"/>
  <c r="CS37" i="1" s="1"/>
  <c r="CS35" i="1"/>
  <c r="CW34" i="1"/>
  <c r="BY182" i="1"/>
  <c r="BY115" i="1"/>
  <c r="BY113" i="1"/>
  <c r="BY112" i="1"/>
  <c r="CC111" i="1"/>
  <c r="BY140" i="1"/>
  <c r="BU197" i="1"/>
  <c r="BU191" i="1"/>
  <c r="BI222" i="1"/>
  <c r="BI174" i="1"/>
  <c r="BI198" i="1" s="1"/>
  <c r="BI110" i="1"/>
  <c r="AW182" i="1"/>
  <c r="AW199" i="1" s="1"/>
  <c r="AW140" i="1"/>
  <c r="AW115" i="1"/>
  <c r="AW113" i="1"/>
  <c r="AW112" i="1"/>
  <c r="AS197" i="1"/>
  <c r="AS191" i="1"/>
  <c r="AK182" i="1"/>
  <c r="AK199" i="1" s="1"/>
  <c r="AK115" i="1"/>
  <c r="AK113" i="1"/>
  <c r="AK112" i="1"/>
  <c r="AO111" i="1"/>
  <c r="AK140" i="1"/>
  <c r="Q115" i="1"/>
  <c r="Q113" i="1"/>
  <c r="Q112" i="1"/>
  <c r="Q140" i="1"/>
  <c r="I115" i="1"/>
  <c r="I116" i="1" s="1"/>
  <c r="I113" i="1"/>
  <c r="I112" i="1"/>
  <c r="I140" i="1"/>
  <c r="EF24" i="1"/>
  <c r="EF23" i="1"/>
  <c r="F41" i="363" s="1"/>
  <c r="CR24" i="1"/>
  <c r="CR23" i="1"/>
  <c r="EA12" i="1"/>
  <c r="E39" i="363"/>
  <c r="CU69" i="1"/>
  <c r="CZ68" i="1"/>
  <c r="DE69" i="1" s="1"/>
  <c r="AY69" i="1"/>
  <c r="BI69" i="1"/>
  <c r="ER54" i="1"/>
  <c r="ER67" i="1"/>
  <c r="U69" i="1"/>
  <c r="CP53" i="1"/>
  <c r="Y46" i="1"/>
  <c r="DO37" i="1"/>
  <c r="EJ37" i="1"/>
  <c r="EB222" i="1"/>
  <c r="EB111" i="1"/>
  <c r="EB110" i="1"/>
  <c r="DT222" i="1"/>
  <c r="DT174" i="1"/>
  <c r="DT111" i="1"/>
  <c r="DT110" i="1"/>
  <c r="CN182" i="1"/>
  <c r="CN115" i="1"/>
  <c r="CN113" i="1"/>
  <c r="CN112" i="1"/>
  <c r="CN140" i="1"/>
  <c r="CR111" i="1"/>
  <c r="CB182" i="1"/>
  <c r="CB115" i="1"/>
  <c r="CB113" i="1"/>
  <c r="CB112" i="1"/>
  <c r="CB140" i="1"/>
  <c r="BX222" i="1"/>
  <c r="BX174" i="1"/>
  <c r="BX196" i="1" s="1"/>
  <c r="BX110" i="1"/>
  <c r="BH197" i="1"/>
  <c r="BH191" i="1"/>
  <c r="AZ182" i="1"/>
  <c r="AZ199" i="1" s="1"/>
  <c r="AZ115" i="1"/>
  <c r="AZ113" i="1"/>
  <c r="AZ112" i="1"/>
  <c r="AZ140" i="1"/>
  <c r="BD111" i="1"/>
  <c r="AV197" i="1"/>
  <c r="AV191" i="1"/>
  <c r="AJ251" i="1"/>
  <c r="AJ222" i="1"/>
  <c r="AJ174" i="1"/>
  <c r="AJ110" i="1"/>
  <c r="AB115" i="1"/>
  <c r="AB113" i="1"/>
  <c r="AB140" i="1"/>
  <c r="AB112" i="1"/>
  <c r="L140" i="1"/>
  <c r="L115" i="1"/>
  <c r="L113" i="1"/>
  <c r="L112" i="1"/>
  <c r="D143" i="1"/>
  <c r="D141" i="1"/>
  <c r="DF24" i="1"/>
  <c r="ER22" i="1"/>
  <c r="EM25" i="1"/>
  <c r="BK24" i="1"/>
  <c r="BK25" i="1"/>
  <c r="BK23" i="1"/>
  <c r="BM192" i="1"/>
  <c r="DH85" i="1"/>
  <c r="DL83" i="1"/>
  <c r="Y77" i="1"/>
  <c r="CY51" i="1"/>
  <c r="DV53" i="1"/>
  <c r="EL45" i="1"/>
  <c r="EL52" i="1"/>
  <c r="EQ52" i="1" s="1"/>
  <c r="EP43" i="1"/>
  <c r="BI53" i="1"/>
  <c r="Z53" i="1"/>
  <c r="CQ37" i="1"/>
  <c r="BW37" i="1"/>
  <c r="AQ37" i="1"/>
  <c r="W37" i="1"/>
  <c r="EM109" i="1"/>
  <c r="EM36" i="1"/>
  <c r="CE182" i="1"/>
  <c r="CE140" i="1"/>
  <c r="CE115" i="1"/>
  <c r="CE113" i="1"/>
  <c r="CE112" i="1"/>
  <c r="CA182" i="1"/>
  <c r="CA140" i="1"/>
  <c r="CA115" i="1"/>
  <c r="CA116" i="1" s="1"/>
  <c r="CA112" i="1"/>
  <c r="CA113" i="1"/>
  <c r="BW196" i="1"/>
  <c r="BW191" i="1"/>
  <c r="BW198" i="1"/>
  <c r="BW194" i="1"/>
  <c r="BW197" i="1"/>
  <c r="BS222" i="1"/>
  <c r="BS174" i="1"/>
  <c r="BS110" i="1"/>
  <c r="BC197" i="1"/>
  <c r="BC196" i="1"/>
  <c r="BC198" i="1"/>
  <c r="BC194" i="1"/>
  <c r="BC191" i="1"/>
  <c r="AU182" i="1"/>
  <c r="AU199" i="1" s="1"/>
  <c r="AU140" i="1"/>
  <c r="AY111" i="1"/>
  <c r="AU115" i="1"/>
  <c r="AU113" i="1"/>
  <c r="AU112" i="1"/>
  <c r="AQ196" i="1"/>
  <c r="AQ191" i="1"/>
  <c r="AQ198" i="1"/>
  <c r="AQ197" i="1"/>
  <c r="AI140" i="1"/>
  <c r="AI115" i="1"/>
  <c r="AI113" i="1"/>
  <c r="AE251" i="1"/>
  <c r="AE222" i="1"/>
  <c r="AE110" i="1"/>
  <c r="S140" i="1"/>
  <c r="S115" i="1"/>
  <c r="S116" i="1" s="1"/>
  <c r="S113" i="1"/>
  <c r="S112" i="1"/>
  <c r="G140" i="1"/>
  <c r="G115" i="1"/>
  <c r="G116" i="1" s="1"/>
  <c r="G113" i="1"/>
  <c r="G112" i="1"/>
  <c r="K111" i="1"/>
  <c r="DO33" i="1"/>
  <c r="DG31" i="1"/>
  <c r="DJ25" i="1"/>
  <c r="FJ25" i="1" s="1"/>
  <c r="DJ24" i="1"/>
  <c r="DJ23" i="1"/>
  <c r="DJ270" i="1"/>
  <c r="DE270" i="1"/>
  <c r="EI85" i="1"/>
  <c r="DW84" i="1"/>
  <c r="DW85" i="1" s="1"/>
  <c r="DW50" i="1"/>
  <c r="EB51" i="1" s="1"/>
  <c r="DO85" i="1"/>
  <c r="CQ85" i="1"/>
  <c r="CE51" i="1"/>
  <c r="BW51" i="1"/>
  <c r="BO85" i="1"/>
  <c r="BG85" i="1"/>
  <c r="AU51" i="1"/>
  <c r="AM51" i="1"/>
  <c r="W51" i="1"/>
  <c r="G50" i="1"/>
  <c r="G84" i="1"/>
  <c r="L85" i="1" s="1"/>
  <c r="J71" i="1"/>
  <c r="CR12" i="1"/>
  <c r="EA69" i="1"/>
  <c r="CW70" i="1"/>
  <c r="CW71" i="1" s="1"/>
  <c r="CW9" i="1"/>
  <c r="ED33" i="1"/>
  <c r="BG174" i="1"/>
  <c r="BG110" i="1"/>
  <c r="BG111" i="1"/>
  <c r="BL112" i="1" s="1"/>
  <c r="EQ179" i="1"/>
  <c r="EQ81" i="1"/>
  <c r="EQ82" i="1"/>
  <c r="EQ83" i="1" s="1"/>
  <c r="EQ80" i="1"/>
  <c r="BI51" i="1"/>
  <c r="EU32" i="1"/>
  <c r="EZ30" i="1"/>
  <c r="EU31" i="1"/>
  <c r="CU111" i="1"/>
  <c r="CZ112" i="1" s="1"/>
  <c r="CU110" i="1"/>
  <c r="AI12" i="1"/>
  <c r="EU4" i="1"/>
  <c r="CT25" i="1"/>
  <c r="FI25" i="1" s="1"/>
  <c r="Q85" i="1"/>
  <c r="BN14" i="1"/>
  <c r="AJ27" i="1"/>
  <c r="G25" i="1"/>
  <c r="AD37" i="1"/>
  <c r="V85" i="1"/>
  <c r="EK14" i="1"/>
  <c r="DL5" i="1"/>
  <c r="ES277" i="1"/>
  <c r="EP288" i="1"/>
  <c r="EP279" i="1"/>
  <c r="ES258" i="1"/>
  <c r="ES75" i="1" s="1"/>
  <c r="ER260" i="1"/>
  <c r="ER75" i="1"/>
  <c r="U246" i="1"/>
  <c r="Z242" i="1"/>
  <c r="Z243" i="1" s="1"/>
  <c r="CY223" i="1"/>
  <c r="CY75" i="1"/>
  <c r="BS168" i="1"/>
  <c r="DL152" i="1"/>
  <c r="DL187" i="1"/>
  <c r="DL137" i="1"/>
  <c r="EE204" i="1"/>
  <c r="DK316" i="1"/>
  <c r="CP316" i="1"/>
  <c r="CP204" i="1"/>
  <c r="EQ187" i="1"/>
  <c r="EQ137" i="1"/>
  <c r="EQ138" i="1" s="1"/>
  <c r="EP153" i="1"/>
  <c r="EK153" i="1"/>
  <c r="CH187" i="1"/>
  <c r="CH137" i="1"/>
  <c r="CH138" i="1" s="1"/>
  <c r="CO316" i="1"/>
  <c r="CO204" i="1"/>
  <c r="DF320" i="1"/>
  <c r="DV138" i="1"/>
  <c r="P24" i="363"/>
  <c r="AY187" i="1"/>
  <c r="AY137" i="1"/>
  <c r="DW204" i="1"/>
  <c r="CU187" i="1"/>
  <c r="CU137" i="1"/>
  <c r="CU138" i="1" s="1"/>
  <c r="CX320" i="1"/>
  <c r="CY187" i="1"/>
  <c r="DC178" i="1"/>
  <c r="DC272" i="1" s="1"/>
  <c r="CF178" i="1"/>
  <c r="CF193" i="1"/>
  <c r="BT178" i="1"/>
  <c r="BT195" i="1" s="1"/>
  <c r="BT193" i="1"/>
  <c r="AR178" i="1"/>
  <c r="AR195" i="1" s="1"/>
  <c r="AR193" i="1"/>
  <c r="EF94" i="1"/>
  <c r="EF95" i="1" s="1"/>
  <c r="EF92" i="1"/>
  <c r="DC316" i="1"/>
  <c r="EJ176" i="1"/>
  <c r="EJ104" i="1"/>
  <c r="EJ105" i="1" s="1"/>
  <c r="EJ101" i="1"/>
  <c r="EJ100" i="1"/>
  <c r="EJ106" i="1"/>
  <c r="EJ107" i="1" s="1"/>
  <c r="EJ102" i="1"/>
  <c r="EJ103" i="1" s="1"/>
  <c r="DP176" i="1"/>
  <c r="DP104" i="1"/>
  <c r="DP105" i="1" s="1"/>
  <c r="DP101" i="1"/>
  <c r="DP100" i="1"/>
  <c r="DP106" i="1"/>
  <c r="DP107" i="1" s="1"/>
  <c r="DP102" i="1"/>
  <c r="DP103" i="1" s="1"/>
  <c r="CQ178" i="1"/>
  <c r="CQ193" i="1"/>
  <c r="CE178" i="1"/>
  <c r="CE193" i="1"/>
  <c r="BS278" i="1"/>
  <c r="BS195" i="1"/>
  <c r="BC178" i="1"/>
  <c r="BC195" i="1" s="1"/>
  <c r="BC193" i="1"/>
  <c r="AQ178" i="1"/>
  <c r="AQ195" i="1" s="1"/>
  <c r="AQ193" i="1"/>
  <c r="DC94" i="1"/>
  <c r="DC93" i="1"/>
  <c r="DG91" i="1"/>
  <c r="DL92" i="1" s="1"/>
  <c r="DH92" i="1"/>
  <c r="DC92" i="1"/>
  <c r="BV138" i="1"/>
  <c r="EZ187" i="1"/>
  <c r="EZ137" i="1"/>
  <c r="CV187" i="1"/>
  <c r="DW176" i="1"/>
  <c r="DW102" i="1"/>
  <c r="DW101" i="1"/>
  <c r="DW104" i="1"/>
  <c r="DW105" i="1" s="1"/>
  <c r="DW100" i="1"/>
  <c r="EA99" i="1"/>
  <c r="DW106" i="1"/>
  <c r="DW107" i="1" s="1"/>
  <c r="CY178" i="1"/>
  <c r="CY272" i="1" s="1"/>
  <c r="CT178" i="1"/>
  <c r="CH278" i="1"/>
  <c r="CH195" i="1"/>
  <c r="BV193" i="1"/>
  <c r="BV178" i="1"/>
  <c r="BV195" i="1" s="1"/>
  <c r="AP193" i="1"/>
  <c r="AP178" i="1"/>
  <c r="AP195" i="1" s="1"/>
  <c r="CH94" i="1"/>
  <c r="EH138" i="1"/>
  <c r="CH105" i="1"/>
  <c r="AT105" i="1"/>
  <c r="CN103" i="1"/>
  <c r="BX103" i="1"/>
  <c r="BH103" i="1"/>
  <c r="AR103" i="1"/>
  <c r="DR176" i="1"/>
  <c r="DR106" i="1"/>
  <c r="DR107" i="1" s="1"/>
  <c r="DR101" i="1"/>
  <c r="DR102" i="1"/>
  <c r="DR103" i="1" s="1"/>
  <c r="DR104" i="1"/>
  <c r="DR105" i="1" s="1"/>
  <c r="DR100" i="1"/>
  <c r="DV99" i="1"/>
  <c r="CW176" i="1"/>
  <c r="CW104" i="1"/>
  <c r="CW105" i="1" s="1"/>
  <c r="CW100" i="1"/>
  <c r="CW102" i="1"/>
  <c r="CW103" i="1" s="1"/>
  <c r="CW91" i="1"/>
  <c r="CG193" i="1"/>
  <c r="CG178" i="1"/>
  <c r="BU193" i="1"/>
  <c r="BU178" i="1"/>
  <c r="BU195" i="1" s="1"/>
  <c r="AS193" i="1"/>
  <c r="AS178" i="1"/>
  <c r="AS195" i="1" s="1"/>
  <c r="ET92" i="1"/>
  <c r="ET93" i="1"/>
  <c r="E93" i="1"/>
  <c r="E94" i="1"/>
  <c r="DA103" i="1"/>
  <c r="ER98" i="1"/>
  <c r="ES98" i="1" s="1"/>
  <c r="ET98" i="1" s="1"/>
  <c r="EU98" i="1"/>
  <c r="DU101" i="1"/>
  <c r="CU94" i="1"/>
  <c r="CU93" i="1"/>
  <c r="CU92" i="1"/>
  <c r="CA94" i="1"/>
  <c r="CA95" i="1" s="1"/>
  <c r="CA93" i="1"/>
  <c r="CA92" i="1"/>
  <c r="DF324" i="1"/>
  <c r="CV324" i="1"/>
  <c r="CY77" i="1"/>
  <c r="CT77" i="1"/>
  <c r="CW212" i="1"/>
  <c r="CS210" i="1"/>
  <c r="CS211" i="1" s="1"/>
  <c r="BI211" i="1"/>
  <c r="BI210" i="1"/>
  <c r="CW177" i="1"/>
  <c r="CW56" i="1"/>
  <c r="CW57" i="1" s="1"/>
  <c r="CW55" i="1"/>
  <c r="CK92" i="1"/>
  <c r="CK94" i="1"/>
  <c r="CK95" i="1" s="1"/>
  <c r="CK93" i="1"/>
  <c r="CB94" i="1"/>
  <c r="CB95" i="1" s="1"/>
  <c r="CB93" i="1"/>
  <c r="CB92" i="1"/>
  <c r="DG48" i="1"/>
  <c r="DC48" i="1"/>
  <c r="CM52" i="1"/>
  <c r="CM53" i="1" s="1"/>
  <c r="CM45" i="1"/>
  <c r="CM46" i="1" s="1"/>
  <c r="CM40" i="1"/>
  <c r="BN45" i="1"/>
  <c r="BN46" i="1" s="1"/>
  <c r="BN52" i="1"/>
  <c r="BN53" i="1" s="1"/>
  <c r="BN40" i="1"/>
  <c r="CT105" i="1"/>
  <c r="BV105" i="1"/>
  <c r="AP105" i="1"/>
  <c r="R103" i="1"/>
  <c r="EI95" i="1"/>
  <c r="DY100" i="1"/>
  <c r="DO95" i="1"/>
  <c r="AU95" i="1"/>
  <c r="DB90" i="1"/>
  <c r="CC87" i="1"/>
  <c r="CC91" i="1"/>
  <c r="CH92" i="1" s="1"/>
  <c r="CC89" i="1"/>
  <c r="CC90" i="1" s="1"/>
  <c r="AO92" i="1"/>
  <c r="AO94" i="1"/>
  <c r="AJ196" i="1"/>
  <c r="DB73" i="1"/>
  <c r="CH198" i="1"/>
  <c r="BN211" i="1"/>
  <c r="BN210" i="1"/>
  <c r="CZ94" i="1"/>
  <c r="CZ92" i="1"/>
  <c r="CZ93" i="1"/>
  <c r="CN94" i="1"/>
  <c r="CN93" i="1"/>
  <c r="CN92" i="1"/>
  <c r="CE93" i="1"/>
  <c r="CE94" i="1"/>
  <c r="CE92" i="1"/>
  <c r="EM176" i="1"/>
  <c r="CX105" i="1"/>
  <c r="EC103" i="1"/>
  <c r="CG92" i="1"/>
  <c r="EK90" i="1"/>
  <c r="DG77" i="1"/>
  <c r="CX324" i="1"/>
  <c r="EU210" i="1"/>
  <c r="EU223" i="1" s="1"/>
  <c r="EQ75" i="1"/>
  <c r="CM198" i="1"/>
  <c r="BS210" i="1"/>
  <c r="AJ57" i="1"/>
  <c r="CI94" i="1"/>
  <c r="CI95" i="1" s="1"/>
  <c r="CI93" i="1"/>
  <c r="CI92" i="1"/>
  <c r="BZ93" i="1"/>
  <c r="BZ92" i="1"/>
  <c r="BZ94" i="1"/>
  <c r="BZ95" i="1" s="1"/>
  <c r="CF105" i="1"/>
  <c r="T105" i="1"/>
  <c r="DM101" i="1"/>
  <c r="BW95" i="1"/>
  <c r="AM95" i="1"/>
  <c r="CR91" i="1"/>
  <c r="BX83" i="1"/>
  <c r="EP324" i="1"/>
  <c r="EA324" i="1"/>
  <c r="BD77" i="1"/>
  <c r="AE77" i="1"/>
  <c r="ET211" i="1"/>
  <c r="AJ210" i="1"/>
  <c r="AJ223" i="1" s="1"/>
  <c r="CT69" i="1"/>
  <c r="CY68" i="1"/>
  <c r="DD69" i="1" s="1"/>
  <c r="AY57" i="1"/>
  <c r="DG177" i="1"/>
  <c r="DG55" i="1"/>
  <c r="DG56" i="1"/>
  <c r="DL57" i="1" s="1"/>
  <c r="CP92" i="1"/>
  <c r="CP94" i="1"/>
  <c r="CP95" i="1" s="1"/>
  <c r="CP93" i="1"/>
  <c r="CC177" i="1"/>
  <c r="CC56" i="1"/>
  <c r="CC57" i="1" s="1"/>
  <c r="CC55" i="1"/>
  <c r="AO53" i="1"/>
  <c r="CY52" i="1"/>
  <c r="CY49" i="1"/>
  <c r="U51" i="1"/>
  <c r="EO45" i="1"/>
  <c r="EO52" i="1"/>
  <c r="ET52" i="1" s="1"/>
  <c r="EO178" i="1"/>
  <c r="CV69" i="1"/>
  <c r="DA68" i="1"/>
  <c r="DF69" i="1" s="1"/>
  <c r="Z51" i="1"/>
  <c r="AH53" i="1"/>
  <c r="EK46" i="1"/>
  <c r="DG45" i="1"/>
  <c r="DG46" i="1" s="1"/>
  <c r="DG52" i="1"/>
  <c r="DG53" i="1" s="1"/>
  <c r="BY53" i="1"/>
  <c r="EH251" i="1"/>
  <c r="EH263" i="1"/>
  <c r="EH197" i="1"/>
  <c r="EH191" i="1"/>
  <c r="ED251" i="1"/>
  <c r="ED263" i="1"/>
  <c r="ED197" i="1"/>
  <c r="ED191" i="1"/>
  <c r="DR263" i="1"/>
  <c r="DR251" i="1"/>
  <c r="DR197" i="1"/>
  <c r="DR191" i="1"/>
  <c r="DF111" i="1"/>
  <c r="CT109" i="1"/>
  <c r="CU174" i="1" s="1"/>
  <c r="CT36" i="1"/>
  <c r="CT37" i="1" s="1"/>
  <c r="CT35" i="1"/>
  <c r="BZ182" i="1"/>
  <c r="BZ140" i="1"/>
  <c r="BZ115" i="1"/>
  <c r="BZ116" i="1" s="1"/>
  <c r="BZ113" i="1"/>
  <c r="BZ112" i="1"/>
  <c r="BV197" i="1"/>
  <c r="BV191" i="1"/>
  <c r="BN36" i="1"/>
  <c r="BN37" i="1" s="1"/>
  <c r="BN35" i="1"/>
  <c r="BJ197" i="1"/>
  <c r="BJ191" i="1"/>
  <c r="BB182" i="1"/>
  <c r="BB199" i="1" s="1"/>
  <c r="BB140" i="1"/>
  <c r="BB115" i="1"/>
  <c r="BB116" i="1" s="1"/>
  <c r="BB113" i="1"/>
  <c r="BB112" i="1"/>
  <c r="AT222" i="1"/>
  <c r="AT174" i="1"/>
  <c r="AT198" i="1" s="1"/>
  <c r="AT110" i="1"/>
  <c r="Z36" i="1"/>
  <c r="Z37" i="1" s="1"/>
  <c r="Z35" i="1"/>
  <c r="R140" i="1"/>
  <c r="R115" i="1"/>
  <c r="R113" i="1"/>
  <c r="R112" i="1"/>
  <c r="EO25" i="1"/>
  <c r="ET22" i="1"/>
  <c r="CS23" i="1"/>
  <c r="CS25" i="1"/>
  <c r="CS24" i="1"/>
  <c r="EQ269" i="1"/>
  <c r="DB175" i="1"/>
  <c r="DB21" i="1"/>
  <c r="DB22" i="1"/>
  <c r="BJ192" i="1"/>
  <c r="DC77" i="1"/>
  <c r="ES54" i="1"/>
  <c r="ES67" i="1"/>
  <c r="CH55" i="1"/>
  <c r="DI49" i="1"/>
  <c r="DA51" i="1"/>
  <c r="CZ46" i="1"/>
  <c r="EO109" i="1"/>
  <c r="EO36" i="1"/>
  <c r="EG263" i="1"/>
  <c r="EG251" i="1"/>
  <c r="EG197" i="1"/>
  <c r="EG191" i="1"/>
  <c r="DU263" i="1"/>
  <c r="DU251" i="1"/>
  <c r="DU197" i="1"/>
  <c r="DU191" i="1"/>
  <c r="DM140" i="1"/>
  <c r="DM115" i="1"/>
  <c r="DM113" i="1"/>
  <c r="DE115" i="1"/>
  <c r="DE116" i="1" s="1"/>
  <c r="DE113" i="1"/>
  <c r="DE112" i="1"/>
  <c r="DE140" i="1"/>
  <c r="DA115" i="1"/>
  <c r="DA113" i="1"/>
  <c r="DA140" i="1"/>
  <c r="CC36" i="1"/>
  <c r="CC37" i="1" s="1"/>
  <c r="CC35" i="1"/>
  <c r="BY197" i="1"/>
  <c r="BY191" i="1"/>
  <c r="BM182" i="1"/>
  <c r="BM199" i="1" s="1"/>
  <c r="BM115" i="1"/>
  <c r="BM113" i="1"/>
  <c r="BM112" i="1"/>
  <c r="BM140" i="1"/>
  <c r="BA182" i="1"/>
  <c r="BA199" i="1" s="1"/>
  <c r="BA115" i="1"/>
  <c r="BA113" i="1"/>
  <c r="BA112" i="1"/>
  <c r="BA140" i="1"/>
  <c r="AW197" i="1"/>
  <c r="AW191" i="1"/>
  <c r="AO36" i="1"/>
  <c r="AO37" i="1" s="1"/>
  <c r="AO35" i="1"/>
  <c r="AK197" i="1"/>
  <c r="AK191" i="1"/>
  <c r="AC115" i="1"/>
  <c r="AC113" i="1"/>
  <c r="AC112" i="1"/>
  <c r="AC140" i="1"/>
  <c r="DL24" i="1"/>
  <c r="DL23" i="1"/>
  <c r="BX23" i="1"/>
  <c r="CY12" i="1"/>
  <c r="CT12" i="1"/>
  <c r="ES70" i="1"/>
  <c r="ES71" i="1" s="1"/>
  <c r="BS69" i="1"/>
  <c r="AO69" i="1"/>
  <c r="CY46" i="1"/>
  <c r="CS52" i="1"/>
  <c r="CS53" i="1" s="1"/>
  <c r="EJ222" i="1"/>
  <c r="EJ174" i="1"/>
  <c r="EJ111" i="1"/>
  <c r="EJ110" i="1"/>
  <c r="DP37" i="1"/>
  <c r="DD110" i="1"/>
  <c r="DD111" i="1"/>
  <c r="CV109" i="1"/>
  <c r="CV36" i="1"/>
  <c r="CV37" i="1" s="1"/>
  <c r="CV35" i="1"/>
  <c r="CJ182" i="1"/>
  <c r="CJ115" i="1"/>
  <c r="CJ116" i="1" s="1"/>
  <c r="CJ113" i="1"/>
  <c r="CJ112" i="1"/>
  <c r="CJ140" i="1"/>
  <c r="CF182" i="1"/>
  <c r="CF115" i="1"/>
  <c r="CF113" i="1"/>
  <c r="CF112" i="1"/>
  <c r="CF140" i="1"/>
  <c r="BP182" i="1"/>
  <c r="BP199" i="1" s="1"/>
  <c r="BP115" i="1"/>
  <c r="BP113" i="1"/>
  <c r="BP112" i="1"/>
  <c r="BP140" i="1"/>
  <c r="BL197" i="1"/>
  <c r="BL191" i="1"/>
  <c r="BD36" i="1"/>
  <c r="BD35" i="1"/>
  <c r="AZ197" i="1"/>
  <c r="AZ191" i="1"/>
  <c r="AR182" i="1"/>
  <c r="AR199" i="1" s="1"/>
  <c r="AR140" i="1"/>
  <c r="AR115" i="1"/>
  <c r="AR113" i="1"/>
  <c r="AR112" i="1"/>
  <c r="AN182" i="1"/>
  <c r="AN199" i="1" s="1"/>
  <c r="AN115" i="1"/>
  <c r="AN116" i="1" s="1"/>
  <c r="AN113" i="1"/>
  <c r="AN140" i="1"/>
  <c r="AN112" i="1"/>
  <c r="EP32" i="1"/>
  <c r="EP26" i="1"/>
  <c r="EA24" i="1"/>
  <c r="EA23" i="1"/>
  <c r="E41" i="363" s="1"/>
  <c r="AY24" i="1"/>
  <c r="AY23" i="1"/>
  <c r="CW175" i="1"/>
  <c r="CW22" i="1"/>
  <c r="CW21" i="1"/>
  <c r="BK192" i="1"/>
  <c r="DD84" i="1"/>
  <c r="DD85" i="1" s="1"/>
  <c r="DD50" i="1"/>
  <c r="DD51" i="1" s="1"/>
  <c r="CZ14" i="1"/>
  <c r="CU14" i="1"/>
  <c r="FQ10" i="1"/>
  <c r="FQ5" i="1"/>
  <c r="ER70" i="1"/>
  <c r="ER71" i="1" s="1"/>
  <c r="DL69" i="1"/>
  <c r="CT51" i="1"/>
  <c r="DV46" i="1"/>
  <c r="EL176" i="1"/>
  <c r="EL106" i="1"/>
  <c r="EL102" i="1"/>
  <c r="EL104" i="1"/>
  <c r="BI46" i="1"/>
  <c r="DS37" i="1"/>
  <c r="CI37" i="1"/>
  <c r="BO37" i="1"/>
  <c r="AM37" i="1"/>
  <c r="S37" i="1"/>
  <c r="DO35" i="1"/>
  <c r="DC109" i="1"/>
  <c r="DD174" i="1" s="1"/>
  <c r="DC36" i="1"/>
  <c r="DC37" i="1" s="1"/>
  <c r="DC35" i="1"/>
  <c r="DG34" i="1"/>
  <c r="CM36" i="1"/>
  <c r="CM35" i="1"/>
  <c r="CI251" i="1"/>
  <c r="CI197" i="1"/>
  <c r="CI196" i="1"/>
  <c r="CI198" i="1"/>
  <c r="CI191" i="1"/>
  <c r="CE251" i="1"/>
  <c r="CE198" i="1"/>
  <c r="CE197" i="1"/>
  <c r="CE196" i="1"/>
  <c r="CE191" i="1"/>
  <c r="CA191" i="1"/>
  <c r="CA198" i="1"/>
  <c r="CA197" i="1"/>
  <c r="CA196" i="1"/>
  <c r="BS36" i="1"/>
  <c r="BS37" i="1" s="1"/>
  <c r="BS35" i="1"/>
  <c r="BO198" i="1"/>
  <c r="BO194" i="1"/>
  <c r="BO197" i="1"/>
  <c r="BO196" i="1"/>
  <c r="BO191" i="1"/>
  <c r="AY36" i="1"/>
  <c r="AY37" i="1" s="1"/>
  <c r="AY35" i="1"/>
  <c r="AU198" i="1"/>
  <c r="AU194" i="1"/>
  <c r="AU197" i="1"/>
  <c r="AU196" i="1"/>
  <c r="AU191" i="1"/>
  <c r="AM182" i="1"/>
  <c r="AM199" i="1" s="1"/>
  <c r="AM140" i="1"/>
  <c r="AM115" i="1"/>
  <c r="AM116" i="1" s="1"/>
  <c r="AM113" i="1"/>
  <c r="AM112" i="1"/>
  <c r="AI33" i="1"/>
  <c r="CH24" i="1"/>
  <c r="CH23" i="1"/>
  <c r="DN270" i="1"/>
  <c r="DF270" i="1"/>
  <c r="ER48" i="1"/>
  <c r="EE51" i="1"/>
  <c r="DS51" i="1"/>
  <c r="DK51" i="1"/>
  <c r="CY85" i="1"/>
  <c r="CE85" i="1"/>
  <c r="BW85" i="1"/>
  <c r="BK85" i="1"/>
  <c r="BC85" i="1"/>
  <c r="AU85" i="1"/>
  <c r="AM85" i="1"/>
  <c r="S51" i="1"/>
  <c r="G39" i="363"/>
  <c r="EK12" i="1"/>
  <c r="O71" i="1"/>
  <c r="J90" i="1"/>
  <c r="EA71" i="1"/>
  <c r="AE13" i="1"/>
  <c r="AE14" i="1" s="1"/>
  <c r="AE11" i="1"/>
  <c r="AE7" i="1"/>
  <c r="DN33" i="1"/>
  <c r="DT24" i="1"/>
  <c r="AO51" i="1"/>
  <c r="DH14" i="1"/>
  <c r="EA26" i="1"/>
  <c r="AY33" i="1"/>
  <c r="DB26" i="1"/>
  <c r="DS24" i="1"/>
  <c r="DV33" i="1"/>
  <c r="BD12" i="1"/>
  <c r="E140" i="1"/>
  <c r="E113" i="1"/>
  <c r="E117" i="1" s="1"/>
  <c r="E115" i="1"/>
  <c r="O33" i="1"/>
  <c r="DI37" i="1"/>
  <c r="CX25" i="1"/>
  <c r="FH25" i="1" s="1"/>
  <c r="AD111" i="1"/>
  <c r="AE111" i="1" s="1"/>
  <c r="AD110" i="1"/>
  <c r="CR280" i="1"/>
  <c r="CR288" i="1" s="1"/>
  <c r="CR289" i="1" s="1"/>
  <c r="EA295" i="1"/>
  <c r="EA232" i="1"/>
  <c r="Q40" i="363"/>
  <c r="Q42" i="363" s="1"/>
  <c r="P254" i="1"/>
  <c r="P257" i="1" s="1"/>
  <c r="P248" i="1"/>
  <c r="EQ274" i="1"/>
  <c r="EQ239" i="1"/>
  <c r="EF211" i="1"/>
  <c r="ER229" i="1"/>
  <c r="ER150" i="1"/>
  <c r="ES151" i="1"/>
  <c r="DV328" i="1"/>
  <c r="DB302" i="1"/>
  <c r="CW271" i="1"/>
  <c r="CW273" i="1" s="1"/>
  <c r="CW280" i="1" s="1"/>
  <c r="CV272" i="1"/>
  <c r="DL280" i="1"/>
  <c r="CR263" i="1"/>
  <c r="DB295" i="1"/>
  <c r="DB232" i="1"/>
  <c r="EF223" i="1"/>
  <c r="EF227" i="1"/>
  <c r="R34" i="363"/>
  <c r="R36" i="363" s="1"/>
  <c r="EP239" i="1"/>
  <c r="CW227" i="1"/>
  <c r="CF223" i="1"/>
  <c r="CF75" i="1"/>
  <c r="EA223" i="1"/>
  <c r="EA222" i="1"/>
  <c r="EA227" i="1"/>
  <c r="Q34" i="363"/>
  <c r="Q36" i="363" s="1"/>
  <c r="DB239" i="1"/>
  <c r="CK211" i="1"/>
  <c r="DF211" i="1"/>
  <c r="EA239" i="1"/>
  <c r="DV227" i="1"/>
  <c r="DG295" i="1"/>
  <c r="DG232" i="1"/>
  <c r="DG239" i="1" s="1"/>
  <c r="EQ286" i="1"/>
  <c r="EA159" i="1"/>
  <c r="EA160" i="1" s="1"/>
  <c r="EF155" i="1"/>
  <c r="EF157" i="1" s="1"/>
  <c r="EF156" i="1" s="1"/>
  <c r="EB155" i="1"/>
  <c r="EB159" i="1"/>
  <c r="EC138" i="1"/>
  <c r="DI138" i="1"/>
  <c r="BM138" i="1"/>
  <c r="AS138" i="1"/>
  <c r="DF316" i="1"/>
  <c r="CK316" i="1"/>
  <c r="CK204" i="1"/>
  <c r="DD364" i="1"/>
  <c r="EF138" i="1"/>
  <c r="R24" i="363"/>
  <c r="DH138" i="1"/>
  <c r="CB138" i="1"/>
  <c r="DJ316" i="1"/>
  <c r="CJ316" i="1"/>
  <c r="CJ204" i="1"/>
  <c r="CI138" i="1"/>
  <c r="AU138" i="1"/>
  <c r="DC320" i="1"/>
  <c r="DR138" i="1"/>
  <c r="BR138" i="1"/>
  <c r="AT187" i="1"/>
  <c r="AT204" i="1" s="1"/>
  <c r="AT137" i="1"/>
  <c r="AT138" i="1" s="1"/>
  <c r="CQ316" i="1"/>
  <c r="CQ204" i="1"/>
  <c r="ER187" i="1"/>
  <c r="ER137" i="1"/>
  <c r="ER138" i="1" s="1"/>
  <c r="CT320" i="1"/>
  <c r="CC105" i="1"/>
  <c r="CI103" i="1"/>
  <c r="BS103" i="1"/>
  <c r="BC103" i="1"/>
  <c r="DD178" i="1"/>
  <c r="CB178" i="1"/>
  <c r="CB195" i="1" s="1"/>
  <c r="CB193" i="1"/>
  <c r="BP178" i="1"/>
  <c r="BP195" i="1" s="1"/>
  <c r="BP193" i="1"/>
  <c r="BD278" i="1"/>
  <c r="BD272" i="1"/>
  <c r="AN178" i="1"/>
  <c r="AN195" i="1" s="1"/>
  <c r="AN193" i="1"/>
  <c r="DL94" i="1"/>
  <c r="AE91" i="1"/>
  <c r="AE89" i="1"/>
  <c r="AE90" i="1" s="1"/>
  <c r="AE87" i="1"/>
  <c r="BD105" i="1"/>
  <c r="EB176" i="1"/>
  <c r="EB101" i="1"/>
  <c r="EB104" i="1"/>
  <c r="EB105" i="1" s="1"/>
  <c r="EB100" i="1"/>
  <c r="EF99" i="1"/>
  <c r="EB106" i="1"/>
  <c r="EB107" i="1" s="1"/>
  <c r="EB102" i="1"/>
  <c r="EB103" i="1" s="1"/>
  <c r="DH176" i="1"/>
  <c r="DH101" i="1"/>
  <c r="FH101" i="1" s="1"/>
  <c r="DH104" i="1"/>
  <c r="DH105" i="1" s="1"/>
  <c r="DH100" i="1"/>
  <c r="DL99" i="1"/>
  <c r="DH106" i="1"/>
  <c r="DH107" i="1" s="1"/>
  <c r="DH102" i="1"/>
  <c r="DH103" i="1" s="1"/>
  <c r="CA178" i="1"/>
  <c r="CA195" i="1" s="1"/>
  <c r="CA193" i="1"/>
  <c r="BO178" i="1"/>
  <c r="BO195" i="1" s="1"/>
  <c r="BO193" i="1"/>
  <c r="AM178" i="1"/>
  <c r="AM195" i="1" s="1"/>
  <c r="AM193" i="1"/>
  <c r="L93" i="1"/>
  <c r="DH90" i="1"/>
  <c r="DC90" i="1"/>
  <c r="DZ138" i="1"/>
  <c r="CP138" i="1"/>
  <c r="DA138" i="1"/>
  <c r="CM105" i="1"/>
  <c r="AE105" i="1"/>
  <c r="O105" i="1"/>
  <c r="CS103" i="1"/>
  <c r="CC103" i="1"/>
  <c r="BM103" i="1"/>
  <c r="AW103" i="1"/>
  <c r="AG103" i="1"/>
  <c r="Q103" i="1"/>
  <c r="DS176" i="1"/>
  <c r="DS102" i="1"/>
  <c r="DS104" i="1"/>
  <c r="DS100" i="1"/>
  <c r="DS106" i="1"/>
  <c r="DS101" i="1"/>
  <c r="CZ178" i="1"/>
  <c r="CP193" i="1"/>
  <c r="CP178" i="1"/>
  <c r="BJ193" i="1"/>
  <c r="BJ178" i="1"/>
  <c r="BJ195" i="1" s="1"/>
  <c r="AL193" i="1"/>
  <c r="AL178" i="1"/>
  <c r="AL195" i="1" s="1"/>
  <c r="DV92" i="1"/>
  <c r="DV94" i="1"/>
  <c r="DV95" i="1" s="1"/>
  <c r="AD92" i="1"/>
  <c r="AD94" i="1"/>
  <c r="AD93" i="1"/>
  <c r="DJ138" i="1"/>
  <c r="BF138" i="1"/>
  <c r="BR105" i="1"/>
  <c r="CJ103" i="1"/>
  <c r="BT103" i="1"/>
  <c r="BD103" i="1"/>
  <c r="EH176" i="1"/>
  <c r="EH106" i="1"/>
  <c r="EH107" i="1" s="1"/>
  <c r="EH102" i="1"/>
  <c r="EH103" i="1" s="1"/>
  <c r="EH104" i="1"/>
  <c r="EH105" i="1" s="1"/>
  <c r="EH101" i="1"/>
  <c r="EH100" i="1"/>
  <c r="DN176" i="1"/>
  <c r="DN106" i="1"/>
  <c r="DN107" i="1" s="1"/>
  <c r="DN102" i="1"/>
  <c r="DN103" i="1" s="1"/>
  <c r="DN104" i="1"/>
  <c r="DN105" i="1" s="1"/>
  <c r="DN101" i="1"/>
  <c r="FI101" i="1" s="1"/>
  <c r="DN100" i="1"/>
  <c r="CS178" i="1"/>
  <c r="BQ193" i="1"/>
  <c r="BQ178" i="1"/>
  <c r="BQ195" i="1" s="1"/>
  <c r="BE193" i="1"/>
  <c r="BE178" i="1"/>
  <c r="BE195" i="1" s="1"/>
  <c r="AO278" i="1"/>
  <c r="EK92" i="1"/>
  <c r="EK94" i="1"/>
  <c r="EK95" i="1" s="1"/>
  <c r="AE103" i="1"/>
  <c r="DU107" i="1"/>
  <c r="AV95" i="1"/>
  <c r="DC324" i="1"/>
  <c r="AT77" i="1"/>
  <c r="CC198" i="1"/>
  <c r="DA92" i="1"/>
  <c r="DA93" i="1"/>
  <c r="DA94" i="1"/>
  <c r="DA95" i="1" s="1"/>
  <c r="EE46" i="1"/>
  <c r="DU46" i="1"/>
  <c r="DE105" i="1"/>
  <c r="CP105" i="1"/>
  <c r="BJ105" i="1"/>
  <c r="AH103" i="1"/>
  <c r="N103" i="1"/>
  <c r="DY101" i="1"/>
  <c r="DY105" i="1"/>
  <c r="DE92" i="1"/>
  <c r="CY90" i="1"/>
  <c r="BY93" i="1"/>
  <c r="BY92" i="1"/>
  <c r="BY94" i="1"/>
  <c r="BY95" i="1" s="1"/>
  <c r="T94" i="1"/>
  <c r="T93" i="1"/>
  <c r="T92" i="1"/>
  <c r="EA83" i="1"/>
  <c r="DB354" i="1"/>
  <c r="DB356" i="1" s="1"/>
  <c r="DB179" i="1"/>
  <c r="DB84" i="1"/>
  <c r="DB85" i="1" s="1"/>
  <c r="DB82" i="1"/>
  <c r="DB83" i="1" s="1"/>
  <c r="DB80" i="1"/>
  <c r="AO85" i="1"/>
  <c r="AE82" i="1"/>
  <c r="AE83" i="1" s="1"/>
  <c r="AE84" i="1"/>
  <c r="AE85" i="1" s="1"/>
  <c r="AE80" i="1"/>
  <c r="CV210" i="1"/>
  <c r="CH210" i="1"/>
  <c r="CT52" i="1"/>
  <c r="CT53" i="1" s="1"/>
  <c r="ED46" i="1"/>
  <c r="DT46" i="1"/>
  <c r="BK95" i="1"/>
  <c r="Q105" i="1"/>
  <c r="ER97" i="1"/>
  <c r="ES97" i="1" s="1"/>
  <c r="ET97" i="1" s="1"/>
  <c r="EU97" i="1"/>
  <c r="EC107" i="1"/>
  <c r="DX95" i="1"/>
  <c r="BC95" i="1"/>
  <c r="S95" i="1"/>
  <c r="BD90" i="1"/>
  <c r="AJ94" i="1"/>
  <c r="AJ92" i="1"/>
  <c r="O94" i="1"/>
  <c r="O95" i="1" s="1"/>
  <c r="O93" i="1"/>
  <c r="O92" i="1"/>
  <c r="EF324" i="1"/>
  <c r="CY324" i="1"/>
  <c r="J77" i="1"/>
  <c r="EQ211" i="1"/>
  <c r="EU211" i="1" s="1"/>
  <c r="EZ211" i="1" s="1"/>
  <c r="FE211" i="1" s="1"/>
  <c r="EU212" i="1"/>
  <c r="CM210" i="1"/>
  <c r="CM211" i="1"/>
  <c r="CW68" i="1"/>
  <c r="CW69" i="1" s="1"/>
  <c r="CW67" i="1"/>
  <c r="CY105" i="1"/>
  <c r="CQ94" i="1"/>
  <c r="CQ95" i="1" s="1"/>
  <c r="CQ93" i="1"/>
  <c r="CQ92" i="1"/>
  <c r="CZ49" i="1"/>
  <c r="CZ52" i="1"/>
  <c r="CZ53" i="1" s="1"/>
  <c r="EC46" i="1"/>
  <c r="CV105" i="1"/>
  <c r="AN105" i="1"/>
  <c r="P105" i="1"/>
  <c r="EG176" i="1"/>
  <c r="DM107" i="1"/>
  <c r="DM105" i="1"/>
  <c r="BO95" i="1"/>
  <c r="AB95" i="1"/>
  <c r="CC85" i="1"/>
  <c r="BS85" i="1"/>
  <c r="DH83" i="1"/>
  <c r="BD83" i="1"/>
  <c r="DG324" i="1"/>
  <c r="CS324" i="1"/>
  <c r="BX77" i="1"/>
  <c r="DB212" i="1"/>
  <c r="CX210" i="1"/>
  <c r="CX211" i="1"/>
  <c r="DB211" i="1" s="1"/>
  <c r="BX198" i="1"/>
  <c r="BD210" i="1"/>
  <c r="BD211" i="1" s="1"/>
  <c r="DB177" i="1"/>
  <c r="DB56" i="1"/>
  <c r="DB55" i="1"/>
  <c r="CV52" i="1"/>
  <c r="CF53" i="1"/>
  <c r="DR53" i="1"/>
  <c r="EG46" i="1"/>
  <c r="DW46" i="1"/>
  <c r="CU57" i="1"/>
  <c r="DE49" i="1"/>
  <c r="AD53" i="1"/>
  <c r="DG50" i="1"/>
  <c r="DG51" i="1" s="1"/>
  <c r="DC51" i="1"/>
  <c r="BM46" i="1"/>
  <c r="DD52" i="1"/>
  <c r="CC52" i="1"/>
  <c r="CC53" i="1" s="1"/>
  <c r="CC45" i="1"/>
  <c r="CC46" i="1" s="1"/>
  <c r="CC40" i="1"/>
  <c r="BS53" i="1"/>
  <c r="EH37" i="1"/>
  <c r="DM37" i="1"/>
  <c r="EL109" i="1"/>
  <c r="EL36" i="1"/>
  <c r="DV109" i="1"/>
  <c r="DV35" i="1"/>
  <c r="DV36" i="1"/>
  <c r="DV37" i="1" s="1"/>
  <c r="P11" i="363"/>
  <c r="CH36" i="1"/>
  <c r="CH37" i="1" s="1"/>
  <c r="CH35" i="1"/>
  <c r="CD251" i="1"/>
  <c r="CD197" i="1"/>
  <c r="CD191" i="1"/>
  <c r="BZ197" i="1"/>
  <c r="BZ191" i="1"/>
  <c r="BR182" i="1"/>
  <c r="BR199" i="1" s="1"/>
  <c r="BR140" i="1"/>
  <c r="BR115" i="1"/>
  <c r="BR116" i="1" s="1"/>
  <c r="BR113" i="1"/>
  <c r="BR112" i="1"/>
  <c r="AX197" i="1"/>
  <c r="AX191" i="1"/>
  <c r="AP182" i="1"/>
  <c r="AP199" i="1" s="1"/>
  <c r="AP140" i="1"/>
  <c r="AP115" i="1"/>
  <c r="AP116" i="1" s="1"/>
  <c r="AP113" i="1"/>
  <c r="AT111" i="1"/>
  <c r="AP112" i="1"/>
  <c r="AL197" i="1"/>
  <c r="AL191" i="1"/>
  <c r="V140" i="1"/>
  <c r="V115" i="1"/>
  <c r="V113" i="1"/>
  <c r="Z111" i="1"/>
  <c r="V112" i="1"/>
  <c r="EK23" i="1"/>
  <c r="G41" i="363" s="1"/>
  <c r="EK24" i="1"/>
  <c r="CC23" i="1"/>
  <c r="CC24" i="1"/>
  <c r="CD51" i="1"/>
  <c r="CH50" i="1"/>
  <c r="CH51" i="1" s="1"/>
  <c r="BJ51" i="1"/>
  <c r="BN50" i="1"/>
  <c r="BN51" i="1" s="1"/>
  <c r="ET87" i="1"/>
  <c r="ET88" i="1"/>
  <c r="DV90" i="1"/>
  <c r="ER78" i="1"/>
  <c r="DB69" i="1"/>
  <c r="CH57" i="1"/>
  <c r="CX49" i="1"/>
  <c r="CD46" i="1"/>
  <c r="DL53" i="1"/>
  <c r="CH46" i="1"/>
  <c r="DK37" i="1"/>
  <c r="EK109" i="1"/>
  <c r="S11" i="363"/>
  <c r="EK35" i="1"/>
  <c r="EK36" i="1"/>
  <c r="DY109" i="1"/>
  <c r="EB174" i="1" s="1"/>
  <c r="DY35" i="1"/>
  <c r="DY36" i="1"/>
  <c r="DY37" i="1" s="1"/>
  <c r="CO182" i="1"/>
  <c r="CO115" i="1"/>
  <c r="CO116" i="1" s="1"/>
  <c r="CO113" i="1"/>
  <c r="CO112" i="1"/>
  <c r="CO140" i="1"/>
  <c r="CK182" i="1"/>
  <c r="CK115" i="1"/>
  <c r="CK116" i="1" s="1"/>
  <c r="CK113" i="1"/>
  <c r="CK112" i="1"/>
  <c r="CK140" i="1"/>
  <c r="CG182" i="1"/>
  <c r="CG115" i="1"/>
  <c r="CG116" i="1" s="1"/>
  <c r="CG113" i="1"/>
  <c r="CG112" i="1"/>
  <c r="CG140" i="1"/>
  <c r="CC222" i="1"/>
  <c r="CC174" i="1"/>
  <c r="CC110" i="1"/>
  <c r="BQ182" i="1"/>
  <c r="BQ199" i="1" s="1"/>
  <c r="BQ115" i="1"/>
  <c r="BQ116" i="1" s="1"/>
  <c r="BQ113" i="1"/>
  <c r="BQ112" i="1"/>
  <c r="BQ140" i="1"/>
  <c r="BM197" i="1"/>
  <c r="BM191" i="1"/>
  <c r="BE182" i="1"/>
  <c r="BE199" i="1" s="1"/>
  <c r="BE115" i="1"/>
  <c r="BE116" i="1" s="1"/>
  <c r="BE113" i="1"/>
  <c r="BE112" i="1"/>
  <c r="BI111" i="1"/>
  <c r="BE140" i="1"/>
  <c r="BA197" i="1"/>
  <c r="BA191" i="1"/>
  <c r="AO251" i="1"/>
  <c r="AO222" i="1"/>
  <c r="AO263" i="1"/>
  <c r="AO174" i="1"/>
  <c r="AO196" i="1" s="1"/>
  <c r="AO110" i="1"/>
  <c r="M140" i="1"/>
  <c r="M115" i="1"/>
  <c r="M113" i="1"/>
  <c r="M112" i="1"/>
  <c r="DT434" i="1"/>
  <c r="DT432" i="1"/>
  <c r="DT428" i="1"/>
  <c r="DT433" i="1"/>
  <c r="DT430" i="1"/>
  <c r="DT429" i="1"/>
  <c r="DH24" i="1"/>
  <c r="DH23" i="1"/>
  <c r="DH25" i="1"/>
  <c r="BD24" i="1"/>
  <c r="BD23" i="1"/>
  <c r="EO270" i="1"/>
  <c r="ET270" i="1" s="1"/>
  <c r="BN175" i="1"/>
  <c r="BN21" i="1"/>
  <c r="BN22" i="1"/>
  <c r="DM84" i="1"/>
  <c r="DM85" i="1" s="1"/>
  <c r="DM50" i="1"/>
  <c r="Y85" i="1"/>
  <c r="ES88" i="1"/>
  <c r="ES87" i="1"/>
  <c r="DG7" i="1"/>
  <c r="DG11" i="1"/>
  <c r="DG13" i="1"/>
  <c r="DL7" i="1"/>
  <c r="CM69" i="1"/>
  <c r="DB7" i="1"/>
  <c r="DB11" i="1"/>
  <c r="DB12" i="1" s="1"/>
  <c r="DB13" i="1"/>
  <c r="DB14" i="1" s="1"/>
  <c r="DH69" i="1"/>
  <c r="CI57" i="1"/>
  <c r="CZ51" i="1"/>
  <c r="CG46" i="1"/>
  <c r="DK53" i="1"/>
  <c r="DS46" i="1"/>
  <c r="DZ37" i="1"/>
  <c r="EF109" i="1"/>
  <c r="EF36" i="1"/>
  <c r="EF37" i="1" s="1"/>
  <c r="F42" i="363" s="1"/>
  <c r="EF35" i="1"/>
  <c r="R11" i="363"/>
  <c r="DX222" i="1"/>
  <c r="DX174" i="1"/>
  <c r="DX111" i="1"/>
  <c r="DX110" i="1"/>
  <c r="DP222" i="1"/>
  <c r="DP174" i="1"/>
  <c r="DP204" i="1" s="1"/>
  <c r="DP111" i="1"/>
  <c r="DR182" i="1" s="1"/>
  <c r="DR199" i="1" s="1"/>
  <c r="DP110" i="1"/>
  <c r="CR36" i="1"/>
  <c r="CR37" i="1" s="1"/>
  <c r="CR35" i="1"/>
  <c r="CN251" i="1"/>
  <c r="CN197" i="1"/>
  <c r="CN191" i="1"/>
  <c r="CJ251" i="1"/>
  <c r="CJ197" i="1"/>
  <c r="CJ191" i="1"/>
  <c r="CF251" i="1"/>
  <c r="CF197" i="1"/>
  <c r="CF191" i="1"/>
  <c r="CB197" i="1"/>
  <c r="CB191" i="1"/>
  <c r="BT182" i="1"/>
  <c r="BT199" i="1" s="1"/>
  <c r="BT115" i="1"/>
  <c r="BT116" i="1" s="1"/>
  <c r="BT113" i="1"/>
  <c r="BT112" i="1"/>
  <c r="BT140" i="1"/>
  <c r="BX111" i="1"/>
  <c r="BP197" i="1"/>
  <c r="BP191" i="1"/>
  <c r="BH182" i="1"/>
  <c r="BH199" i="1" s="1"/>
  <c r="BH140" i="1"/>
  <c r="BH115" i="1"/>
  <c r="BH113" i="1"/>
  <c r="BH112" i="1"/>
  <c r="BD222" i="1"/>
  <c r="BD174" i="1"/>
  <c r="BD110" i="1"/>
  <c r="AV182" i="1"/>
  <c r="AV199" i="1" s="1"/>
  <c r="AV140" i="1"/>
  <c r="AV115" i="1"/>
  <c r="AV113" i="1"/>
  <c r="AV112" i="1"/>
  <c r="AN197" i="1"/>
  <c r="AN191" i="1"/>
  <c r="AF115" i="1"/>
  <c r="AF116" i="1" s="1"/>
  <c r="AF113" i="1"/>
  <c r="AF140" i="1"/>
  <c r="AJ111" i="1"/>
  <c r="AF112" i="1"/>
  <c r="X115" i="1"/>
  <c r="X116" i="1" s="1"/>
  <c r="X113" i="1"/>
  <c r="X140" i="1"/>
  <c r="X112" i="1"/>
  <c r="H140" i="1"/>
  <c r="H115" i="1"/>
  <c r="H116" i="1" s="1"/>
  <c r="H113" i="1"/>
  <c r="H112" i="1"/>
  <c r="DG24" i="1"/>
  <c r="DG23" i="1"/>
  <c r="AE24" i="1"/>
  <c r="AE23" i="1"/>
  <c r="CZ85" i="1"/>
  <c r="L51" i="1"/>
  <c r="FS9" i="1"/>
  <c r="EU9" i="1"/>
  <c r="H38" i="363" s="1"/>
  <c r="EZ8" i="1"/>
  <c r="ER88" i="1"/>
  <c r="ER87" i="1"/>
  <c r="AI83" i="1"/>
  <c r="AJ83" i="1"/>
  <c r="DV69" i="1"/>
  <c r="DD71" i="1"/>
  <c r="BX57" i="1"/>
  <c r="CQ57" i="1"/>
  <c r="AL53" i="1"/>
  <c r="CF46" i="1"/>
  <c r="CR40" i="1"/>
  <c r="AT53" i="1"/>
  <c r="CE37" i="1"/>
  <c r="BC37" i="1"/>
  <c r="K37" i="1"/>
  <c r="K35" i="1"/>
  <c r="EI111" i="1"/>
  <c r="EE111" i="1"/>
  <c r="DW111" i="1"/>
  <c r="DS111" i="1"/>
  <c r="DV111" i="1" s="1"/>
  <c r="DO111" i="1"/>
  <c r="DQ111" i="1" s="1"/>
  <c r="DK111" i="1"/>
  <c r="CY140" i="1"/>
  <c r="CY115" i="1"/>
  <c r="CY113" i="1"/>
  <c r="CQ182" i="1"/>
  <c r="CQ140" i="1"/>
  <c r="CQ115" i="1"/>
  <c r="CQ116" i="1" s="1"/>
  <c r="CQ112" i="1"/>
  <c r="CQ113" i="1"/>
  <c r="CI182" i="1"/>
  <c r="CI140" i="1"/>
  <c r="CI115" i="1"/>
  <c r="CI116" i="1" s="1"/>
  <c r="CI113" i="1"/>
  <c r="CI112" i="1"/>
  <c r="CM111" i="1"/>
  <c r="BW182" i="1"/>
  <c r="BW199" i="1" s="1"/>
  <c r="BW140" i="1"/>
  <c r="BW115" i="1"/>
  <c r="BW116" i="1" s="1"/>
  <c r="BW112" i="1"/>
  <c r="BW113" i="1"/>
  <c r="BC182" i="1"/>
  <c r="BC199" i="1" s="1"/>
  <c r="BC140" i="1"/>
  <c r="BC115" i="1"/>
  <c r="BC113" i="1"/>
  <c r="BC112" i="1"/>
  <c r="AQ182" i="1"/>
  <c r="AQ199" i="1" s="1"/>
  <c r="AQ140" i="1"/>
  <c r="AQ112" i="1"/>
  <c r="AQ115" i="1"/>
  <c r="AQ116" i="1" s="1"/>
  <c r="AQ113" i="1"/>
  <c r="AE36" i="1"/>
  <c r="AE37" i="1" s="1"/>
  <c r="AE35" i="1"/>
  <c r="W140" i="1"/>
  <c r="W115" i="1"/>
  <c r="W113" i="1"/>
  <c r="W112" i="1"/>
  <c r="O109" i="1"/>
  <c r="O36" i="1"/>
  <c r="O37" i="1" s="1"/>
  <c r="O35" i="1"/>
  <c r="CY33" i="1"/>
  <c r="BU24" i="1"/>
  <c r="DN23" i="1"/>
  <c r="EQ25" i="1"/>
  <c r="EQ24" i="1"/>
  <c r="AT24" i="1"/>
  <c r="AT23" i="1"/>
  <c r="J25" i="1"/>
  <c r="J23" i="1"/>
  <c r="DC270" i="1"/>
  <c r="ER79" i="1"/>
  <c r="EE85" i="1"/>
  <c r="DS85" i="1"/>
  <c r="DK85" i="1"/>
  <c r="CI85" i="1"/>
  <c r="CA51" i="1"/>
  <c r="BK51" i="1"/>
  <c r="BC51" i="1"/>
  <c r="AQ85" i="1"/>
  <c r="S85" i="1"/>
  <c r="FP5" i="1"/>
  <c r="FP6" i="1" s="1"/>
  <c r="FP10" i="1"/>
  <c r="EQ67" i="1"/>
  <c r="EU66" i="1"/>
  <c r="EQ54" i="1"/>
  <c r="DC33" i="1"/>
  <c r="BS24" i="1"/>
  <c r="O23" i="1"/>
  <c r="DR24" i="1"/>
  <c r="BK37" i="1"/>
  <c r="CH14" i="1"/>
  <c r="AT14" i="1"/>
  <c r="CM33" i="1"/>
  <c r="DK25" i="1"/>
  <c r="EF12" i="1"/>
  <c r="DD196" i="1" l="1"/>
  <c r="DD194" i="1"/>
  <c r="DD193" i="1"/>
  <c r="ER286" i="1"/>
  <c r="CY138" i="1"/>
  <c r="DB77" i="1"/>
  <c r="ER156" i="1"/>
  <c r="ER157" i="1"/>
  <c r="DG14" i="1"/>
  <c r="ES159" i="1"/>
  <c r="ES155" i="1"/>
  <c r="ET158" i="1"/>
  <c r="BN95" i="1"/>
  <c r="V116" i="1"/>
  <c r="CF116" i="1"/>
  <c r="CZ95" i="1"/>
  <c r="CT95" i="1"/>
  <c r="W116" i="1"/>
  <c r="DB57" i="1"/>
  <c r="CE95" i="1"/>
  <c r="BC116" i="1"/>
  <c r="BH116" i="1"/>
  <c r="FI93" i="1"/>
  <c r="AZ116" i="1"/>
  <c r="DQ182" i="1"/>
  <c r="DQ140" i="1"/>
  <c r="DQ115" i="1"/>
  <c r="DQ121" i="1"/>
  <c r="DQ123" i="1" s="1"/>
  <c r="DV182" i="1"/>
  <c r="DV140" i="1"/>
  <c r="DV121" i="1"/>
  <c r="DV123" i="1" s="1"/>
  <c r="DV112" i="1"/>
  <c r="DV115" i="1"/>
  <c r="DV116" i="1" s="1"/>
  <c r="CW288" i="1"/>
  <c r="CW279" i="1"/>
  <c r="AE140" i="1"/>
  <c r="AE141" i="1" s="1"/>
  <c r="AE115" i="1"/>
  <c r="AE112" i="1"/>
  <c r="CU376" i="1"/>
  <c r="CU251" i="1"/>
  <c r="CU197" i="1"/>
  <c r="CU191" i="1"/>
  <c r="CU203" i="1"/>
  <c r="CU193" i="1"/>
  <c r="CU198" i="1"/>
  <c r="CU194" i="1"/>
  <c r="CU192" i="1"/>
  <c r="CU263" i="1"/>
  <c r="CU196" i="1"/>
  <c r="CU202" i="1"/>
  <c r="EB263" i="1"/>
  <c r="EB251" i="1"/>
  <c r="EB197" i="1"/>
  <c r="EB191" i="1"/>
  <c r="EB196" i="1"/>
  <c r="EB202" i="1"/>
  <c r="EB192" i="1"/>
  <c r="EB194" i="1"/>
  <c r="EB198" i="1"/>
  <c r="EB203" i="1"/>
  <c r="EB204" i="1"/>
  <c r="ES79" i="1"/>
  <c r="ES48" i="1"/>
  <c r="W143" i="1"/>
  <c r="W141" i="1"/>
  <c r="BW188" i="1"/>
  <c r="BW205" i="1" s="1"/>
  <c r="BW141" i="1"/>
  <c r="BW143" i="1"/>
  <c r="CQ323" i="1"/>
  <c r="CQ327" i="1"/>
  <c r="CQ319" i="1"/>
  <c r="CQ315" i="1"/>
  <c r="CQ199" i="1"/>
  <c r="AJ182" i="1"/>
  <c r="AJ199" i="1" s="1"/>
  <c r="AJ115" i="1"/>
  <c r="AJ140" i="1"/>
  <c r="AJ112" i="1"/>
  <c r="BD251" i="1"/>
  <c r="BD197" i="1"/>
  <c r="BD191" i="1"/>
  <c r="BD202" i="1"/>
  <c r="BD193" i="1"/>
  <c r="BD203" i="1"/>
  <c r="BD194" i="1"/>
  <c r="BD192" i="1"/>
  <c r="BC183" i="1"/>
  <c r="BC117" i="1"/>
  <c r="BC114" i="1"/>
  <c r="EQ177" i="1"/>
  <c r="EQ55" i="1"/>
  <c r="EU54" i="1"/>
  <c r="AQ183" i="1"/>
  <c r="AQ117" i="1"/>
  <c r="AQ114" i="1"/>
  <c r="BC188" i="1"/>
  <c r="BC205" i="1" s="1"/>
  <c r="BC143" i="1"/>
  <c r="BC141" i="1"/>
  <c r="CI323" i="1"/>
  <c r="CI327" i="1"/>
  <c r="CI319" i="1"/>
  <c r="CI315" i="1"/>
  <c r="CI199" i="1"/>
  <c r="CQ188" i="1"/>
  <c r="CQ205" i="1" s="1"/>
  <c r="CQ141" i="1"/>
  <c r="CQ143" i="1"/>
  <c r="DO121" i="1"/>
  <c r="DO123" i="1" s="1"/>
  <c r="DK140" i="1"/>
  <c r="DK115" i="1"/>
  <c r="DK113" i="1"/>
  <c r="DK112" i="1"/>
  <c r="EE182" i="1"/>
  <c r="EE199" i="1" s="1"/>
  <c r="EI121" i="1"/>
  <c r="EI123" i="1" s="1"/>
  <c r="EE140" i="1"/>
  <c r="EE115" i="1"/>
  <c r="EE113" i="1"/>
  <c r="EE112" i="1"/>
  <c r="FS10" i="1"/>
  <c r="FS5" i="1"/>
  <c r="FS6" i="1" s="1"/>
  <c r="AV183" i="1"/>
  <c r="AV117" i="1"/>
  <c r="AV118" i="1" s="1"/>
  <c r="AV114" i="1"/>
  <c r="BH117" i="1"/>
  <c r="BH114" i="1"/>
  <c r="EF174" i="1"/>
  <c r="EF110" i="1"/>
  <c r="M116" i="1"/>
  <c r="BE183" i="1"/>
  <c r="BE117" i="1"/>
  <c r="BE114" i="1"/>
  <c r="CK183" i="1"/>
  <c r="CK117" i="1"/>
  <c r="CK114" i="1"/>
  <c r="Z140" i="1"/>
  <c r="Z141" i="1" s="1"/>
  <c r="Z115" i="1"/>
  <c r="AP183" i="1"/>
  <c r="AP117" i="1"/>
  <c r="AP114" i="1"/>
  <c r="AT113" i="1"/>
  <c r="FJ52" i="1"/>
  <c r="EG107" i="1"/>
  <c r="DB324" i="1"/>
  <c r="AO198" i="1"/>
  <c r="DN178" i="1"/>
  <c r="DE364" i="1"/>
  <c r="ER274" i="1"/>
  <c r="ES274" i="1" s="1"/>
  <c r="ET274" i="1" s="1"/>
  <c r="EU274" i="1" s="1"/>
  <c r="ER49" i="1"/>
  <c r="ER43" i="1"/>
  <c r="CM37" i="1"/>
  <c r="DC222" i="1"/>
  <c r="DC174" i="1"/>
  <c r="DG109" i="1"/>
  <c r="DC110" i="1"/>
  <c r="DC111" i="1"/>
  <c r="DE174" i="1"/>
  <c r="DF174" i="1"/>
  <c r="FQ6" i="1"/>
  <c r="CW23" i="1"/>
  <c r="CW24" i="1"/>
  <c r="AR116" i="1"/>
  <c r="CF183" i="1"/>
  <c r="CF117" i="1"/>
  <c r="CF114" i="1"/>
  <c r="EJ182" i="1"/>
  <c r="EJ199" i="1" s="1"/>
  <c r="EJ140" i="1"/>
  <c r="EJ115" i="1"/>
  <c r="EJ116" i="1" s="1"/>
  <c r="EJ113" i="1"/>
  <c r="EJ112" i="1"/>
  <c r="AC143" i="1"/>
  <c r="AC141" i="1"/>
  <c r="BA183" i="1"/>
  <c r="BA117" i="1"/>
  <c r="BA114" i="1"/>
  <c r="DA141" i="1"/>
  <c r="DA143" i="1"/>
  <c r="DP121" i="1"/>
  <c r="DP123" i="1" s="1"/>
  <c r="EO222" i="1"/>
  <c r="EO174" i="1"/>
  <c r="EO111" i="1"/>
  <c r="DB270" i="1"/>
  <c r="R117" i="1"/>
  <c r="R114" i="1"/>
  <c r="BZ183" i="1"/>
  <c r="BZ117" i="1"/>
  <c r="BZ114" i="1"/>
  <c r="BD198" i="1"/>
  <c r="EG105" i="1"/>
  <c r="CX53" i="1"/>
  <c r="AO95" i="1"/>
  <c r="DC49" i="1"/>
  <c r="DC52" i="1"/>
  <c r="DH49" i="1"/>
  <c r="BI223" i="1"/>
  <c r="BI75" i="1"/>
  <c r="CG95" i="1"/>
  <c r="DR193" i="1"/>
  <c r="DR178" i="1"/>
  <c r="DW178" i="1"/>
  <c r="DW193" i="1"/>
  <c r="CY316" i="1"/>
  <c r="AY316" i="1"/>
  <c r="AY204" i="1"/>
  <c r="Z246" i="1"/>
  <c r="AE242" i="1"/>
  <c r="AE243" i="1" s="1"/>
  <c r="ET277" i="1"/>
  <c r="EU5" i="1"/>
  <c r="H37" i="363" s="1"/>
  <c r="EU13" i="1"/>
  <c r="BG196" i="1"/>
  <c r="BG191" i="1"/>
  <c r="BG198" i="1"/>
  <c r="BG194" i="1"/>
  <c r="BG197" i="1"/>
  <c r="BG202" i="1"/>
  <c r="BG203" i="1"/>
  <c r="G117" i="1"/>
  <c r="G114" i="1"/>
  <c r="S117" i="1"/>
  <c r="S114" i="1"/>
  <c r="AU116" i="1"/>
  <c r="CA188" i="1"/>
  <c r="CA205" i="1" s="1"/>
  <c r="CA141" i="1"/>
  <c r="CA143" i="1"/>
  <c r="CE116" i="1"/>
  <c r="EM222" i="1"/>
  <c r="EM174" i="1"/>
  <c r="EM111" i="1"/>
  <c r="EP45" i="1"/>
  <c r="EP52" i="1"/>
  <c r="CH90" i="1"/>
  <c r="L117" i="1"/>
  <c r="L118" i="1" s="1"/>
  <c r="L114" i="1"/>
  <c r="AB143" i="1"/>
  <c r="AB141" i="1"/>
  <c r="AJ197" i="1"/>
  <c r="AJ191" i="1"/>
  <c r="AJ194" i="1"/>
  <c r="AJ192" i="1"/>
  <c r="AJ193" i="1"/>
  <c r="AJ202" i="1"/>
  <c r="AJ203" i="1"/>
  <c r="AZ183" i="1"/>
  <c r="AZ117" i="1"/>
  <c r="AZ114" i="1"/>
  <c r="BD113" i="1"/>
  <c r="CB188" i="1"/>
  <c r="CB205" i="1" s="1"/>
  <c r="CB143" i="1"/>
  <c r="CB141" i="1"/>
  <c r="CB323" i="1"/>
  <c r="CB199" i="1"/>
  <c r="CN183" i="1"/>
  <c r="CN117" i="1"/>
  <c r="CN114" i="1"/>
  <c r="CR113" i="1"/>
  <c r="DT182" i="1"/>
  <c r="DT199" i="1" s="1"/>
  <c r="DT115" i="1"/>
  <c r="DT113" i="1"/>
  <c r="DT112" i="1"/>
  <c r="DX121" i="1"/>
  <c r="DX123" i="1" s="1"/>
  <c r="DT140" i="1"/>
  <c r="EB140" i="1"/>
  <c r="EF111" i="1"/>
  <c r="EB115" i="1"/>
  <c r="EB113" i="1"/>
  <c r="EB112" i="1"/>
  <c r="EE121" i="1"/>
  <c r="EE123" i="1" s="1"/>
  <c r="DI85" i="1"/>
  <c r="AK188" i="1"/>
  <c r="AK205" i="1" s="1"/>
  <c r="AK143" i="1"/>
  <c r="AK141" i="1"/>
  <c r="AK116" i="1"/>
  <c r="CW36" i="1"/>
  <c r="CW37" i="1" s="1"/>
  <c r="CW35" i="1"/>
  <c r="DU112" i="1"/>
  <c r="EG117" i="1"/>
  <c r="EG114" i="1"/>
  <c r="DA37" i="1"/>
  <c r="N117" i="1"/>
  <c r="N114" i="1"/>
  <c r="AL183" i="1"/>
  <c r="AL117" i="1"/>
  <c r="AL114" i="1"/>
  <c r="BJ182" i="1"/>
  <c r="BJ199" i="1" s="1"/>
  <c r="BV183" i="1"/>
  <c r="BV117" i="1"/>
  <c r="BV114" i="1"/>
  <c r="CX174" i="1"/>
  <c r="CX110" i="1"/>
  <c r="DB109" i="1"/>
  <c r="CX111" i="1"/>
  <c r="DA174" i="1"/>
  <c r="CY174" i="1"/>
  <c r="CZ174" i="1"/>
  <c r="CZ204" i="1" s="1"/>
  <c r="CX222" i="1"/>
  <c r="BI196" i="1"/>
  <c r="CM194" i="1"/>
  <c r="CM178" i="1"/>
  <c r="AY211" i="1"/>
  <c r="CR57" i="1"/>
  <c r="AT211" i="1"/>
  <c r="DG210" i="1"/>
  <c r="DC223" i="1"/>
  <c r="DC75" i="1"/>
  <c r="AJ85" i="1"/>
  <c r="AT95" i="1"/>
  <c r="DU105" i="1"/>
  <c r="CZ316" i="1"/>
  <c r="DK178" i="1"/>
  <c r="FE138" i="1"/>
  <c r="V24" i="363"/>
  <c r="EA95" i="1"/>
  <c r="BG195" i="1"/>
  <c r="CU195" i="1"/>
  <c r="CU278" i="1"/>
  <c r="AJ195" i="1"/>
  <c r="AJ204" i="1"/>
  <c r="CM316" i="1"/>
  <c r="CM204" i="1"/>
  <c r="DQ138" i="1"/>
  <c r="O24" i="363"/>
  <c r="EL157" i="1"/>
  <c r="EM156" i="1"/>
  <c r="EQ157" i="1"/>
  <c r="CY278" i="1"/>
  <c r="DI115" i="1"/>
  <c r="DI113" i="1"/>
  <c r="DI112" i="1"/>
  <c r="DI140" i="1"/>
  <c r="EU50" i="1"/>
  <c r="EQ48" i="1"/>
  <c r="BS51" i="1"/>
  <c r="AA116" i="1"/>
  <c r="BX51" i="1"/>
  <c r="DL51" i="1"/>
  <c r="T111" i="1"/>
  <c r="T110" i="1"/>
  <c r="Y110" i="1"/>
  <c r="BL142" i="1"/>
  <c r="BN142" i="1" s="1"/>
  <c r="CZ143" i="1"/>
  <c r="CZ141" i="1"/>
  <c r="DH37" i="1"/>
  <c r="DB71" i="1"/>
  <c r="DG71" i="1"/>
  <c r="CC51" i="1"/>
  <c r="BU183" i="1"/>
  <c r="BU117" i="1"/>
  <c r="BU114" i="1"/>
  <c r="O10" i="363"/>
  <c r="EC143" i="1"/>
  <c r="EC141" i="1"/>
  <c r="BG192" i="1"/>
  <c r="EP109" i="1"/>
  <c r="EP36" i="1"/>
  <c r="B117" i="1"/>
  <c r="F113" i="1"/>
  <c r="F117" i="1" s="1"/>
  <c r="AH143" i="1"/>
  <c r="AH141" i="1"/>
  <c r="AT37" i="1"/>
  <c r="BF183" i="1"/>
  <c r="BF117" i="1"/>
  <c r="BF118" i="1" s="1"/>
  <c r="BF114" i="1"/>
  <c r="CD323" i="1"/>
  <c r="CD199" i="1"/>
  <c r="CL188" i="1"/>
  <c r="CL205" i="1" s="1"/>
  <c r="CL143" i="1"/>
  <c r="CL141" i="1"/>
  <c r="CP116" i="1"/>
  <c r="CD95" i="1"/>
  <c r="CY95" i="1"/>
  <c r="CU223" i="1"/>
  <c r="CU75" i="1"/>
  <c r="BD95" i="1"/>
  <c r="CF95" i="1"/>
  <c r="DI95" i="1"/>
  <c r="DJ178" i="1"/>
  <c r="CZ138" i="1"/>
  <c r="CX95" i="1"/>
  <c r="CD195" i="1"/>
  <c r="CD272" i="1"/>
  <c r="CD278" i="1"/>
  <c r="DO107" i="1"/>
  <c r="DO103" i="1"/>
  <c r="DA316" i="1"/>
  <c r="DA204" i="1"/>
  <c r="DB103" i="1"/>
  <c r="DX107" i="1"/>
  <c r="BX316" i="1"/>
  <c r="BX204" i="1"/>
  <c r="BS316" i="1"/>
  <c r="BS204" i="1"/>
  <c r="BI316" i="1"/>
  <c r="BI204" i="1"/>
  <c r="DG320" i="1"/>
  <c r="CX316" i="1"/>
  <c r="CX204" i="1"/>
  <c r="P57" i="363"/>
  <c r="DV288" i="1"/>
  <c r="DV279" i="1"/>
  <c r="DH388" i="1"/>
  <c r="DH387" i="1"/>
  <c r="DH386" i="1"/>
  <c r="DI365" i="1"/>
  <c r="EN278" i="1"/>
  <c r="EN272" i="1"/>
  <c r="ES272" i="1" s="1"/>
  <c r="DN112" i="1"/>
  <c r="EH143" i="1"/>
  <c r="EH141" i="1"/>
  <c r="EH182" i="1"/>
  <c r="EH199" i="1" s="1"/>
  <c r="Q10" i="363"/>
  <c r="DR117" i="1"/>
  <c r="DR114" i="1"/>
  <c r="EQ109" i="1"/>
  <c r="EQ36" i="1"/>
  <c r="EQ37" i="1" s="1"/>
  <c r="EQ35" i="1"/>
  <c r="EI182" i="1"/>
  <c r="EI199" i="1" s="1"/>
  <c r="EI115" i="1"/>
  <c r="EI113" i="1"/>
  <c r="EI112" i="1"/>
  <c r="EI140" i="1"/>
  <c r="X143" i="1"/>
  <c r="X141" i="1"/>
  <c r="R10" i="363"/>
  <c r="BN24" i="1"/>
  <c r="BN23" i="1"/>
  <c r="BS23" i="1"/>
  <c r="M143" i="1"/>
  <c r="M141" i="1"/>
  <c r="BE188" i="1"/>
  <c r="BE205" i="1" s="1"/>
  <c r="BE143" i="1"/>
  <c r="BE141" i="1"/>
  <c r="BQ188" i="1"/>
  <c r="BQ205" i="1" s="1"/>
  <c r="BQ143" i="1"/>
  <c r="BQ141" i="1"/>
  <c r="CG188" i="1"/>
  <c r="CG205" i="1" s="1"/>
  <c r="CG143" i="1"/>
  <c r="CG141" i="1"/>
  <c r="CG323" i="1"/>
  <c r="CG199" i="1"/>
  <c r="CO183" i="1"/>
  <c r="CO117" i="1"/>
  <c r="CO114" i="1"/>
  <c r="S21" i="363"/>
  <c r="S10" i="363"/>
  <c r="V117" i="1"/>
  <c r="V114" i="1"/>
  <c r="Z113" i="1"/>
  <c r="BR188" i="1"/>
  <c r="BR205" i="1" s="1"/>
  <c r="BR143" i="1"/>
  <c r="BR141" i="1"/>
  <c r="DV174" i="1"/>
  <c r="DV110" i="1"/>
  <c r="DV222" i="1"/>
  <c r="CV75" i="1"/>
  <c r="CV223" i="1"/>
  <c r="T95" i="1"/>
  <c r="CS278" i="1"/>
  <c r="CZ195" i="1"/>
  <c r="CZ278" i="1"/>
  <c r="DS105" i="1"/>
  <c r="EF222" i="1"/>
  <c r="DL288" i="1"/>
  <c r="DL279" i="1"/>
  <c r="ER232" i="1"/>
  <c r="ER239" i="1" s="1"/>
  <c r="P252" i="1"/>
  <c r="P249" i="1"/>
  <c r="E143" i="1"/>
  <c r="E141" i="1"/>
  <c r="DB27" i="1"/>
  <c r="DG27" i="1"/>
  <c r="AE12" i="1"/>
  <c r="AJ12" i="1"/>
  <c r="AM188" i="1"/>
  <c r="AM205" i="1" s="1"/>
  <c r="AM143" i="1"/>
  <c r="AM141" i="1"/>
  <c r="DG36" i="1"/>
  <c r="DG35" i="1"/>
  <c r="CW270" i="1"/>
  <c r="AR188" i="1"/>
  <c r="AR205" i="1" s="1"/>
  <c r="AR143" i="1"/>
  <c r="AR141" i="1"/>
  <c r="BP188" i="1"/>
  <c r="BP205" i="1" s="1"/>
  <c r="BP143" i="1"/>
  <c r="BP141" i="1"/>
  <c r="CJ183" i="1"/>
  <c r="CJ117" i="1"/>
  <c r="CJ114" i="1"/>
  <c r="DD376" i="1"/>
  <c r="DD197" i="1"/>
  <c r="DD191" i="1"/>
  <c r="DD251" i="1"/>
  <c r="DD263" i="1"/>
  <c r="EJ251" i="1"/>
  <c r="EJ263" i="1"/>
  <c r="EJ197" i="1"/>
  <c r="EJ191" i="1"/>
  <c r="EJ196" i="1"/>
  <c r="EJ198" i="1"/>
  <c r="EJ194" i="1"/>
  <c r="EJ203" i="1"/>
  <c r="EJ192" i="1"/>
  <c r="BX24" i="1"/>
  <c r="BA116" i="1"/>
  <c r="BM117" i="1"/>
  <c r="BM118" i="1" s="1"/>
  <c r="BM114" i="1"/>
  <c r="DE117" i="1"/>
  <c r="DE114" i="1"/>
  <c r="DM143" i="1"/>
  <c r="DM141" i="1"/>
  <c r="CH53" i="1"/>
  <c r="ET25" i="1"/>
  <c r="ET24" i="1"/>
  <c r="ET20" i="1"/>
  <c r="R116" i="1"/>
  <c r="BB183" i="1"/>
  <c r="BB117" i="1"/>
  <c r="BB114" i="1"/>
  <c r="EO195" i="1"/>
  <c r="EO272" i="1"/>
  <c r="ET272" i="1" s="1"/>
  <c r="EO278" i="1"/>
  <c r="DG85" i="1"/>
  <c r="EG103" i="1"/>
  <c r="BS223" i="1"/>
  <c r="BS75" i="1"/>
  <c r="DG49" i="1"/>
  <c r="DL49" i="1"/>
  <c r="CU95" i="1"/>
  <c r="CW92" i="1"/>
  <c r="CW94" i="1"/>
  <c r="CW178" i="1"/>
  <c r="CY195" i="1"/>
  <c r="CV316" i="1"/>
  <c r="DC95" i="1"/>
  <c r="DH95" i="1"/>
  <c r="CE195" i="1"/>
  <c r="CE278" i="1"/>
  <c r="CE272" i="1"/>
  <c r="DP178" i="1"/>
  <c r="DP193" i="1"/>
  <c r="CF272" i="1"/>
  <c r="CF278" i="1"/>
  <c r="CF195" i="1"/>
  <c r="CU316" i="1"/>
  <c r="CU204" i="1"/>
  <c r="U248" i="1"/>
  <c r="U254" i="1"/>
  <c r="U257" i="1" s="1"/>
  <c r="AI143" i="1"/>
  <c r="AI141" i="1"/>
  <c r="AY182" i="1"/>
  <c r="AY140" i="1"/>
  <c r="AY115" i="1"/>
  <c r="AY112" i="1"/>
  <c r="CA183" i="1"/>
  <c r="CA117" i="1"/>
  <c r="CA118" i="1" s="1"/>
  <c r="CA114" i="1"/>
  <c r="CA323" i="1"/>
  <c r="CA199" i="1"/>
  <c r="CE188" i="1"/>
  <c r="CE205" i="1" s="1"/>
  <c r="CE141" i="1"/>
  <c r="CE143" i="1"/>
  <c r="ED37" i="1"/>
  <c r="FI52" i="1"/>
  <c r="DL14" i="1"/>
  <c r="D145" i="1"/>
  <c r="D148" i="1"/>
  <c r="L116" i="1"/>
  <c r="AB117" i="1"/>
  <c r="AB114" i="1"/>
  <c r="BD182" i="1"/>
  <c r="BD115" i="1"/>
  <c r="BD116" i="1" s="1"/>
  <c r="BD112" i="1"/>
  <c r="BD140" i="1"/>
  <c r="CR182" i="1"/>
  <c r="CR115" i="1"/>
  <c r="CR112" i="1"/>
  <c r="CR140" i="1"/>
  <c r="CN116" i="1"/>
  <c r="DT263" i="1"/>
  <c r="DT251" i="1"/>
  <c r="DT197" i="1"/>
  <c r="DT191" i="1"/>
  <c r="DT192" i="1"/>
  <c r="DT194" i="1"/>
  <c r="DT202" i="1"/>
  <c r="DT196" i="1"/>
  <c r="DT198" i="1"/>
  <c r="DT203" i="1"/>
  <c r="ER177" i="1"/>
  <c r="ER55" i="1"/>
  <c r="I117" i="1"/>
  <c r="I118" i="1" s="1"/>
  <c r="I114" i="1"/>
  <c r="AO182" i="1"/>
  <c r="AO199" i="1" s="1"/>
  <c r="AO140" i="1"/>
  <c r="AO115" i="1"/>
  <c r="AO116" i="1" s="1"/>
  <c r="AO112" i="1"/>
  <c r="AW183" i="1"/>
  <c r="AW117" i="1"/>
  <c r="AW114" i="1"/>
  <c r="BY183" i="1"/>
  <c r="BY117" i="1"/>
  <c r="BY114" i="1"/>
  <c r="CC113" i="1"/>
  <c r="DU117" i="1"/>
  <c r="DU182" i="1"/>
  <c r="DU199" i="1" s="1"/>
  <c r="EG116" i="1"/>
  <c r="ET177" i="1"/>
  <c r="ET55" i="1"/>
  <c r="DB33" i="1"/>
  <c r="DG33" i="1"/>
  <c r="N116" i="1"/>
  <c r="AX183" i="1"/>
  <c r="AX117" i="1"/>
  <c r="AX114" i="1"/>
  <c r="BJ117" i="1"/>
  <c r="BJ114" i="1"/>
  <c r="BV116" i="1"/>
  <c r="CH251" i="1"/>
  <c r="CH197" i="1"/>
  <c r="CH191" i="1"/>
  <c r="CH193" i="1"/>
  <c r="CH263" i="1"/>
  <c r="CH203" i="1"/>
  <c r="CH192" i="1"/>
  <c r="CH202" i="1"/>
  <c r="DB36" i="1"/>
  <c r="DB37" i="1" s="1"/>
  <c r="DB35" i="1"/>
  <c r="ED121" i="1"/>
  <c r="ED123" i="1" s="1"/>
  <c r="DZ140" i="1"/>
  <c r="DZ115" i="1"/>
  <c r="DZ116" i="1" s="1"/>
  <c r="DZ113" i="1"/>
  <c r="DZ112" i="1"/>
  <c r="AJ198" i="1"/>
  <c r="EZ210" i="1"/>
  <c r="EZ181" i="1"/>
  <c r="FE72" i="1"/>
  <c r="EZ76" i="1"/>
  <c r="EZ77" i="1" s="1"/>
  <c r="FR78" i="1"/>
  <c r="U17" i="363"/>
  <c r="CW324" i="1"/>
  <c r="CH196" i="1"/>
  <c r="DG211" i="1"/>
  <c r="CM95" i="1"/>
  <c r="DU103" i="1"/>
  <c r="DZ178" i="1"/>
  <c r="CX195" i="1"/>
  <c r="CX278" i="1"/>
  <c r="DK105" i="1"/>
  <c r="FE316" i="1"/>
  <c r="CV278" i="1"/>
  <c r="BD138" i="1"/>
  <c r="DQ316" i="1"/>
  <c r="CW187" i="1"/>
  <c r="CW137" i="1"/>
  <c r="CW138" i="1" s="1"/>
  <c r="CT316" i="1"/>
  <c r="CC316" i="1"/>
  <c r="CC204" i="1"/>
  <c r="EK157" i="1"/>
  <c r="EK156" i="1" s="1"/>
  <c r="DI364" i="1"/>
  <c r="DW157" i="1"/>
  <c r="DW156" i="1"/>
  <c r="DX156" i="1"/>
  <c r="DI376" i="1"/>
  <c r="DI263" i="1"/>
  <c r="DI251" i="1"/>
  <c r="DI197" i="1"/>
  <c r="DI191" i="1"/>
  <c r="DI204" i="1"/>
  <c r="DI202" i="1"/>
  <c r="DI203" i="1"/>
  <c r="DI196" i="1"/>
  <c r="DI194" i="1"/>
  <c r="DI198" i="1"/>
  <c r="BK182" i="1"/>
  <c r="BK199" i="1" s="1"/>
  <c r="BK140" i="1"/>
  <c r="BK115" i="1"/>
  <c r="BK116" i="1" s="1"/>
  <c r="BK113" i="1"/>
  <c r="BO183" i="1" s="1"/>
  <c r="BK112" i="1"/>
  <c r="BN27" i="1"/>
  <c r="BS27" i="1"/>
  <c r="EU89" i="1"/>
  <c r="EU87" i="1"/>
  <c r="T15" i="363"/>
  <c r="C145" i="1"/>
  <c r="C148" i="1"/>
  <c r="AY251" i="1"/>
  <c r="AY197" i="1"/>
  <c r="AY191" i="1"/>
  <c r="AY196" i="1"/>
  <c r="AY193" i="1"/>
  <c r="AY192" i="1"/>
  <c r="AY194" i="1"/>
  <c r="AY202" i="1"/>
  <c r="AY203" i="1"/>
  <c r="BO117" i="1"/>
  <c r="BO118" i="1" s="1"/>
  <c r="BS113" i="1"/>
  <c r="BO114" i="1"/>
  <c r="EU27" i="1"/>
  <c r="BL182" i="1"/>
  <c r="BL199" i="1" s="1"/>
  <c r="BX37" i="1"/>
  <c r="DH222" i="1"/>
  <c r="DH174" i="1"/>
  <c r="DL109" i="1"/>
  <c r="DH111" i="1"/>
  <c r="DK182" i="1" s="1"/>
  <c r="DH110" i="1"/>
  <c r="DM110" i="1"/>
  <c r="DK174" i="1"/>
  <c r="EN222" i="1"/>
  <c r="EN174" i="1"/>
  <c r="EN111" i="1"/>
  <c r="FK25" i="1"/>
  <c r="Y117" i="1"/>
  <c r="AG117" i="1"/>
  <c r="AG118" i="1" s="1"/>
  <c r="AG114" i="1"/>
  <c r="AS183" i="1"/>
  <c r="AS117" i="1"/>
  <c r="AS114" i="1"/>
  <c r="BU116" i="1"/>
  <c r="DL46" i="1"/>
  <c r="EP270" i="1"/>
  <c r="B143" i="1"/>
  <c r="B141" i="1"/>
  <c r="BF116" i="1"/>
  <c r="BN251" i="1"/>
  <c r="BN197" i="1"/>
  <c r="BN191" i="1"/>
  <c r="BN193" i="1"/>
  <c r="BN203" i="1"/>
  <c r="BN194" i="1"/>
  <c r="BN202" i="1"/>
  <c r="CD183" i="1"/>
  <c r="CD117" i="1"/>
  <c r="CD118" i="1" s="1"/>
  <c r="CD114" i="1"/>
  <c r="CH113" i="1"/>
  <c r="CL319" i="1"/>
  <c r="CL323" i="1"/>
  <c r="CL315" i="1"/>
  <c r="CL327" i="1"/>
  <c r="CL199" i="1"/>
  <c r="CP188" i="1"/>
  <c r="CP205" i="1" s="1"/>
  <c r="CP143" i="1"/>
  <c r="CP141" i="1"/>
  <c r="DJ222" i="1"/>
  <c r="DJ174" i="1"/>
  <c r="DJ193" i="1" s="1"/>
  <c r="DJ111" i="1"/>
  <c r="DJ110" i="1"/>
  <c r="DM174" i="1"/>
  <c r="DO110" i="1"/>
  <c r="DN174" i="1"/>
  <c r="DB51" i="1"/>
  <c r="FH93" i="1"/>
  <c r="DY103" i="1"/>
  <c r="FJ93" i="1"/>
  <c r="CO95" i="1"/>
  <c r="CC223" i="1"/>
  <c r="CC75" i="1"/>
  <c r="DQ95" i="1"/>
  <c r="CO195" i="1"/>
  <c r="CO272" i="1"/>
  <c r="CO278" i="1"/>
  <c r="DO178" i="1"/>
  <c r="DO193" i="1"/>
  <c r="EI105" i="1"/>
  <c r="DB178" i="1"/>
  <c r="CN278" i="1"/>
  <c r="CN195" i="1"/>
  <c r="CN272" i="1"/>
  <c r="ET186" i="1"/>
  <c r="ET134" i="1"/>
  <c r="EU133" i="1"/>
  <c r="AO138" i="1"/>
  <c r="EA138" i="1"/>
  <c r="Q24" i="363"/>
  <c r="DD204" i="1"/>
  <c r="EJ202" i="1"/>
  <c r="EQ130" i="1"/>
  <c r="EQ131" i="1" s="1"/>
  <c r="DQ365" i="1"/>
  <c r="DV365" i="1" s="1"/>
  <c r="EA365" i="1" s="1"/>
  <c r="EF365" i="1" s="1"/>
  <c r="EK365" i="1" s="1"/>
  <c r="I39" i="363"/>
  <c r="FE11" i="1"/>
  <c r="J39" i="363" s="1"/>
  <c r="EK178" i="1"/>
  <c r="DN117" i="1"/>
  <c r="DN114" i="1"/>
  <c r="DU195" i="1"/>
  <c r="DU278" i="1"/>
  <c r="DU272" i="1"/>
  <c r="EA174" i="1"/>
  <c r="EA110" i="1"/>
  <c r="DR116" i="1"/>
  <c r="DY272" i="1"/>
  <c r="DY278" i="1"/>
  <c r="EU67" i="1"/>
  <c r="EU68" i="1"/>
  <c r="CI183" i="1"/>
  <c r="CI117" i="1"/>
  <c r="CI114" i="1"/>
  <c r="CM113" i="1"/>
  <c r="EU70" i="1"/>
  <c r="EU71" i="1" s="1"/>
  <c r="AV116" i="1"/>
  <c r="BT183" i="1"/>
  <c r="BT117" i="1"/>
  <c r="BT118" i="1" s="1"/>
  <c r="BT114" i="1"/>
  <c r="BX113" i="1"/>
  <c r="ER179" i="1"/>
  <c r="ER81" i="1"/>
  <c r="ER82" i="1"/>
  <c r="ER83" i="1" s="1"/>
  <c r="ER80" i="1"/>
  <c r="CY143" i="1"/>
  <c r="CY141" i="1"/>
  <c r="EZ6" i="1"/>
  <c r="FE8" i="1"/>
  <c r="X117" i="1"/>
  <c r="X114" i="1"/>
  <c r="AF143" i="1"/>
  <c r="AF141" i="1"/>
  <c r="BH143" i="1"/>
  <c r="BH141" i="1"/>
  <c r="BX182" i="1"/>
  <c r="BX115" i="1"/>
  <c r="BX112" i="1"/>
  <c r="BX140" i="1"/>
  <c r="BX188" i="1" s="1"/>
  <c r="BX205" i="1" s="1"/>
  <c r="DP182" i="1"/>
  <c r="DP199" i="1" s="1"/>
  <c r="DT121" i="1"/>
  <c r="DT123" i="1" s="1"/>
  <c r="DP140" i="1"/>
  <c r="DP115" i="1"/>
  <c r="DP116" i="1" s="1"/>
  <c r="DP113" i="1"/>
  <c r="DR183" i="1" s="1"/>
  <c r="DP112" i="1"/>
  <c r="DX182" i="1"/>
  <c r="DX199" i="1" s="1"/>
  <c r="DX115" i="1"/>
  <c r="EC116" i="1" s="1"/>
  <c r="DX113" i="1"/>
  <c r="DX112" i="1"/>
  <c r="EB121" i="1"/>
  <c r="EB123" i="1" s="1"/>
  <c r="DX140" i="1"/>
  <c r="DG12" i="1"/>
  <c r="DL12" i="1"/>
  <c r="BI182" i="1"/>
  <c r="BI140" i="1"/>
  <c r="BI115" i="1"/>
  <c r="BI116" i="1" s="1"/>
  <c r="BI112" i="1"/>
  <c r="CK188" i="1"/>
  <c r="CK205" i="1" s="1"/>
  <c r="CK141" i="1"/>
  <c r="CK143" i="1"/>
  <c r="CK327" i="1"/>
  <c r="CK319" i="1"/>
  <c r="CK323" i="1"/>
  <c r="CK315" i="1"/>
  <c r="CK199" i="1"/>
  <c r="DY222" i="1"/>
  <c r="DY174" i="1"/>
  <c r="DY111" i="1"/>
  <c r="DY110" i="1"/>
  <c r="DZ174" i="1"/>
  <c r="DZ193" i="1" s="1"/>
  <c r="EC174" i="1"/>
  <c r="ED110" i="1"/>
  <c r="EK174" i="1"/>
  <c r="EK193" i="1" s="1"/>
  <c r="EK111" i="1"/>
  <c r="EK110" i="1"/>
  <c r="EK222" i="1"/>
  <c r="AP188" i="1"/>
  <c r="AP205" i="1" s="1"/>
  <c r="AP143" i="1"/>
  <c r="AP141" i="1"/>
  <c r="P10" i="363"/>
  <c r="DD53" i="1"/>
  <c r="DI53" i="1"/>
  <c r="CV53" i="1"/>
  <c r="FK52" i="1"/>
  <c r="FK53" i="1" s="1"/>
  <c r="CH223" i="1"/>
  <c r="CH75" i="1"/>
  <c r="CV211" i="1"/>
  <c r="EH193" i="1"/>
  <c r="EH178" i="1"/>
  <c r="AD95" i="1"/>
  <c r="AI95" i="1"/>
  <c r="CP195" i="1"/>
  <c r="CP278" i="1"/>
  <c r="CP272" i="1"/>
  <c r="DS103" i="1"/>
  <c r="EF176" i="1"/>
  <c r="EF104" i="1"/>
  <c r="EK105" i="1" s="1"/>
  <c r="EF100" i="1"/>
  <c r="EF106" i="1"/>
  <c r="EF102" i="1"/>
  <c r="R19" i="363"/>
  <c r="R16" i="363" s="1"/>
  <c r="EB178" i="1"/>
  <c r="EB193" i="1"/>
  <c r="AE94" i="1"/>
  <c r="AE95" i="1" s="1"/>
  <c r="AE92" i="1"/>
  <c r="CS272" i="1"/>
  <c r="AJ14" i="1"/>
  <c r="AN188" i="1"/>
  <c r="AN205" i="1" s="1"/>
  <c r="AN143" i="1"/>
  <c r="AN141" i="1"/>
  <c r="BD37" i="1"/>
  <c r="CF188" i="1"/>
  <c r="CF205" i="1" s="1"/>
  <c r="CF143" i="1"/>
  <c r="CF141" i="1"/>
  <c r="CF323" i="1"/>
  <c r="CF199" i="1"/>
  <c r="CV174" i="1"/>
  <c r="CV195" i="1" s="1"/>
  <c r="CV111" i="1"/>
  <c r="CV110" i="1"/>
  <c r="DA110" i="1"/>
  <c r="CV222" i="1"/>
  <c r="AC117" i="1"/>
  <c r="AC118" i="1" s="1"/>
  <c r="AC114" i="1"/>
  <c r="BA188" i="1"/>
  <c r="BA205" i="1" s="1"/>
  <c r="BA141" i="1"/>
  <c r="BA143" i="1"/>
  <c r="BM116" i="1"/>
  <c r="DA117" i="1"/>
  <c r="DE143" i="1"/>
  <c r="DE141" i="1"/>
  <c r="DM117" i="1"/>
  <c r="DM182" i="1"/>
  <c r="DM199" i="1" s="1"/>
  <c r="DB24" i="1"/>
  <c r="DB23" i="1"/>
  <c r="R143" i="1"/>
  <c r="R141" i="1"/>
  <c r="AT251" i="1"/>
  <c r="AT197" i="1"/>
  <c r="AT191" i="1"/>
  <c r="AT192" i="1"/>
  <c r="AT203" i="1"/>
  <c r="AT193" i="1"/>
  <c r="AT202" i="1"/>
  <c r="AT194" i="1"/>
  <c r="BZ188" i="1"/>
  <c r="BZ205" i="1" s="1"/>
  <c r="BZ141" i="1"/>
  <c r="BZ143" i="1"/>
  <c r="CT174" i="1"/>
  <c r="CT110" i="1"/>
  <c r="CT111" i="1"/>
  <c r="CT222" i="1"/>
  <c r="CY110" i="1"/>
  <c r="BS211" i="1"/>
  <c r="AJ90" i="1"/>
  <c r="CN95" i="1"/>
  <c r="CW211" i="1"/>
  <c r="DV176" i="1"/>
  <c r="DV106" i="1"/>
  <c r="DV102" i="1"/>
  <c r="DV104" i="1"/>
  <c r="DV100" i="1"/>
  <c r="P19" i="363"/>
  <c r="P16" i="363" s="1"/>
  <c r="CT195" i="1"/>
  <c r="CT278" i="1"/>
  <c r="U24" i="363"/>
  <c r="DL316" i="1"/>
  <c r="ET258" i="1"/>
  <c r="ES260" i="1"/>
  <c r="ET75" i="1"/>
  <c r="FE30" i="1"/>
  <c r="FE32" i="1" s="1"/>
  <c r="FE33" i="1" s="1"/>
  <c r="EZ32" i="1"/>
  <c r="EZ33" i="1" s="1"/>
  <c r="BG182" i="1"/>
  <c r="BG199" i="1" s="1"/>
  <c r="BG140" i="1"/>
  <c r="BH188" i="1" s="1"/>
  <c r="BH205" i="1" s="1"/>
  <c r="BG112" i="1"/>
  <c r="BG115" i="1"/>
  <c r="BG116" i="1" s="1"/>
  <c r="BG113" i="1"/>
  <c r="EA50" i="1"/>
  <c r="DW51" i="1"/>
  <c r="K140" i="1"/>
  <c r="K112" i="1"/>
  <c r="K115" i="1"/>
  <c r="G143" i="1"/>
  <c r="G141" i="1"/>
  <c r="S143" i="1"/>
  <c r="S141" i="1"/>
  <c r="AI112" i="1"/>
  <c r="AU188" i="1"/>
  <c r="AU205" i="1" s="1"/>
  <c r="AU143" i="1"/>
  <c r="AU141" i="1"/>
  <c r="BS251" i="1"/>
  <c r="BS197" i="1"/>
  <c r="BS191" i="1"/>
  <c r="BS196" i="1"/>
  <c r="BS203" i="1"/>
  <c r="BS192" i="1"/>
  <c r="BS194" i="1"/>
  <c r="BS193" i="1"/>
  <c r="BS202" i="1"/>
  <c r="CE323" i="1"/>
  <c r="CE199" i="1"/>
  <c r="ER24" i="1"/>
  <c r="ER25" i="1"/>
  <c r="ER20" i="1"/>
  <c r="L143" i="1"/>
  <c r="L141" i="1"/>
  <c r="AB116" i="1"/>
  <c r="AZ188" i="1"/>
  <c r="AZ205" i="1" s="1"/>
  <c r="AZ143" i="1"/>
  <c r="AZ141" i="1"/>
  <c r="BX251" i="1"/>
  <c r="BX197" i="1"/>
  <c r="BX191" i="1"/>
  <c r="BX192" i="1"/>
  <c r="BX202" i="1"/>
  <c r="BX203" i="1"/>
  <c r="BX194" i="1"/>
  <c r="BX193" i="1"/>
  <c r="CB183" i="1"/>
  <c r="CB117" i="1"/>
  <c r="CB114" i="1"/>
  <c r="CN188" i="1"/>
  <c r="CN205" i="1" s="1"/>
  <c r="CN143" i="1"/>
  <c r="CN141" i="1"/>
  <c r="CN323" i="1"/>
  <c r="CN327" i="1"/>
  <c r="CN319" i="1"/>
  <c r="CN315" i="1"/>
  <c r="CN199" i="1"/>
  <c r="Q117" i="1"/>
  <c r="Q118" i="1" s="1"/>
  <c r="Q114" i="1"/>
  <c r="AW116" i="1"/>
  <c r="BI251" i="1"/>
  <c r="BI197" i="1"/>
  <c r="BI191" i="1"/>
  <c r="BI194" i="1"/>
  <c r="BI193" i="1"/>
  <c r="BI203" i="1"/>
  <c r="BI202" i="1"/>
  <c r="BI192" i="1"/>
  <c r="BY188" i="1"/>
  <c r="BY205" i="1" s="1"/>
  <c r="BY143" i="1"/>
  <c r="BY141" i="1"/>
  <c r="BY116" i="1"/>
  <c r="DU116" i="1"/>
  <c r="EJ121" i="1"/>
  <c r="EJ123" i="1" s="1"/>
  <c r="EG188" i="1"/>
  <c r="EG205" i="1" s="1"/>
  <c r="EG143" i="1"/>
  <c r="EG141" i="1"/>
  <c r="N143" i="1"/>
  <c r="N141" i="1"/>
  <c r="AL188" i="1"/>
  <c r="AL205" i="1" s="1"/>
  <c r="AL143" i="1"/>
  <c r="AL141" i="1"/>
  <c r="BJ116" i="1"/>
  <c r="BV188" i="1"/>
  <c r="BV205" i="1" s="1"/>
  <c r="BV141" i="1"/>
  <c r="BV143" i="1"/>
  <c r="ED182" i="1"/>
  <c r="ED199" i="1" s="1"/>
  <c r="ED115" i="1"/>
  <c r="ED113" i="1"/>
  <c r="ED112" i="1"/>
  <c r="EH121" i="1"/>
  <c r="EH123" i="1" s="1"/>
  <c r="ED140" i="1"/>
  <c r="CV95" i="1"/>
  <c r="BS198" i="1"/>
  <c r="DA53" i="1"/>
  <c r="CR194" i="1"/>
  <c r="CR178" i="1"/>
  <c r="CR75" i="1"/>
  <c r="CR223" i="1"/>
  <c r="BD196" i="1"/>
  <c r="DE95" i="1"/>
  <c r="EE178" i="1"/>
  <c r="EE193" i="1"/>
  <c r="CI195" i="1"/>
  <c r="CI278" i="1"/>
  <c r="CI272" i="1"/>
  <c r="DT178" i="1"/>
  <c r="DT193" i="1"/>
  <c r="DB187" i="1"/>
  <c r="DB137" i="1"/>
  <c r="BD316" i="1"/>
  <c r="BD204" i="1"/>
  <c r="CR316" i="1"/>
  <c r="CR204" i="1"/>
  <c r="CS316" i="1"/>
  <c r="EK187" i="1"/>
  <c r="EK137" i="1"/>
  <c r="CW320" i="1"/>
  <c r="DQ364" i="1"/>
  <c r="BK191" i="1"/>
  <c r="BK198" i="1"/>
  <c r="BK194" i="1"/>
  <c r="BK197" i="1"/>
  <c r="BK196" i="1"/>
  <c r="BK203" i="1"/>
  <c r="BK202" i="1"/>
  <c r="J140" i="1"/>
  <c r="J115" i="1"/>
  <c r="J116" i="1" s="1"/>
  <c r="J113" i="1"/>
  <c r="K113" i="1" s="1"/>
  <c r="J112" i="1"/>
  <c r="BO116" i="1"/>
  <c r="CM251" i="1"/>
  <c r="CM191" i="1"/>
  <c r="CM197" i="1"/>
  <c r="CM193" i="1"/>
  <c r="CM202" i="1"/>
  <c r="CM203" i="1"/>
  <c r="CM192" i="1"/>
  <c r="CM263" i="1"/>
  <c r="EP176" i="1"/>
  <c r="EP106" i="1"/>
  <c r="EP102" i="1"/>
  <c r="EP104" i="1"/>
  <c r="CR51" i="1"/>
  <c r="EF51" i="1"/>
  <c r="AJ37" i="1"/>
  <c r="BL183" i="1"/>
  <c r="BL117" i="1"/>
  <c r="BL114" i="1"/>
  <c r="CZ117" i="1"/>
  <c r="DL36" i="1"/>
  <c r="DL37" i="1" s="1"/>
  <c r="DL35" i="1"/>
  <c r="FR6" i="1"/>
  <c r="DI51" i="1"/>
  <c r="BN33" i="1"/>
  <c r="BS33" i="1"/>
  <c r="EA33" i="1"/>
  <c r="EF33" i="1"/>
  <c r="AG116" i="1"/>
  <c r="AS116" i="1"/>
  <c r="BU188" i="1"/>
  <c r="BU205" i="1" s="1"/>
  <c r="BU141" i="1"/>
  <c r="BU143" i="1"/>
  <c r="DQ37" i="1"/>
  <c r="EC112" i="1"/>
  <c r="CH194" i="1"/>
  <c r="ES17" i="1"/>
  <c r="ET16" i="1"/>
  <c r="ET15" i="1"/>
  <c r="ES78" i="1"/>
  <c r="DV50" i="1"/>
  <c r="DR51" i="1"/>
  <c r="F140" i="1"/>
  <c r="F141" i="1" s="1"/>
  <c r="F115" i="1"/>
  <c r="AH117" i="1"/>
  <c r="AH118" i="1" s="1"/>
  <c r="AH114" i="1"/>
  <c r="BF188" i="1"/>
  <c r="BF205" i="1" s="1"/>
  <c r="BF143" i="1"/>
  <c r="BF141" i="1"/>
  <c r="CD116" i="1"/>
  <c r="CL183" i="1"/>
  <c r="CL117" i="1"/>
  <c r="CL114" i="1"/>
  <c r="CP319" i="1"/>
  <c r="CP323" i="1"/>
  <c r="CP327" i="1"/>
  <c r="CP315" i="1"/>
  <c r="CP199" i="1"/>
  <c r="BS46" i="1"/>
  <c r="BX223" i="1"/>
  <c r="BX75" i="1"/>
  <c r="DQ176" i="1"/>
  <c r="DQ104" i="1"/>
  <c r="DQ100" i="1"/>
  <c r="DQ106" i="1"/>
  <c r="DQ102" i="1"/>
  <c r="O19" i="363"/>
  <c r="O16" i="363" s="1"/>
  <c r="BN196" i="1"/>
  <c r="CJ95" i="1"/>
  <c r="CM196" i="1"/>
  <c r="ED193" i="1"/>
  <c r="ED178" i="1"/>
  <c r="J95" i="1"/>
  <c r="DA195" i="1"/>
  <c r="DA278" i="1"/>
  <c r="BK195" i="1"/>
  <c r="DB105" i="1"/>
  <c r="DX105" i="1"/>
  <c r="DE272" i="1"/>
  <c r="DE195" i="1"/>
  <c r="DE278" i="1"/>
  <c r="ES187" i="1"/>
  <c r="ES137" i="1"/>
  <c r="ES138" i="1" s="1"/>
  <c r="AO204" i="1"/>
  <c r="EA316" i="1"/>
  <c r="EA204" i="1"/>
  <c r="BK204" i="1"/>
  <c r="DD202" i="1"/>
  <c r="EU282" i="1"/>
  <c r="ET262" i="1"/>
  <c r="ES268" i="1"/>
  <c r="ER130" i="1"/>
  <c r="ER131" i="1" s="1"/>
  <c r="CU272" i="1"/>
  <c r="EK107" i="1"/>
  <c r="G45" i="363" s="1"/>
  <c r="DN143" i="1"/>
  <c r="DN141" i="1"/>
  <c r="DN116" i="1"/>
  <c r="EH183" i="1"/>
  <c r="EH117" i="1"/>
  <c r="EH114" i="1"/>
  <c r="DU121" i="1"/>
  <c r="DU123" i="1" s="1"/>
  <c r="EC195" i="1"/>
  <c r="EC278" i="1"/>
  <c r="EC272" i="1"/>
  <c r="O111" i="1"/>
  <c r="O110" i="1"/>
  <c r="CQ183" i="1"/>
  <c r="CQ117" i="1"/>
  <c r="CQ114" i="1"/>
  <c r="DO182" i="1"/>
  <c r="DO199" i="1" s="1"/>
  <c r="DO115" i="1"/>
  <c r="DO113" i="1"/>
  <c r="DO112" i="1"/>
  <c r="DS121" i="1"/>
  <c r="DS123" i="1" s="1"/>
  <c r="DO140" i="1"/>
  <c r="H117" i="1"/>
  <c r="H118" i="1" s="1"/>
  <c r="H114" i="1"/>
  <c r="BW183" i="1"/>
  <c r="BW117" i="1"/>
  <c r="BW114" i="1"/>
  <c r="DS182" i="1"/>
  <c r="DS199" i="1" s="1"/>
  <c r="DS115" i="1"/>
  <c r="DS116" i="1" s="1"/>
  <c r="DS113" i="1"/>
  <c r="DS112" i="1"/>
  <c r="DW121" i="1"/>
  <c r="DW123" i="1" s="1"/>
  <c r="DS140" i="1"/>
  <c r="AV188" i="1"/>
  <c r="AV205" i="1" s="1"/>
  <c r="AV143" i="1"/>
  <c r="AV141" i="1"/>
  <c r="W117" i="1"/>
  <c r="W114" i="1"/>
  <c r="AQ188" i="1"/>
  <c r="AQ205" i="1" s="1"/>
  <c r="AQ143" i="1"/>
  <c r="AQ141" i="1"/>
  <c r="CM182" i="1"/>
  <c r="CM140" i="1"/>
  <c r="CM115" i="1"/>
  <c r="CM112" i="1"/>
  <c r="CI188" i="1"/>
  <c r="CI205" i="1" s="1"/>
  <c r="CI143" i="1"/>
  <c r="CI141" i="1"/>
  <c r="CY117" i="1"/>
  <c r="DW182" i="1"/>
  <c r="DW199" i="1" s="1"/>
  <c r="DW140" i="1"/>
  <c r="EA111" i="1"/>
  <c r="DW115" i="1"/>
  <c r="DW116" i="1" s="1"/>
  <c r="DW113" i="1"/>
  <c r="DW112" i="1"/>
  <c r="DZ121" i="1"/>
  <c r="DZ123" i="1" s="1"/>
  <c r="H143" i="1"/>
  <c r="H141" i="1"/>
  <c r="AF117" i="1"/>
  <c r="AF114" i="1"/>
  <c r="AJ113" i="1"/>
  <c r="BT188" i="1"/>
  <c r="BT205" i="1" s="1"/>
  <c r="BT142" i="1"/>
  <c r="DP251" i="1"/>
  <c r="DP263" i="1"/>
  <c r="DP197" i="1"/>
  <c r="DP191" i="1"/>
  <c r="DP194" i="1"/>
  <c r="DP202" i="1"/>
  <c r="DP196" i="1"/>
  <c r="DP198" i="1"/>
  <c r="DP203" i="1"/>
  <c r="DP192" i="1"/>
  <c r="DX263" i="1"/>
  <c r="DX251" i="1"/>
  <c r="DX197" i="1"/>
  <c r="DX191" i="1"/>
  <c r="DX204" i="1"/>
  <c r="DX203" i="1"/>
  <c r="DX198" i="1"/>
  <c r="DX196" i="1"/>
  <c r="DX194" i="1"/>
  <c r="DX192" i="1"/>
  <c r="DX202" i="1"/>
  <c r="DQ50" i="1"/>
  <c r="DQ51" i="1" s="1"/>
  <c r="DM51" i="1"/>
  <c r="BN270" i="1"/>
  <c r="BN192" i="1"/>
  <c r="M117" i="1"/>
  <c r="M114" i="1"/>
  <c r="AO197" i="1"/>
  <c r="AO191" i="1"/>
  <c r="AO192" i="1"/>
  <c r="AO203" i="1"/>
  <c r="AO194" i="1"/>
  <c r="AO202" i="1"/>
  <c r="AO193" i="1"/>
  <c r="BQ183" i="1"/>
  <c r="BQ117" i="1"/>
  <c r="BQ118" i="1" s="1"/>
  <c r="BQ114" i="1"/>
  <c r="CC251" i="1"/>
  <c r="CC197" i="1"/>
  <c r="CC191" i="1"/>
  <c r="CC203" i="1"/>
  <c r="CC196" i="1"/>
  <c r="CC192" i="1"/>
  <c r="CC193" i="1"/>
  <c r="CC202" i="1"/>
  <c r="CG183" i="1"/>
  <c r="CG117" i="1"/>
  <c r="CG118" i="1" s="1"/>
  <c r="CG114" i="1"/>
  <c r="CO188" i="1"/>
  <c r="CO205" i="1" s="1"/>
  <c r="CO143" i="1"/>
  <c r="CO141" i="1"/>
  <c r="CO327" i="1"/>
  <c r="CO319" i="1"/>
  <c r="CO315" i="1"/>
  <c r="CO323" i="1"/>
  <c r="CO199" i="1"/>
  <c r="EK37" i="1"/>
  <c r="G42" i="363" s="1"/>
  <c r="V141" i="1"/>
  <c r="V143" i="1"/>
  <c r="AT182" i="1"/>
  <c r="AT199" i="1" s="1"/>
  <c r="AT140" i="1"/>
  <c r="AT115" i="1"/>
  <c r="AT116" i="1" s="1"/>
  <c r="AT112" i="1"/>
  <c r="BR183" i="1"/>
  <c r="BR117" i="1"/>
  <c r="BR118" i="1" s="1"/>
  <c r="BR114" i="1"/>
  <c r="EL174" i="1"/>
  <c r="EL111" i="1"/>
  <c r="EL222" i="1"/>
  <c r="BD223" i="1"/>
  <c r="BD75" i="1"/>
  <c r="DB210" i="1"/>
  <c r="CX75" i="1"/>
  <c r="CX223" i="1"/>
  <c r="EG193" i="1"/>
  <c r="EG178" i="1"/>
  <c r="DE53" i="1"/>
  <c r="CM223" i="1"/>
  <c r="CM75" i="1"/>
  <c r="CH211" i="1"/>
  <c r="AO195" i="1"/>
  <c r="DS107" i="1"/>
  <c r="DS178" i="1"/>
  <c r="DS193" i="1"/>
  <c r="DL176" i="1"/>
  <c r="DL104" i="1"/>
  <c r="DL100" i="1"/>
  <c r="DL106" i="1"/>
  <c r="DL102" i="1"/>
  <c r="DH178" i="1"/>
  <c r="DH193" i="1"/>
  <c r="BD195" i="1"/>
  <c r="DD278" i="1"/>
  <c r="DD195" i="1"/>
  <c r="DD272" i="1"/>
  <c r="EB157" i="1"/>
  <c r="EB156" i="1"/>
  <c r="EC156" i="1"/>
  <c r="CW272" i="1"/>
  <c r="ES150" i="1"/>
  <c r="ET151" i="1"/>
  <c r="ES229" i="1"/>
  <c r="AD140" i="1"/>
  <c r="AD115" i="1"/>
  <c r="AD116" i="1" s="1"/>
  <c r="AD113" i="1"/>
  <c r="AD112" i="1"/>
  <c r="EA27" i="1"/>
  <c r="EF27" i="1"/>
  <c r="AM183" i="1"/>
  <c r="AM117" i="1"/>
  <c r="AM114" i="1"/>
  <c r="EL193" i="1"/>
  <c r="EL178" i="1"/>
  <c r="AN183" i="1"/>
  <c r="AN117" i="1"/>
  <c r="AN114" i="1"/>
  <c r="AR183" i="1"/>
  <c r="AR117" i="1"/>
  <c r="AR118" i="1" s="1"/>
  <c r="AR114" i="1"/>
  <c r="BP183" i="1"/>
  <c r="BP117" i="1"/>
  <c r="BP114" i="1"/>
  <c r="CJ188" i="1"/>
  <c r="CJ205" i="1" s="1"/>
  <c r="CJ143" i="1"/>
  <c r="CJ141" i="1"/>
  <c r="CJ323" i="1"/>
  <c r="CJ327" i="1"/>
  <c r="CJ315" i="1"/>
  <c r="CJ319" i="1"/>
  <c r="CJ199" i="1"/>
  <c r="DD182" i="1"/>
  <c r="DD115" i="1"/>
  <c r="DD116" i="1" s="1"/>
  <c r="DD113" i="1"/>
  <c r="DD112" i="1"/>
  <c r="DH121" i="1"/>
  <c r="DH123" i="1" s="1"/>
  <c r="DD140" i="1"/>
  <c r="AC116" i="1"/>
  <c r="BM188" i="1"/>
  <c r="BM205" i="1" s="1"/>
  <c r="BM143" i="1"/>
  <c r="BM141" i="1"/>
  <c r="ES177" i="1"/>
  <c r="ES55" i="1"/>
  <c r="BB188" i="1"/>
  <c r="BB205" i="1" s="1"/>
  <c r="BB141" i="1"/>
  <c r="BB143" i="1"/>
  <c r="BZ323" i="1"/>
  <c r="BZ199" i="1"/>
  <c r="DF182" i="1"/>
  <c r="DJ121" i="1"/>
  <c r="DJ123" i="1" s="1"/>
  <c r="DF140" i="1"/>
  <c r="DF115" i="1"/>
  <c r="DF116" i="1" s="1"/>
  <c r="DF113" i="1"/>
  <c r="DF112" i="1"/>
  <c r="CY53" i="1"/>
  <c r="CC194" i="1"/>
  <c r="CC178" i="1"/>
  <c r="DG57" i="1"/>
  <c r="AJ211" i="1"/>
  <c r="CR94" i="1"/>
  <c r="CR95" i="1" s="1"/>
  <c r="CR92" i="1"/>
  <c r="DM103" i="1"/>
  <c r="EM178" i="1"/>
  <c r="EM193" i="1"/>
  <c r="BN223" i="1"/>
  <c r="BN75" i="1"/>
  <c r="AT196" i="1"/>
  <c r="CC92" i="1"/>
  <c r="CC94" i="1"/>
  <c r="CC95" i="1" s="1"/>
  <c r="CW210" i="1"/>
  <c r="CS75" i="1"/>
  <c r="CS223" i="1"/>
  <c r="DG83" i="1"/>
  <c r="CG195" i="1"/>
  <c r="CG272" i="1"/>
  <c r="CG278" i="1"/>
  <c r="DF95" i="1"/>
  <c r="EA176" i="1"/>
  <c r="EA102" i="1"/>
  <c r="EA103" i="1" s="1"/>
  <c r="E44" i="363" s="1"/>
  <c r="EA104" i="1"/>
  <c r="EA105" i="1" s="1"/>
  <c r="EA100" i="1"/>
  <c r="EA106" i="1"/>
  <c r="EA107" i="1" s="1"/>
  <c r="E45" i="363" s="1"/>
  <c r="Q19" i="363"/>
  <c r="Q16" i="363" s="1"/>
  <c r="DW103" i="1"/>
  <c r="EZ316" i="1"/>
  <c r="DG94" i="1"/>
  <c r="DL95" i="1" s="1"/>
  <c r="DG92" i="1"/>
  <c r="CQ195" i="1"/>
  <c r="CQ278" i="1"/>
  <c r="CQ272" i="1"/>
  <c r="EJ178" i="1"/>
  <c r="EJ193" i="1"/>
  <c r="DC195" i="1"/>
  <c r="DC278" i="1"/>
  <c r="AY138" i="1"/>
  <c r="CH316" i="1"/>
  <c r="CH204" i="1"/>
  <c r="CU140" i="1"/>
  <c r="CU115" i="1"/>
  <c r="CU116" i="1" s="1"/>
  <c r="CU113" i="1"/>
  <c r="CZ114" i="1" s="1"/>
  <c r="CU112" i="1"/>
  <c r="EU33" i="1"/>
  <c r="AI117" i="1"/>
  <c r="AI114" i="1"/>
  <c r="AU183" i="1"/>
  <c r="AU117" i="1"/>
  <c r="AU114" i="1"/>
  <c r="AY113" i="1"/>
  <c r="CE183" i="1"/>
  <c r="CE117" i="1"/>
  <c r="CE118" i="1" s="1"/>
  <c r="CE114" i="1"/>
  <c r="EB85" i="1"/>
  <c r="CB116" i="1"/>
  <c r="I143" i="1"/>
  <c r="I141" i="1"/>
  <c r="Q143" i="1"/>
  <c r="Q141" i="1"/>
  <c r="Q116" i="1"/>
  <c r="AK183" i="1"/>
  <c r="AK117" i="1"/>
  <c r="AK118" i="1" s="1"/>
  <c r="AK114" i="1"/>
  <c r="AO113" i="1"/>
  <c r="AW188" i="1"/>
  <c r="AW205" i="1" s="1"/>
  <c r="AW141" i="1"/>
  <c r="AW143" i="1"/>
  <c r="CC182" i="1"/>
  <c r="CC115" i="1"/>
  <c r="CC116" i="1" s="1"/>
  <c r="CC112" i="1"/>
  <c r="CC140" i="1"/>
  <c r="BY323" i="1"/>
  <c r="BY199" i="1"/>
  <c r="CS222" i="1"/>
  <c r="CS174" i="1"/>
  <c r="CS111" i="1"/>
  <c r="CU182" i="1" s="1"/>
  <c r="CS110" i="1"/>
  <c r="CW109" i="1"/>
  <c r="DU188" i="1"/>
  <c r="DU205" i="1" s="1"/>
  <c r="DU143" i="1"/>
  <c r="DU141" i="1"/>
  <c r="EG112" i="1"/>
  <c r="EG182" i="1"/>
  <c r="EG199" i="1" s="1"/>
  <c r="AX188" i="1"/>
  <c r="AX205" i="1" s="1"/>
  <c r="AX143" i="1"/>
  <c r="AX141" i="1"/>
  <c r="BN182" i="1"/>
  <c r="BN140" i="1"/>
  <c r="BN188" i="1" s="1"/>
  <c r="BN205" i="1" s="1"/>
  <c r="BN115" i="1"/>
  <c r="BN112" i="1"/>
  <c r="BJ188" i="1"/>
  <c r="BJ205" i="1" s="1"/>
  <c r="BJ141" i="1"/>
  <c r="BJ143" i="1"/>
  <c r="CX37" i="1"/>
  <c r="CT75" i="1"/>
  <c r="CT223" i="1"/>
  <c r="EU94" i="1"/>
  <c r="EU92" i="1"/>
  <c r="CR46" i="1"/>
  <c r="DI193" i="1"/>
  <c r="DI178" i="1"/>
  <c r="DF53" i="1"/>
  <c r="CR211" i="1"/>
  <c r="CS95" i="1"/>
  <c r="BI195" i="1"/>
  <c r="CK195" i="1"/>
  <c r="CK278" i="1"/>
  <c r="CK272" i="1"/>
  <c r="DG176" i="1"/>
  <c r="DG102" i="1"/>
  <c r="DG104" i="1"/>
  <c r="DG105" i="1" s="1"/>
  <c r="DG100" i="1"/>
  <c r="DG106" i="1"/>
  <c r="DF193" i="1"/>
  <c r="DF178" i="1"/>
  <c r="DK107" i="1"/>
  <c r="DK103" i="1"/>
  <c r="EE105" i="1"/>
  <c r="BG193" i="1"/>
  <c r="BX195" i="1"/>
  <c r="CJ278" i="1"/>
  <c r="CJ272" i="1"/>
  <c r="CJ195" i="1"/>
  <c r="DB320" i="1"/>
  <c r="CM138" i="1"/>
  <c r="DT204" i="1"/>
  <c r="EK202" i="1"/>
  <c r="BG204" i="1"/>
  <c r="EJ204" i="1"/>
  <c r="BN316" i="1"/>
  <c r="BN204" i="1"/>
  <c r="EG157" i="1"/>
  <c r="EG156" i="1"/>
  <c r="EH156" i="1"/>
  <c r="EP157" i="1"/>
  <c r="EP156" i="1" s="1"/>
  <c r="CT272" i="1"/>
  <c r="EU267" i="1"/>
  <c r="DB272" i="1"/>
  <c r="CX272" i="1"/>
  <c r="CM51" i="1"/>
  <c r="DD192" i="1"/>
  <c r="AA117" i="1"/>
  <c r="AA118" i="1" s="1"/>
  <c r="AA114" i="1"/>
  <c r="AE113" i="1"/>
  <c r="AA143" i="1"/>
  <c r="AA141" i="1"/>
  <c r="BS182" i="1"/>
  <c r="BS140" i="1"/>
  <c r="BS115" i="1"/>
  <c r="BS116" i="1" s="1"/>
  <c r="BS112" i="1"/>
  <c r="BO188" i="1"/>
  <c r="BO205" i="1" s="1"/>
  <c r="BO141" i="1"/>
  <c r="BO143" i="1"/>
  <c r="CY37" i="1"/>
  <c r="FE28" i="1"/>
  <c r="FE26" i="1" s="1"/>
  <c r="EZ26" i="1"/>
  <c r="EZ27" i="1" s="1"/>
  <c r="T37" i="1"/>
  <c r="BL116" i="1"/>
  <c r="CR251" i="1"/>
  <c r="CR197" i="1"/>
  <c r="CR191" i="1"/>
  <c r="CR202" i="1"/>
  <c r="CR193" i="1"/>
  <c r="CR203" i="1"/>
  <c r="CR192" i="1"/>
  <c r="CR196" i="1"/>
  <c r="CZ116" i="1"/>
  <c r="EG51" i="1"/>
  <c r="EK50" i="1"/>
  <c r="EK51" i="1" s="1"/>
  <c r="ES24" i="1"/>
  <c r="ES25" i="1"/>
  <c r="ES20" i="1"/>
  <c r="Y141" i="1"/>
  <c r="Y143" i="1"/>
  <c r="AG143" i="1"/>
  <c r="AG141" i="1"/>
  <c r="AS188" i="1"/>
  <c r="AS205" i="1" s="1"/>
  <c r="AS143" i="1"/>
  <c r="AS141" i="1"/>
  <c r="BI37" i="1"/>
  <c r="DQ174" i="1"/>
  <c r="DQ110" i="1"/>
  <c r="DQ222" i="1"/>
  <c r="EC117" i="1"/>
  <c r="EC114" i="1"/>
  <c r="DR85" i="1"/>
  <c r="AH116" i="1"/>
  <c r="CH182" i="1"/>
  <c r="CH140" i="1"/>
  <c r="CH115" i="1"/>
  <c r="CH116" i="1" s="1"/>
  <c r="CH112" i="1"/>
  <c r="CD188" i="1"/>
  <c r="CD205" i="1" s="1"/>
  <c r="CD143" i="1"/>
  <c r="CD141" i="1"/>
  <c r="CL116" i="1"/>
  <c r="CP183" i="1"/>
  <c r="CP117" i="1"/>
  <c r="CP118" i="1" s="1"/>
  <c r="CP114" i="1"/>
  <c r="CR53" i="1"/>
  <c r="BX211" i="1"/>
  <c r="BS95" i="1"/>
  <c r="AY198" i="1"/>
  <c r="DD198" i="1"/>
  <c r="FK93" i="1"/>
  <c r="Y95" i="1"/>
  <c r="AT195" i="1"/>
  <c r="EI178" i="1"/>
  <c r="EI193" i="1"/>
  <c r="AY195" i="1"/>
  <c r="DB92" i="1"/>
  <c r="DB94" i="1"/>
  <c r="DX103" i="1"/>
  <c r="DX178" i="1"/>
  <c r="DX193" i="1"/>
  <c r="BS138" i="1"/>
  <c r="DD203" i="1"/>
  <c r="BI138" i="1"/>
  <c r="DG187" i="1"/>
  <c r="DG137" i="1"/>
  <c r="CX138" i="1"/>
  <c r="EU151" i="1"/>
  <c r="CZ272" i="1"/>
  <c r="DB273" i="1"/>
  <c r="DB280" i="1" s="1"/>
  <c r="DW271" i="1"/>
  <c r="DW272" i="1" s="1"/>
  <c r="DX267" i="1"/>
  <c r="DW130" i="1"/>
  <c r="DW131" i="1" s="1"/>
  <c r="DL344" i="1"/>
  <c r="DQ344" i="1" s="1"/>
  <c r="DV344" i="1" s="1"/>
  <c r="EA344" i="1" s="1"/>
  <c r="EF344" i="1" s="1"/>
  <c r="EK344" i="1" s="1"/>
  <c r="DH344" i="1"/>
  <c r="DI344" i="1" s="1"/>
  <c r="DJ344" i="1" s="1"/>
  <c r="DK344" i="1" s="1"/>
  <c r="EK100" i="1"/>
  <c r="DR121" i="1"/>
  <c r="DR123" i="1" s="1"/>
  <c r="DN182" i="1"/>
  <c r="DN199" i="1" s="1"/>
  <c r="EH116" i="1"/>
  <c r="EA37" i="1"/>
  <c r="E42" i="363" s="1"/>
  <c r="DR188" i="1"/>
  <c r="DR205" i="1" s="1"/>
  <c r="DR143" i="1"/>
  <c r="DR141" i="1"/>
  <c r="DM195" i="1"/>
  <c r="DM272" i="1"/>
  <c r="DM278" i="1"/>
  <c r="CO118" i="1" l="1"/>
  <c r="ET155" i="1"/>
  <c r="EU155" i="1"/>
  <c r="EU157" i="1" s="1"/>
  <c r="EU156" i="1" s="1"/>
  <c r="ET159" i="1"/>
  <c r="EU158" i="1"/>
  <c r="ES157" i="1"/>
  <c r="ES156" i="1"/>
  <c r="ES230" i="1"/>
  <c r="ES286" i="1" s="1"/>
  <c r="BH118" i="1"/>
  <c r="M118" i="1"/>
  <c r="CI118" i="1"/>
  <c r="DG103" i="1"/>
  <c r="BN116" i="1"/>
  <c r="AM118" i="1"/>
  <c r="AJ95" i="1"/>
  <c r="DB138" i="1"/>
  <c r="BA118" i="1"/>
  <c r="AJ116" i="1"/>
  <c r="AU118" i="1"/>
  <c r="BW118" i="1"/>
  <c r="X118" i="1"/>
  <c r="DG138" i="1"/>
  <c r="DB95" i="1"/>
  <c r="W118" i="1"/>
  <c r="BJ118" i="1"/>
  <c r="DR200" i="1"/>
  <c r="DR184" i="1"/>
  <c r="DR201" i="1" s="1"/>
  <c r="DK377" i="1"/>
  <c r="DK319" i="1"/>
  <c r="DK323" i="1"/>
  <c r="DK327" i="1"/>
  <c r="DK315" i="1"/>
  <c r="DK199" i="1"/>
  <c r="CU377" i="1"/>
  <c r="CU323" i="1"/>
  <c r="CU319" i="1"/>
  <c r="CU315" i="1"/>
  <c r="CU199" i="1"/>
  <c r="CU327" i="1"/>
  <c r="K117" i="1"/>
  <c r="K118" i="1" s="1"/>
  <c r="K114" i="1"/>
  <c r="AG148" i="1"/>
  <c r="AG145" i="1"/>
  <c r="AG144" i="1"/>
  <c r="FE27" i="1"/>
  <c r="BS319" i="1"/>
  <c r="BS323" i="1"/>
  <c r="BS315" i="1"/>
  <c r="BS327" i="1"/>
  <c r="BS199" i="1"/>
  <c r="EZ267" i="1"/>
  <c r="BN323" i="1"/>
  <c r="BN327" i="1"/>
  <c r="BN315" i="1"/>
  <c r="BN319" i="1"/>
  <c r="BN199" i="1"/>
  <c r="CS376" i="1"/>
  <c r="CS197" i="1"/>
  <c r="CS191" i="1"/>
  <c r="CS192" i="1"/>
  <c r="CS251" i="1"/>
  <c r="CS203" i="1"/>
  <c r="CS202" i="1"/>
  <c r="CS196" i="1"/>
  <c r="CS263" i="1"/>
  <c r="CS193" i="1"/>
  <c r="CS198" i="1"/>
  <c r="CS194" i="1"/>
  <c r="CC188" i="1"/>
  <c r="CC205" i="1" s="1"/>
  <c r="CC141" i="1"/>
  <c r="AW189" i="1"/>
  <c r="AW206" i="1" s="1"/>
  <c r="AW148" i="1"/>
  <c r="AW145" i="1"/>
  <c r="AW144" i="1"/>
  <c r="CE325" i="1"/>
  <c r="CE184" i="1"/>
  <c r="CE201" i="1" s="1"/>
  <c r="CE200" i="1"/>
  <c r="AU184" i="1"/>
  <c r="AU201" i="1" s="1"/>
  <c r="AU200" i="1"/>
  <c r="EJ278" i="1"/>
  <c r="EJ195" i="1"/>
  <c r="EJ272" i="1"/>
  <c r="CC278" i="1"/>
  <c r="CC195" i="1"/>
  <c r="CC272" i="1"/>
  <c r="DF117" i="1"/>
  <c r="DF118" i="1" s="1"/>
  <c r="DF114" i="1"/>
  <c r="DF377" i="1"/>
  <c r="DF319" i="1"/>
  <c r="DF323" i="1"/>
  <c r="DF327" i="1"/>
  <c r="DF315" i="1"/>
  <c r="DF199" i="1"/>
  <c r="AN184" i="1"/>
  <c r="AN201" i="1" s="1"/>
  <c r="AN200" i="1"/>
  <c r="DL107" i="1"/>
  <c r="AT188" i="1"/>
  <c r="AT205" i="1" s="1"/>
  <c r="AT141" i="1"/>
  <c r="AJ183" i="1"/>
  <c r="AJ117" i="1"/>
  <c r="AJ114" i="1"/>
  <c r="H145" i="1"/>
  <c r="H146" i="1" s="1"/>
  <c r="H144" i="1"/>
  <c r="H148" i="1"/>
  <c r="H149" i="1" s="1"/>
  <c r="CI189" i="1"/>
  <c r="CI206" i="1" s="1"/>
  <c r="CI145" i="1"/>
  <c r="CI144" i="1"/>
  <c r="CI148" i="1"/>
  <c r="CM143" i="1"/>
  <c r="CI170" i="1"/>
  <c r="CM188" i="1"/>
  <c r="CM205" i="1" s="1"/>
  <c r="CM141" i="1"/>
  <c r="AV189" i="1"/>
  <c r="AV206" i="1" s="1"/>
  <c r="AV145" i="1"/>
  <c r="AV144" i="1"/>
  <c r="AV148" i="1"/>
  <c r="DO183" i="1"/>
  <c r="DO117" i="1"/>
  <c r="CQ118" i="1"/>
  <c r="EU262" i="1"/>
  <c r="DQ103" i="1"/>
  <c r="DQ193" i="1"/>
  <c r="DQ178" i="1"/>
  <c r="CL325" i="1"/>
  <c r="CL329" i="1"/>
  <c r="CL321" i="1"/>
  <c r="CL317" i="1"/>
  <c r="CL200" i="1"/>
  <c r="CL184" i="1"/>
  <c r="CL201" i="1" s="1"/>
  <c r="ET17" i="1"/>
  <c r="EU15" i="1"/>
  <c r="ET78" i="1"/>
  <c r="EP178" i="1"/>
  <c r="DV364" i="1"/>
  <c r="ED188" i="1"/>
  <c r="ED205" i="1" s="1"/>
  <c r="ED143" i="1"/>
  <c r="ED141" i="1"/>
  <c r="EG145" i="1"/>
  <c r="EG148" i="1"/>
  <c r="EG170" i="1"/>
  <c r="EG209" i="1" s="1"/>
  <c r="AZ189" i="1"/>
  <c r="AZ206" i="1" s="1"/>
  <c r="AZ145" i="1"/>
  <c r="AZ144" i="1"/>
  <c r="BD143" i="1"/>
  <c r="AZ148" i="1"/>
  <c r="L148" i="1"/>
  <c r="L145" i="1"/>
  <c r="L144" i="1"/>
  <c r="AU189" i="1"/>
  <c r="AU206" i="1" s="1"/>
  <c r="AU145" i="1"/>
  <c r="AU144" i="1"/>
  <c r="AU148" i="1"/>
  <c r="AY143" i="1"/>
  <c r="S145" i="1"/>
  <c r="S144" i="1"/>
  <c r="S148" i="1"/>
  <c r="BG183" i="1"/>
  <c r="BG117" i="1"/>
  <c r="BG118" i="1" s="1"/>
  <c r="BG114" i="1"/>
  <c r="DV193" i="1"/>
  <c r="DV178" i="1"/>
  <c r="CT182" i="1"/>
  <c r="CT140" i="1"/>
  <c r="CT115" i="1"/>
  <c r="CT113" i="1"/>
  <c r="CT112" i="1"/>
  <c r="CY112" i="1"/>
  <c r="DE148" i="1"/>
  <c r="DE145" i="1"/>
  <c r="DE144" i="1"/>
  <c r="DE170" i="1"/>
  <c r="DE209" i="1" s="1"/>
  <c r="DE216" i="1" s="1"/>
  <c r="EF107" i="1"/>
  <c r="F45" i="363" s="1"/>
  <c r="P21" i="363"/>
  <c r="DY182" i="1"/>
  <c r="DY199" i="1" s="1"/>
  <c r="DY115" i="1"/>
  <c r="DY116" i="1" s="1"/>
  <c r="DY113" i="1"/>
  <c r="DY112" i="1"/>
  <c r="EC121" i="1"/>
  <c r="EC123" i="1" s="1"/>
  <c r="DY140" i="1"/>
  <c r="CK189" i="1"/>
  <c r="CK206" i="1" s="1"/>
  <c r="CK148" i="1"/>
  <c r="CK145" i="1"/>
  <c r="CK144" i="1"/>
  <c r="CK170" i="1"/>
  <c r="BX116" i="1"/>
  <c r="BT200" i="1"/>
  <c r="BT184" i="1"/>
  <c r="BT201" i="1" s="1"/>
  <c r="DB278" i="1"/>
  <c r="DO195" i="1"/>
  <c r="DO272" i="1"/>
  <c r="DO278" i="1"/>
  <c r="CH183" i="1"/>
  <c r="CH117" i="1"/>
  <c r="CH114" i="1"/>
  <c r="AS118" i="1"/>
  <c r="EN263" i="1"/>
  <c r="EN251" i="1"/>
  <c r="ES251" i="1" s="1"/>
  <c r="EN197" i="1"/>
  <c r="EN191" i="1"/>
  <c r="EN202" i="1"/>
  <c r="EN196" i="1"/>
  <c r="EN198" i="1"/>
  <c r="EN192" i="1"/>
  <c r="EN203" i="1"/>
  <c r="EN193" i="1"/>
  <c r="EN194" i="1"/>
  <c r="EN204" i="1"/>
  <c r="DJ364" i="1"/>
  <c r="DZ195" i="1"/>
  <c r="DZ278" i="1"/>
  <c r="DZ272" i="1"/>
  <c r="BJ183" i="1"/>
  <c r="BY118" i="1"/>
  <c r="AW200" i="1"/>
  <c r="AW184" i="1"/>
  <c r="AW201" i="1" s="1"/>
  <c r="CR188" i="1"/>
  <c r="CR205" i="1" s="1"/>
  <c r="CR141" i="1"/>
  <c r="BD188" i="1"/>
  <c r="BD205" i="1" s="1"/>
  <c r="BD141" i="1"/>
  <c r="CE189" i="1"/>
  <c r="CE206" i="1" s="1"/>
  <c r="CE148" i="1"/>
  <c r="CE145" i="1"/>
  <c r="CE144" i="1"/>
  <c r="CE170" i="1"/>
  <c r="U252" i="1"/>
  <c r="U249" i="1"/>
  <c r="BB200" i="1"/>
  <c r="BB184" i="1"/>
  <c r="BB201" i="1" s="1"/>
  <c r="CJ118" i="1"/>
  <c r="CO321" i="1"/>
  <c r="CO325" i="1"/>
  <c r="CO317" i="1"/>
  <c r="CO329" i="1"/>
  <c r="CO200" i="1"/>
  <c r="CO184" i="1"/>
  <c r="CO201" i="1" s="1"/>
  <c r="CG189" i="1"/>
  <c r="CG206" i="1" s="1"/>
  <c r="CG148" i="1"/>
  <c r="CG145" i="1"/>
  <c r="CG144" i="1"/>
  <c r="CG170" i="1"/>
  <c r="X145" i="1"/>
  <c r="X146" i="1" s="1"/>
  <c r="X144" i="1"/>
  <c r="X148" i="1"/>
  <c r="EI116" i="1"/>
  <c r="EQ174" i="1"/>
  <c r="EQ110" i="1"/>
  <c r="EQ222" i="1"/>
  <c r="DI388" i="1"/>
  <c r="DI387" i="1"/>
  <c r="DI386" i="1"/>
  <c r="DJ365" i="1"/>
  <c r="BF200" i="1"/>
  <c r="BF184" i="1"/>
  <c r="BF201" i="1" s="1"/>
  <c r="BU118" i="1"/>
  <c r="EU51" i="1"/>
  <c r="EZ50" i="1"/>
  <c r="DI117" i="1"/>
  <c r="DI114" i="1"/>
  <c r="DK195" i="1"/>
  <c r="DK272" i="1"/>
  <c r="DK278" i="1"/>
  <c r="DG75" i="1"/>
  <c r="DG223" i="1"/>
  <c r="CM195" i="1"/>
  <c r="CM272" i="1"/>
  <c r="CM278" i="1"/>
  <c r="CZ376" i="1"/>
  <c r="CZ251" i="1"/>
  <c r="CZ197" i="1"/>
  <c r="CZ191" i="1"/>
  <c r="CZ196" i="1"/>
  <c r="CZ192" i="1"/>
  <c r="CZ198" i="1"/>
  <c r="CZ203" i="1"/>
  <c r="CZ263" i="1"/>
  <c r="CZ202" i="1"/>
  <c r="CZ193" i="1"/>
  <c r="CZ194" i="1"/>
  <c r="DB174" i="1"/>
  <c r="DB110" i="1"/>
  <c r="DB222" i="1"/>
  <c r="BV118" i="1"/>
  <c r="AL118" i="1"/>
  <c r="EF182" i="1"/>
  <c r="EF140" i="1"/>
  <c r="EF121" i="1"/>
  <c r="EF123" i="1" s="1"/>
  <c r="F50" i="363" s="1"/>
  <c r="EF112" i="1"/>
  <c r="EF115" i="1"/>
  <c r="CN321" i="1"/>
  <c r="CN325" i="1"/>
  <c r="CN317" i="1"/>
  <c r="CN329" i="1"/>
  <c r="CN200" i="1"/>
  <c r="CN184" i="1"/>
  <c r="CN201" i="1" s="1"/>
  <c r="CB189" i="1"/>
  <c r="CB206" i="1" s="1"/>
  <c r="CB170" i="1"/>
  <c r="CB145" i="1"/>
  <c r="CB144" i="1"/>
  <c r="CB148" i="1"/>
  <c r="AZ118" i="1"/>
  <c r="Z254" i="1"/>
  <c r="Z257" i="1" s="1"/>
  <c r="Z248" i="1"/>
  <c r="BZ118" i="1"/>
  <c r="CF118" i="1"/>
  <c r="DE376" i="1"/>
  <c r="DE251" i="1"/>
  <c r="DE197" i="1"/>
  <c r="DE191" i="1"/>
  <c r="DE263" i="1"/>
  <c r="DE204" i="1"/>
  <c r="DE193" i="1"/>
  <c r="DE202" i="1"/>
  <c r="DE203" i="1"/>
  <c r="DE198" i="1"/>
  <c r="DE196" i="1"/>
  <c r="DE194" i="1"/>
  <c r="DE192" i="1"/>
  <c r="DC376" i="1"/>
  <c r="DC251" i="1"/>
  <c r="DC191" i="1"/>
  <c r="DC197" i="1"/>
  <c r="DC263" i="1"/>
  <c r="DC194" i="1"/>
  <c r="DC203" i="1"/>
  <c r="DC198" i="1"/>
  <c r="DC193" i="1"/>
  <c r="DC202" i="1"/>
  <c r="DC204" i="1"/>
  <c r="DC196" i="1"/>
  <c r="DC192" i="1"/>
  <c r="AT183" i="1"/>
  <c r="AT117" i="1"/>
  <c r="AT114" i="1"/>
  <c r="CK118" i="1"/>
  <c r="BE118" i="1"/>
  <c r="EF376" i="1"/>
  <c r="EF251" i="1"/>
  <c r="EF197" i="1"/>
  <c r="EF191" i="1"/>
  <c r="EF192" i="1"/>
  <c r="EF263" i="1"/>
  <c r="EF194" i="1"/>
  <c r="EF203" i="1"/>
  <c r="EF204" i="1"/>
  <c r="EF198" i="1"/>
  <c r="EF202" i="1"/>
  <c r="EF196" i="1"/>
  <c r="EE188" i="1"/>
  <c r="EE205" i="1" s="1"/>
  <c r="EE143" i="1"/>
  <c r="EE141" i="1"/>
  <c r="DK117" i="1"/>
  <c r="DK118" i="1" s="1"/>
  <c r="DK114" i="1"/>
  <c r="EU177" i="1"/>
  <c r="EU56" i="1"/>
  <c r="EU55" i="1"/>
  <c r="T14" i="363"/>
  <c r="BC118" i="1"/>
  <c r="ES49" i="1"/>
  <c r="ES43" i="1"/>
  <c r="AE116" i="1"/>
  <c r="DV188" i="1"/>
  <c r="DV141" i="1"/>
  <c r="DX271" i="1"/>
  <c r="DX272" i="1" s="1"/>
  <c r="DY130" i="1"/>
  <c r="DY131" i="1" s="1"/>
  <c r="DX130" i="1"/>
  <c r="DX131" i="1" s="1"/>
  <c r="DB288" i="1"/>
  <c r="DB279" i="1"/>
  <c r="DX278" i="1"/>
  <c r="DX195" i="1"/>
  <c r="CD189" i="1"/>
  <c r="CD206" i="1" s="1"/>
  <c r="CD148" i="1"/>
  <c r="CD145" i="1"/>
  <c r="CH143" i="1"/>
  <c r="CD144" i="1"/>
  <c r="CD170" i="1"/>
  <c r="CH188" i="1"/>
  <c r="CH205" i="1" s="1"/>
  <c r="CH141" i="1"/>
  <c r="AS189" i="1"/>
  <c r="AS206" i="1" s="1"/>
  <c r="AS148" i="1"/>
  <c r="AS145" i="1"/>
  <c r="AS144" i="1"/>
  <c r="Y148" i="1"/>
  <c r="Y145" i="1"/>
  <c r="DG178" i="1"/>
  <c r="DI195" i="1"/>
  <c r="DI278" i="1"/>
  <c r="DI272" i="1"/>
  <c r="EZ94" i="1"/>
  <c r="EU95" i="1"/>
  <c r="CW174" i="1"/>
  <c r="CW110" i="1"/>
  <c r="CW222" i="1"/>
  <c r="Q148" i="1"/>
  <c r="Q149" i="1" s="1"/>
  <c r="Q145" i="1"/>
  <c r="Q146" i="1" s="1"/>
  <c r="Q144" i="1"/>
  <c r="AY183" i="1"/>
  <c r="AY117" i="1"/>
  <c r="AY114" i="1"/>
  <c r="CU117" i="1"/>
  <c r="CU118" i="1" s="1"/>
  <c r="CU114" i="1"/>
  <c r="DG95" i="1"/>
  <c r="DD117" i="1"/>
  <c r="DD118" i="1" s="1"/>
  <c r="DD114" i="1"/>
  <c r="AR184" i="1"/>
  <c r="AR201" i="1" s="1"/>
  <c r="AR200" i="1"/>
  <c r="EL278" i="1"/>
  <c r="EL195" i="1"/>
  <c r="EL272" i="1"/>
  <c r="EQ272" i="1" s="1"/>
  <c r="AM184" i="1"/>
  <c r="AM201" i="1" s="1"/>
  <c r="AM200" i="1"/>
  <c r="AD117" i="1"/>
  <c r="AD118" i="1" s="1"/>
  <c r="AD114" i="1"/>
  <c r="ET150" i="1"/>
  <c r="EU150" i="1" s="1"/>
  <c r="EU153" i="1" s="1"/>
  <c r="ET230" i="1"/>
  <c r="DS195" i="1"/>
  <c r="DS278" i="1"/>
  <c r="DS272" i="1"/>
  <c r="EG195" i="1"/>
  <c r="EG278" i="1"/>
  <c r="EG272" i="1"/>
  <c r="DB75" i="1"/>
  <c r="DB223" i="1"/>
  <c r="EL182" i="1"/>
  <c r="EL199" i="1" s="1"/>
  <c r="EL140" i="1"/>
  <c r="EL115" i="1"/>
  <c r="EL113" i="1"/>
  <c r="BR200" i="1"/>
  <c r="BR184" i="1"/>
  <c r="BR201" i="1" s="1"/>
  <c r="BX142" i="1"/>
  <c r="BT141" i="1"/>
  <c r="EA182" i="1"/>
  <c r="EA140" i="1"/>
  <c r="EA115" i="1"/>
  <c r="EA121" i="1"/>
  <c r="EA123" i="1" s="1"/>
  <c r="E50" i="363" s="1"/>
  <c r="EA112" i="1"/>
  <c r="CM323" i="1"/>
  <c r="CM327" i="1"/>
  <c r="CM319" i="1"/>
  <c r="CM315" i="1"/>
  <c r="CM199" i="1"/>
  <c r="DS183" i="1"/>
  <c r="DS117" i="1"/>
  <c r="DS118" i="1" s="1"/>
  <c r="DS114" i="1"/>
  <c r="DO188" i="1"/>
  <c r="DO205" i="1" s="1"/>
  <c r="DO143" i="1"/>
  <c r="DO141" i="1"/>
  <c r="CQ329" i="1"/>
  <c r="CQ321" i="1"/>
  <c r="CQ325" i="1"/>
  <c r="CQ317" i="1"/>
  <c r="CQ184" i="1"/>
  <c r="CQ201" i="1" s="1"/>
  <c r="CQ200" i="1"/>
  <c r="DQ107" i="1"/>
  <c r="ET79" i="1"/>
  <c r="ET48" i="1"/>
  <c r="BL200" i="1"/>
  <c r="BL184" i="1"/>
  <c r="BL201" i="1" s="1"/>
  <c r="J141" i="1"/>
  <c r="J143" i="1"/>
  <c r="EK138" i="1"/>
  <c r="S24" i="363"/>
  <c r="DT278" i="1"/>
  <c r="DT272" i="1"/>
  <c r="DT195" i="1"/>
  <c r="CB118" i="1"/>
  <c r="ER175" i="1"/>
  <c r="ER34" i="1"/>
  <c r="ER21" i="1"/>
  <c r="EU20" i="1"/>
  <c r="K143" i="1"/>
  <c r="K141" i="1"/>
  <c r="ET260" i="1"/>
  <c r="EU258" i="1"/>
  <c r="DV105" i="1"/>
  <c r="DQ113" i="1"/>
  <c r="EB278" i="1"/>
  <c r="EB195" i="1"/>
  <c r="EB272" i="1"/>
  <c r="EC263" i="1"/>
  <c r="EC251" i="1"/>
  <c r="EC197" i="1"/>
  <c r="EC191" i="1"/>
  <c r="EC202" i="1"/>
  <c r="EC192" i="1"/>
  <c r="EC204" i="1"/>
  <c r="EC198" i="1"/>
  <c r="EC196" i="1"/>
  <c r="EC194" i="1"/>
  <c r="EC203" i="1"/>
  <c r="EC193" i="1"/>
  <c r="DY263" i="1"/>
  <c r="DY251" i="1"/>
  <c r="DY197" i="1"/>
  <c r="DY191" i="1"/>
  <c r="DY196" i="1"/>
  <c r="DY198" i="1"/>
  <c r="DY202" i="1"/>
  <c r="DY203" i="1"/>
  <c r="DY194" i="1"/>
  <c r="DY192" i="1"/>
  <c r="DY193" i="1"/>
  <c r="DY204" i="1"/>
  <c r="BI188" i="1"/>
  <c r="BI205" i="1" s="1"/>
  <c r="BI141" i="1"/>
  <c r="DX183" i="1"/>
  <c r="DX117" i="1"/>
  <c r="DX118" i="1" s="1"/>
  <c r="DX114" i="1"/>
  <c r="DP183" i="1"/>
  <c r="DP117" i="1"/>
  <c r="DP118" i="1" s="1"/>
  <c r="DP114" i="1"/>
  <c r="BX323" i="1"/>
  <c r="BX319" i="1"/>
  <c r="BX315" i="1"/>
  <c r="BX327" i="1"/>
  <c r="BX199" i="1"/>
  <c r="FE6" i="1"/>
  <c r="BX183" i="1"/>
  <c r="BX117" i="1"/>
  <c r="BX114" i="1"/>
  <c r="EK195" i="1"/>
  <c r="EK278" i="1"/>
  <c r="EK272" i="1"/>
  <c r="EU186" i="1"/>
  <c r="EU134" i="1"/>
  <c r="DN251" i="1"/>
  <c r="DN263" i="1"/>
  <c r="DN197" i="1"/>
  <c r="DN191" i="1"/>
  <c r="DN202" i="1"/>
  <c r="DN203" i="1"/>
  <c r="DN204" i="1"/>
  <c r="DN196" i="1"/>
  <c r="DN194" i="1"/>
  <c r="DN198" i="1"/>
  <c r="DN192" i="1"/>
  <c r="DJ182" i="1"/>
  <c r="DJ115" i="1"/>
  <c r="DJ116" i="1" s="1"/>
  <c r="DJ113" i="1"/>
  <c r="DO114" i="1" s="1"/>
  <c r="DJ112" i="1"/>
  <c r="DN121" i="1"/>
  <c r="DN123" i="1" s="1"/>
  <c r="DJ140" i="1"/>
  <c r="CP189" i="1"/>
  <c r="CP206" i="1" s="1"/>
  <c r="CP148" i="1"/>
  <c r="CP149" i="1" s="1"/>
  <c r="CP145" i="1"/>
  <c r="CP146" i="1" s="1"/>
  <c r="CP144" i="1"/>
  <c r="CP170" i="1"/>
  <c r="B148" i="1"/>
  <c r="B145" i="1"/>
  <c r="F143" i="1"/>
  <c r="EC182" i="1"/>
  <c r="EC199" i="1" s="1"/>
  <c r="AS200" i="1"/>
  <c r="AS184" i="1"/>
  <c r="AS201" i="1" s="1"/>
  <c r="DH182" i="1"/>
  <c r="DH140" i="1"/>
  <c r="DL111" i="1"/>
  <c r="DH115" i="1"/>
  <c r="DH113" i="1"/>
  <c r="DK183" i="1" s="1"/>
  <c r="DH112" i="1"/>
  <c r="DK121" i="1"/>
  <c r="DK123" i="1" s="1"/>
  <c r="DI121" i="1"/>
  <c r="DI123" i="1" s="1"/>
  <c r="DM112" i="1"/>
  <c r="BS183" i="1"/>
  <c r="BS117" i="1"/>
  <c r="EZ89" i="1"/>
  <c r="EU90" i="1"/>
  <c r="BK183" i="1"/>
  <c r="BK117" i="1"/>
  <c r="BK118" i="1" s="1"/>
  <c r="BK114" i="1"/>
  <c r="CW316" i="1"/>
  <c r="CW204" i="1"/>
  <c r="DZ183" i="1"/>
  <c r="DZ117" i="1"/>
  <c r="DZ118" i="1" s="1"/>
  <c r="DZ114" i="1"/>
  <c r="DZ182" i="1"/>
  <c r="DZ199" i="1" s="1"/>
  <c r="BN113" i="1"/>
  <c r="BS114" i="1" s="1"/>
  <c r="DU183" i="1"/>
  <c r="BY325" i="1"/>
  <c r="BY200" i="1"/>
  <c r="BY184" i="1"/>
  <c r="BY201" i="1" s="1"/>
  <c r="AB118" i="1"/>
  <c r="AY116" i="1"/>
  <c r="AI148" i="1"/>
  <c r="AI145" i="1"/>
  <c r="DL138" i="1"/>
  <c r="DP195" i="1"/>
  <c r="DP278" i="1"/>
  <c r="DP272" i="1"/>
  <c r="CW95" i="1"/>
  <c r="CJ321" i="1"/>
  <c r="CJ325" i="1"/>
  <c r="CJ329" i="1"/>
  <c r="CJ317" i="1"/>
  <c r="CJ200" i="1"/>
  <c r="CJ184" i="1"/>
  <c r="CJ201" i="1" s="1"/>
  <c r="AM189" i="1"/>
  <c r="AM206" i="1" s="1"/>
  <c r="AM148" i="1"/>
  <c r="AM145" i="1"/>
  <c r="AM144" i="1"/>
  <c r="CS195" i="1"/>
  <c r="DV376" i="1"/>
  <c r="DV263" i="1"/>
  <c r="DV197" i="1"/>
  <c r="DV191" i="1"/>
  <c r="DV192" i="1"/>
  <c r="DV198" i="1"/>
  <c r="DV202" i="1"/>
  <c r="DV204" i="1"/>
  <c r="DV203" i="1"/>
  <c r="DV194" i="1"/>
  <c r="DV196" i="1"/>
  <c r="Z117" i="1"/>
  <c r="S27" i="363"/>
  <c r="S22" i="363"/>
  <c r="S56" i="363" s="1"/>
  <c r="M148" i="1"/>
  <c r="M145" i="1"/>
  <c r="M146" i="1" s="1"/>
  <c r="M144" i="1"/>
  <c r="EI188" i="1"/>
  <c r="EI205" i="1" s="1"/>
  <c r="EI143" i="1"/>
  <c r="EI141" i="1"/>
  <c r="EH189" i="1"/>
  <c r="EH206" i="1" s="1"/>
  <c r="EH145" i="1"/>
  <c r="EH170" i="1"/>
  <c r="EH209" i="1" s="1"/>
  <c r="EH216" i="1" s="1"/>
  <c r="EH148" i="1"/>
  <c r="EH144" i="1"/>
  <c r="BU200" i="1"/>
  <c r="BU184" i="1"/>
  <c r="BU201" i="1" s="1"/>
  <c r="BN214" i="1"/>
  <c r="BN141" i="1"/>
  <c r="DI188" i="1"/>
  <c r="DI143" i="1"/>
  <c r="DI141" i="1"/>
  <c r="DI116" i="1"/>
  <c r="CY376" i="1"/>
  <c r="CY197" i="1"/>
  <c r="CY191" i="1"/>
  <c r="CY263" i="1"/>
  <c r="CY251" i="1"/>
  <c r="CY192" i="1"/>
  <c r="CY196" i="1"/>
  <c r="CY202" i="1"/>
  <c r="CY203" i="1"/>
  <c r="CY194" i="1"/>
  <c r="CY198" i="1"/>
  <c r="CY193" i="1"/>
  <c r="BV200" i="1"/>
  <c r="BV184" i="1"/>
  <c r="BV201" i="1" s="1"/>
  <c r="AL200" i="1"/>
  <c r="AL184" i="1"/>
  <c r="AL201" i="1" s="1"/>
  <c r="AK189" i="1"/>
  <c r="AK206" i="1" s="1"/>
  <c r="AK148" i="1"/>
  <c r="AK145" i="1"/>
  <c r="AK144" i="1"/>
  <c r="AO143" i="1"/>
  <c r="EB188" i="1"/>
  <c r="EB205" i="1" s="1"/>
  <c r="EB143" i="1"/>
  <c r="EB141" i="1"/>
  <c r="CR183" i="1"/>
  <c r="CR117" i="1"/>
  <c r="CR114" i="1"/>
  <c r="AZ200" i="1"/>
  <c r="AZ184" i="1"/>
  <c r="AZ201" i="1" s="1"/>
  <c r="EM182" i="1"/>
  <c r="EM199" i="1" s="1"/>
  <c r="EM115" i="1"/>
  <c r="EM113" i="1"/>
  <c r="EM140" i="1"/>
  <c r="CA189" i="1"/>
  <c r="CA206" i="1" s="1"/>
  <c r="CA148" i="1"/>
  <c r="CA145" i="1"/>
  <c r="CA144" i="1"/>
  <c r="CA170" i="1"/>
  <c r="AI116" i="1"/>
  <c r="EU277" i="1"/>
  <c r="DC53" i="1"/>
  <c r="DH53" i="1"/>
  <c r="FH52" i="1"/>
  <c r="FH53" i="1" s="1"/>
  <c r="BZ325" i="1"/>
  <c r="BZ184" i="1"/>
  <c r="BZ201" i="1" s="1"/>
  <c r="BZ200" i="1"/>
  <c r="AC148" i="1"/>
  <c r="AC149" i="1" s="1"/>
  <c r="AC145" i="1"/>
  <c r="AC146" i="1" s="1"/>
  <c r="AC144" i="1"/>
  <c r="EJ188" i="1"/>
  <c r="EJ205" i="1" s="1"/>
  <c r="EJ143" i="1"/>
  <c r="EJ141" i="1"/>
  <c r="CF325" i="1"/>
  <c r="CF200" i="1"/>
  <c r="CF184" i="1"/>
  <c r="CF201" i="1" s="1"/>
  <c r="DC182" i="1"/>
  <c r="DC140" i="1"/>
  <c r="DF188" i="1" s="1"/>
  <c r="DG111" i="1"/>
  <c r="DC115" i="1"/>
  <c r="DF121" i="1"/>
  <c r="DF123" i="1" s="1"/>
  <c r="DC112" i="1"/>
  <c r="DC113" i="1"/>
  <c r="DE182" i="1"/>
  <c r="DC121" i="1"/>
  <c r="DC123" i="1" s="1"/>
  <c r="DD121" i="1"/>
  <c r="DD123" i="1" s="1"/>
  <c r="DE121" i="1"/>
  <c r="DE123" i="1" s="1"/>
  <c r="DF364" i="1"/>
  <c r="DN195" i="1"/>
  <c r="DN272" i="1"/>
  <c r="DN278" i="1"/>
  <c r="CK321" i="1"/>
  <c r="CK325" i="1"/>
  <c r="CK317" i="1"/>
  <c r="CK329" i="1"/>
  <c r="CK200" i="1"/>
  <c r="CK184" i="1"/>
  <c r="CK201" i="1" s="1"/>
  <c r="BE200" i="1"/>
  <c r="BE184" i="1"/>
  <c r="BE201" i="1" s="1"/>
  <c r="DK116" i="1"/>
  <c r="BC200" i="1"/>
  <c r="BC184" i="1"/>
  <c r="BC201" i="1" s="1"/>
  <c r="ES179" i="1"/>
  <c r="ES82" i="1"/>
  <c r="ES83" i="1" s="1"/>
  <c r="ES80" i="1"/>
  <c r="ES81" i="1"/>
  <c r="DY121" i="1"/>
  <c r="DY123" i="1" s="1"/>
  <c r="DV377" i="1"/>
  <c r="DV319" i="1"/>
  <c r="DV315" i="1"/>
  <c r="DV323" i="1"/>
  <c r="DV199" i="1"/>
  <c r="DV327" i="1"/>
  <c r="DQ188" i="1"/>
  <c r="DQ141" i="1"/>
  <c r="DR145" i="1"/>
  <c r="DR144" i="1"/>
  <c r="DR148" i="1"/>
  <c r="DR170" i="1"/>
  <c r="DR209" i="1" s="1"/>
  <c r="DG316" i="1"/>
  <c r="CP325" i="1"/>
  <c r="CP329" i="1"/>
  <c r="CP317" i="1"/>
  <c r="CP321" i="1"/>
  <c r="CP184" i="1"/>
  <c r="CP201" i="1" s="1"/>
  <c r="CP200" i="1"/>
  <c r="CH319" i="1"/>
  <c r="CH323" i="1"/>
  <c r="CH315" i="1"/>
  <c r="CH327" i="1"/>
  <c r="CH199" i="1"/>
  <c r="EC118" i="1"/>
  <c r="DQ376" i="1"/>
  <c r="DQ263" i="1"/>
  <c r="DQ197" i="1"/>
  <c r="DQ191" i="1"/>
  <c r="DQ198" i="1"/>
  <c r="DQ202" i="1"/>
  <c r="DQ192" i="1"/>
  <c r="DQ194" i="1"/>
  <c r="DQ203" i="1"/>
  <c r="DQ196" i="1"/>
  <c r="BO145" i="1"/>
  <c r="BO144" i="1"/>
  <c r="BO148" i="1"/>
  <c r="BS143" i="1"/>
  <c r="BO170" i="1"/>
  <c r="AA148" i="1"/>
  <c r="AA145" i="1"/>
  <c r="AA144" i="1"/>
  <c r="BJ148" i="1"/>
  <c r="BJ145" i="1"/>
  <c r="BJ144" i="1"/>
  <c r="BJ170" i="1"/>
  <c r="AX189" i="1"/>
  <c r="AX206" i="1" s="1"/>
  <c r="AX148" i="1"/>
  <c r="AX149" i="1" s="1"/>
  <c r="AX145" i="1"/>
  <c r="AX146" i="1" s="1"/>
  <c r="AX144" i="1"/>
  <c r="AK200" i="1"/>
  <c r="AK184" i="1"/>
  <c r="AK201" i="1" s="1"/>
  <c r="AI118" i="1"/>
  <c r="EA178" i="1"/>
  <c r="EA193" i="1"/>
  <c r="EM195" i="1"/>
  <c r="EM272" i="1"/>
  <c r="ER272" i="1" s="1"/>
  <c r="EM278" i="1"/>
  <c r="DF141" i="1"/>
  <c r="DF143" i="1"/>
  <c r="DD188" i="1"/>
  <c r="DD143" i="1"/>
  <c r="DD141" i="1"/>
  <c r="CJ189" i="1"/>
  <c r="CJ206" i="1" s="1"/>
  <c r="CJ170" i="1"/>
  <c r="CJ145" i="1"/>
  <c r="CJ146" i="1" s="1"/>
  <c r="CJ144" i="1"/>
  <c r="CJ148" i="1"/>
  <c r="CJ149" i="1" s="1"/>
  <c r="BP200" i="1"/>
  <c r="BP184" i="1"/>
  <c r="BP201" i="1" s="1"/>
  <c r="DH278" i="1"/>
  <c r="DH195" i="1"/>
  <c r="DH272" i="1"/>
  <c r="DL105" i="1"/>
  <c r="EL263" i="1"/>
  <c r="EL251" i="1"/>
  <c r="EQ251" i="1" s="1"/>
  <c r="EQ250" i="1" s="1"/>
  <c r="EL197" i="1"/>
  <c r="EL191" i="1"/>
  <c r="EL198" i="1"/>
  <c r="EL196" i="1"/>
  <c r="EL192" i="1"/>
  <c r="EL194" i="1"/>
  <c r="EL203" i="1"/>
  <c r="EL202" i="1"/>
  <c r="EL204" i="1"/>
  <c r="V148" i="1"/>
  <c r="V145" i="1"/>
  <c r="V144" i="1"/>
  <c r="Z143" i="1"/>
  <c r="BQ200" i="1"/>
  <c r="BQ184" i="1"/>
  <c r="BQ201" i="1" s="1"/>
  <c r="BT143" i="1"/>
  <c r="BV189" i="1" s="1"/>
  <c r="BV206" i="1" s="1"/>
  <c r="AF118" i="1"/>
  <c r="DW188" i="1"/>
  <c r="DW205" i="1" s="1"/>
  <c r="DW143" i="1"/>
  <c r="DW141" i="1"/>
  <c r="DS188" i="1"/>
  <c r="DS205" i="1" s="1"/>
  <c r="DS143" i="1"/>
  <c r="DS141" i="1"/>
  <c r="BW200" i="1"/>
  <c r="BW184" i="1"/>
  <c r="BW201" i="1" s="1"/>
  <c r="EH118" i="1"/>
  <c r="DN145" i="1"/>
  <c r="DN144" i="1"/>
  <c r="DN148" i="1"/>
  <c r="DN170" i="1"/>
  <c r="DN209" i="1" s="1"/>
  <c r="DN216" i="1" s="1"/>
  <c r="ET268" i="1"/>
  <c r="ES130" i="1"/>
  <c r="ES131" i="1" s="1"/>
  <c r="ED278" i="1"/>
  <c r="ED195" i="1"/>
  <c r="ED272" i="1"/>
  <c r="DV51" i="1"/>
  <c r="BU148" i="1"/>
  <c r="BU145" i="1"/>
  <c r="BU144" i="1"/>
  <c r="BU170" i="1"/>
  <c r="EK316" i="1"/>
  <c r="EK204" i="1"/>
  <c r="EE195" i="1"/>
  <c r="EE278" i="1"/>
  <c r="EE272" i="1"/>
  <c r="BV148" i="1"/>
  <c r="BV145" i="1"/>
  <c r="BV144" i="1"/>
  <c r="BV170" i="1"/>
  <c r="N148" i="1"/>
  <c r="N145" i="1"/>
  <c r="N144" i="1"/>
  <c r="BY189" i="1"/>
  <c r="BY206" i="1" s="1"/>
  <c r="BY148" i="1"/>
  <c r="BY145" i="1"/>
  <c r="BY144" i="1"/>
  <c r="CC143" i="1"/>
  <c r="BY170" i="1"/>
  <c r="CN189" i="1"/>
  <c r="CN206" i="1" s="1"/>
  <c r="CN170" i="1"/>
  <c r="CN145" i="1"/>
  <c r="CN144" i="1"/>
  <c r="CR143" i="1"/>
  <c r="CN148" i="1"/>
  <c r="CN149" i="1" s="1"/>
  <c r="CB325" i="1"/>
  <c r="CB200" i="1"/>
  <c r="CB184" i="1"/>
  <c r="CB201" i="1" s="1"/>
  <c r="G148" i="1"/>
  <c r="G149" i="1" s="1"/>
  <c r="G145" i="1"/>
  <c r="G144" i="1"/>
  <c r="DV103" i="1"/>
  <c r="CT376" i="1"/>
  <c r="CT197" i="1"/>
  <c r="CT191" i="1"/>
  <c r="CT251" i="1"/>
  <c r="CT263" i="1"/>
  <c r="CT194" i="1"/>
  <c r="CT193" i="1"/>
  <c r="CT202" i="1"/>
  <c r="CT196" i="1"/>
  <c r="CT192" i="1"/>
  <c r="CT198" i="1"/>
  <c r="CT203" i="1"/>
  <c r="BA189" i="1"/>
  <c r="BA206" i="1" s="1"/>
  <c r="BA148" i="1"/>
  <c r="BA145" i="1"/>
  <c r="BA146" i="1" s="1"/>
  <c r="BA144" i="1"/>
  <c r="CV182" i="1"/>
  <c r="CV115" i="1"/>
  <c r="CV113" i="1"/>
  <c r="CV112" i="1"/>
  <c r="CV140" i="1"/>
  <c r="DA112" i="1"/>
  <c r="EF105" i="1"/>
  <c r="EH278" i="1"/>
  <c r="EH195" i="1"/>
  <c r="EH272" i="1"/>
  <c r="AP189" i="1"/>
  <c r="AP206" i="1" s="1"/>
  <c r="AP148" i="1"/>
  <c r="AP144" i="1"/>
  <c r="AP145" i="1"/>
  <c r="AT143" i="1"/>
  <c r="EK182" i="1"/>
  <c r="EK115" i="1"/>
  <c r="EK140" i="1"/>
  <c r="EK121" i="1"/>
  <c r="EK123" i="1" s="1"/>
  <c r="G50" i="363" s="1"/>
  <c r="EK113" i="1"/>
  <c r="EK112" i="1"/>
  <c r="DZ251" i="1"/>
  <c r="DZ263" i="1"/>
  <c r="DZ197" i="1"/>
  <c r="DZ191" i="1"/>
  <c r="DZ192" i="1"/>
  <c r="DZ194" i="1"/>
  <c r="DZ196" i="1"/>
  <c r="DZ198" i="1"/>
  <c r="DZ202" i="1"/>
  <c r="DZ203" i="1"/>
  <c r="DZ204" i="1"/>
  <c r="BI327" i="1"/>
  <c r="BI319" i="1"/>
  <c r="BI315" i="1"/>
  <c r="BI323" i="1"/>
  <c r="BI199" i="1"/>
  <c r="DX188" i="1"/>
  <c r="DX205" i="1" s="1"/>
  <c r="DX143" i="1"/>
  <c r="DX141" i="1"/>
  <c r="DX116" i="1"/>
  <c r="AF145" i="1"/>
  <c r="AF144" i="1"/>
  <c r="AJ143" i="1"/>
  <c r="AF148" i="1"/>
  <c r="CI329" i="1"/>
  <c r="CI321" i="1"/>
  <c r="CI325" i="1"/>
  <c r="CI317" i="1"/>
  <c r="CI200" i="1"/>
  <c r="CI184" i="1"/>
  <c r="CI201" i="1" s="1"/>
  <c r="DY195" i="1"/>
  <c r="EA376" i="1"/>
  <c r="EA251" i="1"/>
  <c r="EA197" i="1"/>
  <c r="EA191" i="1"/>
  <c r="EA192" i="1"/>
  <c r="EA194" i="1"/>
  <c r="EA203" i="1"/>
  <c r="EA263" i="1"/>
  <c r="EA202" i="1"/>
  <c r="EA198" i="1"/>
  <c r="EA196" i="1"/>
  <c r="DJ376" i="1"/>
  <c r="DJ251" i="1"/>
  <c r="DJ263" i="1"/>
  <c r="DJ197" i="1"/>
  <c r="DJ191" i="1"/>
  <c r="DJ198" i="1"/>
  <c r="DJ202" i="1"/>
  <c r="DJ203" i="1"/>
  <c r="DJ194" i="1"/>
  <c r="DJ196" i="1"/>
  <c r="DJ192" i="1"/>
  <c r="DJ204" i="1"/>
  <c r="DK376" i="1"/>
  <c r="DK251" i="1"/>
  <c r="DK263" i="1"/>
  <c r="DK198" i="1"/>
  <c r="DK194" i="1"/>
  <c r="DK197" i="1"/>
  <c r="DK196" i="1"/>
  <c r="DK191" i="1"/>
  <c r="DK202" i="1"/>
  <c r="DK203" i="1"/>
  <c r="DK204" i="1"/>
  <c r="DK192" i="1"/>
  <c r="DL174" i="1"/>
  <c r="DL110" i="1"/>
  <c r="DL222" i="1"/>
  <c r="CT204" i="1"/>
  <c r="DQ204" i="1"/>
  <c r="EZ212" i="1"/>
  <c r="EZ223" i="1"/>
  <c r="EZ259" i="1"/>
  <c r="AX118" i="1"/>
  <c r="CC183" i="1"/>
  <c r="CC117" i="1"/>
  <c r="CC118" i="1" s="1"/>
  <c r="CC114" i="1"/>
  <c r="CR116" i="1"/>
  <c r="FI53" i="1"/>
  <c r="AY188" i="1"/>
  <c r="AY205" i="1" s="1"/>
  <c r="AY141" i="1"/>
  <c r="CH95" i="1"/>
  <c r="ET175" i="1"/>
  <c r="ET34" i="1"/>
  <c r="ET21" i="1"/>
  <c r="DE118" i="1"/>
  <c r="BM183" i="1"/>
  <c r="AR189" i="1"/>
  <c r="AR206" i="1" s="1"/>
  <c r="AR148" i="1"/>
  <c r="AR149" i="1" s="1"/>
  <c r="AR145" i="1"/>
  <c r="AR146" i="1" s="1"/>
  <c r="AR144" i="1"/>
  <c r="BE189" i="1"/>
  <c r="BE206" i="1" s="1"/>
  <c r="BE148" i="1"/>
  <c r="BE145" i="1"/>
  <c r="BE144" i="1"/>
  <c r="R21" i="363"/>
  <c r="DR118" i="1"/>
  <c r="Q21" i="363"/>
  <c r="EH188" i="1"/>
  <c r="EH205" i="1" s="1"/>
  <c r="CL189" i="1"/>
  <c r="CL206" i="1" s="1"/>
  <c r="CL145" i="1"/>
  <c r="CL146" i="1" s="1"/>
  <c r="CL148" i="1"/>
  <c r="CL149" i="1" s="1"/>
  <c r="CL144" i="1"/>
  <c r="CL170" i="1"/>
  <c r="O21" i="363"/>
  <c r="BL143" i="1"/>
  <c r="T115" i="1"/>
  <c r="T113" i="1"/>
  <c r="T140" i="1"/>
  <c r="T112" i="1"/>
  <c r="Y112" i="1"/>
  <c r="U111" i="1"/>
  <c r="DM121" i="1"/>
  <c r="DM123" i="1" s="1"/>
  <c r="DI182" i="1"/>
  <c r="DA376" i="1"/>
  <c r="DA197" i="1"/>
  <c r="DA191" i="1"/>
  <c r="DA202" i="1"/>
  <c r="DA251" i="1"/>
  <c r="DA193" i="1"/>
  <c r="DA196" i="1"/>
  <c r="DA192" i="1"/>
  <c r="DA263" i="1"/>
  <c r="DA194" i="1"/>
  <c r="DA203" i="1"/>
  <c r="DA198" i="1"/>
  <c r="CX376" i="1"/>
  <c r="CX197" i="1"/>
  <c r="CX191" i="1"/>
  <c r="CX263" i="1"/>
  <c r="CX251" i="1"/>
  <c r="CX196" i="1"/>
  <c r="CX193" i="1"/>
  <c r="CX202" i="1"/>
  <c r="CX203" i="1"/>
  <c r="CX198" i="1"/>
  <c r="CX194" i="1"/>
  <c r="CX192" i="1"/>
  <c r="EB183" i="1"/>
  <c r="EF113" i="1"/>
  <c r="EB117" i="1"/>
  <c r="EG118" i="1" s="1"/>
  <c r="EB114" i="1"/>
  <c r="EB182" i="1"/>
  <c r="EB199" i="1" s="1"/>
  <c r="DT183" i="1"/>
  <c r="DT117" i="1"/>
  <c r="DT118" i="1" s="1"/>
  <c r="DT114" i="1"/>
  <c r="BD183" i="1"/>
  <c r="BD117" i="1"/>
  <c r="BD118" i="1" s="1"/>
  <c r="BD114" i="1"/>
  <c r="AB145" i="1"/>
  <c r="AB144" i="1"/>
  <c r="AB148" i="1"/>
  <c r="EM263" i="1"/>
  <c r="EM251" i="1"/>
  <c r="ER251" i="1" s="1"/>
  <c r="EM191" i="1"/>
  <c r="EM198" i="1"/>
  <c r="EM197" i="1"/>
  <c r="EM196" i="1"/>
  <c r="EM203" i="1"/>
  <c r="EM192" i="1"/>
  <c r="EM204" i="1"/>
  <c r="EM202" i="1"/>
  <c r="EM194" i="1"/>
  <c r="G118" i="1"/>
  <c r="EU14" i="1"/>
  <c r="EZ13" i="1"/>
  <c r="FE13" i="1" s="1"/>
  <c r="DW195" i="1"/>
  <c r="DW278" i="1"/>
  <c r="EO182" i="1"/>
  <c r="EO199" i="1" s="1"/>
  <c r="EO113" i="1"/>
  <c r="EO140" i="1"/>
  <c r="EO115" i="1"/>
  <c r="DA148" i="1"/>
  <c r="DA145" i="1"/>
  <c r="DA170" i="1"/>
  <c r="DA209" i="1" s="1"/>
  <c r="DA216" i="1" s="1"/>
  <c r="BP116" i="1"/>
  <c r="DN193" i="1"/>
  <c r="AP118" i="1"/>
  <c r="BI113" i="1"/>
  <c r="AV184" i="1"/>
  <c r="AV201" i="1" s="1"/>
  <c r="AV200" i="1"/>
  <c r="EE183" i="1"/>
  <c r="EE117" i="1"/>
  <c r="EE118" i="1" s="1"/>
  <c r="EE114" i="1"/>
  <c r="DK188" i="1"/>
  <c r="DK143" i="1"/>
  <c r="DK141" i="1"/>
  <c r="CQ189" i="1"/>
  <c r="CQ206" i="1" s="1"/>
  <c r="CQ145" i="1"/>
  <c r="CQ146" i="1" s="1"/>
  <c r="CQ144" i="1"/>
  <c r="CQ148" i="1"/>
  <c r="CQ170" i="1"/>
  <c r="AQ118" i="1"/>
  <c r="EQ194" i="1"/>
  <c r="DQ377" i="1"/>
  <c r="DL386" i="1" s="1"/>
  <c r="DQ323" i="1"/>
  <c r="DQ319" i="1"/>
  <c r="DQ315" i="1"/>
  <c r="DQ199" i="1"/>
  <c r="DQ327" i="1"/>
  <c r="EP344" i="1"/>
  <c r="EU344" i="1"/>
  <c r="EZ344" i="1" s="1"/>
  <c r="FE344" i="1" s="1"/>
  <c r="EU152" i="1"/>
  <c r="EZ151" i="1"/>
  <c r="T28" i="363"/>
  <c r="EI272" i="1"/>
  <c r="EI195" i="1"/>
  <c r="EI278" i="1"/>
  <c r="ES175" i="1"/>
  <c r="ES34" i="1"/>
  <c r="ES21" i="1"/>
  <c r="BS188" i="1"/>
  <c r="BS205" i="1" s="1"/>
  <c r="BS141" i="1"/>
  <c r="AE117" i="1"/>
  <c r="AE118" i="1" s="1"/>
  <c r="AE114" i="1"/>
  <c r="DF195" i="1"/>
  <c r="DF272" i="1"/>
  <c r="DF278" i="1"/>
  <c r="DU145" i="1"/>
  <c r="DU148" i="1"/>
  <c r="DU170" i="1"/>
  <c r="DU209" i="1" s="1"/>
  <c r="DU216" i="1" s="1"/>
  <c r="CS182" i="1"/>
  <c r="CS115" i="1"/>
  <c r="CS116" i="1" s="1"/>
  <c r="CS113" i="1"/>
  <c r="CU183" i="1" s="1"/>
  <c r="CS112" i="1"/>
  <c r="CW111" i="1"/>
  <c r="CS140" i="1"/>
  <c r="CC327" i="1"/>
  <c r="CC319" i="1"/>
  <c r="CC323" i="1"/>
  <c r="CC315" i="1"/>
  <c r="CC199" i="1"/>
  <c r="AO183" i="1"/>
  <c r="AO117" i="1"/>
  <c r="AO114" i="1"/>
  <c r="I148" i="1"/>
  <c r="I149" i="1" s="1"/>
  <c r="I145" i="1"/>
  <c r="I146" i="1" s="1"/>
  <c r="I144" i="1"/>
  <c r="CU188" i="1"/>
  <c r="CU141" i="1"/>
  <c r="CU143" i="1"/>
  <c r="CZ144" i="1" s="1"/>
  <c r="CW75" i="1"/>
  <c r="CW223" i="1"/>
  <c r="BB189" i="1"/>
  <c r="BB206" i="1" s="1"/>
  <c r="BB148" i="1"/>
  <c r="BB149" i="1" s="1"/>
  <c r="BB145" i="1"/>
  <c r="BB146" i="1" s="1"/>
  <c r="BB144" i="1"/>
  <c r="BM148" i="1"/>
  <c r="BM145" i="1"/>
  <c r="BM144" i="1"/>
  <c r="BM170" i="1"/>
  <c r="DD377" i="1"/>
  <c r="DD323" i="1"/>
  <c r="DD327" i="1"/>
  <c r="DD319" i="1"/>
  <c r="DD315" i="1"/>
  <c r="DD199" i="1"/>
  <c r="AN118" i="1"/>
  <c r="AD141" i="1"/>
  <c r="AD143" i="1"/>
  <c r="AE143" i="1" s="1"/>
  <c r="DL103" i="1"/>
  <c r="DL178" i="1"/>
  <c r="DL193" i="1"/>
  <c r="CO189" i="1"/>
  <c r="CO206" i="1" s="1"/>
  <c r="CO148" i="1"/>
  <c r="CO149" i="1" s="1"/>
  <c r="CO145" i="1"/>
  <c r="CO146" i="1" s="1"/>
  <c r="CO144" i="1"/>
  <c r="CO170" i="1"/>
  <c r="CG325" i="1"/>
  <c r="CG200" i="1"/>
  <c r="CG184" i="1"/>
  <c r="CG201" i="1" s="1"/>
  <c r="DW183" i="1"/>
  <c r="EA113" i="1"/>
  <c r="DW117" i="1"/>
  <c r="DW118" i="1" s="1"/>
  <c r="DW114" i="1"/>
  <c r="CM116" i="1"/>
  <c r="AQ189" i="1"/>
  <c r="AQ206" i="1" s="1"/>
  <c r="AQ148" i="1"/>
  <c r="AQ145" i="1"/>
  <c r="AQ144" i="1"/>
  <c r="O140" i="1"/>
  <c r="O115" i="1"/>
  <c r="O116" i="1" s="1"/>
  <c r="O113" i="1"/>
  <c r="O112" i="1"/>
  <c r="P111" i="1"/>
  <c r="EH200" i="1"/>
  <c r="EH184" i="1"/>
  <c r="EH201" i="1" s="1"/>
  <c r="EZ282" i="1"/>
  <c r="DQ105" i="1"/>
  <c r="CL118" i="1"/>
  <c r="BF189" i="1"/>
  <c r="BF206" i="1" s="1"/>
  <c r="BF148" i="1"/>
  <c r="BF149" i="1" s="1"/>
  <c r="BF145" i="1"/>
  <c r="BF146" i="1" s="1"/>
  <c r="BF144" i="1"/>
  <c r="J117" i="1"/>
  <c r="J118" i="1" s="1"/>
  <c r="J114" i="1"/>
  <c r="CS204" i="1"/>
  <c r="DB316" i="1"/>
  <c r="DB204" i="1"/>
  <c r="CR195" i="1"/>
  <c r="CR272" i="1"/>
  <c r="CR278" i="1"/>
  <c r="ED183" i="1"/>
  <c r="ED117" i="1"/>
  <c r="ED114" i="1"/>
  <c r="AL189" i="1"/>
  <c r="AL206" i="1" s="1"/>
  <c r="AL148" i="1"/>
  <c r="AL149" i="1" s="1"/>
  <c r="AL145" i="1"/>
  <c r="AL146" i="1" s="1"/>
  <c r="AL144" i="1"/>
  <c r="K116" i="1"/>
  <c r="EA51" i="1"/>
  <c r="BG188" i="1"/>
  <c r="BG205" i="1" s="1"/>
  <c r="BG143" i="1"/>
  <c r="BI143" i="1" s="1"/>
  <c r="BG141" i="1"/>
  <c r="DV107" i="1"/>
  <c r="BZ189" i="1"/>
  <c r="BZ206" i="1" s="1"/>
  <c r="BZ148" i="1"/>
  <c r="BZ149" i="1" s="1"/>
  <c r="BZ145" i="1"/>
  <c r="BZ146" i="1" s="1"/>
  <c r="BZ144" i="1"/>
  <c r="BZ170" i="1"/>
  <c r="R148" i="1"/>
  <c r="R149" i="1" s="1"/>
  <c r="R144" i="1"/>
  <c r="R145" i="1"/>
  <c r="R146" i="1" s="1"/>
  <c r="CV376" i="1"/>
  <c r="CV197" i="1"/>
  <c r="CV191" i="1"/>
  <c r="CV251" i="1"/>
  <c r="CV194" i="1"/>
  <c r="CV203" i="1"/>
  <c r="CV196" i="1"/>
  <c r="CV198" i="1"/>
  <c r="CV192" i="1"/>
  <c r="CV202" i="1"/>
  <c r="CV263" i="1"/>
  <c r="CV193" i="1"/>
  <c r="CF189" i="1"/>
  <c r="CF206" i="1" s="1"/>
  <c r="CF170" i="1"/>
  <c r="CF148" i="1"/>
  <c r="CF149" i="1" s="1"/>
  <c r="CF145" i="1"/>
  <c r="CF144" i="1"/>
  <c r="AN189" i="1"/>
  <c r="AN206" i="1" s="1"/>
  <c r="AN145" i="1"/>
  <c r="AN146" i="1" s="1"/>
  <c r="AN144" i="1"/>
  <c r="AN148" i="1"/>
  <c r="AN149" i="1" s="1"/>
  <c r="EF103" i="1"/>
  <c r="F44" i="363" s="1"/>
  <c r="EF178" i="1"/>
  <c r="EF193" i="1"/>
  <c r="EK376" i="1"/>
  <c r="EK197" i="1"/>
  <c r="EK191" i="1"/>
  <c r="EK203" i="1"/>
  <c r="EK263" i="1"/>
  <c r="EK194" i="1"/>
  <c r="EK198" i="1"/>
  <c r="EK192" i="1"/>
  <c r="EK251" i="1"/>
  <c r="EK196" i="1"/>
  <c r="DP188" i="1"/>
  <c r="DP205" i="1" s="1"/>
  <c r="DP143" i="1"/>
  <c r="DP141" i="1"/>
  <c r="BH145" i="1"/>
  <c r="BH144" i="1"/>
  <c r="BH148" i="1"/>
  <c r="EZ7" i="1"/>
  <c r="EZ4" i="1"/>
  <c r="EZ5" i="1" s="1"/>
  <c r="I37" i="363" s="1"/>
  <c r="CY145" i="1"/>
  <c r="CY148" i="1"/>
  <c r="CY170" i="1"/>
  <c r="CY209" i="1" s="1"/>
  <c r="CY216" i="1" s="1"/>
  <c r="CM183" i="1"/>
  <c r="CM117" i="1"/>
  <c r="CM118" i="1" s="1"/>
  <c r="CM114" i="1"/>
  <c r="EZ68" i="1"/>
  <c r="EU69" i="1"/>
  <c r="DN118" i="1"/>
  <c r="EK103" i="1"/>
  <c r="G44" i="363" s="1"/>
  <c r="EU365" i="1"/>
  <c r="EZ365" i="1" s="1"/>
  <c r="FE365" i="1" s="1"/>
  <c r="EP365" i="1"/>
  <c r="ET187" i="1"/>
  <c r="ET137" i="1"/>
  <c r="ET138" i="1" s="1"/>
  <c r="DM263" i="1"/>
  <c r="DM251" i="1"/>
  <c r="DM197" i="1"/>
  <c r="DM191" i="1"/>
  <c r="DM196" i="1"/>
  <c r="DM198" i="1"/>
  <c r="DM202" i="1"/>
  <c r="DM203" i="1"/>
  <c r="DM194" i="1"/>
  <c r="DM204" i="1"/>
  <c r="DM192" i="1"/>
  <c r="DM193" i="1"/>
  <c r="CD325" i="1"/>
  <c r="CD200" i="1"/>
  <c r="CD184" i="1"/>
  <c r="CD201" i="1" s="1"/>
  <c r="EN182" i="1"/>
  <c r="EN199" i="1" s="1"/>
  <c r="EN113" i="1"/>
  <c r="EN140" i="1"/>
  <c r="EN115" i="1"/>
  <c r="DH376" i="1"/>
  <c r="DH263" i="1"/>
  <c r="DH251" i="1"/>
  <c r="DH197" i="1"/>
  <c r="DH191" i="1"/>
  <c r="DH198" i="1"/>
  <c r="DH202" i="1"/>
  <c r="DH192" i="1"/>
  <c r="DH196" i="1"/>
  <c r="DH203" i="1"/>
  <c r="DH194" i="1"/>
  <c r="DH204" i="1"/>
  <c r="BO184" i="1"/>
  <c r="BO201" i="1" s="1"/>
  <c r="BO200" i="1"/>
  <c r="BK188" i="1"/>
  <c r="BK205" i="1" s="1"/>
  <c r="BK143" i="1"/>
  <c r="BN143" i="1" s="1"/>
  <c r="BK141" i="1"/>
  <c r="FE210" i="1"/>
  <c r="FE181" i="1"/>
  <c r="FE76" i="1"/>
  <c r="FE77" i="1" s="1"/>
  <c r="FS78" i="1"/>
  <c r="V17" i="363"/>
  <c r="DZ188" i="1"/>
  <c r="DZ205" i="1" s="1"/>
  <c r="DZ143" i="1"/>
  <c r="DZ141" i="1"/>
  <c r="AX200" i="1"/>
  <c r="AX184" i="1"/>
  <c r="AX201" i="1" s="1"/>
  <c r="DU114" i="1"/>
  <c r="AW118" i="1"/>
  <c r="AO188" i="1"/>
  <c r="AO205" i="1" s="1"/>
  <c r="AO141" i="1"/>
  <c r="CR323" i="1"/>
  <c r="CR327" i="1"/>
  <c r="CR315" i="1"/>
  <c r="CR319" i="1"/>
  <c r="CR199" i="1"/>
  <c r="BD319" i="1"/>
  <c r="BD323" i="1"/>
  <c r="BD315" i="1"/>
  <c r="BD327" i="1"/>
  <c r="BD199" i="1"/>
  <c r="CA325" i="1"/>
  <c r="CA184" i="1"/>
  <c r="CA201" i="1" s="1"/>
  <c r="CA200" i="1"/>
  <c r="AY319" i="1"/>
  <c r="AY323" i="1"/>
  <c r="AY315" i="1"/>
  <c r="AY327" i="1"/>
  <c r="AY199" i="1"/>
  <c r="CV204" i="1"/>
  <c r="CW195" i="1"/>
  <c r="CW278" i="1"/>
  <c r="BB118" i="1"/>
  <c r="DM145" i="1"/>
  <c r="DQ143" i="1"/>
  <c r="DM148" i="1"/>
  <c r="DM170" i="1"/>
  <c r="DM209" i="1" s="1"/>
  <c r="BP189" i="1"/>
  <c r="BP206" i="1" s="1"/>
  <c r="BP145" i="1"/>
  <c r="BP148" i="1"/>
  <c r="BP170" i="1"/>
  <c r="DG37" i="1"/>
  <c r="EU229" i="1"/>
  <c r="BR189" i="1"/>
  <c r="BR206" i="1" s="1"/>
  <c r="BR145" i="1"/>
  <c r="BR148" i="1"/>
  <c r="BR149" i="1" s="1"/>
  <c r="BR144" i="1"/>
  <c r="BR170" i="1"/>
  <c r="V118" i="1"/>
  <c r="BQ189" i="1"/>
  <c r="BQ206" i="1" s="1"/>
  <c r="BQ148" i="1"/>
  <c r="BQ145" i="1"/>
  <c r="BQ144" i="1"/>
  <c r="BQ170" i="1"/>
  <c r="EI183" i="1"/>
  <c r="EI117" i="1"/>
  <c r="EI118" i="1" s="1"/>
  <c r="EI114" i="1"/>
  <c r="DV113" i="1"/>
  <c r="EN195" i="1"/>
  <c r="DJ272" i="1"/>
  <c r="DJ195" i="1"/>
  <c r="DJ278" i="1"/>
  <c r="AH148" i="1"/>
  <c r="AH149" i="1" s="1"/>
  <c r="AH144" i="1"/>
  <c r="AH145" i="1"/>
  <c r="EP174" i="1"/>
  <c r="EP193" i="1" s="1"/>
  <c r="EP111" i="1"/>
  <c r="EP222" i="1"/>
  <c r="EC145" i="1"/>
  <c r="EC144" i="1"/>
  <c r="EC148" i="1"/>
  <c r="EC170" i="1"/>
  <c r="EC209" i="1" s="1"/>
  <c r="EC216" i="1" s="1"/>
  <c r="CZ145" i="1"/>
  <c r="CZ148" i="1"/>
  <c r="CZ170" i="1"/>
  <c r="CZ209" i="1" s="1"/>
  <c r="CZ216" i="1" s="1"/>
  <c r="BL188" i="1"/>
  <c r="BL205" i="1" s="1"/>
  <c r="EQ49" i="1"/>
  <c r="EQ47" i="1"/>
  <c r="EQ43" i="1"/>
  <c r="DK193" i="1"/>
  <c r="CX182" i="1"/>
  <c r="CX140" i="1"/>
  <c r="CX115" i="1"/>
  <c r="CX116" i="1" s="1"/>
  <c r="CX113" i="1"/>
  <c r="CX112" i="1"/>
  <c r="DB111" i="1"/>
  <c r="CY182" i="1"/>
  <c r="CZ182" i="1"/>
  <c r="DA182" i="1"/>
  <c r="N118" i="1"/>
  <c r="EG183" i="1"/>
  <c r="EB116" i="1"/>
  <c r="DT188" i="1"/>
  <c r="DT205" i="1" s="1"/>
  <c r="DT143" i="1"/>
  <c r="DU189" i="1" s="1"/>
  <c r="DU206" i="1" s="1"/>
  <c r="DT141" i="1"/>
  <c r="DT116" i="1"/>
  <c r="CN118" i="1"/>
  <c r="S118" i="1"/>
  <c r="AJ242" i="1"/>
  <c r="AJ243" i="1" s="1"/>
  <c r="AE246" i="1"/>
  <c r="CY204" i="1"/>
  <c r="DR195" i="1"/>
  <c r="DR272" i="1"/>
  <c r="DR278" i="1"/>
  <c r="R118" i="1"/>
  <c r="EO263" i="1"/>
  <c r="EO251" i="1"/>
  <c r="ET251" i="1" s="1"/>
  <c r="EO197" i="1"/>
  <c r="EO191" i="1"/>
  <c r="EO196" i="1"/>
  <c r="EO202" i="1"/>
  <c r="EO203" i="1"/>
  <c r="EO198" i="1"/>
  <c r="EO194" i="1"/>
  <c r="EO193" i="1"/>
  <c r="EO204" i="1"/>
  <c r="EO192" i="1"/>
  <c r="BA200" i="1"/>
  <c r="BA184" i="1"/>
  <c r="BA201" i="1" s="1"/>
  <c r="EJ183" i="1"/>
  <c r="EJ117" i="1"/>
  <c r="EJ118" i="1" s="1"/>
  <c r="EJ114" i="1"/>
  <c r="DF376" i="1"/>
  <c r="DF251" i="1"/>
  <c r="DF197" i="1"/>
  <c r="DF191" i="1"/>
  <c r="DF263" i="1"/>
  <c r="DF203" i="1"/>
  <c r="DF194" i="1"/>
  <c r="DF202" i="1"/>
  <c r="DF196" i="1"/>
  <c r="DF192" i="1"/>
  <c r="DF204" i="1"/>
  <c r="DF198" i="1"/>
  <c r="DG174" i="1"/>
  <c r="DG204" i="1" s="1"/>
  <c r="DG110" i="1"/>
  <c r="DG222" i="1"/>
  <c r="ER45" i="1"/>
  <c r="ER46" i="1" s="1"/>
  <c r="ER44" i="1"/>
  <c r="ER39" i="1"/>
  <c r="EZ274" i="1"/>
  <c r="FE274" i="1" s="1"/>
  <c r="FJ53" i="1"/>
  <c r="AP200" i="1"/>
  <c r="AP184" i="1"/>
  <c r="AP201" i="1" s="1"/>
  <c r="BH183" i="1"/>
  <c r="EE116" i="1"/>
  <c r="BC189" i="1"/>
  <c r="BC206" i="1" s="1"/>
  <c r="BC145" i="1"/>
  <c r="BC144" i="1"/>
  <c r="BC148" i="1"/>
  <c r="BC149" i="1" s="1"/>
  <c r="AQ184" i="1"/>
  <c r="AQ201" i="1" s="1"/>
  <c r="AQ200" i="1"/>
  <c r="AJ188" i="1"/>
  <c r="AJ205" i="1" s="1"/>
  <c r="AJ141" i="1"/>
  <c r="BW145" i="1"/>
  <c r="BW146" i="1" s="1"/>
  <c r="BW144" i="1"/>
  <c r="BW148" i="1"/>
  <c r="BW170" i="1"/>
  <c r="W145" i="1"/>
  <c r="W146" i="1" s="1"/>
  <c r="W144" i="1"/>
  <c r="W148" i="1"/>
  <c r="W149" i="1" s="1"/>
  <c r="EU79" i="1"/>
  <c r="ET156" i="1" l="1"/>
  <c r="ET157" i="1"/>
  <c r="ES232" i="1"/>
  <c r="ES239" i="1" s="1"/>
  <c r="EZ158" i="1"/>
  <c r="EU159" i="1"/>
  <c r="EU160" i="1" s="1"/>
  <c r="BA149" i="1"/>
  <c r="X149" i="1"/>
  <c r="BC146" i="1"/>
  <c r="AH146" i="1"/>
  <c r="BR146" i="1"/>
  <c r="CF146" i="1"/>
  <c r="DF183" i="1"/>
  <c r="M149" i="1"/>
  <c r="BW189" i="1"/>
  <c r="BW206" i="1" s="1"/>
  <c r="AQ149" i="1"/>
  <c r="AO118" i="1"/>
  <c r="BO189" i="1"/>
  <c r="BO206" i="1" s="1"/>
  <c r="G146" i="1"/>
  <c r="AY118" i="1"/>
  <c r="BI209" i="1"/>
  <c r="BI216" i="1" s="1"/>
  <c r="BI189" i="1"/>
  <c r="BI206" i="1" s="1"/>
  <c r="BI144" i="1"/>
  <c r="AE209" i="1"/>
  <c r="AE216" i="1" s="1"/>
  <c r="AE144" i="1"/>
  <c r="CU382" i="1"/>
  <c r="CU321" i="1"/>
  <c r="CU317" i="1"/>
  <c r="CU325" i="1"/>
  <c r="CU184" i="1"/>
  <c r="CU200" i="1"/>
  <c r="CU329" i="1"/>
  <c r="DF382" i="1"/>
  <c r="DF325" i="1"/>
  <c r="DF329" i="1"/>
  <c r="DF317" i="1"/>
  <c r="DF321" i="1"/>
  <c r="DF184" i="1"/>
  <c r="DF200" i="1"/>
  <c r="BN189" i="1"/>
  <c r="BN206" i="1" s="1"/>
  <c r="BN144" i="1"/>
  <c r="DK382" i="1"/>
  <c r="DK329" i="1"/>
  <c r="DK321" i="1"/>
  <c r="DK325" i="1"/>
  <c r="DK317" i="1"/>
  <c r="DK184" i="1"/>
  <c r="DK200" i="1"/>
  <c r="EU354" i="1"/>
  <c r="EU356" i="1" s="1"/>
  <c r="EU179" i="1"/>
  <c r="EU80" i="1"/>
  <c r="EU82" i="1"/>
  <c r="EU83" i="1" s="1"/>
  <c r="T18" i="363"/>
  <c r="T51" i="363" s="1"/>
  <c r="DA377" i="1"/>
  <c r="DA319" i="1"/>
  <c r="DA323" i="1"/>
  <c r="DA315" i="1"/>
  <c r="DA199" i="1"/>
  <c r="DA327" i="1"/>
  <c r="CX377" i="1"/>
  <c r="CX319" i="1"/>
  <c r="CX323" i="1"/>
  <c r="CX315" i="1"/>
  <c r="CX199" i="1"/>
  <c r="CX327" i="1"/>
  <c r="DZ145" i="1"/>
  <c r="DZ146" i="1" s="1"/>
  <c r="DZ144" i="1"/>
  <c r="DZ148" i="1"/>
  <c r="DZ149" i="1" s="1"/>
  <c r="DZ170" i="1"/>
  <c r="DZ209" i="1" s="1"/>
  <c r="DZ216" i="1" s="1"/>
  <c r="FE68" i="1"/>
  <c r="FE66" i="1" s="1"/>
  <c r="EZ66" i="1"/>
  <c r="DP189" i="1"/>
  <c r="DP206" i="1" s="1"/>
  <c r="DP170" i="1"/>
  <c r="DP209" i="1" s="1"/>
  <c r="DP216" i="1" s="1"/>
  <c r="DP145" i="1"/>
  <c r="DP144" i="1"/>
  <c r="DP148" i="1"/>
  <c r="P115" i="1"/>
  <c r="P116" i="1" s="1"/>
  <c r="P140" i="1"/>
  <c r="P112" i="1"/>
  <c r="O143" i="1"/>
  <c r="O141" i="1"/>
  <c r="EA183" i="1"/>
  <c r="EA114" i="1"/>
  <c r="EA117" i="1"/>
  <c r="BM146" i="1"/>
  <c r="CU379" i="1"/>
  <c r="CU205" i="1"/>
  <c r="CS188" i="1"/>
  <c r="CS143" i="1"/>
  <c r="CS141" i="1"/>
  <c r="DU144" i="1"/>
  <c r="ES269" i="1"/>
  <c r="DK379" i="1"/>
  <c r="DK205" i="1"/>
  <c r="AB149" i="1"/>
  <c r="DT200" i="1"/>
  <c r="DT184" i="1"/>
  <c r="DT201" i="1" s="1"/>
  <c r="EF183" i="1"/>
  <c r="EF117" i="1"/>
  <c r="EF114" i="1"/>
  <c r="T143" i="1"/>
  <c r="T141" i="1"/>
  <c r="O22" i="363"/>
  <c r="O56" i="363" s="1"/>
  <c r="O27" i="363"/>
  <c r="BE146" i="1"/>
  <c r="BM200" i="1"/>
  <c r="BM184" i="1"/>
  <c r="BM201" i="1" s="1"/>
  <c r="ET269" i="1"/>
  <c r="CC321" i="1"/>
  <c r="CC325" i="1"/>
  <c r="CC317" i="1"/>
  <c r="CC329" i="1"/>
  <c r="CC200" i="1"/>
  <c r="CC184" i="1"/>
  <c r="CC201" i="1" s="1"/>
  <c r="AJ148" i="1"/>
  <c r="AF149" i="1"/>
  <c r="EK116" i="1"/>
  <c r="G48" i="363"/>
  <c r="CV188" i="1"/>
  <c r="CV143" i="1"/>
  <c r="CV141" i="1"/>
  <c r="CV377" i="1"/>
  <c r="CV323" i="1"/>
  <c r="CV319" i="1"/>
  <c r="CV315" i="1"/>
  <c r="CV199" i="1"/>
  <c r="CV327" i="1"/>
  <c r="CR189" i="1"/>
  <c r="CR206" i="1" s="1"/>
  <c r="CR144" i="1"/>
  <c r="CR148" i="1"/>
  <c r="N146" i="1"/>
  <c r="BV146" i="1"/>
  <c r="BU189" i="1"/>
  <c r="BU206" i="1" s="1"/>
  <c r="DW189" i="1"/>
  <c r="DW206" i="1" s="1"/>
  <c r="DW145" i="1"/>
  <c r="DW144" i="1"/>
  <c r="DW148" i="1"/>
  <c r="DW149" i="1" s="1"/>
  <c r="DW170" i="1"/>
  <c r="DW209" i="1" s="1"/>
  <c r="V146" i="1"/>
  <c r="Z145" i="1"/>
  <c r="Z146" i="1" s="1"/>
  <c r="BS170" i="1"/>
  <c r="BS209" i="1" s="1"/>
  <c r="BS216" i="1" s="1"/>
  <c r="BO146" i="1"/>
  <c r="BS145" i="1"/>
  <c r="DR149" i="1"/>
  <c r="DC188" i="1"/>
  <c r="DC141" i="1"/>
  <c r="DC143" i="1"/>
  <c r="DD189" i="1" s="1"/>
  <c r="DC42" i="1"/>
  <c r="DE188" i="1"/>
  <c r="EB145" i="1"/>
  <c r="EB144" i="1"/>
  <c r="EF143" i="1"/>
  <c r="EB148" i="1"/>
  <c r="EB149" i="1" s="1"/>
  <c r="EB170" i="1"/>
  <c r="EB209" i="1" s="1"/>
  <c r="AK146" i="1"/>
  <c r="AO145" i="1"/>
  <c r="AM146" i="1"/>
  <c r="DH116" i="1"/>
  <c r="DM116" i="1"/>
  <c r="F151" i="1"/>
  <c r="F150" i="1"/>
  <c r="E150" i="1" s="1"/>
  <c r="DJ188" i="1"/>
  <c r="DJ143" i="1"/>
  <c r="DN189" i="1" s="1"/>
  <c r="DN206" i="1" s="1"/>
  <c r="DJ141" i="1"/>
  <c r="DN188" i="1"/>
  <c r="DN205" i="1" s="1"/>
  <c r="DM188" i="1"/>
  <c r="DM205" i="1" s="1"/>
  <c r="BX118" i="1"/>
  <c r="DX200" i="1"/>
  <c r="DX184" i="1"/>
  <c r="DX201" i="1" s="1"/>
  <c r="EZ258" i="1"/>
  <c r="EZ75" i="1" s="1"/>
  <c r="EU260" i="1"/>
  <c r="EU75" i="1"/>
  <c r="EU175" i="1"/>
  <c r="EU22" i="1"/>
  <c r="T9" i="363"/>
  <c r="EU21" i="1"/>
  <c r="EU34" i="1"/>
  <c r="ET179" i="1"/>
  <c r="ET82" i="1"/>
  <c r="ET83" i="1" s="1"/>
  <c r="ET81" i="1"/>
  <c r="ET80" i="1"/>
  <c r="DO116" i="1"/>
  <c r="EA188" i="1"/>
  <c r="EA141" i="1"/>
  <c r="EL188" i="1"/>
  <c r="EL205" i="1" s="1"/>
  <c r="EL143" i="1"/>
  <c r="EL141" i="1"/>
  <c r="DD183" i="1"/>
  <c r="DG195" i="1"/>
  <c r="DG272" i="1"/>
  <c r="DG278" i="1"/>
  <c r="CH189" i="1"/>
  <c r="CH206" i="1" s="1"/>
  <c r="CH144" i="1"/>
  <c r="AT118" i="1"/>
  <c r="EF116" i="1"/>
  <c r="F48" i="363"/>
  <c r="EF377" i="1"/>
  <c r="EF323" i="1"/>
  <c r="EF319" i="1"/>
  <c r="EF315" i="1"/>
  <c r="EF199" i="1"/>
  <c r="EF327" i="1"/>
  <c r="DI183" i="1"/>
  <c r="CG146" i="1"/>
  <c r="CE149" i="1"/>
  <c r="BJ184" i="1"/>
  <c r="BJ201" i="1" s="1"/>
  <c r="BJ200" i="1"/>
  <c r="DK364" i="1"/>
  <c r="CK149" i="1"/>
  <c r="P27" i="363"/>
  <c r="P22" i="363"/>
  <c r="P56" i="363" s="1"/>
  <c r="DE146" i="1"/>
  <c r="CT188" i="1"/>
  <c r="CT143" i="1"/>
  <c r="CT141" i="1"/>
  <c r="L146" i="1"/>
  <c r="EG144" i="1"/>
  <c r="ED116" i="1"/>
  <c r="EA364" i="1"/>
  <c r="DO200" i="1"/>
  <c r="DO184" i="1"/>
  <c r="DO201" i="1" s="1"/>
  <c r="CM189" i="1"/>
  <c r="CM206" i="1" s="1"/>
  <c r="CM144" i="1"/>
  <c r="ER99" i="1"/>
  <c r="ER40" i="1"/>
  <c r="EJ200" i="1"/>
  <c r="EJ184" i="1"/>
  <c r="EJ201" i="1" s="1"/>
  <c r="AE248" i="1"/>
  <c r="AE254" i="1"/>
  <c r="AE257" i="1" s="1"/>
  <c r="CZ377" i="1"/>
  <c r="CZ323" i="1"/>
  <c r="CZ315" i="1"/>
  <c r="CZ319" i="1"/>
  <c r="CZ199" i="1"/>
  <c r="CZ327" i="1"/>
  <c r="CX183" i="1"/>
  <c r="CX117" i="1"/>
  <c r="CX114" i="1"/>
  <c r="DB113" i="1"/>
  <c r="CZ183" i="1"/>
  <c r="CY183" i="1"/>
  <c r="DA183" i="1"/>
  <c r="EP182" i="1"/>
  <c r="EP115" i="1"/>
  <c r="EP121" i="1"/>
  <c r="EP140" i="1"/>
  <c r="EP113" i="1"/>
  <c r="DM216" i="1"/>
  <c r="BK189" i="1"/>
  <c r="BK206" i="1" s="1"/>
  <c r="BK148" i="1"/>
  <c r="BK149" i="1" s="1"/>
  <c r="BK145" i="1"/>
  <c r="BK146" i="1" s="1"/>
  <c r="BK144" i="1"/>
  <c r="BK170" i="1"/>
  <c r="CY381" i="1"/>
  <c r="BH146" i="1"/>
  <c r="EF195" i="1"/>
  <c r="EF272" i="1"/>
  <c r="EF278" i="1"/>
  <c r="ED184" i="1"/>
  <c r="ED201" i="1" s="1"/>
  <c r="ED200" i="1"/>
  <c r="FE282" i="1"/>
  <c r="DW200" i="1"/>
  <c r="DW184" i="1"/>
  <c r="DW201" i="1" s="1"/>
  <c r="AD148" i="1"/>
  <c r="AD149" i="1" s="1"/>
  <c r="AD145" i="1"/>
  <c r="AD146" i="1" s="1"/>
  <c r="AD144" i="1"/>
  <c r="BM149" i="1"/>
  <c r="CW182" i="1"/>
  <c r="CW115" i="1"/>
  <c r="CW116" i="1" s="1"/>
  <c r="CW112" i="1"/>
  <c r="CW140" i="1"/>
  <c r="CS377" i="1"/>
  <c r="CS319" i="1"/>
  <c r="CS315" i="1"/>
  <c r="CS323" i="1"/>
  <c r="CS199" i="1"/>
  <c r="CS327" i="1"/>
  <c r="DU146" i="1"/>
  <c r="FE151" i="1"/>
  <c r="EZ150" i="1"/>
  <c r="EZ153" i="1" s="1"/>
  <c r="U28" i="363"/>
  <c r="EZ229" i="1"/>
  <c r="DA381" i="1"/>
  <c r="EO188" i="1"/>
  <c r="EO205" i="1" s="1"/>
  <c r="EO143" i="1"/>
  <c r="EO141" i="1"/>
  <c r="BD325" i="1"/>
  <c r="BD329" i="1"/>
  <c r="BD321" i="1"/>
  <c r="BD317" i="1"/>
  <c r="BD200" i="1"/>
  <c r="BD184" i="1"/>
  <c r="BD201" i="1" s="1"/>
  <c r="EB200" i="1"/>
  <c r="EB184" i="1"/>
  <c r="EB201" i="1" s="1"/>
  <c r="U115" i="1"/>
  <c r="U112" i="1"/>
  <c r="U140" i="1"/>
  <c r="Z112" i="1"/>
  <c r="T117" i="1"/>
  <c r="T114" i="1"/>
  <c r="U113" i="1"/>
  <c r="Y114" i="1"/>
  <c r="R22" i="363"/>
  <c r="R56" i="363" s="1"/>
  <c r="R27" i="363"/>
  <c r="BE149" i="1"/>
  <c r="DL376" i="1"/>
  <c r="DL197" i="1"/>
  <c r="DL191" i="1"/>
  <c r="DL198" i="1"/>
  <c r="DL194" i="1"/>
  <c r="DL202" i="1"/>
  <c r="DL203" i="1"/>
  <c r="DL263" i="1"/>
  <c r="DL192" i="1"/>
  <c r="DL196" i="1"/>
  <c r="DL204" i="1"/>
  <c r="AJ209" i="1"/>
  <c r="AJ216" i="1" s="1"/>
  <c r="AJ189" i="1"/>
  <c r="AJ206" i="1" s="1"/>
  <c r="AJ144" i="1"/>
  <c r="AJ151" i="1"/>
  <c r="EK183" i="1"/>
  <c r="EK114" i="1"/>
  <c r="EK117" i="1"/>
  <c r="EK377" i="1"/>
  <c r="EK323" i="1"/>
  <c r="EK315" i="1"/>
  <c r="EK319" i="1"/>
  <c r="EK199" i="1"/>
  <c r="EK327" i="1"/>
  <c r="AP149" i="1"/>
  <c r="AT148" i="1"/>
  <c r="N149" i="1"/>
  <c r="BV149" i="1"/>
  <c r="DS189" i="1"/>
  <c r="DS206" i="1" s="1"/>
  <c r="DS145" i="1"/>
  <c r="DS146" i="1" s="1"/>
  <c r="DS144" i="1"/>
  <c r="DS148" i="1"/>
  <c r="DS149" i="1" s="1"/>
  <c r="DS170" i="1"/>
  <c r="DS209" i="1" s="1"/>
  <c r="DS216" i="1" s="1"/>
  <c r="Z148" i="1"/>
  <c r="Z149" i="1" s="1"/>
  <c r="V149" i="1"/>
  <c r="DD170" i="1"/>
  <c r="DD209" i="1" s="1"/>
  <c r="DD216" i="1" s="1"/>
  <c r="DD148" i="1"/>
  <c r="DD145" i="1"/>
  <c r="DD146" i="1" s="1"/>
  <c r="DD144" i="1"/>
  <c r="DF379" i="1"/>
  <c r="DF205" i="1"/>
  <c r="BJ146" i="1"/>
  <c r="BS189" i="1"/>
  <c r="BS206" i="1" s="1"/>
  <c r="BS150" i="1"/>
  <c r="BS144" i="1"/>
  <c r="DQ379" i="1"/>
  <c r="DL387" i="1" s="1"/>
  <c r="DQ205" i="1"/>
  <c r="DC377" i="1"/>
  <c r="DC323" i="1"/>
  <c r="DC319" i="1"/>
  <c r="DC315" i="1"/>
  <c r="DC199" i="1"/>
  <c r="DC327" i="1"/>
  <c r="EZ277" i="1"/>
  <c r="EM188" i="1"/>
  <c r="EM205" i="1" s="1"/>
  <c r="EM143" i="1"/>
  <c r="EM141" i="1"/>
  <c r="CR118" i="1"/>
  <c r="AK149" i="1"/>
  <c r="AO148" i="1"/>
  <c r="AO149" i="1" s="1"/>
  <c r="DI145" i="1"/>
  <c r="DI144" i="1"/>
  <c r="DI148" i="1"/>
  <c r="DI170" i="1"/>
  <c r="DI209" i="1" s="1"/>
  <c r="DI216" i="1" s="1"/>
  <c r="EH149" i="1"/>
  <c r="AM149" i="1"/>
  <c r="BK184" i="1"/>
  <c r="BK201" i="1" s="1"/>
  <c r="BK200" i="1"/>
  <c r="DL182" i="1"/>
  <c r="DL140" i="1"/>
  <c r="DL121" i="1"/>
  <c r="DL123" i="1" s="1"/>
  <c r="DL112" i="1"/>
  <c r="DL115" i="1"/>
  <c r="DQ112" i="1"/>
  <c r="DJ377" i="1"/>
  <c r="DJ319" i="1"/>
  <c r="DJ323" i="1"/>
  <c r="DJ315" i="1"/>
  <c r="DJ327" i="1"/>
  <c r="DJ199" i="1"/>
  <c r="BX329" i="1"/>
  <c r="BX325" i="1"/>
  <c r="BX317" i="1"/>
  <c r="BX321" i="1"/>
  <c r="BX200" i="1"/>
  <c r="BX184" i="1"/>
  <c r="BX201" i="1" s="1"/>
  <c r="DP200" i="1"/>
  <c r="DP184" i="1"/>
  <c r="DP201" i="1" s="1"/>
  <c r="EA377" i="1"/>
  <c r="EA323" i="1"/>
  <c r="EA319" i="1"/>
  <c r="EA315" i="1"/>
  <c r="EA199" i="1"/>
  <c r="EA327" i="1"/>
  <c r="BP118" i="1"/>
  <c r="CW376" i="1"/>
  <c r="CW197" i="1"/>
  <c r="CW191" i="1"/>
  <c r="CW203" i="1"/>
  <c r="CW202" i="1"/>
  <c r="CW196" i="1"/>
  <c r="CW263" i="1"/>
  <c r="CW194" i="1"/>
  <c r="CW192" i="1"/>
  <c r="CW198" i="1"/>
  <c r="CW193" i="1"/>
  <c r="AS146" i="1"/>
  <c r="CD146" i="1"/>
  <c r="CH145" i="1"/>
  <c r="DV379" i="1"/>
  <c r="DV205" i="1"/>
  <c r="EU57" i="1"/>
  <c r="H46" i="363"/>
  <c r="EZ57" i="1"/>
  <c r="AT200" i="1"/>
  <c r="AT184" i="1"/>
  <c r="AT201" i="1" s="1"/>
  <c r="CB149" i="1"/>
  <c r="DB376" i="1"/>
  <c r="DB197" i="1"/>
  <c r="DB191" i="1"/>
  <c r="DB198" i="1"/>
  <c r="DB194" i="1"/>
  <c r="DB192" i="1"/>
  <c r="DB193" i="1"/>
  <c r="DB202" i="1"/>
  <c r="DB203" i="1"/>
  <c r="DB263" i="1"/>
  <c r="DB196" i="1"/>
  <c r="FE50" i="1"/>
  <c r="EQ197" i="1"/>
  <c r="EQ191" i="1"/>
  <c r="EQ203" i="1"/>
  <c r="EQ263" i="1"/>
  <c r="EQ202" i="1"/>
  <c r="EQ198" i="1"/>
  <c r="EQ192" i="1"/>
  <c r="EQ196" i="1"/>
  <c r="EQ204" i="1"/>
  <c r="CG149" i="1"/>
  <c r="CH118" i="1"/>
  <c r="DY183" i="1"/>
  <c r="DY117" i="1"/>
  <c r="DY118" i="1" s="1"/>
  <c r="DY114" i="1"/>
  <c r="EC183" i="1"/>
  <c r="DE381" i="1"/>
  <c r="DE149" i="1"/>
  <c r="CT377" i="1"/>
  <c r="CT319" i="1"/>
  <c r="CT323" i="1"/>
  <c r="CT315" i="1"/>
  <c r="CT199" i="1"/>
  <c r="CT327" i="1"/>
  <c r="S146" i="1"/>
  <c r="AU146" i="1"/>
  <c r="AY145" i="1"/>
  <c r="L149" i="1"/>
  <c r="AZ146" i="1"/>
  <c r="BD145" i="1"/>
  <c r="EG149" i="1"/>
  <c r="BL118" i="1"/>
  <c r="AV149" i="1"/>
  <c r="CI149" i="1"/>
  <c r="CM148" i="1"/>
  <c r="CM151" i="1" s="1"/>
  <c r="AJ118" i="1"/>
  <c r="BW149" i="1"/>
  <c r="DG376" i="1"/>
  <c r="DG191" i="1"/>
  <c r="DG197" i="1"/>
  <c r="DG198" i="1"/>
  <c r="DG192" i="1"/>
  <c r="DG263" i="1"/>
  <c r="DG202" i="1"/>
  <c r="DG196" i="1"/>
  <c r="DG194" i="1"/>
  <c r="DG203" i="1"/>
  <c r="AJ246" i="1"/>
  <c r="AO242" i="1"/>
  <c r="AO243" i="1" s="1"/>
  <c r="EG200" i="1"/>
  <c r="EG184" i="1"/>
  <c r="EG201" i="1" s="1"/>
  <c r="CY377" i="1"/>
  <c r="CY323" i="1"/>
  <c r="CY319" i="1"/>
  <c r="CY315" i="1"/>
  <c r="CY199" i="1"/>
  <c r="CY327" i="1"/>
  <c r="EQ45" i="1"/>
  <c r="EQ46" i="1" s="1"/>
  <c r="EQ44" i="1"/>
  <c r="EQ39" i="1"/>
  <c r="EP376" i="1"/>
  <c r="EP251" i="1"/>
  <c r="EP263" i="1"/>
  <c r="EP197" i="1"/>
  <c r="EP191" i="1"/>
  <c r="EP198" i="1"/>
  <c r="EP204" i="1"/>
  <c r="EP203" i="1"/>
  <c r="EP202" i="1"/>
  <c r="EP196" i="1"/>
  <c r="EP194" i="1"/>
  <c r="EP192" i="1"/>
  <c r="EI200" i="1"/>
  <c r="EI184" i="1"/>
  <c r="EI201" i="1" s="1"/>
  <c r="EU295" i="1"/>
  <c r="T40" i="363"/>
  <c r="BP144" i="1"/>
  <c r="EN188" i="1"/>
  <c r="EN205" i="1" s="1"/>
  <c r="EN143" i="1"/>
  <c r="EN141" i="1"/>
  <c r="BH189" i="1"/>
  <c r="BH206" i="1" s="1"/>
  <c r="O117" i="1"/>
  <c r="O118" i="1" s="1"/>
  <c r="O114" i="1"/>
  <c r="P113" i="1"/>
  <c r="AQ146" i="1"/>
  <c r="BM189" i="1"/>
  <c r="BM206" i="1" s="1"/>
  <c r="CU145" i="1"/>
  <c r="CU146" i="1" s="1"/>
  <c r="CU144" i="1"/>
  <c r="CU148" i="1"/>
  <c r="CU170" i="1"/>
  <c r="CU209" i="1" s="1"/>
  <c r="CU216" i="1" s="1"/>
  <c r="AO200" i="1"/>
  <c r="AO184" i="1"/>
  <c r="AO201" i="1" s="1"/>
  <c r="CQ149" i="1"/>
  <c r="BI183" i="1"/>
  <c r="BI117" i="1"/>
  <c r="BI118" i="1" s="1"/>
  <c r="BI114" i="1"/>
  <c r="EO183" i="1"/>
  <c r="EO117" i="1"/>
  <c r="AB146" i="1"/>
  <c r="T116" i="1"/>
  <c r="Y116" i="1"/>
  <c r="FE259" i="1"/>
  <c r="DX189" i="1"/>
  <c r="DX206" i="1" s="1"/>
  <c r="DX145" i="1"/>
  <c r="DX146" i="1" s="1"/>
  <c r="DX144" i="1"/>
  <c r="DX148" i="1"/>
  <c r="DX149" i="1" s="1"/>
  <c r="DX170" i="1"/>
  <c r="DX209" i="1" s="1"/>
  <c r="DX216" i="1" s="1"/>
  <c r="AT209" i="1"/>
  <c r="AT216" i="1" s="1"/>
  <c r="AT189" i="1"/>
  <c r="AT206" i="1" s="1"/>
  <c r="AT151" i="1"/>
  <c r="AT144" i="1"/>
  <c r="CV183" i="1"/>
  <c r="CV117" i="1"/>
  <c r="CV114" i="1"/>
  <c r="DA114" i="1"/>
  <c r="CN146" i="1"/>
  <c r="CR145" i="1"/>
  <c r="CC189" i="1"/>
  <c r="CC206" i="1" s="1"/>
  <c r="CC148" i="1"/>
  <c r="CC145" i="1"/>
  <c r="CC170" i="1"/>
  <c r="BU146" i="1"/>
  <c r="Z209" i="1"/>
  <c r="Z216" i="1" s="1"/>
  <c r="Z151" i="1"/>
  <c r="Z150" i="1"/>
  <c r="DD379" i="1"/>
  <c r="DD205" i="1"/>
  <c r="EA195" i="1"/>
  <c r="EA278" i="1"/>
  <c r="EA272" i="1"/>
  <c r="BJ149" i="1"/>
  <c r="AA146" i="1"/>
  <c r="AE145" i="1"/>
  <c r="AE146" i="1" s="1"/>
  <c r="BO149" i="1"/>
  <c r="BS148" i="1"/>
  <c r="DR216" i="1"/>
  <c r="DR146" i="1"/>
  <c r="DE377" i="1"/>
  <c r="DE327" i="1"/>
  <c r="DE319" i="1"/>
  <c r="DE315" i="1"/>
  <c r="DE323" i="1"/>
  <c r="DE199" i="1"/>
  <c r="DC116" i="1"/>
  <c r="EJ189" i="1"/>
  <c r="EJ206" i="1" s="1"/>
  <c r="EJ170" i="1"/>
  <c r="EJ209" i="1" s="1"/>
  <c r="EJ216" i="1" s="1"/>
  <c r="EJ144" i="1"/>
  <c r="EJ145" i="1"/>
  <c r="EJ148" i="1"/>
  <c r="CA146" i="1"/>
  <c r="EM183" i="1"/>
  <c r="EM117" i="1"/>
  <c r="CR321" i="1"/>
  <c r="CR325" i="1"/>
  <c r="CR329" i="1"/>
  <c r="CR317" i="1"/>
  <c r="CR200" i="1"/>
  <c r="CR184" i="1"/>
  <c r="CR201" i="1" s="1"/>
  <c r="AO209" i="1"/>
  <c r="AO216" i="1" s="1"/>
  <c r="AO189" i="1"/>
  <c r="AO206" i="1" s="1"/>
  <c r="AO150" i="1"/>
  <c r="AO144" i="1"/>
  <c r="DI379" i="1"/>
  <c r="DI205" i="1"/>
  <c r="EI189" i="1"/>
  <c r="EI206" i="1" s="1"/>
  <c r="EI148" i="1"/>
  <c r="EI144" i="1"/>
  <c r="EI145" i="1"/>
  <c r="EI146" i="1" s="1"/>
  <c r="EI170" i="1"/>
  <c r="EI209" i="1" s="1"/>
  <c r="EI216" i="1" s="1"/>
  <c r="AI144" i="1"/>
  <c r="DU200" i="1"/>
  <c r="DU184" i="1"/>
  <c r="DU201" i="1" s="1"/>
  <c r="BS329" i="1"/>
  <c r="BS321" i="1"/>
  <c r="BS325" i="1"/>
  <c r="BS317" i="1"/>
  <c r="BS200" i="1"/>
  <c r="BS184" i="1"/>
  <c r="BS201" i="1" s="1"/>
  <c r="DH188" i="1"/>
  <c r="DH143" i="1"/>
  <c r="DH141" i="1"/>
  <c r="EU187" i="1"/>
  <c r="EU137" i="1"/>
  <c r="DQ183" i="1"/>
  <c r="DQ117" i="1"/>
  <c r="ER109" i="1"/>
  <c r="ER36" i="1"/>
  <c r="ER37" i="1" s="1"/>
  <c r="ER35" i="1"/>
  <c r="J144" i="1"/>
  <c r="CZ118" i="1"/>
  <c r="DO189" i="1"/>
  <c r="DO206" i="1" s="1"/>
  <c r="DO148" i="1"/>
  <c r="DO145" i="1"/>
  <c r="DO144" i="1"/>
  <c r="DO170" i="1"/>
  <c r="DO209" i="1" s="1"/>
  <c r="DO216" i="1" s="1"/>
  <c r="DS200" i="1"/>
  <c r="DS184" i="1"/>
  <c r="DS201" i="1" s="1"/>
  <c r="EL183" i="1"/>
  <c r="EL117" i="1"/>
  <c r="ET232" i="1"/>
  <c r="ET239" i="1" s="1"/>
  <c r="EU230" i="1"/>
  <c r="AS149" i="1"/>
  <c r="CH170" i="1"/>
  <c r="CH148" i="1"/>
  <c r="CH149" i="1" s="1"/>
  <c r="CD149" i="1"/>
  <c r="Z252" i="1"/>
  <c r="Z249" i="1"/>
  <c r="DJ387" i="1"/>
  <c r="DJ388" i="1"/>
  <c r="DJ386" i="1"/>
  <c r="DK365" i="1"/>
  <c r="DU118" i="1"/>
  <c r="CH325" i="1"/>
  <c r="CH329" i="1"/>
  <c r="CH317" i="1"/>
  <c r="CH321" i="1"/>
  <c r="CH200" i="1"/>
  <c r="CH184" i="1"/>
  <c r="CH201" i="1" s="1"/>
  <c r="DY188" i="1"/>
  <c r="DY205" i="1" s="1"/>
  <c r="DY143" i="1"/>
  <c r="EB189" i="1" s="1"/>
  <c r="EB206" i="1" s="1"/>
  <c r="DY141" i="1"/>
  <c r="CT183" i="1"/>
  <c r="CT117" i="1"/>
  <c r="CT114" i="1"/>
  <c r="CY114" i="1"/>
  <c r="DV195" i="1"/>
  <c r="DV272" i="1"/>
  <c r="DV278" i="1"/>
  <c r="BG200" i="1"/>
  <c r="BG184" i="1"/>
  <c r="BG201" i="1" s="1"/>
  <c r="AY209" i="1"/>
  <c r="AY216" i="1" s="1"/>
  <c r="AY189" i="1"/>
  <c r="AY206" i="1" s="1"/>
  <c r="AY150" i="1"/>
  <c r="AY144" i="1"/>
  <c r="AZ149" i="1"/>
  <c r="BD148" i="1"/>
  <c r="EG146" i="1"/>
  <c r="ED189" i="1"/>
  <c r="ED206" i="1" s="1"/>
  <c r="ED148" i="1"/>
  <c r="ED145" i="1"/>
  <c r="ED144" i="1"/>
  <c r="ED170" i="1"/>
  <c r="ED209" i="1" s="1"/>
  <c r="ED216" i="1" s="1"/>
  <c r="AJ184" i="1"/>
  <c r="AJ201" i="1" s="1"/>
  <c r="AJ200" i="1"/>
  <c r="ET286" i="1"/>
  <c r="EU286" i="1" s="1"/>
  <c r="AW146" i="1"/>
  <c r="FE267" i="1"/>
  <c r="AG146" i="1"/>
  <c r="BH200" i="1"/>
  <c r="BH184" i="1"/>
  <c r="BH201" i="1" s="1"/>
  <c r="DT189" i="1"/>
  <c r="DT206" i="1" s="1"/>
  <c r="DT170" i="1"/>
  <c r="DT209" i="1" s="1"/>
  <c r="DT216" i="1" s="1"/>
  <c r="DT148" i="1"/>
  <c r="DT145" i="1"/>
  <c r="DT146" i="1" s="1"/>
  <c r="DT144" i="1"/>
  <c r="DB182" i="1"/>
  <c r="DB140" i="1"/>
  <c r="DB115" i="1"/>
  <c r="DB116" i="1" s="1"/>
  <c r="DB112" i="1"/>
  <c r="CX188" i="1"/>
  <c r="CX143" i="1"/>
  <c r="CX141" i="1"/>
  <c r="DA188" i="1"/>
  <c r="CZ188" i="1"/>
  <c r="CY188" i="1"/>
  <c r="ER47" i="1"/>
  <c r="ES47" i="1" s="1"/>
  <c r="CZ381" i="1"/>
  <c r="CZ149" i="1"/>
  <c r="DV183" i="1"/>
  <c r="DV117" i="1"/>
  <c r="DV118" i="1" s="1"/>
  <c r="DV114" i="1"/>
  <c r="BP146" i="1"/>
  <c r="DQ189" i="1"/>
  <c r="DQ148" i="1"/>
  <c r="DQ170" i="1"/>
  <c r="FE212" i="1"/>
  <c r="FE223" i="1"/>
  <c r="EN183" i="1"/>
  <c r="EN117" i="1"/>
  <c r="CM329" i="1"/>
  <c r="CM321" i="1"/>
  <c r="CM317" i="1"/>
  <c r="CM325" i="1"/>
  <c r="CM200" i="1"/>
  <c r="CM184" i="1"/>
  <c r="CM201" i="1" s="1"/>
  <c r="BH149" i="1"/>
  <c r="BG189" i="1"/>
  <c r="BG206" i="1" s="1"/>
  <c r="BG148" i="1"/>
  <c r="BG149" i="1" s="1"/>
  <c r="BG145" i="1"/>
  <c r="BG146" i="1" s="1"/>
  <c r="BG144" i="1"/>
  <c r="DL195" i="1"/>
  <c r="DL272" i="1"/>
  <c r="DL278" i="1"/>
  <c r="CS183" i="1"/>
  <c r="CS117" i="1"/>
  <c r="CS118" i="1" s="1"/>
  <c r="CS114" i="1"/>
  <c r="CW113" i="1"/>
  <c r="DU149" i="1"/>
  <c r="ES109" i="1"/>
  <c r="ES35" i="1"/>
  <c r="ES36" i="1"/>
  <c r="ES37" i="1" s="1"/>
  <c r="DK189" i="1"/>
  <c r="DK145" i="1"/>
  <c r="DK146" i="1" s="1"/>
  <c r="DK144" i="1"/>
  <c r="DK148" i="1"/>
  <c r="DK170" i="1"/>
  <c r="DK209" i="1" s="1"/>
  <c r="DK216" i="1" s="1"/>
  <c r="EE200" i="1"/>
  <c r="EE184" i="1"/>
  <c r="EE201" i="1" s="1"/>
  <c r="EB118" i="1"/>
  <c r="DI377" i="1"/>
  <c r="DI327" i="1"/>
  <c r="DI319" i="1"/>
  <c r="DI315" i="1"/>
  <c r="DI323" i="1"/>
  <c r="DI199" i="1"/>
  <c r="BL189" i="1"/>
  <c r="BL206" i="1" s="1"/>
  <c r="BL148" i="1"/>
  <c r="BQ149" i="1" s="1"/>
  <c r="BL145" i="1"/>
  <c r="BQ146" i="1" s="1"/>
  <c r="BL144" i="1"/>
  <c r="BL170" i="1"/>
  <c r="BN170" i="1" s="1"/>
  <c r="BN209" i="1" s="1"/>
  <c r="BN216" i="1" s="1"/>
  <c r="Q22" i="363"/>
  <c r="Q27" i="363"/>
  <c r="ET109" i="1"/>
  <c r="ET36" i="1"/>
  <c r="ET35" i="1"/>
  <c r="AF146" i="1"/>
  <c r="AJ145" i="1"/>
  <c r="AJ146" i="1" s="1"/>
  <c r="EK188" i="1"/>
  <c r="EK143" i="1"/>
  <c r="EK141" i="1"/>
  <c r="AP146" i="1"/>
  <c r="AT145" i="1"/>
  <c r="AT146" i="1" s="1"/>
  <c r="CV116" i="1"/>
  <c r="DA116" i="1"/>
  <c r="CR170" i="1"/>
  <c r="BU149" i="1"/>
  <c r="EU268" i="1"/>
  <c r="ET130" i="1"/>
  <c r="ET131" i="1" s="1"/>
  <c r="DN146" i="1"/>
  <c r="BT189" i="1"/>
  <c r="BT206" i="1" s="1"/>
  <c r="BT170" i="1"/>
  <c r="BX170" i="1" s="1"/>
  <c r="BX209" i="1" s="1"/>
  <c r="BX216" i="1" s="1"/>
  <c r="BT145" i="1"/>
  <c r="BY146" i="1" s="1"/>
  <c r="BT144" i="1"/>
  <c r="BX143" i="1"/>
  <c r="BT148" i="1"/>
  <c r="DF189" i="1"/>
  <c r="DF148" i="1"/>
  <c r="DF145" i="1"/>
  <c r="DF146" i="1" s="1"/>
  <c r="DF144" i="1"/>
  <c r="DF170" i="1"/>
  <c r="DF209" i="1" s="1"/>
  <c r="DF216" i="1" s="1"/>
  <c r="BJ189" i="1"/>
  <c r="BJ206" i="1" s="1"/>
  <c r="AE148" i="1"/>
  <c r="AE149" i="1" s="1"/>
  <c r="AA149" i="1"/>
  <c r="DV143" i="1"/>
  <c r="DR189" i="1"/>
  <c r="DR206" i="1" s="1"/>
  <c r="DC183" i="1"/>
  <c r="DG113" i="1"/>
  <c r="DC117" i="1"/>
  <c r="DC114" i="1"/>
  <c r="DE183" i="1"/>
  <c r="DG182" i="1"/>
  <c r="DG140" i="1"/>
  <c r="DG115" i="1"/>
  <c r="DG121" i="1"/>
  <c r="DG123" i="1" s="1"/>
  <c r="DG112" i="1"/>
  <c r="CA149" i="1"/>
  <c r="EH146" i="1"/>
  <c r="AI146" i="1"/>
  <c r="BN183" i="1"/>
  <c r="BN117" i="1"/>
  <c r="BN118" i="1" s="1"/>
  <c r="BN114" i="1"/>
  <c r="DZ200" i="1"/>
  <c r="DZ184" i="1"/>
  <c r="DZ201" i="1" s="1"/>
  <c r="FE89" i="1"/>
  <c r="FE86" i="1" s="1"/>
  <c r="EZ86" i="1"/>
  <c r="DH183" i="1"/>
  <c r="DL113" i="1"/>
  <c r="DH117" i="1"/>
  <c r="DH114" i="1"/>
  <c r="DM114" i="1"/>
  <c r="DH377" i="1"/>
  <c r="DH323" i="1"/>
  <c r="DH327" i="1"/>
  <c r="DH319" i="1"/>
  <c r="DH315" i="1"/>
  <c r="DH199" i="1"/>
  <c r="DJ183" i="1"/>
  <c r="DJ117" i="1"/>
  <c r="DJ118" i="1" s="1"/>
  <c r="DJ114" i="1"/>
  <c r="DM183" i="1"/>
  <c r="DN183" i="1"/>
  <c r="EU320" i="1"/>
  <c r="FE4" i="1"/>
  <c r="FE5" i="1" s="1"/>
  <c r="J37" i="363" s="1"/>
  <c r="FE7" i="1"/>
  <c r="K150" i="1"/>
  <c r="J150" i="1" s="1"/>
  <c r="J151" i="1" s="1"/>
  <c r="K144" i="1"/>
  <c r="K151" i="1"/>
  <c r="K152" i="1" s="1"/>
  <c r="ER269" i="1"/>
  <c r="ET49" i="1"/>
  <c r="ET47" i="1"/>
  <c r="EU47" i="1" s="1"/>
  <c r="ET43" i="1"/>
  <c r="EU43" i="1" s="1"/>
  <c r="EA116" i="1"/>
  <c r="E48" i="363"/>
  <c r="BX214" i="1"/>
  <c r="BX141" i="1"/>
  <c r="AY329" i="1"/>
  <c r="AY321" i="1"/>
  <c r="AY325" i="1"/>
  <c r="AY317" i="1"/>
  <c r="AY184" i="1"/>
  <c r="AY201" i="1" s="1"/>
  <c r="AY200" i="1"/>
  <c r="FE94" i="1"/>
  <c r="FE91" i="1" s="1"/>
  <c r="FE92" i="1" s="1"/>
  <c r="EZ91" i="1"/>
  <c r="DG193" i="1"/>
  <c r="ES45" i="1"/>
  <c r="ES46" i="1" s="1"/>
  <c r="ES44" i="1"/>
  <c r="ES39" i="1"/>
  <c r="EE189" i="1"/>
  <c r="EE206" i="1" s="1"/>
  <c r="EE145" i="1"/>
  <c r="EE146" i="1" s="1"/>
  <c r="EE144" i="1"/>
  <c r="EE148" i="1"/>
  <c r="EE149" i="1" s="1"/>
  <c r="EE170" i="1"/>
  <c r="EE209" i="1" s="1"/>
  <c r="EE216" i="1" s="1"/>
  <c r="CB146" i="1"/>
  <c r="EF188" i="1"/>
  <c r="EF141" i="1"/>
  <c r="DI118" i="1"/>
  <c r="CE146" i="1"/>
  <c r="DB195" i="1"/>
  <c r="CK146" i="1"/>
  <c r="CT116" i="1"/>
  <c r="CY116" i="1"/>
  <c r="S149" i="1"/>
  <c r="AU149" i="1"/>
  <c r="AY148" i="1"/>
  <c r="AY149" i="1" s="1"/>
  <c r="BD209" i="1"/>
  <c r="BD216" i="1" s="1"/>
  <c r="BD189" i="1"/>
  <c r="BD206" i="1" s="1"/>
  <c r="BD151" i="1"/>
  <c r="BD144" i="1"/>
  <c r="BD150" i="1"/>
  <c r="EK209" i="1"/>
  <c r="EK217" i="1" s="1"/>
  <c r="EG216" i="1"/>
  <c r="EK216" i="1" s="1"/>
  <c r="EG189" i="1"/>
  <c r="EG206" i="1" s="1"/>
  <c r="EP272" i="1"/>
  <c r="EP195" i="1"/>
  <c r="EP278" i="1"/>
  <c r="EZ15" i="1"/>
  <c r="EZ16" i="1"/>
  <c r="EZ48" i="1" s="1"/>
  <c r="EU17" i="1"/>
  <c r="EU16" i="1"/>
  <c r="EU84" i="1" s="1"/>
  <c r="EU78" i="1"/>
  <c r="DQ195" i="1"/>
  <c r="DQ272" i="1"/>
  <c r="DQ278" i="1"/>
  <c r="EZ262" i="1"/>
  <c r="DO118" i="1"/>
  <c r="AV146" i="1"/>
  <c r="CM170" i="1"/>
  <c r="CI146" i="1"/>
  <c r="CM145" i="1"/>
  <c r="CM146" i="1" s="1"/>
  <c r="AW149" i="1"/>
  <c r="AG149" i="1"/>
  <c r="EC188" i="1"/>
  <c r="EC205" i="1" s="1"/>
  <c r="AO151" i="1" l="1"/>
  <c r="AO152" i="1" s="1"/>
  <c r="BP149" i="1"/>
  <c r="CU189" i="1"/>
  <c r="EZ155" i="1"/>
  <c r="FE158" i="1"/>
  <c r="EZ159" i="1"/>
  <c r="EU269" i="1"/>
  <c r="ET37" i="1"/>
  <c r="DC118" i="1"/>
  <c r="DG116" i="1"/>
  <c r="EZ84" i="1"/>
  <c r="EU85" i="1"/>
  <c r="EU45" i="1"/>
  <c r="EU46" i="1" s="1"/>
  <c r="EU44" i="1"/>
  <c r="CR152" i="1"/>
  <c r="CM152" i="1"/>
  <c r="EK224" i="1"/>
  <c r="S32" i="363"/>
  <c r="S44" i="363" s="1"/>
  <c r="G53" i="363" s="1"/>
  <c r="EK240" i="1"/>
  <c r="EF379" i="1"/>
  <c r="EF205" i="1"/>
  <c r="ES99" i="1"/>
  <c r="ES111" i="1" s="1"/>
  <c r="ES40" i="1"/>
  <c r="DL183" i="1"/>
  <c r="DL117" i="1"/>
  <c r="DL114" i="1"/>
  <c r="BN321" i="1"/>
  <c r="BN325" i="1"/>
  <c r="BN317" i="1"/>
  <c r="BN329" i="1"/>
  <c r="BN200" i="1"/>
  <c r="BN184" i="1"/>
  <c r="BN201" i="1" s="1"/>
  <c r="DG377" i="1"/>
  <c r="DG319" i="1"/>
  <c r="DG323" i="1"/>
  <c r="DG315" i="1"/>
  <c r="DG199" i="1"/>
  <c r="DG327" i="1"/>
  <c r="DG183" i="1"/>
  <c r="DG114" i="1"/>
  <c r="DG117" i="1"/>
  <c r="DF380" i="1"/>
  <c r="DF206" i="1"/>
  <c r="EK379" i="1"/>
  <c r="EK205" i="1"/>
  <c r="DQ381" i="1"/>
  <c r="DL388" i="1" s="1"/>
  <c r="O29" i="363"/>
  <c r="DA379" i="1"/>
  <c r="DA205" i="1"/>
  <c r="CT118" i="1"/>
  <c r="CY118" i="1"/>
  <c r="DK388" i="1"/>
  <c r="DK387" i="1"/>
  <c r="DK386" i="1"/>
  <c r="T39" i="363"/>
  <c r="T42" i="363" s="1"/>
  <c r="EU294" i="1"/>
  <c r="J145" i="1"/>
  <c r="DQ382" i="1"/>
  <c r="DQ325" i="1"/>
  <c r="DQ321" i="1"/>
  <c r="DQ317" i="1"/>
  <c r="DQ200" i="1"/>
  <c r="DQ184" i="1"/>
  <c r="DQ329" i="1"/>
  <c r="DH189" i="1"/>
  <c r="DH170" i="1"/>
  <c r="DH209" i="1" s="1"/>
  <c r="DH145" i="1"/>
  <c r="DH144" i="1"/>
  <c r="DL143" i="1"/>
  <c r="DH148" i="1"/>
  <c r="DM144" i="1"/>
  <c r="DV209" i="1"/>
  <c r="CV382" i="1"/>
  <c r="CV321" i="1"/>
  <c r="CV325" i="1"/>
  <c r="CV317" i="1"/>
  <c r="CV200" i="1"/>
  <c r="CV184" i="1"/>
  <c r="CV329" i="1"/>
  <c r="BI321" i="1"/>
  <c r="BI325" i="1"/>
  <c r="BI317" i="1"/>
  <c r="BI329" i="1"/>
  <c r="BI200" i="1"/>
  <c r="BI184" i="1"/>
  <c r="BI201" i="1" s="1"/>
  <c r="CU380" i="1"/>
  <c r="CU206" i="1"/>
  <c r="EC200" i="1"/>
  <c r="EC184" i="1"/>
  <c r="EC201" i="1" s="1"/>
  <c r="DL188" i="1"/>
  <c r="DL141" i="1"/>
  <c r="DI381" i="1"/>
  <c r="DI149" i="1"/>
  <c r="EM189" i="1"/>
  <c r="EM206" i="1" s="1"/>
  <c r="EM170" i="1"/>
  <c r="EM209" i="1" s="1"/>
  <c r="EM216" i="1" s="1"/>
  <c r="EM148" i="1"/>
  <c r="EM145" i="1"/>
  <c r="BN145" i="1"/>
  <c r="DD380" i="1"/>
  <c r="DD206" i="1"/>
  <c r="DN149" i="1"/>
  <c r="AT149" i="1"/>
  <c r="EK118" i="1"/>
  <c r="G49" i="363"/>
  <c r="U117" i="1"/>
  <c r="U114" i="1"/>
  <c r="Z114" i="1"/>
  <c r="U141" i="1"/>
  <c r="U143" i="1"/>
  <c r="EO189" i="1"/>
  <c r="EO206" i="1" s="1"/>
  <c r="EO170" i="1"/>
  <c r="EO209" i="1" s="1"/>
  <c r="EO216" i="1" s="1"/>
  <c r="EO145" i="1"/>
  <c r="EO148" i="1"/>
  <c r="EZ295" i="1"/>
  <c r="U40" i="363"/>
  <c r="DA382" i="1"/>
  <c r="DA321" i="1"/>
  <c r="DA325" i="1"/>
  <c r="DA317" i="1"/>
  <c r="DA200" i="1"/>
  <c r="DA184" i="1"/>
  <c r="DA329" i="1"/>
  <c r="CT379" i="1"/>
  <c r="CT205" i="1"/>
  <c r="DI382" i="1"/>
  <c r="DI321" i="1"/>
  <c r="DI325" i="1"/>
  <c r="DI317" i="1"/>
  <c r="DI329" i="1"/>
  <c r="DI200" i="1"/>
  <c r="DI184" i="1"/>
  <c r="E151" i="1"/>
  <c r="E145" i="1"/>
  <c r="AI149" i="1"/>
  <c r="EF209" i="1"/>
  <c r="EB216" i="1"/>
  <c r="EF216" i="1" s="1"/>
  <c r="EF145" i="1"/>
  <c r="EB146" i="1"/>
  <c r="CV189" i="1"/>
  <c r="CV145" i="1"/>
  <c r="CV144" i="1"/>
  <c r="CV148" i="1"/>
  <c r="CV170" i="1"/>
  <c r="CV209" i="1" s="1"/>
  <c r="CV216" i="1" s="1"/>
  <c r="DA144" i="1"/>
  <c r="BI145" i="1"/>
  <c r="EF382" i="1"/>
  <c r="EF321" i="1"/>
  <c r="EF317" i="1"/>
  <c r="EF325" i="1"/>
  <c r="EF200" i="1"/>
  <c r="EF184" i="1"/>
  <c r="EF329" i="1"/>
  <c r="CS379" i="1"/>
  <c r="CS205" i="1"/>
  <c r="EA118" i="1"/>
  <c r="E49" i="363"/>
  <c r="O144" i="1"/>
  <c r="ED118" i="1"/>
  <c r="DZ189" i="1"/>
  <c r="DZ206" i="1" s="1"/>
  <c r="AE151" i="1"/>
  <c r="AE152" i="1" s="1"/>
  <c r="J152" i="1"/>
  <c r="L152" i="1"/>
  <c r="DH382" i="1"/>
  <c r="DH321" i="1"/>
  <c r="DH325" i="1"/>
  <c r="DH317" i="1"/>
  <c r="DH329" i="1"/>
  <c r="DH200" i="1"/>
  <c r="DH184" i="1"/>
  <c r="DE382" i="1"/>
  <c r="DE321" i="1"/>
  <c r="DE325" i="1"/>
  <c r="DE317" i="1"/>
  <c r="DE329" i="1"/>
  <c r="DE200" i="1"/>
  <c r="DE184" i="1"/>
  <c r="DC382" i="1"/>
  <c r="DC321" i="1"/>
  <c r="DC317" i="1"/>
  <c r="DC325" i="1"/>
  <c r="DC200" i="1"/>
  <c r="DC184" i="1"/>
  <c r="DC329" i="1"/>
  <c r="BT146" i="1"/>
  <c r="BX145" i="1"/>
  <c r="BX146" i="1" s="1"/>
  <c r="ET174" i="1"/>
  <c r="ET110" i="1"/>
  <c r="ET222" i="1"/>
  <c r="ES222" i="1"/>
  <c r="ES174" i="1"/>
  <c r="ES110" i="1"/>
  <c r="DQ380" i="1"/>
  <c r="DQ206" i="1"/>
  <c r="DV382" i="1"/>
  <c r="DV325" i="1"/>
  <c r="DV321" i="1"/>
  <c r="DV317" i="1"/>
  <c r="DV184" i="1"/>
  <c r="DV200" i="1"/>
  <c r="DV329" i="1"/>
  <c r="EU48" i="1"/>
  <c r="EU49" i="1" s="1"/>
  <c r="CT382" i="1"/>
  <c r="CT325" i="1"/>
  <c r="CT321" i="1"/>
  <c r="CT317" i="1"/>
  <c r="CT200" i="1"/>
  <c r="CT184" i="1"/>
  <c r="CT329" i="1"/>
  <c r="ER174" i="1"/>
  <c r="ER111" i="1"/>
  <c r="ER110" i="1"/>
  <c r="ER222" i="1"/>
  <c r="EU138" i="1"/>
  <c r="T24" i="363"/>
  <c r="EZ138" i="1"/>
  <c r="DH379" i="1"/>
  <c r="DH205" i="1"/>
  <c r="EJ149" i="1"/>
  <c r="BN148" i="1"/>
  <c r="EO200" i="1"/>
  <c r="EO184" i="1"/>
  <c r="EO201" i="1" s="1"/>
  <c r="CU381" i="1"/>
  <c r="CU149" i="1"/>
  <c r="EN189" i="1"/>
  <c r="EN206" i="1" s="1"/>
  <c r="EN148" i="1"/>
  <c r="EN145" i="1"/>
  <c r="EN170" i="1"/>
  <c r="EN209" i="1" s="1"/>
  <c r="EN216" i="1" s="1"/>
  <c r="EU232" i="1"/>
  <c r="EU239" i="1" s="1"/>
  <c r="EC146" i="1"/>
  <c r="CM149" i="1"/>
  <c r="AY146" i="1"/>
  <c r="CH146" i="1"/>
  <c r="DL116" i="1"/>
  <c r="DQ116" i="1"/>
  <c r="DL377" i="1"/>
  <c r="DL323" i="1"/>
  <c r="DL315" i="1"/>
  <c r="DL319" i="1"/>
  <c r="DL199" i="1"/>
  <c r="DL327" i="1"/>
  <c r="AJ150" i="1"/>
  <c r="DQ145" i="1"/>
  <c r="CY382" i="1"/>
  <c r="CY321" i="1"/>
  <c r="CY325" i="1"/>
  <c r="CY317" i="1"/>
  <c r="CY200" i="1"/>
  <c r="CY184" i="1"/>
  <c r="CY329" i="1"/>
  <c r="CX118" i="1"/>
  <c r="EA379" i="1"/>
  <c r="EA205" i="1"/>
  <c r="DC379" i="1"/>
  <c r="DC205" i="1"/>
  <c r="CR149" i="1"/>
  <c r="CV379" i="1"/>
  <c r="CV205" i="1"/>
  <c r="AJ149" i="1"/>
  <c r="T144" i="1"/>
  <c r="Y144" i="1"/>
  <c r="DP149" i="1"/>
  <c r="EC149" i="1"/>
  <c r="FE262" i="1"/>
  <c r="FE15" i="1"/>
  <c r="EZ17" i="1"/>
  <c r="EZ78" i="1"/>
  <c r="EZ92" i="1"/>
  <c r="EZ98" i="1"/>
  <c r="FE98" i="1" s="1"/>
  <c r="EZ97" i="1"/>
  <c r="FE97" i="1" s="1"/>
  <c r="ET45" i="1"/>
  <c r="ET46" i="1" s="1"/>
  <c r="ET44" i="1"/>
  <c r="ET39" i="1"/>
  <c r="EU39" i="1" s="1"/>
  <c r="DN200" i="1"/>
  <c r="DN184" i="1"/>
  <c r="DN201" i="1" s="1"/>
  <c r="DJ382" i="1"/>
  <c r="DJ325" i="1"/>
  <c r="DJ329" i="1"/>
  <c r="DJ321" i="1"/>
  <c r="DJ317" i="1"/>
  <c r="DJ200" i="1"/>
  <c r="DJ184" i="1"/>
  <c r="EZ87" i="1"/>
  <c r="U15" i="363"/>
  <c r="BT149" i="1"/>
  <c r="BX148" i="1"/>
  <c r="BX149" i="1" s="1"/>
  <c r="BL146" i="1"/>
  <c r="DK380" i="1"/>
  <c r="DK206" i="1"/>
  <c r="CS382" i="1"/>
  <c r="CS321" i="1"/>
  <c r="CS325" i="1"/>
  <c r="CS317" i="1"/>
  <c r="CS200" i="1"/>
  <c r="CS184" i="1"/>
  <c r="CS329" i="1"/>
  <c r="CY379" i="1"/>
  <c r="CY205" i="1"/>
  <c r="CX189" i="1"/>
  <c r="CX148" i="1"/>
  <c r="CX145" i="1"/>
  <c r="CX144" i="1"/>
  <c r="DB143" i="1"/>
  <c r="CX170" i="1"/>
  <c r="DA189" i="1"/>
  <c r="CZ189" i="1"/>
  <c r="CY189" i="1"/>
  <c r="DB188" i="1"/>
  <c r="DB141" i="1"/>
  <c r="DT149" i="1"/>
  <c r="BD149" i="1"/>
  <c r="AY151" i="1"/>
  <c r="AY152" i="1" s="1"/>
  <c r="J148" i="1"/>
  <c r="DQ118" i="1"/>
  <c r="EU316" i="1"/>
  <c r="EJ146" i="1"/>
  <c r="DV145" i="1"/>
  <c r="DV146" i="1" s="1"/>
  <c r="AT150" i="1"/>
  <c r="EQ99" i="1"/>
  <c r="EQ40" i="1"/>
  <c r="AO246" i="1"/>
  <c r="AT242" i="1"/>
  <c r="AT243" i="1" s="1"/>
  <c r="BD146" i="1"/>
  <c r="BS118" i="1"/>
  <c r="DI146" i="1"/>
  <c r="BS151" i="1"/>
  <c r="DD381" i="1"/>
  <c r="DD149" i="1"/>
  <c r="EK382" i="1"/>
  <c r="EK325" i="1"/>
  <c r="EK321" i="1"/>
  <c r="EK317" i="1"/>
  <c r="EK200" i="1"/>
  <c r="EK184" i="1"/>
  <c r="EK329" i="1"/>
  <c r="T118" i="1"/>
  <c r="Y118" i="1"/>
  <c r="U116" i="1"/>
  <c r="Z116" i="1"/>
  <c r="CW377" i="1"/>
  <c r="CW319" i="1"/>
  <c r="CW323" i="1"/>
  <c r="CW315" i="1"/>
  <c r="CW199" i="1"/>
  <c r="CW327" i="1"/>
  <c r="DQ216" i="1"/>
  <c r="EP183" i="1"/>
  <c r="EP117" i="1"/>
  <c r="EP377" i="1"/>
  <c r="EP319" i="1"/>
  <c r="EP315" i="1"/>
  <c r="EP323" i="1"/>
  <c r="EP199" i="1"/>
  <c r="EP327" i="1"/>
  <c r="CZ382" i="1"/>
  <c r="CZ321" i="1"/>
  <c r="CZ325" i="1"/>
  <c r="CZ317" i="1"/>
  <c r="CZ200" i="1"/>
  <c r="CZ184" i="1"/>
  <c r="CZ329" i="1"/>
  <c r="CX382" i="1"/>
  <c r="CX325" i="1"/>
  <c r="CX317" i="1"/>
  <c r="CX321" i="1"/>
  <c r="CX200" i="1"/>
  <c r="CX184" i="1"/>
  <c r="CX329" i="1"/>
  <c r="AE249" i="1"/>
  <c r="AE252" i="1"/>
  <c r="ER176" i="1"/>
  <c r="ER104" i="1"/>
  <c r="ER105" i="1" s="1"/>
  <c r="ER100" i="1"/>
  <c r="ER106" i="1"/>
  <c r="ER102" i="1"/>
  <c r="EF364" i="1"/>
  <c r="EL189" i="1"/>
  <c r="EL206" i="1" s="1"/>
  <c r="EL145" i="1"/>
  <c r="EL148" i="1"/>
  <c r="EL170" i="1"/>
  <c r="EL209" i="1" s="1"/>
  <c r="EZ22" i="1"/>
  <c r="EU24" i="1"/>
  <c r="EU23" i="1"/>
  <c r="DJ189" i="1"/>
  <c r="DJ148" i="1"/>
  <c r="DO149" i="1" s="1"/>
  <c r="DJ145" i="1"/>
  <c r="DJ146" i="1" s="1"/>
  <c r="DJ144" i="1"/>
  <c r="DJ170" i="1"/>
  <c r="DJ209" i="1" s="1"/>
  <c r="DJ216" i="1" s="1"/>
  <c r="DM189" i="1"/>
  <c r="DM206" i="1" s="1"/>
  <c r="AO146" i="1"/>
  <c r="EF189" i="1"/>
  <c r="EF148" i="1"/>
  <c r="EF170" i="1"/>
  <c r="DE379" i="1"/>
  <c r="DE205" i="1"/>
  <c r="DD42" i="1"/>
  <c r="BS146" i="1"/>
  <c r="DW146" i="1"/>
  <c r="EA382" i="1"/>
  <c r="EA325" i="1"/>
  <c r="EA321" i="1"/>
  <c r="EA317" i="1"/>
  <c r="EA200" i="1"/>
  <c r="EA184" i="1"/>
  <c r="EA329" i="1"/>
  <c r="P143" i="1"/>
  <c r="P141" i="1"/>
  <c r="EZ67" i="1"/>
  <c r="FQ64" i="1"/>
  <c r="H20" i="363"/>
  <c r="F20" i="363"/>
  <c r="EZ54" i="1"/>
  <c r="EZ70" i="1"/>
  <c r="EZ71" i="1" s="1"/>
  <c r="EU324" i="1"/>
  <c r="DK383" i="1"/>
  <c r="DK201" i="1"/>
  <c r="DF383" i="1"/>
  <c r="DF201" i="1"/>
  <c r="CU383" i="1"/>
  <c r="CU201" i="1"/>
  <c r="BD152" i="1"/>
  <c r="DM200" i="1"/>
  <c r="DM184" i="1"/>
  <c r="DM201" i="1" s="1"/>
  <c r="DH118" i="1"/>
  <c r="DM118" i="1"/>
  <c r="FE87" i="1"/>
  <c r="V15" i="363"/>
  <c r="DG188" i="1"/>
  <c r="DG141" i="1"/>
  <c r="DV189" i="1"/>
  <c r="DV148" i="1"/>
  <c r="DV144" i="1"/>
  <c r="DV170" i="1"/>
  <c r="DF381" i="1"/>
  <c r="DF149" i="1"/>
  <c r="BX189" i="1"/>
  <c r="BX206" i="1" s="1"/>
  <c r="BX151" i="1"/>
  <c r="BX144" i="1"/>
  <c r="BX150" i="1"/>
  <c r="EU328" i="1"/>
  <c r="EZ268" i="1"/>
  <c r="T50" i="363"/>
  <c r="EU348" i="1"/>
  <c r="EU130" i="1"/>
  <c r="EU131" i="1" s="1"/>
  <c r="EK189" i="1"/>
  <c r="EK145" i="1"/>
  <c r="EK146" i="1" s="1"/>
  <c r="EK148" i="1"/>
  <c r="EK144" i="1"/>
  <c r="EK170" i="1"/>
  <c r="Q56" i="363"/>
  <c r="BL149" i="1"/>
  <c r="DK381" i="1"/>
  <c r="DK149" i="1"/>
  <c r="CW183" i="1"/>
  <c r="CW117" i="1"/>
  <c r="CW118" i="1" s="1"/>
  <c r="CW114" i="1"/>
  <c r="EN200" i="1"/>
  <c r="EN184" i="1"/>
  <c r="EN201" i="1" s="1"/>
  <c r="CZ379" i="1"/>
  <c r="CZ205" i="1"/>
  <c r="CX379" i="1"/>
  <c r="CX205" i="1"/>
  <c r="DB377" i="1"/>
  <c r="DB319" i="1"/>
  <c r="DB323" i="1"/>
  <c r="DB315" i="1"/>
  <c r="DB199" i="1"/>
  <c r="DB327" i="1"/>
  <c r="DY189" i="1"/>
  <c r="DY206" i="1" s="1"/>
  <c r="DY170" i="1"/>
  <c r="DY209" i="1" s="1"/>
  <c r="DY216" i="1" s="1"/>
  <c r="DY148" i="1"/>
  <c r="DY149" i="1" s="1"/>
  <c r="DY145" i="1"/>
  <c r="DY146" i="1" s="1"/>
  <c r="DY144" i="1"/>
  <c r="EC189" i="1"/>
  <c r="EC206" i="1" s="1"/>
  <c r="EL184" i="1"/>
  <c r="EL201" i="1" s="1"/>
  <c r="EL200" i="1"/>
  <c r="DQ114" i="1"/>
  <c r="EI149" i="1"/>
  <c r="EM200" i="1"/>
  <c r="EM184" i="1"/>
  <c r="EM201" i="1" s="1"/>
  <c r="DV216" i="1"/>
  <c r="CC144" i="1"/>
  <c r="CR146" i="1"/>
  <c r="CV118" i="1"/>
  <c r="DA118" i="1"/>
  <c r="AT152" i="1"/>
  <c r="P117" i="1"/>
  <c r="P118" i="1" s="1"/>
  <c r="P114" i="1"/>
  <c r="AJ254" i="1"/>
  <c r="AJ248" i="1"/>
  <c r="DY200" i="1"/>
  <c r="DY184" i="1"/>
  <c r="DY201" i="1" s="1"/>
  <c r="DI189" i="1"/>
  <c r="FE277" i="1"/>
  <c r="BY149" i="1"/>
  <c r="BI148" i="1"/>
  <c r="FE150" i="1"/>
  <c r="FE153" i="1" s="1"/>
  <c r="V28" i="363"/>
  <c r="FE229" i="1"/>
  <c r="CW188" i="1"/>
  <c r="CW141" i="1"/>
  <c r="DQ209" i="1"/>
  <c r="DQ217" i="1" s="1"/>
  <c r="EP188" i="1"/>
  <c r="EP143" i="1"/>
  <c r="EP141" i="1"/>
  <c r="CZ146" i="1"/>
  <c r="DB183" i="1"/>
  <c r="DB117" i="1"/>
  <c r="DB114" i="1"/>
  <c r="CT189" i="1"/>
  <c r="CT145" i="1"/>
  <c r="CT148" i="1"/>
  <c r="CT144" i="1"/>
  <c r="CT170" i="1"/>
  <c r="CT209" i="1" s="1"/>
  <c r="CT216" i="1" s="1"/>
  <c r="CY144" i="1"/>
  <c r="DD382" i="1"/>
  <c r="DD321" i="1"/>
  <c r="DD325" i="1"/>
  <c r="DD317" i="1"/>
  <c r="DD329" i="1"/>
  <c r="DD200" i="1"/>
  <c r="DD184" i="1"/>
  <c r="EU109" i="1"/>
  <c r="T11" i="363"/>
  <c r="T10" i="363" s="1"/>
  <c r="EU36" i="1"/>
  <c r="EU35" i="1"/>
  <c r="FE258" i="1"/>
  <c r="FE260" i="1" s="1"/>
  <c r="EZ260" i="1"/>
  <c r="FE75" i="1"/>
  <c r="DJ379" i="1"/>
  <c r="DJ205" i="1"/>
  <c r="DC189" i="1"/>
  <c r="DG143" i="1"/>
  <c r="DC145" i="1"/>
  <c r="DC144" i="1"/>
  <c r="DC148" i="1"/>
  <c r="DC170" i="1"/>
  <c r="DE189" i="1"/>
  <c r="EA209" i="1"/>
  <c r="EA217" i="1" s="1"/>
  <c r="DW216" i="1"/>
  <c r="EA216" i="1" s="1"/>
  <c r="EA143" i="1"/>
  <c r="EF118" i="1"/>
  <c r="F49" i="363"/>
  <c r="CS189" i="1"/>
  <c r="CS148" i="1"/>
  <c r="CS145" i="1"/>
  <c r="CS144" i="1"/>
  <c r="CW143" i="1"/>
  <c r="CS170" i="1"/>
  <c r="DP146" i="1"/>
  <c r="FR64" i="1"/>
  <c r="FE67" i="1"/>
  <c r="FE54" i="1"/>
  <c r="FE70" i="1"/>
  <c r="FE71" i="1" s="1"/>
  <c r="AE150" i="1"/>
  <c r="EZ157" i="1" l="1"/>
  <c r="EZ156" i="1" s="1"/>
  <c r="EZ230" i="1"/>
  <c r="FE159" i="1"/>
  <c r="FE155" i="1"/>
  <c r="EU270" i="1"/>
  <c r="EZ270" i="1" s="1"/>
  <c r="ET196" i="1"/>
  <c r="EU37" i="1"/>
  <c r="H41" i="363"/>
  <c r="ER107" i="1"/>
  <c r="ER103" i="1"/>
  <c r="DB118" i="1"/>
  <c r="AJ152" i="1"/>
  <c r="CS146" i="1"/>
  <c r="CW145" i="1"/>
  <c r="CW146" i="1" s="1"/>
  <c r="DE380" i="1"/>
  <c r="DE206" i="1"/>
  <c r="DC146" i="1"/>
  <c r="DG145" i="1"/>
  <c r="EU222" i="1"/>
  <c r="EU174" i="1"/>
  <c r="EU110" i="1"/>
  <c r="CT146" i="1"/>
  <c r="CY146" i="1"/>
  <c r="DB382" i="1"/>
  <c r="DB325" i="1"/>
  <c r="DB321" i="1"/>
  <c r="DB317" i="1"/>
  <c r="DB200" i="1"/>
  <c r="DB184" i="1"/>
  <c r="DB329" i="1"/>
  <c r="EP379" i="1"/>
  <c r="EP205" i="1"/>
  <c r="FE295" i="1"/>
  <c r="V40" i="363"/>
  <c r="DI380" i="1"/>
  <c r="DI206" i="1"/>
  <c r="AJ257" i="1"/>
  <c r="AJ255" i="1"/>
  <c r="CX386" i="1"/>
  <c r="CV386" i="1"/>
  <c r="CY386" i="1"/>
  <c r="CW386" i="1"/>
  <c r="CU386" i="1"/>
  <c r="EU132" i="1"/>
  <c r="EZ131" i="1"/>
  <c r="DV380" i="1"/>
  <c r="DV206" i="1"/>
  <c r="EZ177" i="1"/>
  <c r="EZ55" i="1"/>
  <c r="FQ61" i="1"/>
  <c r="FQ62" i="1" s="1"/>
  <c r="FQ63" i="1" s="1"/>
  <c r="FQ65" i="1" s="1"/>
  <c r="U14" i="363"/>
  <c r="EA383" i="1"/>
  <c r="EA201" i="1"/>
  <c r="EK383" i="1"/>
  <c r="EK201" i="1"/>
  <c r="AT246" i="1"/>
  <c r="AY242" i="1"/>
  <c r="AY243" i="1" s="1"/>
  <c r="EQ176" i="1"/>
  <c r="EQ106" i="1"/>
  <c r="EQ107" i="1" s="1"/>
  <c r="EQ102" i="1"/>
  <c r="EQ103" i="1" s="1"/>
  <c r="EQ101" i="1"/>
  <c r="EQ104" i="1"/>
  <c r="EQ105" i="1" s="1"/>
  <c r="EQ100" i="1"/>
  <c r="EQ111" i="1"/>
  <c r="ES182" i="1" s="1"/>
  <c r="ES199" i="1" s="1"/>
  <c r="DA380" i="1"/>
  <c r="DA206" i="1"/>
  <c r="CX146" i="1"/>
  <c r="DB145" i="1"/>
  <c r="ET99" i="1"/>
  <c r="ET40" i="1"/>
  <c r="FE17" i="1"/>
  <c r="FE78" i="1"/>
  <c r="BN149" i="1"/>
  <c r="BN151" i="1"/>
  <c r="DV383" i="1"/>
  <c r="DV201" i="1"/>
  <c r="ES112" i="1"/>
  <c r="ES115" i="1"/>
  <c r="ES140" i="1"/>
  <c r="ES113" i="1"/>
  <c r="DE383" i="1"/>
  <c r="DE201" i="1"/>
  <c r="CV380" i="1"/>
  <c r="CV206" i="1"/>
  <c r="EF146" i="1"/>
  <c r="DA383" i="1"/>
  <c r="DA201" i="1"/>
  <c r="BN146" i="1"/>
  <c r="BN150" i="1"/>
  <c r="DL379" i="1"/>
  <c r="DL205" i="1"/>
  <c r="DV217" i="1"/>
  <c r="DO146" i="1"/>
  <c r="ES176" i="1"/>
  <c r="ES104" i="1"/>
  <c r="ES105" i="1" s="1"/>
  <c r="ES100" i="1"/>
  <c r="ES106" i="1"/>
  <c r="ES102" i="1"/>
  <c r="ES101" i="1"/>
  <c r="EZ49" i="1"/>
  <c r="EZ47" i="1" s="1"/>
  <c r="EU52" i="1"/>
  <c r="FE177" i="1"/>
  <c r="FR61" i="1"/>
  <c r="FR62" i="1" s="1"/>
  <c r="FR63" i="1" s="1"/>
  <c r="FR65" i="1" s="1"/>
  <c r="FE55" i="1"/>
  <c r="V14" i="363"/>
  <c r="CS209" i="1"/>
  <c r="CW170" i="1"/>
  <c r="CS381" i="1"/>
  <c r="CS149" i="1"/>
  <c r="EA189" i="1"/>
  <c r="EA148" i="1"/>
  <c r="EA144" i="1"/>
  <c r="EA170" i="1"/>
  <c r="DC209" i="1"/>
  <c r="DG170" i="1"/>
  <c r="DG189" i="1"/>
  <c r="DG148" i="1"/>
  <c r="DG144" i="1"/>
  <c r="DD383" i="1"/>
  <c r="DD201" i="1"/>
  <c r="CT380" i="1"/>
  <c r="CT206" i="1"/>
  <c r="DQ224" i="1"/>
  <c r="DQ233" i="1" s="1"/>
  <c r="O32" i="363"/>
  <c r="O44" i="363" s="1"/>
  <c r="DQ240" i="1"/>
  <c r="CW382" i="1"/>
  <c r="CW321" i="1"/>
  <c r="CW325" i="1"/>
  <c r="CW317" i="1"/>
  <c r="CW200" i="1"/>
  <c r="CW184" i="1"/>
  <c r="CW329" i="1"/>
  <c r="EK381" i="1"/>
  <c r="EK149" i="1"/>
  <c r="S29" i="363"/>
  <c r="G54" i="363" s="1"/>
  <c r="BX152" i="1"/>
  <c r="CC152" i="1"/>
  <c r="DE42" i="1"/>
  <c r="DF42" i="1" s="1"/>
  <c r="DG42" i="1" s="1"/>
  <c r="EF144" i="1"/>
  <c r="DJ381" i="1"/>
  <c r="DJ149" i="1"/>
  <c r="EZ24" i="1"/>
  <c r="FE22" i="1"/>
  <c r="EZ20" i="1"/>
  <c r="AO254" i="1"/>
  <c r="AO248" i="1"/>
  <c r="DB379" i="1"/>
  <c r="DB205" i="1"/>
  <c r="CX209" i="1"/>
  <c r="DB170" i="1"/>
  <c r="CX381" i="1"/>
  <c r="CX149" i="1"/>
  <c r="FE16" i="1"/>
  <c r="FE48" i="1" s="1"/>
  <c r="CY383" i="1"/>
  <c r="CY201" i="1"/>
  <c r="BS149" i="1"/>
  <c r="ES197" i="1"/>
  <c r="ES191" i="1"/>
  <c r="ES202" i="1"/>
  <c r="ES198" i="1"/>
  <c r="ES203" i="1"/>
  <c r="ES263" i="1"/>
  <c r="ES194" i="1"/>
  <c r="ES204" i="1"/>
  <c r="ES250" i="1"/>
  <c r="ES192" i="1"/>
  <c r="ES196" i="1"/>
  <c r="BI146" i="1"/>
  <c r="BI150" i="1"/>
  <c r="CV381" i="1"/>
  <c r="CV149" i="1"/>
  <c r="DA149" i="1"/>
  <c r="G152" i="1"/>
  <c r="E148" i="1"/>
  <c r="U209" i="1"/>
  <c r="U216" i="1" s="1"/>
  <c r="U151" i="1"/>
  <c r="U150" i="1"/>
  <c r="T150" i="1" s="1"/>
  <c r="U144" i="1"/>
  <c r="Z144" i="1"/>
  <c r="U118" i="1"/>
  <c r="Z118" i="1"/>
  <c r="CV383" i="1"/>
  <c r="CV201" i="1"/>
  <c r="DL145" i="1"/>
  <c r="DH146" i="1"/>
  <c r="DM146" i="1"/>
  <c r="DQ383" i="1"/>
  <c r="DQ201" i="1"/>
  <c r="DG118" i="1"/>
  <c r="DA386" i="1"/>
  <c r="CZ386" i="1"/>
  <c r="DC386" i="1"/>
  <c r="DB386" i="1"/>
  <c r="DD386" i="1"/>
  <c r="DL118" i="1"/>
  <c r="CW189" i="1"/>
  <c r="CW148" i="1"/>
  <c r="CW144" i="1"/>
  <c r="CS380" i="1"/>
  <c r="CS206" i="1"/>
  <c r="DC381" i="1"/>
  <c r="DC149" i="1"/>
  <c r="DC380" i="1"/>
  <c r="DC206" i="1"/>
  <c r="ED149" i="1"/>
  <c r="DG379" i="1"/>
  <c r="DG205" i="1"/>
  <c r="P209" i="1"/>
  <c r="P216" i="1" s="1"/>
  <c r="P144" i="1"/>
  <c r="P150" i="1"/>
  <c r="O150" i="1" s="1"/>
  <c r="P151" i="1"/>
  <c r="P152" i="1" s="1"/>
  <c r="EA145" i="1"/>
  <c r="EA146" i="1" s="1"/>
  <c r="EF381" i="1"/>
  <c r="EF149" i="1"/>
  <c r="R29" i="363"/>
  <c r="F54" i="363" s="1"/>
  <c r="DJ380" i="1"/>
  <c r="DJ206" i="1"/>
  <c r="ER101" i="1"/>
  <c r="CZ383" i="1"/>
  <c r="CZ201" i="1"/>
  <c r="CS386" i="1"/>
  <c r="CT386" i="1"/>
  <c r="ED146" i="1"/>
  <c r="CY380" i="1"/>
  <c r="CY206" i="1"/>
  <c r="DB189" i="1"/>
  <c r="DB148" i="1"/>
  <c r="DB144" i="1"/>
  <c r="CX380" i="1"/>
  <c r="CX206" i="1"/>
  <c r="CS383" i="1"/>
  <c r="CS201" i="1"/>
  <c r="ER182" i="1"/>
  <c r="ER199" i="1" s="1"/>
  <c r="ER113" i="1"/>
  <c r="ER112" i="1"/>
  <c r="ER115" i="1"/>
  <c r="ER140" i="1"/>
  <c r="CT383" i="1"/>
  <c r="CT201" i="1"/>
  <c r="ET197" i="1"/>
  <c r="ET191" i="1"/>
  <c r="ET198" i="1"/>
  <c r="ET202" i="1"/>
  <c r="ET194" i="1"/>
  <c r="ET263" i="1"/>
  <c r="ET203" i="1"/>
  <c r="ET204" i="1"/>
  <c r="ET192" i="1"/>
  <c r="ET250" i="1"/>
  <c r="DC383" i="1"/>
  <c r="DC201" i="1"/>
  <c r="FE270" i="1"/>
  <c r="EF217" i="1"/>
  <c r="DI383" i="1"/>
  <c r="DI201" i="1"/>
  <c r="DH381" i="1"/>
  <c r="DH149" i="1"/>
  <c r="DM149" i="1"/>
  <c r="DL209" i="1"/>
  <c r="DL217" i="1" s="1"/>
  <c r="DH216" i="1"/>
  <c r="DL216" i="1" s="1"/>
  <c r="DL382" i="1"/>
  <c r="DL321" i="1"/>
  <c r="DL325" i="1"/>
  <c r="DL317" i="1"/>
  <c r="DL200" i="1"/>
  <c r="DL184" i="1"/>
  <c r="DL329" i="1"/>
  <c r="EA224" i="1"/>
  <c r="EA233" i="1" s="1"/>
  <c r="Q32" i="363"/>
  <c r="Q44" i="363" s="1"/>
  <c r="E53" i="363" s="1"/>
  <c r="EA240" i="1"/>
  <c r="CT381" i="1"/>
  <c r="CT149" i="1"/>
  <c r="CY149" i="1"/>
  <c r="EP189" i="1"/>
  <c r="EP145" i="1"/>
  <c r="EP148" i="1"/>
  <c r="EP381" i="1" s="1"/>
  <c r="EP170" i="1"/>
  <c r="CW379" i="1"/>
  <c r="CW205" i="1"/>
  <c r="BI149" i="1"/>
  <c r="BI151" i="1"/>
  <c r="BI152" i="1" s="1"/>
  <c r="AJ252" i="1"/>
  <c r="AJ249" i="1"/>
  <c r="EK380" i="1"/>
  <c r="EK206" i="1"/>
  <c r="EZ328" i="1"/>
  <c r="FE268" i="1"/>
  <c r="U50" i="363"/>
  <c r="EZ348" i="1"/>
  <c r="EZ130" i="1"/>
  <c r="DV381" i="1"/>
  <c r="DV149" i="1"/>
  <c r="P29" i="363"/>
  <c r="EF380" i="1"/>
  <c r="EF206" i="1"/>
  <c r="EP209" i="1"/>
  <c r="EL216" i="1"/>
  <c r="EP216" i="1" s="1"/>
  <c r="EK364" i="1"/>
  <c r="ER178" i="1"/>
  <c r="ER193" i="1"/>
  <c r="CX383" i="1"/>
  <c r="CX201" i="1"/>
  <c r="EP382" i="1"/>
  <c r="EP325" i="1"/>
  <c r="EP321" i="1"/>
  <c r="EP317" i="1"/>
  <c r="EP200" i="1"/>
  <c r="EP184" i="1"/>
  <c r="EP329" i="1"/>
  <c r="EU99" i="1"/>
  <c r="EU40" i="1"/>
  <c r="T13" i="363"/>
  <c r="J149" i="1"/>
  <c r="CZ380" i="1"/>
  <c r="CZ206" i="1"/>
  <c r="DJ383" i="1"/>
  <c r="DJ201" i="1"/>
  <c r="DQ146" i="1"/>
  <c r="DF386" i="1"/>
  <c r="DE386" i="1"/>
  <c r="DG386" i="1"/>
  <c r="CC149" i="1"/>
  <c r="ER197" i="1"/>
  <c r="ER191" i="1"/>
  <c r="ER203" i="1"/>
  <c r="ER202" i="1"/>
  <c r="ER263" i="1"/>
  <c r="ER198" i="1"/>
  <c r="ER204" i="1"/>
  <c r="ER196" i="1"/>
  <c r="ER194" i="1"/>
  <c r="ER250" i="1"/>
  <c r="ER192" i="1"/>
  <c r="DH383" i="1"/>
  <c r="DH201" i="1"/>
  <c r="EF383" i="1"/>
  <c r="EF201" i="1"/>
  <c r="CV146" i="1"/>
  <c r="DA146" i="1"/>
  <c r="CC146" i="1"/>
  <c r="DL189" i="1"/>
  <c r="DL148" i="1"/>
  <c r="DL144" i="1"/>
  <c r="DL170" i="1"/>
  <c r="DQ144" i="1"/>
  <c r="DH380" i="1"/>
  <c r="DH206" i="1"/>
  <c r="J146" i="1"/>
  <c r="DG382" i="1"/>
  <c r="DG321" i="1"/>
  <c r="DG325" i="1"/>
  <c r="DG317" i="1"/>
  <c r="DG184" i="1"/>
  <c r="DG200" i="1"/>
  <c r="DG329" i="1"/>
  <c r="FE84" i="1"/>
  <c r="FE79" i="1" s="1"/>
  <c r="EZ79" i="1"/>
  <c r="FE230" i="1" l="1"/>
  <c r="FE157" i="1"/>
  <c r="FE156" i="1" s="1"/>
  <c r="EZ294" i="1"/>
  <c r="U39" i="363"/>
  <c r="U42" i="363" s="1"/>
  <c r="EZ286" i="1"/>
  <c r="FE286" i="1" s="1"/>
  <c r="EZ232" i="1"/>
  <c r="EZ239" i="1" s="1"/>
  <c r="H42" i="363"/>
  <c r="ES107" i="1"/>
  <c r="ES103" i="1"/>
  <c r="ES116" i="1"/>
  <c r="ER116" i="1"/>
  <c r="DL146" i="1"/>
  <c r="DB146" i="1"/>
  <c r="EP383" i="1"/>
  <c r="EP201" i="1"/>
  <c r="EU364" i="1"/>
  <c r="EP364" i="1"/>
  <c r="DL383" i="1"/>
  <c r="DL201" i="1"/>
  <c r="ER142" i="1"/>
  <c r="ER42" i="1"/>
  <c r="O151" i="1"/>
  <c r="O145" i="1"/>
  <c r="O146" i="1" s="1"/>
  <c r="BN152" i="1"/>
  <c r="EU376" i="1"/>
  <c r="EU197" i="1"/>
  <c r="EU191" i="1"/>
  <c r="EU202" i="1"/>
  <c r="EU198" i="1"/>
  <c r="EU194" i="1"/>
  <c r="EU263" i="1"/>
  <c r="EU203" i="1"/>
  <c r="EU196" i="1"/>
  <c r="EU204" i="1"/>
  <c r="EU192" i="1"/>
  <c r="ER195" i="1"/>
  <c r="ER278" i="1"/>
  <c r="ER271" i="1"/>
  <c r="ER273" i="1" s="1"/>
  <c r="EF224" i="1"/>
  <c r="R32" i="363"/>
  <c r="R44" i="363" s="1"/>
  <c r="F53" i="363" s="1"/>
  <c r="EF240" i="1"/>
  <c r="CV387" i="1"/>
  <c r="CY387" i="1"/>
  <c r="CX387" i="1"/>
  <c r="CW387" i="1"/>
  <c r="CU387" i="1"/>
  <c r="FE24" i="1"/>
  <c r="FE20" i="1"/>
  <c r="DG380" i="1"/>
  <c r="DG206" i="1"/>
  <c r="DV224" i="1"/>
  <c r="DV233" i="1" s="1"/>
  <c r="P32" i="363"/>
  <c r="P44" i="363" s="1"/>
  <c r="DV240" i="1"/>
  <c r="ES114" i="1"/>
  <c r="ES117" i="1"/>
  <c r="EQ178" i="1"/>
  <c r="EQ193" i="1"/>
  <c r="FE131" i="1"/>
  <c r="EZ132" i="1"/>
  <c r="EZ175" i="1"/>
  <c r="EZ34" i="1"/>
  <c r="U9" i="363"/>
  <c r="EZ21" i="1"/>
  <c r="DG381" i="1"/>
  <c r="DG149" i="1"/>
  <c r="EZ354" i="1"/>
  <c r="EZ356" i="1" s="1"/>
  <c r="EZ179" i="1"/>
  <c r="EZ82" i="1"/>
  <c r="EZ83" i="1" s="1"/>
  <c r="EZ80" i="1"/>
  <c r="U18" i="363"/>
  <c r="U51" i="363" s="1"/>
  <c r="DL381" i="1"/>
  <c r="DL149" i="1"/>
  <c r="DQ149" i="1"/>
  <c r="EU176" i="1"/>
  <c r="EU106" i="1"/>
  <c r="EU102" i="1"/>
  <c r="EU104" i="1"/>
  <c r="EU105" i="1" s="1"/>
  <c r="EU100" i="1"/>
  <c r="T19" i="363"/>
  <c r="EP217" i="1"/>
  <c r="G26" i="363"/>
  <c r="CW381" i="1"/>
  <c r="CW149" i="1"/>
  <c r="T151" i="1"/>
  <c r="T145" i="1"/>
  <c r="AO249" i="1"/>
  <c r="AO252" i="1"/>
  <c r="CW383" i="1"/>
  <c r="CW201" i="1"/>
  <c r="EA381" i="1"/>
  <c r="EA149" i="1"/>
  <c r="Q29" i="363"/>
  <c r="E54" i="363" s="1"/>
  <c r="ES142" i="1"/>
  <c r="ES42" i="1"/>
  <c r="ET176" i="1"/>
  <c r="ET100" i="1"/>
  <c r="ET106" i="1"/>
  <c r="ET102" i="1"/>
  <c r="ET101" i="1"/>
  <c r="ET104" i="1"/>
  <c r="ET105" i="1" s="1"/>
  <c r="ET111" i="1"/>
  <c r="BD242" i="1"/>
  <c r="BD243" i="1" s="1"/>
  <c r="AY246" i="1"/>
  <c r="DB383" i="1"/>
  <c r="DB201" i="1"/>
  <c r="EU111" i="1"/>
  <c r="DG146" i="1"/>
  <c r="EU250" i="1"/>
  <c r="DB380" i="1"/>
  <c r="DB206" i="1"/>
  <c r="DA387" i="1"/>
  <c r="DD387" i="1"/>
  <c r="DC387" i="1"/>
  <c r="DB387" i="1"/>
  <c r="CZ387" i="1"/>
  <c r="EZ52" i="1"/>
  <c r="EU53" i="1"/>
  <c r="BS152" i="1"/>
  <c r="FE354" i="1"/>
  <c r="FE356" i="1" s="1"/>
  <c r="FE179" i="1"/>
  <c r="FE82" i="1"/>
  <c r="FE83" i="1" s="1"/>
  <c r="FE80" i="1"/>
  <c r="V18" i="363"/>
  <c r="V51" i="363" s="1"/>
  <c r="DG383" i="1"/>
  <c r="DG201" i="1"/>
  <c r="DL380" i="1"/>
  <c r="DL206" i="1"/>
  <c r="FE328" i="1"/>
  <c r="V50" i="363"/>
  <c r="FE130" i="1"/>
  <c r="FE348" i="1"/>
  <c r="CS387" i="1"/>
  <c r="CT387" i="1"/>
  <c r="EP380" i="1"/>
  <c r="EP206" i="1"/>
  <c r="DL224" i="1"/>
  <c r="DL233" i="1" s="1"/>
  <c r="DL240" i="1"/>
  <c r="ER117" i="1"/>
  <c r="ER114" i="1"/>
  <c r="DB381" i="1"/>
  <c r="DB149" i="1"/>
  <c r="CW380" i="1"/>
  <c r="CW206" i="1"/>
  <c r="U152" i="1"/>
  <c r="Z152" i="1"/>
  <c r="FE49" i="1"/>
  <c r="FE47" i="1" s="1"/>
  <c r="DB209" i="1"/>
  <c r="CX216" i="1"/>
  <c r="DB216" i="1" s="1"/>
  <c r="AO257" i="1"/>
  <c r="AO255" i="1"/>
  <c r="DG209" i="1"/>
  <c r="DC216" i="1"/>
  <c r="EA380" i="1"/>
  <c r="EA206" i="1"/>
  <c r="CW209" i="1"/>
  <c r="CS216" i="1"/>
  <c r="CW216" i="1" s="1"/>
  <c r="ES193" i="1"/>
  <c r="ES178" i="1"/>
  <c r="DE387" i="1"/>
  <c r="DF387" i="1"/>
  <c r="DG387" i="1"/>
  <c r="EQ182" i="1"/>
  <c r="EQ199" i="1" s="1"/>
  <c r="EQ140" i="1"/>
  <c r="EQ113" i="1"/>
  <c r="ER183" i="1" s="1"/>
  <c r="ET121" i="1"/>
  <c r="EQ112" i="1"/>
  <c r="EQ115" i="1"/>
  <c r="EQ116" i="1" s="1"/>
  <c r="EQ121" i="1"/>
  <c r="ES121" i="1"/>
  <c r="ER121" i="1"/>
  <c r="AT254" i="1"/>
  <c r="AT248" i="1"/>
  <c r="FE232" i="1" l="1"/>
  <c r="FE239" i="1" s="1"/>
  <c r="FE294" i="1"/>
  <c r="V39" i="363"/>
  <c r="V42" i="363" s="1"/>
  <c r="ET107" i="1"/>
  <c r="ET103" i="1"/>
  <c r="ES213" i="1"/>
  <c r="ES118" i="1"/>
  <c r="EU107" i="1"/>
  <c r="ER118" i="1"/>
  <c r="EU103" i="1"/>
  <c r="ER213" i="1"/>
  <c r="DG216" i="1"/>
  <c r="CW217" i="1"/>
  <c r="DB217" i="1"/>
  <c r="DB224" i="1" s="1"/>
  <c r="DB233" i="1" s="1"/>
  <c r="ER200" i="1"/>
  <c r="ER184" i="1"/>
  <c r="ER201" i="1" s="1"/>
  <c r="AT255" i="1"/>
  <c r="AT257" i="1"/>
  <c r="EQ188" i="1"/>
  <c r="EQ205" i="1" s="1"/>
  <c r="EQ142" i="1"/>
  <c r="EQ42" i="1"/>
  <c r="FE324" i="1"/>
  <c r="AY254" i="1"/>
  <c r="AY248" i="1"/>
  <c r="ET193" i="1"/>
  <c r="ET178" i="1"/>
  <c r="ES188" i="1"/>
  <c r="ES205" i="1" s="1"/>
  <c r="CS388" i="1"/>
  <c r="CT388" i="1"/>
  <c r="EP224" i="1"/>
  <c r="EP240" i="1"/>
  <c r="DA388" i="1"/>
  <c r="DD388" i="1"/>
  <c r="CZ388" i="1"/>
  <c r="DC388" i="1"/>
  <c r="DB388" i="1"/>
  <c r="EZ269" i="1"/>
  <c r="FE175" i="1"/>
  <c r="FE34" i="1"/>
  <c r="FE21" i="1"/>
  <c r="V9" i="363"/>
  <c r="ER143" i="1"/>
  <c r="AT252" i="1"/>
  <c r="AT249" i="1"/>
  <c r="EQ183" i="1"/>
  <c r="EQ114" i="1"/>
  <c r="EQ117" i="1"/>
  <c r="EQ118" i="1" s="1"/>
  <c r="EZ109" i="1"/>
  <c r="U11" i="363"/>
  <c r="EZ36" i="1"/>
  <c r="EZ35" i="1"/>
  <c r="ES195" i="1"/>
  <c r="ES278" i="1"/>
  <c r="ES271" i="1"/>
  <c r="ES273" i="1" s="1"/>
  <c r="CW224" i="1"/>
  <c r="CW233" i="1" s="1"/>
  <c r="CW240" i="1"/>
  <c r="CV388" i="1"/>
  <c r="CY388" i="1"/>
  <c r="CX388" i="1"/>
  <c r="CW388" i="1"/>
  <c r="CU388" i="1"/>
  <c r="FE52" i="1"/>
  <c r="FE43" i="1" s="1"/>
  <c r="EZ43" i="1"/>
  <c r="EU302" i="1"/>
  <c r="EU182" i="1"/>
  <c r="EU140" i="1"/>
  <c r="EU121" i="1"/>
  <c r="EU113" i="1"/>
  <c r="EU112" i="1"/>
  <c r="EU115" i="1"/>
  <c r="BD246" i="1"/>
  <c r="BI242" i="1"/>
  <c r="BI243" i="1" s="1"/>
  <c r="T146" i="1"/>
  <c r="Y146" i="1"/>
  <c r="F26" i="363"/>
  <c r="H26" i="363"/>
  <c r="T16" i="363"/>
  <c r="T21" i="363"/>
  <c r="DF388" i="1"/>
  <c r="DE388" i="1"/>
  <c r="DG388" i="1"/>
  <c r="EZ324" i="1"/>
  <c r="ES183" i="1"/>
  <c r="Q152" i="1"/>
  <c r="O152" i="1"/>
  <c r="O148" i="1"/>
  <c r="O149" i="1" s="1"/>
  <c r="ER188" i="1"/>
  <c r="ER205" i="1" s="1"/>
  <c r="EZ364" i="1"/>
  <c r="FE132" i="1"/>
  <c r="ET182" i="1"/>
  <c r="ET199" i="1" s="1"/>
  <c r="ET115" i="1"/>
  <c r="ET140" i="1"/>
  <c r="ET113" i="1"/>
  <c r="ET112" i="1"/>
  <c r="ES143" i="1"/>
  <c r="T152" i="1"/>
  <c r="V152" i="1"/>
  <c r="T148" i="1"/>
  <c r="EU178" i="1"/>
  <c r="EU193" i="1"/>
  <c r="G27" i="363"/>
  <c r="H18" i="363"/>
  <c r="F19" i="363"/>
  <c r="H19" i="363"/>
  <c r="F18" i="363"/>
  <c r="EQ195" i="1"/>
  <c r="EQ278" i="1"/>
  <c r="EQ271" i="1"/>
  <c r="EQ273" i="1" s="1"/>
  <c r="EZ37" i="1" l="1"/>
  <c r="ET116" i="1"/>
  <c r="H44" i="363"/>
  <c r="H45" i="363"/>
  <c r="DB240" i="1"/>
  <c r="DG217" i="1"/>
  <c r="EU195" i="1"/>
  <c r="EU278" i="1"/>
  <c r="ES148" i="1"/>
  <c r="ES145" i="1"/>
  <c r="ES146" i="1" s="1"/>
  <c r="ES144" i="1"/>
  <c r="ES170" i="1"/>
  <c r="ES209" i="1" s="1"/>
  <c r="ES200" i="1"/>
  <c r="ES184" i="1"/>
  <c r="ES201" i="1" s="1"/>
  <c r="EU377" i="1"/>
  <c r="EU323" i="1"/>
  <c r="EU319" i="1"/>
  <c r="EU315" i="1"/>
  <c r="EU199" i="1"/>
  <c r="EU327" i="1"/>
  <c r="FE44" i="1"/>
  <c r="FE45" i="1"/>
  <c r="FE39" i="1"/>
  <c r="EZ174" i="1"/>
  <c r="EZ222" i="1"/>
  <c r="EZ110" i="1"/>
  <c r="ER148" i="1"/>
  <c r="ER145" i="1"/>
  <c r="ER146" i="1" s="1"/>
  <c r="ER144" i="1"/>
  <c r="ER170" i="1"/>
  <c r="ER209" i="1" s="1"/>
  <c r="EQ213" i="1"/>
  <c r="H27" i="363"/>
  <c r="F27" i="363"/>
  <c r="T149" i="1"/>
  <c r="Y149" i="1"/>
  <c r="FE364" i="1"/>
  <c r="BI246" i="1"/>
  <c r="BN242" i="1"/>
  <c r="BN243" i="1" s="1"/>
  <c r="EU183" i="1"/>
  <c r="EU114" i="1"/>
  <c r="EU117" i="1"/>
  <c r="FE109" i="1"/>
  <c r="FE36" i="1"/>
  <c r="FE35" i="1"/>
  <c r="V11" i="363"/>
  <c r="V10" i="363" s="1"/>
  <c r="AY332" i="1"/>
  <c r="AY331" i="1"/>
  <c r="AY333" i="1"/>
  <c r="AY301" i="1"/>
  <c r="AY252" i="1"/>
  <c r="AY249" i="1"/>
  <c r="EQ143" i="1"/>
  <c r="ET183" i="1"/>
  <c r="ET114" i="1"/>
  <c r="ET117" i="1"/>
  <c r="T22" i="363"/>
  <c r="T56" i="363" s="1"/>
  <c r="BD254" i="1"/>
  <c r="BD248" i="1"/>
  <c r="FE269" i="1"/>
  <c r="AY257" i="1"/>
  <c r="AY255" i="1"/>
  <c r="ET188" i="1"/>
  <c r="ET205" i="1" s="1"/>
  <c r="ET142" i="1"/>
  <c r="ET42" i="1"/>
  <c r="EU42" i="1" s="1"/>
  <c r="EU116" i="1"/>
  <c r="H48" i="363"/>
  <c r="EU188" i="1"/>
  <c r="EZ45" i="1"/>
  <c r="EZ46" i="1" s="1"/>
  <c r="EZ44" i="1"/>
  <c r="EZ39" i="1"/>
  <c r="U10" i="363"/>
  <c r="EQ200" i="1"/>
  <c r="EQ184" i="1"/>
  <c r="EQ201" i="1" s="1"/>
  <c r="ET195" i="1"/>
  <c r="ET271" i="1"/>
  <c r="ET278" i="1"/>
  <c r="FE37" i="1" l="1"/>
  <c r="I42" i="363"/>
  <c r="ET213" i="1"/>
  <c r="ET118" i="1"/>
  <c r="ES149" i="1"/>
  <c r="ER149" i="1"/>
  <c r="DG224" i="1"/>
  <c r="DG240" i="1"/>
  <c r="EU271" i="1"/>
  <c r="ET273" i="1"/>
  <c r="ET184" i="1"/>
  <c r="ET201" i="1" s="1"/>
  <c r="ET200" i="1"/>
  <c r="BN246" i="1"/>
  <c r="BS242" i="1"/>
  <c r="BS243" i="1" s="1"/>
  <c r="FE99" i="1"/>
  <c r="FE111" i="1" s="1"/>
  <c r="V13" i="363"/>
  <c r="FE40" i="1"/>
  <c r="EZ99" i="1"/>
  <c r="EZ40" i="1"/>
  <c r="U13" i="363"/>
  <c r="EU379" i="1"/>
  <c r="EU205" i="1"/>
  <c r="FE222" i="1"/>
  <c r="FE174" i="1"/>
  <c r="FE110" i="1"/>
  <c r="EU118" i="1"/>
  <c r="H49" i="363"/>
  <c r="BI254" i="1"/>
  <c r="BI248" i="1"/>
  <c r="EU142" i="1"/>
  <c r="FE46" i="1"/>
  <c r="ET143" i="1"/>
  <c r="BD333" i="1"/>
  <c r="BD332" i="1"/>
  <c r="BD331" i="1"/>
  <c r="BD301" i="1"/>
  <c r="BD252" i="1"/>
  <c r="BD249" i="1"/>
  <c r="EQ275" i="1"/>
  <c r="BD257" i="1"/>
  <c r="BD255" i="1"/>
  <c r="EQ189" i="1"/>
  <c r="EQ206" i="1" s="1"/>
  <c r="EQ148" i="1"/>
  <c r="EQ149" i="1" s="1"/>
  <c r="EQ144" i="1"/>
  <c r="EQ145" i="1"/>
  <c r="EQ146" i="1" s="1"/>
  <c r="EQ170" i="1"/>
  <c r="EQ209" i="1" s="1"/>
  <c r="EU382" i="1"/>
  <c r="EU325" i="1"/>
  <c r="EU317" i="1"/>
  <c r="EU321" i="1"/>
  <c r="EU200" i="1"/>
  <c r="EU184" i="1"/>
  <c r="EU329" i="1"/>
  <c r="ER189" i="1"/>
  <c r="ER206" i="1" s="1"/>
  <c r="EZ376" i="1"/>
  <c r="EZ191" i="1"/>
  <c r="EZ197" i="1"/>
  <c r="EZ202" i="1"/>
  <c r="EZ250" i="1"/>
  <c r="EZ203" i="1"/>
  <c r="EZ204" i="1"/>
  <c r="EZ198" i="1"/>
  <c r="EZ263" i="1"/>
  <c r="EZ194" i="1"/>
  <c r="EZ196" i="1"/>
  <c r="EZ192" i="1"/>
  <c r="ES189" i="1"/>
  <c r="ES206" i="1" s="1"/>
  <c r="J42" i="363" l="1"/>
  <c r="EU213" i="1"/>
  <c r="EU214" i="1" s="1"/>
  <c r="DG233" i="1"/>
  <c r="EQ284" i="1"/>
  <c r="ER275" i="1"/>
  <c r="EQ280" i="1"/>
  <c r="ET189" i="1"/>
  <c r="ET206" i="1" s="1"/>
  <c r="ET170" i="1"/>
  <c r="ET209" i="1" s="1"/>
  <c r="ET148" i="1"/>
  <c r="ET145" i="1"/>
  <c r="ET146" i="1" s="1"/>
  <c r="ET144" i="1"/>
  <c r="BI257" i="1"/>
  <c r="BI255" i="1"/>
  <c r="FE182" i="1"/>
  <c r="FE140" i="1"/>
  <c r="FE115" i="1"/>
  <c r="FE121" i="1"/>
  <c r="FE113" i="1"/>
  <c r="EZ302" i="1"/>
  <c r="FE376" i="1"/>
  <c r="FE191" i="1"/>
  <c r="FE197" i="1"/>
  <c r="FE202" i="1"/>
  <c r="FE203" i="1"/>
  <c r="FE250" i="1"/>
  <c r="FE204" i="1"/>
  <c r="FE198" i="1"/>
  <c r="FE263" i="1"/>
  <c r="FE194" i="1"/>
  <c r="FE196" i="1"/>
  <c r="FE192" i="1"/>
  <c r="EU383" i="1"/>
  <c r="EU201" i="1"/>
  <c r="EU141" i="1"/>
  <c r="T25" i="363"/>
  <c r="T27" i="363" s="1"/>
  <c r="EU143" i="1"/>
  <c r="FE176" i="1"/>
  <c r="FE100" i="1"/>
  <c r="FE104" i="1"/>
  <c r="FE106" i="1"/>
  <c r="FE102" i="1"/>
  <c r="V19" i="363"/>
  <c r="BX242" i="1"/>
  <c r="BX243" i="1" s="1"/>
  <c r="BS246" i="1"/>
  <c r="BI333" i="1"/>
  <c r="BI332" i="1"/>
  <c r="BI301" i="1"/>
  <c r="BI331" i="1"/>
  <c r="BI252" i="1"/>
  <c r="BI249" i="1"/>
  <c r="EZ176" i="1"/>
  <c r="EZ100" i="1"/>
  <c r="EZ106" i="1"/>
  <c r="EZ102" i="1"/>
  <c r="EZ104" i="1"/>
  <c r="EZ105" i="1" s="1"/>
  <c r="U19" i="363"/>
  <c r="EZ111" i="1"/>
  <c r="BN254" i="1"/>
  <c r="BN248" i="1"/>
  <c r="EU272" i="1"/>
  <c r="EZ272" i="1" s="1"/>
  <c r="EU273" i="1"/>
  <c r="EZ107" i="1" l="1"/>
  <c r="EZ103" i="1"/>
  <c r="I44" i="363" s="1"/>
  <c r="FE107" i="1"/>
  <c r="FE105" i="1"/>
  <c r="ET149" i="1"/>
  <c r="I45" i="363"/>
  <c r="EZ182" i="1"/>
  <c r="EZ140" i="1"/>
  <c r="EZ121" i="1"/>
  <c r="EZ113" i="1"/>
  <c r="EZ112" i="1"/>
  <c r="EZ115" i="1"/>
  <c r="BX246" i="1"/>
  <c r="CC242" i="1"/>
  <c r="CC243" i="1" s="1"/>
  <c r="ES275" i="1"/>
  <c r="ER280" i="1"/>
  <c r="FE272" i="1"/>
  <c r="U16" i="363"/>
  <c r="U21" i="363"/>
  <c r="V16" i="363"/>
  <c r="V21" i="363"/>
  <c r="J48" i="363"/>
  <c r="BN255" i="1"/>
  <c r="BN257" i="1"/>
  <c r="BN331" i="1"/>
  <c r="BN333" i="1"/>
  <c r="BN301" i="1"/>
  <c r="BN332" i="1"/>
  <c r="BN252" i="1"/>
  <c r="BN249" i="1"/>
  <c r="EZ193" i="1"/>
  <c r="EZ178" i="1"/>
  <c r="EZ271" i="1" s="1"/>
  <c r="EZ273" i="1" s="1"/>
  <c r="FE103" i="1"/>
  <c r="FE193" i="1"/>
  <c r="FE178" i="1"/>
  <c r="FE302" i="1"/>
  <c r="FE112" i="1"/>
  <c r="FE188" i="1"/>
  <c r="FE142" i="1"/>
  <c r="FE42" i="1"/>
  <c r="EU209" i="1"/>
  <c r="BS254" i="1"/>
  <c r="BS248" i="1"/>
  <c r="EU189" i="1"/>
  <c r="EU148" i="1"/>
  <c r="EU144" i="1"/>
  <c r="EU145" i="1"/>
  <c r="EU146" i="1" s="1"/>
  <c r="EU170" i="1"/>
  <c r="FE183" i="1"/>
  <c r="FE117" i="1"/>
  <c r="FE377" i="1"/>
  <c r="FE323" i="1"/>
  <c r="FE319" i="1"/>
  <c r="FE315" i="1"/>
  <c r="FE199" i="1"/>
  <c r="FE327" i="1"/>
  <c r="EQ279" i="1"/>
  <c r="ER284" i="1"/>
  <c r="EQ287" i="1"/>
  <c r="EQ122" i="1" s="1"/>
  <c r="EQ288" i="1" l="1"/>
  <c r="FE116" i="1"/>
  <c r="FE114" i="1"/>
  <c r="J44" i="363"/>
  <c r="J45" i="363"/>
  <c r="J49" i="363"/>
  <c r="BS332" i="1"/>
  <c r="BS331" i="1"/>
  <c r="BS333" i="1"/>
  <c r="BS301" i="1"/>
  <c r="BS249" i="1"/>
  <c r="BS252" i="1"/>
  <c r="FE213" i="1"/>
  <c r="V25" i="363"/>
  <c r="U22" i="363"/>
  <c r="ER279" i="1"/>
  <c r="BX254" i="1"/>
  <c r="BX248" i="1"/>
  <c r="BS257" i="1"/>
  <c r="BS255" i="1"/>
  <c r="FE143" i="1"/>
  <c r="EZ195" i="1"/>
  <c r="EZ278" i="1"/>
  <c r="ET275" i="1"/>
  <c r="ES280" i="1"/>
  <c r="EZ116" i="1"/>
  <c r="I48" i="363"/>
  <c r="EZ188" i="1"/>
  <c r="EZ142" i="1"/>
  <c r="EZ42" i="1"/>
  <c r="EQ123" i="1"/>
  <c r="FE382" i="1"/>
  <c r="FE325" i="1"/>
  <c r="FE321" i="1"/>
  <c r="FE317" i="1"/>
  <c r="FE200" i="1"/>
  <c r="FE184" i="1"/>
  <c r="FE329" i="1"/>
  <c r="EU381" i="1"/>
  <c r="EU149" i="1"/>
  <c r="T29" i="363"/>
  <c r="H54" i="363" s="1"/>
  <c r="FE379" i="1"/>
  <c r="FE205" i="1"/>
  <c r="FE195" i="1"/>
  <c r="FE278" i="1"/>
  <c r="V27" i="363"/>
  <c r="V22" i="363"/>
  <c r="FE271" i="1"/>
  <c r="FE273" i="1" s="1"/>
  <c r="EZ377" i="1"/>
  <c r="EZ323" i="1"/>
  <c r="EZ319" i="1"/>
  <c r="EZ315" i="1"/>
  <c r="EZ199" i="1"/>
  <c r="EZ327" i="1"/>
  <c r="ES284" i="1"/>
  <c r="ER287" i="1"/>
  <c r="ER288" i="1" s="1"/>
  <c r="EU380" i="1"/>
  <c r="EU206" i="1"/>
  <c r="CC246" i="1"/>
  <c r="CH242" i="1"/>
  <c r="CH243" i="1" s="1"/>
  <c r="CD242" i="1"/>
  <c r="CD243" i="1" s="1"/>
  <c r="EZ183" i="1"/>
  <c r="EZ114" i="1"/>
  <c r="EZ117" i="1"/>
  <c r="EZ143" i="1" l="1"/>
  <c r="CC254" i="1"/>
  <c r="CC248" i="1"/>
  <c r="ER122" i="1"/>
  <c r="EZ379" i="1"/>
  <c r="EZ205" i="1"/>
  <c r="EU275" i="1"/>
  <c r="ET280" i="1"/>
  <c r="BX333" i="1"/>
  <c r="BX332" i="1"/>
  <c r="BX331" i="1"/>
  <c r="BX301" i="1"/>
  <c r="BX252" i="1"/>
  <c r="BX249" i="1"/>
  <c r="EZ382" i="1"/>
  <c r="EZ321" i="1"/>
  <c r="EZ317" i="1"/>
  <c r="EZ325" i="1"/>
  <c r="EZ200" i="1"/>
  <c r="EZ184" i="1"/>
  <c r="EZ329" i="1"/>
  <c r="FE383" i="1"/>
  <c r="FE201" i="1"/>
  <c r="BX257" i="1"/>
  <c r="BX255" i="1"/>
  <c r="G17" i="363"/>
  <c r="U56" i="363"/>
  <c r="CD246" i="1"/>
  <c r="CE242" i="1"/>
  <c r="CE243" i="1" s="1"/>
  <c r="ET284" i="1"/>
  <c r="ES287" i="1"/>
  <c r="ES288" i="1" s="1"/>
  <c r="V56" i="363"/>
  <c r="EZ118" i="1"/>
  <c r="I49" i="363"/>
  <c r="CH246" i="1"/>
  <c r="CI242" i="1"/>
  <c r="CI243" i="1" s="1"/>
  <c r="CM242" i="1"/>
  <c r="CM243" i="1" s="1"/>
  <c r="EZ213" i="1"/>
  <c r="U25" i="363"/>
  <c r="U27" i="363" s="1"/>
  <c r="ES279" i="1"/>
  <c r="FE189" i="1"/>
  <c r="FE145" i="1"/>
  <c r="FE148" i="1"/>
  <c r="FE170" i="1"/>
  <c r="FE209" i="1" s="1"/>
  <c r="FE118" i="1"/>
  <c r="EZ145" i="1" l="1"/>
  <c r="EZ146" i="1" s="1"/>
  <c r="EZ170" i="1"/>
  <c r="EZ209" i="1" s="1"/>
  <c r="EZ189" i="1"/>
  <c r="EZ380" i="1" s="1"/>
  <c r="EZ144" i="1"/>
  <c r="FE144" i="1"/>
  <c r="EZ148" i="1"/>
  <c r="CH254" i="1"/>
  <c r="CH248" i="1"/>
  <c r="CD254" i="1"/>
  <c r="CD248" i="1"/>
  <c r="CC257" i="1"/>
  <c r="CC255" i="1"/>
  <c r="CF242" i="1"/>
  <c r="CF243" i="1" s="1"/>
  <c r="CE246" i="1"/>
  <c r="CC333" i="1"/>
  <c r="CC332" i="1"/>
  <c r="CC331" i="1"/>
  <c r="CC301" i="1"/>
  <c r="CC252" i="1"/>
  <c r="CC249" i="1"/>
  <c r="CC126" i="1"/>
  <c r="CC127" i="1" s="1"/>
  <c r="FE380" i="1"/>
  <c r="FE206" i="1"/>
  <c r="FE381" i="1"/>
  <c r="V29" i="363"/>
  <c r="J54" i="363" s="1"/>
  <c r="CI246" i="1"/>
  <c r="CJ242" i="1"/>
  <c r="CJ243" i="1" s="1"/>
  <c r="EZ275" i="1"/>
  <c r="EU280" i="1"/>
  <c r="CM246" i="1"/>
  <c r="CR242" i="1"/>
  <c r="CR243" i="1" s="1"/>
  <c r="CN242" i="1"/>
  <c r="CN243" i="1" s="1"/>
  <c r="EU284" i="1"/>
  <c r="ET287" i="1"/>
  <c r="ET288" i="1" s="1"/>
  <c r="H17" i="363"/>
  <c r="H21" i="363" s="1"/>
  <c r="H24" i="363" s="1"/>
  <c r="F17" i="363"/>
  <c r="F21" i="363" s="1"/>
  <c r="F24" i="363" s="1"/>
  <c r="G21" i="363"/>
  <c r="G24" i="363" s="1"/>
  <c r="EZ383" i="1"/>
  <c r="EZ201" i="1"/>
  <c r="ET279" i="1"/>
  <c r="ES122" i="1"/>
  <c r="ER123" i="1"/>
  <c r="EZ149" i="1"/>
  <c r="EZ381" i="1" l="1"/>
  <c r="U29" i="363"/>
  <c r="I54" i="363" s="1"/>
  <c r="FE149" i="1"/>
  <c r="EZ206" i="1"/>
  <c r="FE146" i="1"/>
  <c r="CN246" i="1"/>
  <c r="CO242" i="1"/>
  <c r="CO243" i="1" s="1"/>
  <c r="CF246" i="1"/>
  <c r="CG242" i="1"/>
  <c r="CG243" i="1" s="1"/>
  <c r="CG246" i="1" s="1"/>
  <c r="CR246" i="1"/>
  <c r="CS242" i="1"/>
  <c r="CJ246" i="1"/>
  <c r="CK242" i="1"/>
  <c r="CK243" i="1" s="1"/>
  <c r="CD255" i="1"/>
  <c r="CD257" i="1"/>
  <c r="CD301" i="1"/>
  <c r="CD252" i="1"/>
  <c r="CD249" i="1"/>
  <c r="ET122" i="1"/>
  <c r="ET123" i="1" s="1"/>
  <c r="ES123" i="1"/>
  <c r="CM254" i="1"/>
  <c r="CM248" i="1"/>
  <c r="CI254" i="1"/>
  <c r="CI248" i="1"/>
  <c r="CH333" i="1"/>
  <c r="CH331" i="1"/>
  <c r="CH332" i="1"/>
  <c r="CH301" i="1"/>
  <c r="CH252" i="1"/>
  <c r="CH249" i="1"/>
  <c r="CH126" i="1"/>
  <c r="CH127" i="1" s="1"/>
  <c r="FE275" i="1"/>
  <c r="EZ280" i="1"/>
  <c r="EZ284" i="1"/>
  <c r="EU287" i="1"/>
  <c r="EU279" i="1"/>
  <c r="CE254" i="1"/>
  <c r="CE248" i="1"/>
  <c r="CH255" i="1"/>
  <c r="CH257" i="1"/>
  <c r="FE280" i="1" l="1"/>
  <c r="FE279" i="1" s="1"/>
  <c r="CG254" i="1"/>
  <c r="CG248" i="1"/>
  <c r="CE301" i="1"/>
  <c r="CE249" i="1"/>
  <c r="CE252" i="1"/>
  <c r="T53" i="363"/>
  <c r="EU122" i="1"/>
  <c r="EZ279" i="1"/>
  <c r="CM331" i="1"/>
  <c r="CM332" i="1"/>
  <c r="CM301" i="1"/>
  <c r="CM333" i="1"/>
  <c r="CM249" i="1"/>
  <c r="CM252" i="1"/>
  <c r="CM126" i="1"/>
  <c r="CM127" i="1" s="1"/>
  <c r="CW242" i="1"/>
  <c r="CW243" i="1" s="1"/>
  <c r="CS243" i="1"/>
  <c r="CF254" i="1"/>
  <c r="CF248" i="1"/>
  <c r="CI255" i="1"/>
  <c r="CI257" i="1"/>
  <c r="CE255" i="1"/>
  <c r="CE257" i="1"/>
  <c r="FE284" i="1"/>
  <c r="FE287" i="1" s="1"/>
  <c r="V53" i="363" s="1"/>
  <c r="EZ287" i="1"/>
  <c r="U53" i="363" s="1"/>
  <c r="CM255" i="1"/>
  <c r="CM257" i="1"/>
  <c r="CR254" i="1"/>
  <c r="CR248" i="1"/>
  <c r="CO246" i="1"/>
  <c r="CP242" i="1"/>
  <c r="CP243" i="1" s="1"/>
  <c r="CJ248" i="1"/>
  <c r="CJ254" i="1"/>
  <c r="EU288" i="1"/>
  <c r="CI331" i="1"/>
  <c r="CI332" i="1"/>
  <c r="CI333" i="1"/>
  <c r="CI301" i="1"/>
  <c r="CI249" i="1"/>
  <c r="CI252" i="1"/>
  <c r="CI126" i="1"/>
  <c r="CI127" i="1" s="1"/>
  <c r="CK246" i="1"/>
  <c r="CL242" i="1"/>
  <c r="CL243" i="1" s="1"/>
  <c r="CL246" i="1" s="1"/>
  <c r="CN254" i="1"/>
  <c r="CN248" i="1"/>
  <c r="EZ288" i="1" l="1"/>
  <c r="FE288" i="1"/>
  <c r="CN255" i="1"/>
  <c r="CN257" i="1"/>
  <c r="CJ331" i="1"/>
  <c r="CJ332" i="1"/>
  <c r="CJ333" i="1"/>
  <c r="CJ301" i="1"/>
  <c r="CJ252" i="1"/>
  <c r="CJ249" i="1"/>
  <c r="CJ126" i="1"/>
  <c r="CJ127" i="1" s="1"/>
  <c r="CR257" i="1"/>
  <c r="CR255" i="1"/>
  <c r="CF301" i="1"/>
  <c r="CF252" i="1"/>
  <c r="CF249" i="1"/>
  <c r="CL254" i="1"/>
  <c r="CL248" i="1"/>
  <c r="CP246" i="1"/>
  <c r="CQ242" i="1"/>
  <c r="CQ243" i="1" s="1"/>
  <c r="CQ246" i="1" s="1"/>
  <c r="U57" i="363"/>
  <c r="CF255" i="1"/>
  <c r="CF257" i="1"/>
  <c r="EZ122" i="1"/>
  <c r="EU123" i="1"/>
  <c r="H50" i="363" s="1"/>
  <c r="CK254" i="1"/>
  <c r="CK248" i="1"/>
  <c r="CO254" i="1"/>
  <c r="CO248" i="1"/>
  <c r="V57" i="363"/>
  <c r="CS246" i="1"/>
  <c r="CT242" i="1"/>
  <c r="CT243" i="1" s="1"/>
  <c r="T57" i="363"/>
  <c r="CG301" i="1"/>
  <c r="CG252" i="1"/>
  <c r="CG249" i="1"/>
  <c r="CN331" i="1"/>
  <c r="CN332" i="1"/>
  <c r="CN333" i="1"/>
  <c r="CN301" i="1"/>
  <c r="CN252" i="1"/>
  <c r="CN249" i="1"/>
  <c r="CN126" i="1"/>
  <c r="CN127" i="1" s="1"/>
  <c r="CJ255" i="1"/>
  <c r="CJ257" i="1"/>
  <c r="CR331" i="1"/>
  <c r="CR332" i="1"/>
  <c r="CR333" i="1"/>
  <c r="CR301" i="1"/>
  <c r="CR252" i="1"/>
  <c r="CR249" i="1"/>
  <c r="CR126" i="1"/>
  <c r="CR127" i="1" s="1"/>
  <c r="CW246" i="1"/>
  <c r="DB242" i="1"/>
  <c r="DB243" i="1" s="1"/>
  <c r="CX242" i="1"/>
  <c r="CX243" i="1" s="1"/>
  <c r="CG257" i="1"/>
  <c r="CG255" i="1"/>
  <c r="CX246" i="1" l="1"/>
  <c r="CY242" i="1"/>
  <c r="CY243" i="1" s="1"/>
  <c r="CT246" i="1"/>
  <c r="CU242" i="1"/>
  <c r="CU243" i="1" s="1"/>
  <c r="CO332" i="1"/>
  <c r="CO333" i="1"/>
  <c r="CO331" i="1"/>
  <c r="CO301" i="1"/>
  <c r="CO252" i="1"/>
  <c r="CO249" i="1"/>
  <c r="CO126" i="1"/>
  <c r="CO127" i="1" s="1"/>
  <c r="CK257" i="1"/>
  <c r="CK255" i="1"/>
  <c r="CQ254" i="1"/>
  <c r="CQ248" i="1"/>
  <c r="DB246" i="1"/>
  <c r="DG242" i="1"/>
  <c r="DG243" i="1" s="1"/>
  <c r="DC242" i="1"/>
  <c r="DC243" i="1" s="1"/>
  <c r="CS254" i="1"/>
  <c r="CS248" i="1"/>
  <c r="CO257" i="1"/>
  <c r="CO255" i="1"/>
  <c r="CP254" i="1"/>
  <c r="CP248" i="1"/>
  <c r="CW248" i="1"/>
  <c r="CL333" i="1"/>
  <c r="CL331" i="1"/>
  <c r="CL301" i="1"/>
  <c r="CL332" i="1"/>
  <c r="CL252" i="1"/>
  <c r="CL249" i="1"/>
  <c r="CL126" i="1"/>
  <c r="CL127" i="1" s="1"/>
  <c r="CK332" i="1"/>
  <c r="CK333" i="1"/>
  <c r="CK301" i="1"/>
  <c r="CK331" i="1"/>
  <c r="CK252" i="1"/>
  <c r="CK249" i="1"/>
  <c r="CK126" i="1"/>
  <c r="CK127" i="1" s="1"/>
  <c r="FE122" i="1"/>
  <c r="FE123" i="1" s="1"/>
  <c r="J50" i="363" s="1"/>
  <c r="EZ123" i="1"/>
  <c r="I50" i="363" s="1"/>
  <c r="CL255" i="1"/>
  <c r="CL257" i="1"/>
  <c r="CP333" i="1" l="1"/>
  <c r="CP331" i="1"/>
  <c r="CP301" i="1"/>
  <c r="CP332" i="1"/>
  <c r="CP252" i="1"/>
  <c r="CP249" i="1"/>
  <c r="CP126" i="1"/>
  <c r="CP127" i="1" s="1"/>
  <c r="CS346" i="1"/>
  <c r="CS352" i="1" s="1"/>
  <c r="CS301" i="1"/>
  <c r="CS249" i="1"/>
  <c r="CS126" i="1"/>
  <c r="CS127" i="1" s="1"/>
  <c r="CS331" i="1"/>
  <c r="CS252" i="1"/>
  <c r="CS347" i="1" s="1"/>
  <c r="CS351" i="1" s="1"/>
  <c r="CS332" i="1"/>
  <c r="CS333" i="1"/>
  <c r="DB248" i="1"/>
  <c r="CV242" i="1"/>
  <c r="CV243" i="1" s="1"/>
  <c r="CV246" i="1" s="1"/>
  <c r="CU246" i="1"/>
  <c r="CP255" i="1"/>
  <c r="CP257" i="1"/>
  <c r="CS257" i="1"/>
  <c r="CS255" i="1"/>
  <c r="CQ331" i="1"/>
  <c r="CQ332" i="1"/>
  <c r="CQ301" i="1"/>
  <c r="CQ333" i="1"/>
  <c r="CQ249" i="1"/>
  <c r="CQ252" i="1"/>
  <c r="CQ126" i="1"/>
  <c r="CQ127" i="1" s="1"/>
  <c r="CT254" i="1"/>
  <c r="CT248" i="1"/>
  <c r="CW346" i="1"/>
  <c r="CW352" i="1" s="1"/>
  <c r="CW335" i="1"/>
  <c r="CW301" i="1"/>
  <c r="CW308" i="1" s="1"/>
  <c r="CW249" i="1"/>
  <c r="CW126" i="1"/>
  <c r="CW127" i="1" s="1"/>
  <c r="CW331" i="1"/>
  <c r="CW252" i="1"/>
  <c r="CW347" i="1" s="1"/>
  <c r="CW351" i="1" s="1"/>
  <c r="CW332" i="1"/>
  <c r="CW333" i="1"/>
  <c r="DC246" i="1"/>
  <c r="DD242" i="1"/>
  <c r="DD243" i="1" s="1"/>
  <c r="CQ255" i="1"/>
  <c r="CQ257" i="1"/>
  <c r="CY246" i="1"/>
  <c r="CZ242" i="1"/>
  <c r="CZ243" i="1" s="1"/>
  <c r="DG246" i="1"/>
  <c r="DL242" i="1"/>
  <c r="DL243" i="1" s="1"/>
  <c r="DH242" i="1"/>
  <c r="DH243" i="1" s="1"/>
  <c r="CX248" i="1"/>
  <c r="CX254" i="1"/>
  <c r="CX346" i="1" l="1"/>
  <c r="CX352" i="1" s="1"/>
  <c r="CX301" i="1"/>
  <c r="CX308" i="1" s="1"/>
  <c r="CX249" i="1"/>
  <c r="CX126" i="1"/>
  <c r="CX127" i="1" s="1"/>
  <c r="CX331" i="1"/>
  <c r="CX252" i="1"/>
  <c r="CX347" i="1" s="1"/>
  <c r="CX351" i="1" s="1"/>
  <c r="CX333" i="1"/>
  <c r="CX332" i="1"/>
  <c r="CZ246" i="1"/>
  <c r="DA242" i="1"/>
  <c r="DA243" i="1" s="1"/>
  <c r="DA246" i="1" s="1"/>
  <c r="DE242" i="1"/>
  <c r="DE243" i="1" s="1"/>
  <c r="DD246" i="1"/>
  <c r="CW358" i="1"/>
  <c r="CW370" i="1" s="1"/>
  <c r="CW361" i="1"/>
  <c r="CW373" i="1" s="1"/>
  <c r="CW367" i="1"/>
  <c r="CW311" i="1"/>
  <c r="CW309" i="1"/>
  <c r="CT257" i="1"/>
  <c r="CT255" i="1"/>
  <c r="DB346" i="1"/>
  <c r="DB352" i="1" s="1"/>
  <c r="DB335" i="1"/>
  <c r="DB301" i="1"/>
  <c r="DB308" i="1" s="1"/>
  <c r="DB249" i="1"/>
  <c r="DB126" i="1"/>
  <c r="DB127" i="1" s="1"/>
  <c r="DB333" i="1"/>
  <c r="DB331" i="1"/>
  <c r="DB332" i="1"/>
  <c r="DB252" i="1"/>
  <c r="DB347" i="1" s="1"/>
  <c r="DB351" i="1" s="1"/>
  <c r="CS359" i="1"/>
  <c r="CS371" i="1" s="1"/>
  <c r="CS362" i="1"/>
  <c r="CS374" i="1" s="1"/>
  <c r="CS368" i="1"/>
  <c r="DH246" i="1"/>
  <c r="DI242" i="1"/>
  <c r="DI243" i="1" s="1"/>
  <c r="CY254" i="1"/>
  <c r="CY248" i="1"/>
  <c r="DC254" i="1"/>
  <c r="DC248" i="1"/>
  <c r="CU248" i="1"/>
  <c r="CU254" i="1"/>
  <c r="DL246" i="1"/>
  <c r="DQ242" i="1"/>
  <c r="DQ243" i="1" s="1"/>
  <c r="DM242" i="1"/>
  <c r="DM243" i="1" s="1"/>
  <c r="CW359" i="1"/>
  <c r="CW371" i="1" s="1"/>
  <c r="CW362" i="1"/>
  <c r="CW374" i="1" s="1"/>
  <c r="CW368" i="1"/>
  <c r="CV254" i="1"/>
  <c r="CV248" i="1"/>
  <c r="CX257" i="1"/>
  <c r="CX255" i="1"/>
  <c r="DG248" i="1"/>
  <c r="CT346" i="1"/>
  <c r="CT352" i="1" s="1"/>
  <c r="CT301" i="1"/>
  <c r="CT249" i="1"/>
  <c r="CT126" i="1"/>
  <c r="CT127" i="1" s="1"/>
  <c r="CT333" i="1"/>
  <c r="CT331" i="1"/>
  <c r="CT332" i="1"/>
  <c r="CT252" i="1"/>
  <c r="CT347" i="1" s="1"/>
  <c r="CT351" i="1" s="1"/>
  <c r="CS358" i="1"/>
  <c r="CS370" i="1" s="1"/>
  <c r="CS361" i="1"/>
  <c r="CS373" i="1" s="1"/>
  <c r="CS367" i="1"/>
  <c r="CT358" i="1" l="1"/>
  <c r="CT370" i="1" s="1"/>
  <c r="CT361" i="1"/>
  <c r="CT373" i="1" s="1"/>
  <c r="CT367" i="1"/>
  <c r="DG346" i="1"/>
  <c r="DG352" i="1" s="1"/>
  <c r="DG335" i="1"/>
  <c r="DG301" i="1"/>
  <c r="DG308" i="1" s="1"/>
  <c r="DG249" i="1"/>
  <c r="DG126" i="1"/>
  <c r="DG127" i="1" s="1"/>
  <c r="DG332" i="1"/>
  <c r="DG333" i="1"/>
  <c r="DG331" i="1"/>
  <c r="DG252" i="1"/>
  <c r="DG347" i="1" s="1"/>
  <c r="DG351" i="1" s="1"/>
  <c r="CV346" i="1"/>
  <c r="CV352" i="1" s="1"/>
  <c r="CV335" i="1"/>
  <c r="CV301" i="1"/>
  <c r="CV308" i="1" s="1"/>
  <c r="CV249" i="1"/>
  <c r="CV126" i="1"/>
  <c r="CV127" i="1" s="1"/>
  <c r="CV332" i="1"/>
  <c r="CV333" i="1"/>
  <c r="CV252" i="1"/>
  <c r="CV347" i="1" s="1"/>
  <c r="CV351" i="1" s="1"/>
  <c r="CV331" i="1"/>
  <c r="CW400" i="1"/>
  <c r="CW399" i="1"/>
  <c r="CU255" i="1"/>
  <c r="CU257" i="1"/>
  <c r="CY346" i="1"/>
  <c r="CY352" i="1" s="1"/>
  <c r="CY301" i="1"/>
  <c r="CY308" i="1" s="1"/>
  <c r="CY249" i="1"/>
  <c r="CY126" i="1"/>
  <c r="CY127" i="1" s="1"/>
  <c r="CY332" i="1"/>
  <c r="CY252" i="1"/>
  <c r="CY347" i="1" s="1"/>
  <c r="CY351" i="1" s="1"/>
  <c r="CY331" i="1"/>
  <c r="CY333" i="1"/>
  <c r="CS394" i="1"/>
  <c r="CS393" i="1"/>
  <c r="DD254" i="1"/>
  <c r="DD248" i="1"/>
  <c r="CS391" i="1"/>
  <c r="CS390" i="1"/>
  <c r="CV257" i="1"/>
  <c r="CV255" i="1"/>
  <c r="CW254" i="1"/>
  <c r="DM246" i="1"/>
  <c r="DN242" i="1"/>
  <c r="DN243" i="1" s="1"/>
  <c r="CU346" i="1"/>
  <c r="CU352" i="1" s="1"/>
  <c r="CU335" i="1"/>
  <c r="CU301" i="1"/>
  <c r="CU308" i="1" s="1"/>
  <c r="CU249" i="1"/>
  <c r="CU126" i="1"/>
  <c r="CU127" i="1" s="1"/>
  <c r="CU252" i="1"/>
  <c r="CU347" i="1" s="1"/>
  <c r="CU351" i="1" s="1"/>
  <c r="CU331" i="1"/>
  <c r="CU332" i="1"/>
  <c r="CU333" i="1"/>
  <c r="CY257" i="1"/>
  <c r="CY255" i="1"/>
  <c r="CS406" i="1"/>
  <c r="CS405" i="1"/>
  <c r="DB311" i="1"/>
  <c r="DB309" i="1"/>
  <c r="CW391" i="1"/>
  <c r="CW390" i="1"/>
  <c r="DE246" i="1"/>
  <c r="DF242" i="1"/>
  <c r="DF243" i="1" s="1"/>
  <c r="DF246" i="1" s="1"/>
  <c r="CS403" i="1"/>
  <c r="CS402" i="1"/>
  <c r="CW394" i="1"/>
  <c r="CW393" i="1"/>
  <c r="DV242" i="1"/>
  <c r="DV243" i="1" s="1"/>
  <c r="DR242" i="1"/>
  <c r="DR243" i="1" s="1"/>
  <c r="DQ246" i="1"/>
  <c r="DC346" i="1"/>
  <c r="DC352" i="1" s="1"/>
  <c r="DC301" i="1"/>
  <c r="DC308" i="1" s="1"/>
  <c r="DC249" i="1"/>
  <c r="DC333" i="1"/>
  <c r="DC126" i="1"/>
  <c r="DC127" i="1" s="1"/>
  <c r="DC331" i="1"/>
  <c r="DC332" i="1"/>
  <c r="DC252" i="1"/>
  <c r="DJ242" i="1"/>
  <c r="DJ243" i="1" s="1"/>
  <c r="DI246" i="1"/>
  <c r="CS400" i="1"/>
  <c r="CS399" i="1"/>
  <c r="CW403" i="1"/>
  <c r="CW402" i="1"/>
  <c r="DA248" i="1"/>
  <c r="DA254" i="1"/>
  <c r="CX358" i="1"/>
  <c r="CX370" i="1" s="1"/>
  <c r="CX361" i="1"/>
  <c r="CX373" i="1" s="1"/>
  <c r="CX367" i="1"/>
  <c r="CX311" i="1"/>
  <c r="CX309" i="1"/>
  <c r="CX310" i="1"/>
  <c r="CS397" i="1"/>
  <c r="CS396" i="1"/>
  <c r="CT359" i="1"/>
  <c r="CT371" i="1" s="1"/>
  <c r="CT362" i="1"/>
  <c r="CT374" i="1" s="1"/>
  <c r="CT368" i="1"/>
  <c r="CW406" i="1"/>
  <c r="CW405" i="1"/>
  <c r="DL248" i="1"/>
  <c r="DC257" i="1"/>
  <c r="DC255" i="1"/>
  <c r="DH254" i="1"/>
  <c r="DH248" i="1"/>
  <c r="DB358" i="1"/>
  <c r="DB370" i="1" s="1"/>
  <c r="DB361" i="1"/>
  <c r="DB373" i="1" s="1"/>
  <c r="DB367" i="1"/>
  <c r="DB359" i="1"/>
  <c r="DB371" i="1" s="1"/>
  <c r="DB362" i="1"/>
  <c r="DB374" i="1" s="1"/>
  <c r="DB368" i="1"/>
  <c r="CW312" i="1"/>
  <c r="CW397" i="1"/>
  <c r="CW396" i="1"/>
  <c r="CZ248" i="1"/>
  <c r="CZ254" i="1"/>
  <c r="CX359" i="1"/>
  <c r="CX371" i="1" s="1"/>
  <c r="CX362" i="1"/>
  <c r="CX374" i="1" s="1"/>
  <c r="CX368" i="1"/>
  <c r="DC347" i="1" l="1"/>
  <c r="DC351" i="1" s="1"/>
  <c r="DC361" i="1" s="1"/>
  <c r="DC373" i="1" s="1"/>
  <c r="CX400" i="1"/>
  <c r="CX399" i="1"/>
  <c r="DB405" i="1"/>
  <c r="DB406" i="1"/>
  <c r="DB396" i="1"/>
  <c r="DB397" i="1"/>
  <c r="CX313" i="1"/>
  <c r="CX312" i="1"/>
  <c r="DB254" i="1"/>
  <c r="DA257" i="1"/>
  <c r="DA255" i="1"/>
  <c r="DC367" i="1"/>
  <c r="DQ248" i="1"/>
  <c r="DE248" i="1"/>
  <c r="DE254" i="1"/>
  <c r="CU311" i="1"/>
  <c r="CU309" i="1"/>
  <c r="CU310" i="1"/>
  <c r="DM254" i="1"/>
  <c r="DM248" i="1"/>
  <c r="CY361" i="1"/>
  <c r="CY373" i="1" s="1"/>
  <c r="CY358" i="1"/>
  <c r="CY370" i="1" s="1"/>
  <c r="CY367" i="1"/>
  <c r="CY311" i="1"/>
  <c r="CY309" i="1"/>
  <c r="CY310" i="1"/>
  <c r="CV310" i="1"/>
  <c r="CV311" i="1"/>
  <c r="CV309" i="1"/>
  <c r="CT390" i="1"/>
  <c r="CT391" i="1"/>
  <c r="CZ257" i="1"/>
  <c r="CZ255" i="1"/>
  <c r="DB399" i="1"/>
  <c r="DB400" i="1"/>
  <c r="DH346" i="1"/>
  <c r="DH352" i="1" s="1"/>
  <c r="DH331" i="1"/>
  <c r="DH332" i="1"/>
  <c r="DH333" i="1"/>
  <c r="DH301" i="1"/>
  <c r="DH308" i="1" s="1"/>
  <c r="DH249" i="1"/>
  <c r="DH252" i="1"/>
  <c r="DH126" i="1"/>
  <c r="DH127" i="1" s="1"/>
  <c r="DL346" i="1"/>
  <c r="DL352" i="1" s="1"/>
  <c r="DL335" i="1"/>
  <c r="DL301" i="1"/>
  <c r="DL308" i="1" s="1"/>
  <c r="DL249" i="1"/>
  <c r="DL126" i="1"/>
  <c r="DL127" i="1" s="1"/>
  <c r="DL331" i="1"/>
  <c r="DL252" i="1"/>
  <c r="DL347" i="1" s="1"/>
  <c r="DL351" i="1" s="1"/>
  <c r="DL332" i="1"/>
  <c r="DL333" i="1"/>
  <c r="CT393" i="1"/>
  <c r="CT394" i="1"/>
  <c r="CX391" i="1"/>
  <c r="CX390" i="1"/>
  <c r="DA346" i="1"/>
  <c r="DA352" i="1" s="1"/>
  <c r="DA301" i="1"/>
  <c r="DA308" i="1" s="1"/>
  <c r="DA249" i="1"/>
  <c r="DA126" i="1"/>
  <c r="DA127" i="1" s="1"/>
  <c r="DA252" i="1"/>
  <c r="DA332" i="1"/>
  <c r="DA333" i="1"/>
  <c r="DA331" i="1"/>
  <c r="DR246" i="1"/>
  <c r="DS242" i="1"/>
  <c r="DS243" i="1" s="1"/>
  <c r="DB312" i="1"/>
  <c r="CU361" i="1"/>
  <c r="CU373" i="1" s="1"/>
  <c r="CU358" i="1"/>
  <c r="CU370" i="1" s="1"/>
  <c r="CU367" i="1"/>
  <c r="CW257" i="1"/>
  <c r="CW255" i="1"/>
  <c r="CW256" i="1"/>
  <c r="CW265" i="1" s="1"/>
  <c r="CY362" i="1"/>
  <c r="CY374" i="1" s="1"/>
  <c r="CY359" i="1"/>
  <c r="CY371" i="1" s="1"/>
  <c r="CY368" i="1"/>
  <c r="DG311" i="1"/>
  <c r="DG309" i="1"/>
  <c r="CT402" i="1"/>
  <c r="CT403" i="1"/>
  <c r="CX394" i="1"/>
  <c r="CX393" i="1"/>
  <c r="CZ346" i="1"/>
  <c r="CZ352" i="1" s="1"/>
  <c r="CZ301" i="1"/>
  <c r="CZ308" i="1" s="1"/>
  <c r="CZ249" i="1"/>
  <c r="CZ252" i="1"/>
  <c r="CZ347" i="1" s="1"/>
  <c r="CZ351" i="1" s="1"/>
  <c r="CZ126" i="1"/>
  <c r="CZ127" i="1" s="1"/>
  <c r="CZ331" i="1"/>
  <c r="CZ332" i="1"/>
  <c r="CZ333" i="1"/>
  <c r="DB390" i="1"/>
  <c r="DB391" i="1"/>
  <c r="DH257" i="1"/>
  <c r="DH255" i="1"/>
  <c r="CT405" i="1"/>
  <c r="CT406" i="1"/>
  <c r="CX403" i="1"/>
  <c r="CX402" i="1"/>
  <c r="DI254" i="1"/>
  <c r="DI248" i="1"/>
  <c r="DC311" i="1"/>
  <c r="DC309" i="1"/>
  <c r="DC310" i="1"/>
  <c r="DV246" i="1"/>
  <c r="EA242" i="1"/>
  <c r="EA243" i="1" s="1"/>
  <c r="DW242" i="1"/>
  <c r="DW243" i="1" s="1"/>
  <c r="CU362" i="1"/>
  <c r="CU374" i="1" s="1"/>
  <c r="CU359" i="1"/>
  <c r="CU371" i="1" s="1"/>
  <c r="CU368" i="1"/>
  <c r="DD346" i="1"/>
  <c r="DD352" i="1" s="1"/>
  <c r="DD331" i="1"/>
  <c r="DD332" i="1"/>
  <c r="DD333" i="1"/>
  <c r="DD301" i="1"/>
  <c r="DD308" i="1" s="1"/>
  <c r="DD249" i="1"/>
  <c r="DD126" i="1"/>
  <c r="DD127" i="1" s="1"/>
  <c r="DD252" i="1"/>
  <c r="CV362" i="1"/>
  <c r="CV374" i="1" s="1"/>
  <c r="CV359" i="1"/>
  <c r="CV371" i="1" s="1"/>
  <c r="CV368" i="1"/>
  <c r="CT396" i="1"/>
  <c r="CT397" i="1"/>
  <c r="CX406" i="1"/>
  <c r="CX405" i="1"/>
  <c r="DB393" i="1"/>
  <c r="DB394" i="1"/>
  <c r="DB402" i="1"/>
  <c r="DB403" i="1"/>
  <c r="CT399" i="1"/>
  <c r="CT400" i="1"/>
  <c r="CX397" i="1"/>
  <c r="CX396" i="1"/>
  <c r="DJ246" i="1"/>
  <c r="DK242" i="1"/>
  <c r="DK243" i="1" s="1"/>
  <c r="DK246" i="1" s="1"/>
  <c r="DC362" i="1"/>
  <c r="DC374" i="1" s="1"/>
  <c r="DC359" i="1"/>
  <c r="DC371" i="1" s="1"/>
  <c r="DC368" i="1"/>
  <c r="DF248" i="1"/>
  <c r="DF254" i="1"/>
  <c r="DN246" i="1"/>
  <c r="DO242" i="1"/>
  <c r="DO243" i="1" s="1"/>
  <c r="DD257" i="1"/>
  <c r="DD255" i="1"/>
  <c r="CV361" i="1"/>
  <c r="CV373" i="1" s="1"/>
  <c r="CV358" i="1"/>
  <c r="CV370" i="1" s="1"/>
  <c r="CV367" i="1"/>
  <c r="DG361" i="1"/>
  <c r="DG373" i="1" s="1"/>
  <c r="DG358" i="1"/>
  <c r="DG370" i="1" s="1"/>
  <c r="DG367" i="1"/>
  <c r="DG362" i="1"/>
  <c r="DG374" i="1" s="1"/>
  <c r="DG359" i="1"/>
  <c r="DG371" i="1" s="1"/>
  <c r="DG368" i="1"/>
  <c r="DC358" i="1" l="1"/>
  <c r="DC370" i="1" s="1"/>
  <c r="DH347" i="1"/>
  <c r="DH351" i="1" s="1"/>
  <c r="DD347" i="1"/>
  <c r="DD351" i="1" s="1"/>
  <c r="DA347" i="1"/>
  <c r="DA351" i="1" s="1"/>
  <c r="DA358" i="1" s="1"/>
  <c r="DA370" i="1" s="1"/>
  <c r="DG400" i="1"/>
  <c r="DG399" i="1"/>
  <c r="DG403" i="1"/>
  <c r="DG402" i="1"/>
  <c r="DF257" i="1"/>
  <c r="DF255" i="1"/>
  <c r="DG254" i="1"/>
  <c r="DC406" i="1"/>
  <c r="DC405" i="1"/>
  <c r="CV400" i="1"/>
  <c r="CV399" i="1"/>
  <c r="CU406" i="1"/>
  <c r="CU405" i="1"/>
  <c r="DI257" i="1"/>
  <c r="DI255" i="1"/>
  <c r="CZ362" i="1"/>
  <c r="CZ374" i="1" s="1"/>
  <c r="CZ359" i="1"/>
  <c r="CZ371" i="1" s="1"/>
  <c r="CZ368" i="1"/>
  <c r="CY394" i="1"/>
  <c r="CY393" i="1"/>
  <c r="CU403" i="1"/>
  <c r="CU402" i="1"/>
  <c r="DR254" i="1"/>
  <c r="DR248" i="1"/>
  <c r="DA359" i="1"/>
  <c r="DA371" i="1" s="1"/>
  <c r="DA362" i="1"/>
  <c r="DA374" i="1" s="1"/>
  <c r="DA368" i="1"/>
  <c r="CY403" i="1"/>
  <c r="CY402" i="1"/>
  <c r="DC403" i="1"/>
  <c r="DC402" i="1"/>
  <c r="DG406" i="1"/>
  <c r="DG405" i="1"/>
  <c r="CV391" i="1"/>
  <c r="CV390" i="1"/>
  <c r="DF346" i="1"/>
  <c r="DF352" i="1" s="1"/>
  <c r="DF333" i="1"/>
  <c r="DF331" i="1"/>
  <c r="DF301" i="1"/>
  <c r="DF308" i="1" s="1"/>
  <c r="DF332" i="1"/>
  <c r="DF252" i="1"/>
  <c r="DF249" i="1"/>
  <c r="DF126" i="1"/>
  <c r="DF127" i="1" s="1"/>
  <c r="DK248" i="1"/>
  <c r="DK254" i="1"/>
  <c r="CV406" i="1"/>
  <c r="CV405" i="1"/>
  <c r="DD310" i="1"/>
  <c r="DD311" i="1"/>
  <c r="DD309" i="1"/>
  <c r="DD362" i="1"/>
  <c r="DD374" i="1" s="1"/>
  <c r="DD359" i="1"/>
  <c r="DD371" i="1" s="1"/>
  <c r="DD368" i="1"/>
  <c r="DW246" i="1"/>
  <c r="DX242" i="1"/>
  <c r="DX243" i="1" s="1"/>
  <c r="CZ361" i="1"/>
  <c r="CZ373" i="1" s="1"/>
  <c r="CZ358" i="1"/>
  <c r="CZ370" i="1" s="1"/>
  <c r="CZ367" i="1"/>
  <c r="CY400" i="1"/>
  <c r="CY399" i="1"/>
  <c r="DL362" i="1"/>
  <c r="DL374" i="1" s="1"/>
  <c r="DL359" i="1"/>
  <c r="DL371" i="1" s="1"/>
  <c r="DL368" i="1"/>
  <c r="DH310" i="1"/>
  <c r="DH311" i="1"/>
  <c r="DH309" i="1"/>
  <c r="DH362" i="1"/>
  <c r="DH374" i="1" s="1"/>
  <c r="DH359" i="1"/>
  <c r="DH371" i="1" s="1"/>
  <c r="DH368" i="1"/>
  <c r="CV312" i="1"/>
  <c r="CV313" i="1"/>
  <c r="CY313" i="1"/>
  <c r="CY312" i="1"/>
  <c r="DM249" i="1"/>
  <c r="DM252" i="1"/>
  <c r="DM126" i="1"/>
  <c r="DM127" i="1" s="1"/>
  <c r="CU313" i="1"/>
  <c r="CU312" i="1"/>
  <c r="DQ346" i="1"/>
  <c r="DQ352" i="1" s="1"/>
  <c r="DQ301" i="1"/>
  <c r="DQ308" i="1" s="1"/>
  <c r="DQ249" i="1"/>
  <c r="DQ335" i="1"/>
  <c r="DQ126" i="1"/>
  <c r="O47" i="363"/>
  <c r="DQ333" i="1"/>
  <c r="DQ252" i="1"/>
  <c r="DQ347" i="1" s="1"/>
  <c r="DQ351" i="1" s="1"/>
  <c r="DQ331" i="1"/>
  <c r="DQ332" i="1"/>
  <c r="DG391" i="1"/>
  <c r="DG390" i="1"/>
  <c r="CV397" i="1"/>
  <c r="CV396" i="1"/>
  <c r="DO246" i="1"/>
  <c r="DP242" i="1"/>
  <c r="DP243" i="1" s="1"/>
  <c r="DP246" i="1" s="1"/>
  <c r="DC394" i="1"/>
  <c r="DC393" i="1"/>
  <c r="DJ254" i="1"/>
  <c r="DJ248" i="1"/>
  <c r="DD361" i="1"/>
  <c r="DD373" i="1" s="1"/>
  <c r="DD358" i="1"/>
  <c r="DD370" i="1" s="1"/>
  <c r="DD367" i="1"/>
  <c r="CU394" i="1"/>
  <c r="CU393" i="1"/>
  <c r="EA246" i="1"/>
  <c r="EF242" i="1"/>
  <c r="EF243" i="1" s="1"/>
  <c r="EB242" i="1"/>
  <c r="EB243" i="1" s="1"/>
  <c r="DC313" i="1"/>
  <c r="DC312" i="1"/>
  <c r="CY406" i="1"/>
  <c r="CY405" i="1"/>
  <c r="CU391" i="1"/>
  <c r="CU390" i="1"/>
  <c r="CY391" i="1"/>
  <c r="CY390" i="1"/>
  <c r="DM257" i="1"/>
  <c r="DM255" i="1"/>
  <c r="DE255" i="1"/>
  <c r="DE257" i="1"/>
  <c r="DC391" i="1"/>
  <c r="DC390" i="1"/>
  <c r="DG394" i="1"/>
  <c r="DG393" i="1"/>
  <c r="DG397" i="1"/>
  <c r="DG396" i="1"/>
  <c r="CV403" i="1"/>
  <c r="CV402" i="1"/>
  <c r="DN254" i="1"/>
  <c r="DN248" i="1"/>
  <c r="DC400" i="1"/>
  <c r="DC399" i="1"/>
  <c r="CV394" i="1"/>
  <c r="CV393" i="1"/>
  <c r="CU400" i="1"/>
  <c r="CU399" i="1"/>
  <c r="DV248" i="1"/>
  <c r="DI346" i="1"/>
  <c r="DI352" i="1" s="1"/>
  <c r="DI332" i="1"/>
  <c r="DI333" i="1"/>
  <c r="DI331" i="1"/>
  <c r="DI301" i="1"/>
  <c r="DI308" i="1" s="1"/>
  <c r="DI249" i="1"/>
  <c r="DI252" i="1"/>
  <c r="DI126" i="1"/>
  <c r="DI127" i="1" s="1"/>
  <c r="CZ310" i="1"/>
  <c r="CZ309" i="1"/>
  <c r="CZ311" i="1"/>
  <c r="DG312" i="1"/>
  <c r="CW264" i="1"/>
  <c r="CW289" i="1"/>
  <c r="CW310" i="1"/>
  <c r="CW313" i="1"/>
  <c r="CU397" i="1"/>
  <c r="CU396" i="1"/>
  <c r="DS246" i="1"/>
  <c r="DT242" i="1"/>
  <c r="DT243" i="1" s="1"/>
  <c r="DA310" i="1"/>
  <c r="DA311" i="1"/>
  <c r="DA309" i="1"/>
  <c r="DL361" i="1"/>
  <c r="DL373" i="1" s="1"/>
  <c r="DL358" i="1"/>
  <c r="DL370" i="1" s="1"/>
  <c r="DL367" i="1"/>
  <c r="DL311" i="1"/>
  <c r="DL309" i="1"/>
  <c r="DH361" i="1"/>
  <c r="DH373" i="1" s="1"/>
  <c r="DH358" i="1"/>
  <c r="DH370" i="1" s="1"/>
  <c r="DH367" i="1"/>
  <c r="CY397" i="1"/>
  <c r="CY396" i="1"/>
  <c r="DE346" i="1"/>
  <c r="DE352" i="1" s="1"/>
  <c r="DE332" i="1"/>
  <c r="DE333" i="1"/>
  <c r="DE331" i="1"/>
  <c r="DE301" i="1"/>
  <c r="DE308" i="1" s="1"/>
  <c r="DE249" i="1"/>
  <c r="DE252" i="1"/>
  <c r="DE126" i="1"/>
  <c r="DE127" i="1" s="1"/>
  <c r="DC397" i="1"/>
  <c r="DC396" i="1"/>
  <c r="DB255" i="1"/>
  <c r="DB257" i="1"/>
  <c r="DB256" i="1"/>
  <c r="DB265" i="1" s="1"/>
  <c r="DA367" i="1" l="1"/>
  <c r="DA361" i="1"/>
  <c r="DA373" i="1" s="1"/>
  <c r="DE347" i="1"/>
  <c r="DE351" i="1" s="1"/>
  <c r="DE367" i="1" s="1"/>
  <c r="DI347" i="1"/>
  <c r="DI351" i="1" s="1"/>
  <c r="DI358" i="1" s="1"/>
  <c r="DI370" i="1" s="1"/>
  <c r="DF347" i="1"/>
  <c r="DF351" i="1" s="1"/>
  <c r="DF358" i="1" s="1"/>
  <c r="DF370" i="1" s="1"/>
  <c r="DH391" i="1"/>
  <c r="DH390" i="1"/>
  <c r="DL312" i="1"/>
  <c r="DL403" i="1"/>
  <c r="DL402" i="1"/>
  <c r="DT246" i="1"/>
  <c r="DU242" i="1"/>
  <c r="DU243" i="1" s="1"/>
  <c r="DU246" i="1" s="1"/>
  <c r="DI310" i="1"/>
  <c r="DI311" i="1"/>
  <c r="DI309" i="1"/>
  <c r="DI359" i="1"/>
  <c r="DI371" i="1" s="1"/>
  <c r="DI362" i="1"/>
  <c r="DI374" i="1" s="1"/>
  <c r="DI368" i="1"/>
  <c r="EF246" i="1"/>
  <c r="EP242" i="1"/>
  <c r="EP243" i="1" s="1"/>
  <c r="EL242" i="1"/>
  <c r="EL243" i="1" s="1"/>
  <c r="EK242" i="1"/>
  <c r="EK243" i="1" s="1"/>
  <c r="EK246" i="1" s="1"/>
  <c r="EG242" i="1"/>
  <c r="EG243" i="1" s="1"/>
  <c r="DD391" i="1"/>
  <c r="DD390" i="1"/>
  <c r="DJ255" i="1"/>
  <c r="DJ257" i="1"/>
  <c r="DO254" i="1"/>
  <c r="DO248" i="1"/>
  <c r="DH394" i="1"/>
  <c r="DH393" i="1"/>
  <c r="DH312" i="1"/>
  <c r="DH313" i="1"/>
  <c r="DL406" i="1"/>
  <c r="DL405" i="1"/>
  <c r="CZ397" i="1"/>
  <c r="CZ396" i="1"/>
  <c r="DD394" i="1"/>
  <c r="DD393" i="1"/>
  <c r="DD312" i="1"/>
  <c r="DD313" i="1"/>
  <c r="DL254" i="1"/>
  <c r="DK257" i="1"/>
  <c r="DK255" i="1"/>
  <c r="DF367" i="1"/>
  <c r="DA400" i="1"/>
  <c r="DA399" i="1"/>
  <c r="DR249" i="1"/>
  <c r="DR252" i="1"/>
  <c r="DR126" i="1"/>
  <c r="DR127" i="1" s="1"/>
  <c r="CZ406" i="1"/>
  <c r="CZ405" i="1"/>
  <c r="DB264" i="1"/>
  <c r="DB289" i="1"/>
  <c r="DB310" i="1"/>
  <c r="DB313" i="1"/>
  <c r="DE310" i="1"/>
  <c r="DE311" i="1"/>
  <c r="DE309" i="1"/>
  <c r="DE359" i="1"/>
  <c r="DE371" i="1" s="1"/>
  <c r="DE362" i="1"/>
  <c r="DE374" i="1" s="1"/>
  <c r="DE368" i="1"/>
  <c r="DH397" i="1"/>
  <c r="DH396" i="1"/>
  <c r="DS254" i="1"/>
  <c r="DS248" i="1"/>
  <c r="DV346" i="1"/>
  <c r="DV352" i="1" s="1"/>
  <c r="DV335" i="1"/>
  <c r="DV301" i="1"/>
  <c r="DV308" i="1" s="1"/>
  <c r="DV249" i="1"/>
  <c r="DV126" i="1"/>
  <c r="P47" i="363"/>
  <c r="DV252" i="1"/>
  <c r="DV347" i="1" s="1"/>
  <c r="DV351" i="1" s="1"/>
  <c r="DV332" i="1"/>
  <c r="DV331" i="1"/>
  <c r="DV333" i="1"/>
  <c r="DN249" i="1"/>
  <c r="DN252" i="1"/>
  <c r="DN126" i="1"/>
  <c r="DN127" i="1" s="1"/>
  <c r="EA248" i="1"/>
  <c r="DD397" i="1"/>
  <c r="DD396" i="1"/>
  <c r="O48" i="363"/>
  <c r="O55" i="363"/>
  <c r="DQ309" i="1"/>
  <c r="DQ311" i="1"/>
  <c r="DH400" i="1"/>
  <c r="DH399" i="1"/>
  <c r="CZ403" i="1"/>
  <c r="CZ402" i="1"/>
  <c r="DD400" i="1"/>
  <c r="DD399" i="1"/>
  <c r="DK346" i="1"/>
  <c r="DK352" i="1" s="1"/>
  <c r="DK331" i="1"/>
  <c r="DK332" i="1"/>
  <c r="DK301" i="1"/>
  <c r="DK308" i="1" s="1"/>
  <c r="DK333" i="1"/>
  <c r="DK252" i="1"/>
  <c r="DK249" i="1"/>
  <c r="DK126" i="1"/>
  <c r="DK127" i="1" s="1"/>
  <c r="DF359" i="1"/>
  <c r="DF371" i="1" s="1"/>
  <c r="DF362" i="1"/>
  <c r="DF374" i="1" s="1"/>
  <c r="DF368" i="1"/>
  <c r="DA391" i="1"/>
  <c r="DA390" i="1"/>
  <c r="DR257" i="1"/>
  <c r="DR255" i="1"/>
  <c r="DG257" i="1"/>
  <c r="DG255" i="1"/>
  <c r="DG256" i="1"/>
  <c r="DG265" i="1" s="1"/>
  <c r="DH403" i="1"/>
  <c r="DH402" i="1"/>
  <c r="DL391" i="1"/>
  <c r="DL390" i="1"/>
  <c r="DA312" i="1"/>
  <c r="DA313" i="1"/>
  <c r="CZ312" i="1"/>
  <c r="CZ313" i="1"/>
  <c r="DI367" i="1"/>
  <c r="DN257" i="1"/>
  <c r="DN255" i="1"/>
  <c r="DD403" i="1"/>
  <c r="DD402" i="1"/>
  <c r="DQ127" i="1"/>
  <c r="DQ128" i="1" s="1"/>
  <c r="DQ359" i="1"/>
  <c r="DQ371" i="1" s="1"/>
  <c r="DQ362" i="1"/>
  <c r="DQ374" i="1" s="1"/>
  <c r="DQ368" i="1"/>
  <c r="DH406" i="1"/>
  <c r="DH405" i="1"/>
  <c r="DL394" i="1"/>
  <c r="DL393" i="1"/>
  <c r="DY242" i="1"/>
  <c r="DY243" i="1" s="1"/>
  <c r="DX246" i="1"/>
  <c r="DD406" i="1"/>
  <c r="DD405" i="1"/>
  <c r="DF311" i="1"/>
  <c r="DF309" i="1"/>
  <c r="DF310" i="1"/>
  <c r="DA394" i="1"/>
  <c r="DA393" i="1"/>
  <c r="DA403" i="1"/>
  <c r="DA402" i="1"/>
  <c r="CZ394" i="1"/>
  <c r="CZ393" i="1"/>
  <c r="DE361" i="1"/>
  <c r="DE373" i="1" s="1"/>
  <c r="DL397" i="1"/>
  <c r="DL396" i="1"/>
  <c r="EB246" i="1"/>
  <c r="EC242" i="1"/>
  <c r="EC243" i="1" s="1"/>
  <c r="DJ346" i="1"/>
  <c r="DJ352" i="1" s="1"/>
  <c r="DJ333" i="1"/>
  <c r="DJ331" i="1"/>
  <c r="DJ332" i="1"/>
  <c r="DJ301" i="1"/>
  <c r="DJ308" i="1" s="1"/>
  <c r="DJ249" i="1"/>
  <c r="DJ252" i="1"/>
  <c r="DJ126" i="1"/>
  <c r="DJ127" i="1" s="1"/>
  <c r="DP254" i="1"/>
  <c r="DP248" i="1"/>
  <c r="DQ358" i="1"/>
  <c r="DQ370" i="1" s="1"/>
  <c r="DQ361" i="1"/>
  <c r="DQ373" i="1" s="1"/>
  <c r="DQ367" i="1"/>
  <c r="DL400" i="1"/>
  <c r="DL399" i="1"/>
  <c r="CZ391" i="1"/>
  <c r="CZ390" i="1"/>
  <c r="DW254" i="1"/>
  <c r="DW248" i="1"/>
  <c r="DA406" i="1"/>
  <c r="DA405" i="1"/>
  <c r="DA397" i="1"/>
  <c r="DA396" i="1"/>
  <c r="CZ400" i="1"/>
  <c r="CZ399" i="1"/>
  <c r="DE358" i="1" l="1"/>
  <c r="DE370" i="1" s="1"/>
  <c r="DE397" i="1" s="1"/>
  <c r="DI361" i="1"/>
  <c r="DI373" i="1" s="1"/>
  <c r="DF361" i="1"/>
  <c r="DF373" i="1" s="1"/>
  <c r="DJ347" i="1"/>
  <c r="DJ351" i="1" s="1"/>
  <c r="DK347" i="1"/>
  <c r="DK351" i="1" s="1"/>
  <c r="DK358" i="1" s="1"/>
  <c r="DK370" i="1" s="1"/>
  <c r="DW257" i="1"/>
  <c r="DW255" i="1"/>
  <c r="DP252" i="1"/>
  <c r="DP249" i="1"/>
  <c r="DP126" i="1"/>
  <c r="DP127" i="1" s="1"/>
  <c r="DX254" i="1"/>
  <c r="DX248" i="1"/>
  <c r="DI403" i="1"/>
  <c r="DI402" i="1"/>
  <c r="DK311" i="1"/>
  <c r="DK309" i="1"/>
  <c r="DK310" i="1"/>
  <c r="DS249" i="1"/>
  <c r="DS252" i="1"/>
  <c r="DS126" i="1"/>
  <c r="DS127" i="1" s="1"/>
  <c r="DE394" i="1"/>
  <c r="DE393" i="1"/>
  <c r="DE312" i="1"/>
  <c r="DE313" i="1"/>
  <c r="DO255" i="1"/>
  <c r="DO257" i="1"/>
  <c r="EP246" i="1"/>
  <c r="EU242" i="1"/>
  <c r="EQ242" i="1"/>
  <c r="DI400" i="1"/>
  <c r="DI399" i="1"/>
  <c r="DU248" i="1"/>
  <c r="DU254" i="1"/>
  <c r="DE403" i="1"/>
  <c r="DE402" i="1"/>
  <c r="DQ254" i="1"/>
  <c r="DP257" i="1"/>
  <c r="DP255" i="1"/>
  <c r="DJ311" i="1"/>
  <c r="DJ309" i="1"/>
  <c r="DJ310" i="1"/>
  <c r="DJ359" i="1"/>
  <c r="DJ371" i="1" s="1"/>
  <c r="DJ362" i="1"/>
  <c r="DJ374" i="1" s="1"/>
  <c r="DJ368" i="1"/>
  <c r="DF313" i="1"/>
  <c r="DF312" i="1"/>
  <c r="DY246" i="1"/>
  <c r="DZ242" i="1"/>
  <c r="DZ243" i="1" s="1"/>
  <c r="DZ246" i="1" s="1"/>
  <c r="DI397" i="1"/>
  <c r="DI396" i="1"/>
  <c r="DF394" i="1"/>
  <c r="DF393" i="1"/>
  <c r="DV361" i="1"/>
  <c r="DV373" i="1" s="1"/>
  <c r="DV358" i="1"/>
  <c r="DV370" i="1" s="1"/>
  <c r="DV367" i="1"/>
  <c r="DV311" i="1"/>
  <c r="DV309" i="1"/>
  <c r="DS257" i="1"/>
  <c r="DS255" i="1"/>
  <c r="DE406" i="1"/>
  <c r="DE405" i="1"/>
  <c r="DF391" i="1"/>
  <c r="DF390" i="1"/>
  <c r="EG246" i="1"/>
  <c r="EH242" i="1"/>
  <c r="EH243" i="1" s="1"/>
  <c r="EF248" i="1"/>
  <c r="DT254" i="1"/>
  <c r="DT248" i="1"/>
  <c r="EB254" i="1"/>
  <c r="EB248" i="1"/>
  <c r="ED242" i="1"/>
  <c r="ED243" i="1" s="1"/>
  <c r="EC246" i="1"/>
  <c r="DE391" i="1"/>
  <c r="DE390" i="1"/>
  <c r="DG264" i="1"/>
  <c r="DG289" i="1"/>
  <c r="DG310" i="1"/>
  <c r="DG313" i="1"/>
  <c r="DF406" i="1"/>
  <c r="DF405" i="1"/>
  <c r="DK361" i="1"/>
  <c r="DK373" i="1" s="1"/>
  <c r="DK367" i="1"/>
  <c r="DQ312" i="1"/>
  <c r="EA346" i="1"/>
  <c r="EA352" i="1" s="1"/>
  <c r="EA335" i="1"/>
  <c r="EA301" i="1"/>
  <c r="EA308" i="1" s="1"/>
  <c r="EA249" i="1"/>
  <c r="EA252" i="1"/>
  <c r="EA347" i="1" s="1"/>
  <c r="EA351" i="1" s="1"/>
  <c r="EA126" i="1"/>
  <c r="Q47" i="363"/>
  <c r="EA331" i="1"/>
  <c r="EA333" i="1"/>
  <c r="EA332" i="1"/>
  <c r="P48" i="363"/>
  <c r="P55" i="363"/>
  <c r="DE400" i="1"/>
  <c r="DE399" i="1"/>
  <c r="DF403" i="1"/>
  <c r="DF402" i="1"/>
  <c r="DL257" i="1"/>
  <c r="DL255" i="1"/>
  <c r="DL256" i="1"/>
  <c r="DL265" i="1" s="1"/>
  <c r="EK248" i="1"/>
  <c r="DI394" i="1"/>
  <c r="DI393" i="1"/>
  <c r="DI312" i="1"/>
  <c r="DI313" i="1"/>
  <c r="DW249" i="1"/>
  <c r="DW252" i="1"/>
  <c r="DW126" i="1"/>
  <c r="DW127" i="1" s="1"/>
  <c r="DJ358" i="1"/>
  <c r="DJ370" i="1" s="1"/>
  <c r="DJ361" i="1"/>
  <c r="DJ373" i="1" s="1"/>
  <c r="DJ367" i="1"/>
  <c r="DI391" i="1"/>
  <c r="DI390" i="1"/>
  <c r="DF400" i="1"/>
  <c r="DF399" i="1"/>
  <c r="DK362" i="1"/>
  <c r="DK374" i="1" s="1"/>
  <c r="DK359" i="1"/>
  <c r="DK371" i="1" s="1"/>
  <c r="DK368" i="1"/>
  <c r="DV127" i="1"/>
  <c r="DV128" i="1" s="1"/>
  <c r="DV362" i="1"/>
  <c r="DV374" i="1" s="1"/>
  <c r="DV359" i="1"/>
  <c r="DV371" i="1" s="1"/>
  <c r="DV368" i="1"/>
  <c r="DF397" i="1"/>
  <c r="DF396" i="1"/>
  <c r="DO249" i="1"/>
  <c r="DO252" i="1"/>
  <c r="DO126" i="1"/>
  <c r="DO127" i="1" s="1"/>
  <c r="EL246" i="1"/>
  <c r="EM242" i="1"/>
  <c r="EM243" i="1" s="1"/>
  <c r="DI406" i="1"/>
  <c r="DI405" i="1"/>
  <c r="DE396" i="1" l="1"/>
  <c r="EA127" i="1"/>
  <c r="EA128" i="1" s="1"/>
  <c r="EL254" i="1"/>
  <c r="EL248" i="1"/>
  <c r="DK400" i="1"/>
  <c r="DK399" i="1"/>
  <c r="DJ396" i="1"/>
  <c r="DJ397" i="1"/>
  <c r="EK346" i="1"/>
  <c r="EK352" i="1" s="1"/>
  <c r="EK335" i="1"/>
  <c r="EK301" i="1"/>
  <c r="EK308" i="1" s="1"/>
  <c r="EK249" i="1"/>
  <c r="EK126" i="1"/>
  <c r="S47" i="363"/>
  <c r="EK332" i="1"/>
  <c r="EK252" i="1"/>
  <c r="EK347" i="1" s="1"/>
  <c r="EK351" i="1" s="1"/>
  <c r="EK331" i="1"/>
  <c r="EK333" i="1"/>
  <c r="EA358" i="1"/>
  <c r="EA370" i="1" s="1"/>
  <c r="EA361" i="1"/>
  <c r="EA373" i="1" s="1"/>
  <c r="EA367" i="1"/>
  <c r="EA359" i="1"/>
  <c r="EA371" i="1" s="1"/>
  <c r="EA362" i="1"/>
  <c r="EA374" i="1" s="1"/>
  <c r="EA368" i="1"/>
  <c r="DK397" i="1"/>
  <c r="DK396" i="1"/>
  <c r="DT255" i="1"/>
  <c r="DT257" i="1"/>
  <c r="EG254" i="1"/>
  <c r="EG248" i="1"/>
  <c r="DV254" i="1"/>
  <c r="DU257" i="1"/>
  <c r="DU255" i="1"/>
  <c r="EM246" i="1"/>
  <c r="EN242" i="1"/>
  <c r="EN243" i="1" s="1"/>
  <c r="DK394" i="1"/>
  <c r="DK393" i="1"/>
  <c r="DK391" i="1"/>
  <c r="DK390" i="1"/>
  <c r="ED246" i="1"/>
  <c r="EE242" i="1"/>
  <c r="EE243" i="1" s="1"/>
  <c r="EE246" i="1" s="1"/>
  <c r="DT249" i="1"/>
  <c r="DT252" i="1"/>
  <c r="DT126" i="1"/>
  <c r="DT127" i="1" s="1"/>
  <c r="DJ399" i="1"/>
  <c r="DJ400" i="1"/>
  <c r="DK406" i="1"/>
  <c r="DK405" i="1"/>
  <c r="DK403" i="1"/>
  <c r="DK402" i="1"/>
  <c r="EB249" i="1"/>
  <c r="EB252" i="1"/>
  <c r="EB126" i="1"/>
  <c r="EB127" i="1" s="1"/>
  <c r="EF346" i="1"/>
  <c r="EF352" i="1" s="1"/>
  <c r="EF335" i="1"/>
  <c r="EF301" i="1"/>
  <c r="EF308" i="1" s="1"/>
  <c r="EF249" i="1"/>
  <c r="EF126" i="1"/>
  <c r="R47" i="363"/>
  <c r="EF332" i="1"/>
  <c r="EF252" i="1"/>
  <c r="EF347" i="1" s="1"/>
  <c r="EF351" i="1" s="1"/>
  <c r="EF333" i="1"/>
  <c r="EF331" i="1"/>
  <c r="DV312" i="1"/>
  <c r="DZ254" i="1"/>
  <c r="DZ248" i="1"/>
  <c r="DJ393" i="1"/>
  <c r="DJ394" i="1"/>
  <c r="DQ255" i="1"/>
  <c r="DQ257" i="1"/>
  <c r="DQ256" i="1"/>
  <c r="DQ265" i="1" s="1"/>
  <c r="DU252" i="1"/>
  <c r="DU249" i="1"/>
  <c r="DU126" i="1"/>
  <c r="DU127" i="1" s="1"/>
  <c r="DX249" i="1"/>
  <c r="DX252" i="1"/>
  <c r="DX126" i="1"/>
  <c r="DX127" i="1" s="1"/>
  <c r="DJ402" i="1"/>
  <c r="DJ403" i="1"/>
  <c r="EH246" i="1"/>
  <c r="EI242" i="1"/>
  <c r="EI243" i="1" s="1"/>
  <c r="DJ390" i="1"/>
  <c r="DJ391" i="1"/>
  <c r="DL264" i="1"/>
  <c r="DL289" i="1"/>
  <c r="DL310" i="1"/>
  <c r="DL313" i="1"/>
  <c r="Q48" i="363"/>
  <c r="Q55" i="363"/>
  <c r="E55" i="363"/>
  <c r="EA309" i="1"/>
  <c r="EA311" i="1"/>
  <c r="EC254" i="1"/>
  <c r="EC248" i="1"/>
  <c r="EB257" i="1"/>
  <c r="EB255" i="1"/>
  <c r="DY254" i="1"/>
  <c r="DY248" i="1"/>
  <c r="DJ405" i="1"/>
  <c r="DJ406" i="1"/>
  <c r="DJ313" i="1"/>
  <c r="DJ312" i="1"/>
  <c r="EP248" i="1"/>
  <c r="DK313" i="1"/>
  <c r="DK312" i="1"/>
  <c r="DX257" i="1"/>
  <c r="DX255" i="1"/>
  <c r="ED254" i="1" l="1"/>
  <c r="ED248" i="1"/>
  <c r="EK358" i="1"/>
  <c r="EK370" i="1" s="1"/>
  <c r="EK361" i="1"/>
  <c r="EK373" i="1" s="1"/>
  <c r="EK367" i="1"/>
  <c r="EP346" i="1"/>
  <c r="EP352" i="1" s="1"/>
  <c r="EP335" i="1"/>
  <c r="EP301" i="1"/>
  <c r="EP308" i="1" s="1"/>
  <c r="EP249" i="1"/>
  <c r="EP126" i="1"/>
  <c r="EP333" i="1"/>
  <c r="EP332" i="1"/>
  <c r="EP331" i="1"/>
  <c r="EP252" i="1"/>
  <c r="EP347" i="1" s="1"/>
  <c r="EP351" i="1" s="1"/>
  <c r="EA312" i="1"/>
  <c r="EI246" i="1"/>
  <c r="EJ242" i="1"/>
  <c r="EJ243" i="1" s="1"/>
  <c r="EJ246" i="1" s="1"/>
  <c r="EA254" i="1"/>
  <c r="DZ257" i="1"/>
  <c r="DZ255" i="1"/>
  <c r="EF127" i="1"/>
  <c r="EF128" i="1" s="1"/>
  <c r="EF362" i="1"/>
  <c r="EF374" i="1" s="1"/>
  <c r="EF359" i="1"/>
  <c r="EF371" i="1" s="1"/>
  <c r="EF368" i="1"/>
  <c r="EN246" i="1"/>
  <c r="EO242" i="1"/>
  <c r="EO243" i="1" s="1"/>
  <c r="EO246" i="1" s="1"/>
  <c r="DV255" i="1"/>
  <c r="DV257" i="1"/>
  <c r="DV256" i="1"/>
  <c r="DV265" i="1" s="1"/>
  <c r="EK309" i="1"/>
  <c r="EK311" i="1"/>
  <c r="EL257" i="1"/>
  <c r="EL255" i="1"/>
  <c r="EQ255" i="1" s="1"/>
  <c r="EQ254" i="1" s="1"/>
  <c r="EQ257" i="1" s="1"/>
  <c r="EC257" i="1"/>
  <c r="EC255" i="1"/>
  <c r="DZ252" i="1"/>
  <c r="DZ249" i="1"/>
  <c r="DZ126" i="1"/>
  <c r="DZ127" i="1" s="1"/>
  <c r="EL252" i="1"/>
  <c r="EL249" i="1"/>
  <c r="EL126" i="1"/>
  <c r="EL127" i="1" s="1"/>
  <c r="EH254" i="1"/>
  <c r="EH248" i="1"/>
  <c r="EF361" i="1"/>
  <c r="EF373" i="1" s="1"/>
  <c r="EF358" i="1"/>
  <c r="EF370" i="1" s="1"/>
  <c r="EF367" i="1"/>
  <c r="EM254" i="1"/>
  <c r="EM248" i="1"/>
  <c r="EG249" i="1"/>
  <c r="EG252" i="1"/>
  <c r="EG126" i="1"/>
  <c r="EG127" i="1" s="1"/>
  <c r="S48" i="363"/>
  <c r="G55" i="363"/>
  <c r="S55" i="363"/>
  <c r="DY255" i="1"/>
  <c r="DY257" i="1"/>
  <c r="R48" i="363"/>
  <c r="F55" i="363"/>
  <c r="R55" i="363"/>
  <c r="DY249" i="1"/>
  <c r="DY252" i="1"/>
  <c r="DY126" i="1"/>
  <c r="DY127" i="1" s="1"/>
  <c r="EC249" i="1"/>
  <c r="EC252" i="1"/>
  <c r="EC126" i="1"/>
  <c r="EC127" i="1" s="1"/>
  <c r="DQ264" i="1"/>
  <c r="DQ289" i="1"/>
  <c r="DQ310" i="1"/>
  <c r="DQ313" i="1"/>
  <c r="EF311" i="1"/>
  <c r="EF309" i="1"/>
  <c r="EE248" i="1"/>
  <c r="EE254" i="1"/>
  <c r="EG257" i="1"/>
  <c r="EG255" i="1"/>
  <c r="EK127" i="1"/>
  <c r="EK128" i="1" s="1"/>
  <c r="EK359" i="1"/>
  <c r="EK371" i="1" s="1"/>
  <c r="EK362" i="1"/>
  <c r="EK374" i="1" s="1"/>
  <c r="EK368" i="1"/>
  <c r="EO248" i="1" l="1"/>
  <c r="EO254" i="1"/>
  <c r="EM257" i="1"/>
  <c r="EM255" i="1"/>
  <c r="ER255" i="1" s="1"/>
  <c r="ER254" i="1" s="1"/>
  <c r="ER257" i="1" s="1"/>
  <c r="ER216" i="1" s="1"/>
  <c r="EH249" i="1"/>
  <c r="EH252" i="1"/>
  <c r="EH126" i="1"/>
  <c r="EH127" i="1" s="1"/>
  <c r="DV264" i="1"/>
  <c r="DV289" i="1"/>
  <c r="DV310" i="1"/>
  <c r="DV313" i="1"/>
  <c r="EN254" i="1"/>
  <c r="EN248" i="1"/>
  <c r="EA255" i="1"/>
  <c r="EA257" i="1"/>
  <c r="EA256" i="1"/>
  <c r="EA265" i="1" s="1"/>
  <c r="EM249" i="1"/>
  <c r="EM252" i="1"/>
  <c r="EM126" i="1"/>
  <c r="EM127" i="1" s="1"/>
  <c r="EP311" i="1"/>
  <c r="EP309" i="1"/>
  <c r="EF254" i="1"/>
  <c r="EE257" i="1"/>
  <c r="EE255" i="1"/>
  <c r="EF312" i="1"/>
  <c r="EH257" i="1"/>
  <c r="EH255" i="1"/>
  <c r="EK312" i="1"/>
  <c r="EJ254" i="1"/>
  <c r="EJ248" i="1"/>
  <c r="EP361" i="1"/>
  <c r="EP373" i="1" s="1"/>
  <c r="EP358" i="1"/>
  <c r="EP370" i="1" s="1"/>
  <c r="EP367" i="1"/>
  <c r="EP127" i="1"/>
  <c r="EP128" i="1" s="1"/>
  <c r="EP362" i="1"/>
  <c r="EP374" i="1" s="1"/>
  <c r="EP359" i="1"/>
  <c r="EP371" i="1" s="1"/>
  <c r="EP368" i="1"/>
  <c r="ED249" i="1"/>
  <c r="ED252" i="1"/>
  <c r="ED126" i="1"/>
  <c r="ED127" i="1" s="1"/>
  <c r="EE252" i="1"/>
  <c r="EE249" i="1"/>
  <c r="EE126" i="1"/>
  <c r="EE127" i="1" s="1"/>
  <c r="EI254" i="1"/>
  <c r="EI248" i="1"/>
  <c r="ED255" i="1"/>
  <c r="ED257" i="1"/>
  <c r="ER217" i="1" l="1"/>
  <c r="ER224" i="1" s="1"/>
  <c r="EI249" i="1"/>
  <c r="EI252" i="1"/>
  <c r="EI126" i="1"/>
  <c r="EI127" i="1" s="1"/>
  <c r="EJ252" i="1"/>
  <c r="EJ249" i="1"/>
  <c r="EJ126" i="1"/>
  <c r="EJ127" i="1" s="1"/>
  <c r="EP254" i="1"/>
  <c r="EO257" i="1"/>
  <c r="EO255" i="1"/>
  <c r="ET255" i="1" s="1"/>
  <c r="ET254" i="1" s="1"/>
  <c r="EI255" i="1"/>
  <c r="EI257" i="1"/>
  <c r="EJ257" i="1"/>
  <c r="EK254" i="1"/>
  <c r="EJ255" i="1"/>
  <c r="EN249" i="1"/>
  <c r="EN252" i="1"/>
  <c r="EN126" i="1"/>
  <c r="EN127" i="1" s="1"/>
  <c r="EO252" i="1"/>
  <c r="EO249" i="1"/>
  <c r="EO126" i="1"/>
  <c r="EO127" i="1" s="1"/>
  <c r="EF257" i="1"/>
  <c r="EF255" i="1"/>
  <c r="EF256" i="1"/>
  <c r="EF265" i="1" s="1"/>
  <c r="EP312" i="1"/>
  <c r="EA264" i="1"/>
  <c r="EA289" i="1"/>
  <c r="EA310" i="1"/>
  <c r="EA313" i="1"/>
  <c r="EN255" i="1"/>
  <c r="ES255" i="1" s="1"/>
  <c r="ES254" i="1" s="1"/>
  <c r="ES257" i="1" s="1"/>
  <c r="ES216" i="1" s="1"/>
  <c r="EN257" i="1"/>
  <c r="ES217" i="1" l="1"/>
  <c r="ES224" i="1" s="1"/>
  <c r="EF264" i="1"/>
  <c r="EF289" i="1"/>
  <c r="EF310" i="1"/>
  <c r="EF313" i="1"/>
  <c r="EP257" i="1"/>
  <c r="EQ216" i="1" s="1"/>
  <c r="EP255" i="1"/>
  <c r="EP256" i="1"/>
  <c r="EP265" i="1" s="1"/>
  <c r="EK257" i="1"/>
  <c r="EK255" i="1"/>
  <c r="EK256" i="1"/>
  <c r="EK265" i="1" s="1"/>
  <c r="ET257" i="1"/>
  <c r="ET216" i="1" s="1"/>
  <c r="EU254" i="1"/>
  <c r="ET217" i="1" l="1"/>
  <c r="ET224" i="1" s="1"/>
  <c r="EK264" i="1"/>
  <c r="EK289" i="1"/>
  <c r="EK310" i="1"/>
  <c r="EK313" i="1"/>
  <c r="EP264" i="1"/>
  <c r="EP289" i="1"/>
  <c r="EP310" i="1"/>
  <c r="EP313" i="1"/>
  <c r="EU257" i="1"/>
  <c r="EU255" i="1"/>
  <c r="EZ255" i="1" s="1"/>
  <c r="EU216" i="1"/>
  <c r="EQ217" i="1"/>
  <c r="EQ224" i="1" s="1"/>
  <c r="EQ226" i="1" l="1"/>
  <c r="EQ247" i="1" s="1"/>
  <c r="EU217" i="1"/>
  <c r="T32" i="363" s="1"/>
  <c r="T44" i="363" s="1"/>
  <c r="H53" i="363" s="1"/>
  <c r="EZ254" i="1"/>
  <c r="EZ257" i="1" s="1"/>
  <c r="EZ216" i="1" s="1"/>
  <c r="FE255" i="1"/>
  <c r="FE254" i="1" s="1"/>
  <c r="FE257" i="1" s="1"/>
  <c r="EQ227" i="1"/>
  <c r="EQ240" i="1" s="1"/>
  <c r="EQ243" i="1" s="1"/>
  <c r="FE216" i="1" l="1"/>
  <c r="EU224" i="1"/>
  <c r="EU233" i="1" s="1"/>
  <c r="EZ217" i="1"/>
  <c r="EZ224" i="1" s="1"/>
  <c r="ER226" i="1"/>
  <c r="ER242" i="1"/>
  <c r="EQ246" i="1"/>
  <c r="FE217" i="1" l="1"/>
  <c r="V32" i="363" s="1"/>
  <c r="V44" i="363" s="1"/>
  <c r="J53" i="363" s="1"/>
  <c r="EZ233" i="1"/>
  <c r="U32" i="363"/>
  <c r="U44" i="363" s="1"/>
  <c r="I53" i="363" s="1"/>
  <c r="EQ256" i="1"/>
  <c r="EQ265" i="1" s="1"/>
  <c r="EQ248" i="1"/>
  <c r="ER227" i="1"/>
  <c r="ER240" i="1" s="1"/>
  <c r="ER243" i="1" s="1"/>
  <c r="ER247" i="1"/>
  <c r="FE224" i="1" l="1"/>
  <c r="ER246" i="1"/>
  <c r="ES242" i="1"/>
  <c r="EQ249" i="1"/>
  <c r="EQ126" i="1"/>
  <c r="EQ127" i="1" s="1"/>
  <c r="EQ252" i="1"/>
  <c r="ES226" i="1"/>
  <c r="EQ264" i="1"/>
  <c r="EQ289" i="1"/>
  <c r="FE233" i="1" l="1"/>
  <c r="ES227" i="1"/>
  <c r="ES240" i="1" s="1"/>
  <c r="ES243" i="1" s="1"/>
  <c r="ES247" i="1"/>
  <c r="ER256" i="1"/>
  <c r="ER265" i="1" s="1"/>
  <c r="ER248" i="1"/>
  <c r="ER264" i="1" l="1"/>
  <c r="ER289" i="1"/>
  <c r="ET226" i="1"/>
  <c r="ER249" i="1"/>
  <c r="ER126" i="1"/>
  <c r="ER127" i="1" s="1"/>
  <c r="ER252" i="1"/>
  <c r="ES246" i="1"/>
  <c r="ET242" i="1"/>
  <c r="ES256" i="1" l="1"/>
  <c r="ES265" i="1" s="1"/>
  <c r="ES248" i="1"/>
  <c r="ET227" i="1"/>
  <c r="ET240" i="1" s="1"/>
  <c r="ET243" i="1" s="1"/>
  <c r="ET246" i="1" s="1"/>
  <c r="EU226" i="1"/>
  <c r="ET247" i="1"/>
  <c r="EU247" i="1" s="1"/>
  <c r="T35" i="363" l="1"/>
  <c r="T36" i="363" s="1"/>
  <c r="EU227" i="1"/>
  <c r="EU240" i="1" s="1"/>
  <c r="EU243" i="1" s="1"/>
  <c r="EZ226" i="1"/>
  <c r="ET256" i="1"/>
  <c r="ET265" i="1" s="1"/>
  <c r="ET248" i="1"/>
  <c r="ES249" i="1"/>
  <c r="ES126" i="1"/>
  <c r="ES127" i="1" s="1"/>
  <c r="ES252" i="1"/>
  <c r="ES264" i="1"/>
  <c r="ES289" i="1"/>
  <c r="EZ227" i="1" l="1"/>
  <c r="EZ240" i="1" s="1"/>
  <c r="U35" i="363"/>
  <c r="U36" i="363" s="1"/>
  <c r="EZ247" i="1"/>
  <c r="EZ242" i="1"/>
  <c r="EU246" i="1"/>
  <c r="ET249" i="1"/>
  <c r="ET126" i="1"/>
  <c r="ET127" i="1" s="1"/>
  <c r="ET252" i="1"/>
  <c r="ET264" i="1"/>
  <c r="ET289" i="1"/>
  <c r="EZ243" i="1" l="1"/>
  <c r="FE242" i="1" s="1"/>
  <c r="FE226" i="1"/>
  <c r="FE247" i="1" s="1"/>
  <c r="EU248" i="1"/>
  <c r="EU256" i="1"/>
  <c r="EU265" i="1" s="1"/>
  <c r="EZ246" i="1" l="1"/>
  <c r="EZ256" i="1" s="1"/>
  <c r="EZ265" i="1" s="1"/>
  <c r="EU346" i="1"/>
  <c r="EU352" i="1" s="1"/>
  <c r="EU335" i="1"/>
  <c r="EU301" i="1"/>
  <c r="EU308" i="1" s="1"/>
  <c r="EU249" i="1"/>
  <c r="EU126" i="1"/>
  <c r="T47" i="363"/>
  <c r="EU333" i="1"/>
  <c r="EU331" i="1"/>
  <c r="EU332" i="1"/>
  <c r="EU252" i="1"/>
  <c r="EU347" i="1" s="1"/>
  <c r="EU351" i="1" s="1"/>
  <c r="FE227" i="1"/>
  <c r="FE240" i="1" s="1"/>
  <c r="FE243" i="1" s="1"/>
  <c r="FE246" i="1" s="1"/>
  <c r="V35" i="363"/>
  <c r="V36" i="363" s="1"/>
  <c r="EU264" i="1"/>
  <c r="EU289" i="1"/>
  <c r="EZ248" i="1" l="1"/>
  <c r="EZ264" i="1"/>
  <c r="EZ289" i="1"/>
  <c r="EU127" i="1"/>
  <c r="EZ127" i="1" s="1"/>
  <c r="FE127" i="1" s="1"/>
  <c r="FE256" i="1"/>
  <c r="FE265" i="1" s="1"/>
  <c r="FE248" i="1"/>
  <c r="EU310" i="1"/>
  <c r="EU309" i="1"/>
  <c r="EU311" i="1"/>
  <c r="EU358" i="1"/>
  <c r="EU370" i="1" s="1"/>
  <c r="EU361" i="1"/>
  <c r="EU373" i="1" s="1"/>
  <c r="EU367" i="1"/>
  <c r="T48" i="363"/>
  <c r="T55" i="363"/>
  <c r="H55" i="363"/>
  <c r="EU359" i="1"/>
  <c r="EU371" i="1" s="1"/>
  <c r="EU362" i="1"/>
  <c r="EU374" i="1" s="1"/>
  <c r="EU368" i="1"/>
  <c r="EZ333" i="1" l="1"/>
  <c r="U47" i="363"/>
  <c r="U55" i="363" s="1"/>
  <c r="EZ249" i="1"/>
  <c r="EZ252" i="1"/>
  <c r="EZ347" i="1" s="1"/>
  <c r="EZ351" i="1" s="1"/>
  <c r="EZ358" i="1" s="1"/>
  <c r="EZ370" i="1" s="1"/>
  <c r="EZ335" i="1"/>
  <c r="EZ331" i="1"/>
  <c r="EZ126" i="1"/>
  <c r="EZ346" i="1"/>
  <c r="EZ352" i="1" s="1"/>
  <c r="EZ359" i="1" s="1"/>
  <c r="EZ371" i="1" s="1"/>
  <c r="EZ332" i="1"/>
  <c r="EZ301" i="1"/>
  <c r="EZ308" i="1" s="1"/>
  <c r="EZ310" i="1" s="1"/>
  <c r="EZ128" i="1"/>
  <c r="EZ311" i="1"/>
  <c r="G28" i="363"/>
  <c r="EU128" i="1"/>
  <c r="FE346" i="1"/>
  <c r="FE352" i="1" s="1"/>
  <c r="FE335" i="1"/>
  <c r="FE301" i="1"/>
  <c r="FE308" i="1" s="1"/>
  <c r="FE249" i="1"/>
  <c r="FE126" i="1"/>
  <c r="FE128" i="1" s="1"/>
  <c r="V47" i="363"/>
  <c r="FE333" i="1"/>
  <c r="FE332" i="1"/>
  <c r="FE331" i="1"/>
  <c r="FE252" i="1"/>
  <c r="FE347" i="1" s="1"/>
  <c r="FE351" i="1" s="1"/>
  <c r="EU313" i="1"/>
  <c r="EU312" i="1"/>
  <c r="FE264" i="1"/>
  <c r="FE289" i="1"/>
  <c r="EZ309" i="1" l="1"/>
  <c r="EZ368" i="1"/>
  <c r="EZ362" i="1"/>
  <c r="EZ374" i="1" s="1"/>
  <c r="EZ361" i="1"/>
  <c r="EZ373" i="1" s="1"/>
  <c r="EZ367" i="1"/>
  <c r="I55" i="363"/>
  <c r="U48" i="363"/>
  <c r="FE359" i="1"/>
  <c r="FE371" i="1" s="1"/>
  <c r="FE362" i="1"/>
  <c r="FE374" i="1" s="1"/>
  <c r="FE368" i="1"/>
  <c r="FE310" i="1"/>
  <c r="FE309" i="1"/>
  <c r="FE311" i="1"/>
  <c r="FE358" i="1"/>
  <c r="FE370" i="1" s="1"/>
  <c r="FE361" i="1"/>
  <c r="FE373" i="1" s="1"/>
  <c r="FE367" i="1"/>
  <c r="V48" i="363"/>
  <c r="V55" i="363"/>
  <c r="J55" i="363"/>
  <c r="H28" i="363"/>
  <c r="H29" i="363" s="1"/>
  <c r="H31" i="363" s="1"/>
  <c r="H34" i="363" s="1"/>
  <c r="H9" i="363" s="1"/>
  <c r="F28" i="363"/>
  <c r="F29" i="363" s="1"/>
  <c r="F31" i="363" s="1"/>
  <c r="F34" i="363" s="1"/>
  <c r="F9" i="363" s="1"/>
  <c r="G29" i="363"/>
  <c r="G31" i="363" s="1"/>
  <c r="G34" i="363" s="1"/>
  <c r="G9" i="363" s="1"/>
  <c r="EZ312" i="1"/>
  <c r="EZ313" i="1"/>
  <c r="C5" i="362" l="1"/>
  <c r="G13" i="363"/>
  <c r="G11" i="363"/>
  <c r="G14" i="363"/>
  <c r="G15" i="363"/>
  <c r="F14" i="363"/>
  <c r="F13" i="363"/>
  <c r="F11" i="363"/>
  <c r="F15" i="363"/>
  <c r="H13" i="363"/>
  <c r="H14" i="363"/>
  <c r="H11" i="363"/>
  <c r="H15" i="363"/>
  <c r="FE313" i="1"/>
  <c r="FE312" i="1"/>
</calcChain>
</file>

<file path=xl/comments1.xml><?xml version="1.0" encoding="utf-8"?>
<comments xmlns="http://schemas.openxmlformats.org/spreadsheetml/2006/main">
  <authors>
    <author>Sharpe, Matt (Research)</author>
    <author>nedgill</author>
    <author>falfalkj</author>
    <author>Streger, David W (Research)</author>
    <author>susmanr</author>
    <author>Robert Susman</author>
    <author>Greene</author>
    <author>godjohn</author>
    <author>khong</author>
    <author>William Greene</author>
    <author xml:space="preserve"> Jeremy Falk</author>
    <author>Newman, Brendan (Research)</author>
    <author>WG</author>
  </authors>
  <commentList>
    <comment ref="EP2" authorId="0">
      <text>
        <r>
          <rPr>
            <b/>
            <sz val="9"/>
            <color indexed="81"/>
            <rFont val="Tahoma"/>
            <family val="2"/>
          </rPr>
          <t>Sharpe, Matt (Research):</t>
        </r>
        <r>
          <rPr>
            <sz val="9"/>
            <color indexed="81"/>
            <rFont val="Tahoma"/>
            <family val="2"/>
          </rPr>
          <t xml:space="preserve">
As restated on 3/20/2018 for ASUs related to Revenue Recognition, Retirement Benefits, and Derivatives and Hedging</t>
        </r>
      </text>
    </comment>
    <comment ref="CY4" authorId="1">
      <text>
        <r>
          <rPr>
            <b/>
            <sz val="8"/>
            <color indexed="81"/>
            <rFont val="Tahoma"/>
            <family val="2"/>
          </rPr>
          <t>nedgill:</t>
        </r>
        <r>
          <rPr>
            <sz val="8"/>
            <color indexed="81"/>
            <rFont val="Tahoma"/>
            <family val="2"/>
          </rPr>
          <t xml:space="preserve">
restated from June 2011 traffic report</t>
        </r>
      </text>
    </comment>
    <comment ref="BU6" authorId="2">
      <text>
        <r>
          <rPr>
            <b/>
            <sz val="8"/>
            <color indexed="81"/>
            <rFont val="Tahoma"/>
            <family val="2"/>
          </rPr>
          <t xml:space="preserve">10Q: 2Q2004
</t>
        </r>
        <r>
          <rPr>
            <sz val="8"/>
            <color indexed="81"/>
            <rFont val="Tahoma"/>
            <family val="2"/>
          </rPr>
          <t xml:space="preserve">2Q2004 passenger yield per RPM decreased 1.1 % to 11.54 cents from 11.67 cents in 2Q2003.  The lower RPM yield was primarily due to a higher mix of discounted fares compared to the prior year resulting from increased fare sales in 2004.  Operating revenue yield per ASM (RASM or unit revenue) increased 7.9 percent to 9.14 cents compared to first quarter 2003, primarily due to higher passenger load factors.  Thus far, favorable load factors and unit revenue trends have continued in July. Bookings for the remainder of July and for August are also strong due to high demand for vacation travel.  Bookings for September are building nicely as a result of recent fare sales.  Based on these trends, the Company expects year-over-year unit revenue growth again in third quarter 2004, although at a slower pace than second quarter due to toughening comparisons.  The Company also expects third quarter 2004 unit revenues to be below the 2Q2004 unit revenues of 9.14 cents, which is consistent with historical seasonal trends.  
</t>
        </r>
      </text>
    </comment>
    <comment ref="CY6" authorId="1">
      <text>
        <r>
          <rPr>
            <b/>
            <sz val="8"/>
            <color indexed="81"/>
            <rFont val="Tahoma"/>
            <family val="2"/>
          </rPr>
          <t>nedgill:</t>
        </r>
        <r>
          <rPr>
            <sz val="8"/>
            <color indexed="81"/>
            <rFont val="Tahoma"/>
            <family val="2"/>
          </rPr>
          <t xml:space="preserve">
restated from June 2011 traffic report</t>
        </r>
      </text>
    </comment>
    <comment ref="FR6" authorId="3">
      <text>
        <r>
          <rPr>
            <b/>
            <sz val="9"/>
            <color indexed="81"/>
            <rFont val="Tahoma"/>
            <family val="2"/>
          </rPr>
          <t>Newman, Brendan K (Research):</t>
        </r>
        <r>
          <rPr>
            <sz val="9"/>
            <color indexed="81"/>
            <rFont val="Tahoma"/>
            <family val="2"/>
          </rPr>
          <t xml:space="preserve">
Guidance for 2.5% annual Domestic growth for 2017</t>
        </r>
      </text>
    </comment>
    <comment ref="FN7" authorId="3">
      <text>
        <r>
          <rPr>
            <b/>
            <sz val="9"/>
            <color indexed="81"/>
            <rFont val="Tahoma"/>
            <family val="2"/>
          </rPr>
          <t>Newman, Brendan K (Research):</t>
        </r>
        <r>
          <rPr>
            <sz val="9"/>
            <color indexed="81"/>
            <rFont val="Tahoma"/>
            <family val="2"/>
          </rPr>
          <t xml:space="preserve">
Per OAG
We assume system completion factor is apples-to-apples comparable to international completion factor for simplicity</t>
        </r>
      </text>
    </comment>
    <comment ref="BO8" authorId="4">
      <text>
        <r>
          <rPr>
            <sz val="8"/>
            <color indexed="81"/>
            <rFont val="Tahoma"/>
            <family val="2"/>
          </rPr>
          <t xml:space="preserve">1/22/03 Conf call: +5.4%.
</t>
        </r>
      </text>
    </comment>
    <comment ref="BP8" authorId="4">
      <text>
        <r>
          <rPr>
            <sz val="8"/>
            <color indexed="81"/>
            <rFont val="Tahoma"/>
            <family val="2"/>
          </rPr>
          <t>1/22/03 Conf Call: 4% growth in ASMs
4/21/03 conf call: 3.9%</t>
        </r>
      </text>
    </comment>
    <comment ref="BQ8" authorId="4">
      <text>
        <r>
          <rPr>
            <sz val="8"/>
            <color indexed="81"/>
            <rFont val="Tahoma"/>
            <family val="2"/>
          </rPr>
          <t>1/22/03 Conf Call: 3.6% ASM growth
4/21/03 conf call: 2.9%
7/21/03 con call: +3.0%. Also, could go higher if more growth comes in St. Louis due to AMR scale back.</t>
        </r>
      </text>
    </comment>
    <comment ref="BR8" authorId="4">
      <text>
        <r>
          <rPr>
            <sz val="8"/>
            <color indexed="81"/>
            <rFont val="Tahoma"/>
            <family val="2"/>
          </rPr>
          <t>1/22/03 Conf Call: 3.8% ASM growth.
4/21/03 conf call: 3.7%
7/21/03 con call: +3.6%
10/20 conf call: +3.8%</t>
        </r>
      </text>
    </comment>
    <comment ref="BT8" authorId="4">
      <text>
        <r>
          <rPr>
            <sz val="8"/>
            <color indexed="81"/>
            <rFont val="Tahoma"/>
            <family val="2"/>
          </rPr>
          <t xml:space="preserve">1/22/4 conf call: 5.4%
</t>
        </r>
      </text>
    </comment>
    <comment ref="BU8" authorId="4">
      <text>
        <r>
          <rPr>
            <sz val="8"/>
            <color indexed="81"/>
            <rFont val="Tahoma"/>
            <family val="2"/>
          </rPr>
          <t>1/22/4 conf call: 4.5%
04/16/04 conf call:
Capacity will total 18.4 billion ASMs in 1Q, 18.7 billion in 2Q, 19.7 billion in 3Q and 20.4 billion in 4Q.</t>
        </r>
      </text>
    </comment>
    <comment ref="BV8" authorId="4">
      <text>
        <r>
          <rPr>
            <sz val="8"/>
            <color indexed="81"/>
            <rFont val="Tahoma"/>
            <family val="2"/>
          </rPr>
          <t xml:space="preserve">07/16/2004:
Total capacity (ASMs) is expected to be up 7.7% and 8.9% in 3Q04 and 4Q04, respectively.  This is a slightly slower rate of growth than the company was previously projecting.
07/15/2004: +7.7%, 19.6 billion ASMs.
04/16/04 conf call:
Capacity will total 18.4 billion ASMs in 1Q, 18.7 billion in 2Q, 19.7 billion in 3Q and 20.4 billion in 4Q.
1/22/4 conf call: 9.0%
07/15/2004: +7.7%, 19.6 billion ASMs.
</t>
        </r>
      </text>
    </comment>
    <comment ref="BW8" authorId="4">
      <text>
        <r>
          <rPr>
            <sz val="8"/>
            <color indexed="81"/>
            <rFont val="Tahoma"/>
            <family val="2"/>
          </rPr>
          <t xml:space="preserve">3Q c/c.
</t>
        </r>
        <r>
          <rPr>
            <u/>
            <sz val="8"/>
            <color indexed="81"/>
            <rFont val="Tahoma"/>
            <family val="2"/>
          </rPr>
          <t>Region</t>
        </r>
        <r>
          <rPr>
            <sz val="8"/>
            <color indexed="81"/>
            <rFont val="Tahoma"/>
            <family val="2"/>
          </rPr>
          <t xml:space="preserve">   Deployed    YoY 
                 </t>
        </r>
        <r>
          <rPr>
            <u/>
            <sz val="8"/>
            <color indexed="81"/>
            <rFont val="Tahoma"/>
            <family val="2"/>
          </rPr>
          <t>Capacity</t>
        </r>
        <r>
          <rPr>
            <sz val="8"/>
            <color indexed="81"/>
            <rFont val="Tahoma"/>
            <family val="2"/>
          </rPr>
          <t xml:space="preserve">  </t>
        </r>
        <r>
          <rPr>
            <u/>
            <sz val="8"/>
            <color indexed="81"/>
            <rFont val="Tahoma"/>
            <family val="2"/>
          </rPr>
          <t xml:space="preserve">Change
</t>
        </r>
        <r>
          <rPr>
            <sz val="8"/>
            <color indexed="81"/>
            <rFont val="Tahoma"/>
            <family val="2"/>
          </rPr>
          <t>northeast 14%          12%
southeast 15%          16%
southwest 16%         17%
midwest     16%         0%
west          39%         0%
07/15/2004: +8.9%.
07/16/2004: Total capacity (ASMs) is expected to be up 7.7% and 8.9% in 3Q04 and 4Q04, respectively.  This is a slightly slower rate of growth than the company was previously projecting.</t>
        </r>
      </text>
    </comment>
    <comment ref="BX8" authorId="5">
      <text>
        <r>
          <rPr>
            <sz val="8"/>
            <color indexed="81"/>
            <rFont val="Tahoma"/>
            <family val="2"/>
          </rPr>
          <t>4/21/03 conf call: 5.0% ASM growth if 9 a/c options exercised
7/21/03 con call: +6-7%
10/20 conf call: 7%</t>
        </r>
      </text>
    </comment>
    <comment ref="BY8" authorId="4">
      <text>
        <r>
          <rPr>
            <sz val="8"/>
            <color indexed="81"/>
            <rFont val="Tahoma"/>
            <family val="2"/>
          </rPr>
          <t xml:space="preserve">4/15/04: Kelly said LUV will take 31 firm -700s in '05, has 3 more options and will retire 5 -200s.
7/15/04 Update:
                  Current Schedule      
                  Firm     Options*
2004**             47         -   
2005               34         -
2006               22        12
2007               25        29
2008                6        45
2009-2012           -       177
Total             131       266
</t>
        </r>
      </text>
    </comment>
    <comment ref="CC8" authorId="4">
      <text>
        <r>
          <rPr>
            <sz val="8"/>
            <color indexed="81"/>
            <rFont val="Tahoma"/>
            <family val="2"/>
          </rPr>
          <t>200410K: ASM capacity is expected to grow 10% in 2005.
3Q c/c. Southwest expects total capacity (ASMs) to be up 6.9% and 10% in 2004, and 2005, respectively.  
7/21/03 con call: +10%
10/20 conf call: +10%
4/15/04: conf call +10%
07/16/2004
In 2005, capacity is still expected to rise by 10%.</t>
        </r>
      </text>
    </comment>
    <comment ref="CY8" authorId="1">
      <text>
        <r>
          <rPr>
            <b/>
            <sz val="8"/>
            <color indexed="81"/>
            <rFont val="Tahoma"/>
            <family val="2"/>
          </rPr>
          <t>nedgill:</t>
        </r>
        <r>
          <rPr>
            <sz val="8"/>
            <color indexed="81"/>
            <rFont val="Tahoma"/>
            <family val="2"/>
          </rPr>
          <t xml:space="preserve">
restated from June 2011 traffic report</t>
        </r>
      </text>
    </comment>
    <comment ref="FR8" authorId="3">
      <text>
        <r>
          <rPr>
            <b/>
            <sz val="9"/>
            <color indexed="81"/>
            <rFont val="Tahoma"/>
            <family val="2"/>
          </rPr>
          <t>Newman, Brendan K (Research):</t>
        </r>
        <r>
          <rPr>
            <sz val="9"/>
            <color indexed="81"/>
            <rFont val="Tahoma"/>
            <family val="2"/>
          </rPr>
          <t xml:space="preserve">
Guidance for ~1% of system annual growth or 20-30% international annual growth</t>
        </r>
      </text>
    </comment>
    <comment ref="CE9" authorId="6">
      <text>
        <r>
          <rPr>
            <b/>
            <sz val="10"/>
            <color indexed="81"/>
            <rFont val="Arial"/>
            <family val="2"/>
          </rPr>
          <t xml:space="preserve">1/06: </t>
        </r>
        <r>
          <rPr>
            <sz val="10"/>
            <color indexed="81"/>
            <rFont val="Arial"/>
            <family val="2"/>
          </rPr>
          <t>Wright said capacity will grow 7% in 2Q06.</t>
        </r>
      </text>
    </comment>
    <comment ref="CF9" authorId="6">
      <text>
        <r>
          <rPr>
            <b/>
            <sz val="10"/>
            <color indexed="81"/>
            <rFont val="Arial"/>
            <family val="2"/>
          </rPr>
          <t xml:space="preserve">1/06: </t>
        </r>
        <r>
          <rPr>
            <sz val="10"/>
            <color indexed="81"/>
            <rFont val="Arial"/>
            <family val="2"/>
          </rPr>
          <t>Wright said capacity will grow 7% in 2Q06.</t>
        </r>
      </text>
    </comment>
    <comment ref="CH9" authorId="6">
      <text>
        <r>
          <rPr>
            <b/>
            <sz val="10"/>
            <color indexed="81"/>
            <rFont val="Arial"/>
            <family val="2"/>
          </rPr>
          <t xml:space="preserve">1/06: </t>
        </r>
        <r>
          <rPr>
            <sz val="10"/>
            <color indexed="81"/>
            <rFont val="Arial"/>
            <family val="2"/>
          </rPr>
          <t>Kelly said capacity will grow 8% in 2006.</t>
        </r>
      </text>
    </comment>
    <comment ref="CK9" authorId="7">
      <text>
        <r>
          <rPr>
            <b/>
            <sz val="8"/>
            <color indexed="81"/>
            <rFont val="Tahoma"/>
            <family val="2"/>
          </rPr>
          <t>godjohn:</t>
        </r>
        <r>
          <rPr>
            <sz val="8"/>
            <color indexed="81"/>
            <rFont val="Tahoma"/>
            <family val="2"/>
          </rPr>
          <t xml:space="preserve">
2Q07 release
8%</t>
        </r>
      </text>
    </comment>
    <comment ref="CL9" authorId="7">
      <text>
        <r>
          <rPr>
            <b/>
            <sz val="8"/>
            <color indexed="81"/>
            <rFont val="Tahoma"/>
            <family val="2"/>
          </rPr>
          <t>godjohn:</t>
        </r>
        <r>
          <rPr>
            <sz val="8"/>
            <color indexed="81"/>
            <rFont val="Tahoma"/>
            <family val="2"/>
          </rPr>
          <t xml:space="preserve">
2Q07 release
6%</t>
        </r>
      </text>
    </comment>
    <comment ref="CM9" authorId="7">
      <text>
        <r>
          <rPr>
            <b/>
            <sz val="8"/>
            <color indexed="81"/>
            <rFont val="Tahoma"/>
            <family val="2"/>
          </rPr>
          <t>godjohn:</t>
        </r>
        <r>
          <rPr>
            <sz val="8"/>
            <color indexed="81"/>
            <rFont val="Tahoma"/>
            <family val="2"/>
          </rPr>
          <t xml:space="preserve">
2Q07 call
7.5%</t>
        </r>
      </text>
    </comment>
    <comment ref="FR10" authorId="3">
      <text>
        <r>
          <rPr>
            <b/>
            <sz val="9"/>
            <color indexed="81"/>
            <rFont val="Tahoma"/>
            <family val="2"/>
          </rPr>
          <t>Newman, Brendan K (Research):</t>
        </r>
        <r>
          <rPr>
            <sz val="9"/>
            <color indexed="81"/>
            <rFont val="Tahoma"/>
            <family val="2"/>
          </rPr>
          <t xml:space="preserve">
Guidance for 3.5% annual growth</t>
        </r>
      </text>
    </comment>
    <comment ref="BQ15" authorId="4">
      <text>
        <r>
          <rPr>
            <sz val="8"/>
            <color indexed="81"/>
            <rFont val="Tahoma"/>
            <family val="2"/>
          </rPr>
          <t xml:space="preserve">7/21/03 con call: Taking 8, retiring 3, for net 5
</t>
        </r>
      </text>
    </comment>
    <comment ref="BR15" authorId="4">
      <text>
        <r>
          <rPr>
            <sz val="8"/>
            <color indexed="81"/>
            <rFont val="Tahoma"/>
            <family val="2"/>
          </rPr>
          <t>7/21/03 con call: taking 4, retiring 1, for net 3
10/20 conf call: taking 4, retiring 2.</t>
        </r>
      </text>
    </comment>
    <comment ref="BT15" authorId="4">
      <text>
        <r>
          <rPr>
            <sz val="8"/>
            <color indexed="81"/>
            <rFont val="Tahoma"/>
            <family val="2"/>
          </rPr>
          <t xml:space="preserve">1/22/4 conf call: 1 net new a/c
</t>
        </r>
      </text>
    </comment>
    <comment ref="BU15" authorId="4">
      <text>
        <r>
          <rPr>
            <sz val="8"/>
            <color indexed="81"/>
            <rFont val="Tahoma"/>
            <family val="2"/>
          </rPr>
          <t xml:space="preserve">1/22/4 conf call: 15 net new a/c
04/16/04: conf call.
LUV will take 12 net aircraft in 2Q, 8 net aircraft in 3Q and 4 net aircraft in 4Q.  All 737-200s will be retired by February 2005. Southwest will take 29 net new aircraft in 2005, which will increase capacity by 10%.  
-----------------
</t>
        </r>
        <r>
          <rPr>
            <b/>
            <sz val="8"/>
            <color indexed="81"/>
            <rFont val="Tahoma"/>
            <family val="2"/>
          </rPr>
          <t>10Q: 2Q2004</t>
        </r>
        <r>
          <rPr>
            <sz val="8"/>
            <color indexed="81"/>
            <rFont val="Tahoma"/>
            <family val="2"/>
          </rPr>
          <t xml:space="preserve">
As of June 30 2004, Blended Winglets have been installed on 82 Boeing 737-700 aircraft. LUV will begin receiving -700s with winglets factory-installed from Boeing in August 2004 and expects to have all -700s retrofitted with winglets by March 2005.  Southwest expects annual fuel consumption savings of approximately three percent for each aircraft outfitted with the winglets. 
-----
                     </t>
        </r>
        <r>
          <rPr>
            <u/>
            <sz val="8"/>
            <color indexed="81"/>
            <rFont val="Tahoma"/>
            <family val="2"/>
          </rPr>
          <t>Current Schedule</t>
        </r>
        <r>
          <rPr>
            <sz val="8"/>
            <color indexed="81"/>
            <rFont val="Tahoma"/>
            <family val="2"/>
          </rPr>
          <t xml:space="preserve">
                   </t>
        </r>
        <r>
          <rPr>
            <u/>
            <sz val="8"/>
            <color indexed="81"/>
            <rFont val="Tahoma"/>
            <family val="2"/>
          </rPr>
          <t xml:space="preserve">Firm    </t>
        </r>
        <r>
          <rPr>
            <sz val="8"/>
            <color indexed="81"/>
            <rFont val="Tahoma"/>
            <family val="2"/>
          </rPr>
          <t xml:space="preserve">     </t>
        </r>
        <r>
          <rPr>
            <u/>
            <sz val="8"/>
            <color indexed="81"/>
            <rFont val="Tahoma"/>
            <family val="2"/>
          </rPr>
          <t>Options*</t>
        </r>
        <r>
          <rPr>
            <sz val="8"/>
            <color indexed="81"/>
            <rFont val="Tahoma"/>
            <family val="2"/>
          </rPr>
          <t xml:space="preserve">
2004**               47               -
2005                 34               -
2006                 22              12
2007                 25              29
2008                  6              45
2009-2012             -             177
Total               134             263
*Includes purchase rights
**Includes 22 aircraft delivered through June 30, 2004
      The following table details information on the 405 aircraft in the
Company's fleet as of June 30, 2004:
                            Average       Number     Number     Number
   737 Type     Seats      Age (Yrs)   of Aircraft    Owned     Leased
  -200           122          21.8          18          16          2
  -300           137          13.2         194         110         84
  -500           122          13.2          25          16          9
  -700           137           3.3         168         166          2
TOTALS                         9.5         405         308         97
</t>
        </r>
      </text>
    </comment>
    <comment ref="BV15" authorId="4">
      <text>
        <r>
          <rPr>
            <b/>
            <sz val="8"/>
            <color indexed="81"/>
            <rFont val="Tahoma"/>
            <family val="2"/>
          </rPr>
          <t xml:space="preserve">3Q10Q. </t>
        </r>
        <r>
          <rPr>
            <sz val="8"/>
            <color indexed="81"/>
            <rFont val="Tahoma"/>
            <family val="2"/>
          </rPr>
          <t>During 3Q, Southwest acquired 15 737-700s and retired five 737-200s.  Southwest exercised one 737-200 option for 2006 delivery.</t>
        </r>
        <r>
          <rPr>
            <b/>
            <sz val="8"/>
            <color indexed="81"/>
            <rFont val="Tahoma"/>
            <family val="2"/>
          </rPr>
          <t xml:space="preserve">
PR 3Q2004:</t>
        </r>
        <r>
          <rPr>
            <sz val="8"/>
            <color indexed="81"/>
            <rFont val="Tahoma"/>
            <family val="2"/>
          </rPr>
          <t xml:space="preserve">
During third quarter 2004, Southwest exercised one Boeing 737-700 option for 2006 delivery. This change brings our 2006 firm orders and options to 23 and 11, respectively.
 Southwest Airlines Co.
     Boeing 737-700 Delivery Schedule
     As of September 30, 2004
                                            Prior Schedule  Current Schedule
                                            Firm  Options*  Firm     Options*
    2004                                      47     ---      47 **     ---
    2005                                      34     ---      34          ---
    2006                                      22      12      23         11
    2007                                      25      29      25         29
    2008                                       6      45       6          45
    2009-2012                            ---      177     ---        177
</t>
        </r>
        <r>
          <rPr>
            <b/>
            <sz val="8"/>
            <color indexed="81"/>
            <rFont val="Tahoma"/>
            <family val="2"/>
          </rPr>
          <t xml:space="preserve">    Total                                    134     263     135        262</t>
        </r>
        <r>
          <rPr>
            <sz val="8"/>
            <color indexed="81"/>
            <rFont val="Tahoma"/>
            <family val="2"/>
          </rPr>
          <t xml:space="preserve">
    *  Includes purchase rights
    ** 37 aircraft were received during first nine months of 2004, including
       one leased aircraft
07/15/2004: add 15, and retiring 6.
1/22/4 conf call: +7 a/c
</t>
        </r>
      </text>
    </comment>
    <comment ref="BW15" authorId="4">
      <text>
        <r>
          <rPr>
            <sz val="8"/>
            <color indexed="81"/>
            <rFont val="Tahoma"/>
            <family val="2"/>
          </rPr>
          <t xml:space="preserve">3Q10Q. Will add 10 737 aircraft and retire 8 others in 4Q, resulting in a year-end total of 415 aircraft.  
1/22/4 conf call: +6 a/c
07/15/2004: add 10 a/c, retire 7 a/c. </t>
        </r>
      </text>
    </comment>
    <comment ref="BZ15" authorId="2">
      <text>
        <r>
          <rPr>
            <b/>
            <sz val="8"/>
            <color indexed="81"/>
            <rFont val="Tahoma"/>
            <family val="2"/>
          </rPr>
          <t xml:space="preserve">10Q:
</t>
        </r>
        <r>
          <rPr>
            <sz val="8"/>
            <color indexed="81"/>
            <rFont val="Tahoma"/>
            <family val="2"/>
          </rPr>
          <t xml:space="preserve">                  Current Schedule      
                  Firm     Options*
2005**             34         -
2006               33         1
2007               25        29
2008                6        45
2009-2012           -       177
Total              98       252
</t>
        </r>
        <r>
          <rPr>
            <sz val="8"/>
            <color indexed="81"/>
            <rFont val="Tahoma"/>
            <family val="2"/>
          </rPr>
          <t xml:space="preserve">
</t>
        </r>
      </text>
    </comment>
    <comment ref="CB15" authorId="4">
      <text>
        <r>
          <rPr>
            <sz val="8"/>
            <color indexed="81"/>
            <rFont val="Tahoma"/>
            <family val="2"/>
          </rPr>
          <t xml:space="preserve">3Q04 c/c. Southwest will net 29 new aircraft in 2005.  
--------------------
4/15/04: Kelly said LUV will take 31 firm -700s in '05, has 3 more options and will retire 5 -200s.
7/15/04 Update:
                  Current Schedule      
                  Firm     Options*
2004**             47         -   
2005               34         -
2006               22        12
2007               25        29
2008                6        45
2009-2012           -       177
Total             131       266
</t>
        </r>
      </text>
    </comment>
    <comment ref="CG15" authorId="4">
      <text>
        <r>
          <rPr>
            <sz val="8"/>
            <color indexed="81"/>
            <rFont val="Tahoma"/>
            <family val="2"/>
          </rPr>
          <t xml:space="preserve">3Q04 c/c. Southwest will net 29 new aircraft in 2005.  
--------------------
4/15/04: Kelly said LUV will take 31 firm -700s in '05, has 3 more options and will retire 5 -200s.
7/15/04 Update:
                  Current Schedule      
                  Firm     Options*
2004**             47         -   
2005               34         -
2006               22        12
2007               25        29
2008                6        45
2009-2012           -       177
Total             131       266
</t>
        </r>
      </text>
    </comment>
    <comment ref="CS15" authorId="1">
      <text>
        <r>
          <rPr>
            <b/>
            <sz val="8"/>
            <color indexed="81"/>
            <rFont val="Tahoma"/>
            <family val="2"/>
          </rPr>
          <t>nedgill:</t>
        </r>
        <r>
          <rPr>
            <sz val="8"/>
            <color indexed="81"/>
            <rFont val="Tahoma"/>
            <family val="2"/>
          </rPr>
          <t xml:space="preserve">
2 lease returns that had been expected for 4Q08 are now pushed to 1Q09</t>
        </r>
      </text>
    </comment>
    <comment ref="BO20" authorId="5">
      <text>
        <r>
          <rPr>
            <sz val="8"/>
            <color indexed="81"/>
            <rFont val="Tahoma"/>
            <family val="2"/>
          </rPr>
          <t>4/21/03 conf call:  $25 impact from war</t>
        </r>
      </text>
    </comment>
    <comment ref="BP20" authorId="5">
      <text>
        <r>
          <rPr>
            <sz val="8"/>
            <color indexed="81"/>
            <rFont val="Tahoma"/>
            <family val="2"/>
          </rPr>
          <t>4/21/03 conf call: expects $250-300 mil in govt aid
7/21/03 con call: 35% of tickets were full-fare. This was up 3 points.</t>
        </r>
      </text>
    </comment>
    <comment ref="CB20" authorId="6">
      <text>
        <r>
          <rPr>
            <b/>
            <sz val="8"/>
            <color indexed="81"/>
            <rFont val="Tahoma"/>
            <family val="2"/>
          </rPr>
          <t>Greene:</t>
        </r>
        <r>
          <rPr>
            <sz val="8"/>
            <color indexed="81"/>
            <rFont val="Tahoma"/>
            <family val="2"/>
          </rPr>
          <t xml:space="preserve"> Percentage of revenue booked through southwest.com rose to 69% from 63% in year-earlier period.</t>
        </r>
      </text>
    </comment>
    <comment ref="CC20" authorId="6">
      <text>
        <r>
          <rPr>
            <b/>
            <sz val="10"/>
            <color indexed="81"/>
            <rFont val="Arial"/>
            <family val="2"/>
          </rPr>
          <t xml:space="preserve">1/06: </t>
        </r>
        <r>
          <rPr>
            <sz val="10"/>
            <color indexed="81"/>
            <rFont val="Arial"/>
            <family val="2"/>
          </rPr>
          <t>Kelly said that LUV took 5 fare increases in 2005, 3 of which were "across the board."</t>
        </r>
      </text>
    </comment>
    <comment ref="CG20" authorId="6">
      <text>
        <r>
          <rPr>
            <b/>
            <sz val="8"/>
            <color indexed="81"/>
            <rFont val="Tahoma"/>
            <family val="2"/>
          </rPr>
          <t>Greene:</t>
        </r>
        <r>
          <rPr>
            <sz val="8"/>
            <color indexed="81"/>
            <rFont val="Tahoma"/>
            <family val="2"/>
          </rPr>
          <t xml:space="preserve"> Percentage of revenue booked through southwest.com rose to 69% from 63% in year-earlier period.</t>
        </r>
      </text>
    </comment>
    <comment ref="CN20" authorId="1">
      <text>
        <r>
          <rPr>
            <b/>
            <sz val="8"/>
            <color indexed="81"/>
            <rFont val="Tahoma"/>
            <family val="2"/>
          </rPr>
          <t>nedgill:</t>
        </r>
        <r>
          <rPr>
            <sz val="8"/>
            <color indexed="81"/>
            <rFont val="Tahoma"/>
            <family val="2"/>
          </rPr>
          <t xml:space="preserve">
the company estimates that 1Q benefitted by $20M due to Easter being in the quarter</t>
        </r>
      </text>
    </comment>
    <comment ref="CT20" authorId="1">
      <text>
        <r>
          <rPr>
            <b/>
            <sz val="8"/>
            <color indexed="81"/>
            <rFont val="Tahoma"/>
            <family val="2"/>
          </rPr>
          <t>nedgill:</t>
        </r>
        <r>
          <rPr>
            <sz val="8"/>
            <color indexed="81"/>
            <rFont val="Tahoma"/>
            <family val="2"/>
          </rPr>
          <t xml:space="preserve">
LUV: estimate impact of swine flu was at least $20M</t>
        </r>
      </text>
    </comment>
    <comment ref="CU20" authorId="1">
      <text>
        <r>
          <rPr>
            <b/>
            <sz val="8"/>
            <color indexed="81"/>
            <rFont val="Tahoma"/>
            <family val="2"/>
          </rPr>
          <t>nedgill:</t>
        </r>
        <r>
          <rPr>
            <sz val="8"/>
            <color indexed="81"/>
            <rFont val="Tahoma"/>
            <family val="2"/>
          </rPr>
          <t xml:space="preserve">
LUV: Wow! sale drove ~$10M in additional revenue in Sept.  Also, drove significant increase in bookings.  Thinks the sale drove increase in incremental bookings as well (from 3Q09 call)</t>
        </r>
      </text>
    </comment>
    <comment ref="CV20" authorId="1">
      <text>
        <r>
          <rPr>
            <b/>
            <sz val="8"/>
            <color indexed="81"/>
            <rFont val="Tahoma"/>
            <family val="2"/>
          </rPr>
          <t>nedgill:</t>
        </r>
        <r>
          <rPr>
            <sz val="8"/>
            <color indexed="81"/>
            <rFont val="Tahoma"/>
            <family val="2"/>
          </rPr>
          <t xml:space="preserve">
LUV: fare restructure (rev mgmt optimization) drove improvement on the magnitude of tens of millions of dollars</t>
        </r>
      </text>
    </comment>
    <comment ref="ED20" authorId="3">
      <text>
        <r>
          <rPr>
            <b/>
            <sz val="9"/>
            <color indexed="81"/>
            <rFont val="Tahoma"/>
            <family val="2"/>
          </rPr>
          <t>Streger, David W (Research):</t>
        </r>
        <r>
          <rPr>
            <sz val="9"/>
            <color indexed="81"/>
            <rFont val="Tahoma"/>
            <family val="2"/>
          </rPr>
          <t xml:space="preserve">
System outage reduced revenue by $55M</t>
        </r>
      </text>
    </comment>
    <comment ref="BM22" authorId="4">
      <text>
        <r>
          <rPr>
            <sz val="8"/>
            <color indexed="81"/>
            <rFont val="Tahoma"/>
            <family val="2"/>
          </rPr>
          <t xml:space="preserve">10/02: Kelly said unit revs down 15% compared to 4Q 2000 and below 3Q02s level.
</t>
        </r>
      </text>
    </comment>
    <comment ref="CB22" authorId="6">
      <text>
        <r>
          <rPr>
            <b/>
            <sz val="10"/>
            <color indexed="81"/>
            <rFont val="Arial"/>
            <family val="2"/>
          </rPr>
          <t xml:space="preserve">1/06: </t>
        </r>
        <r>
          <rPr>
            <sz val="10"/>
            <color indexed="81"/>
            <rFont val="Arial"/>
            <family val="2"/>
          </rPr>
          <t>Wright said RASM rose 7% in October, and 14% in both November and December.</t>
        </r>
      </text>
    </comment>
    <comment ref="CG22" authorId="6">
      <text>
        <r>
          <rPr>
            <b/>
            <sz val="10"/>
            <color indexed="81"/>
            <rFont val="Arial"/>
            <family val="2"/>
          </rPr>
          <t xml:space="preserve">1/06: </t>
        </r>
        <r>
          <rPr>
            <sz val="10"/>
            <color indexed="81"/>
            <rFont val="Arial"/>
            <family val="2"/>
          </rPr>
          <t>Wright said RASM rose 7% in October, and 14% in both November and December.</t>
        </r>
      </text>
    </comment>
    <comment ref="BR23" authorId="4">
      <text>
        <r>
          <rPr>
            <sz val="8"/>
            <color indexed="81"/>
            <rFont val="Tahoma"/>
            <family val="2"/>
          </rPr>
          <t xml:space="preserve">October earnings call: RASM should be up YoY, around 5%.
</t>
        </r>
      </text>
    </comment>
    <comment ref="BY23" authorId="2">
      <text>
        <r>
          <rPr>
            <b/>
            <sz val="8"/>
            <color indexed="81"/>
            <rFont val="Tahoma"/>
            <family val="2"/>
          </rPr>
          <t>falfalkj:</t>
        </r>
        <r>
          <rPr>
            <sz val="8"/>
            <color indexed="81"/>
            <rFont val="Tahoma"/>
            <family val="2"/>
          </rPr>
          <t xml:space="preserve">
formerly 0.5
</t>
        </r>
      </text>
    </comment>
    <comment ref="CD23" authorId="6">
      <text>
        <r>
          <rPr>
            <b/>
            <sz val="10"/>
            <color indexed="81"/>
            <rFont val="Arial"/>
            <family val="2"/>
          </rPr>
          <t xml:space="preserve">1/06: </t>
        </r>
        <r>
          <rPr>
            <sz val="10"/>
            <color indexed="81"/>
            <rFont val="Arial"/>
            <family val="2"/>
          </rPr>
          <t>Wright said that growth rate in 1Q RASM is unlikely to match 4Q05's growth rate.</t>
        </r>
      </text>
    </comment>
    <comment ref="BL26" authorId="4">
      <text>
        <r>
          <rPr>
            <sz val="8"/>
            <color indexed="81"/>
            <rFont val="Tahoma"/>
            <family val="2"/>
          </rPr>
          <t>6/30 10Q: LUV expects YOY declines as Postal service steers away from using airlines.</t>
        </r>
      </text>
    </comment>
    <comment ref="BQ26" authorId="4">
      <text>
        <r>
          <rPr>
            <sz val="8"/>
            <color indexed="81"/>
            <rFont val="Tahoma"/>
            <family val="2"/>
          </rPr>
          <t xml:space="preserve">2Q 10Q: freight revs will likely be down YoY as the post office swtiches away to other carriers.
</t>
        </r>
      </text>
    </comment>
    <comment ref="BL28" authorId="4">
      <text>
        <r>
          <rPr>
            <sz val="8"/>
            <color indexed="81"/>
            <rFont val="Tahoma"/>
            <family val="2"/>
          </rPr>
          <t>6/30 10Q: LUV expects YOY declines as Postal service steers away from using airlines.</t>
        </r>
      </text>
    </comment>
    <comment ref="BQ28" authorId="4">
      <text>
        <r>
          <rPr>
            <sz val="8"/>
            <color indexed="81"/>
            <rFont val="Tahoma"/>
            <family val="2"/>
          </rPr>
          <t xml:space="preserve">2Q 10Q: freight revs will likely be down YoY as the post office swtiches away to other carriers.
</t>
        </r>
      </text>
    </comment>
    <comment ref="CU30" authorId="1">
      <text>
        <r>
          <rPr>
            <b/>
            <sz val="8"/>
            <color indexed="81"/>
            <rFont val="Tahoma"/>
            <family val="2"/>
          </rPr>
          <t>nedgill:</t>
        </r>
        <r>
          <rPr>
            <sz val="8"/>
            <color indexed="81"/>
            <rFont val="Tahoma"/>
            <family val="2"/>
          </rPr>
          <t xml:space="preserve">
includes some benefit for Early Bird, began in early September</t>
        </r>
      </text>
    </comment>
    <comment ref="CV30" authorId="1">
      <text>
        <r>
          <rPr>
            <b/>
            <sz val="8"/>
            <color indexed="81"/>
            <rFont val="Tahoma"/>
            <family val="2"/>
          </rPr>
          <t>nedgill:</t>
        </r>
        <r>
          <rPr>
            <sz val="8"/>
            <color indexed="81"/>
            <rFont val="Tahoma"/>
            <family val="2"/>
          </rPr>
          <t xml:space="preserve">
includes benefit for Early Bird</t>
        </r>
      </text>
    </comment>
    <comment ref="DH30" authorId="8">
      <text>
        <r>
          <rPr>
            <b/>
            <sz val="8"/>
            <color indexed="81"/>
            <rFont val="Tahoma"/>
            <family val="2"/>
          </rPr>
          <t>khong:</t>
        </r>
        <r>
          <rPr>
            <sz val="8"/>
            <color indexed="81"/>
            <rFont val="Tahoma"/>
            <family val="2"/>
          </rPr>
          <t xml:space="preserve">
reallocation frequent flyer points</t>
        </r>
      </text>
    </comment>
    <comment ref="DI30" authorId="8">
      <text>
        <r>
          <rPr>
            <b/>
            <sz val="8"/>
            <color indexed="81"/>
            <rFont val="Tahoma"/>
            <family val="2"/>
          </rPr>
          <t>khong:</t>
        </r>
        <r>
          <rPr>
            <sz val="8"/>
            <color indexed="81"/>
            <rFont val="Tahoma"/>
            <family val="2"/>
          </rPr>
          <t xml:space="preserve">
reallocation frequent flyer points</t>
        </r>
      </text>
    </comment>
    <comment ref="DJ30" authorId="8">
      <text>
        <r>
          <rPr>
            <b/>
            <sz val="8"/>
            <color indexed="81"/>
            <rFont val="Tahoma"/>
            <family val="2"/>
          </rPr>
          <t>khong:</t>
        </r>
        <r>
          <rPr>
            <sz val="8"/>
            <color indexed="81"/>
            <rFont val="Tahoma"/>
            <family val="2"/>
          </rPr>
          <t xml:space="preserve">
reallocation frequent flyer points</t>
        </r>
      </text>
    </comment>
    <comment ref="CD31" authorId="6">
      <text>
        <r>
          <rPr>
            <b/>
            <sz val="8"/>
            <color indexed="81"/>
            <rFont val="Tahoma"/>
            <family val="2"/>
          </rPr>
          <t xml:space="preserve">1/06: </t>
        </r>
        <r>
          <rPr>
            <sz val="8"/>
            <color indexed="81"/>
            <rFont val="Tahoma"/>
            <family val="2"/>
          </rPr>
          <t>Wright noted that other revenue continues to grow nicely in 1Q06, but is unlikely to match 4Q05's 35% growth.</t>
        </r>
      </text>
    </comment>
    <comment ref="BM32" authorId="4">
      <text>
        <r>
          <rPr>
            <sz val="8"/>
            <color indexed="81"/>
            <rFont val="Tahoma"/>
            <family val="2"/>
          </rPr>
          <t xml:space="preserve">10/02: Kelly said unit revs down 15% compared to 4Q 2000 and below 3Q02s level.
</t>
        </r>
      </text>
    </comment>
    <comment ref="CB32" authorId="6">
      <text>
        <r>
          <rPr>
            <b/>
            <sz val="10"/>
            <color indexed="81"/>
            <rFont val="Arial"/>
            <family val="2"/>
          </rPr>
          <t xml:space="preserve">1/06: </t>
        </r>
        <r>
          <rPr>
            <sz val="10"/>
            <color indexed="81"/>
            <rFont val="Arial"/>
            <family val="2"/>
          </rPr>
          <t>Wright said RASM rose 7% in October, and 14% in both November and December.</t>
        </r>
      </text>
    </comment>
    <comment ref="CG32" authorId="6">
      <text>
        <r>
          <rPr>
            <b/>
            <sz val="10"/>
            <color indexed="81"/>
            <rFont val="Arial"/>
            <family val="2"/>
          </rPr>
          <t xml:space="preserve">1/06: </t>
        </r>
        <r>
          <rPr>
            <sz val="10"/>
            <color indexed="81"/>
            <rFont val="Arial"/>
            <family val="2"/>
          </rPr>
          <t>Wright said RASM rose 7% in October, and 14% in both November and December.</t>
        </r>
      </text>
    </comment>
    <comment ref="BR33" authorId="4">
      <text>
        <r>
          <rPr>
            <sz val="8"/>
            <color indexed="81"/>
            <rFont val="Tahoma"/>
            <family val="2"/>
          </rPr>
          <t xml:space="preserve">October earnings call: RASM should be up YoY, around 5%.
</t>
        </r>
      </text>
    </comment>
    <comment ref="BY33" authorId="2">
      <text>
        <r>
          <rPr>
            <b/>
            <sz val="8"/>
            <color indexed="81"/>
            <rFont val="Tahoma"/>
            <family val="2"/>
          </rPr>
          <t>falfalkj:</t>
        </r>
        <r>
          <rPr>
            <sz val="8"/>
            <color indexed="81"/>
            <rFont val="Tahoma"/>
            <family val="2"/>
          </rPr>
          <t xml:space="preserve">
formerly 0.5
</t>
        </r>
      </text>
    </comment>
    <comment ref="CD33" authorId="6">
      <text>
        <r>
          <rPr>
            <b/>
            <sz val="10"/>
            <color indexed="81"/>
            <rFont val="Arial"/>
            <family val="2"/>
          </rPr>
          <t xml:space="preserve">1/06: </t>
        </r>
        <r>
          <rPr>
            <sz val="10"/>
            <color indexed="81"/>
            <rFont val="Arial"/>
            <family val="2"/>
          </rPr>
          <t>Wright said that growth rate in 1Q RASM is unlikely to match 4Q05's growth rate.</t>
        </r>
      </text>
    </comment>
    <comment ref="BW36" authorId="2">
      <text>
        <r>
          <rPr>
            <b/>
            <sz val="8"/>
            <color indexed="81"/>
            <rFont val="Tahoma"/>
            <family val="2"/>
          </rPr>
          <t xml:space="preserve">3Q10Q. </t>
        </r>
        <r>
          <rPr>
            <sz val="8"/>
            <color indexed="81"/>
            <rFont val="Tahoma"/>
            <family val="2"/>
          </rPr>
          <t xml:space="preserve">4Q04 unit revenue may decline from YoY unit revenue of 8.29 cents.  Management indicated that they anticipate normal sequential declines in 4Q04 unit revenues.  Historically, the company sees a 3.5%-4% decline from 3Q levels.  The company warned that passenger revenue yields continue to fall below year ago levels. 
</t>
        </r>
        <r>
          <rPr>
            <b/>
            <sz val="8"/>
            <color indexed="81"/>
            <rFont val="Tahoma"/>
            <family val="2"/>
          </rPr>
          <t>PR3Q2004:</t>
        </r>
        <r>
          <rPr>
            <sz val="8"/>
            <color indexed="81"/>
            <rFont val="Tahoma"/>
            <family val="2"/>
          </rPr>
          <t xml:space="preserve">The revenue environment has softened since July, and recent trends, along with more competitive capacity, suggest fourth quarter 2004 unit revenue may decline from fourth quarter 2003 unit revenue of 8.29 cents. Although bookings for October are fine, our passenger revenue yield per revenue passenger mile continues to fall below year ago levels. 
</t>
        </r>
      </text>
    </comment>
    <comment ref="BY36" authorId="2">
      <text>
        <r>
          <rPr>
            <b/>
            <sz val="8"/>
            <color indexed="81"/>
            <rFont val="Tahoma"/>
            <family val="2"/>
          </rPr>
          <t xml:space="preserve">3Q10Q. </t>
        </r>
        <r>
          <rPr>
            <sz val="8"/>
            <color indexed="81"/>
            <rFont val="Tahoma"/>
            <family val="2"/>
          </rPr>
          <t xml:space="preserve">4Q04 unit revenue may decline from YoY unit revenue of 8.29 cents.  Management indicated that they anticipate normal sequential declines in 4Q04 unit revenues.  Historically, the company sees a 3.5%-4% decline from 3Q levels.  The company warned that passenger revenue yields continue to fall below year ago levels. 
</t>
        </r>
        <r>
          <rPr>
            <b/>
            <sz val="8"/>
            <color indexed="81"/>
            <rFont val="Tahoma"/>
            <family val="2"/>
          </rPr>
          <t>PR3Q2004:</t>
        </r>
        <r>
          <rPr>
            <sz val="8"/>
            <color indexed="81"/>
            <rFont val="Tahoma"/>
            <family val="2"/>
          </rPr>
          <t xml:space="preserve">The revenue environment has softened since July, and recent trends, along with more competitive capacity, suggest fourth quarter 2004 unit revenue may decline from fourth quarter 2003 unit revenue of 8.29 cents. Although bookings for October are fine, our passenger revenue yield per revenue passenger mile continues to fall below year ago levels. 
</t>
        </r>
      </text>
    </comment>
    <comment ref="BZ36" authorId="2">
      <text>
        <r>
          <rPr>
            <b/>
            <sz val="8"/>
            <color indexed="81"/>
            <rFont val="Tahoma"/>
            <family val="2"/>
          </rPr>
          <t xml:space="preserve">3Q10Q. </t>
        </r>
        <r>
          <rPr>
            <sz val="8"/>
            <color indexed="81"/>
            <rFont val="Tahoma"/>
            <family val="2"/>
          </rPr>
          <t xml:space="preserve">4Q04 unit revenue may decline from YoY unit revenue of 8.29 cents.  Management indicated that they anticipate normal sequential declines in 4Q04 unit revenues.  Historically, the company sees a 3.5%-4% decline from 3Q levels.  The company warned that passenger revenue yields continue to fall below year ago levels. 
</t>
        </r>
        <r>
          <rPr>
            <b/>
            <sz val="8"/>
            <color indexed="81"/>
            <rFont val="Tahoma"/>
            <family val="2"/>
          </rPr>
          <t>PR3Q2004:</t>
        </r>
        <r>
          <rPr>
            <sz val="8"/>
            <color indexed="81"/>
            <rFont val="Tahoma"/>
            <family val="2"/>
          </rPr>
          <t xml:space="preserve">The revenue environment has softened since July, and recent trends, along with more competitive capacity, suggest fourth quarter 2004 unit revenue may decline from fourth quarter 2003 unit revenue of 8.29 cents. Although bookings for October are fine, our passenger revenue yield per revenue passenger mile continues to fall below year ago levels. 
</t>
        </r>
      </text>
    </comment>
    <comment ref="CA36" authorId="2">
      <text>
        <r>
          <rPr>
            <b/>
            <sz val="8"/>
            <color indexed="81"/>
            <rFont val="Tahoma"/>
            <family val="2"/>
          </rPr>
          <t xml:space="preserve">3Q10Q. </t>
        </r>
        <r>
          <rPr>
            <sz val="8"/>
            <color indexed="81"/>
            <rFont val="Tahoma"/>
            <family val="2"/>
          </rPr>
          <t xml:space="preserve">4Q04 unit revenue may decline from YoY unit revenue of 8.29 cents.  Management indicated that they anticipate normal sequential declines in 4Q04 unit revenues.  Historically, the company sees a 3.5%-4% decline from 3Q levels.  The company warned that passenger revenue yields continue to fall below year ago levels. 
</t>
        </r>
        <r>
          <rPr>
            <b/>
            <sz val="8"/>
            <color indexed="81"/>
            <rFont val="Tahoma"/>
            <family val="2"/>
          </rPr>
          <t>PR3Q2004:</t>
        </r>
        <r>
          <rPr>
            <sz val="8"/>
            <color indexed="81"/>
            <rFont val="Tahoma"/>
            <family val="2"/>
          </rPr>
          <t xml:space="preserve">The revenue environment has softened since July, and recent trends, along with more competitive capacity, suggest fourth quarter 2004 unit revenue may decline from fourth quarter 2003 unit revenue of 8.29 cents. Although bookings for October are fine, our passenger revenue yield per revenue passenger mile continues to fall below year ago levels. 
</t>
        </r>
      </text>
    </comment>
    <comment ref="BM39" authorId="4">
      <text>
        <r>
          <rPr>
            <sz val="8"/>
            <color indexed="81"/>
            <rFont val="Tahoma"/>
            <family val="2"/>
          </rPr>
          <t xml:space="preserve">1/22/03 Conf Call: $71mil in profitsharing.
</t>
        </r>
      </text>
    </comment>
    <comment ref="BP39" authorId="4">
      <text>
        <r>
          <rPr>
            <sz val="8"/>
            <color indexed="81"/>
            <rFont val="Tahoma"/>
            <family val="2"/>
          </rPr>
          <t xml:space="preserve">Pulled out $41 million to reflect profitsharing due to gov't grant money
</t>
        </r>
      </text>
    </comment>
    <comment ref="BQ39" authorId="4">
      <text>
        <r>
          <rPr>
            <sz val="8"/>
            <color indexed="81"/>
            <rFont val="Tahoma"/>
            <family val="2"/>
          </rPr>
          <t xml:space="preserve">7/21/03 con call: Upward pressure coming in this line item due to contracted wage increase for pilots, who rep 30% of this item.
</t>
        </r>
      </text>
    </comment>
    <comment ref="BS39" authorId="4">
      <text>
        <r>
          <rPr>
            <sz val="8"/>
            <color indexed="81"/>
            <rFont val="Tahoma"/>
            <family val="2"/>
          </rPr>
          <t xml:space="preserve">1/22/03 Conf Call: Profitsharing is accrued throughout year and is usually 15% of pretax inc).
</t>
        </r>
      </text>
    </comment>
    <comment ref="BT39" authorId="9">
      <text>
        <r>
          <rPr>
            <sz val="8"/>
            <color indexed="81"/>
            <rFont val="Tahoma"/>
            <family val="2"/>
          </rPr>
          <t>We excluded $18 M ($15.3M incl. effects of profit sharing) in charges here associated with the closing of the reservation centers.</t>
        </r>
      </text>
    </comment>
    <comment ref="BU39" authorId="9">
      <text>
        <r>
          <rPr>
            <b/>
            <sz val="8"/>
            <color indexed="81"/>
            <rFont val="Tahoma"/>
            <family val="2"/>
          </rPr>
          <t xml:space="preserve">We stripped out both one-time charges in the qtr. here.  The charges were related to the early retirements and the flight attendant contract.
---------------
10Q: 2Q2004: </t>
        </r>
        <r>
          <rPr>
            <sz val="8"/>
            <color indexed="81"/>
            <rFont val="Tahoma"/>
            <family val="2"/>
          </rPr>
          <t xml:space="preserve">LUV offered a voluntary early out option to all of its Employees, except officers.  More than 1,000 Employees accepted the offer, resulting in $11MM in charges in 2Q2004.  These charges are reflected in Salaries, wages, and benefits.  The Employees accepting the offer are required to work through at least July 31, 2004.  The Company anticipates that a majority of these positions will not be replaced, and that future annual cost savings will exceed the charges incurred.
----------
During 2Q2004, the Company offered a voluntary early out option to all of its Employees, except officers.  Employees had until June 25, 2004, to accept the offer, which consisted of bonus pay, medical benefits, and flight benefits, based on years of service with the Company.  More than 1,000 Employees accepted the offer, resulting in $11 million in charges in second quarter 2004.  These charges are reflected in Salaries, wages, and benefits.  The Employees accepting the offer are required to work through at least July 31, 2004.  The Company anticipates that a majority of these positions will not be replaced, and that future annual cost savings will exceed the charges incurred.
During 2Q2004, the Transport Workers  Union Local 556 reached a tentative labor agreement (contract) for the Flight Attendants.  The contract, which must be ratified by a majority of the Company's Flight Attendants, is for the period from June 1, 2002, to May 31, 2008.  As a result, the Company recorded a $12 million second quarter 2004 charge for pay, per diem and benefit increases, most of which was retroactive to the date when the previous agreement became amendable.  Approximately $7 million of the $12 million charge relates to pay and benefit increases included in "Salaries, wages, and benefits" (approximately 60 percent of the total charge), and approximately $5 million related to per diem increases (approx. 40 % of total charge) for this group.  The portion of the $12 million charge which relates to second quarter 2004 is not material.  Voting on the tentative contract is expected to be complete by the end of July 2004.
</t>
        </r>
      </text>
    </comment>
    <comment ref="BV39" authorId="2">
      <text>
        <r>
          <rPr>
            <b/>
            <sz val="8"/>
            <color indexed="81"/>
            <rFont val="Tahoma"/>
            <family val="2"/>
          </rPr>
          <t xml:space="preserve">3Q10Q. </t>
        </r>
        <r>
          <rPr>
            <sz val="8"/>
            <color indexed="81"/>
            <rFont val="Tahoma"/>
            <family val="2"/>
          </rPr>
          <t xml:space="preserve">During third quarter 2004, Southwest and the Aircraft Mechanics Fraternal Association, representing Southwest's Mechanics, agreed to extend the date  the current agreement becomes amendable to August 2008.  The extension includes
both pay raises and the issuance of stock options, and has been ratified by a  majority of Southwest's Mechanics. 
Southwest and the International Brotherhood of Teamsters, representing Southwest's Flight Simulator Technicians, agreed to extend the date the current agreement becomes amendable to November 2011.  The  extension includes both pay raises and the issuance of stock options, and has been ratified by a majority of Southwest's Simulator Technicians.
</t>
        </r>
      </text>
    </comment>
    <comment ref="CD39" authorId="6">
      <text>
        <r>
          <rPr>
            <b/>
            <sz val="10"/>
            <color indexed="81"/>
            <rFont val="Arial"/>
            <family val="2"/>
          </rPr>
          <t xml:space="preserve">1/06: </t>
        </r>
        <r>
          <rPr>
            <sz val="10"/>
            <color indexed="81"/>
            <rFont val="Arial"/>
            <family val="2"/>
          </rPr>
          <t>LUV starts expensing stock options in 1Q06, which will increase comp expense by $20M.</t>
        </r>
      </text>
    </comment>
    <comment ref="CE39" authorId="6">
      <text>
        <r>
          <rPr>
            <b/>
            <sz val="10"/>
            <color indexed="81"/>
            <rFont val="Arial"/>
            <family val="2"/>
          </rPr>
          <t xml:space="preserve">1/06: </t>
        </r>
        <r>
          <rPr>
            <sz val="10"/>
            <color indexed="81"/>
            <rFont val="Arial"/>
            <family val="2"/>
          </rPr>
          <t>Kelly said contract negotiations with the pilots begins on June 1.</t>
        </r>
      </text>
    </comment>
    <comment ref="FO43" authorId="3">
      <text>
        <r>
          <rPr>
            <b/>
            <sz val="9"/>
            <color indexed="81"/>
            <rFont val="Tahoma"/>
            <family val="2"/>
          </rPr>
          <t>Streger, David W (Research):</t>
        </r>
        <r>
          <rPr>
            <sz val="9"/>
            <color indexed="81"/>
            <rFont val="Tahoma"/>
            <family val="2"/>
          </rPr>
          <t xml:space="preserve">
November 1, 2018
http://investors.southwest.com/news-and-events/news-releases/2016/10-31-2016-191526082</t>
        </r>
      </text>
    </comment>
    <comment ref="FQ43" authorId="3">
      <text>
        <r>
          <rPr>
            <b/>
            <sz val="9"/>
            <color indexed="81"/>
            <rFont val="Tahoma"/>
            <family val="2"/>
          </rPr>
          <t>Streger, David W (Research):</t>
        </r>
        <r>
          <rPr>
            <sz val="9"/>
            <color indexed="81"/>
            <rFont val="Tahoma"/>
            <family val="2"/>
          </rPr>
          <t xml:space="preserve">
November 2020
http://investors.southwest.com/news-and-events/news-releases/2016/11-07-2016-185854328</t>
        </r>
      </text>
    </comment>
    <comment ref="FR43" authorId="3">
      <text>
        <r>
          <rPr>
            <b/>
            <sz val="9"/>
            <color indexed="81"/>
            <rFont val="Tahoma"/>
            <family val="2"/>
          </rPr>
          <t>Streger, David W (Research):</t>
        </r>
        <r>
          <rPr>
            <sz val="9"/>
            <color indexed="81"/>
            <rFont val="Tahoma"/>
            <family val="2"/>
          </rPr>
          <t xml:space="preserve">
TA as of now
February 2021
http://investors.southwest.com/news-and-events/news-releases/2016/10-11-2016-003329794</t>
        </r>
      </text>
    </comment>
    <comment ref="FO44" authorId="3">
      <text>
        <r>
          <rPr>
            <b/>
            <sz val="9"/>
            <color indexed="81"/>
            <rFont val="Tahoma"/>
            <family val="2"/>
          </rPr>
          <t>Streger, David W (Research):</t>
        </r>
        <r>
          <rPr>
            <sz val="9"/>
            <color indexed="81"/>
            <rFont val="Tahoma"/>
            <family val="2"/>
          </rPr>
          <t xml:space="preserve">
December 2018</t>
        </r>
      </text>
    </comment>
    <comment ref="FR44" authorId="3">
      <text>
        <r>
          <rPr>
            <b/>
            <sz val="9"/>
            <color indexed="81"/>
            <rFont val="Tahoma"/>
            <family val="2"/>
          </rPr>
          <t>Streger, David W (Research):</t>
        </r>
        <r>
          <rPr>
            <sz val="9"/>
            <color indexed="81"/>
            <rFont val="Tahoma"/>
            <family val="2"/>
          </rPr>
          <t xml:space="preserve">
Amendable in 2021
TA approved earlier in 2016</t>
        </r>
      </text>
    </comment>
    <comment ref="CD45" authorId="6">
      <text>
        <r>
          <rPr>
            <b/>
            <sz val="10"/>
            <color indexed="81"/>
            <rFont val="Arial"/>
            <family val="2"/>
          </rPr>
          <t xml:space="preserve">1/06: </t>
        </r>
        <r>
          <rPr>
            <sz val="10"/>
            <color indexed="81"/>
            <rFont val="Arial"/>
            <family val="2"/>
          </rPr>
          <t>Wright said that 1A06 labor unit costs will be in-line with 4Q05 due to the $20M stock options expensing hit.</t>
        </r>
      </text>
    </comment>
    <comment ref="BO47" authorId="5">
      <text>
        <r>
          <rPr>
            <sz val="8"/>
            <color indexed="81"/>
            <rFont val="Tahoma"/>
            <family val="2"/>
          </rPr>
          <t xml:space="preserve">4/21/03 conf call: company has about 600 too many employees. This will come down with growth and attrition
</t>
        </r>
      </text>
    </comment>
    <comment ref="BP47" authorId="4">
      <text>
        <r>
          <rPr>
            <sz val="8"/>
            <color indexed="81"/>
            <rFont val="Tahoma"/>
            <family val="2"/>
          </rPr>
          <t xml:space="preserve">7/21/03 con call: Declined due to natural attrition. Extra security personnel are being widdled down.
</t>
        </r>
      </text>
    </comment>
    <comment ref="BU47" authorId="2">
      <text>
        <r>
          <rPr>
            <b/>
            <sz val="8"/>
            <color indexed="81"/>
            <rFont val="Tahoma"/>
            <family val="2"/>
          </rPr>
          <t xml:space="preserve">10Q: 2Q2004
</t>
        </r>
        <r>
          <rPr>
            <sz val="8"/>
            <color indexed="81"/>
            <rFont val="Tahoma"/>
            <family val="2"/>
          </rPr>
          <t xml:space="preserve">2Q2004: LUV offered a voluntary early out option to all of its Employees, except officers.  Employees had until June 25, 2004, to accept the offer, which consisted of bonus pay, medical benefits, and flight benefits, based on years of service with the Company.  More than 1,000 Employees accepted the offer, resultingin $11MM in charges in 2Q2004.  These charges are reflected in Salaries, wages, and benefits.  The Employees accepting the offer are required to work through at least July 31, 2004.  The Company anticipates that a majority of these positions will not be replaced, and that future annual cost savings will exceed the charges incurred.
2Q2004: LUV and the Transport Workers Union Local 556 reached a tentative labor agreement (contract) for the LUV's Flight Attendants.  The contract, which must be ratified by a majority of the Company's Flight Attendants, is for the period from June 1, 2002, to May 31, 2008.  As a result, the Company recorded a $12 MM 2Q2004 charge for pay, per diem and benefit increases, most of which was retroactive to the date when the previous agreement became amendable.  Approximately $7 million of the $12 million charge relates to pay and benefit increases included in "Salaries, wages, and benefits" (approximately 60 % of the total charge), and approximately $5 MM related to per diem increases (approximately 40% of total charge) for this group.  The portion of the $12 MM charge which relates to 2Q2004 is not material.  Voting on the tentative contract is expected to be complete by the end of July 2004.
</t>
        </r>
      </text>
    </comment>
    <comment ref="FS47" authorId="3">
      <text>
        <r>
          <rPr>
            <b/>
            <sz val="9"/>
            <color indexed="81"/>
            <rFont val="Tahoma"/>
            <family val="2"/>
          </rPr>
          <t>Streger, David W (Research):</t>
        </r>
        <r>
          <rPr>
            <sz val="9"/>
            <color indexed="81"/>
            <rFont val="Tahoma"/>
            <family val="2"/>
          </rPr>
          <t xml:space="preserve">
Assumed</t>
        </r>
      </text>
    </comment>
    <comment ref="FL48" authorId="3">
      <text>
        <r>
          <rPr>
            <b/>
            <sz val="9"/>
            <color indexed="81"/>
            <rFont val="Tahoma"/>
            <family val="2"/>
          </rPr>
          <t>Streger, David W (Research):</t>
        </r>
        <r>
          <rPr>
            <sz val="9"/>
            <color indexed="81"/>
            <rFont val="Tahoma"/>
            <family val="2"/>
          </rPr>
          <t xml:space="preserve">
7,900 employees</t>
        </r>
      </text>
    </comment>
    <comment ref="FL49" authorId="3">
      <text>
        <r>
          <rPr>
            <b/>
            <sz val="9"/>
            <color indexed="81"/>
            <rFont val="Tahoma"/>
            <family val="2"/>
          </rPr>
          <t>Streger, David W (Research):</t>
        </r>
        <r>
          <rPr>
            <sz val="9"/>
            <color indexed="81"/>
            <rFont val="Tahoma"/>
            <family val="2"/>
          </rPr>
          <t xml:space="preserve">
13,800 employees</t>
        </r>
      </text>
    </comment>
    <comment ref="BX50" authorId="4">
      <text>
        <r>
          <rPr>
            <sz val="8"/>
            <color indexed="81"/>
            <rFont val="Tahoma"/>
            <family val="2"/>
          </rPr>
          <t xml:space="preserve">10/20/03 conf call: Employees per aircraft could drop to 83–84 by the end of next year. 
</t>
        </r>
      </text>
    </comment>
    <comment ref="FL50" authorId="3">
      <text>
        <r>
          <rPr>
            <b/>
            <sz val="9"/>
            <color indexed="81"/>
            <rFont val="Tahoma"/>
            <family val="2"/>
          </rPr>
          <t>Streger, David W (Research):</t>
        </r>
        <r>
          <rPr>
            <sz val="9"/>
            <color indexed="81"/>
            <rFont val="Tahoma"/>
            <family val="2"/>
          </rPr>
          <t xml:space="preserve">
Ramp, Operations, Provision, Freight Agents
11,000 employees</t>
        </r>
      </text>
    </comment>
    <comment ref="FS50" authorId="3">
      <text>
        <r>
          <rPr>
            <b/>
            <sz val="9"/>
            <color indexed="81"/>
            <rFont val="Tahoma"/>
            <family val="2"/>
          </rPr>
          <t>Streger, David W (Research):</t>
        </r>
        <r>
          <rPr>
            <sz val="9"/>
            <color indexed="81"/>
            <rFont val="Tahoma"/>
            <family val="2"/>
          </rPr>
          <t xml:space="preserve">
20% over 5 years</t>
        </r>
      </text>
    </comment>
    <comment ref="FL51" authorId="3">
      <text>
        <r>
          <rPr>
            <b/>
            <sz val="9"/>
            <color indexed="81"/>
            <rFont val="Tahoma"/>
            <family val="2"/>
          </rPr>
          <t>Streger, David W (Research):</t>
        </r>
        <r>
          <rPr>
            <sz val="9"/>
            <color indexed="81"/>
            <rFont val="Tahoma"/>
            <family val="2"/>
          </rPr>
          <t xml:space="preserve">
Customer Service Agents and Customer Representaties
6,300 employees</t>
        </r>
      </text>
    </comment>
    <comment ref="FL52" authorId="3">
      <text>
        <r>
          <rPr>
            <b/>
            <sz val="9"/>
            <color indexed="81"/>
            <rFont val="Tahoma"/>
            <family val="2"/>
          </rPr>
          <t>Streger, David W (Research):</t>
        </r>
        <r>
          <rPr>
            <sz val="9"/>
            <color indexed="81"/>
            <rFont val="Tahoma"/>
            <family val="2"/>
          </rPr>
          <t xml:space="preserve">
Mechanics
2,400 employees</t>
        </r>
      </text>
    </comment>
    <comment ref="FS52" authorId="3">
      <text>
        <r>
          <rPr>
            <b/>
            <sz val="9"/>
            <color indexed="81"/>
            <rFont val="Tahoma"/>
            <family val="2"/>
          </rPr>
          <t>Streger, David W (Research):</t>
        </r>
        <r>
          <rPr>
            <sz val="9"/>
            <color indexed="81"/>
            <rFont val="Tahoma"/>
            <family val="2"/>
          </rPr>
          <t xml:space="preserve">
TA as of now
http://www.amfanatl.org/index.cfm?zone=/unionactive/view_article.cfm&amp;HomeID=619672&amp;page=Southwest20Airlines</t>
        </r>
      </text>
    </comment>
    <comment ref="BO54" authorId="4">
      <text>
        <r>
          <rPr>
            <sz val="8"/>
            <color indexed="81"/>
            <rFont val="Tahoma"/>
            <family val="2"/>
          </rPr>
          <t xml:space="preserve">1/22/03 conf call: 100% hedged 85% at $23 caps, 15% at $30 caps. With the hedge, expect fuel in 70-75 cent range.
</t>
        </r>
      </text>
    </comment>
    <comment ref="BP54" authorId="4">
      <text>
        <r>
          <rPr>
            <sz val="8"/>
            <color indexed="81"/>
            <rFont val="Tahoma"/>
            <family val="2"/>
          </rPr>
          <t>1/22/03 conf call: 2Q is 85% hedged at $23 caps.
4/21/03 conf call: 100% hedged at $24/bbl</t>
        </r>
      </text>
    </comment>
    <comment ref="BQ54" authorId="5">
      <text>
        <r>
          <rPr>
            <sz val="8"/>
            <color indexed="81"/>
            <rFont val="Tahoma"/>
            <family val="2"/>
          </rPr>
          <t>4/21/03 conf call: 85% hedged in 2H at less than $23/bbl
7/21/03 con call: 87% hedged at under $24/bbl</t>
        </r>
      </text>
    </comment>
    <comment ref="BR54" authorId="4">
      <text>
        <r>
          <rPr>
            <sz val="8"/>
            <color indexed="81"/>
            <rFont val="Tahoma"/>
            <family val="2"/>
          </rPr>
          <t>7/21/03 con call: 87% hedged at under $24/bbl
10/20 conf call: 87% at under $24/bbl.</t>
        </r>
      </text>
    </comment>
    <comment ref="BS54" authorId="6">
      <text>
        <r>
          <rPr>
            <b/>
            <sz val="10"/>
            <color indexed="81"/>
            <rFont val="Arial"/>
            <family val="2"/>
          </rPr>
          <t>Greene:</t>
        </r>
        <r>
          <rPr>
            <sz val="10"/>
            <color indexed="81"/>
            <rFont val="Arial"/>
            <family val="2"/>
          </rPr>
          <t xml:space="preserve"> LUV noted that it generated $171M in hedging gains recognized in the fuel expense line in 2003.</t>
        </r>
      </text>
    </comment>
    <comment ref="BT54" authorId="4">
      <text>
        <r>
          <rPr>
            <sz val="8"/>
            <color indexed="81"/>
            <rFont val="Tahoma"/>
            <family val="2"/>
          </rPr>
          <t xml:space="preserve">1/22/4 conf call: 80% hedged at just under $24/bbl
</t>
        </r>
      </text>
    </comment>
    <comment ref="BU54" authorId="4">
      <text>
        <r>
          <rPr>
            <b/>
            <sz val="8"/>
            <color indexed="81"/>
            <rFont val="Tahoma"/>
            <family val="2"/>
          </rPr>
          <t>10Q: 2Q2004</t>
        </r>
        <r>
          <rPr>
            <sz val="8"/>
            <color indexed="81"/>
            <rFont val="Tahoma"/>
            <family val="2"/>
          </rPr>
          <t xml:space="preserve">
80% hedged for 2004, 2005 with prices capped at approx $24 per barrel and $25 per barrel, and approx 45% hedged for 2006 with prices capped at approx $28 per barrel.  The majority of remaining 2004 hedges are heating oil-based.  Beyond 2004, the majority of the hedge positions are crude oil-based. 
During 2Q2004 and 2Q2003 LUV recognized $87 MM and $36 MM in gains in "Fuel and oil" expense, respectively,from hedging activities.  During 2Q2004, LUV recognized app. $5 MM of additional expense in "Other (gains) losses, net," related to the ineffectiveness of its hedges. 
The Company recognized approx. $6 MM of net expense related to amounts excluded from LUV's measurements of hedge effectiveness, in
"Other (gains) losses, net" during both second quarter 2004 and second
quarter 2003.  
1/22/4 conf call: 80% hedged at just under $24/bbl.
04/16/04: conf call
80% hedged at $24/bbl in 2004 and 80% hedged in 2005 at $25/bbl. Southwest has also begun building a fuel hedging position for 2006. </t>
        </r>
      </text>
    </comment>
    <comment ref="BV54" authorId="4">
      <text>
        <r>
          <rPr>
            <b/>
            <sz val="8"/>
            <color indexed="81"/>
            <rFont val="Tahoma"/>
            <family val="2"/>
          </rPr>
          <t xml:space="preserve">3Q10Q.  </t>
        </r>
        <r>
          <rPr>
            <sz val="8"/>
            <color indexed="81"/>
            <rFont val="Tahoma"/>
            <family val="2"/>
          </rPr>
          <t xml:space="preserve">During the 3 months ended September 30, 2004 and 2003, Southwest recognized $131 million and $30 million in gains in "Fuel and oil" expense, respectively, from hedging activities.  During the three months ended September 30, 2004 and 2003, Southwest also recognized approximately $2  million and $1 million, respectively, of additional income in "Other (gains) losses, net," related to the ineffectiveness of its hedges.  Southwest recognized approximately $6 million and $7 million of net expense, respectively, related to amounts excluded from Southwest's measurements of hedge effectiveness, in "Other (gains) losses, net" during third quarter 2004, and third quarter 2003. 
7/15/2004: 80% hedged at $24/bbl in 2004, 80% hedged in 2005 at $25/bbl, and 45% hedged in 2006 at $28/bbl. 
1/22/4 conf call: 80% hedged at just under $24/bbl
</t>
        </r>
      </text>
    </comment>
    <comment ref="BW54" authorId="4">
      <text>
        <r>
          <rPr>
            <sz val="8"/>
            <color indexed="81"/>
            <rFont val="Tahoma"/>
            <family val="2"/>
          </rPr>
          <t xml:space="preserve">3Q10Q. Southwest hedging program includes: 80% hedged for 4Q04 with prices capped below $24 per barrel; 80% hedged in 2005 at $25 per barrel; and 60% hedged in 2006 at $31 per barrel; and over 40% hedged at $30 per barrel in 2007.  The company hopes to be below $0.90 per gallon for 4Q04.  
7/15/2004: 80% hedged at $24/bbl in 2004, 80% hedged in 2005 at $25/bbl, and 45% hedged in 2006 at $28/bbl. 
1/22/4 conf call: 80% hedged at just under $24/bbl
</t>
        </r>
      </text>
    </comment>
    <comment ref="BX54" authorId="6">
      <text>
        <r>
          <rPr>
            <b/>
            <sz val="10"/>
            <color indexed="81"/>
            <rFont val="Arial"/>
            <family val="2"/>
          </rPr>
          <t>Greene:</t>
        </r>
        <r>
          <rPr>
            <sz val="10"/>
            <color indexed="81"/>
            <rFont val="Arial"/>
            <family val="2"/>
          </rPr>
          <t xml:space="preserve"> LUV noted that it generated $455M in hedging gains recognized in the fuel expense line in 2004.</t>
        </r>
      </text>
    </comment>
    <comment ref="BY54" authorId="4">
      <text>
        <r>
          <rPr>
            <sz val="8"/>
            <color indexed="81"/>
            <rFont val="Tahoma"/>
            <family val="2"/>
          </rPr>
          <t xml:space="preserve">4Q04 c/c: 1Q05 fuel price is expected to exceed 4Q’s $0.891/barrel.  LUV is 85% hedged at $26/barrel in 1Q05 and 2005.  Southwest is 65% hedged at $32/barrel for 2006.  For 2007, LUV is 45% hedged at $31/barrel.  2008 is 30% hedged for $33/barrel.  They are 25% hedged in 2009 at $35/barrel.  
3Q10Q. Southwest hedging program includes: 80% hedged for 4Q04 with prices capped below $24 per barrel; 80% hedged in 2005 at $25 per barrel; and 60% hedged in 2006 at $31 per barrel; and over 40% hedged at $30 per barrel in 2007.  The company hopes to be below $0.90 per gallon for 4Q04.  
</t>
        </r>
      </text>
    </comment>
    <comment ref="CC54" authorId="6">
      <text>
        <r>
          <rPr>
            <b/>
            <sz val="10"/>
            <color indexed="81"/>
            <rFont val="Arial"/>
            <family val="2"/>
          </rPr>
          <t>Greene:</t>
        </r>
        <r>
          <rPr>
            <sz val="10"/>
            <color indexed="81"/>
            <rFont val="Arial"/>
            <family val="2"/>
          </rPr>
          <t xml:space="preserve"> LUV noted that it generated $890M in hedging gains recognized in the fuel expense line in 2005.</t>
        </r>
      </text>
    </comment>
    <comment ref="BM56" authorId="4">
      <text>
        <r>
          <rPr>
            <sz val="8"/>
            <color indexed="81"/>
            <rFont val="Tahoma"/>
            <family val="2"/>
          </rPr>
          <t xml:space="preserve">10/02: Kelly said best guess was 75 cents in 4q which will go higher if Iraq war happens.
</t>
        </r>
      </text>
    </comment>
    <comment ref="BP56" authorId="4">
      <text>
        <r>
          <rPr>
            <sz val="8"/>
            <color indexed="81"/>
            <rFont val="Tahoma"/>
            <family val="2"/>
          </rPr>
          <t xml:space="preserve">2Q Earnings release: company reported 67.4 cents per gallon ex taxes
</t>
        </r>
      </text>
    </comment>
    <comment ref="BQ56" authorId="4">
      <text>
        <r>
          <rPr>
            <sz val="8"/>
            <color indexed="81"/>
            <rFont val="Tahoma"/>
            <family val="2"/>
          </rPr>
          <t xml:space="preserve">7/21/03 con call: expect all-in price of 70-71 cents for 3Q.
</t>
        </r>
      </text>
    </comment>
    <comment ref="BR56" authorId="4">
      <text>
        <r>
          <rPr>
            <sz val="8"/>
            <color indexed="81"/>
            <rFont val="Tahoma"/>
            <family val="2"/>
          </rPr>
          <t xml:space="preserve">10/20 conf call: LUV expecting fuel b/w 74-75 cents.
</t>
        </r>
      </text>
    </comment>
    <comment ref="BU56" authorId="4">
      <text>
        <r>
          <rPr>
            <sz val="8"/>
            <color indexed="81"/>
            <rFont val="Tahoma"/>
            <family val="2"/>
          </rPr>
          <t xml:space="preserve">2Q Earnings release: company reported 81.9 cents per gallon ex taxes
</t>
        </r>
      </text>
    </comment>
    <comment ref="BY56" authorId="2">
      <text>
        <r>
          <rPr>
            <b/>
            <sz val="8"/>
            <color indexed="81"/>
            <rFont val="Tahoma"/>
            <family val="2"/>
          </rPr>
          <t>falfalkj:</t>
        </r>
        <r>
          <rPr>
            <sz val="8"/>
            <color indexed="81"/>
            <rFont val="Tahoma"/>
            <family val="2"/>
          </rPr>
          <t xml:space="preserve">
above 89 hope to below 95.</t>
        </r>
      </text>
    </comment>
    <comment ref="CD56" authorId="6">
      <text>
        <r>
          <rPr>
            <b/>
            <sz val="8"/>
            <color indexed="81"/>
            <rFont val="Tahoma"/>
            <family val="2"/>
          </rPr>
          <t xml:space="preserve">1/06: </t>
        </r>
        <r>
          <rPr>
            <sz val="8"/>
            <color indexed="81"/>
            <rFont val="Tahoma"/>
            <family val="2"/>
          </rPr>
          <t>Wright noted that even with 75% of the company's fuel needs hedged in 1Q06 at $36/bbl, realized price per gallon is still likely to come in at around $1.45.</t>
        </r>
      </text>
    </comment>
    <comment ref="CF56" authorId="6">
      <text>
        <r>
          <rPr>
            <b/>
            <sz val="10"/>
            <color indexed="81"/>
            <rFont val="Arial"/>
            <family val="2"/>
          </rPr>
          <t xml:space="preserve">7/06: </t>
        </r>
        <r>
          <rPr>
            <sz val="10"/>
            <color indexed="81"/>
            <rFont val="Arial"/>
            <family val="2"/>
          </rPr>
          <t>LUV is 74% hedged at $36/bbl.</t>
        </r>
      </text>
    </comment>
    <comment ref="CH56" authorId="10">
      <text>
        <r>
          <rPr>
            <b/>
            <sz val="8"/>
            <color indexed="81"/>
            <rFont val="Tahoma"/>
            <family val="2"/>
          </rPr>
          <t xml:space="preserve">1/06: </t>
        </r>
        <r>
          <rPr>
            <sz val="8"/>
            <color indexed="81"/>
            <rFont val="Tahoma"/>
            <family val="2"/>
          </rPr>
          <t>Wright said that LUV is 70% hedged in 2006 at $36/bbl.</t>
        </r>
      </text>
    </comment>
    <comment ref="CK56" authorId="7">
      <text>
        <r>
          <rPr>
            <b/>
            <sz val="8"/>
            <color indexed="81"/>
            <rFont val="Tahoma"/>
            <family val="2"/>
          </rPr>
          <t>godjohn:</t>
        </r>
        <r>
          <rPr>
            <sz val="8"/>
            <color indexed="81"/>
            <rFont val="Tahoma"/>
            <family val="2"/>
          </rPr>
          <t xml:space="preserve">
2Q07 release
1.70 range</t>
        </r>
      </text>
    </comment>
    <comment ref="CM56" authorId="10">
      <text>
        <r>
          <rPr>
            <b/>
            <sz val="10"/>
            <color indexed="81"/>
            <rFont val="Arial"/>
            <family val="2"/>
          </rPr>
          <t xml:space="preserve">1/07: </t>
        </r>
        <r>
          <rPr>
            <sz val="10"/>
            <color indexed="81"/>
            <rFont val="Arial"/>
            <family val="2"/>
          </rPr>
          <t>Wright said that LUV is 95% hedged in 2007 at $50/bbl.</t>
        </r>
      </text>
    </comment>
    <comment ref="BO72" authorId="4">
      <text>
        <r>
          <rPr>
            <sz val="8"/>
            <color indexed="81"/>
            <rFont val="Tahoma"/>
            <family val="2"/>
          </rPr>
          <t xml:space="preserve">1/22/03 Conf Call: Depreciation should grow at 4Q02 levels.
</t>
        </r>
      </text>
    </comment>
    <comment ref="BU72" authorId="2">
      <text>
        <r>
          <rPr>
            <b/>
            <sz val="8"/>
            <color indexed="81"/>
            <rFont val="Tahoma"/>
            <family val="2"/>
          </rPr>
          <t xml:space="preserve">10Q: 2Q2004 
</t>
        </r>
        <r>
          <rPr>
            <sz val="8"/>
            <color indexed="81"/>
            <rFont val="Tahoma"/>
            <family val="2"/>
          </rPr>
          <t xml:space="preserve">
Depreciation expense per ASM increased 7.5 % primarily due to an increase in owned aircraft.  Only one of the 34 aircraft put into service by the Company over the past twelve months has been leased; the remainder are owned by the Company.  This has increased the Company's percentage of aircraft owned or on capital lease to 77.8 % at June 30, 2004 from 76.5% at June 30, 2003.
</t>
        </r>
      </text>
    </comment>
    <comment ref="BZ72" authorId="2">
      <text>
        <r>
          <rPr>
            <b/>
            <sz val="8"/>
            <color indexed="81"/>
            <rFont val="Tahoma"/>
            <family val="2"/>
          </rPr>
          <t xml:space="preserve">10Q: </t>
        </r>
        <r>
          <rPr>
            <sz val="8"/>
            <color indexed="81"/>
            <rFont val="Tahoma"/>
            <family val="2"/>
          </rPr>
          <t xml:space="preserve">Company currently expects depreciation per ASM to be comparable to first quarter 2005.
</t>
        </r>
        <r>
          <rPr>
            <sz val="8"/>
            <color indexed="81"/>
            <rFont val="Tahoma"/>
            <family val="2"/>
          </rPr>
          <t xml:space="preserve">
</t>
        </r>
      </text>
    </comment>
    <comment ref="FR74" authorId="11">
      <text>
        <r>
          <rPr>
            <b/>
            <sz val="9"/>
            <color indexed="81"/>
            <rFont val="Tahoma"/>
            <family val="2"/>
          </rPr>
          <t>Newman, Brendan (Research):</t>
        </r>
        <r>
          <rPr>
            <sz val="9"/>
            <color indexed="81"/>
            <rFont val="Tahoma"/>
            <family val="2"/>
          </rPr>
          <t xml:space="preserve">
assumes the airline exercises all options at 50% of list price</t>
        </r>
      </text>
    </comment>
    <comment ref="FS74" authorId="11">
      <text>
        <r>
          <rPr>
            <b/>
            <sz val="9"/>
            <color indexed="81"/>
            <rFont val="Tahoma"/>
            <family val="2"/>
          </rPr>
          <t>Newman, Brendan (Research):</t>
        </r>
        <r>
          <rPr>
            <sz val="9"/>
            <color indexed="81"/>
            <rFont val="Tahoma"/>
            <family val="2"/>
          </rPr>
          <t xml:space="preserve">
assumes the airline exercises all options at 50% of list price</t>
        </r>
      </text>
    </comment>
    <comment ref="BZ79" authorId="2">
      <text>
        <r>
          <rPr>
            <sz val="8"/>
            <color indexed="81"/>
            <rFont val="Tahoma"/>
            <family val="2"/>
          </rPr>
          <t xml:space="preserve">10Q: The Company currently expects a similar year-over-year decline (12.5%)
in aircraft rentals per ASM for second quarter 2005.
</t>
        </r>
        <r>
          <rPr>
            <sz val="8"/>
            <color indexed="81"/>
            <rFont val="Tahoma"/>
            <family val="2"/>
          </rPr>
          <t xml:space="preserve">
</t>
        </r>
      </text>
    </comment>
    <comment ref="CS79" authorId="1">
      <text>
        <r>
          <rPr>
            <b/>
            <sz val="8"/>
            <color indexed="81"/>
            <rFont val="Tahoma"/>
            <family val="2"/>
          </rPr>
          <t>nedgill:</t>
        </r>
        <r>
          <rPr>
            <sz val="8"/>
            <color indexed="81"/>
            <rFont val="Tahoma"/>
            <family val="2"/>
          </rPr>
          <t xml:space="preserve">
increasing due to impact of sale leaseback transactions</t>
        </r>
      </text>
    </comment>
    <comment ref="CU79" authorId="1">
      <text>
        <r>
          <rPr>
            <b/>
            <sz val="8"/>
            <color indexed="81"/>
            <rFont val="Tahoma"/>
            <family val="2"/>
          </rPr>
          <t>nedgill:</t>
        </r>
        <r>
          <rPr>
            <sz val="8"/>
            <color indexed="81"/>
            <rFont val="Tahoma"/>
            <family val="2"/>
          </rPr>
          <t xml:space="preserve">
increasing due to impact of sale leaseback transactions</t>
        </r>
      </text>
    </comment>
    <comment ref="BL82" authorId="4">
      <text>
        <r>
          <rPr>
            <sz val="8"/>
            <color indexed="81"/>
            <rFont val="Tahoma"/>
            <family val="2"/>
          </rPr>
          <t>6/30 10q: LUV expects a YOY rise on a per ASM basis as LUV did not reduce the number of flights they flew.</t>
        </r>
      </text>
    </comment>
    <comment ref="BU86" authorId="2">
      <text>
        <r>
          <rPr>
            <b/>
            <sz val="8"/>
            <color indexed="81"/>
            <rFont val="Tahoma"/>
            <family val="2"/>
          </rPr>
          <t xml:space="preserve">10Q: 2Q2004
</t>
        </r>
        <r>
          <rPr>
            <sz val="8"/>
            <color indexed="81"/>
            <rFont val="Tahoma"/>
            <family val="2"/>
          </rPr>
          <t xml:space="preserve">Maintenance materials and repairs per ASM increased 13.8 percent primarily due to an increase in repairs for 737-700 aircraft engines, which are based on a time and materials basis.  Expense for these aircraft engines
increased due to the growing number of this type of aircraft in the Company's fleet, contributing to an increase in repairs for these aircraft engines.  The Company expects third quarter 2004 maintenance materials and repairs per ASM to fall below third quarter 2003 expense primarily due to less scheduled maintenance activity.  
</t>
        </r>
      </text>
    </comment>
    <comment ref="BY86" authorId="2">
      <text>
        <r>
          <rPr>
            <b/>
            <sz val="8"/>
            <color indexed="81"/>
            <rFont val="Tahoma"/>
            <family val="2"/>
          </rPr>
          <t>falfalkj:</t>
        </r>
        <r>
          <rPr>
            <sz val="8"/>
            <color indexed="81"/>
            <rFont val="Tahoma"/>
            <family val="2"/>
          </rPr>
          <t xml:space="preserve">
a/c coming on is 700s and heavy maintenance come on at a later date. 
4q productivity should continue.
Tech enhancements.</t>
        </r>
      </text>
    </comment>
    <comment ref="BZ86" authorId="2">
      <text>
        <r>
          <rPr>
            <sz val="8"/>
            <color indexed="81"/>
            <rFont val="Tahoma"/>
            <family val="2"/>
          </rPr>
          <t xml:space="preserve">10Q: .  The
Company currently expects a similar year-over-year decline (19.4%) in maintenance
materials and repairs per ASM for second quarter 2005, primarily due to 
less scheduled maintenance activity.  </t>
        </r>
        <r>
          <rPr>
            <b/>
            <sz val="8"/>
            <color indexed="81"/>
            <rFont val="Tahoma"/>
            <family val="2"/>
          </rPr>
          <t xml:space="preserve">
</t>
        </r>
        <r>
          <rPr>
            <sz val="8"/>
            <color indexed="81"/>
            <rFont val="Tahoma"/>
            <family val="2"/>
          </rPr>
          <t xml:space="preserve">
</t>
        </r>
      </text>
    </comment>
    <comment ref="BR89" authorId="4">
      <text>
        <r>
          <rPr>
            <sz val="8"/>
            <color indexed="81"/>
            <rFont val="Tahoma"/>
            <family val="2"/>
          </rPr>
          <t xml:space="preserve">10/20 conf call: should stay around 0.6 cents into the near future.
</t>
        </r>
      </text>
    </comment>
    <comment ref="BY89" authorId="2">
      <text>
        <r>
          <rPr>
            <b/>
            <sz val="8"/>
            <color indexed="81"/>
            <rFont val="Tahoma"/>
            <family val="2"/>
          </rPr>
          <t>falfalkj:</t>
        </r>
        <r>
          <rPr>
            <sz val="8"/>
            <color indexed="81"/>
            <rFont val="Tahoma"/>
            <family val="2"/>
          </rPr>
          <t xml:space="preserve">
indicated that 53 cents in line with 4Q for the 1Q05.</t>
        </r>
      </text>
    </comment>
    <comment ref="BZ89" authorId="2">
      <text>
        <r>
          <rPr>
            <b/>
            <sz val="8"/>
            <color indexed="81"/>
            <rFont val="Tahoma"/>
            <family val="2"/>
          </rPr>
          <t>falfalkj:</t>
        </r>
        <r>
          <rPr>
            <sz val="8"/>
            <color indexed="81"/>
            <rFont val="Tahoma"/>
            <family val="2"/>
          </rPr>
          <t xml:space="preserve">
should be moving downward, increases from timing managed by productivity…
700 a/c brought on and 200s have fallen off and therefore more efficinet fleet. Also, new maintenance programw ith 700s where work with Boeing and is component focused.</t>
        </r>
      </text>
    </comment>
    <comment ref="BN91" authorId="4">
      <text>
        <r>
          <rPr>
            <sz val="8"/>
            <color indexed="81"/>
            <rFont val="Tahoma"/>
            <family val="2"/>
          </rPr>
          <t xml:space="preserve">6/30 10Q: LUV expects $85 million increase in aviation insurance for 2002 v. 2001. </t>
        </r>
      </text>
    </comment>
    <comment ref="BP91" authorId="4">
      <text>
        <r>
          <rPr>
            <sz val="8"/>
            <color indexed="81"/>
            <rFont val="Tahoma"/>
            <family val="2"/>
          </rPr>
          <t xml:space="preserve">7/21/03 con call: Insurance expense lowered nicely in 2Q
</t>
        </r>
      </text>
    </comment>
    <comment ref="BU91" authorId="2">
      <text>
        <r>
          <rPr>
            <b/>
            <sz val="8"/>
            <color indexed="81"/>
            <rFont val="Tahoma"/>
            <family val="2"/>
          </rPr>
          <t xml:space="preserve">10Q: 2Q2004
</t>
        </r>
        <r>
          <rPr>
            <sz val="8"/>
            <color indexed="81"/>
            <rFont val="Tahoma"/>
            <family val="2"/>
          </rPr>
          <t xml:space="preserve">Other operating expenses per ASM increased 7.3 percent.  Approximately 20 percent was due to retroactive per diem costs associated with the tentative labor contract reached with the Company's Flight Attendants, and 20 percent of the increase was due to higher advertising expense, associated with fare sales offered by the Company and the Company's start of operations in Philadelphia during second quarter 2004.  The remainder of the increase was spread among other items such as personnel expenses and credit card processing fees associated with the increase in revenues.  The Company currently expects Other operating expenses per ASM for third quarter 2004 to decline from second quarter 2004.  </t>
        </r>
      </text>
    </comment>
    <comment ref="BZ91" authorId="2">
      <text>
        <r>
          <rPr>
            <b/>
            <sz val="8"/>
            <color indexed="81"/>
            <rFont val="Tahoma"/>
            <family val="2"/>
          </rPr>
          <t xml:space="preserve">10Q: </t>
        </r>
        <r>
          <rPr>
            <sz val="8"/>
            <color indexed="81"/>
            <rFont val="Tahoma"/>
            <family val="2"/>
          </rPr>
          <t xml:space="preserve">Company currently expects Other operating expenses per ASM for second quarter
2005 to approximate the 1.34 cents per ASM experienced in first quarter 2005.  
</t>
        </r>
        <r>
          <rPr>
            <sz val="8"/>
            <color indexed="81"/>
            <rFont val="Tahoma"/>
            <family val="2"/>
          </rPr>
          <t xml:space="preserve">
</t>
        </r>
      </text>
    </comment>
    <comment ref="CB91" authorId="6">
      <text>
        <r>
          <rPr>
            <b/>
            <sz val="8"/>
            <color indexed="81"/>
            <rFont val="Tahoma"/>
            <family val="2"/>
          </rPr>
          <t>Greene:</t>
        </r>
        <r>
          <rPr>
            <sz val="8"/>
            <color indexed="81"/>
            <rFont val="Tahoma"/>
            <family val="2"/>
          </rPr>
          <t xml:space="preserve"> Operating expenses were negatively impacted by a $24M ($0.01/shr) federal airport security fee assessment from TSA.  The company is fighting this fee.</t>
        </r>
      </text>
    </comment>
    <comment ref="CG91" authorId="6">
      <text>
        <r>
          <rPr>
            <b/>
            <sz val="8"/>
            <color indexed="81"/>
            <rFont val="Tahoma"/>
            <family val="2"/>
          </rPr>
          <t>Greene:</t>
        </r>
        <r>
          <rPr>
            <sz val="8"/>
            <color indexed="81"/>
            <rFont val="Tahoma"/>
            <family val="2"/>
          </rPr>
          <t xml:space="preserve"> Operating expenses were negatively impacted by a $24M ($0.01/shr) federal airport security fee assessment from TSA.  The company is fighting this fee.</t>
        </r>
      </text>
    </comment>
    <comment ref="BN97" authorId="4">
      <text>
        <r>
          <rPr>
            <sz val="8"/>
            <color indexed="81"/>
            <rFont val="Tahoma"/>
            <family val="2"/>
          </rPr>
          <t xml:space="preserve">6/30 10Q: LUV expects $85 million increase in aviation insurance for 2002 v. 2001. </t>
        </r>
      </text>
    </comment>
    <comment ref="BP97" authorId="4">
      <text>
        <r>
          <rPr>
            <sz val="8"/>
            <color indexed="81"/>
            <rFont val="Tahoma"/>
            <family val="2"/>
          </rPr>
          <t xml:space="preserve">7/21/03 con call: Insurance expense lowered nicely in 2Q
</t>
        </r>
      </text>
    </comment>
    <comment ref="BU97" authorId="2">
      <text>
        <r>
          <rPr>
            <b/>
            <sz val="8"/>
            <color indexed="81"/>
            <rFont val="Tahoma"/>
            <family val="2"/>
          </rPr>
          <t xml:space="preserve">10Q: 2Q2004
</t>
        </r>
        <r>
          <rPr>
            <sz val="8"/>
            <color indexed="81"/>
            <rFont val="Tahoma"/>
            <family val="2"/>
          </rPr>
          <t xml:space="preserve">Other operating expenses per ASM increased 7.3 percent.  Approximately 20 percent was due to retroactive per diem costs associated with the tentative labor contract reached with the Company's Flight Attendants, and 20 percent of the increase was due to higher advertising expense, associated with fare sales offered by the Company and the Company's start of operations in Philadelphia during second quarter 2004.  The remainder of the increase was spread among other items such as personnel expenses and credit card processing fees associated with the increase in revenues.  The Company currently expects Other operating expenses per ASM for third quarter 2004 to decline from second quarter 2004.  </t>
        </r>
      </text>
    </comment>
    <comment ref="BZ97" authorId="2">
      <text>
        <r>
          <rPr>
            <b/>
            <sz val="8"/>
            <color indexed="81"/>
            <rFont val="Tahoma"/>
            <family val="2"/>
          </rPr>
          <t xml:space="preserve">10Q: </t>
        </r>
        <r>
          <rPr>
            <sz val="8"/>
            <color indexed="81"/>
            <rFont val="Tahoma"/>
            <family val="2"/>
          </rPr>
          <t xml:space="preserve">Company currently expects Other operating expenses per ASM for second quarter
2005 to approximate the 1.34 cents per ASM experienced in first quarter 2005.  
</t>
        </r>
        <r>
          <rPr>
            <sz val="8"/>
            <color indexed="81"/>
            <rFont val="Tahoma"/>
            <family val="2"/>
          </rPr>
          <t xml:space="preserve">
</t>
        </r>
      </text>
    </comment>
    <comment ref="CB97" authorId="6">
      <text>
        <r>
          <rPr>
            <b/>
            <sz val="8"/>
            <color indexed="81"/>
            <rFont val="Tahoma"/>
            <family val="2"/>
          </rPr>
          <t>Greene:</t>
        </r>
        <r>
          <rPr>
            <sz val="8"/>
            <color indexed="81"/>
            <rFont val="Tahoma"/>
            <family val="2"/>
          </rPr>
          <t xml:space="preserve"> Operating expenses were negatively impacted by a $24M ($0.01/shr) federal airport security fee assessment from TSA.  The company is fighting this fee.</t>
        </r>
      </text>
    </comment>
    <comment ref="CG97" authorId="6">
      <text>
        <r>
          <rPr>
            <b/>
            <sz val="8"/>
            <color indexed="81"/>
            <rFont val="Tahoma"/>
            <family val="2"/>
          </rPr>
          <t>Greene:</t>
        </r>
        <r>
          <rPr>
            <sz val="8"/>
            <color indexed="81"/>
            <rFont val="Tahoma"/>
            <family val="2"/>
          </rPr>
          <t xml:space="preserve"> Operating expenses were negatively impacted by a $24M ($0.01/shr) federal airport security fee assessment from TSA.  The company is fighting this fee.</t>
        </r>
      </text>
    </comment>
    <comment ref="BU98" authorId="2">
      <text>
        <r>
          <rPr>
            <sz val="8"/>
            <color indexed="81"/>
            <rFont val="Tahoma"/>
            <family val="2"/>
          </rPr>
          <t xml:space="preserve">10Q2004:
Landing fees and other rentals per ASM increased 3.9 percent compared to second quarter 2003.  Approximately 60 percent of the increase was in other rentals expense primarily due to the Company's expansion of gate and counter space at several airports.  The remainder of the increase was in
landing fees, primarily due to slightly higher rates paid.  The Company currently expects year-over-year increases in landing fees and other rentals per ASM for third quarter 2004.
</t>
        </r>
      </text>
    </comment>
    <comment ref="BZ98" authorId="2">
      <text>
        <r>
          <rPr>
            <b/>
            <sz val="8"/>
            <color indexed="81"/>
            <rFont val="Tahoma"/>
            <family val="2"/>
          </rPr>
          <t xml:space="preserve">10Q: </t>
        </r>
        <r>
          <rPr>
            <sz val="8"/>
            <color indexed="81"/>
            <rFont val="Tahoma"/>
            <family val="2"/>
          </rPr>
          <t xml:space="preserve">second quarter 2005 landing fees and other rentals per ASM
to be flat or slightly up from second quarter 2004.
</t>
        </r>
        <r>
          <rPr>
            <sz val="8"/>
            <color indexed="81"/>
            <rFont val="Tahoma"/>
            <family val="2"/>
          </rPr>
          <t xml:space="preserve">
</t>
        </r>
      </text>
    </comment>
    <comment ref="BM102" authorId="4">
      <text>
        <r>
          <rPr>
            <sz val="8"/>
            <color indexed="81"/>
            <rFont val="Tahoma"/>
            <family val="2"/>
          </rPr>
          <t>10/02: Kelly said 4q02 CASM will exceed 3Q's CASM. Expect to see increases in salaries and benefits, fuel, and a/c maintenance</t>
        </r>
      </text>
    </comment>
    <comment ref="BU102" authorId="2">
      <text>
        <r>
          <rPr>
            <b/>
            <sz val="8"/>
            <color indexed="81"/>
            <rFont val="Tahoma"/>
            <family val="2"/>
          </rPr>
          <t>10Q:2Q2004</t>
        </r>
        <r>
          <rPr>
            <sz val="8"/>
            <color indexed="81"/>
            <rFont val="Tahoma"/>
            <family val="2"/>
          </rPr>
          <t xml:space="preserve">
expects third quarter 2004 CASM,excluding fuel, to approximate or slightly exceed third quarter 2003's CASM of 6.34 cents. While the Company expects fourth quarter 2004 CASM, excluding fuel, to be lower than the same year ago quarter, CASM for full year 2004 will likely exceed 2003's CASM, excluding fuel and the impact of the government grant, of 6.38 cents due to lower ASM capacity in second half 2004 than previously estimated. The Company currently expects a year-over-year capacity growth of 7.7 percent and 8.9 percent for third and fourth quarter 2004, respectively.
04/16/04: conf call
2Q04 LUV’s guided that unit costs are likely to be 7.82 per ASM.
</t>
        </r>
      </text>
    </comment>
    <comment ref="BV102" authorId="2">
      <text>
        <r>
          <rPr>
            <b/>
            <sz val="8"/>
            <color indexed="81"/>
            <rFont val="Tahoma"/>
            <family val="2"/>
          </rPr>
          <t xml:space="preserve">3Q10Q. </t>
        </r>
        <r>
          <rPr>
            <sz val="8"/>
            <color indexed="81"/>
            <rFont val="Tahoma"/>
            <family val="2"/>
          </rPr>
          <t xml:space="preserve">fourth quarter 2004 CASM, excluding fuel, to decline from the fourth quarter 2003 performance of 6.51 cents and to be in line with 3Q04's 6.34 cents.  In addition, because of these productivity improvements, Southwest currently expects our 2005 CASM, excluding fuel, to be in line with, or below, 2004 levels.
</t>
        </r>
        <r>
          <rPr>
            <b/>
            <sz val="8"/>
            <color indexed="81"/>
            <rFont val="Tahoma"/>
            <family val="2"/>
          </rPr>
          <t xml:space="preserve">
07/15/2004: </t>
        </r>
        <r>
          <rPr>
            <sz val="8"/>
            <color indexed="81"/>
            <rFont val="Tahoma"/>
            <family val="2"/>
          </rPr>
          <t>CASM will remain "well below 8 cents."  Company is hoping to be flat in 3Q in order to be flat CASM for full year.
10Q:2Q2004
expects third quarter 2004 CASM,excluding fuel, to approximate or slightly exceed third quarter 2003's CASM of 6.34 cents. While the Company expects fourth quarter 2004 CASM, excluding fuel, to be lower than the same year ago quarter, CASM for full year 2004 will likely exceed 2003's CASM, excluding fuel and the impact of the government grant, of 6.38 cents due to lower ASM capacity in second half 2004 than previously estimated. The Company currently expects a year-over-year capacity growth of 7.7 percent and 8.9 percent for third and fourth quarter 2004, respectively.</t>
        </r>
      </text>
    </comment>
    <comment ref="BW102" authorId="2">
      <text>
        <r>
          <rPr>
            <sz val="8"/>
            <color indexed="81"/>
            <rFont val="Tahoma"/>
            <family val="2"/>
          </rPr>
          <t xml:space="preserve">3Q10Q. Southwest was on track with cost reduction targets and expects 4Q04 unit costs, excluding fuel, to decline from 4Q03’s performance of 6.51 cents.  CASM, excluding fuel, for 3Q2004 was 6.34 cents, which was flat yoy.  
10Q:2Q2004
While the Company expects fourth quarter 2004 CASM, excluding fuel, to be lower than the same year ago quarter, CASM for full year 2004 will likely exceed 2003's CASM, excluding fuel and the impact of the government grant, of 6.38 cents due to lower ASM capacity in second half 2004 than previously estimated. </t>
        </r>
      </text>
    </comment>
    <comment ref="BO104" authorId="4">
      <text>
        <r>
          <rPr>
            <sz val="8"/>
            <color indexed="81"/>
            <rFont val="Tahoma"/>
            <family val="2"/>
          </rPr>
          <t xml:space="preserve">1/22/03 conf call: CASM ex fuel should be above 02 levels, but below 4Q02 growth rate.
</t>
        </r>
      </text>
    </comment>
    <comment ref="BP104" authorId="5">
      <text>
        <r>
          <rPr>
            <sz val="8"/>
            <color indexed="81"/>
            <rFont val="Tahoma"/>
            <family val="2"/>
          </rPr>
          <t xml:space="preserve">4/21/03 conf call: expected to be up slightly YoY
</t>
        </r>
      </text>
    </comment>
    <comment ref="BQ104" authorId="4">
      <text>
        <r>
          <rPr>
            <sz val="8"/>
            <color indexed="81"/>
            <rFont val="Tahoma"/>
            <family val="2"/>
          </rPr>
          <t xml:space="preserve">7/21/03 conf call: Mgmt: upward cost pressure expected in 2H03. Seeing pressure in the airports and labor line items.
</t>
        </r>
      </text>
    </comment>
    <comment ref="BS104" authorId="4">
      <text>
        <r>
          <rPr>
            <sz val="8"/>
            <color indexed="81"/>
            <rFont val="Tahoma"/>
            <family val="2"/>
          </rPr>
          <t xml:space="preserve">1/22/03 conf call: CASM ex fuel should be above 02 levels, but below 4Q02 growth rate.
</t>
        </r>
      </text>
    </comment>
    <comment ref="BW104" authorId="2">
      <text>
        <r>
          <rPr>
            <b/>
            <sz val="8"/>
            <color indexed="81"/>
            <rFont val="Tahoma"/>
            <family val="2"/>
          </rPr>
          <t xml:space="preserve">PR 3Q2004:
</t>
        </r>
        <r>
          <rPr>
            <sz val="8"/>
            <color indexed="81"/>
            <rFont val="Tahoma"/>
            <family val="2"/>
          </rPr>
          <t xml:space="preserve">We are on track with our cost reduction targets and expect fourth quarter 2004 unit costs, excluding fuel, to decline from fourth quarter 2003's performance of 6.51 cents.
</t>
        </r>
      </text>
    </comment>
    <comment ref="BY104" authorId="2">
      <text>
        <r>
          <rPr>
            <sz val="8"/>
            <color indexed="81"/>
            <rFont val="Tahoma"/>
            <family val="2"/>
          </rPr>
          <t>4Q c/c: CASM excl. fuel should fall below 6.6 cents in 1Q05 CASM excl. fuel, should fall below 1Q04’s $0.657.  1Q CASM should also include the reservation charge, pre profit of $18MM.</t>
        </r>
      </text>
    </comment>
    <comment ref="CD104" authorId="6">
      <text>
        <r>
          <rPr>
            <b/>
            <sz val="10"/>
            <color indexed="81"/>
            <rFont val="Arial"/>
            <family val="2"/>
          </rPr>
          <t xml:space="preserve">1/06: </t>
        </r>
        <r>
          <rPr>
            <sz val="10"/>
            <color indexed="81"/>
            <rFont val="Arial"/>
            <family val="2"/>
          </rPr>
          <t>Wright said that 1Q06 CASM ex-fuel will exceed 1Q05's level, but will be down from 4Q05.</t>
        </r>
      </text>
    </comment>
    <comment ref="CB105" authorId="6">
      <text>
        <r>
          <rPr>
            <b/>
            <sz val="10"/>
            <color indexed="81"/>
            <rFont val="Arial"/>
            <family val="2"/>
          </rPr>
          <t xml:space="preserve">1/06: </t>
        </r>
        <r>
          <rPr>
            <sz val="10"/>
            <color indexed="81"/>
            <rFont val="Arial"/>
            <family val="2"/>
          </rPr>
          <t>Kelly said that 4Q CASM performance was negatively impacted by inefficient aircraft scheduling (New Orleans, Boeing strike).  That was corrected in 1Q06, so the jump in CASM isn't indicative of a new trend.</t>
        </r>
      </text>
    </comment>
    <comment ref="CG105" authorId="6">
      <text>
        <r>
          <rPr>
            <b/>
            <sz val="10"/>
            <color indexed="81"/>
            <rFont val="Arial"/>
            <family val="2"/>
          </rPr>
          <t xml:space="preserve">1/06: </t>
        </r>
        <r>
          <rPr>
            <sz val="10"/>
            <color indexed="81"/>
            <rFont val="Arial"/>
            <family val="2"/>
          </rPr>
          <t>Kelly said that 4Q CASM performance was negatively impacted by inefficient aircraft scheduling (New Orleans, Boeing strike).  That was corrected in 1Q06, so the jump in CASM isn't indicative of a new trend.</t>
        </r>
      </text>
    </comment>
    <comment ref="CH105" authorId="6">
      <text>
        <r>
          <rPr>
            <b/>
            <sz val="10"/>
            <color indexed="81"/>
            <rFont val="Arial"/>
            <family val="2"/>
          </rPr>
          <t xml:space="preserve">1/06: </t>
        </r>
        <r>
          <rPr>
            <sz val="10"/>
            <color indexed="81"/>
            <rFont val="Arial"/>
            <family val="2"/>
          </rPr>
          <t>Wright said LUV's goal is to keep CASM ex-fuel, ex-profit sharing flat in 2006.</t>
        </r>
      </text>
    </comment>
    <comment ref="BO106" authorId="4">
      <text>
        <r>
          <rPr>
            <sz val="8"/>
            <color indexed="81"/>
            <rFont val="Tahoma"/>
            <family val="2"/>
          </rPr>
          <t xml:space="preserve">1/22/03 conf call: CASM ex fuel should be above 02 levels, but below 4Q02 growth rate.
</t>
        </r>
      </text>
    </comment>
    <comment ref="BP106" authorId="5">
      <text>
        <r>
          <rPr>
            <sz val="8"/>
            <color indexed="81"/>
            <rFont val="Tahoma"/>
            <family val="2"/>
          </rPr>
          <t xml:space="preserve">4/21/03 conf call: expected to be up slightly YoY
</t>
        </r>
      </text>
    </comment>
    <comment ref="BQ106" authorId="4">
      <text>
        <r>
          <rPr>
            <sz val="8"/>
            <color indexed="81"/>
            <rFont val="Tahoma"/>
            <family val="2"/>
          </rPr>
          <t xml:space="preserve">7/21/03 conf call: Mgmt: upward cost pressure expected in 2H03. Seeing pressure in the airports and labor line items.
</t>
        </r>
      </text>
    </comment>
    <comment ref="BS106" authorId="4">
      <text>
        <r>
          <rPr>
            <sz val="8"/>
            <color indexed="81"/>
            <rFont val="Tahoma"/>
            <family val="2"/>
          </rPr>
          <t xml:space="preserve">1/22/03 conf call: CASM ex fuel should be above 02 levels, but below 4Q02 growth rate.
</t>
        </r>
      </text>
    </comment>
    <comment ref="BW106" authorId="2">
      <text>
        <r>
          <rPr>
            <b/>
            <sz val="8"/>
            <color indexed="81"/>
            <rFont val="Tahoma"/>
            <family val="2"/>
          </rPr>
          <t xml:space="preserve">PR 3Q2004:
</t>
        </r>
        <r>
          <rPr>
            <sz val="8"/>
            <color indexed="81"/>
            <rFont val="Tahoma"/>
            <family val="2"/>
          </rPr>
          <t xml:space="preserve">We are on track with our cost reduction targets and expect fourth quarter 2004 unit costs, excluding fuel, to decline from fourth quarter 2003's performance of 6.51 cents.
</t>
        </r>
      </text>
    </comment>
    <comment ref="BY106" authorId="2">
      <text>
        <r>
          <rPr>
            <sz val="8"/>
            <color indexed="81"/>
            <rFont val="Tahoma"/>
            <family val="2"/>
          </rPr>
          <t>4Q c/c: CASM excl. fuel should fall below 6.6 cents in 1Q05 CASM excl. fuel, should fall below 1Q04’s $0.657.  1Q CASM should also include the reservation charge, pre profit of $18MM.</t>
        </r>
      </text>
    </comment>
    <comment ref="CD106" authorId="6">
      <text>
        <r>
          <rPr>
            <b/>
            <sz val="10"/>
            <color indexed="81"/>
            <rFont val="Arial"/>
            <family val="2"/>
          </rPr>
          <t xml:space="preserve">1/06: </t>
        </r>
        <r>
          <rPr>
            <sz val="10"/>
            <color indexed="81"/>
            <rFont val="Arial"/>
            <family val="2"/>
          </rPr>
          <t>Wright said that 1Q06 CASM ex-fuel will exceed 1Q05's level, but will be down from 4Q05.</t>
        </r>
      </text>
    </comment>
    <comment ref="CB107" authorId="6">
      <text>
        <r>
          <rPr>
            <b/>
            <sz val="10"/>
            <color indexed="81"/>
            <rFont val="Arial"/>
            <family val="2"/>
          </rPr>
          <t xml:space="preserve">1/06: </t>
        </r>
        <r>
          <rPr>
            <sz val="10"/>
            <color indexed="81"/>
            <rFont val="Arial"/>
            <family val="2"/>
          </rPr>
          <t>Kelly said that 4Q CASM performance was negatively impacted by inefficient aircraft scheduling (New Orleans, Boeing strike).  That was corrected in 1Q06, so the jump in CASM isn't indicative of a new trend.</t>
        </r>
      </text>
    </comment>
    <comment ref="CG107" authorId="6">
      <text>
        <r>
          <rPr>
            <b/>
            <sz val="10"/>
            <color indexed="81"/>
            <rFont val="Arial"/>
            <family val="2"/>
          </rPr>
          <t xml:space="preserve">1/06: </t>
        </r>
        <r>
          <rPr>
            <sz val="10"/>
            <color indexed="81"/>
            <rFont val="Arial"/>
            <family val="2"/>
          </rPr>
          <t>Kelly said that 4Q CASM performance was negatively impacted by inefficient aircraft scheduling (New Orleans, Boeing strike).  That was corrected in 1Q06, so the jump in CASM isn't indicative of a new trend.</t>
        </r>
      </text>
    </comment>
    <comment ref="CH107" authorId="6">
      <text>
        <r>
          <rPr>
            <b/>
            <sz val="10"/>
            <color indexed="81"/>
            <rFont val="Arial"/>
            <family val="2"/>
          </rPr>
          <t xml:space="preserve">1/06: </t>
        </r>
        <r>
          <rPr>
            <sz val="10"/>
            <color indexed="81"/>
            <rFont val="Arial"/>
            <family val="2"/>
          </rPr>
          <t>Wright said LUV's goal is to keep CASM ex-fuel, ex-profit sharing flat in 2006.</t>
        </r>
      </text>
    </comment>
    <comment ref="BU129" authorId="2">
      <text>
        <r>
          <rPr>
            <b/>
            <sz val="8"/>
            <color indexed="81"/>
            <rFont val="Tahoma"/>
            <family val="2"/>
          </rPr>
          <t xml:space="preserve">10Q2Q04
</t>
        </r>
        <r>
          <rPr>
            <sz val="8"/>
            <color indexed="81"/>
            <rFont val="Tahoma"/>
            <family val="2"/>
          </rPr>
          <t xml:space="preserve">Interest income decreased by $2 million, or 28.6%, primarily due to a decrease in rates earned on investments.  
</t>
        </r>
      </text>
    </comment>
    <comment ref="BL133" authorId="4">
      <text>
        <r>
          <rPr>
            <sz val="8"/>
            <color indexed="81"/>
            <rFont val="Tahoma"/>
            <family val="2"/>
          </rPr>
          <t>6/30 10Q: LUV expects this higher YoY</t>
        </r>
      </text>
    </comment>
    <comment ref="BP133" authorId="4">
      <text>
        <r>
          <rPr>
            <sz val="8"/>
            <color indexed="81"/>
            <rFont val="Tahoma"/>
            <family val="2"/>
          </rPr>
          <t xml:space="preserve">7/21/03 con call: Swaps fixed to floating lowered this line. Will show up in 3Q too
</t>
        </r>
      </text>
    </comment>
    <comment ref="BU133" authorId="2">
      <text>
        <r>
          <rPr>
            <sz val="8"/>
            <color indexed="81"/>
            <rFont val="Tahoma"/>
            <family val="2"/>
          </rPr>
          <t xml:space="preserve">10Q: 2Q04
Interest expense decreased by $1 million, or 4.3 percent, primarily due
to the Company's October 2003 redemption of $100 million of senior unsecured
8 3/4% Notes originally issued in 1991.
</t>
        </r>
      </text>
    </comment>
    <comment ref="BU135" authorId="2">
      <text>
        <r>
          <rPr>
            <b/>
            <sz val="8"/>
            <color indexed="81"/>
            <rFont val="Tahoma"/>
            <family val="2"/>
          </rPr>
          <t xml:space="preserve">10Q: 2Q04
</t>
        </r>
        <r>
          <rPr>
            <sz val="8"/>
            <color indexed="81"/>
            <rFont val="Tahoma"/>
            <family val="2"/>
          </rPr>
          <t xml:space="preserve">Capitalized interest increased by $2 million due to an increase in progress payment balances for future aircraft deliveries.  
</t>
        </r>
      </text>
    </comment>
    <comment ref="BL136" authorId="4">
      <text>
        <r>
          <rPr>
            <sz val="8"/>
            <color indexed="81"/>
            <rFont val="Tahoma"/>
            <family val="2"/>
          </rPr>
          <t>6/30 10Q: LUV could get up to $43 million of ATSB funds during 2H02.</t>
        </r>
      </text>
    </comment>
    <comment ref="BM136" authorId="4">
      <text>
        <r>
          <rPr>
            <sz val="8"/>
            <color indexed="81"/>
            <rFont val="Tahoma"/>
            <family val="2"/>
          </rPr>
          <t xml:space="preserve">1/22/03 conf call: FASB 133 mark-to-market.
</t>
        </r>
      </text>
    </comment>
    <comment ref="BP136" authorId="4">
      <text>
        <r>
          <rPr>
            <sz val="8"/>
            <color indexed="81"/>
            <rFont val="Tahoma"/>
            <family val="2"/>
          </rPr>
          <t xml:space="preserve">Gov't grant money pulled out
</t>
        </r>
      </text>
    </comment>
    <comment ref="CA136" authorId="6">
      <text>
        <r>
          <rPr>
            <b/>
            <sz val="10"/>
            <color indexed="81"/>
            <rFont val="Arial"/>
            <family val="2"/>
          </rPr>
          <t xml:space="preserve">Greene: </t>
        </r>
        <r>
          <rPr>
            <sz val="10"/>
            <color indexed="81"/>
            <rFont val="Arial"/>
            <family val="2"/>
          </rPr>
          <t>This excludes $87M in unrealized gains on derivatives.</t>
        </r>
      </text>
    </comment>
    <comment ref="CB136" authorId="6">
      <text>
        <r>
          <rPr>
            <b/>
            <sz val="10"/>
            <color indexed="81"/>
            <rFont val="Arial"/>
            <family val="2"/>
          </rPr>
          <t xml:space="preserve">Greene: </t>
        </r>
        <r>
          <rPr>
            <sz val="10"/>
            <color indexed="81"/>
            <rFont val="Arial"/>
            <family val="2"/>
          </rPr>
          <t>This excludes $19M in unrealized losses on derivatives.</t>
        </r>
      </text>
    </comment>
    <comment ref="CW136" authorId="1">
      <text>
        <r>
          <rPr>
            <b/>
            <sz val="8"/>
            <color indexed="81"/>
            <rFont val="Tahoma"/>
            <family val="2"/>
          </rPr>
          <t>nedgill:</t>
        </r>
        <r>
          <rPr>
            <sz val="8"/>
            <color indexed="81"/>
            <rFont val="Tahoma"/>
            <family val="2"/>
          </rPr>
          <t xml:space="preserve">
LUV: primarily option premium expense</t>
        </r>
      </text>
    </comment>
    <comment ref="DB136" authorId="1">
      <text>
        <r>
          <rPr>
            <b/>
            <sz val="8"/>
            <color indexed="81"/>
            <rFont val="Tahoma"/>
            <family val="2"/>
          </rPr>
          <t>nedgill:</t>
        </r>
        <r>
          <rPr>
            <sz val="8"/>
            <color indexed="81"/>
            <rFont val="Tahoma"/>
            <family val="2"/>
          </rPr>
          <t xml:space="preserve">
LUV: primarily option premium expense</t>
        </r>
      </text>
    </comment>
    <comment ref="DG136" authorId="1">
      <text>
        <r>
          <rPr>
            <b/>
            <sz val="8"/>
            <color indexed="81"/>
            <rFont val="Tahoma"/>
            <family val="2"/>
          </rPr>
          <t>matparke:</t>
        </r>
        <r>
          <rPr>
            <sz val="8"/>
            <color indexed="81"/>
            <rFont val="Tahoma"/>
            <family val="2"/>
          </rPr>
          <t xml:space="preserve">
primarily hedge premium costs</t>
        </r>
      </text>
    </comment>
    <comment ref="EK136" authorId="0">
      <text>
        <r>
          <rPr>
            <b/>
            <sz val="9"/>
            <color indexed="81"/>
            <rFont val="Tahoma"/>
            <family val="2"/>
          </rPr>
          <t>Sharpe, Matt (Research):</t>
        </r>
        <r>
          <rPr>
            <sz val="9"/>
            <color indexed="81"/>
            <rFont val="Tahoma"/>
            <family val="2"/>
          </rPr>
          <t xml:space="preserve">
234-106
net impact from fuel contract</t>
        </r>
      </text>
    </comment>
    <comment ref="BS141" authorId="4">
      <text>
        <r>
          <rPr>
            <sz val="8"/>
            <color indexed="81"/>
            <rFont val="Tahoma"/>
            <family val="2"/>
          </rPr>
          <t xml:space="preserve">1/22/03 Conf call: 39% 2003 tax rate.
</t>
        </r>
      </text>
    </comment>
    <comment ref="BU141" authorId="2">
      <text>
        <r>
          <rPr>
            <b/>
            <sz val="8"/>
            <color indexed="81"/>
            <rFont val="Tahoma"/>
            <family val="2"/>
          </rPr>
          <t>10Q: 2Q04</t>
        </r>
        <r>
          <rPr>
            <b/>
            <sz val="8"/>
            <color indexed="81"/>
            <rFont val="Tahoma"/>
            <family val="2"/>
          </rPr>
          <t xml:space="preserve">
</t>
        </r>
        <r>
          <rPr>
            <sz val="8"/>
            <color indexed="81"/>
            <rFont val="Tahoma"/>
            <family val="2"/>
          </rPr>
          <t xml:space="preserve">The Company's effective tax rate decreased to 36.8% in 2Q2004 from 38.0%  in 2Q2003 primarily due to lower state income tax rates.  The Company currently expects the second half 2004 effective tax rate to approximate 37%.
</t>
        </r>
      </text>
    </comment>
    <comment ref="BV141" authorId="2">
      <text>
        <r>
          <rPr>
            <sz val="8"/>
            <color indexed="81"/>
            <rFont val="Tahoma"/>
            <family val="2"/>
          </rPr>
          <t xml:space="preserve">3Q10Q. effective tax rate will be 37% for 4Q04.  3Q04 effective tax rate was 34%. </t>
        </r>
        <r>
          <rPr>
            <b/>
            <sz val="8"/>
            <color indexed="81"/>
            <rFont val="Tahoma"/>
            <family val="2"/>
          </rPr>
          <t xml:space="preserve">
07/15/2004: </t>
        </r>
        <r>
          <rPr>
            <sz val="8"/>
            <color indexed="81"/>
            <rFont val="Tahoma"/>
            <family val="2"/>
          </rPr>
          <t>37%-37.5% for the remainder of the year.</t>
        </r>
      </text>
    </comment>
    <comment ref="BW141" authorId="2">
      <text>
        <r>
          <rPr>
            <b/>
            <sz val="8"/>
            <color indexed="81"/>
            <rFont val="Tahoma"/>
            <family val="2"/>
          </rPr>
          <t xml:space="preserve">3Q10Q. </t>
        </r>
        <r>
          <rPr>
            <sz val="8"/>
            <color indexed="81"/>
            <rFont val="Tahoma"/>
            <family val="2"/>
          </rPr>
          <t xml:space="preserve">effective tax rate will be 37% for 4Q04.  3Q04 effective tax rate was 34%. </t>
        </r>
        <r>
          <rPr>
            <b/>
            <sz val="8"/>
            <color indexed="81"/>
            <rFont val="Tahoma"/>
            <family val="2"/>
          </rPr>
          <t xml:space="preserve">
07/15/2004: </t>
        </r>
        <r>
          <rPr>
            <sz val="8"/>
            <color indexed="81"/>
            <rFont val="Tahoma"/>
            <family val="2"/>
          </rPr>
          <t>37%-37.5% for the remainder of the year.</t>
        </r>
      </text>
    </comment>
    <comment ref="BX141" authorId="4">
      <text>
        <r>
          <rPr>
            <sz val="8"/>
            <color indexed="81"/>
            <rFont val="Tahoma"/>
            <family val="2"/>
          </rPr>
          <t>1/22/4 conf call: 38%
07/15/2004: 37%-37.5% for the remainder of the year.</t>
        </r>
      </text>
    </comment>
    <comment ref="BZ141" authorId="2">
      <text>
        <r>
          <rPr>
            <b/>
            <sz val="10"/>
            <color indexed="81"/>
            <rFont val="Arial"/>
            <family val="2"/>
          </rPr>
          <t xml:space="preserve">10Q: </t>
        </r>
        <r>
          <rPr>
            <sz val="10"/>
            <color indexed="81"/>
            <rFont val="Arial"/>
            <family val="2"/>
          </rPr>
          <t>LUV expects 2Q05 tax rate to be 38% and full year 2005 tax rate to 37- 38%.</t>
        </r>
      </text>
    </comment>
    <comment ref="CD141" authorId="6">
      <text>
        <r>
          <rPr>
            <b/>
            <sz val="10"/>
            <color indexed="81"/>
            <rFont val="Arial"/>
            <family val="2"/>
          </rPr>
          <t xml:space="preserve">1/06: </t>
        </r>
        <r>
          <rPr>
            <sz val="10"/>
            <color indexed="81"/>
            <rFont val="Arial"/>
            <family val="2"/>
          </rPr>
          <t xml:space="preserve"> Wright said the tax rate will be 37-38% in 1Q06 and 2006.</t>
        </r>
      </text>
    </comment>
    <comment ref="CH141" authorId="6">
      <text>
        <r>
          <rPr>
            <b/>
            <sz val="10"/>
            <color indexed="81"/>
            <rFont val="Arial"/>
            <family val="2"/>
          </rPr>
          <t xml:space="preserve">1/06: </t>
        </r>
        <r>
          <rPr>
            <sz val="10"/>
            <color indexed="81"/>
            <rFont val="Arial"/>
            <family val="2"/>
          </rPr>
          <t xml:space="preserve"> Wright said the tax rate will be 37-38% in 1Q06 and 2006.</t>
        </r>
      </text>
    </comment>
    <comment ref="L143" authorId="4">
      <text>
        <r>
          <rPr>
            <sz val="8"/>
            <color indexed="81"/>
            <rFont val="Tahoma"/>
            <family val="2"/>
          </rPr>
          <t>ex cumulative acctg change of 12.538mm</t>
        </r>
      </text>
    </comment>
    <comment ref="P143" authorId="4">
      <text>
        <r>
          <rPr>
            <sz val="8"/>
            <color indexed="81"/>
            <rFont val="Tahoma"/>
            <family val="2"/>
          </rPr>
          <t>ex cumulative effect of acctg change of 12.538mm</t>
        </r>
      </text>
    </comment>
    <comment ref="Q143" authorId="4">
      <text>
        <r>
          <rPr>
            <sz val="8"/>
            <color indexed="81"/>
            <rFont val="Tahoma"/>
            <family val="2"/>
          </rPr>
          <t>ex cumulative acctg change of 15.259mm</t>
        </r>
      </text>
    </comment>
    <comment ref="BL143" authorId="4">
      <text>
        <r>
          <rPr>
            <sz val="8"/>
            <color indexed="81"/>
            <rFont val="Tahoma"/>
            <family val="2"/>
          </rPr>
          <t>7/2: Kelly said profit in 3q will probably be below 2q, ex the revenue adjustment.</t>
        </r>
      </text>
    </comment>
    <comment ref="BG148" authorId="12">
      <text>
        <r>
          <rPr>
            <sz val="10"/>
            <color indexed="81"/>
            <rFont val="Arial"/>
            <family val="2"/>
          </rPr>
          <t>7/01: Kelly said earnings should be below last year, but solidly profitable nonetheless.</t>
        </r>
      </text>
    </comment>
    <comment ref="BR148" authorId="4">
      <text>
        <r>
          <rPr>
            <sz val="8"/>
            <color indexed="81"/>
            <rFont val="Tahoma"/>
            <family val="2"/>
          </rPr>
          <t xml:space="preserve">11/3: be sure to consider that LUV cancelled 500 flights due to the wildfireds in CALI. 
</t>
        </r>
      </text>
    </comment>
    <comment ref="CD148" authorId="6">
      <text>
        <r>
          <rPr>
            <b/>
            <sz val="10"/>
            <color indexed="81"/>
            <rFont val="Arial"/>
            <family val="2"/>
          </rPr>
          <t xml:space="preserve">1/06: </t>
        </r>
        <r>
          <rPr>
            <sz val="10"/>
            <color indexed="81"/>
            <rFont val="Arial"/>
            <family val="2"/>
          </rPr>
          <t>This includes the $20M one-time non-cash charge for stock options expensing.</t>
        </r>
      </text>
    </comment>
    <comment ref="CH148" authorId="6">
      <text>
        <r>
          <rPr>
            <b/>
            <sz val="10"/>
            <color indexed="81"/>
            <rFont val="Arial"/>
            <family val="2"/>
          </rPr>
          <t xml:space="preserve">1/06: </t>
        </r>
        <r>
          <rPr>
            <sz val="10"/>
            <color indexed="81"/>
            <rFont val="Arial"/>
            <family val="2"/>
          </rPr>
          <t>Kelly said that the earnings target is 15% growth excluding the one-time non-cash options charge of $20M in 1Q06.</t>
        </r>
      </text>
    </comment>
    <comment ref="CS150" authorId="1">
      <text>
        <r>
          <rPr>
            <b/>
            <sz val="8"/>
            <color indexed="81"/>
            <rFont val="Tahoma"/>
            <family val="2"/>
          </rPr>
          <t>nedgill:</t>
        </r>
        <r>
          <rPr>
            <sz val="8"/>
            <color indexed="81"/>
            <rFont val="Tahoma"/>
            <family val="2"/>
          </rPr>
          <t xml:space="preserve">
includes AAI stock at a 0.321 conversion</t>
        </r>
      </text>
    </comment>
    <comment ref="CT150" authorId="1">
      <text>
        <r>
          <rPr>
            <b/>
            <sz val="8"/>
            <color indexed="81"/>
            <rFont val="Tahoma"/>
            <family val="2"/>
          </rPr>
          <t>nedgill:</t>
        </r>
        <r>
          <rPr>
            <sz val="8"/>
            <color indexed="81"/>
            <rFont val="Tahoma"/>
            <family val="2"/>
          </rPr>
          <t xml:space="preserve">
includes AAI stock at a 0.321 conversion</t>
        </r>
      </text>
    </comment>
    <comment ref="CU150" authorId="1">
      <text>
        <r>
          <rPr>
            <b/>
            <sz val="8"/>
            <color indexed="81"/>
            <rFont val="Tahoma"/>
            <family val="2"/>
          </rPr>
          <t>nedgill:</t>
        </r>
        <r>
          <rPr>
            <sz val="8"/>
            <color indexed="81"/>
            <rFont val="Tahoma"/>
            <family val="2"/>
          </rPr>
          <t xml:space="preserve">
includes AAI stock at a 0.321 conversion</t>
        </r>
      </text>
    </comment>
    <comment ref="CV150" authorId="1">
      <text>
        <r>
          <rPr>
            <b/>
            <sz val="8"/>
            <color indexed="81"/>
            <rFont val="Tahoma"/>
            <family val="2"/>
          </rPr>
          <t>nedgill:</t>
        </r>
        <r>
          <rPr>
            <sz val="8"/>
            <color indexed="81"/>
            <rFont val="Tahoma"/>
            <family val="2"/>
          </rPr>
          <t xml:space="preserve">
includes AAI stock at a 0.321 conversion</t>
        </r>
      </text>
    </comment>
    <comment ref="CW150" authorId="1">
      <text>
        <r>
          <rPr>
            <b/>
            <sz val="8"/>
            <color indexed="81"/>
            <rFont val="Tahoma"/>
            <family val="2"/>
          </rPr>
          <t>nedgill:</t>
        </r>
        <r>
          <rPr>
            <sz val="8"/>
            <color indexed="81"/>
            <rFont val="Tahoma"/>
            <family val="2"/>
          </rPr>
          <t xml:space="preserve">
includes AAI stock at a 0.321 conversion</t>
        </r>
      </text>
    </comment>
    <comment ref="CX150" authorId="1">
      <text>
        <r>
          <rPr>
            <b/>
            <sz val="8"/>
            <color indexed="81"/>
            <rFont val="Tahoma"/>
            <family val="2"/>
          </rPr>
          <t>nedgill:</t>
        </r>
        <r>
          <rPr>
            <sz val="8"/>
            <color indexed="81"/>
            <rFont val="Tahoma"/>
            <family val="2"/>
          </rPr>
          <t xml:space="preserve">
includes AAI stock at a 0.321 conversion</t>
        </r>
      </text>
    </comment>
    <comment ref="CY150" authorId="1">
      <text>
        <r>
          <rPr>
            <b/>
            <sz val="8"/>
            <color indexed="81"/>
            <rFont val="Tahoma"/>
            <family val="2"/>
          </rPr>
          <t>nedgill:</t>
        </r>
        <r>
          <rPr>
            <sz val="8"/>
            <color indexed="81"/>
            <rFont val="Tahoma"/>
            <family val="2"/>
          </rPr>
          <t xml:space="preserve">
includes AAI stock at a 0.321 conversion</t>
        </r>
      </text>
    </comment>
    <comment ref="CZ150" authorId="1">
      <text>
        <r>
          <rPr>
            <b/>
            <sz val="8"/>
            <color indexed="81"/>
            <rFont val="Tahoma"/>
            <family val="2"/>
          </rPr>
          <t>nedgill:</t>
        </r>
        <r>
          <rPr>
            <sz val="8"/>
            <color indexed="81"/>
            <rFont val="Tahoma"/>
            <family val="2"/>
          </rPr>
          <t xml:space="preserve">
includes AAI stock at a 0.321 conversion</t>
        </r>
      </text>
    </comment>
    <comment ref="DA150" authorId="1">
      <text>
        <r>
          <rPr>
            <b/>
            <sz val="8"/>
            <color indexed="81"/>
            <rFont val="Tahoma"/>
            <family val="2"/>
          </rPr>
          <t>nedgill:</t>
        </r>
        <r>
          <rPr>
            <sz val="8"/>
            <color indexed="81"/>
            <rFont val="Tahoma"/>
            <family val="2"/>
          </rPr>
          <t xml:space="preserve">
includes AAI stock at a 0.321 conversion</t>
        </r>
      </text>
    </comment>
    <comment ref="DB150" authorId="1">
      <text>
        <r>
          <rPr>
            <b/>
            <sz val="8"/>
            <color indexed="81"/>
            <rFont val="Tahoma"/>
            <family val="2"/>
          </rPr>
          <t>nedgill:</t>
        </r>
        <r>
          <rPr>
            <sz val="8"/>
            <color indexed="81"/>
            <rFont val="Tahoma"/>
            <family val="2"/>
          </rPr>
          <t xml:space="preserve">
includes AAI stock at a 0.321 conversion</t>
        </r>
      </text>
    </comment>
    <comment ref="DC150" authorId="1">
      <text>
        <r>
          <rPr>
            <b/>
            <sz val="8"/>
            <color indexed="81"/>
            <rFont val="Tahoma"/>
            <family val="2"/>
          </rPr>
          <t>nedgill:</t>
        </r>
        <r>
          <rPr>
            <sz val="8"/>
            <color indexed="81"/>
            <rFont val="Tahoma"/>
            <family val="2"/>
          </rPr>
          <t xml:space="preserve">
includes AAI stock at a 0.321 conversion</t>
        </r>
      </text>
    </comment>
    <comment ref="DD150" authorId="1">
      <text>
        <r>
          <rPr>
            <b/>
            <sz val="8"/>
            <color indexed="81"/>
            <rFont val="Tahoma"/>
            <family val="2"/>
          </rPr>
          <t>nedgill:</t>
        </r>
        <r>
          <rPr>
            <sz val="8"/>
            <color indexed="81"/>
            <rFont val="Tahoma"/>
            <family val="2"/>
          </rPr>
          <t xml:space="preserve">
includes AAI stock at a 0.321 conversion</t>
        </r>
      </text>
    </comment>
    <comment ref="BK167" authorId="4">
      <text>
        <r>
          <rPr>
            <sz val="8"/>
            <color indexed="81"/>
            <rFont val="Tahoma"/>
            <family val="2"/>
          </rPr>
          <t xml:space="preserve">Second quarter 2002 results included an additional $36 million in passenger revenue from a reduction in estimated future refunds and exchanges included in "Air traffic liability.  $6 mil effect on profitsharing
</t>
        </r>
      </text>
    </comment>
    <comment ref="BP167" authorId="4">
      <text>
        <r>
          <rPr>
            <sz val="8"/>
            <color indexed="81"/>
            <rFont val="Tahoma"/>
            <family val="2"/>
          </rPr>
          <t xml:space="preserve">Gov't grant and its effect on profitsharing
</t>
        </r>
      </text>
    </comment>
    <comment ref="BS209" authorId="9">
      <text>
        <r>
          <rPr>
            <sz val="8"/>
            <color indexed="81"/>
            <rFont val="Tahoma"/>
            <family val="2"/>
          </rPr>
          <t>4/03: Includes $271M in cash from gov't security cost reimbursements.</t>
        </r>
      </text>
    </comment>
    <comment ref="FN223" authorId="3">
      <text>
        <r>
          <rPr>
            <b/>
            <sz val="9"/>
            <color indexed="81"/>
            <rFont val="Tahoma"/>
            <family val="2"/>
          </rPr>
          <t>Newman, Brendan K (Research):</t>
        </r>
        <r>
          <rPr>
            <sz val="9"/>
            <color indexed="81"/>
            <rFont val="Tahoma"/>
            <family val="2"/>
          </rPr>
          <t xml:space="preserve">
From latest 10Q or 10K</t>
        </r>
      </text>
    </comment>
    <comment ref="DD229" authorId="1">
      <text>
        <r>
          <rPr>
            <b/>
            <sz val="8"/>
            <color indexed="81"/>
            <rFont val="Tahoma"/>
            <family val="2"/>
          </rPr>
          <t>nedgill:</t>
        </r>
        <r>
          <rPr>
            <sz val="8"/>
            <color indexed="81"/>
            <rFont val="Tahoma"/>
            <family val="2"/>
          </rPr>
          <t xml:space="preserve">
merger dividend payout to AAI shareholders</t>
        </r>
      </text>
    </comment>
    <comment ref="BI237" authorId="4">
      <text>
        <r>
          <rPr>
            <sz val="8"/>
            <color indexed="81"/>
            <rFont val="Tahoma"/>
            <family val="2"/>
          </rPr>
          <t>includes 475 mm proceeds from reloving credit facility</t>
        </r>
      </text>
    </comment>
    <comment ref="CS238" authorId="1">
      <text>
        <r>
          <rPr>
            <b/>
            <sz val="8"/>
            <color indexed="81"/>
            <rFont val="Tahoma"/>
            <family val="2"/>
          </rPr>
          <t>nedgill:</t>
        </r>
        <r>
          <rPr>
            <sz val="8"/>
            <color indexed="81"/>
            <rFont val="Tahoma"/>
            <family val="2"/>
          </rPr>
          <t xml:space="preserve">
incl 173 sale lease back; plugged to match 1Q09 ending cash balance</t>
        </r>
      </text>
    </comment>
    <comment ref="CT238" authorId="1">
      <text>
        <r>
          <rPr>
            <b/>
            <sz val="8"/>
            <color indexed="81"/>
            <rFont val="Tahoma"/>
            <family val="2"/>
          </rPr>
          <t>nedgill:</t>
        </r>
        <r>
          <rPr>
            <sz val="8"/>
            <color indexed="81"/>
            <rFont val="Tahoma"/>
            <family val="2"/>
          </rPr>
          <t xml:space="preserve">
proceeds from sale leaseback</t>
        </r>
      </text>
    </comment>
    <comment ref="FN238" authorId="3">
      <text>
        <r>
          <rPr>
            <b/>
            <sz val="9"/>
            <color indexed="81"/>
            <rFont val="Tahoma"/>
            <family val="2"/>
          </rPr>
          <t>Newman, Brendan K (Research):</t>
        </r>
        <r>
          <rPr>
            <sz val="9"/>
            <color indexed="81"/>
            <rFont val="Tahoma"/>
            <family val="2"/>
          </rPr>
          <t xml:space="preserve">
From latest 10Q or 10K</t>
        </r>
      </text>
    </comment>
    <comment ref="BN246" authorId="4">
      <text>
        <r>
          <rPr>
            <sz val="8"/>
            <color indexed="81"/>
            <rFont val="Tahoma"/>
            <family val="2"/>
          </rPr>
          <t xml:space="preserve">3Q02 cash was $1.9 billion.  Have $575 m line of credit.
</t>
        </r>
      </text>
    </comment>
    <comment ref="DD256" authorId="1">
      <text>
        <r>
          <rPr>
            <b/>
            <sz val="8"/>
            <color indexed="81"/>
            <rFont val="Tahoma"/>
            <family val="2"/>
          </rPr>
          <t>nedgill:</t>
        </r>
        <r>
          <rPr>
            <sz val="8"/>
            <color indexed="81"/>
            <rFont val="Tahoma"/>
            <family val="2"/>
          </rPr>
          <t xml:space="preserve">
adjusted per S4 pro forma disclosures</t>
        </r>
      </text>
    </comment>
    <comment ref="DD258" authorId="1">
      <text>
        <r>
          <rPr>
            <b/>
            <sz val="8"/>
            <color indexed="81"/>
            <rFont val="Tahoma"/>
            <family val="2"/>
          </rPr>
          <t>nedgill:</t>
        </r>
        <r>
          <rPr>
            <sz val="8"/>
            <color indexed="81"/>
            <rFont val="Tahoma"/>
            <family val="2"/>
          </rPr>
          <t xml:space="preserve">
adjusted per S4 pro forma disclosures</t>
        </r>
      </text>
    </comment>
    <comment ref="DD265" authorId="1">
      <text>
        <r>
          <rPr>
            <b/>
            <sz val="8"/>
            <color indexed="81"/>
            <rFont val="Tahoma"/>
            <family val="2"/>
          </rPr>
          <t>nedgill:</t>
        </r>
        <r>
          <rPr>
            <sz val="8"/>
            <color indexed="81"/>
            <rFont val="Tahoma"/>
            <family val="2"/>
          </rPr>
          <t xml:space="preserve">
adjusted per S4 pro forma disclosures</t>
        </r>
      </text>
    </comment>
    <comment ref="DD269" authorId="1">
      <text>
        <r>
          <rPr>
            <b/>
            <sz val="8"/>
            <color indexed="81"/>
            <rFont val="Tahoma"/>
            <family val="2"/>
          </rPr>
          <t>nedgill:</t>
        </r>
        <r>
          <rPr>
            <sz val="8"/>
            <color indexed="81"/>
            <rFont val="Tahoma"/>
            <family val="2"/>
          </rPr>
          <t xml:space="preserve">
adjusted per S4 pro forma disclosures</t>
        </r>
      </text>
    </comment>
    <comment ref="DD273" authorId="1">
      <text>
        <r>
          <rPr>
            <b/>
            <sz val="8"/>
            <color indexed="81"/>
            <rFont val="Tahoma"/>
            <family val="2"/>
          </rPr>
          <t>nedgill:</t>
        </r>
        <r>
          <rPr>
            <sz val="8"/>
            <color indexed="81"/>
            <rFont val="Tahoma"/>
            <family val="2"/>
          </rPr>
          <t xml:space="preserve">
adjusted per S4 pro forma disclosures</t>
        </r>
      </text>
    </comment>
    <comment ref="DD274" authorId="1">
      <text>
        <r>
          <rPr>
            <b/>
            <sz val="8"/>
            <color indexed="81"/>
            <rFont val="Tahoma"/>
            <family val="2"/>
          </rPr>
          <t>nedgill:</t>
        </r>
        <r>
          <rPr>
            <sz val="8"/>
            <color indexed="81"/>
            <rFont val="Tahoma"/>
            <family val="2"/>
          </rPr>
          <t xml:space="preserve">
adjusted per S4 pro forma disclosures</t>
        </r>
      </text>
    </comment>
    <comment ref="DD275" authorId="1">
      <text>
        <r>
          <rPr>
            <b/>
            <sz val="8"/>
            <color indexed="81"/>
            <rFont val="Tahoma"/>
            <family val="2"/>
          </rPr>
          <t>nedgill:</t>
        </r>
        <r>
          <rPr>
            <sz val="8"/>
            <color indexed="81"/>
            <rFont val="Tahoma"/>
            <family val="2"/>
          </rPr>
          <t xml:space="preserve">
adjusted per S4 pro forma disclosures</t>
        </r>
      </text>
    </comment>
    <comment ref="DD280" authorId="1">
      <text>
        <r>
          <rPr>
            <b/>
            <sz val="8"/>
            <color indexed="81"/>
            <rFont val="Tahoma"/>
            <family val="2"/>
          </rPr>
          <t>nedgill:</t>
        </r>
        <r>
          <rPr>
            <sz val="8"/>
            <color indexed="81"/>
            <rFont val="Tahoma"/>
            <family val="2"/>
          </rPr>
          <t xml:space="preserve">
adjusted per S4 pro forma disclosures</t>
        </r>
      </text>
    </comment>
    <comment ref="DD282" authorId="1">
      <text>
        <r>
          <rPr>
            <b/>
            <sz val="8"/>
            <color indexed="81"/>
            <rFont val="Tahoma"/>
            <family val="2"/>
          </rPr>
          <t>nedgill:</t>
        </r>
        <r>
          <rPr>
            <sz val="8"/>
            <color indexed="81"/>
            <rFont val="Tahoma"/>
            <family val="2"/>
          </rPr>
          <t xml:space="preserve">
adjusted per S4 pro forma disclosures</t>
        </r>
      </text>
    </comment>
    <comment ref="DD283" authorId="1">
      <text>
        <r>
          <rPr>
            <b/>
            <sz val="8"/>
            <color indexed="81"/>
            <rFont val="Tahoma"/>
            <family val="2"/>
          </rPr>
          <t>nedgill:</t>
        </r>
        <r>
          <rPr>
            <sz val="8"/>
            <color indexed="81"/>
            <rFont val="Tahoma"/>
            <family val="2"/>
          </rPr>
          <t xml:space="preserve">
adjusted per S4 pro forma disclosures</t>
        </r>
      </text>
    </comment>
    <comment ref="DD284" authorId="1">
      <text>
        <r>
          <rPr>
            <b/>
            <sz val="8"/>
            <color indexed="81"/>
            <rFont val="Tahoma"/>
            <family val="2"/>
          </rPr>
          <t>nedgill:</t>
        </r>
        <r>
          <rPr>
            <sz val="8"/>
            <color indexed="81"/>
            <rFont val="Tahoma"/>
            <family val="2"/>
          </rPr>
          <t xml:space="preserve">
adjusted per S4 pro forma disclosures</t>
        </r>
      </text>
    </comment>
    <comment ref="DD285" authorId="1">
      <text>
        <r>
          <rPr>
            <b/>
            <sz val="8"/>
            <color indexed="81"/>
            <rFont val="Tahoma"/>
            <family val="2"/>
          </rPr>
          <t>nedgill:</t>
        </r>
        <r>
          <rPr>
            <sz val="8"/>
            <color indexed="81"/>
            <rFont val="Tahoma"/>
            <family val="2"/>
          </rPr>
          <t xml:space="preserve">
adjusted per S4 pro forma disclosures</t>
        </r>
      </text>
    </comment>
    <comment ref="BN291" authorId="4">
      <text>
        <r>
          <rPr>
            <sz val="8"/>
            <color indexed="81"/>
            <rFont val="Tahoma"/>
            <family val="2"/>
          </rPr>
          <t xml:space="preserve">The decrease in A/P was primarily a result of higher than normal 2001 year-end balance due the the federal government's deferral of tax payments following 9/11.
</t>
        </r>
      </text>
    </comment>
    <comment ref="BN292" authorId="4">
      <text>
        <r>
          <rPr>
            <sz val="8"/>
            <color indexed="81"/>
            <rFont val="Tahoma"/>
            <family val="2"/>
          </rPr>
          <t xml:space="preserve">Accounts receivable increased primarily due to an income tax receivable resulting from a net tax loss for 2002.
</t>
        </r>
      </text>
    </comment>
    <comment ref="CR294" authorId="1">
      <text>
        <r>
          <rPr>
            <b/>
            <sz val="8"/>
            <color indexed="81"/>
            <rFont val="Tahoma"/>
            <family val="2"/>
          </rPr>
          <t>nedgill:</t>
        </r>
        <r>
          <rPr>
            <sz val="8"/>
            <color indexed="81"/>
            <rFont val="Tahoma"/>
            <family val="2"/>
          </rPr>
          <t xml:space="preserve">
includes other changes in shareholders' equity (tax benefit of options exercised and "other")</t>
        </r>
      </text>
    </comment>
    <comment ref="CW304" authorId="1">
      <text>
        <r>
          <rPr>
            <b/>
            <sz val="8"/>
            <color indexed="81"/>
            <rFont val="Tahoma"/>
            <family val="2"/>
          </rPr>
          <t>nedgill:</t>
        </r>
        <r>
          <rPr>
            <sz val="8"/>
            <color indexed="81"/>
            <rFont val="Tahoma"/>
            <family val="2"/>
          </rPr>
          <t xml:space="preserve">
LUV: replaced old $600M revolver with new $600M revolver at end of 3Q09.  Expires in Oct 2012</t>
        </r>
      </text>
    </comment>
    <comment ref="DA304" authorId="1">
      <text>
        <r>
          <rPr>
            <b/>
            <sz val="8"/>
            <color indexed="81"/>
            <rFont val="Tahoma"/>
            <family val="2"/>
          </rPr>
          <t>nedgill:</t>
        </r>
        <r>
          <rPr>
            <sz val="8"/>
            <color indexed="81"/>
            <rFont val="Tahoma"/>
            <family val="2"/>
          </rPr>
          <t xml:space="preserve">
AAI: 50M revolver and 50M letter of credit to credit card processor</t>
        </r>
      </text>
    </comment>
    <comment ref="DB304" authorId="1">
      <text>
        <r>
          <rPr>
            <b/>
            <sz val="8"/>
            <color indexed="81"/>
            <rFont val="Tahoma"/>
            <family val="2"/>
          </rPr>
          <t>nedgill:</t>
        </r>
        <r>
          <rPr>
            <sz val="8"/>
            <color indexed="81"/>
            <rFont val="Tahoma"/>
            <family val="2"/>
          </rPr>
          <t xml:space="preserve">
LUV: replaced old $600M revolver with new $600M revolver at end of 3Q09.  Expires in Oct 2012</t>
        </r>
      </text>
    </comment>
    <comment ref="DD304" authorId="1">
      <text>
        <r>
          <rPr>
            <b/>
            <sz val="8"/>
            <color indexed="81"/>
            <rFont val="Tahoma"/>
            <family val="2"/>
          </rPr>
          <t>nedgill:</t>
        </r>
        <r>
          <rPr>
            <sz val="8"/>
            <color indexed="81"/>
            <rFont val="Tahoma"/>
            <family val="2"/>
          </rPr>
          <t xml:space="preserve">
renegotiated revolver for $800M; expires 04/2016</t>
        </r>
      </text>
    </comment>
    <comment ref="DA305" authorId="1">
      <text>
        <r>
          <rPr>
            <b/>
            <sz val="8"/>
            <color indexed="81"/>
            <rFont val="Tahoma"/>
            <family val="2"/>
          </rPr>
          <t>nedgill:</t>
        </r>
        <r>
          <rPr>
            <sz val="8"/>
            <color indexed="81"/>
            <rFont val="Tahoma"/>
            <family val="2"/>
          </rPr>
          <t xml:space="preserve">
approx 6B-7B in unencumbered assets
</t>
        </r>
      </text>
    </comment>
    <comment ref="CZ349" authorId="1">
      <text>
        <r>
          <rPr>
            <b/>
            <sz val="8"/>
            <color indexed="81"/>
            <rFont val="Tahoma"/>
            <family val="2"/>
          </rPr>
          <t>nedgill:</t>
        </r>
        <r>
          <rPr>
            <sz val="8"/>
            <color indexed="81"/>
            <rFont val="Tahoma"/>
            <family val="2"/>
          </rPr>
          <t xml:space="preserve">
AAI retired its 7% converts in July 2010</t>
        </r>
      </text>
    </comment>
  </commentList>
</comments>
</file>

<file path=xl/comments2.xml><?xml version="1.0" encoding="utf-8"?>
<comments xmlns="http://schemas.openxmlformats.org/spreadsheetml/2006/main">
  <authors>
    <author>matparke</author>
  </authors>
  <commentList>
    <comment ref="A1" authorId="0">
      <text>
        <r>
          <rPr>
            <b/>
            <sz val="8"/>
            <color indexed="81"/>
            <rFont val="Tahoma"/>
            <family val="2"/>
          </rPr>
          <t>卟䙄_x0001_＀＀㤄䭦_x001C_啌幖䍉䵟䅅彎䅓䕌当呎⡍㤳㘹⤴_x0018_＀＀_x0018_＀＀_x0008_＀＀_x0001_＀＀_x0001_＀＀ꏗ㵰檪䃄㤅䭦_x0011_啌幖彧䅃䡓㐨㄰㜴착_x0018_＀＀_x0018_＀＀_x0008_＀＀_x0001_＀＀_x0001_＀＀＀＀＀＀鰀䂡㤆䭦＀Ｏ啌幖南䱟䅅䕓䍟䵏䥍彔剙⠴㈱㈯〰ⰵ㈱㈯〰ⰵⰬ唬䑓착_x0018_＀＀_x0018_＀＀_x0008_＀＀_x0001_＀＀_x0001_＀＀＀＀＀＀怀䁭㤅䭦_x0017_啌幖煣獟污獥江浴㐨㄰㠷착_x0018_＀＀_x0018_＀＀_x0008_＀＀_x0001_＀＀_x0001_＀＀＀＀＀＀㜀䃄㤅䭦_x0014_啌幖彇呓䑟䉅⡔㤳㤶⤱_x0018_＀＀_x0018_＀＀_x0008_＀＀_x0001_＀＀_x0001_＀＀＀＀＀＀쀀䁑㤆䭦＀Ｏ啌幖南䱟䅅䕓䍟䵏䥍彔剙⠴㈱㈯〰ⰶ㈱㈯〰ⰶⰬ唬䑓착_x0018_＀＀_x0018_＀＀_x0008_＀＀_x0001_＀＀_x0001_＀＀＀＀＀＀䀀䁯棩䵮_x001C_啌幖䍉䵟䅅彎䅓䕌当呎⡍〴㤳⤰_x0018_＀＀_x0018_＀＀_x0008_＀＀_x0001_＀＀_x0001_＀＀_xD917_祣䃇㤆䭦%啌幖南䥟呎剟呁彅夵噁⡇㈱㈯〰ⰶⰬ唬䑓착_x0018_＀＀_x0018_＀＀_x0008_＀＀_x0001_＀＀_x0001_＀＀蔊㠈誄䀘㤄䭦_x0012_啌幖彐剐䍉⡅㠳㘱⤸_x0018_＀＀_x0018_＀＀_x0008_＀＀_x0001_＀＀_x0001_＀＀롑씞䀰㤆䭦＀Ｏ啌幖南䱟䅅䕓䍟䵏䥍彔剙⠴㈱㈯〰ⰷ㈱㈯〰ⰷⰬ唬䑓착_x0018_＀＀_x0018_＀＀_x0008_＀＀_x0001_＀＀_x0001_＀＀＀＀＀＀怀䁭㤅䭦_x0014_啌幖彇呌䑟䉅⡔㜳㔲⤶_x0018_＀＀_x0018_＀＀_x0008_＀＀_x0001_＀＀_x0001_＀＀茓쫀벡䂔㤅䭦_x0014_啌幖彇呌䑟䉅⡔㠳㐰⤶_x0018_＀＀_x0018_＀＀_x0008_＀＀_x0001_＀＀_x0001_＀＀＀＀＀＀퀀䂔㤆䭦＀Ｏ啌幖南䱟䅅䕓䍟䵏䥍彔剙⠴㈱㈯〰ⰸ㈱㈯〰ⰸⰬ唬䑓착_x0018_＀＀_x0018_＀＀_x0008_＀＀_x0001_＀＀_x0001_＀＀＀＀＀＀怀䁩㤄䭦_x0012_啌幖彐剐䍉⡅㜳㘵⤰_x0018_＀＀_x0018_＀＀_x0008_＀＀_x0001_＀＀_x0001_＀＀㌴㌳㌳䀭㤅䭦_x0014_啌幖彇呌䑟䉅⡔㠳㘸⤸_x0018_＀＀_x0018_＀＀_x0008_＀＀_x0001_＀＀_x0001_＀＀＀＀＀＀怀䂕㥘䭦＀Ｏ啌幖南䱟䅅䕓䍟䵏䥍彔剙⠴㈱㈯〰ⰹ㈱㈯〰ⰹⰬ唬䑓착_x0018_＀＀_x0018_＀＀_x0008_＀＀_x0001_＀＀_x0001_＀＀豀碵꼝쐕㤅䭦_x0014_啌幖彇呓䑟䉅⡔㠳㔶⤶_x0018_＀＀_x0018_＀＀_x0008_＀＀_x0001_＀＀_x0001_＀＀＀＀＀＀ꀀ䁢㤅䭦_x0014_啌幖彇呌䑟䉅⡔㤳〹⤳_x0018_＀＀_x0018_＀＀_x0008_＀＀_x0001_＀＀_x0001_＀＀＀＀＀＀䂪㤅䭦_x0014_啌幖彇呌䑟䉅⡔〴㐱⤷_x0018_＀＀_x0018_＀＀_x0008_＀＀_x0001_＀＀_x0001_＀＀＀＀＀＀搀䂪㤄䭦_x0017_啌幖煣獟污獥江浴㌨㘸㘸착_x0018_＀＀_x0018_＀＀_x0008_＀＀_x0001_＀＀_x0001_＀＀＀＀＀＀匀䂼㤄䭦_x0017_啌幖煣獟污獥江浴㌨㜹ㄲ착_x0018_＀＀_x0018_＀＀_x0008_＀＀_x0001_＀＀_x0001_＀＀＀＀＀＀຀䃅棩䵮_x0012_啌幖彐剐䍉⡅〴㔴⤱_x0018_＀＀_x0018_＀＀_x0008_＀＀_x0001_＀＀_x0001_＀＀炤਽⏗䀪㤄䭦_x0012_啌幖彐剐䍉⡅㜳ㄳ⤵_x0018_＀＀_x0018_＀＀_x0008_＀＀_x0001_＀＀_x0001_＀＀轜ᰨ䀵Ꮲ乌_x0014_啌幖彇呓䑟䉅⡔〴㤶⤴_x0018_＀＀_x0018_＀＀_x0008_＀＀_x0001_＀＀_x0001_＀＀＀＀＀＀䠀䂌㤅䭦_x0011_啌幖彧䅃䡓㌨㠷㈰착_x0018_＀＀_x0018_＀＀_x0008_＀＀_x0001_＀＀_x0001_＀＀＀＀＀＀㠀䂡㤅䭦_x0011_啌幖彧䅃䡓㌨㘷㈵착_x0018_＀＀_x0018_＀＀_x0008_＀＀_x0001_＀＀_x0001_＀＀⃅犰嵨䂜㤅䭦_x0011_啌幖彧䅃䡓㌨㐸㈴착_x0018_＀＀_x0018_＀＀_x0008_＀＀_x0001_＀＀_x0001_＀＀＀＀＀＀퀀䂝㤅䭦_x0012_啌幖彐剐䍉⡅〴㔰⤶_x0018_＀＀_x0018_＀＀_x0008_＀＀_x0001_＀＀_x0001_＀＀轜尨䀠㤅䭦_x0011_啌幖彧䅃䡓㌨〹㈸착_x0018_＀＀_x0018_＀＀_x0008_＀＀_x0001_＀＀_x0001_＀＀＀＀＀＀簀䂛㤅䭦_x0014_啌幖彇呓䑟䉅⡔㤳㌲⤳_x0018_＀＀_x0018_＀＀_x0008_＀＀_x0001_＀＀_x0001_＀＀＀＀＀＀쀀䁞㤄䭦_x0017_啌幖煣獟污獥江浴㌨㠷㌳착_x0018_＀＀_x0018_＀＀_x0008_＀＀_x0001_＀＀_x0001_＀＀긕ᦺ䂶㤄䭦_x0017_啌幖煣獟污獥江浴㌨㈹㌶착_x0018_＀＀_x0018_＀＀_x0008_＀＀_x0001_＀＀_x0001_＀＀＀＀＀＀嬀䃂㤅䭦_x0014_啌幖彇呓䑟䉅⡔㜳㤵⤰_x0018_＀＀_x0018_＀＀_x0008_＀＀_x0001_＀＀_x0001_＀＀㭤俟㞍䁉㤆䭦＀Ｏ啌幖南䱟䅅䕓䍟䵏䥍彔剙⠴㈱㈯〰ⰰ㈱㈯〰ⰰⰬ唬䑓착_x0018_＀＀_x0018_＀＀_x0008_＀＀_x0001_＀＀_x0001_＀＀⼛ⓝ뤆䁪棩䵮_x0011_啌幖彧䅃䡓㐨㈰㠹착_x0018_＀＀_x0018_＀＀_x0008_＀＀_x0001_＀＀_x0001_＀＀＀＀＀＀ꨀ䂥㤆䭦[啌幖南剟久䅔彌偏䱟䕓䕟偘ㄨ⼲〲〰ㄬ⼲〲〰ⰬⰬ单⥄䍀彁呒剟久彔䥍彎塅⡐㈱㈯〰ⰰ㈱㈯〰ⰰⰬ唬䑓착_x0018_＀＀_x0018_＀＀_x0008_＀＀_x0001_＀＀_x0001_＀＀㌳㌳ꬳ䁴棩䵮_x0011_啌幖彧䅃䡓㐨㔰㌴착_x0018_＀＀_x0018_＀＀_x0008_＀＀_x0001_＀＀_x0001_＀＀＀＀＀＀ꐀ䂫㤆䭦＀Ｏ啌幖南䱟䅅䕓䍟䵏䥍彔剙⠴㈱㈯〰ⰱ㈱㈯〰ⰱⰬ唬䑓착_x0018_＀＀_x0018_＀＀_x0008_＀＀_x0001_＀＀_x0001_＀＀਽ꏗ╰䁫㤅䭦_x0011_啌幖彧䅃䡓㌨㐷㜰착_x0018_＀＀_x0018_＀＀_x0008_＀＀_x0001_＀＀_x0001_＀＀욧茋䂠㤆䭦＀Ｏ啌幖南䱟䅅䕓䍟䵏䥍彔剙⠴㈱㈯〰ⰲ㈱㈯〰ⰲⰬ唬䑓착_x0018_＀＀_x0018_＀＀_x0008_＀＀_x0001_＀＀_x0001_＀＀ⴎ鶲꿯䁧Ꮲ乌_x0017_啌幖煣獟污獥江浴㐨㜰㐲착_x0018_＀＀_x0018_＀＀_x0008_＀＀_x0001_＀＀_x0001_＀＀＀＀＀＀琀䃊棩䵮_x0017_啌幖煣獟污獥江浴㐨㔰㐷착_x0018_＀＀_x0018_＀＀_x0008_＀＀_x0001_＀＀_x0001_＀＀＀＀＀＀ꐀ䃇㤆䭦＀Ｏ啌幖南䱟䅅䕓䍟䵏䥍彔剙⠴㈱㈯〰ⰳ㈱㈯〰ⰳⰬ唬䑓착_x0018_＀＀_x0018_＀＀_x0008_＀＀_x0001_＀＀_x0001_＀＀＀＀＀＀䀀䁩㤄䭦_x0012_啌幖彐剐䍉⡅㠳㘵⤴_x0018_＀＀_x0018_＀＀_x0008_＀＀_x0001_＀＀_x0001_＀＀竡긔慇䀬㤅䭦_x0014_啌幖彇呌䑟䉅⡔㜳〸⤲_x0018_＀＀_x0018_＀＀_x0008_＀＀_x0001_＀＀_x0001_＀＀＀＀＀＀ఀ䂘㤅䭦_x0014_啌幖彇呓䑟䉅⡔㜳㤱⤵_x0018_＀＀_x0018_＀＀_x0008_＀＀_x0001_＀＀_x0001_＀＀㥘좴ꉶ䁾㤅䭦_x0014_啌幖彇呌䑟䉅⡔㜳㔶⤲_x0018_＀＀_x0018_＀＀_x0008_＀＀_x0001_＀＀_x0001_＀＀좴빶䌟䂘㤅䭦_x0014_啌幖彇呌䑟䉅⡔㠳㐴⤲_x0018_＀＀_x0018_＀＀_x0008_＀＀_x0001_＀＀_x0001_＀＀＀＀＀＀᠀䂞㤆䭦＀Ｏ啌幖南䱟䅅䕓䍟䵏䥍彔剙⠴㈱㈯〰ⰴ㈱㈯〰ⰴⰬ唬䑓착_x0018_＀＀_x0018_＀＀_x0008_＀＀_x0001_＀＀_x0001_＀＀＀＀＀＀䀀䁬㤄䭦_x0017_啌幖煣獟污獥江浴㌨ㄹ㌱착_x0018_＀＀_x0018_＀＀_x0008_＀＀_x0001_＀＀_x0001_＀＀＀＀＀＀뼀䃁㤅䭦_x0014_啌幖彇呓䑟䉅⡔㠳㌲⤰_x0018_＀＀_x0018_＀＀_x0008_＀＀_x0001_＀＀_x0001_＀＀＀＀＀＀퀀䁳㤅䭦_x0014_啌幖彇呌䑟䉅⡔㤳㠰⤲_x0018_＀＀_x0018_＀＀_x0008_＀＀_x0001_＀＀_x0001_＀＀＀＀＀＀簀䂘棩䵮_x001C_啌幖䍉䵟䅅彎䅓䕌当呎⡍〴㔳⤹_x0018_＀＀_x0018_＀＀_x0008_＀＀_x0001_＀＀_x0001_＀＀䞮竡鄔䃇㤄䭦_x0017_啌幖煣獟污獥江浴㌨㈸〶착_x0018_＀＀_x0018_＀＀_x0008_＀＀_x0001_＀＀_x0001_＀＀＀＀＀＀䂸棩䵮_x0014_啌幖彇呌䑟䉅⡔〴㤲⤸_x0018_＀＀_x0018_＀＀_x0008_＀＀_x0001_＀＀_x0001_＀＀＀＀＀＀툀䂩棩䵮_x0017_啌幖煣獟污獥江浴㐨㌰㤲착_x0018_＀＀_x0018_＀＀_x0008_＀＀_x0001_＀＀_x0001_＀＀＀＀＀＀뾀䃄㤅䭦_x0011_啌幖彧䅃䡓㌨㘹ㄹ착_x0018_＀＀_x0018_＀＀_x0008_＀＀_x0001_＀＀_x0001_＀＀＀＀＀＀츀䂶棩䵮_x0014_啌幖彇呌䑟䉅⡔〴㐵⤳_x0018_＀＀_x0018_＀＀_x0008_＀＀_x0001_＀＀_x0001_＀＀＀＀＀＀瘀䂦㤅䭦_x0014_啌幖彇呓䑟䉅⡔〴㠰⤶_x0018_＀＀_x0018_＀＀_x0008_＀＀_x0001_＀＀_x0001_＀＀＀＀＀＀쀀䁨㤄䭦_x0012_啌幖彐剐䍉⡅㜳㈵⤹_x0018_＀＀_x0018_＀＀_x0008_＀＀_x0001_＀＀_x0001_＀＀蔟凫Ẹ䀪㤄䭦_x0017_啌幖煣獟污獥江浴㌨㠹㈷착_x0018_＀＀_x0018_＀＀_x0008_＀＀_x0001_＀＀_x0001_＀＀＀＀＀＀螀䃅㤅䭦_x0014_啌幖彇呌䑟䉅⡔㜳〴⤷_x0018_＀＀_x0018_＀＀_x0008_＀＀_x0001_＀＀_x0001_＀＀_xDB23_绹韪䂚㤄䭦_x0012_啌幖彐剐䍉⡅㜳ㄷ⤱_x0018_＀＀_x0018_＀＀_x0008_＀＀_x0001_＀＀_x0001_＀＀Ẹ롑䀬㤄䭦_x0017_啌幖煣獟污獥江浴㌨㈷㔲착_x0018_＀＀_x0018_＀＀_x0008_＀＀_x0001_＀＀_x0001_＀＀俟鞍飮䂶㤄䭦_x0012_啌幖彐剐䍉⡅㤳㐱⤱_x0018_＀＀_x0018_＀＀_x0008_＀＀_x0001_＀＀_x0001_＀＀ਾꏗ㵰䀮꾔䯭_x001C_啌幖䍉䵟䅅彎䅓䕌当呎⡍〴〲⤹_x0018_＀＀_x0018_＀＀_x0008_＀＀_x0001_＀＀_x0001_＀＀炤਽ꭗ䃅㤅䭦_x0011_啌幖彧䅃䡓㌨㘸㘵착_x0018_＀＀_x0018_＀＀_x0008_＀＀_x0001_＀＀_x0001_＀＀＀＀＀＀樀䂤㤅䭦_x0014_啌幖彇呓䑟䉅⡔㠳〸⤷_x0018_＀＀_x0018_＀＀_x0008_＀＀_x0001_＀＀_x0001_＀＀＀＀＀＀䂁㤅䭦_x0014_啌幖彇呓䑟䉅⡔㤳㐴⤷_x0018_＀＀_x0018_＀＀_x0008_＀＀_x0001_＀＀_x0001_＀＀＀＀＀＀耀䁄㤄䭦_x0017_啌幖煣獟污獥江浴㌨㠸㜳착_x0018_＀＀_x0018_＀＀_x0008_＀＀_x0001_＀＀_x0001_＀＀＀＀＀＀Ѐ䂿棩䵮_x0012_啌幖彐剐䍉⡅〴〶⤲_x0018_＀＀_x0018_＀＀_x0008_＀＀_x0001_＀＀_x0001_＀＀尩슏ꣵ䀧㤅䭦_x0014_啌幖彇呌䑟䉅⡔㤳㤶⤱_x0018_＀＀_x0018_＀＀_x0008_＀＀_x0001_＀＀_x0001_＀＀＀＀＀＀㰀䂤Ꮲ乌_x0011_啌幖彧䅃䡓㐨㘰㐹착_x0018_＀＀_x0018_＀＀_x0008_＀＀_x0001_＀＀_x0001_＀＀＀＀＀＀焀䂱㤄䭦_x0012_啌幖彐剐䍉⡅㤳㘵⤸_x0018_＀＀_x0018_＀＀_x0008_＀＀_x0001_＀＀_x0001_＀＀ᑻ䞮竡䀪㤄䭦_x0012_啌幖彐剐䍉⡅㤳ㄸ⤳_x0018_＀＀_x0018_＀＀_x0008_＀＀_x0001_＀＀_x0001_＀＀ਾꏗ㵰䀡㤅䭦_x0014_啌幖彇呓䑟䉅⡔㠳㤱⤹_x0018_＀＀_x0018_＀＀_x0008_＀＀_x0001_＀＀_x0001_＀＀＀＀＀＀퀀䁳㤅䭦_x0014_啌幖彇呌䑟䉅⡔㠳㔶⤶_x0018_＀＀_x0018_＀＀_x0008_＀＀_x0001_＀＀_x0001_＀＀＀＀＀＀᐀䂝㤅䭦_x0011_啌幖彧䅃䡓㌨㈹㌳착_x0018_＀＀_x0018_＀＀_x0008_＀＀_x0001_＀＀_x0001_＀＀＀＀＀＀㐀䂞㤄䭦_x0012_啌幖彐剐䍉⡅㠳㘹⤰_x0018_＀＀_x0018_＀＀_x0008_＀＀_x0001_＀＀_x0001_＀＀롒蔞凫䀱㤅䭦_x0011_啌幖彧䅃䡓㌨㔷〹착_x0018_＀＀_x0018_＀＀_x0008_＀＀_x0001_＀＀_x0001_＀＀좴빶怟䂞㤅䭦_x0014_啌幖彇呓䑟䉅⡔㜳㐷⤱_x0018_＀＀_x0018_＀＀_x0008_＀＀_x0001_＀＀_x0001_＀＀＀＀＀＀耀䁠ᶳ亹_x001C_啌幖䍉䵟䅅彎䅓䕌当呎⡍〴㔷⤵_x0018_＀＀_x0018_＀＀_x0008_＀＀_x0001_＀＀_x0001_＀＀炤਽珇䃐㤄䭦_x0012_啌幖彐剐䍉⡅㜳〱⤳_x0018_＀＀_x0018_＀＀_x0008_＀＀_x0001_＀＀_x0001_＀＀尨ʏ䀴㤅䭦_x0017_啌幖南䙟䍙〨䀩䅃䙟䍙〨착_x0018_＀＀_x0018_＀＀_x0008_＀＀_x0001_＀＀_x0008_＀＀㈱㈯〰9Ꮲ乌_x0014_啌幖彇呌䑟䉅⡔〴㤶⤴_x0018_＀＀_x0018_＀＀_x0008_＀＀_x0001_＀＀_x0001_＀＀＀＀＀＀䂢棩䵮_x0014_啌幖彇呓䑟䉅⡔〴㠴⤲_x0018_＀＀_x0018_＀＀_x0008_＀＀_x0001_＀＀_x0001_＀＀＀＀＀＀䀀䁜㤆䭦＀Ｏ啌幖南䱟䅅䕓䍟䵏䥍彔剙⠵㈱㈯〰ⰰ㈱㈯〰ⰰⰬ唬䑓착_x0018_＀＀_x0018_＀＀_x0008_＀＀_x0001_＀＀_x0001_＀＀Ẹ汑䁩㤄䭦_x0012_啌幖彐剐䍉⡅㜳㈹⤵_x0018_＀＀_x0018_＀＀_x0008_＀＀_x0001_＀＀_x0001_＀＀晧晦晦䀳㤄䭦_x0012_啌幖彐剐䍉⡅㤳㔳⤵_x0018_＀＀_x0018_＀＀_x0008_＀＀_x0001_＀＀_x0001_＀＀馚香香䀭㤅䭦_x0011_啌幖彧䅃䡓㌨ㄷ㔹착_x0018_＀＀_x0018_＀＀_x0008_＀＀_x0001_＀＀_x0001_＀＀틲才䖐䂗㤅䭦_x0014_啌幖彇呓䑟䉅⡔㜳㐳⤶_x0018_＀＀_x0018_＀＀_x0008_＀＀_x0001_＀＀_x0001_＀＀ﯨ﷒䁃㤆䭦＀Ｏ啌幖南䱟䅅䕓䍟䵏䥍彔剙⠵㈱㈯〰ⰱ㈱㈯〰ⰱⰬ唬䑓착_x0018_＀＀_x0018_＀＀_x0008_＀＀_x0001_＀＀_x0001_＀＀＀＀＀＀␀䁧㤅䭦_x0011_啌幖彧䅃䡓㌨㈸〳착_x0018_＀＀_x0018_＀＀_x0008_＀＀_x0001_＀＀_x0001_＀＀＀＀＀＀ꀀ䂛㤅䭦_x0014_啌幖彇呌䑟䉅⡔㤳㌲⤳_x0018_＀＀_x0018_＀＀_x0008_＀＀_x0001_＀＀_x0001_＀＀＀＀＀＀倀䂘㤄䭦_x0017_啌幖煣獟污獥江浴㌨㌷㘷착_x0018_＀＀_x0018_＀＀_x0008_＀＀_x0001_＀＀_x0001_＀＀쳍쳌ߌ䂵㤅䭦_x0014_啌幖彇呓䑟䉅⡔㤳㈰⤱_x0018_＀＀_x0018_＀＀_x0008_＀＀_x0001_＀＀_x0001_＀＀＀＀＀＀䠀䂂㤆䭦＀Ｏ啌幖南䱟䅅䕓䍟䵏䥍彔剙⠵㈱㈯〰ⰲ㈱㈯〰ⰲⰬ唬䑓착_x0018_＀＀_x0018_＀＀_x0008_＀＀_x0001_＀＀_x0001_＀＀尩슏ﳵ䁥㤄䭦_x0017_啌幖煣獟污獥江浴㌨㘷ㄲ착_x0018_＀＀_x0018_＀＀_x0008_＀＀_x0001_＀＀_x0001_＀＀褷恁淅䂵㤄䭦_x0017_啌幖煣獟污獥江浴㌨㐸ㄱ착_x0018_＀＀_x0018_＀＀_x0008_＀＀_x0001_＀＀_x0001_＀＀＀＀＀＀舀䂹㤅䭦_x0014_啌幖彇呌䑟䉅⡔㜳㤵⤰_x0018_＀＀_x0018_＀＀_x0008_＀＀_x0001_＀＀_x0001_＀＀ꗣ쒛䂙㤄䭦_x0017_啌幖煣獟污獥江浴㌨〹ㄵ착_x0018_＀＀_x0018_＀＀_x0008_＀＀_x0001_＀＀_x0001_＀＀＀＀＀＀⼀䃁㤆䭦＀Ｏ啌幖南䱟䅅䕓䍟䵏䥍彔剙⠵㈱㈯〰ⰳ㈱㈯〰ⰳⰬ唬䑓착_x0018_＀＀_x0018_＀＀_x0008_＀＀_x0001_＀＀_x0001_＀＀＀＀＀＀쀀䁧ᶳ亹_x0012_啌幖彐剐䍉⡅〴ㄸ⤶_x0018_＀＀_x0018_＀＀_x0008_＀＀_x0001_＀＀_x0001_＀＀긕ᑺ䀠꾕䯭_x0014_啌幖彇呓䑟䉅⡔〴㌲⤷_x0018_＀＀_x0018_＀＀_x0008_＀＀_x0001_＀＀_x0001_＀＀＀＀＀＀쀀䁧㤅䭦_x0011_啌幖彧䅃䡓㐨〰㘸착_x0018_＀＀_x0018_＀＀_x0008_＀＀_x0001_＀＀_x0001_＀＀＀＀＀＀鰀䂡㤆䭦＀Ｏ啌幖南䱟䅅䕓䍟䵏䥍彔剙⠵㈱㈯〰ⰴ㈱㈯〰ⰴⰬ唬䑓착_x0018_＀＀_x0018_＀＀_x0008_＀＀_x0001_＀＀_x0001_＀＀＀＀＀＀耀䁩㤅䭦_x0014_啌幖彇呓䑟䉅⡔㠳㤹⤰_x0018_＀＀_x0018_＀＀_x0008_＀＀_x0001_＀＀_x0001_＀＀＀＀＀＀䠀䂂棩䵮_x0017_啌幖煣獟污獥江浴㐨㔰㈱착_x0018_＀＀_x0018_＀＀_x0008_＀＀_x0001_＀＀_x0001_＀＀＀＀＀＀_xDB00_䃆㤆䭦＀Ｏ啌幖南䱟䅅䕓䍟䵏䥍彔剙⠵㈱㈯〰ⰵ㈱㈯〰ⰵⰬ唬䑓착_x0018_＀＀_x0018_＀＀_x0008_＀＀_x0001_＀＀_x0001_＀＀＀＀＀＀怀䁫㤆䭦＀Ｏ啌幖南䱟䅅䕓䍟䵏䥍彔剙⠵㈱㈯〰ⰶ㈱㈯〰ⰶⰬ唬䑓착_x0018_＀＀_x0018_＀＀_x0008_＀＀_x0001_＀＀_x0001_＀＀＀＀＀＀怀䁩㤄䭦_x0012_啌幖彐剐䍉⡅㠳㔳⤲_x0018_＀＀_x0018_＀＀_x0008_＀＀_x0001_＀＀_x0001_＀＀ᑺ䞮䀰㤅䭦_x0014_啌幖彇呌䑟䉅⡔㜳㤱⤵_x0018_＀＀_x0018_＀＀_x0008_＀＀_x0001_＀＀_x0001_＀＀犰酨糭䂇㤅䭦_x0011_啌幖彧䅃䡓㌨㠸㜰착_x0018_＀＀_x0018_＀＀_x0008_＀＀_x0001_＀＀_x0001_＀＀＀＀＀＀퀀䂦㤅䭦_x0014_啌幖彇呌䑟䉅⡔㠳㌲⤰_x0018_＀＀_x0018_＀＀_x0008_＀＀_x0001_＀＀_x0001_＀＀＀＀＀＀尀䂓㤅䭦_x0011_啌幖彧䅃䡓㌨㐹㜴착_x0018_＀＀_x0018_＀＀_x0008_＀＀_x0001_＀＀_x0001_＀＀＀＀＀＀똀䂥㤆䭦[啌幖南剟久䅔彌偏䱟䕓䕟偘ㄨ⼲〲㜰ㄬ⼲〲㜰ⰬⰬ单⥄䍀彁呒剟久彔䥍彎塅⡐㈱㈯〰ⰷ㈱㈯〰ⰷⰬ唬䑓착_x0018_＀＀_x0018_＀＀_x0008_＀＀_x0001_＀＀_x0001_＀＀＀＀＀＀倀䁽㤆䭦＀Ｏ啌幖南䱟䅅䕓䍟䵏䥍彔剙⠵㈱㈯〰ⰷ㈱㈯〰ⰷⰬ唬䑓착_x0018_＀＀_x0018_＀＀_x0008_＀＀_x0001_＀＀_x0001_＀＀＀＀＀＀怀䁨㤄䭦_x001C_啌幖䍉䵟䅅彎䅓䕌当呎⡍㤳〹⤳_x0018_＀＀_x0018_＀＀_x0008_＀＀_x0001_＀＀_x0001_＀＀ᑺ쁮䃄㤄䭦_x0012_啌幖彐剐䍉⡅㤳㘹⤴_x0018_＀＀_x0018_＀＀_x0008_＀＀_x0001_＀＀_x0001_＀＀⣶轜䀚㤅䭦_x001C_啌幖䍉䵟䅅彎䅓䕌当呎⡍〴㐱⤷_x0018_＀＀_x0018_＀＀_x0008_＀＀_x0001_＀＀_x0001_＀＀ᚇ컙䣇䃅㤅䭦_x0014_啌幖彇呓䑟䉅⡔㜳㔹⤵_x0018_＀＀_x0018_＀＀_x0008_＀＀_x0001_＀＀_x0001_＀＀＀＀＀＀怀䁠㤆䭦＀Ｏ啌幖南䱟䅅䕓䍟䵏䥍彔剙⠵㈱㈯〰ⰸ㈱㈯〰ⰸⰬ唬䑓착_x0018_＀＀_x0018_＀＀_x0008_＀＀_x0001_＀＀_x0001_＀＀＀＀＀＀＀＀䁣㤄䭦_x0017_啌幖煣獟污獥江浴㌨㐹㠷착_x0018_＀＀_x0018_＀＀_x0008_＀＀_x0001_＀＀_x0001_＀＀＀＀＀＀䊀䃃㤅䭦_x0014_啌幖彇呓䑟䉅⡔㠳㤵⤵_x0018_＀＀_x0018_＀＀_x0008_＀＀_x0001_＀＀_x0001_＀＀＀＀＀＀ 䁢㤄䭦_x0017_啌幖煣獟污獥江浴㐨㄰㜱착_x0018_＀＀_x0018_＀＀_x0008_＀＀_x0001_＀＀_x0001_＀＀＀＀＀＀䈀䃄㤅䭦_x0014_啌幖彇呌䑟䉅⡔〴㠰⤶_x0018_＀＀_x0018_＀＀_x0008_＀＀_x0001_＀＀_x0001_＀＀＀＀＀＀搀䂪㥘䭦＀Ｏ啌幖南䱟䅅䕓䍟䵏䥍彔剙⠵㈱㈯〰ⰹ㈱㈯〰ⰹⰬ唬䑓착_x0018_＀＀_x0018_＀＀_x0008_＀＀_x0001_＀＀_x0001_＀＀豀碵꼝쐕棩䵮_x0012_啌幖彐剐䍉⡅〴㤳⤰_x0018_＀＀_x0018_＀＀_x0008_＀＀_x0001_＀＀_x0001_＀＀馚香ᦙ䀨㤄䭦_x0012_啌幖彐剐䍉⡅㠳〱⤷_x0018_＀＀_x0018_＀＀_x0008_＀＀_x0001_＀＀_x0001_＀＀슐⣵轜䀬㤄䭦_x0017_啌幖煣獟污獥江浴㌨㘹〶착_x0018_＀＀_x0018_＀＀_x0008_＀＀_x0001_＀＀_x0001_＀＀＀＀＀＀瞀䃄㤄䭦_x0012_啌幖彐剐䍉⡅㠳㈹⤹_x0018_＀＀_x0018_＀＀_x0008_＀＀_x0001_＀＀_x0001_＀＀ਾꏗﵰ䀱㤅䭦_x0011_啌幖彧䅃䡓㌨ㄸ㤹착_x0018_＀＀_x0018_＀＀_x0008_＀＀_x0001_＀＀_x0001_＀＀＀＀＀＀ꀀ䂛㤅䭦_x0014_啌幖彇呌䑟䉅⡔㠳〸⤷_x0018_＀＀_x0018_＀＀_x0008_＀＀_x0001_＀＀_x0001_＀＀＀＀＀＀怀䂕㤅䭦_x0014_啌幖彇呌䑟䉅⡔㤳㐴⤷_x0018_＀＀_x0018_＀＀_x0008_＀＀_x0001_＀＀_x0001_＀＀＀＀＀＀Ѐ䂠㤅䭦_x0011_啌幖彧䅃䡓㌨㜷ㄴ착_x0018_＀＀_x0018_＀＀_x0008_＀＀_x0001_＀＀_x0001_＀＀＀＀＀＀萀䂝㤅䭦_x000E_啌幖南䍟彏䅎䕍'＀＀_x0018_＀＀_x0017_＀＀_x0001_＀＀_x0008_＀＀体呕坈卅⁔䥁䱒义卅䌠⹏찀㤄䭦_x0017_啌幖煣獟污獥江浴㌨㘸㔲착_x0018_＀＀_x0018_＀＀_x0008_＀＀_x0001_＀＀_x0001_＀＀＀＀＀＀匀䂼㤅䭦_x0014_啌幖彇呓䑟䉅⡔㤳㜱⤲_x0018_＀＀_x0018_＀＀_x0008_＀＀_x0001_＀＀_x0001_＀＀＀＀＀＀쀀䁞㤄䭦_x0017_啌幖煣獟污獥江浴㌨㜷㈷착_x0018_＀＀_x0018_＀＀_x0008_＀＀_x0001_＀＀_x0001_＀＀ొ⬂쮇䂵㤅䭦_x0014_啌幖彇呓䑟䉅⡔㤳㤹⤴_x0018_＀＀_x0018_＀＀_x0008_＀＀_x0001_＀＀_x0001_＀＀＀＀＀＀䀀䁚棩䵮_x0011_啌幖彧䅃䡓㐨㐰㈸착_x0018_＀＀_x0018_＀＀_x0008_＀＀_x0001_＀＀_x0001_＀＀＀＀＀＀昀䂪Ꮲ乌_x0014_啌幖彇呓䑟䉅⡔〴㌶⤳_x0018_＀＀_x0018_＀＀_x0008_＀＀_x0001_＀＀_x0001_＀＀＀＀＀＀䠀䂌ᐈ乌_x001C_啌幖䍉䵟䅅彎䅓䕌当呎⡍〴㜷⤲_x0018_＀＀_x0018_＀＀_x0008_＀＀_x0001_＀＀_x0001_＀＀롒蔞绫䃐㤅䭦_x0011_啌幖彧䅃䡓㌨㌷㘴착_x0018_＀＀_x0018_＀＀_x0008_＀＀_x0001_＀＀_x0001_＀＀욧茋䂠Ꮲ乌_x0017_啌幖煣獟污獥江浴㐨㘰㌶착_x0018_＀＀_x0018_＀＀_x0008_＀＀_x0001_＀＀_x0001_＀＀＀＀＀＀邀䃈㤅䭦_x0014_啌幖彇呌䑟䉅⡔㠳㤱⤹_x0018_＀＀_x0018_＀＀_x0008_＀＀_x0001_＀＀_x0001_＀＀＀＀＀＀尀䂓㤆䭦%啌幖南䥟呎剟呁彅夵噁⡇㈱㈯〰ⰱⰬ唬䑓착_x0018_＀＀_x0018_＀＀_x0008_＀＀_x0001_＀＀_x0001_＀＀䙴㼆䀜㤅䭦_x0011_啌幖彧䅃䡓㌨〹ㄲ착_x0018_＀＀_x0018_＀＀_x0008_＀＀_x0001_＀＀_x0001_＀＀＀＀＀＀切䂡㤅䭦_x0014_啌幖彇呌䑟䉅⡔㜳㐷⤱_x0018_＀＀_x0018_＀＀_x0008_＀＀_x0001_＀＀_x0001_＀＀＀＀＀＀Ⰰ䂘㤄䭦_x0017_啌幖煣獟污獥江浴㌨㈹㈰착_x0018_＀＀_x0018_＀＀_x0008_＀＀_x0001_＀＀_x0001_＀＀＀＀＀＀ᢀ䃂꾕䯭_x0011_啌幖彧䅃䡓㐨㈰㜳착_x0018_＀＀_x0018_＀＀_x0008_＀＀_x0001_＀＀_x0001_＀＀＀＀＀＀䈀䂤㤅䭦_x0014_啌幖彇呓䑟䉅⡔㤳㤵⤹_x0018_＀＀_x0018_＀＀_x0008_＀＀_x0001_＀＀_x0001_＀＀＀＀＀＀＀＀䁄꾕䯭_x001C_啌幖䍉䵟䅅彎䅓䕌当呎⡍〴㤲⤸_x0018_＀＀_x0018_＀＀_x0008_＀＀_x0001_＀＀_x0001_＀＀㽼ꀥ䃆㤅䭦_x0014_啌幖彇呓䑟䉅⡔㤳㐸⤴_x0018_＀＀_x0018_＀＀_x0008_＀＀_x0001_＀＀_x0001_＀＀＀＀＀＀怀䁤棩䵮_x001C_啌幖䍉䵟䅅彎䅓䕌当呎⡍〴㐵⤳_x0018_＀＀_x0018_＀＀_x0008_＀＀_x0001_＀＀_x0001_＀＀ꗣ쒛䔐䃉㤅䭦_x0011_啌幖彧䅃䡓㌨㤸〹착_x0018_＀＀_x0018_＀＀_x0008_＀＀_x0001_＀＀_x0001_＀＀＀＀＀＀切䂡꾕䯭_x0017_啌幖煣獟污獥江浴㐨㈰㠶착_x0018_＀＀_x0018_＀＀_x0008_＀＀_x0001_＀＀_x0001_＀＀＀＀＀＀뾀䃄棩䵮_x0014_啌幖彇呌䑟䉅⡔〴㠴⤲_x0018_＀＀_x0018_＀＀_x0008_＀＀_x0001_＀＀_x0001_＀＀＀＀＀＀Ⰰ䂪㤅䭦_x0017_啌幖煣獟污獥江浴㐨㄰㜹착_x0018_＀＀_x0018_＀＀_x0008_＀＀_x0001_＀＀_x0001_＀＀＀＀＀＀㜀䃄㤄䭦_x0012_啌幖彐剐䍉⡅㜳㘴⤸_x0018_＀＀_x0018_＀＀_x0008_＀＀_x0001_＀＀_x0001_＀＀蔟凫麸䀫㤄䭦_x0012_啌幖彐剐䍉⡅㠳〵⤳_x0018_＀＀_x0018_＀＀_x0008_＀＀_x0001_＀＀_x0001_＀＀馚香ᦙ䀭㤅䭦_x0014_啌幖彇呌䑟䉅⡔㜳㐳⤶_x0018_＀＀_x0018_＀＀_x0008_＀＀_x0001_＀＀_x0001_＀＀_xDB23_绹韪䂚㤄䭦_x0017_啌幖煣獟污獥江浴㌨〸㜱착_x0018_＀＀_x0018_＀＀_x0008_＀＀_x0001_＀＀_x0001_＀＀＀＀＀＀㄀䂷㤅䭦_x0014_啌幖彇呓䑟䉅⡔㜳㌱⤴_x0018_＀＀_x0018_＀＀_x0008_＀＀_x0001_＀＀_x0001_＀＀틲才ꀐ䁛㤆䭦%啌幖南䥟呎剟呁彅夵噁⡇㈱㈯〰ⰷⰬ唬䑓착_x0018_＀＀_x0018_＀＀_x0008_＀＀_x0001_＀＀_x0001_＀＀㲳ฏ䀘㤅䭦_x0014_啌幖彇呌䑟䉅⡔㤳㈰⤱_x0018_＀＀_x0018_＀＀_x0008_＀＀_x0001_＀＀_x0001_＀＀＀＀＀＀䂓㤄䭦_x0017_啌幖煣獟污獥江浴㌨ㄷ㐶착_x0018_＀＀_x0018_＀＀_x0008_＀＀_x0001_＀＀_x0001_＀＀俟鞍飮䂶㤅䭦_x0011_啌幖彧䅃䡓㌨㤷㔵착_x0018_＀＀_x0018_＀＀_x0008_＀＀_x0001_＀＀_x0001_＀＀＀＀＀＀저䂟㤄䭦_x0017_啌幖煣獟污獥江浴㌨㘹㤲착_x0018_＀＀_x0018_＀＀_x0008_＀＀_x0001_＀＀_x0001_＀＀＀＀＀＀瞀䃄㤅䭦_x0011_啌幖彧䅃䡓㌨㔸㔹착_x0018_＀＀_x0018_＀＀_x0008_＀＀_x0001_＀＀_x0001_＀＀＀＀＀＀먀䂡棩䵮_x0012_啌幖彐剐䍉⡅〴㔳⤹_x0018_＀＀_x0018_＀＀_x0008_＀＀_x0001_＀＀_x0001_＀＀Ẹ㡑䀦꾕䯭_x0014_啌幖彇呌䑟䉅⡔〴㌲⤷_x0018_＀＀_x0018_＀＀_x0008_＀＀_x0001_＀＀_x0001_＀＀＀＀＀＀切䂩㤅䭦_x0014_啌幖彇呓䑟䉅⡔㤳㠳⤶_x0018_＀＀_x0018_＀＀_x0008_＀＀_x0001_＀＀_x0001_＀＀＀＀＀＀＀＀䀸㤄䭦_x0017_啌幖煣獟污獥江浴㌨㤷㘸착_x0018_＀＀_x0018_＀＀_x0008_＀＀_x0001_＀＀_x0001_＀＀＀＀＀＀㄀䂷㤄䭦_x0017_啌幖煣獟污獥江浴㌨㜸㘷착_x0018_＀＀_x0018_＀＀_x0008_＀＀_x0001_＀＀_x0001_＀＀＀＀＀＀ꀀ䂽㤅䭦_x0014_啌幖彇呓䑟䉅⡔〴㈰⤵_x0018_＀＀_x0018_＀＀_x0008_＀＀_x0001_＀＀_x0001_＀＀＀＀＀＀䀀䁚㤅䭦_x0014_啌幖彇呌䑟䉅⡔㠳㤹⤰_x0018_＀＀_x0018_＀＀_x0008_＀＀_x0001_＀＀_x0001_＀＀＀＀＀＀䂓뼳仟_x0014_啌幖彇呓䑟䉅⡔〴㐸⤷_x0018_＀＀_x0018_＀＀_x0008_＀＀_x0001_＀＀_x0001_＀＀＀＀＀＀퀀䂎뼳仟_x0017_啌幖煣獟污獥江浴㐨㠰㜷착_x0018_＀＀_x0018_＀＀_x0008_＀＀_x0001_＀＀_x0001_＀＀＀＀＀＀ꐀ䃌꾕䯭_x0012_啌幖彐剐䍉⡅〴〲⤹_x0018_＀＀_x0018_＀＀_x0008_＀＀_x0001_＀＀_x0001_＀＀尩슏ꣵ䀦㤅䭦_x0014_啌幖彇呌䑟䉅⡔㜳㔹⤵_x0018_＀＀_x0018_＀＀_x0008_＀＀_x0001_＀＀_x0001_＀＀＀＀＀＀퐀䂗㤄䭦_x0017_啌幖煣獟污獥江浴㌨㐹㘱착_x0018_＀＀_x0018_＀＀_x0008_＀＀_x0001_＀＀_x0001_＀＀＀＀＀＀횀䃂㤄䭦_x0012_啌幖彐剐䍉⡅㤳㔷⤲_x0018_＀＀_x0018_＀＀_x0008_＀＀_x0001_＀＀_x0001_＀＀슏⣵轜䀧㤅䭦_x0014_啌幖彇呓䑟䉅⡔㠳㌵⤳_x0018_＀＀_x0018_＀＀_x0008_＀＀_x0001_＀＀_x0001_＀＀＀＀＀＀ 䁢㤅䭦_x0014_啌幖彇呌䑟䉅⡔㠳㤵⤵_x0018_＀＀_x0018_＀＀_x0008_＀＀_x0001_＀＀_x0001_＀＀＀＀＀＀ᰀ䂝㤅䭦_x0011_啌幖彧䅃䡓㌨ㄹ㈷착_x0018_＀＀_x0018_＀＀_x0008_＀＀_x0001_＀＀_x0001_＀＀＀＀＀＀㐀䂞㤅䭦_x0014_啌幖彇呓䑟䉅⡔㠳㠳⤳_x0018_＀＀_x0018_＀＀_x0008_＀＀_x0001_＀＀_x0001_＀＀＀＀＀＀䀀䁢㤅䭦_x0014_啌幖彇呓䑟䉅⡔㜳㠶⤰_x0018_＀＀_x0018_＀＀_x0008_＀＀_x0001_＀＀_x0001_＀＀ొ⬂亇䁠㤅䭦_x0011_啌幖彧䅃䡓㌨㤹㐹착_x0018_＀＀_x0018_＀＀_x0008_＀＀_x0001_＀＀_x0001_＀＀＀＀＀＀Ⰰ䂡Ꮲ乌_x0011_啌幖彧䅃䡓㐨㘰㌳착_x0018_＀＀_x0018_＀＀_x0008_＀＀_x0001_＀＀_x0001_＀＀＀＀＀＀焀䂱Ꮲ乌_x001C_啌幖䍉䵟䅅彎䅓䕌当呎⡍〴㤶⤴_x0018_＀＀_x0018_＀＀_x0008_＀＀_x0001_＀＀_x0001_＀＀⣶轜橂䃐㤆䭦[啌幖南剟久䅔彌偏䱟䕓䕟偘ㄨ⼲〲㘰ㄬ⼲〲㘰ⰬⰬ单⥄䍀彁呒剟久彔䥍彎塅⡐㈱㈯〰ⰶ㈱㈯〰ⰶⰬ唬䑓착_x0018_＀＀_x0018_＀＀_x0008_＀＀_x0001_＀＀_x0001_＀＀＀＀＀＀က䁻㤄䭦_x0012_啌幖彐剐䍉⡅㠳ㄷ⤷_x0018_＀＀_x0018_＀＀_x0008_＀＀_x0001_＀＀_x0001_＀＀䞮竡渔䀰㤄䭦_x0012_啌幖彐剐䍉⡅㤳〵⤷_x0018_＀＀_x0018_＀＀_x0008_＀＀_x0001_＀＀_x0001_＀＀롑蔞䀨㤅䭦_x0014_啌幖彇呓䑟䉅⡔㠳㌱⤸_x0018_＀＀_x0018_＀＀_x0008_＀＀_x0001_＀＀_x0001_＀＀＀＀＀＀　䁳㤄䭦_x0012_啌幖彐剐䍉⡅㜳㘸⤴_x0018_＀＀_x0018_＀＀_x0008_＀＀_x0001_＀＀_x0001_＀＀ꏗ㵰ᜊ䀱㤄䭦_x0017_啌幖煣獟污獥江浴㌨ㄸ㠶착_x0018_＀＀_x0018_＀＀_x0008_＀＀_x0001_＀＀_x0001_＀＀＀＀＀＀缀䂸㤄䭦_x0012_啌幖彐剐䍉⡅㤳㤲⤴_x0018_＀＀_x0018_＀＀_x0008_＀＀_x0001_＀＀_x0001_＀＀롒蔞凫䀯㤅䭦_x0014_啌幖彇呌䑟䉅⡔㤳㜱⤲_x0018_＀＀_x0018_＀＀_x0008_＀＀_x0001_＀＀_x0001_＀＀＀＀＀＀倀䂘㤅䭦_x0011_啌幖彧䅃䡓㌨㔹㤹착_x0018_＀＀_x0018_＀＀_x0008_＀＀_x0001_＀＀_x0001_＀＀＀＀＀＀搀䂨㤅䭦_x0011_啌幖彧䅃䡓㌨㠹㐴착_x0018_＀＀_x0018_＀＀_x0008_＀＀_x0001_＀＀_x0001_＀＀＀＀＀＀Ⰰ䂜㤄䭦_x0017_啌幖煣獟污獥江浴㌨㔷〶착_x0018_＀＀_x0018_＀＀_x0008_＀＀_x0001_＀＀_x0001_＀＀_xDD2F_ؤ쫡䂴㤆䭦'啌幖南䥟呎剟呁⡅㈱㈯〰ⰱ㈱㈯〰ⰱⰬ唬䑓착_x0018_＀＀_x0018_＀＀_x0008_＀＀_x0001_＀＀_x0001_＀＀ര䟃哄䀎㤅䭦_x0014_啌幖彇呌䑟䉅⡔㤳㤹⤴_x0018_＀＀_x0018_＀＀_x0008_＀＀_x0001_＀＀_x0001_＀＀＀＀＀＀鰀䂩ᶳ亹_x0012_啌幖彐剐䍉⡅〴㔷⤵_x0018_＀＀_x0018_＀＀_x0008_＀＀_x0001_＀＀_x0001_＀＀凬Ẹ䀣㤅䭦_x0014_啌幖彇呓䑟䉅⡔㤳㠷⤲_x0018_＀＀_x0018_＀＀_x0008_＀＀_x0001_＀＀_x0001_＀＀＀＀＀＀＀＀䁒㤆䭦'啌幖南䥟呎剟呁⡅㈱㈯〰ⰲ㈱㈯〰ⰲⰬ唬䑓착_x0018_＀＀_x0018_＀＀_x0008_＀＀_x0001_＀＀_x0001_＀＀楮␵㇮䀙Ꮲ乌_x0014_啌幖彇呌䑟䉅⡔〴㌶⤳_x0018_＀＀_x0018_＀＀_x0008_＀＀_x0001_＀＀_x0001_＀＀＀＀＀＀䂢棩䵮_x0014_啌幖彇呓䑟䉅⡔〴㈴⤱_x0018_＀＀_x0018_＀＀_x0008_＀＀_x0001_＀＀_x0001_＀＀＀＀＀＀쀀䁞㤆䭦'啌幖南䥟呎剟呁⡅㈱㈯〰ⰳ㈱㈯〰ⰳⰬ唬䑓착_x0018_＀＀_x0018_＀＀_x0008_＀＀_x0001_＀＀_x0001_＀＀臭恖꫈䀗棩䵮_x0017_啌幖煣獟污獥江浴㐨㐰ㄵ착_x0018_＀＀_x0018_＀＀_x0008_＀＀_x0001_＀＀_x0001_＀＀＀＀＀＀_xDB00_䃆㤅䭦_x0011_啌幖彧䅃䡓㌨ㄷ㐳착_x0018_＀＀_x0018_＀＀_x0008_＀＀_x0001_＀＀_x0001_＀＀鶲꟯䋆䂎㤆䭦'啌幖南䥟呎剟呁⡅㈱㈯〰ⰴ㈱㈯〰ⰴⰬ唬䑓착_x0018_＀＀_x0018_＀＀_x0008_＀＀_x0001_＀＀_x0001_＀＀䝯ⴸᅸ䀓㤄䭦_x0017_啌幖煣獟污獥江浴㌨㌷㔱착_x0018_＀＀_x0018_＀＀_x0008_＀＀_x0001_＀＀_x0001_＀＀閁譃댬䂵㤄䭦_x0012_啌幖彐剐䍉⡅㠳㤲⤱_x0018_＀＀_x0018_＀＀_x0008_＀＀_x0001_＀＀_x0001_＀＀휊炣訽䀯㤅䭦_x0014_啌幖彇呓䑟䉅⡔㜳㜰⤲_x0018_＀＀_x0018_＀＀_x0008_＀＀_x0001_＀＀_x0001_＀＀틲才ꀐ䁛㤆䭦'啌幖南䥟呎剟呁⡅㈱㈯〰ⰵ㈱㈯〰ⰵⰬ唬䑓착_x0018_＀＀_x0018_＀＀_x0008_＀＀_x0001_＀＀_x0001_＀＀㤮铮瘎䀘㤅䭦_x0011_啌幖彧䅃䡓㌨㌹㘸착_x0018_＀＀_x0018_＀＀_x0008_＀＀_x0001_＀＀_x0001_＀＀＀＀＀＀吀䂘㤅䭦_x0014_啌幖彇呌䑟䉅⡔㤳㤵⤹_x0018_＀＀_x0018_＀＀_x0008_＀＀_x0001_＀＀_x0001_＀＀＀＀＀＀㸀䂠㤅䭦_x0014_啌幖彇呌䑟䉅⡔㤳㐸⤴_x0018_＀＀_x0018_＀＀_x0008_＀＀_x0001_＀＀_x0001_＀＀＀＀＀＀吀䂫㤅䭦_x0011_啌幖彧䅃䡓㐨〰㔲착_x0018_＀＀_x0018_＀＀_x0008_＀＀_x0001_＀＀_x0001_＀＀＀＀＀＀Ⰰ䂡㤆䭦'啌幖南䥟呎剟呁⡅㈱㈯〰ⰶ㈱㈯〰ⰶⰬ唬䑓착_x0018_＀＀_x0018_＀＀_x0008_＀＀_x0001_＀＀_x0001_＀＀簜㉡偕䀞㤅䭦_x001C_啌幖䍉䵟䅅彎䅓䕌当呎⡍〴㠰⤶_x0018_＀＀_x0018_＀＀_x0008_＀＀_x0001_＀＀_x0001_＀＀尩슏䃃㤅䭦_x0014_啌幖彇呓䑟䉅⡔㜳㤸⤴_x0018_＀＀_x0018_＀＀_x0008_＀＀_x0001_＀＀_x0001_＀＀＀＀＀＀怀䁠㤆䭦'啌幖南䥟呎剟呁⡅㈱㈯〰ⰷ㈱㈯〰ⰷⰬ唬䑓착_x0018_＀＀_x0018_＀＀_x0008_＀＀_x0001_＀＀_x0001_＀＀䮈㮎쎥䀖뼳仟_x0011_啌幖彧䅃䡓㐨㠰㜴착_x0018_＀＀_x0018_＀＀_x0008_＀＀_x0001_＀＀_x0001_＀＀＀＀＀＀退䂬㤄䭦_x0017_啌幖煣獟污獥江浴㐨〰㘵착_x0018_＀＀_x0018_＀＀_x0008_＀＀_x0001_＀＀_x0001_＀＀＀＀＀＀눀䃄㤆䭦'啌幖南䥟呎剟呁⡅㈱㈯〰ⰸ㈱㈯〰ⰸⰬ唬䑓착_x0018_＀＀_x0018_＀＀_x0008_＀＀_x0001_＀＀_x0001_＀＀睇㬐桓䀌㤄䭦_x0012_啌幖彐剐䍉⡅㜳㔲⤶_x0018_＀＀_x0018_＀＀_x0008_＀＀_x0001_＀＀_x0001_＀＀ᑻ䞮竡䀲㤄䭦_x0012_啌幖彐剐䍉⡅㠳㐰⤶_x0018_＀＀_x0018_＀＀_x0008_＀＀_x0001_＀＀_x0001_＀＀蔟凫麸䀫㤅䭦_x0014_啌幖彇呌䑟䉅⡔㜳㌱⤴_x0018_＀＀_x0018_＀＀_x0008_＀＀_x0001_＀＀_x0001_＀＀䆉蓐䂇㥗䭦'啌幖南䥟呎剟呁⡅㈱㈯〰ⰹ㈱㈯〰ⰹⰬ唬䑓착_x0018_＀＀_x0018_＀＀_x0008_＀＀_x0001_＀＀_x0001_＀＀ःᾊ蹣䀗㤄䭦_x0012_啌幖彐剐䍉⡅㠳㘸⤸_x0018_＀＀_x0018_＀＀_x0008_＀＀_x0001_＀＀_x0001_＀＀馚香ᦙ䀰㤄䭦_x0012_啌幖彐剐䍉⡅㤳〹⤳_x0018_＀＀_x0018_＀＀_x0008_＀＀_x0001_＀＀_x0001_＀＀롒蔞凫䀙㤅䭦_x0014_啌幖彇呓䑟䉅⡔㜳㤴⤹_x0018_＀＀_x0018_＀＀_x0008_＀＀_x0001_＀＀_x0001_＀＀溘茒䀽㤅䭦_x0011_啌幖彧䅃䡓㌨㔸㌳착_x0018_＀＀_x0018_＀＀_x0008_＀＀_x0001_＀＀_x0001_＀＀＀＀＀＀먀䂡㤅䭦_x0012_啌幖彐剐䍉⡅〴㐱⤷_x0018_＀＀_x0018_＀＀_x0008_＀＀_x0001_＀＀_x0001_＀＀晧晦晦䀢㤅䭦_x0011_啌幖彧䅃䡓㌨㌸㌸착_x0018_＀＀_x0018_＀＀_x0008_＀＀_x0001_＀＀_x0001_＀＀＀＀＀＀搀䂔㤅䭦_x0014_啌幖彇呌䑟䉅⡔㤳㠳⤶_x0018_＀＀_x0018_＀＀_x0008_＀＀_x0001_＀＀_x0001_＀＀＀＀＀＀䰀䂘㤅䭦_x0011_啌幖彧䅃䡓㌨㘷〸착_x0018_＀＀_x0018_＀＀_x0008_＀＀_x0001_＀＀_x0001_＀＀⃅犰嵨䂜㤅䭦_x0014_啌幖彇呌䑟䉅⡔〴㈰⤵_x0018_＀＀_x0018_＀＀_x0008_＀＀_x0001_＀＀_x0001_＀＀＀＀＀＀鰀䂩㤄䭦_x0017_啌幖煣獟污獥江浴㌨㔸㐶착_x0018_＀＀_x0018_＀＀_x0008_＀＀_x0001_＀＀_x0001_＀＀＀＀＀＀ᨀ䂻뼳仟_x0014_啌幖彇呌䑟䉅⡔〴㐸⤷_x0018_＀＀_x0018_＀＀_x0008_＀＀_x0001_＀＀_x0001_＀＀＀＀＀＀⠀䂩㤅䭦_x0011_啌幖彧䅃䡓㌨ㄸ㠳착_x0018_＀＀_x0018_＀＀_x0008_＀＀_x0001_＀＀_x0001_＀＀＀＀＀＀耀䂜㤄䭦_x0017_啌幖煣獟污獥江浴㌨㔷㤲착_x0018_＀＀_x0018_＀＀_x0008_＀＀_x0001_＀＀_x0001_＀＀_xDD2F_ؤ쫡䂴㤅䭦_x0014_啌幖彇呌䑟䉅⡔㠳㌵⤳_x0018_＀＀_x0018_＀＀_x0008_＀＀_x0001_＀＀_x0001_＀＀＀＀＀＀ᰀ䂝㤅䭦_x0014_啌幖彇呓䑟䉅⡔㠳㈳⤱_x0018_＀＀_x0018_＀＀_x0008_＀＀_x0001_＀＀_x0001_＀＀＀＀＀＀퀀䁳㤅䭦_x0014_啌幖彇呌䑟䉅⡔㠳㠳⤳_x0018_＀＀_x0018_＀＀_x0008_＀＀_x0001_＀＀_x0001_＀＀＀＀＀＀退䂚㤄䭦_x0017_啌幖煣獟污獥江浴㌨㜷ㄱ착_x0018_＀＀_x0018_＀＀_x0008_＀＀_x0001_＀＀_x0001_＀＀ొ⬂쮇䂵㤅䭦_x0014_啌幖彇呌䑟䉅⡔㜳㠶⤰_x0018_＀＀_x0018_＀＀_x0008_＀＀_x0001_＀＀_x0001_＀＀좴빶䌟䂘㤄䭦_x0017_啌幖煣獟污獥江浴㌨ㄹㄴ착_x0018_＀＀_x0018_＀＀_x0008_＀＀_x0001_＀＀_x0001_＀＀＀＀＀＀뼀䃁㤅䭦_x0014_啌幖彇呓䑟䉅⡔㠳㤸⤸_x0018_＀＀_x0018_＀＀_x0008_＀＀_x0001_＀＀_x0001_＀＀＀＀＀＀　䁾㤆䭦%啌幖南䥟呎剟呁彅夵噁⡇㈱㈯〰ⰲⰬ唬䑓착_x0018_＀＀_x0018_＀＀_x0008_＀＀_x0001_＀＀_x0001_＀＀卐훋苺䀚㤅䭦_x0011_啌幖彧䅃䡓㌨㜹㈸착_x0018_＀＀_x0018_＀＀_x0008_＀＀_x0001_＀＀_x0001_＀＀＀＀＀＀츀䂪㤅䭦_x0014_啌幖彇呓䑟䉅⡔㤳㌹⤳_x0018_＀＀_x0018_＀＀_x0008_＀＀_x0001_＀＀_x0001_＀＀＀＀＀＀怀䁤棩䵮_x0011_啌幖彧䅃䡓㐨㐰ㄲ착_x0018_＀＀_x0018_＀＀_x0008_＀＀_x0001_＀＀_x0001_＀＀＀＀＀＀栀䂨棩䵮_x001C_啌幖䍉䵟䅅彎䅓䕌当呎⡍〴㠴⤲_x0018_＀＀_x0018_＀＀_x0008_＀＀_x0001_＀＀_x0001_＀＀ਾꏗᐰ䃈ᐈ乌_x0012_啌幖彐剐䍉⡅〴㜷⤲_x0018_＀＀_x0018_＀＀_x0008_＀＀_x0001_＀＀_x0001_＀＀㵱휊䀠棩䵮_x0017_啌幖煣獟污獥江浴㐨㘰㈰착_x0018_＀＀_x0018_＀＀_x0008_＀＀_x0001_＀＀_x0001_＀＀＀＀＀＀ꐀ䃇㤅䭦_x0014_啌幖彇呌䑟䉅⡔㠳㌱⤸_x0018_＀＀_x0018_＀＀_x0008_＀＀_x0001_＀＀_x0001_＀＀＀＀＀＀_xD800_䂓㤄䭦_x0012_啌幖彐剐䍉⡅㜳〸⤲_x0018_＀＀_x0018_＀＀_x0008_＀＀_x0001_＀＀_x0001_＀＀㌳㌳㌳䀱㤄䭦_x0012_啌幖彐剐䍉⡅㜳㔶⤲_x0018_＀＀_x0018_＀＀_x0008_＀＀_x0001_＀＀_x0001_＀＀馚香ᦙ䀪㤄䭦_x0012_啌幖彐剐䍉⡅㠳㐴⤲_x0018_＀＀_x0018_＀＀_x0008_＀＀_x0001_＀＀_x0001_＀＀ᑻ䞮竡䀬㤅䭦_x0011_啌幖彧䅃䡓㌨〷㈷착_x0018_＀＀_x0018_＀＀_x0008_＀＀_x0001_＀＀_x0001_＀＀鶲꟯䋆䂎㤄䭦_x0012_啌幖彐剐䍉⡅㤳㠰⤲_x0018_＀＀_x0018_＀＀_x0008_＀＀_x0001_＀＀_x0001_＀＀炤਽ꏗ䀮㤅䭦_x0014_啌幖彇呓䑟䉅⡔㠳㐷⤸_x0018_＀＀_x0018_＀＀_x0008_＀＀_x0001_＀＀_x0001_＀＀＀＀＀＀저䂂㤅䭦_x0014_啌幖彇呓䑟䉅⡔㤳㌵⤸_x0018_＀＀_x0018_＀＀_x0008_＀＀_x0001_＀＀_x0001_＀＀＀＀＀＀＀＀䁄꾕䯭_x001C_啌幖䍉䵟䅅彎䅓䕌当呎⡍〴㌲⤷_x0018_＀＀_x0018_＀＀_x0008_＀＀_x0001_＀＀_x0001_＀＀ꗣ쒛焰䃆㤅䭦_x0011_啌幖彧䅃䡓㌨㠷㐹착_x0018_＀＀_x0018_＀＀_x0008_＀＀_x0001_＀＀_x0001_＀＀＀＀＀＀저䂟꾕䯭_x0012_啌幖彐剐䍉⡅〴㤲⤸_x0018_＀＀_x0018_＀＀_x0008_＀＀_x0001_＀＀_x0001_＀＀轜尨䀪㤄䭦_x0017_啌幖煣獟污獥江浴㌨㔹㠶착_x0018_＀＀_x0018_＀＀_x0008_＀＀_x0001_＀＀_x0001_＀＀＀＀＀＀䃃㤆䭦%啌幖南䥟呎剟呁彅夵噁⡇㈱㈯〰ⰸⰬ唬䑓착_x0018_＀＀_x0018_＀＀_x0008_＀＀_x0001_＀＀_x0001_＀＀ᩡ辆⦈䀖棩䵮_x0012_啌幖彐剐䍉⡅〴㐵⤳_x0018_＀＀_x0018_＀＀_x0008_＀＀_x0001_＀＀_x0001_＀＀⣶轜䀩㤄䭦_x0017_啌幖煣獟污獥江浴㌨㠹㌱착_x0018_＀＀_x0018_＀＀_x0008_＀＀_x0001_＀＀_x0001_＀＀＀＀＀＀螀䃅㤅䭦_x0014_啌幖彇呌䑟䉅⡔㤳㠷⤲_x0018_＀＀_x0018_＀＀_x0008_＀＀_x0001_＀＀_x0001_＀＀＀＀＀＀⠀䂤棩䵮_x0014_啌幖彇呌䑟䉅⡔〴㈴⤱_x0018_＀＀_x0018_＀＀_x0008_＀＀_x0001_＀＀_x0001_＀＀＀＀＀＀䂩㤅䭦_x0012_啌幖南䥟体䍟䑏⡅⤰_x0014_＀＀_x0018_＀＀_x0004_＀＀_x0001_＀＀_x0008_＀＀单D㤄䭦_x0012_啌幖彐剐䍉⡅㜳〴⤷_x0018_＀＀_x0018_＀＀_x0008_＀＀_x0001_＀＀_x0001_＀＀ᑺޮ䀱㤄䭦_x0017_啌幖煣獟污獥江浴㌨㤸〶착_x0018_＀＀_x0018_＀＀_x0008_＀＀_x0001_＀＀_x0001_＀＀＀＀＀＀纀䃀ᶳ亹_x0014_啌幖彇呓䑟䉅⡔〴㠷⤶_x0018_＀＀_x0018_＀＀_x0008_＀＀_x0001_＀＀_x0001_＀＀＀＀＀＀䂎㤄䭦_x0017_啌幖煣獟污獥江浴㌨ㄷ㌰착_x0018_＀＀_x0018_＀＀_x0008_＀＀_x0001_＀＀_x0001_＀＀㵱휊⢣䂷㤅䭦_x0014_啌幖彇呌䑟䉅⡔㜳㜰⤲_x0018_＀＀_x0018_＀＀_x0008_＀＀_x0001_＀＀_x0001_＀＀䆉蓐䂇㤅䭦_x0011_啌幖彧䅃䡓㌨㐷㤹착_x0018_＀＀_x0018_＀＀_x0008_＀＀_x0001_＀＀_x0001_＀＀롒蔞讫䂠㤅䭦_x0014_啌幖彇呓䑟䉅⡔㤳㈳⤵_x0018_＀＀_x0018_＀＀_x0008_＀＀_x0001_＀＀_x0001_＀＀＀＀＀＀쀀䁞㤄䭦_x0017_啌幖煣獟污獥江浴㌨㤷㔲착_x0018_＀＀_x0018_＀＀_x0008_＀＀_x0001_＀＀_x0001_＀＀沋ﯧ벉䂶㤅䭦_x0014_啌幖彇呌䑟䉅⡔㜳㤸⤴_x0018_＀＀_x0018_＀＀_x0008_＀＀_x0001_＀＀_x0001_＀＀＀＀＀＀퐀䂗㤄䭦_x0017_啌幖煣獟污獥江浴㌨㌹㔵착_x0018_＀＀_x0018_＀＀_x0008_＀＀_x0001_＀＀_x0001_＀＀＀＀＀＀횀䃂㤄䭦_x0012_啌幖彐剐䍉⡅㤳㤶⤱_x0018_＀＀_x0018_＀＀_x0008_＀＀_x0001_＀＀_x0001_＀＀⣶轜痂䀮㤅䭦_x0014_啌幖彇呓䑟䉅⡔㠳㜴⤲_x0018_＀＀_x0018_＀＀_x0008_＀＀_x0001_＀＀_x0001_＀＀＀＀＀＀耀䁒ᶳ亹_x0017_啌幖煣獟污獥江浴㐨㠰㘱착_x0018_＀＀_x0018_＀＀_x0008_＀＀_x0001_＀＀_x0001_＀＀＀＀＀＀ꐀ䃌㤄䭦_x0012_啌幖彐剐䍉⡅㠳㔶⤶_x0018_＀＀_x0018_＀＀_x0008_＀＀_x0001_＀＀_x0001_＀＀尨ʏ䀰㤅䭦_x0014_啌幖彇呓䑟䉅⡔㜳㌴⤷_x0018_＀＀_x0018_＀＀_x0008_＀＀_x0001_＀＀_x0001_＀＀溘茒䀽㤅䭦_x0014_啌幖彇呌䑟䉅⡔㜳㤴⤹_x0018_＀＀_x0018_＀＀_x0008_＀＀_x0001_＀＀_x0001_＀＀욧䂙㤅䭦_x0014_啌幖彇呓䑟䉅⡔㜳㠲⤷_x0018_＀＀_x0018_＀＀_x0008_＀＀_x0001_＀＀_x0001_＀＀䯇褷́䂇㤅䭦_x0014_啌幖彇呓䑟䉅⡔㠳㜰⤷_x0018_＀＀_x0018_＀＀_x0008_＀＀_x0001_＀＀_x0001_＀＀＀＀＀＀　䁳㤅䭦_x0011_啌幖彧䅃䡓㌨㌸ㄲ착_x0018_＀＀_x0018_＀＀_x0008_＀＀_x0001_＀＀_x0001_＀＀＀＀＀＀倀䂝㤅䭦_x0011_啌幖彧䅃䡓㌨㠸㠹착_x0018_＀＀_x0018_＀＀_x0008_＀＀_x0001_＀＀_x0001_＀＀＀＀＀＀堀䂧㤄䭦_x0017_啌幖煣獟污獥江浴㌨㌸㈵착_x0018_＀＀_x0018_＀＀_x0008_＀＀_x0001_＀＀_x0001_＀＀＀＀＀＀舀䂹㤅䭦_x0011_啌幖彧䅃䡓㌨㤹㌳착_x0018_＀＀_x0018_＀＀_x0008_＀＀_x0001_＀＀_x0001_＀＀＀＀＀＀가䂠㤄䭦_x001C_啌幖䍉䵟䅅彎䅓䕌当呎⡍㤳㤹⤴_x0018_＀＀_x0018_＀＀_x0008_＀＀_x0001_＀＀_x0001_＀＀멞౉㳲䃄꾕䯭_x0014_啌幖彇呓䑟䉅⡔〴㜱⤸_x0018_＀＀_x0018_＀＀_x0008_＀＀_x0001_＀＀_x0001_＀＀＀＀＀＀쀀䁧Ꮲ乌_x001C_啌幖䍉䵟䅅彎䅓䕌当呎⡍〴㌶⤳_x0018_＀＀_x0018_＀＀_x0008_＀＀_x0001_＀＀_x0001_＀＀ᑺꞎ䃊㠃乍_x0012_啌幖彐剐䍉⡅〴㜷⤳_x0018_＀＀_x0018_＀＀_x0008_＀＀_x0001_＀＀_x0001_＀＀䞮竡⸔䀠㤄䭦_x0017_啌幖煣獟污獥江浴㌨㤹㐶착_x0018_＀＀_x0018_＀＀_x0008_＀＀_x0001_＀＀_x0001_＀＀＀＀＀＀㄀䃅Ꮲ乌_x0012_啌幖彐剐䍉⡅〴㤶⤴_x0018_＀＀_x0018_＀＀_x0008_＀＀_x0001_＀＀_x0001_＀＀尩슏ꣵ䀧棩䵮_x0017_啌幖煣獟污獥江浴㐨㌰〹착_x0018_＀＀_x0018_＀＀_x0008_＀＀_x0001_＀＀_x0001_＀＀＀＀＀＀퐀䃅㤄䭦_x0017_啌幖煣獟污獥江浴㌨ㄸ㜰착_x0018_＀＀_x0018_＀＀_x0008_＀＀_x0001_＀＀_x0001_＀＀＀＀＀＀똀䂷㤄䭦_x0012_啌幖彐剐䍉⡅㤳㌲⤳_x0018_＀＀_x0018_＀＀_x0008_＀＀_x0001_＀＀_x0001_＀＀蔟凫麸䀬㤅䭦_x0014_啌幖彇呌䑟䉅⡔㠳㈳⤱_x0018_＀＀_x0018_＀＀_x0008_＀＀_x0001_＀＀_x0001_＀＀＀＀＀＀᠀䂙㤅䭦_x0011_啌幖彧䅃䡓㌨㜸㠴착_x0018_＀＀_x0018_＀＀_x0008_＀＀_x0001_＀＀_x0001_＀＀＀＀＀＀였䂣㤅䭦_x0011_啌幖彧䅃䡓㌨㔹㠳착_x0018_＀＀_x0018_＀＀_x0008_＀＀_x0001_＀＀_x0001_＀＀＀＀＀＀搀䂨㤄䭦_x0012_啌幖彐剐䍉⡅㜳㤵⤰_x0018_＀＀_x0018_＀＀_x0008_＀＀_x0001_＀＀_x0001_＀＀㌳㌳댳䀰㤄䭦_x0017_啌幖煣獟污獥江浴㌨㤸㤲착_x0018_＀＀_x0018_＀＀_x0008_＀＀_x0001_＀＀_x0001_＀＀＀＀＀＀纀䃀㤄䭦_x001C_啌幖䍉䵟䅅彎䅓䕌当呎⡍㤳㐸⤴_x0018_＀＀_x0018_＀＀_x0008_＀＀_x0001_＀＀_x0001_＀＀쳍쳌勌䃅㤅䭦_x0014_啌幖彇呌䑟䉅⡔㠳㤸⤸_x0018_＀＀_x0018_＀＀_x0008_＀＀_x0001_＀＀_x0001_＀＀＀＀＀＀᠀䂕㤅䭦_x0014_啌幖彇呓䑟䉅⡔㠳㠶⤶_x0018_＀＀_x0018_＀＀_x0008_＀＀_x0001_＀＀_x0001_＀＀＀＀＀＀ꀀ䁢㤅䭦_x0014_啌幖彇呌䑟䉅⡔㤳㌹⤳_x0018_＀＀_x0018_＀＀_x0008_＀＀_x0001_＀＀_x0001_＀＀＀＀＀＀䂪㤆䭦[啌幖南剟久䅔彌偏䱟䕓䕟偘ㄨ⼲〲㔰ㄬ⼲〲㔰ⰬⰬ单⥄䍀彁呒剟久彔䥍彎塅⡐㈱㈯〰ⰵ㈱㈯〰ⰵⰬ唬䑓착_x0018_＀＀_x0018_＀＀_x0008_＀＀_x0001_＀＀_x0001_＀＀＀＀＀＀退䁹㤅䭦_x0014_啌幖彇呓䑟䉅⡔㤳㈷⤱_x0018_＀＀_x0018_＀＀_x0008_＀＀_x0001_＀＀_x0001_＀＀＀＀＀＀＀＀䁒ᶳ亹_x0011_啌幖彧䅃䡓㐨㜰㘸착_x0018_＀＀_x0018_＀＀_x0008_＀＀_x0001_＀＀_x0001_＀＀＀＀＀＀ᘀ䂱㤄䭦_x0012_啌幖彐剐䍉⡅㜳㤱⤵_x0018_＀＀_x0018_＀＀_x0008_＀＀_x0001_＀＀_x0001_＀＀쳍쳌쳌䀯㤄䭦_x0012_啌幖彐剐䍉⡅㠳㌲⤰_x0018_＀＀_x0018_＀＀_x0008_＀＀_x0001_＀＀_x0001_＀＀炤਽ꏗ䀭㤅䭦_x0014_啌幖彇呌䑟䉅⡔㠳㐷⤸_x0018_＀＀_x0018_＀＀_x0008_＀＀_x0001_＀＀_x0001_＀＀＀＀＀＀저䂕㤅䭦_x0011_啌幖彧䅃䡓㌨㌹㔲착_x0018_＀＀_x0018_＀＀_x0008_＀＀_x0001_＀＀_x0001_＀＀＀＀＀＀萀䂠㤅䭦_x0014_啌幖彇呌䑟䉅⡔㤳㌵⤸_x0018_＀＀_x0018_＀＀_x0008_＀＀_x0001_＀＀_x0001_＀＀＀＀＀＀㸀䂠㤄䭦_x001C_啌幖䍉䵟䅅彎䅓䕌当呎⡍〴㈰⤵_x0018_＀＀_x0018_＀＀_x0008_＀＀_x0001_＀＀_x0001_＀＀尨쀯䃃㤅䭦_x0014_啌幖彇呓䑟䉅⡔㜳㌸⤳_x0018_＀＀_x0018_＀＀_x0008_＀＀_x0001_＀＀_x0001_＀＀＀＀＀＀耀䁠㤅䭦_x0011_啌幖彧䅃䡓㌨㐸㈷착_x0018_＀＀_x0018_＀＀_x0008_＀＀_x0001_＀＀_x0001_＀＀＀＀＀＀퀀䂝㤅䭦_x0012_啌幖彐剐䍉⡅〴㠰⤶_x0018_＀＀_x0018_＀＀_x0008_＀＀_x0001_＀＀_x0001_＀＀㌴㌳㌳䀣㤅䭦_x0014_啌幖彇呓䑟䉅⡔㤳㘲⤳_x0018_＀＀_x0018_＀＀_x0008_＀＀_x0001_＀＀_x0001_＀＀＀＀＀＀쀀䁞ᶳ亹_x001C_啌幖䍉䵟䅅彎䅓䕌当呎⡍〴㐸⤷_x0018_＀＀_x0018_＀＀_x0008_＀＀_x0001_＀＀_x0001_＀＀롒蔞똋䃐ᶳ亹_x0014_啌幖彇呓䑟䉅⡔〴㈷⤴_x0018_＀＀_x0018_＀＀_x0008_＀＀_x0001_＀＀_x0001_＀＀＀＀＀＀䂎ᶳ亹_x0014_啌幖彇呌䑟䉅⡔〴㠷⤶_x0018_＀＀_x0018_＀＀_x0008_＀＀_x0001_＀＀_x0001_＀＀＀＀＀＀吀䂩棩䵮_x0014_啌幖彇呓䑟䉅⡔〴㜵⤴_x0018_＀＀_x0018_＀＀_x0008_＀＀_x0001_＀＀_x0001_＀＀＀＀＀＀退䁿㤄䭦_x0012_啌幖彐剐䍉⡅㠳〸⤷_x0018_＀＀_x0018_＀＀_x0008_＀＀_x0001_＀＀_x0001_＀＀ਾꏗﵰ䀱㤅䭦_x0011_啌幖彧䅃䡓㌨㐷㜳착_x0018_＀＀_x0018_＀＀_x0008_＀＀_x0001_＀＀_x0001_＀＀롒蔞讫䂠㤄䭦_x0012_啌幖彐剐䍉⡅㤳㐴⤷_x0018_＀＀_x0018_＀＀_x0008_＀＀_x0001_＀＀_x0001_＀＀晧晦晦䀨㤅䭦_x0011_啌幖彧䅃䡓㌨㈷㜸착_x0018_＀＀_x0018_＀＀_x0008_＀＀_x0001_＀＀_x0001_＀＀퓽쾸䂡㤅䭦_x0011_啌幖彧䅃䡓㌨〸㜷착_x0018_＀＀_x0018_＀＀_x0008_＀＀_x0001_＀＀_x0001_＀＀＀＀＀＀耀䂜㤅䭦_x0014_啌幖彇呌䑟䉅⡔㤳㈳⤵_x0018_＀＀_x0018_＀＀_x0008_＀＀_x0001_＀＀_x0001_＀＀＀＀＀＀렀䂗㤄䭦_x0017_啌幖煣獟污獥江浴㌨㐷㠶착_x0018_＀＀_x0018_＀＀_x0008_＀＀_x0001_＀＀_x0001_＀＀鮦⃄鋐䂴㤅䭦_x0014_啌幖彇呓䑟䉅⡔㤳ㄱ⤳_x0018_＀＀_x0018_＀＀_x0008_＀＀_x0001_＀＀_x0001_＀＀＀＀＀＀耀䁞㤄䭦_x0017_啌幖煣獟污獥江浴㌨㔸㌰착_x0018_＀＀_x0018_＀＀_x0008_＀＀_x0001_＀＀_x0001_＀＀＀＀＀＀㔀䂺㤅䭦_x0014_啌幖彇呌䑟䉅⡔㠳㜴⤲_x0018_＀＀_x0018_＀＀_x0008_＀＀_x0001_＀＀_x0001_＀＀＀＀＀＀᠀䂞㤅䭦_x0014_啌幖彇呓䑟䉅⡔㠳㘲⤰_x0018_＀＀_x0018_＀＀_x0008_＀＀_x0001_＀＀_x0001_＀＀＀＀＀＀퀀䁳棩䵮_x0014_啌幖彇呓䑟䉅⡔〴㈳⤹_x0018_＀＀_x0018_＀＀_x0008_＀＀_x0001_＀＀_x0001_＀＀＀＀＀＀䀀䁥꾕䯭_x0011_啌幖彧䅃䡓㐨㄰㠷착_x0018_＀＀_x0018_＀＀_x0008_＀＀_x0001_＀＀_x0001_＀＀＀＀＀＀䈀䂤棩䵮_x0017_啌幖煣獟污獥江浴㐨㌰㤵착_x0018_＀＀_x0018_＀＀_x0008_＀＀_x0001_＀＀_x0001_＀＀＀＀＀＀퐀䃅㤅䭦_x0014_啌幖彇呓䑟䉅⡔㤳㜸⤲_x0018_＀＀_x0018_＀＀_x0008_＀＀_x0001_＀＀_x0001_＀＀＀＀＀＀怀䁤㤄䭦_x0012_啌幖彐剐䍉⡅㠳㤱⤹_x0018_＀＀_x0018_＀＀_x0008_＀＀_x0001_＀＀_x0001_＀＀㵱휊䀬㤅䭦_x0014_啌幖彇呌䑟䉅⡔㜳㌴⤷_x0018_＀＀_x0018_＀＀_x0008_＀＀_x0001_＀＀_x0001_＀＀욧䂙㤅䭦_x0014_啌幖彇呓䑟䉅⡔㜳㈲⤵_x0018_＀＀_x0018_＀＀_x0008_＀＀_x0001_＀＀_x0001_＀＀㥘좴ꉶ䁾㤅䭦_x0014_啌幖彇呌䑟䉅⡔㜳㠲⤷_x0018_＀＀_x0018_＀＀_x0008_＀＀_x0001_＀＀_x0001_＀＀茓쫀벡䂔㤅䭦_x0014_啌幖彇呌䑟䉅⡔㠳㜰⤷_x0018_＀＀_x0018_＀＀_x0008_＀＀_x0001_＀＀_x0001_＀＀＀＀＀＀_xD800_䂓㤄䭦_x0012_啌幖彐剐䍉⡅㜳㐷⤱_x0018_＀＀_x0018_＀＀_x0008_＀＀_x0001_＀＀_x0001_＀＀凬Ẹ䀯㤅䭦_x0011_啌幖彧䅃䡓㌨㘸㘸착_x0018_＀＀_x0018_＀＀_x0008_＀＀_x0001_＀＀_x0001_＀＀＀＀＀＀樀䂤㤅䭦_x0014_啌幖彇呓䑟䉅⡔㠳㌸⤷_x0018_＀＀_x0018_＀＀_x0008_＀＀_x0001_＀＀_x0001_＀＀＀＀＀＀䂁㤅䭦_x0011_啌幖彧䅃䡓㌨㜹ㄲ착_x0018_＀＀_x0018_＀＀_x0008_＀＀_x0001_＀＀_x0001_＀＀＀＀＀＀츀䂪꾕䯭_x0017_啌幖煣獟污獥江浴㐨㈰㤰착_x0018_＀＀_x0018_＀＀_x0008_＀＀_x0001_＀＀_x0001_＀＀＀＀＀＀㜀䃄꾕䯭_x0014_啌幖彇呌䑟䉅⡔〴㜱⤸_x0018_＀＀_x0018_＀＀_x0008_＀＀_x0001_＀＀_x0001_＀＀＀＀＀＀切䂩棩䵮_x001C_啌幖䍉䵟䅅彎䅓䕌当呎⡍〴㈴⤱_x0018_＀＀_x0018_＀＀_x0008_＀＀_x0001_＀＀_x0001_＀＀轜䃇棩䵮_x0012_啌幖彐剐䍉⡅〴㠴⤲_x0018_＀＀_x0018_＀＀_x0008_＀＀_x0001_＀＀_x0001_＀＀롑蔞䀫㤄䭦_x0017_啌幖煣獟污獥江浴㌨㜹㈵착_x0018_＀＀_x0018_＀＀_x0008_＀＀_x0001_＀＀_x0001_＀＀＀＀＀＀຀䃅㤄䭦_x0012_啌幖彐剐䍉⡅㜳㐳⤶_x0018_＀＀_x0018_＀＀_x0008_＀＀_x0001_＀＀_x0001_＀＀馚香妙䀳㤄䭦_x0012_啌幖彐剐䍉⡅㤳㈰⤱_x0018_＀＀_x0018_＀＀_x0008_＀＀_x0001_＀＀_x0001_＀＀슐⣵ཛྷ䀮㤅䭦_x0011_啌幖彧䅃䡓㌨㠷㌳착_x0018_＀＀_x0018_＀＀_x0008_＀＀_x0001_＀＀_x0001_＀＀＀＀＀＀㠀䂡꾕䯭_x0012_啌幖彐剐䍉⡅〴㌲⤷_x0018_＀＀_x0018_＀＀_x0008_＀＀_x0001_＀＀_x0001_＀＀尩슏⣵䀩㤄䭦_x0017_啌幖煣獟污獥江浴㌨㜸㜱착_x0018_＀＀_x0018_＀＀_x0008_＀＀_x0001_＀＀_x0001_＀＀＀＀＀＀ꀀ䂽㤄䭦_x0017_啌幖煣獟污獥江浴㌨㔹㜰착_x0018_＀＀_x0018_＀＀_x0008_＀＀_x0001_＀＀_x0001_＀＀＀＀＀＀䊀䃃㤅䭦_x0014_啌幖彇呌䑟䉅⡔㠳㠶⤶_x0018_＀＀_x0018_＀＀_x0008_＀＀_x0001_＀＀_x0001_＀＀＀＀＀＀᐀䂝㤅䭦_x0011_啌幖彧䅃䡓㌨㈹㌶착_x0018_＀＀_x0018_＀＀_x0008_＀＀_x0001_＀＀_x0001_＀＀＀＀＀＀萀䂠㤅䭦_x0014_啌幖彇呌䑟䉅⡔㤳㈷⤱_x0018_＀＀_x0018_＀＀_x0008_＀＀_x0001_＀＀_x0001_＀＀＀＀＀＀⠀䂤㤄䭦_x0017_啌幖煣獟污獥江浴㌨㠷㐶착_x0018_＀＀_x0018_＀＀_x0008_＀＀_x0001_＀＀_x0001_＀＀긕ᦺ䂶㤄䭦_x0012_啌幖彐剐䍉⡅㠳㤹⤰_x0018_＀＀_x0018_＀＀_x0008_＀＀_x0001_＀＀_x0001_＀＀尩슏ꣵ䀰㤄䭦_x0017_啌幖煣獟污獥江浴㌨㈹㐹착_x0018_＀＀_x0018_＀＀_x0008_＀＀_x0001_＀＀_x0001_＀＀＀＀＀＀嬀䃂ᶳ亹_x0011_啌幖彧䅃䡓㐨㜰㐲착_x0018_＀＀_x0018_＀＀_x0008_＀＀_x0001_＀＀_x0001_＀＀＀＀＀＀ᘀ䂱棩䵮_x0011_啌幖彧䅃䡓㐨㔰㐷착_x0018_＀＀_x0018_＀＀_x0008_＀＀_x0001_＀＀_x0001_＀＀＀＀＀＀ꐀ䂫ᶳ亹_x0017_啌幖煣獟污獥江浴㐨㜰㔵착_x0018_＀＀_x0018_＀＀_x0008_＀＀_x0001_＀＀_x0001_＀＀＀＀＀＀琀䃊㠃乍9啌幖䕆䕟呓䵉呁⡅匧䱁卅Ⱗ䴧䅅❎✬呎㑍剟䱏❌✬Ⱗ〴㜷ⰳⰬ✧착_x0018_＀＀_x0018_＀＀_x0008_＀＀_x0001_＀＀_x0001_＀＀ᑻ䞮禡䃐㤄䭦_x0012_啌幖彐剐䍉⡅㜳㔹⤵_x0018_＀＀_x0018_＀＀_x0008_＀＀_x0001_＀＀_x0001_＀＀ᑻ䞮﫡䀱㤅䭦_x0011_啌幖彧䅃䡓㌨ㄹ㌱착_x0018_＀＀_x0018_＀＀_x0008_＀＀_x0001_＀＀_x0001_＀＀＀＀＀＀簀䂛㤆䭦[啌幖南剟久䅔彌偏䱟䕓䕟偘ㄨ⼲〲㐰ㄬ⼲〲㐰ⰬⰬ单⥄䍀彁呒剟久彔䥍彎塅⡐㈱㈯〰ⰴ㈱㈯〰ⰴⰬ唬䑓착_x0018_＀＀_x0018_＀＀_x0008_＀＀_x0001_＀＀_x0001_＀＀＀＀＀＀　䁹㤄䭦_x0012_啌幖彐剐䍉⡅㠳㤵⤵_x0018_＀＀_x0018_＀＀_x0008_＀＀_x0001_＀＀_x0001_＀＀炤਽ꏗ䀪㤅䭦_x0014_啌幖彇呓䑟䉅⡔㜳㜳⤶_x0018_＀＀_x0018_＀＀_x0008_＀＀_x0001_＀＀_x0001_＀＀ﯨ﷒䁃㤅䭦_x0014_啌幖彇呌䑟䉅⡔㜳㌸⤳_x0018_＀＀_x0018_＀＀_x0008_＀＀_x0001_＀＀_x0001_＀＀＀＀＀＀ఀ䂘㤅䭦_x0014_啌幖彇呓䑟䉅⡔㜳㈶⤱_x0018_＀＀_x0018_＀＀_x0008_＀＀_x0001_＀＀_x0001_＀＀ొ⬂亇䁠㤅䭦_x0011_啌幖彧䅃䡓㌨㈸〶착_x0018_＀＀_x0018_＀＀_x0008_＀＀_x0001_＀＀_x0001_＀＀＀＀＀＀倀䂝㤅䭦_x0014_啌幖彇呓䑟䉅⡔㠳ㄴ⤱_x0018_＀＀_x0018_＀＀_x0008_＀＀_x0001_＀＀_x0001_＀＀＀＀＀＀䀀䁢㤅䭦_x0014_啌幖彇呌䑟䉅⡔㤳㘲⤳_x0018_＀＀_x0018_＀＀_x0008_＀＀_x0001_＀＀_x0001_＀＀＀＀＀＀렀䂗棩䵮_x0011_啌幖彧䅃䡓㐨㌰㤲착_x0018_＀＀_x0018_＀＀_x0008_＀＀_x0001_＀＀_x0001_＀＀＀＀＀＀ꨀ䂥㤅䭦_x0014_啌幖彇呓䑟䉅⡔㤳㔰⤱_x0018_＀＀_x0018_＀＀_x0008_＀＀_x0001_＀＀_x0001_＀＀＀＀＀＀䠀䂂㤄䭦_x0017_啌幖煣獟污獥江浴㌨㈸ㄹ착_x0018_＀＀_x0018_＀＀_x0008_＀＀_x0001_＀＀_x0001_＀＀＀＀＀＀䂸㤅䭦_x0011_啌幖彧䅃䡓㌨㠹㈷착_x0018_＀＀_x0018_＀＀_x0008_＀＀_x0001_＀＀_x0001_＀＀＀＀＀＀Ⰰ䂜ᶳ亹_x0014_啌幖彇呌䑟䉅⡔〴㈷⤴_x0018_＀＀_x0018_＀＀_x0008_＀＀_x0001_＀＀_x0001_＀＀＀＀＀＀吀䂩棩䵮_x0014_啌幖彇呌䑟䉅⡔〴㜵⤴_x0018_＀＀_x0018_＀＀_x0008_＀＀_x0001_＀＀_x0001_＀＀＀＀＀＀瘀䂦棩䵮_x0014_啌幖彇呓䑟䉅⡔〴ㄵ⤲_x0018_＀＀_x0018_＀＀_x0008_＀＀_x0001_＀＀_x0001_＀＀＀＀＀＀䀀䁜㤆䭦%啌幖南䥟呎剟呁彅夵噁⡇㈱㈯〰ⰳⰬ唬䑓착_x0018_＀＀_x0018_＀＀_x0008_＀＀_x0001_＀＀_x0001_＀＀琪捞⢗䀘㤅䭦_x0011_啌幖彧䅃䡓㌨㈷㔲착_x0018_＀＀_x0018_＀＀_x0008_＀＀_x0001_＀＀_x0001_＀＀틲才䖐䂗㤅䭦_x0014_啌幖彇呌䑟䉅⡔㤳ㄱ⤳_x0018_＀＀_x0018_＀＀_x0008_＀＀_x0001_＀＀_x0001_＀＀＀＀＀＀簀䂘㤄䭦_x0017_啌幖煣獟污獥江浴㌨㈷㘵착_x0018_＀＀_x0018_＀＀_x0008_＀＀_x0001_＀＀_x0001_＀＀閁譃댬䂵㤄䭦_x0017_啌幖煣獟污獥江浴㌨〸㘴착_x0018_＀＀_x0018_＀＀_x0008_＀＀_x0001_＀＀_x0001_＀＀＀＀＀＀㄀䂷㤄䭦_x0012_啌幖彐剐䍉⡅㤳㜱⤲_x0018_＀＀_x0018_＀＀_x0008_＀＀_x0001_＀＀_x0001_＀＀晧晦晦䀭㤅䭦_x0011_啌幖彧䅃䡓㌨㠸㜳착_x0018_＀＀_x0018_＀＀_x0008_＀＀_x0001_＀＀_x0001_＀＀＀＀＀＀퀀䂦㤅䭦_x0014_啌幖彇呌䑟䉅⡔㠳㘲⤰_x0018_＀＀_x0018_＀＀_x0008_＀＀_x0001_＀＀_x0001_＀＀＀＀＀＀᠀䂙棩䵮_x0014_啌幖彇呌䑟䉅⡔〴㈳⤹_x0018_＀＀_x0018_＀＀_x0008_＀＀_x0001_＀＀_x0001_＀＀＀＀＀＀툀䂩㤄䭦_x001C_啌幖䍉䵟䅅彎䅓䕌当呎⡍㤳㌹⤳_x0018_＀＀_x0018_＀＀_x0008_＀＀_x0001_＀＀_x0001_＀＀휊炣핽䃄㤅䭦_x0014_啌幖彇呓䑟䉅⡔㤳㜴⤸_x0018_＀＀_x0018_＀＀_x0008_＀＀_x0001_＀＀_x0001_＀＀＀＀＀＀耀䁄㤄䭦_x0017_啌幖煣獟污獥江浴㌨㠸㠶착_x0018_＀＀_x0018_＀＀_x0008_＀＀_x0001_＀＀_x0001_＀＀＀＀＀＀Ѐ䂿㤄䭦_x0012_啌幖彐剐䍉⡅㤳㤹⤴_x0018_＀＀_x0018_＀＀_x0008_＀＀_x0001_＀＀_x0001_＀＀凬Ẹ䀚㤅䭦_x0014_啌幖彇呓䑟䉅⡔〴ㄱ⤷_x0018_＀＀_x0018_＀＀_x0008_＀＀_x0001_＀＀_x0001_＀＀＀＀＀＀쀀䁨㤄䭦_x0017_啌幖煣獟污獥江浴㌨㤹㌰착_x0018_＀＀_x0018_＀＀_x0008_＀＀_x0001_＀＀_x0001_＀＀＀＀＀＀㄀䃅㤅䭦_x0014_啌幖彇呌䑟䉅⡔㤳㜸⤲_x0018_＀＀_x0018_＀＀_x0008_＀＀_x0001_＀＀_x0001_＀＀＀＀＀＀吀䂫Ꮲ乌_x0012_啌幖彐剐䍉⡅〴㌶⤳_x0018_＀＀_x0018_＀＀_x0008_＀＀_x0001_＀＀_x0001_＀＀尨䊏䀩㤄䭦_x0017_啌幖煣獟污獥江浴㐨㄰㜴착_x0018_＀＀_x0018_＀＀_x0008_＀＀_x0001_＀＀_x0001_＀＀＀＀＀＀䈀䃄㤅䭦_x0014_啌幖彇呓䑟䉅⡔㤳㘶⤰_x0018_＀＀_x0018_＀＀_x0008_＀＀_x0001_＀＀_x0001_＀＀＀＀＀＀쀀䁑㥗䭦%啌幖南䥟呎剟呁彅夵噁⡇㈱㈯〰ⰹⰬ唬䑓착_x0018_＀＀_x0018_＀＀_x0008_＀＀_x0001_＀＀_x0001_＀＀︞겚ད䀗㤅䭦_x0014_啌幖彇呌䑟䉅⡔㜳㈲⤵_x0018_＀＀_x0018_＀＀_x0008_＀＀_x0001_＀＀_x0001_＀＀犰酨糭䂇㤄䭦_x0012_啌幖彐剐䍉⡅㤳㤵⤹_x0018_＀＀_x0018_＀＀_x0008_＀＀_x0001_＀＀_x0001_＀＀蔟凫Ẹ䀪㤅䭦_x0014_啌幖彇呌䑟䉅⡔㠳㌸⤷_x0018_＀＀_x0018_＀＀_x0008_＀＀_x0001_＀＀_x0001_＀＀＀＀＀＀怀䂕㤄䭦_x0012_啌幖彐剐䍉⡅㤳㐸⤴_x0018_＀＀_x0018_＀＀_x0008_＀＀_x0001_＀＀_x0001_＀＀蔟凫Ẹ䀜㤅䭦_x0014_啌幖彇呓䑟䉅⡔㠳㈶⤵_x0018_＀＀_x0018_＀＀_x0008_＀＀_x0001_＀＀_x0001_＀＀＀＀＀＀ꀀ䁢㤅䭦_x0014_啌幖彇呓䑟䉅⡔㜳㜷⤲_x0018_＀＀_x0018_＀＀_x0008_＀＀_x0001_＀＀_x0001_＀＀＀＀＀＀耀䁠ᶳ亹_x001C_啌幖䍉䵟䅅彎䅓䕌当呎⡍〴㠷⤶_x0018_＀＀_x0018_＀＀_x0008_＀＀_x0001_＀＀_x0001_＀＀슏⣵绬䃐㤄䭦_x0012_啌幖彐剐䍉⡅㜳㌱⤴_x0018_＀＀_x0018_＀＀_x0008_＀＀_x0001_＀＀_x0001_＀＀炤਽䀱Ꮲ乌_x0014_啌幖彇呓䑟䉅⡔〴㘶⤳_x0018_＀＀_x0018_＀＀_x0008_＀＀_x0001_＀＀_x0001_＀＀＀＀＀＀䠀䂌㤅䭦_x0011_啌幖彧䅃䡓㌨㌷㘷착_x0018_＀＀_x0018_＀＀_x0008_＀＀_x0001_＀＀_x0001_＀＀욧茋䂠ᐈ乌_x0017_啌幖煣獟污獥江浴㐨㜰㈷착_x0018_＀＀_x0018_＀＀_x0008_＀＀_x0001_＀＀_x0001_＀＀＀＀＀＀琀䃊㤄䭦_x0012_啌幖彐剐䍉⡅㤳㠳⤶_x0018_＀＀_x0018_＀＀_x0008_＀＀_x0001_＀＀_x0001_＀＀凬Ẹ殅䀬㤅䭦_x0011_啌幖彧䅃䡓㌨㘷ㄲ착_x0018_＀＀_x0018_＀＀_x0008_＀＀_x0001_＀＀_x0001_＀＀⃅犰嵨䂜㤅䭦_x0011_啌幖彧䅃䡓㌨㐸ㄱ착_x0018_＀＀_x0018_＀＀_x0008_＀＀_x0001_＀＀_x0001_＀＀＀＀＀＀搀䂔㤄䭦_x0012_啌幖彐剐䍉⡅〴㈰⤵_x0018_＀＀_x0018_＀＀_x0008_＀＀_x0001_＀＀_x0001_＀＀晧晦晦䀟㤅䭦_x0011_啌幖彧䅃䡓㌨〹ㄵ착_x0018_＀＀_x0018_＀＀_x0008_＀＀_x0001_＀＀_x0001_＀＀＀＀＀＀切䂡㤅䭦_x0014_啌幖彇呓䑟䉅⡔㤳〲⤲_x0018_＀＀_x0018_＀＀_x0008_＀＀_x0001_＀＀_x0001_＀＀＀＀＀＀쀀䁞㤄䭦_x0017_啌幖煣獟污獥江浴㌨㠷㈰착_x0018_＀＀_x0018_＀＀_x0008_＀＀_x0001_＀＀_x0001_＀＀긕ᦺ䂶㤄䭦_x0017_啌幖煣獟污獥江浴㌨㘷㈵착_x0018_＀＀_x0018_＀＀_x0008_＀＀_x0001_＀＀_x0001_＀＀褷恁淅䂵㤄䭦_x0017_啌幖煣獟污獥江浴㌨㐸㈴착_x0018_＀＀_x0018_＀＀_x0008_＀＀_x0001_＀＀_x0001_＀＀＀＀＀＀㔀䂺㤄䭦_x0017_啌幖煣獟污獥江浴㌨〹㈸착_x0018_＀＀_x0018_＀＀_x0008_＀＀_x0001_＀＀_x0001_＀＀＀＀＀＀뼀䃁ᶳ亹_x0012_啌幖彐剐䍉⡅〴㐸⤷_x0018_＀＀_x0018_＀＀_x0008_＀＀_x0001_＀＀_x0001_＀＀馚香ᦙ䀡棩䵮_x0011_啌幖彧䅃䡓㐨㔰㈱착_x0018_＀＀_x0018_＀＀_x0008_＀＀_x0001_＀＀_x0001_＀＀＀＀＀＀昀䂪꾕䯭_x0014_啌幖彇呓䑟䉅⡔〴㘲⤸_x0018_＀＀_x0018_＀＀_x0008_＀＀_x0001_＀＀_x0001_＀＀＀＀＀＀䀀䁥꾕䯭_x0017_啌幖煣獟污獥江浴㐨㈰㠹착_x0018_＀＀_x0018_＀＀_x0008_＀＀_x0001_＀＀_x0001_＀＀＀＀＀＀뾀䃄棩䵮_x0017_啌幖煣獟污獥江浴㐨㔰㌴착_x0018_＀＀_x0018_＀＀_x0008_＀＀_x0001_＀＀_x0001_＀＀＀＀＀＀ꐀ䃇㤅䭦_x0014_啌幖彇呓䑟䉅⡔㠳㄰⤷_x0018_＀＀_x0018_＀＀_x0008_＀＀_x0001_＀＀_x0001_＀＀＀＀＀＀쀀䁩㤄䭦_x0017_啌幖煣獟污獥江浴㌨㐷㜰착_x0018_＀＀_x0018_＀＀_x0008_＀＀_x0001_＀＀_x0001_＀＀쳍쳌ߌ䂵㤄䭦_x0012_啌幖彐剐䍉⡅㠳㌵⤳_x0018_＀＀_x0018_＀＀_x0008_＀＀_x0001_＀＀_x0001_＀＀轜_xDC28_䀫㤅䭦_x0014_啌幖彇呌䑟䉅⡔㜳㜳⤶_x0018_＀＀_x0018_＀＀_x0008_＀＀_x0001_＀＀_x0001_＀＀_xDB23_绹韪䂚㤄䭦_x0012_啌幖彐剐䍉⡅㠳㠳⤳_x0018_＀＀_x0018_＀＀_x0008_＀＀_x0001_＀＀_x0001_＀＀⣶轜䀬㤅䭦_x0014_啌幖彇呓䑟䉅⡔㜳㘱⤴_x0018_＀＀_x0018_＀＀_x0008_＀＀_x0001_＀＀_x0001_＀＀㥘좴ꉶ䁾㤅䭦_x0014_啌幖彇呌䑟䉅⡔㜳㈶⤱_x0018_＀＀_x0018_＀＀_x0008_＀＀_x0001_＀＀_x0001_＀＀좴빶䌟䂘㤅䭦_x0014_啌幖彇呌䑟䉅⡔㠳ㄴ⤱_x0018_＀＀_x0018_＀＀_x0008_＀＀_x0001_＀＀_x0001_＀＀＀＀＀＀退䂚㤄䭦_x0012_啌幖彐剐䍉⡅㜳㠶⤰_x0018_＀＀_x0018_＀＀_x0008_＀＀_x0001_＀＀_x0001_＀＀炤਽⏗䀨㤅䭦_x0014_啌幖彇呌䑟䉅⡔㤳㔰⤱_x0018_＀＀_x0018_＀＀_x0008_＀＀_x0001_＀＀_x0001_＀＀＀＀＀＀䂓㤅䭦_x0011_啌幖彧䅃䡓㌨㐹㠷착_x0018_＀＀_x0018_＀＀_x0008_＀＀_x0001_＀＀_x0001_＀＀＀＀＀＀똀䂥㤅䭦_x0014_啌幖彇呓䑟䉅⡔㤳㈶⤹_x0018_＀＀_x0018_＀＀_x0008_＀＀_x0001_＀＀_x0001_＀＀＀＀＀＀쀀䁑㤅䭦_x0011_啌幖彧䅃䡓㐨㄰㜱착_x0018_＀＀_x0018_＀＀_x0008_＀＀_x0001_＀＀_x0001_＀＀＀＀＀＀鰀䂡㤅䭦_x001C_啌幖䍉䵟䅅彎䅓䕌当呎⡍〴㜱⤸_x0018_＀＀_x0018_＀＀_x0008_＀＀_x0001_＀＀_x0001_＀＀䦺Ȍ移䃅㤅䭦_x0014_啌幖彇呓䑟䉅⡔㜳㠹⤶_x0018_＀＀_x0018_＀＀_x0008_＀＀_x0001_＀＀_x0001_＀＀＀＀＀＀쀀䁩㤅䭦_x0014_啌幖彇呓䑟䉅⡔㠳㜷⤶_x0018_＀＀_x0018_＀＀_x0008_＀＀_x0001_＀＀_x0001_＀＀＀＀＀＀저䂂㤅䭦_x0011_啌幖彧䅃䡓㌨㘹〶착_x0018_＀＀_x0018_＀＀_x0008_＀＀_x0001_＀＀_x0001_＀＀＀＀＀＀츀䂶棩䵮_x0014_啌幖彇呌䑟䉅⡔〴ㄵ⤲_x0018_＀＀_x0018_＀＀_x0008_＀＀_x0001_＀＀_x0001_＀＀＀＀＀＀Ⰰ䂪㤄䭦_x0012_啌幖彐剐䍉⡅㠳㌱⤸_x0018_＀＀_x0018_＀＀_x0008_＀＀_x0001_＀＀_x0001_＀＀롑Ԟ䀯㤄䭦_x0017_啌幖煣獟污獥江浴㌨㘹ㄹ착_x0018_＀＀_x0018_＀＀_x0008_＀＀_x0001_＀＀_x0001_＀＀＀＀＀＀瞀䃄㤅䭦_x0011_啌幖彧䅃䡓㌨㘸㔲착_x0018_＀＀_x0018_＀＀_x0008_＀＀_x0001_＀＀_x0001_＀＀＀＀＀＀樀䂤㤅䭦_x0014_啌幖彇呓䑟䉅⡔㤳ㄴ⤶_x0018_＀＀_x0018_＀＀_x0008_＀＀_x0001_＀＀_x0001_＀＀＀＀＀＀＀＀䀸㤅䭦_x0014_啌幖彇呌䑟䉅⡔㤳㜴⤸_x0018_＀＀_x0018_＀＀_x0008_＀＀_x0001_＀＀_x0001_＀＀＀＀＀＀Ѐ䂠㤅䭦_x0011_啌幖彧䅃䡓㌨㜷㈷착_x0018_＀＀_x0018_＀＀_x0008_＀＀_x0001_＀＀_x0001_＀＀＀＀＀＀萀䂝㤅䭦_x0014_啌幖彇呌䑟䉅⡔〴ㄱ⤷_x0018_＀＀_x0018_＀＀_x0008_＀＀_x0001_＀＀_x0001_＀＀＀＀＀＀搀䂪㤄䭦_x0017_啌幖煣獟污獥江浴㌨㘸㘵착_x0018_＀＀_x0018_＀＀_x0008_＀＀_x0001_＀＀_x0001_＀＀＀＀＀＀匀䂼㤄䭦_x0012_啌幖彐剐䍉⡅㤳㠷⤲_x0018_＀＀_x0018_＀＀_x0008_＀＀_x0001_＀＀_x0001_＀＀쳍쳌䳌䀡棩䵮_x0012_啌幖彐剐䍉⡅〴㈴⤱_x0018_＀＀_x0018_＀＀_x0008_＀＀_x0001_＀＀_x0001_＀＀馚香ᦙ䀦㤅䭦_x0014_啌幖彇呌䑟䉅⡔㤳㘶⤰_x0018_＀＀_x0018_＀＀_x0008_＀＀_x0001_＀＀_x0001_＀＀＀＀＀＀㰀䂤㤅䭦+啌幖南䍟問呎奒也䵁⡅⤰䍀彁佃䥟䍎剏彐呃奒〨착_x001E_＀＀_x0018_＀＀_x000E_＀＀_x0001_＀＀_x0008_＀＀湕瑩摥匠慴整sᏢ乌_x0011_啌幖彧䅃䡓㐨㘰㌶착_x0018_＀＀_x0018_＀＀_x0008_＀＀_x0001_＀＀_x0001_＀＀＀＀＀＀焀䂱㤄䭦_x0012_啌幖彐剐䍉⡅㜳㜰⤲_x0018_＀＀_x0018_＀＀_x0008_＀＀_x0001_＀＀_x0001_＀＀ਾꏗ絰䀲㤆䭦_x001B_啌幖坍呟塁剟呁⡅低ⱗⰬ刢≐착_x0018_＀＀_x0018_＀＀_x0008_＀＀_x0001_＀＀_x0001_＀＀愔폃턫䁃㠃乍_x0017_啌幖煣獟污獥江浴㐨㜰㌷착_x0018_＀＀_x0018_＀＀_x0008_＀＀_x0001_＀＀_x0001_＀＀＀＀＀＀琀䃊Ꮲ乌_x0017_啌幖煣獟污獥江浴㐨㘰㐹착_x0018_＀＀_x0018_＀＀_x0008_＀＀_x0001_＀＀_x0001_＀＀＀＀＀＀邀䃈㤅䭦_x0014_啌幖彇呓䑟䉅⡔㠳㘱⤸_x0018_＀＀_x0018_＀＀_x0008_＀＀_x0001_＀＀_x0001_＀＀＀＀＀＀퀀䁳㤅䭦_x0014_啌幖彇呌䑟䉅⡔㠳㈶⤵_x0018_＀＀_x0018_＀＀_x0008_＀＀_x0001_＀＀_x0001_＀＀＀＀＀＀᐀䂝㤅䭦_x0011_啌幖彧䅃䡓㌨㈹㈰착_x0018_＀＀_x0018_＀＀_x0008_＀＀_x0001_＀＀_x0001_＀＀＀＀＀＀㐀䂞㤄䭦_x0012_啌幖彐剐䍉⡅㜳㤸⤴_x0018_＀＀_x0018_＀＀_x0008_＀＀_x0001_＀＀_x0001_＀＀㌳㌳댳䀱㤅䭦_x0014_啌幖彇呌䑟䉅⡔㜳㜷⤲_x0018_＀＀_x0018_＀＀_x0008_＀＀_x0001_＀＀_x0001_＀＀＀＀＀＀Ⰰ䂘㤄䭦_x0017_啌幖煣獟污獥江浴㌨㈹㌳착_x0018_＀＀_x0018_＀＀_x0008_＀＀_x0001_＀＀_x0001_＀＀＀＀＀＀ᢀ䃂㤅䭦_x0014_啌幖彇呓䑟䉅⡔㜳㘵⤰_x0018_＀＀_x0018_＀＀_x0008_＀＀_x0001_＀＀_x0001_＀＀㭤俟㞍䁉꾕䯭_x0011_啌幖彧䅃䡓㐨㈰㠶착_x0018_＀＀_x0018_＀＀_x0008_＀＀_x0001_＀＀_x0001_＀＀＀＀＀＀ꨀ䂥㤄䭦_x0017_啌幖煣獟污獥江浴㌨㔷〹착_x0018_＀＀_x0018_＀＀_x0008_＀＀_x0001_＀＀_x0001_＀＀_xDD2F_ؤ쫡䂴Ꮲ乌_x001C_啌幖䍉䵟䅅彎䅓䕌当呎⡍〴㈷⤴_x0018_＀＀_x0018_＀＀_x0008_＀＀_x0001_＀＀_x0001_＀＀竡긔簇䃐棩䵮_x001C_啌幖䍉䵟䅅彎䅓䕌当呎⡍〴㜵⤴_x0018_＀＀_x0018_＀＀_x0008_＀＀_x0001_＀＀_x0001_＀＀롒蔞틫䃉Ꮲ乌_x0014_啌幖彇呌䑟䉅⡔〴㘶⤳_x0018_＀＀_x0018_＀＀_x0008_＀＀_x0001_＀＀_x0001_＀＀＀＀＀＀䂢棩䵮_x0014_啌幖彇呓䑟䉅⡔〴㔴⤱_x0018_＀＀_x0018_＀＀_x0008_＀＀_x0001_＀＀_x0001_＀＀＀＀＀＀䀀䁜㤅䭦_x0011_啌幖彧䅃䡓㌨〸㜱착_x0018_＀＀_x0018_＀＀_x0008_＀＀_x0001_＀＀_x0001_＀＀＀＀＀＀␀䂝㤄䭦_x0012_啌幖彐剐䍉⡅㜳㤴⤹_x0018_＀＀_x0018_＀＀_x0008_＀＀_x0001_＀＀_x0001_＀＀凬Ẹ殅䀬㤅䭦_x0011_啌幖彧䅃䡓㌨ㄷ㐶착_x0018_＀＀_x0018_＀＀_x0008_＀＀_x0001_＀＀_x0001_＀＀틲才䖐䂗㤅䭦_x0014_啌幖彇呓䑟䉅⡔㜳ㄳ⤵_x0018_＀＀_x0018_＀＀_x0008_＀＀_x0001_＀＀_x0001_＀＀䯇褷́䂇㤅䭦_x0014_啌幖彇呌䑟䉅⡔㤳〲⤲_x0018_＀＀_x0018_＀＀_x0008_＀＀_x0001_＀＀_x0001_＀＀＀＀＀＀倀䂘㤅䭦_x0011_啌幖彧䅃䡓㌨㘹㤲착_x0018_＀＀_x0018_＀＀_x0008_＀＀_x0001_＀＀_x0001_＀＀＀＀＀＀츀䂶㤆䭦%啌幖南䥟呎剟呁彅夵噁⡇㈱㈯〰ⰴⰬ唬䑓착_x0018_＀＀_x0018_＀＀_x0008_＀＀_x0001_＀＀_x0001_＀＀נּ⊑ల䀗棩䵮_x001C_啌幖䍉䵟䅅彎䅓䕌当呎⡍〴㈳⤹_x0018_＀＀_x0018_＀＀_x0008_＀＀_x0001_＀＀_x0001_＀＀炤਽橷䃇㤄䭦_x0017_啌幖煣獟污獥江浴㌨ㄷ㔹착_x0018_＀＀_x0018_＀＀_x0008_＀＀_x0001_＀＀_x0001_＀＀俟鞍飮䂶㤅䭦_x0011_啌幖彧䅃䡓㌨㤷㘸착_x0018_＀＀_x0018_＀＀_x0008_＀＀_x0001_＀＀_x0001_＀＀＀＀＀＀␀䂝㤅䭦_x0011_啌幖彧䅃䡓㌨㜸㘷착_x0018_＀＀_x0018_＀＀_x0008_＀＀_x0001_＀＀_x0001_＀＀＀＀＀＀였䂣㤄䭦_x0017_啌幖煣獟污獥江浴㌨㈸〳착_x0018_＀＀_x0018_＀＀_x0008_＀＀_x0001_＀＀_x0001_＀＀＀＀＀＀缀䂸꾕䯭_x0014_啌幖彇呌䑟䉅⡔〴㘲⤸_x0018_＀＀_x0018_＀＀_x0008_＀＀_x0001_＀＀_x0001_＀＀＀＀＀＀툀䂩㤄䭦_x001C_啌幖䍉䵟䅅彎䅓䕌当呎⡍㤳㜸⤲_x0018_＀＀_x0018_＀＀_x0008_＀＀_x0001_＀＀_x0001_＀＀凬Ẹɥ䃅㤅䭦_x0014_啌幖彇呓䑟䉅⡔〴㔰⤶_x0018_＀＀_x0018_＀＀_x0008_＀＀_x0001_＀＀_x0001_＀＀＀＀＀＀䀀䁚㤆䭦[啌幖南剟久䅔彌偏䱟䕓䕟偘ㄨ⼲〲㌰ㄬ⼲〲㌰ⰬⰬ单⥄䍀彁呒剟久彔䥍彎塅⡐㈱㈯〰ⰳ㈱㈯〰ⰳⰬ唬䑓착_x0018_＀＀_x0018_＀＀_x0008_＀＀_x0001_＀＀_x0001_＀＀＀＀＀＀ 䁸㤄䭦_x0017_啌幖煣獟污獥江浴㐨〰㘸착_x0018_＀＀_x0018_＀＀_x0008_＀＀_x0001_＀＀_x0001_＀＀＀＀＀＀䈀䃄㤅䭦_x0014_啌幖彇呌䑟䉅⡔㠳㄰⤷_x0018_＀＀_x0018_＀＀_x0008_＀＀_x0001_＀＀_x0001_＀＀＀＀＀＀퀀䂔㤄䭦_x0012_啌幖彐剐䍉⡅㠳㈳⤱_x0018_＀＀_x0018_＀＀_x0008_＀＀_x0001_＀＀_x0001_＀＀⣶轜痂䀯㤅䭦_x0014_啌幖彇呌䑟䉅⡔㜳㘱⤴_x0018_＀＀_x0018_＀＀_x0008_＀＀_x0001_＀＀_x0001_＀＀犰酨糭䂇㤅䭦_x0011_啌幖彧䅃䡓㌨㐹㘱착_x0018_＀＀_x0018_＀＀_x0008_＀＀_x0001_＀＀_x0001_＀＀＀＀＀＀吀䂘㤅䭦_x0014_啌幖彇呌䑟䉅⡔㤳㈶⤹_x0018_＀＀_x0018_＀＀_x0008_＀＀_x0001_＀＀_x0001_＀＀＀＀＀＀㰀䂤㤄䭦_x0012_啌幖彐剐䍉⡅㠳㤸⤸_x0018_＀＀_x0018_＀＀_x0008_＀＀_x0001_＀＀_x0001_＀＀蔟凫庸䀰㤄䭦_x0017_啌幖煣獟污獥江浴㌨㠸㜰착_x0018_＀＀_x0018_＀＀_x0008_＀＀_x0001_＀＀_x0001_＀＀＀＀＀＀Ѐ䂿㤄䭦_x0012_啌幖彐剐䍉⡅㤳㌹⤳_x0018_＀＀_x0018_＀＀_x0008_＀＀_x0001_＀＀_x0001_＀＀凬Ẹ䀛㤅䭦_x0014_啌幖彇呌䑟䉅⡔㜳㠹⤶_x0018_＀＀_x0018_＀＀_x0008_＀＀_x0001_＀＀_x0001_＀＀＀＀＀＀퀀䂔㤅䭦_x0014_啌幖彇呌䑟䉅⡔㠳㜷⤶_x0018_＀＀_x0018_＀＀_x0008_＀＀_x0001_＀＀_x0001_＀＀＀＀＀＀저䂕㤄䭦_x0017_啌幖煣獟污獥江浴㌨㐹㜴착_x0018_＀＀_x0018_＀＀_x0008_＀＀_x0001_＀＀_x0001_＀＀＀＀＀＀䊀䃃㤅䭦_x0014_啌幖彇呓䑟䉅⡔㠳㘵⤴_x0018_＀＀_x0018_＀＀_x0008_＀＀_x0001_＀＀_x0001_＀＀＀＀＀＀ 䁢㤄䭦_x0012_啌幖彐剐䍉⡅㠳㐷⤸_x0018_＀＀_x0018_＀＀_x0008_＀＀_x0001_＀＀_x0001_＀＀⣶轜痂䀰㤄䭦_x0012_啌幖彐剐䍉⡅㤳㌵⤸_x0018_＀＀_x0018_＀＀_x0008_＀＀_x0001_＀＀_x0001_＀＀쳍쳌쳌䀨㤅䭦_x0014_啌幖彇呓䑟䉅⡔㜳㈵⤹_x0018_＀＀_x0018_＀＀_x0008_＀＀_x0001_＀＀_x0001_＀＀㭤俟㞍䁉㤅䭦_x0011_啌幖彧䅃䡓㌨ㄸ㠶착_x0018_＀＀_x0018_＀＀_x0008_＀＀_x0001_＀＀_x0001_＀＀＀＀＀＀ꀀ䂛㤅䭦_x0014_啌幖彇呌䑟䉅⡔㤳ㄴ⤶_x0018_＀＀_x0018_＀＀_x0008_＀＀_x0001_＀＀_x0001_＀＀＀＀＀＀䰀䂘㤄䭦_x0017_啌幖煣獟污獥江浴㌨ㄸ㤹착_x0018_＀＀_x0018_＀＀_x0008_＀＀_x0001_＀＀_x0001_＀＀＀＀＀＀缀䂸㤅䭦_x0011_啌幖彧䅃䡓㌨㔷〶착_x0018_＀＀_x0018_＀＀_x0008_＀＀_x0001_＀＀_x0001_＀＀좴빶怟䂞㤅䭦_x0014_啌幖彇呓䑟䉅⡔㜳ㄷ⤱_x0018_＀＀_x0018_＀＀_x0008_＀＀_x0001_＀＀_x0001_＀＀＀＀＀＀耀䁠㤅䭦_x0014_啌幖彇呓䑟䉅⡔㤳㐱⤱_x0018_＀＀_x0018_＀＀_x0008_＀＀_x0001_＀＀_x0001_＀＀＀＀＀＀耀䁞㤄䭦_x0017_啌幖煣獟污獥江浴㌨㜷ㄴ착_x0018_＀＀_x0018_＀＀_x0008_＀＀_x0001_＀＀_x0001_＀＀ొ⬂쮇䂵㤆䭦＀Ｏ啌幖南䱟䅅䕓䍟䵏䥍彔剙⠱㈱㈯〰ⰶ㈱㈯〰ⰶⰬ唬䑓착_x0018_＀＀_x0018_＀＀_x0008_＀＀_x0001_＀＀_x0001_＀＀＀＀＀＀耀䁶ᶳ亹_x0012_啌幖彐剐䍉⡅〴㠷⤶_x0018_＀＀_x0018_＀＀_x0008_＀＀_x0001_＀＀_x0001_＀＀ਾꏗ㵰䀡棩䵮_x0011_啌幖彧䅃䡓㐨㐰ㄵ착_x0018_＀＀_x0018_＀＀_x0008_＀＀_x0001_＀＀_x0001_＀＀＀＀＀＀昀䂪㤆䭦＀Ｏ啌幖南䱟䅅䕓䍟䵏䥍彔剙⠱㈱㈯〰ⰷ㈱㈯〰ⰷⰬ唬䑓착_x0018_＀＀_x0018_＀＀_x0008_＀＀_x0001_＀＀_x0001_＀＀＀＀＀＀＀＀䁹Ꮲ乌_x0014_啌幖彇呓䑟䉅⡔〴〶⤲_x0018_＀＀_x0018_＀＀_x0008_＀＀_x0001_＀＀_x0001_＀＀＀＀＀＀退䁿㤅䭦_x0011_啌幖彧䅃䡓㌨㌷㔱착_x0018_＀＀_x0018_＀＀_x0008_＀＀_x0001_＀＀_x0001_＀＀퓽쾸䂡㤆䭦＀Ｏ啌幖南䱟䅅䕓䍟䵏䥍彔剙⠱㈱㈯〰ⰸ㈱㈯〰ⰸⰬ唬䑓착_x0018_＀＀_x0018_＀＀_x0008_＀＀_x0001_＀＀_x0001_＀＀＀＀＀＀耀䁷棩䵮_x0017_啌幖煣獟污獥江浴㐨㐰㈸착_x0018_＀＀_x0018_＀＀_x0008_＀＀_x0001_＀＀_x0001_＀＀＀＀＀＀_xDB00_䃆㤄䭦_x0012_啌幖彐剐䍉⡅㤳㈳⤵_x0018_＀＀_x0018_＀＀_x0008_＀＀_x0001_＀＀_x0001_＀＀Ẹ㡑䀮㤅䭦_x0014_啌幖彇呌䑟䉅⡔㠳㘱⤸_x0018_＀＀_x0018_＀＀_x0008_＀＀_x0001_＀＀_x0001_＀＀＀＀＀＀尀䂓㥘䭦＀Ｏ啌幖南䱟䅅䕓䍟䵏䥍彔剙⠱㈱㈯〰ⰹ㈱㈯〰ⰹⰬ唬䑓착_x0018_＀＀_x0018_＀＀_x0008_＀＀_x0001_＀＀_x0001_＀＀豀碵꼝쐕㤄䭦_x0017_啌幖煣獟污獥江浴㌨㌷㘴착_x0018_＀＀_x0018_＀＀_x0008_＀＀_x0001_＀＀_x0001_＀＀쳍쳌ߌ䂵㤄䭦_x0012_啌幖彐剐䍉⡅㠳㜴⤲_x0018_＀＀_x0018_＀＀_x0008_＀＀_x0001_＀＀_x0001_＀＀尨슏䀭㤅䭦_x0014_啌幖彇呌䑟䉅⡔㜳㘵⤰_x0018_＀＀_x0018_＀＀_x0008_＀＀_x0001_＀＀_x0001_＀＀ꗣ쒛䂙㤄䭦_x0017_啌幖煣獟污獥江浴㌨〹ㄲ착_x0018_＀＀_x0018_＀＀_x0008_＀＀_x0001_＀＀_x0001_＀＀＀＀＀＀⼀䃁㤅䭦_x0014_啌幖彇呓䑟䉅⡔㤳㘵⤸_x0018_＀＀_x0018_＀＀_x0008_＀＀_x0001_＀＀_x0001_＀＀＀＀＀＀＀＀䁄㤅䭦_x0014_啌幖彇呓䑟䉅⡔㤳ㄸ⤳_x0018_＀＀_x0018_＀＀_x0008_＀＀_x0001_＀＀_x0001_＀＀＀＀＀＀怀䁤㤅䭦_x0011_啌幖彧䅃䡓㐨〰㘵착_x0018_＀＀_x0018_＀＀_x0008_＀＀_x0001_＀＀_x0001_＀＀＀＀＀＀Ⰰ䂡棩䵮_x001C_啌幖䍉䵟䅅彎䅓䕌当呎⡍〴ㄵ⤲_x0018_＀＀_x0018_＀＀_x0008_＀＀_x0001_＀＀_x0001_＀＀Ẹ帑䃉꾕䯭_x0017_啌幖煣獟污獥江浴㐨㈰㜳착_x0018_＀＀_x0018_＀＀_x0008_＀＀_x0001_＀＀_x0001_＀＀＀＀＀＀㜀䃄㤅䭦_x0014_啌幖彇呓䑟䉅⡔㠳㘹⤰_x0018_＀＀_x0018_＀＀_x0008_＀＀_x0001_＀＀_x0001_＀＀＀＀＀＀　䁾棩䵮_x0014_啌幖彇呌䑟䉅⡔〴㔴⤱_x0018_＀＀_x0018_＀＀_x0008_＀＀_x0001_＀＀_x0001_＀＀＀＀＀＀Ⰰ䂪㤄䭦_x0012_啌幖彐剐䍉⡅㜳㌴⤷_x0018_＀＀_x0018_＀＀_x0008_＀＀_x0001_＀＀_x0001_＀＀尩슏⣵䀰㤄䭦_x0017_啌幖煣獟污獥江浴㌨㤸〹착_x0018_＀＀_x0018_＀＀_x0008_＀＀_x0001_＀＀_x0001_＀＀＀＀＀＀⼀䃁㤄䭦_x0012_啌幖彐剐䍉⡅㜳㠲⤷_x0018_＀＀_x0018_＀＀_x0008_＀＀_x0001_＀＀_x0001_＀＀㵱휊䀲㤄䭦_x0012_啌幖彐剐䍉⡅㠳㜰⤷_x0018_＀＀_x0018_＀＀_x0008_＀＀_x0001_＀＀_x0001_＀＀凬Ẹ殅䀬㤅䭦_x0014_啌幖彇呌䑟䉅⡔㜳ㄳ⤵_x0018_＀＀_x0018_＀＀_x0008_＀＀_x0001_＀＀_x0001_＀＀茓쫀벡䂔㤅䭦_x0014_啌幖彇呓䑟䉅⡔㜳〱⤳_x0018_＀＀_x0018_＀＀_x0008_＀＀_x0001_＀＀_x0001_＀＀틲才ꀐ䁛㤅䭦_x001C_啌幖䍉䵟䅅彎䅓䕌当呎⡍〴ㄱ⤷_x0018_＀＀_x0018_＀＀_x0008_＀＀_x0001_＀＀_x0001_＀＀竡긔﯇䃄㤅䭦_x0014_啌幖彇呓䑟䉅⡔㜳㈹⤵_x0018_＀＀_x0018_＀＀_x0008_＀＀_x0001_＀＀_x0001_＀＀＀＀＀＀怀䁠㤅䭦_x0011_啌幖彧䅃䡓㌨㔸㐶착_x0018_＀＀_x0018_＀＀_x0008_＀＀_x0001_＀＀_x0001_＀＀＀＀＀＀먀䂡▶䲍_x0012_啌幖彐剐䍉⡅〴㜱⤸_x0018_＀＀_x0018_＀＀_x0008_＀＀_x0001_＀＀_x0001_＀＀轜_xDC28_䀦㤅䭦_x0014_啌幖彇呓䑟䉅⡔㤳㔳⤵_x0018_＀＀_x0018_＀＀_x0008_＀＀_x0001_＀＀_x0001_＀＀＀＀＀＀＀＀䀸㤆䭦＀Ｏ啌幖南䱟䅅䕓䍟䵏䥍彔剙⠱㈱㈯〰ⰰ㈱㈯〰ⰰⰬ唬䑓착_x0018_＀＀_x0018_＀＀_x0008_＀＀_x0001_＀＀_x0001_＀＀⼛ⓝ⤆䁱㤄䭦_x0017_啌幖煣獟污獥江浴㌨㤷㔵착_x0018_＀＀_x0018_＀＀_x0008_＀＀_x0001_＀＀_x0001_＀＀沋ﯧ벉䂶㤅䭦_x0014_啌幖彇呌䑟䉅⡔〴㔰⤶_x0018_＀＀_x0018_＀＀_x0008_＀＀_x0001_＀＀_x0001_＀＀＀＀＀＀鰀䂩㤄䭦_x0017_啌幖煣獟污獥江浴㌨㔸㔹착_x0018_＀＀_x0018_＀＀_x0008_＀＀_x0001_＀＀_x0001_＀＀＀＀＀＀ᨀ䂻㤆䭦＀Ｏ啌幖南䱟䅅䕓䍟䵏䥍彔剙⠱㈱㈯〰ⰱ㈱㈯〰ⰱⰬ唬䑓착_x0018_＀＀_x0018_＀＀_x0008_＀＀_x0001_＀＀_x0001_＀＀帵䦺☌䁲㤆䭦＀Ｏ啌幖南䱟䅅䕓䍟䵏䥍彔剙⠱㈱㈯〰ⰲ㈱㈯〰ⰲⰬ唬䑓착_x0018_＀＀_x0018_＀＀_x0008_＀＀_x0001_＀＀_x0001_＀＀⛩࠱邬䁱ᶳ亹_x0014_啌幖彇呓䑟䉅⡔〴ㄸ⤶_x0018_＀＀_x0018_＀＀_x0008_＀＀_x0001_＀＀_x0001_＀＀＀＀＀＀퀀䂎㤅䭦_x0011_啌幖彧䅃䡓㌨㔷㤲착_x0018_＀＀_x0018_＀＀_x0008_＀＀_x0001_＀＀_x0001_＀＀좴빶怟䂞㤆䭦＀Ｏ啌幖南䱟䅅䕓䍟䵏䥍彔剙⠱㈱㈯〰ⰳ㈱㈯〰ⰳⰬ唬䑓착_x0018_＀＀_x0018_＀＀_x0008_＀＀_x0001_＀＀_x0001_＀＀＀＀＀＀뀀䁱㤆䭦＀Ｏ啌幖南䱟䅅䕓䍟䵏䥍彔剙⠱㈱㈯〰ⰴ㈱㈯〰ⰴⰬ唬䑓착_x0018_＀＀_x0018_＀＀_x0008_＀＀_x0001_＀＀_x0001_＀＀＀＀＀＀瀀䁵㤄䭦_x0012_啌幖彐剐䍉⡅㠳㠶⤶_x0018_＀＀_x0018_＀＀_x0008_＀＀_x0001_＀＀_x0001_＀＀＀＀＀＀耀䀰㤅䭦_x0011_啌幖彧䅃䡓㌨㜷ㄱ착_x0018_＀＀_x0018_＀＀_x0008_＀＀_x0001_＀＀_x0001_＀＀＀＀＀＀萀䂝㤆䭦＀Ｏ啌幖南䱟䅅䕓䍟䵏䥍彔夵⡒㈱㈯〰ⰰ㈱㈯〰ⰰⰬ唬䑓착_x0018_＀＀_x0018_＀＀_x0008_＀＀_x0001_＀＀_x0001_＀＀⛩࠱霬䂚㤄䭦_x0012_啌幖彐剐䍉⡅㤳㈷⤱_x0018_＀＀_x0018_＀＀_x0008_＀＀_x0001_＀＀_x0001_＀＀롑Ԟ䀭㤅䭦_x0014_啌幖彇呌䑟䉅⡔㠳㘵⤴_x0018_＀＀_x0018_＀＀_x0008_＀＀_x0001_＀＀_x0001_＀＀＀＀＀＀ᰀ䂝㤅䭦_x0011_啌幖彧䅃䡓㌨ㄹㄴ착_x0018_＀＀_x0018_＀＀_x0008_＀＀_x0001_＀＀_x0001_＀＀＀＀＀＀簀䂛㤆䭦＀Ｏ啌幖南䱟䅅䕓䍟䵏䥍彔剙⠱㈱㈯〰ⰵ㈱㈯〰ⰵⰬ唬䑓착_x0018_＀＀_x0018_＀＀_x0008_＀＀_x0001_＀＀_x0001_＀＀＀＀＀＀쀀䁴㤅䭦_x0014_啌幖彇呓䑟䉅⡔㠳㔳⤲_x0018_＀＀_x0018_＀＀_x0008_＀＀_x0001_＀＀_x0001_＀＀＀＀＀＀䀀䁢㤆䭦＀Ｏ啌幖南䱟䅅䕓䍟䵏䥍彔夵⡒㈱㈯〰ⰱ㈱㈯〰ⰱⰬ唬䑓착_x0018_＀＀_x0018_＀＀_x0008_＀＀_x0001_＀＀_x0001_＀＀率橾혼䂘㤆䭦[啌幖南剟久䅔彌偏䱟䕓䕟偘ㄨ⼲〲㈰ㄬ⼲〲㈰ⰬⰬ单⥄䍀彁呒剟久彔䥍彎塅⡐㈱㈯〰ⰲ㈱㈯〰ⰲⰬ唬䑓착_x0018_＀＀_x0018_＀＀_x0008_＀＀_x0001_＀＀_x0001_＀＀晦晦㙦䁷㤄䭦_x0017_啌幖煣獟污獥江浴㌨ㄹ㈷착_x0018_＀＀_x0018_＀＀_x0008_＀＀_x0001_＀＀_x0001_＀＀＀＀＀＀ᢀ䃂㤆䭦＀Ｏ啌幖南䱟䅅䕓䍟䵏䥍彔夵⡒㈱㈯〰ⰲ㈱㈯〰ⰲⰬ唬䑓착_x0018_＀＀_x0018_＀＀_x0008_＀＀_x0001_＀＀_x0001_＀＀䷓ၢ쿘䂖㤅䭦_x0014_啌幖彇呓䑟䉅⡔㤳㘹⤴_x0018_＀＀_x0018_＀＀_x0008_＀＀_x0001_＀＀_x0001_＀＀＀＀＀＀怀䁤Ꮲ乌_x0011_啌幖彧䅃䡓㐨㘰㈰착_x0018_＀＀_x0018_＀＀_x0008_＀＀_x0001_＀＀_x0001_＀＀＀＀＀＀ꐀ䂫㤆䭦＀Ｏ啌幖南䱟䅅䕓䍟䵏䥍彔夵⡒㈱㈯〰ⰳ㈱㈯〰ⰳⰬ唬䑓착_x0018_＀＀_x0018_＀＀_x0008_＀＀_x0001_＀＀_x0001_＀＀＀＀＀＀쀀䂔Ꮲ乌_x001C_啌幖䍉䵟䅅彎䅓䕌当呎⡍〴㘶⤳_x0018_＀＀_x0018_＀＀_x0008_＀＀_x0001_＀＀_x0001_＀＀쫁䖡仆䃋㤄䭦_x0017_啌幖煣獟污獥江浴㌨㤹㐹착_x0018_＀＀_x0018_＀＀_x0008_＀＀_x0001_＀＀_x0001_＀＀＀＀＀＀눀䃄㤅䭦_x0014_啌幖彇呌䑟䉅⡔㜳㈵⤹_x0018_＀＀_x0018_＀＀_x0008_＀＀_x0001_＀＀_x0001_＀＀ꗣ쒛䂙㤆䭦＀Ｏ啌幖南䱟䅅䕓䍟䵏䥍彔夵⡒㈱㈯〰ⰴ㈱㈯〰ⰴⰬ唬䑓착_x0018_＀＀_x0018_＀＀_x0008_＀＀_x0001_＀＀_x0001_＀＀＀＀＀＀搀䂕Ꮲ乌_x0017_啌幖煣獟污獥江浴㐨㘰㌳착_x0018_＀＀_x0018_＀＀_x0008_＀＀_x0001_＀＀_x0001_＀＀＀＀＀＀邀䃈棩䵮_x0014_啌幖彇呓䑟䉅⡔〴㤳⤰_x0018_＀＀_x0018_＀＀_x0008_＀＀_x0001_＀＀_x0001_＀＀＀＀＀＀쀀䁞㤅䭦_x0014_啌幖彇呓䑟䉅⡔㠳〱⤷_x0018_＀＀_x0018_＀＀_x0008_＀＀_x0001_＀＀_x0001_＀＀＀＀＀＀　䁳㤄䭦_x0012_啌幖彐剐䍉⡅㜳㌸⤳_x0018_＀＀_x0018_＀＀_x0008_＀＀_x0001_＀＀_x0001_＀＀尩슏棵䀰㤆䭦＀Ｏ啌幖南䱟䅅䕓䍟䵏䥍彔夵⡒㈱㈯〰ⰵ㈱㈯〰ⰵⰬ唬䑓착_x0018_＀＀_x0018_＀＀_x0008_＀＀_x0001_＀＀_x0001_＀＀＀＀＀＀　䂒㤄䭦_x0012_啌幖彐剐䍉⡅㤳㘲⤳_x0018_＀＀_x0018_＀＀_x0008_＀＀_x0001_＀＀_x0001_＀＀롒蔞퇫䀭㤅䭦_x0014_啌幖彇呌䑟䉅⡔㜳ㄷ⤱_x0018_＀＀_x0018_＀＀_x0008_＀＀_x0001_＀＀_x0001_＀＀＀＀＀＀Ⰰ䂘㤅䭦_x0014_啌幖彇呓䑟䉅⡔㠳㈹⤹_x0018_＀＀_x0018_＀＀_x0008_＀＀_x0001_＀＀_x0001_＀＀＀＀＀＀　䁾㤅䭦_x0014_啌幖彇呌䑟䉅⡔㤳㐱⤱_x0018_＀＀_x0018_＀＀_x0008_＀＀_x0001_＀＀_x0001_＀＀＀＀＀＀簀䂘㤅䭦_x0011_啌幖彧䅃䡓㌨㔹㠶착_x0018_＀＀_x0018_＀＀_x0008_＀＀_x0001_＀＀_x0001_＀＀＀＀＀＀搀䂨㤆䭦＀Ｏ啌幖南䱟䅅䕓䍟䵏䥍彔夵⡒㈱㈯〰ⰶ㈱㈯〰ⰶⰬ唬䑓착_x0018_＀＀_x0018_＀＀_x0008_＀＀_x0001_＀＀_x0001_＀＀＀＀＀＀䀀䂏㤅䭦_x0011_啌幖彧䅃䡓㌨㠹㌱착_x0018_＀＀_x0018_＀＀_x0008_＀＀_x0001_＀＀_x0001_＀＀＀＀＀＀Ⰰ䂜꾕䯭_x001C_啌幖䍉䵟䅅彎䅓䕌当呎⡍〴㘲⤸_x0018_＀＀_x0018_＀＀_x0008_＀＀_x0001_＀＀_x0001_＀＀㵱휊鋣䃆㤆䭦＀Ｏ啌幖南䱟䅅䕓䍟䵏䥍彔夵⡒㈱㈯〰ⰷ㈱㈯〰ⰷⰬ唬䑓착_x0018_＀＀_x0018_＀＀_x0008_＀＀_x0001_＀＀_x0001_＀＀＀＀＀＀怀䂋㤄䭦_x0017_啌幖煣獟污獥江浴㌨㔹㤹착_x0018_＀＀_x0018_＀＀_x0008_＀＀_x0001_＀＀_x0001_＀＀＀＀＀＀䃃㤅䭦_x001C_啌幖䍉䵟䅅彎䅓䕌当呎⡍〴㤱⤷_x0018_＀＀_x0018_＀＀_x0008_＀＀_x0001_＀＀_x0001_＀＀炤਽ꭗ䃅㤅䭦_x0011_啌幖彧䅃䡓㌨㤸〶착_x0018_＀＀_x0018_＀＀_x0008_＀＀_x0001_＀＀_x0001_＀＀＀＀＀＀堀䂧Ꮲ乌_x0012_啌幖彐剐䍉⡅〴㈷⤴_x0018_＀＀_x0018_＀＀_x0008_＀＀_x0001_＀＀_x0001_＀＀ꏗ㵰휊䀦棩䵮_x0012_啌幖彐剐䍉⡅〴㜵⤴_x0018_＀＀_x0018_＀＀_x0008_＀＀_x0001_＀＀_x0001_＀＀㌳㌳댳䀧㤄䭦_x0017_啌幖煣獟污獥江浴㌨㠹㐴착_x0018_＀＀_x0018_＀＀_x0008_＀＀_x0001_＀＀_x0001_＀＀＀＀＀＀螀䃅㤆䭦＀Ｏ啌幖南䱟䅅䕓䍟䵏䥍彔夵⡒㈱㈯〰ⰸ㈱㈯〰ⰸⰬ唬䑓착_x0018_＀＀_x0018_＀＀_x0008_＀＀_x0001_＀＀_x0001_＀＀＀＀＀＀쀀䂆Ꮲ乌_x0014_啌幖彇呌䑟䉅⡔〴〶⤲_x0018_＀＀_x0018_＀＀_x0008_＀＀_x0001_＀＀_x0001_＀＀＀＀＀＀瘀䂦㥗䭦＀Ｏ啌幖南䱟䅅䕓䍟䵏䥍彔夵⡒㈱㈯〰ⰹ㈱㈯〰ⰹⰬ唬䑓착_x0018_＀＀_x0018_＀＀_x0008_＀＀_x0001_＀＀_x0001_＀＀豀碵꼝쐕㤅䭦_x0011_啌幖彧䅃䡓㌨ㄷ㌰착_x0018_＀＀_x0018_＀＀_x0008_＀＀_x0001_＀＀_x0001_＀＀鶲꟯䋆䂎㤄䭦_x0012_啌幖彐剐䍉⡅㤳ㄱ⤳_x0018_＀＀_x0018_＀＀_x0008_＀＀_x0001_＀＀_x0001_＀＀㌴㌳㌳䀮㤄䭦_x0017_啌幖煣獟污獥江浴㌨ㄷ㐳착_x0018_＀＀_x0018_＀＀_x0008_＀＀_x0001_＀＀_x0001_＀＀㵱휊⢣䂷㤄䭦_x0012_啌幖彐剐䍉⡅㠳㘲⤰_x0018_＀＀_x0018_＀＀_x0008_＀＀_x0001_＀＀_x0001_＀＀ਾꏗ㵰䀫㤅䭦_x0011_啌幖彧䅃䡓㌨㤷㔲착_x0018_＀＀_x0018_＀＀_x0008_＀＀_x0001_＀＀_x0001_＀＀＀＀＀＀저䂟棩䵮_x0012_啌幖彐剐䍉⡅〴㈳⤹_x0018_＀＀_x0018_＀＀_x0008_＀＀_x0001_＀＀_x0001_＀＀竡긔䀨㤅䭦_x0011_啌幖彧䅃䡓㌨㌹㔵착_x0018_＀＀_x0018_＀＀_x0008_＀＀_x0001_＀＀_x0001_＀＀＀＀＀＀吀䂘㤅䭦_x0014_啌幖彇呌䑟䉅⡔㤳㘵⤸_x0018_＀＀_x0018_＀＀_x0008_＀＀_x0001_＀＀_x0001_＀＀＀＀＀＀㸀䂠㤅䭦_x0014_啌幖彇呌䑟䉅⡔㤳ㄸ⤳_x0018_＀＀_x0018_＀＀_x0008_＀＀_x0001_＀＀_x0001_＀＀＀＀＀＀吀䂫㤄䭦_x0012_啌幖彐剐䍉⡅㤳㜸⤲_x0018_＀＀_x0018_＀＀_x0008_＀＀_x0001_＀＀_x0001_＀＀슏⣵轜䀗㤄䭦_x0017_啌幖煣獟污獥江浴㌨㌹㘸착_x0018_＀＀_x0018_＀＀_x0008_＀＀_x0001_＀＀_x0001_＀＀＀＀＀＀횀䃂㤅䭦_x0014_啌幖彇呌䑟䉅⡔㠳㘹⤰_x0018_＀＀_x0018_＀＀_x0008_＀＀_x0001_＀＀_x0001_＀＀＀＀＀＀᠀䂕㤄䭦_x0017_啌幖煣獟污獥江浴㐨〰㔲착_x0018_＀＀_x0018_＀＀_x0008_＀＀_x0001_＀＀_x0001_＀＀＀＀＀＀눀䃄ᶳ亹_x0011_啌幖彧䅃䡓㐨㠰㘱착_x0018_＀＀_x0018_＀＀_x0008_＀＀_x0001_＀＀_x0001_＀＀＀＀＀＀退䂬뼳仟_x001C_啌幖䍉䵟䅅彎䅓䕌当呎⡍〴㜸⤷_x0018_＀＀_x0018_＀＀_x0008_＀＀_x0001_＀＀_x0001_＀＀긕_xDB7A_䃐㤄䭦_x0012_啌幖彐剐䍉⡅㜳㈲⤵_x0018_＀＀_x0018_＀＀_x0008_＀＀_x0001_＀＀_x0001_＀＀＀＀＀＀쀀䀲㤆䭦＀Ｏ啌幖南䱟䅅䕓䍟䵏䥍彔剙⠲㈱㈯〰ⰰ㈱㈯〰ⰰⰬ唬䑓착_x0018_＀＀_x0018_＀＀_x0008_＀＀_x0001_＀＀_x0001_＀＀삃ꇊ扅䁰㤅䭦_x0014_啌幖彇呌䑟䉅⡔㜳〱⤳_x0018_＀＀_x0018_＀＀_x0008_＀＀_x0001_＀＀_x0001_＀＀䆉蓐䂇ᶳ亹_x0017_啌幖煣獟污獥江浴㐨㠰㜴착_x0018_＀＀_x0018_＀＀_x0008_＀＀_x0001_＀＀_x0001_＀＀＀＀＀＀ꐀ䃌㤆䭦＀Ｏ啌幖南䱟䅅䕓䍟䵏䥍彔剙⠲㈱㈯〰ⰱ㈱㈯〰ⰱⰬ唬䑓착_x0018_＀＀_x0018_＀＀_x0008_＀＀_x0001_＀＀_x0001_＀＀㽼〵䁱㤄䭦_x0012_啌幖彐剐䍉⡅㠳㌸⤷_x0018_＀＀_x0018_＀＀_x0008_＀＀_x0001_＀＀_x0001_＀＀Ẹ㡑䀰㤅䭦_x0014_啌幖彇呓䑟䉅⡔㜳㘴⤸_x0018_＀＀_x0018_＀＀_x0008_＀＀_x0001_＀＀_x0001_＀＀溘茒䀽㤅䭦_x0014_啌幖彇呌䑟䉅⡔㜳㈹⤵_x0018_＀＀_x0018_＀＀_x0008_＀＀_x0001_＀＀_x0001_＀＀＀＀＀＀퐀䂗㤆䭦＀Ｏ啌幖南䱟䅅䕓䍟䵏䥍彔剙⠲㈱㈯〰ⰲ㈱㈯〰ⰲⰬ唬䑓착_x0018_＀＀_x0018_＀＀_x0008_＀＀_x0001_＀＀_x0001_＀＀桳畼䁰㤅䭦_x0011_啌幖彧䅃䡓㌨㌸㈵착_x0018_＀＀_x0018_＀＀_x0008_＀＀_x0001_＀＀_x0001_＀＀＀＀＀＀搀䂔㤅䭦_x0014_啌幖彇呓䑟䉅⡔㠳〵⤳_x0018_＀＀_x0018_＀＀_x0008_＀＀_x0001_＀＀_x0001_＀＀＀＀＀＀耀䁒㤅䭦_x0014_啌幖彇呌䑟䉅⡔㤳㔳⤵_x0018_＀＀_x0018_＀＀_x0008_＀＀_x0001_＀＀_x0001_＀＀＀＀＀＀䰀䂘㤆䭦＀Ｏ啌幖南䱟䅅䕓䍟䵏䥍彔剙⠲㈱㈯〰ⰳ㈱㈯〰ⰳⰬ唬䑓착_x0018_＀＀_x0018_＀＀_x0008_＀＀_x0001_＀＀_x0001_＀＀＀＀＀＀က䁱㤄䭦_x0017_啌幖煣獟污獥江浴㌨㔸㌳착_x0018_＀＀_x0018_＀＀_x0008_＀＀_x0001_＀＀_x0001_＀＀＀＀＀＀ᨀ䂻㤄䭦_x0017_啌幖煣獟污獥江浴㌨㌸㌸착_x0018_＀＀_x0018_＀＀_x0008_＀＀_x0001_＀＀_x0001_＀＀＀＀＀＀舀䂹㤅䭦_x0011_啌幖彧䅃䡓㌨㤹㐶착_x0018_＀＀_x0018_＀＀_x0008_＀＀_x0001_＀＀_x0001_＀＀＀＀＀＀가䂠㤆䭦＀Ｏ啌幖南䱟䅅䕓䍟䵏䥍彔剙⠲㈱㈯〰ⰴ㈱㈯〰ⰴⰬ唬䑓착_x0018_＀＀_x0018_＀＀_x0008_＀＀_x0001_＀＀_x0001_＀＀＀＀＀＀瀀䁱棩䵮_x0014_啌幖彇呓䑟䉅⡔〴㔳⤹_x0018_＀＀_x0018_＀＀_x0008_＀＀_x0001_＀＀_x0001_＀＀＀＀＀＀쀀䁞㤄䭦_x0017_啌幖煣獟污獥江浴㌨㘷〸착_x0018_＀＀_x0018_＀＀_x0008_＀＀_x0001_＀＀_x0001_＀＀褷恁淅䂵ᶳ亹_x0014_啌幖彇呌䑟䉅⡔〴ㄸ⤶_x0018_＀＀_x0018_＀＀_x0008_＀＀_x0001_＀＀_x0001_＀＀＀＀＀＀⠀䂩㤆䭦＀Ｏ啌幖南䱟䅅䕓䍟䵏䥍彔剙⠲㈱㈯〰ⰵ㈱㈯〰ⰵⰬ唬䑓착_x0018_＀＀_x0018_＀＀_x0008_＀＀_x0001_＀＀_x0001_＀＀＀＀＀＀倀䁳棩䵮_x0011_啌幖彧䅃䡓㐨㌰〹착_x0018_＀＀_x0018_＀＀_x0008_＀＀_x0001_＀＀_x0001_＀＀＀＀＀＀栀䂨㤅䭦_x0011_啌幖彧䅃䡓㌨ㄸ㜰착_x0018_＀＀_x0018_＀＀_x0008_＀＀_x0001_＀＀_x0001_＀＀＀＀＀＀耀䂜㤆䭦＀Ｏ啌幖南䱟䅅䕓䍟䵏䥍彔剙⠲㈱㈯〰ⰶ㈱㈯〰ⰶⰬ唬䑓착_x0018_＀＀_x0018_＀＀_x0008_＀＀_x0001_＀＀_x0001_＀＀＀＀＀＀䁳㤆䭦＀Ｏ啌幖南䱟䅅䕓䍟䵏䥍彔剙⠲㈱㈯〰ⰷ㈱㈯〰ⰷⰬ唬䑓착_x0018_＀＀_x0018_＀＀_x0008_＀＀_x0001_＀＀_x0001_＀＀＀＀＀＀䁴㤄䭦_x0017_啌幖煣獟污獥江浴㌨ㄸ㠳착_x0018_＀＀_x0018_＀＀_x0008_＀＀_x0001_＀＀_x0001_＀＀＀＀＀＀똀䂷㤅䭦_x0011_啌幖彧䅃䡓㌨㤸㤲착_x0018_＀＀_x0018_＀＀_x0008_＀＀_x0001_＀＀_x0001_＀＀＀＀＀＀堀䂧㤅䭦_x0014_啌幖彇呌䑟䉅⡔㠳㔳⤲_x0018_＀＀_x0018_＀＀_x0008_＀＀_x0001_＀＀_x0001_＀＀＀＀＀＀退䂚㤆䭦＀Ｏ啌幖南䱟䅅䕓䍟䵏䥍彔剙⠲㈱㈯〰ⰸ㈱㈯〰ⰸⰬ唬䑓착_x0018_＀＀_x0018_＀＀_x0008_＀＀_x0001_＀＀_x0001_＀＀＀＀＀＀䀀䁴꾕䯭_x0014_啌幖彇呓䑟䉅⡔〴〲⤹_x0018_＀＀_x0018_＀＀_x0008_＀＀_x0001_＀＀_x0001_＀＀＀＀＀＀쀀䁧㤆䭦%啌幖南䥟呎剟呁彅夵噁⡇㈱㈯〰ⰵⰬ唬䑓착_x0018_＀＀_x0018_＀＀_x0008_＀＀_x0001_＀＀_x0001_＀＀_xDDC2_뭙苭䀕㥘䭦＀Ｏ啌幖南䱟䅅䕓䍟䵏䥍彔剙⠲㈱㈯〰ⰹ㈱㈯〰ⰹⰬ唬䑓착_x0018_＀＀_x0018_＀＀_x0008_＀＀_x0001_＀＀_x0001_＀＀豀碵꼝쐕㤅䭦_x0014_啌幖彇呌䑟䉅⡔㤳㘹⤴_x0018_＀＀_x0018_＀＀_x0008_＀＀_x0001_＀＀_x0001_＀＀＀＀＀＀䂪㤅䭦_x0014_啌幖彇呓䑟䉅⡔㤳㔷⤲_x0018_＀＀_x0018_＀＀_x0008_＀＀_x0001_＀＀_x0001_＀＀＀＀＀＀＀＀䁒棩䵮_x001C_啌幖䍉䵟䅅彎䅓䕌当呎⡍〴㔴⤱_x0018_＀＀_x0018_＀＀_x0008_＀＀_x0001_＀＀_x0001_＀＀䞮竡䃇㤄䭦_x0017_啌幖煣獟污獥江浴㌨㜹㈸착_x0018_＀＀_x0018_＀＀_x0008_＀＀_x0001_＀＀_x0001_＀＀＀＀＀＀຀䃅棩䵮_x0014_啌幖彇呌䑟䉅⡔〴㤳⤰_x0018_＀＀_x0018_＀＀_x0008_＀＀_x0001_＀＀_x0001_＀＀＀＀＀＀䂩棩䵮_x0017_啌幖煣獟污獥江浴㐨㐰ㄲ착_x0018_＀＀_x0018_＀＀_x0008_＀＀_x0001_＀＀_x0001_＀＀＀＀＀＀퐀䃅㤅䭦_x0014_啌幖彇呌䑟䉅⡔㠳〱⤷_x0018_＀＀_x0018_＀＀_x0008_＀＀_x0001_＀＀_x0001_＀＀＀＀＀＀_xD800_䂓㤄䭦_x0012_啌幖彐剐䍉⡅㜳㜳⤶_x0018_＀＀_x0018_＀＀_x0008_＀＀_x0001_＀＀_x0001_＀＀⣶轜㗂䀲㥘䭦[啌幖南剟久䅔彌偏䱟䕓䕟偘ㄨ⼲〲㤰ㄬ⼲〲㤰ⰬⰬ单⥄䍀彁呒剟久彔䥍彎塅⡐㈱㈯〰ⰹ㈱㈯〰ⰹⰬ唬䑓착_x0018_＀＀_x0018_＀＀_x0008_＀＀_x0001_＀＀_x0001_＀＀豀碵꼝쐕㤄䭦_x0012_啌幖彐剐䍉⡅㜳㈶⤱_x0018_＀＀_x0018_＀＀_x0008_＀＀_x0001_＀＀_x0001_＀＀쳍쳌쳌䀫㤄䭦_x0012_啌幖彐剐䍉⡅㠳ㄴ⤱_x0018_＀＀_x0018_＀＀_x0008_＀＀_x0001_＀＀_x0001_＀＀㌳㌳댳䀫㤄䭦_x0012_啌幖彐剐䍉⡅㤳㔰⤱_x0018_＀＀_x0018_＀＀_x0008_＀＀_x0001_＀＀_x0001_＀＀凬Ẹ殅䀯㤅䭦_x0014_啌幖彇呌䑟䉅⡔㠳㈹⤹_x0018_＀＀_x0018_＀＀_x0008_＀＀_x0001_＀＀_x0001_＀＀＀＀＀＀᠀䂕㤅䭦_x0014_啌幖彇呓䑟䉅⡔㠳ㄷ⤷_x0018_＀＀_x0018_＀＀_x0008_＀＀_x0001_＀＀_x0001_＀＀＀＀＀＀저䂂㤅䭦_x0014_啌幖彇呓䑟䉅⡔㤳〵⤷_x0018_＀＀_x0018_＀＀_x0008_＀＀_x0001_＀＀_x0001_＀＀＀＀＀＀耀䁄㤄䭦_x0017_啌幖煣獟污獥江浴㌨〷㈷착_x0018_＀＀_x0018_＀＀_x0008_＀＀_x0001_＀＀_x0001_＀＀㵱휊⢣䂷㤅䭦_x001C_啌幖䍉䵟䅅彎䅓䕌当呎⡍〴㔰⤶_x0018_＀＀_x0018_＀＀_x0008_＀＀_x0001_＀＀_x0001_＀＀尩슏_xDC35_䃃㤅䭦_x0014_啌幖彇呓䑟䉅⡔㜳㘸⤴_x0018_＀＀_x0018_＀＀_x0008_＀＀_x0001_＀＀_x0001_＀＀＀＀＀＀耀䁠棩䵮_x0012_啌幖彐剐䍉⡅〴ㄵ⤲_x0018_＀＀_x0018_＀＀_x0008_＀＀_x0001_＀＀_x0001_＀＀炤਽ꏗ䀪㤅䭦_x0014_啌幖彇呓䑟䉅⡔㤳㤲⤴_x0018_＀＀_x0018_＀＀_x0008_＀＀_x0001_＀＀_x0001_＀＀＀＀＀＀쀀䁞㤄䭦_x0017_啌幖煣獟污獥江浴㌨㠷㐹착_x0018_＀＀_x0018_＀＀_x0008_＀＀_x0001_＀＀_x0001_＀＀沋ﯧ벉䂶ᶳ亹_x0014_啌幖彇呓䑟䉅⡔〴㔷⤵_x0018_＀＀_x0018_＀＀_x0008_＀＀_x0001_＀＀_x0001_＀＀＀＀＀＀䂎㤅䭦_x0011_啌幖彧䅃䡓㌨㐷㠶착_x0018_＀＀_x0018_＀＀_x0008_＀＀_x0001_＀＀_x0001_＀＀롒蔞讫䂠㤄䭦_x0012_啌幖彐剐䍉⡅㤳㜴⤸_x0018_＀＀_x0018_＀＀_x0008_＀＀_x0001_＀＀_x0001_＀＀㵱휊炣䀧㤅䭦_x0011_啌幖彧䅃䡓㌨㔸㌰착_x0018_＀＀_x0018_＀＀_x0008_＀＀_x0001_＀＀_x0001_＀＀＀＀＀＀퀀䂝㤅䭦_x0012_啌幖彐剐䍉⡅〴ㄱ⤷_x0018_＀＀_x0018_＀＀_x0008_＀＀_x0001_＀＀_x0001_＀＀쳍쳌쳌䀠㤆䭦＀Ｏ啌幖南䱟䅅䕓䍟䵏䥍彔剙⠳㈱㈯〰ⰰ㈱㈯〰ⰰⰬ唬䑓착_x0018_＀＀_x0018_＀＀_x0008_＀＀_x0001_＀＀_x0001_＀＀틲才됐䁭㤄䭦_x0017_啌幖煣獟污獥江浴㌨㐷㤹착_x0018_＀＀_x0018_＀＀_x0008_＀＀_x0001_＀＀_x0001_＀＀鮦⃄鋐䂴㤄䭦_x0012_啌幖彐剐䍉⡅㤳㘶⤰_x0018_＀＀_x0018_＀＀_x0008_＀＀_x0001_＀＀_x0001_＀＀䞮竡⸔䀯㤆䭦＀Ｏ啌幖南䱟䅅䕓䍟䵏䥍彔剙⠳㈱㈯〰ⰱ㈱㈯〰ⰱⰬ唬䑓착_x0018_＀＀_x0018_＀＀_x0008_＀＀_x0001_＀＀_x0001_＀＀绺뱪佴䁮棩䵮_x0011_啌幖彧䅃䡓㐨㌰㤵착_x0018_＀＀_x0018_＀＀_x0008_＀＀_x0001_＀＀_x0001_＀＀＀＀＀＀栀䂨㤅䭦_x0014_啌幖彇呓䑟䉅⡔㠳㤲⤱_x0018_＀＀_x0018_＀＀_x0008_＀＀_x0001_＀＀_x0001_＀＀＀＀＀＀퀀䁳㤆䭦＀Ｏ啌幖南䱟䅅䕓䍟䵏䥍彔剙⠳㈱㈯〰ⰲ㈱㈯〰ⰲⰬ唬䑓착_x0018_＀＀_x0018_＀＀_x0008_＀＀_x0001_＀＀_x0001_＀＀褷恁⃥䁭㤆䭦＀Ｏ啌幖南䱟䅅䕓䍟䵏䥍彔剙⠳㈱㈯〰ⰳ㈱㈯〰ⰳⰬ唬䑓착_x0018_＀＀_x0018_＀＀_x0008_＀＀_x0001_＀＀_x0001_＀＀＀＀＀＀怀䁫㤆䭦＀Ｏ啌幖南䱟䅅䕓䍟䵏䥍彔剙⠳㈱㈯〰ⰴ㈱㈯〰ⰴⰬ唬䑓착_x0018_＀＀_x0018_＀＀_x0008_＀＀_x0001_＀＀_x0001_＀＀＀＀＀＀＀＀䁰㤄䭦_x0012_啌幖彐剐䍉⡅㠳㈶⤵_x0018_＀＀_x0018_＀＀_x0008_＀＀_x0001_＀＀_x0001_＀＀㌳㌳댳䀭㤅䭦_x0014_啌幖彇呌䑟䉅⡔㜳㘴⤸_x0018_＀＀_x0018_＀＀_x0008_＀＀_x0001_＀＀_x0001_＀＀욧䂙㤅䭦_x0014_啌幖彇呓䑟䉅⡔㜳㔲⤶_x0018_＀＀_x0018_＀＀_x0008_＀＀_x0001_＀＀_x0001_＀＀䯇褷́䂇㤅䭦_x0014_啌幖彇呓䑟䉅⡔㠳㐰⤶_x0018_＀＀_x0018_＀＀_x0008_＀＀_x0001_＀＀_x0001_＀＀＀＀＀＀쀀䁩㤅䭦_x0014_啌幖彇呌䑟䉅⡔㠳〵⤳_x0018_＀＀_x0018_＀＀_x0008_＀＀_x0001_＀＀_x0001_＀＀＀＀＀＀᠀䂞㤆䭦＀Ｏ啌幖南䱟䅅䕓䍟䵏䥍彔剙⠳㈱㈯〰ⰵ㈱㈯〰ⰵⰬ唬䑓착_x0018_＀＀_x0018_＀＀_x0008_＀＀_x0001_＀＀_x0001_＀＀＀＀＀＀ 䁱㤄䭦_x0012_啌幖彐剐䍉⡅㜳㜷⤲_x0018_＀＀_x0018_＀＀_x0008_＀＀_x0001_＀＀_x0001_＀＀롒蔞ᇫ䀰꾕䯭_x0011_啌幖彧䅃䡓㐨㈰㤰착_x0018_＀＀_x0018_＀＀_x0008_＀＀_x0001_＀＀_x0001_＀＀＀＀＀＀䈀䂤㤆䭦＀Ｏ啌幖南䱟䅅䕓䍟䵏䥍彔剙⠳㈱㈯〰ⰶ㈱㈯〰ⰶⰬ唬䑓착_x0018_＀＀_x0018_＀＀_x0008_＀＀_x0001_＀＀_x0001_＀＀＀＀＀＀耀䁱㤄䭦_x0017_啌幖煣獟污獥江浴㌨㌸ㄲ착_x0018_＀＀_x0018_＀＀_x0008_＀＀_x0001_＀＀_x0001_＀＀＀＀＀＀䂸㤅䭦_x0014_啌幖彇呓䑟䉅⡔㠳㘸⤸_x0018_＀＀_x0018_＀＀_x0008_＀＀_x0001_＀＀_x0001_＀＀＀＀＀＀䂁棩䵮_x0014_啌幖彇呌䑟䉅⡔〴㔳⤹_x0018_＀＀_x0018_＀＀_x0008_＀＀_x0001_＀＀_x0001_＀＀＀＀＀＀䂩㤅䭦_x0011_啌幖彧䅃䡓㌨㜹㈵착_x0018_＀＀_x0018_＀＀_x0008_＀＀_x0001_＀＀_x0001_＀＀＀＀＀＀츀䂪㤅䭦_x0014_啌幖彇呓䑟䉅⡔㤳〹⤳_x0018_＀＀_x0018_＀＀_x0008_＀＀_x0001_＀＀_x0001_＀＀＀＀＀＀怀䁤㤆䭦＀Ｏ啌幖南䱟䅅䕓䍟䵏䥍彔剙⠳㈱㈯〰ⰷ㈱㈯〰ⰷⰬ唬䑓착_x0018_＀＀_x0018_＀＀_x0008_＀＀_x0001_＀＀_x0001_＀＀＀＀＀＀ꀀ䁲棩䵮_x001C_啌幖䍉䵟䅅彎䅓䕌当呎⡍〴〶⤲_x0018_＀＀_x0018_＀＀_x0008_＀＀_x0001_＀＀_x0001_＀＀⬂ᚇ紙䃊㤄䭦_x0017_啌幖煣獟污獥江浴㌨㠸㠹착_x0018_＀＀_x0018_＀＀_x0008_＀＀_x0001_＀＀_x0001_＀＀＀＀＀＀纀䃀㤅䭦_x0014_啌幖彇呓䑟䉅⡔〴㐱⤷_x0018_＀＀_x0018_＀＀_x0008_＀＀_x0001_＀＀_x0001_＀＀＀＀＀＀쀀䁨㤄䭦_x0017_啌幖煣獟污獥江浴㌨㤹㌳착_x0018_＀＀_x0018_＀＀_x0008_＀＀_x0001_＀＀_x0001_＀＀＀＀＀＀㄀䃅㤆䭦＀Ｏ啌幖南䱟䅅䕓䍟䵏䥍彔剙⠳㈱㈯〰ⰸ㈱㈯〰ⰸⰬ唬䑓착_x0018_＀＀_x0018_＀＀_x0008_＀＀_x0001_＀＀_x0001_＀＀＀＀＀＀ 䁯Ꮲ乌_x0012_啌幖彐剐䍉⡅〴㘶⤳_x0018_＀＀_x0018_＀＀_x0008_＀＀_x0001_＀＀_x0001_＀＀＀＀＀＀耀䀧㥘䭦＀Ｏ啌幖南䱟䅅䕓䍟䵏䥍彔剙⠳㈱㈯〰ⰹ㈱㈯〰ⰹⰬ唬䑓착_x0018_＀＀_x0018_＀＀_x0008_＀＀_x0001_＀＀_x0001_＀＀豀碵꼝쐕㤆䭦[啌幖南剟久䅔彌偏䱟䕓䕟偘ㄨ⼲〲㄰ㄬ⼲〲㄰ⰬⰬ单⥄䍀彁呒剟久彔䥍彎塅⡐㈱㈯〰ⰱ㈱㈯〰ⰱⰬ唬䑓착_x0018_＀＀_x0018_＀＀_x0008_＀＀_x0001_＀＀_x0001_＀＀馚香榙䁶㤄䭦_x0012_啌幖彐剐䍉⡅㤳〲⤲_x0018_＀＀_x0018_＀＀_x0008_＀＀_x0001_＀＀_x0001_＀＀㌳㌳댳䀬㤅䭦_x0011_啌幖彧䅃䡓㌨㜸㜱착_x0018_＀＀_x0018_＀＀_x0008_＀＀_x0001_＀＀_x0001_＀＀＀＀＀＀였䂣㤅䭦_x0011_啌幖彧䅃䡓㌨㔹㜰착_x0018_＀＀_x0018_＀＀_x0008_＀＀_x0001_＀＀_x0001_＀＀＀＀＀＀똀䂥꾕䯭_x0014_啌幖彇呌䑟䉅⡔〴〲⤹_x0018_＀＀_x0018_＀＀_x0008_＀＀_x0001_＀＀_x0001_＀＀＀＀＀＀切䂩㤅䭦_x0011_啌幖彧䅃䡓㌨㠷㐶착_x0018_＀＀_x0018_＀＀_x0008_＀＀_x0001_＀＀_x0001_＀＀＀＀＀＀㠀䂡▶䲍_x0012_啌幖彐剐䍉⡅〴㘲⤸_x0018_＀＀_x0018_＀＀_x0008_＀＀_x0001_＀＀_x0001_＀＀㵱휊炣䀪㤄䭦_x0017_啌幖煣獟污獥江浴㌨㜸㠴착_x0018_＀＀_x0018_＀＀_x0008_＀＀_x0001_＀＀_x0001_＀＀＀＀＀＀ꀀ䂽㤄䭦_x0017_啌幖煣獟污獥江浴㌨㔹㠳착_x0018_＀＀_x0018_＀＀_x0008_＀＀_x0001_＀＀_x0001_＀＀＀＀＀＀䃃㤅䭦_x0011_啌幖彧䅃䡓㌨㈹㐹착_x0018_＀＀_x0018_＀＀_x0008_＀＀_x0001_＀＀_x0001_＀＀＀＀＀＀萀䂠㤅䭦_x0012_啌幖彐剐䍉⡅〴㤱⤷_x0018_＀＀_x0018_＀＀_x0008_＀＀_x0001_＀＀_x0001_＀＀馚香香䀦㤅䭦_x0014_啌幖彇呌䑟䉅⡔㤳㔷⤲_x0018_＀＀_x0018_＀＀_x0008_＀＀_x0001_＀＀_x0001_＀＀＀＀＀＀⠀䂤㤄䭦_x0012_啌幖彐剐䍉⡅㠳㄰⤷_x0018_＀＀_x0018_＀＀_x0008_＀＀_x0001_＀＀_x0001_＀＀晧晦䀭ᶳ亹_x0011_啌幖彧䅃䡓㐨㜰㔵착_x0018_＀＀_x0018_＀＀_x0008_＀＀_x0001_＀＀_x0001_＀＀＀＀＀＀ᘀ䂱㤄䭦_x0012_啌幖彐剐䍉⡅㜳㘱⤴_x0018_＀＀_x0018_＀＀_x0008_＀＀_x0001_＀＀_x0001_＀＀䞮竡긔䀭㤄䭦_x0012_啌幖彐剐䍉⡅㤳㈶⤹_x0018_＀＀_x0018_＀＀_x0008_＀＀_x0001_＀＀_x0001_＀＀긕ᑺ䀪ᶳ亹_x0017_啌幖煣獟污獥江浴㐨㜰㘸착_x0018_＀＀_x0018_＀＀_x0008_＀＀_x0001_＀＀_x0001_＀＀＀＀＀＀琀䃊㤅䭦_x0014_啌幖彇呌䑟䉅⡔㠳ㄷ⤷_x0018_＀＀_x0018_＀＀_x0008_＀＀_x0001_＀＀_x0001_＀＀＀＀＀＀저䂕㤅䭦_x0014_啌幖彇呌䑟䉅⡔㤳〵⤷_x0018_＀＀_x0018_＀＀_x0008_＀＀_x0001_＀＀_x0001_＀＀＀＀＀＀Ѐ䂠㤄䭦_x0012_啌幖彐剐䍉⡅㜳㠹⤶_x0018_＀＀_x0018_＀＀_x0008_＀＀_x0001_＀＀_x0001_＀＀炤਽⏗䀰㤄䭦_x0012_啌幖彐剐䍉⡅㠳㜷⤶_x0018_＀＀_x0018_＀＀_x0008_＀＀_x0001_＀＀_x0001_＀＀롑씞䀰㤅䭦_x0014_啌幖彇呓䑟䉅⡔㜳〸⤲_x0018_＀＀_x0018_＀＀_x0008_＀＀_x0001_＀＀_x0001_＀＀＀＀＀＀耀䁠㤅䭦_x0014_啌幖彇呌䑟䉅⡔㜳㘸⤴_x0018_＀＀_x0018_＀＀_x0008_＀＀_x0001_＀＀_x0001_＀＀＀＀＀＀ఀ䂘㤄䭦_x0017_啌幖煣獟污獥江浴㌨㌹㔲착_x0018_＀＀_x0018_＀＀_x0008_＀＀_x0001_＀＀_x0001_＀＀＀＀＀＀嬀䃂㤅䭦_x0014_啌幖彇呓䑟䉅⡔㜳㔶⤲_x0018_＀＀_x0018_＀＀_x0008_＀＀_x0001_＀＀_x0001_＀＀ొ⬂亇䁠㤅䭦_x0011_啌幖彧䅃䡓㌨㈸ㄹ착_x0018_＀＀_x0018_＀＀_x0008_＀＀_x0001_＀＀_x0001_＀＀＀＀＀＀倀䂝㤅䭦_x0014_啌幖彇呓䑟䉅⡔㠳㐴⤲_x0018_＀＀_x0018_＀＀_x0008_＀＀_x0001_＀＀_x0001_＀＀＀＀＀＀耀䁒㤅䭦_x0014_啌幖彇呌䑟䉅⡔㤳㤲⤴_x0018_＀＀_x0018_＀＀_x0008_＀＀_x0001_＀＀_x0001_＀＀＀＀＀＀렀䂗㤅䭦_x0014_啌幖彇呓䑟䉅⡔㤳㠰⤲_x0018_＀＀_x0018_＀＀_x0008_＀＀_x0001_＀＀_x0001_＀＀＀＀＀＀耀䁞㤄䭦_x0017_啌幖煣獟污獥江浴㌨㐸㈷착_x0018_＀＀_x0018_＀＀_x0008_＀＀_x0001_＀＀_x0001_＀＀＀＀＀＀㔀䂺ᶳ亹_x001C_啌幖䍉䵟䅅彎䅓䕌当呎⡍〴ㄸ⤶_x0018_＀＀_x0018_＀＀_x0008_＀＀_x0001_＀＀_x0001_＀＀馚香憙䃐뼳仟_x0012_啌幖彐剐䍉⡅〴㜸⤷_x0018_＀＀_x0018_＀＀_x0008_＀＀_x0001_＀＀_x0001_＀＀尨슏䀠㤆䭦[啌幖南剟久䅔彌偏䱟䕓䕟偘ㄨ⼲〲㠰ㄬ⼲〲㠰ⰬⰬ单⥄䍀彁呒剟久彔䥍彎塅⡐㈱㈯〰ⰸ㈱㈯〰ⰸⰬ唬䑓착_x0018_＀＀_x0018_＀＀_x0008_＀＀_x0001_＀＀_x0001_＀＀＀＀＀＀砀䂀棩䵮_x0014_啌幖彇呓䑟䉅⡔〴㤲⤸_x0018_＀＀_x0018_＀＀_x0008_＀＀_x0001_＀＀_x0001_＀＀＀＀＀＀䀀䁥ᶳ亹_x0014_啌幖彇呌䑟䉅⡔〴㔷⤵_x0018_＀＀_x0018_＀＀_x0008_＀＀_x0001_＀＀_x0001_＀＀＀＀＀＀吀䂩棩䵮_x0014_啌幖彇呓䑟䉅⡔〴㐵⤳_x0018_＀＀_x0018_＀＀_x0008_＀＀_x0001_＀＀_x0001_＀＀＀＀＀＀退䁿㤆䭦%啌幖南䥟呎剟呁彅夵噁⡇㈱㈯〰ⰰⰬ唬䑓착_x0018_＀＀_x0018_＀＀_x0008_＀＀_x0001_＀＀_x0001_＀＀鯥湭⽌䀠㤄䭦_x0012_啌幖彐剐䍉⡅㤳ㄴ⤶_x0018_＀＀_x0018_＀＀_x0008_＀＀_x0001_＀＀_x0001_＀＀쳍쳌䳌䀬㤅䭦_x0011_啌幖彧䅃䡓㌨㈷㘵착_x0018_＀＀_x0018_＀＀_x0008_＀＀_x0001_＀＀_x0001_＀＀퓽쾸䂡㤅䭦_x0014_啌幖彇呓䑟䉅⡔㜳〴⤷_x0018_＀＀_x0018_＀＀_x0008_＀＀_x0001_＀＀_x0001_＀＀ﯨ﷒䁃㤅䭦_x0011_啌幖彧䅃䡓㌨〸㘴착_x0018_＀＀_x0018_＀＀_x0008_＀＀_x0001_＀＀_x0001_＀＀＀＀＀＀␀䂝㤄䭦_x0017_啌幖煣獟污獥江浴㌨㐷㜳착_x0018_＀＀_x0018_＀＀_x0008_＀＀_x0001_＀＀_x0001_＀＀鮦⃄鋐䂴㤄䭦_x0017_啌幖煣獟污獥江浴㌨㈷㜸착_x0018_＀＀_x0018_＀＀_x0008_＀＀_x0001_＀＀_x0001_＀＀閁譃댬䂵㤄䭦_x0017_啌幖煣獟污獥江浴㌨〸㜷착_x0018_＀＀_x0018_＀＀_x0008_＀＀_x0001_＀＀_x0001_＀＀＀＀＀＀똀䂷㤅䭦_x0011_啌幖彧䅃䡓㌨㠸㠶착_x0018_＀＀_x0018_＀＀_x0008_＀＀_x0001_＀＀_x0001_＀＀＀＀＀＀퀀䂦㤅䭦_x0014_啌幖彇呌䑟䉅⡔㠳㤲⤱_x0018_＀＀_x0018_＀＀_x0008_＀＀_x0001_＀＀_x0001_＀＀＀＀＀＀᠀䂙㤅䭦_x0011_啌幖彧䅃䡓㌨㤹㌰착_x0018_＀＀_x0018_＀＀_x0008_＀＀_x0001_＀＀_x0001_＀＀＀＀＀＀가䂠</t>
        </r>
      </text>
    </comment>
    <comment ref="B1" authorId="0">
      <text>
        <r>
          <rPr>
            <b/>
            <sz val="8"/>
            <color indexed="81"/>
            <rFont val="Tahoma"/>
            <family val="2"/>
          </rPr>
          <t>27045</t>
        </r>
      </text>
    </comment>
  </commentList>
</comments>
</file>

<file path=xl/sharedStrings.xml><?xml version="1.0" encoding="utf-8"?>
<sst xmlns="http://schemas.openxmlformats.org/spreadsheetml/2006/main" count="1315" uniqueCount="977">
  <si>
    <t>Period Ending Basic Share Count</t>
  </si>
  <si>
    <t>Accrued Dividends</t>
  </si>
  <si>
    <t>EV on Total Rent Adj. Debt Net of Unrest. Cash and Converts</t>
  </si>
  <si>
    <t>Income Statement Calculations</t>
  </si>
  <si>
    <t>Income Statement</t>
  </si>
  <si>
    <t>2006A</t>
  </si>
  <si>
    <t>2010A</t>
  </si>
  <si>
    <t>LUV,mscalc:shareholdersEquityExcludingAdjustments2,2011Q4,,,USD,,P / E Valuation</t>
  </si>
  <si>
    <t>LUV,mscalc:shareholdersEquityExcludingAdjustments2,2007Q4,,,USD,,P / E Valuation</t>
  </si>
  <si>
    <t>D&amp;A</t>
  </si>
  <si>
    <t>EV/EBITDAR</t>
  </si>
  <si>
    <t>Cash and ST Investments</t>
  </si>
  <si>
    <t>LUV,mscalc:shareholdersEquityExcludingAdjustments2,2010Q1,,,USD</t>
  </si>
  <si>
    <t>LUV,mscalc:shareholdersEquityExcludingAdjustments2,2008Q4,,,USD</t>
  </si>
  <si>
    <t>Sequential Change %</t>
  </si>
  <si>
    <t>LTM EBITDAR / LTM (Interest  + Aircraft Rent) Expense</t>
  </si>
  <si>
    <t>LTM EBIT / LTM Interest  Expense</t>
  </si>
  <si>
    <t>LTM EBITDA / LTM Interest  Expense</t>
  </si>
  <si>
    <t>LTM EBITDAR / LTM Interest  Expense</t>
  </si>
  <si>
    <t>LTM EBIT / LTM Net Interest  Expense</t>
  </si>
  <si>
    <t>LTM EBITDA / LTM Net Interest  Expense</t>
  </si>
  <si>
    <t>LTM EBITDAR / LTM Net Interest  Expense</t>
  </si>
  <si>
    <t>LUV.N,mscalc:shareholdersEquityExcludingAdjustments2,2011Q3,,,USD</t>
  </si>
  <si>
    <t>LUV.N,mscalc:shareholdersEquityExcludingAdjustments2,2007Q3,,,USD</t>
  </si>
  <si>
    <t>Common Stock</t>
  </si>
  <si>
    <t>Total Operating Expense</t>
  </si>
  <si>
    <t>Other Income / (Expense)</t>
  </si>
  <si>
    <t>Avg Unrestricted Cash</t>
  </si>
  <si>
    <t>LUV,mscalc:shareholdersEquityExcludingAdjustments2,2011Q1,,,USD</t>
  </si>
  <si>
    <t>LUV,mscalc:shareholdersEquityExcludingAdjustments2,2010Q2,,,USD</t>
  </si>
  <si>
    <t>LUV,mscalc:shareholdersEquityExcludingAdjustments2,2009Q1,,,USD</t>
  </si>
  <si>
    <t>LUV,mscalc:shareholdersEquityExcludingAdjustments2,2008Q3,,,USD</t>
  </si>
  <si>
    <t>LUV,mscalc:shareholdersEquityExcludingAdjustments2,2007Q2,,,USD</t>
  </si>
  <si>
    <t>LUV.N,mscalc:closePriceCurrencyCalc</t>
  </si>
  <si>
    <t>LUV.N,mscalc:targetPrice,,,,USD</t>
  </si>
  <si>
    <t>Avg Debt</t>
  </si>
  <si>
    <t>Interest Expense Forecast</t>
  </si>
  <si>
    <t>Net Interest Expense</t>
  </si>
  <si>
    <t>1Q</t>
  </si>
  <si>
    <t>2Q</t>
  </si>
  <si>
    <t>3Q</t>
  </si>
  <si>
    <t>4Q</t>
  </si>
  <si>
    <t>Avg.</t>
  </si>
  <si>
    <t>LUV.N,mscalc:shareholdersEquityExcludingAdjustments2,2011Q2,,,USD</t>
  </si>
  <si>
    <t>LUV.N,mscalc:shareholdersEquityExcludingAdjustments2,2011Q4,,,USD</t>
  </si>
  <si>
    <t>LUV.N,mscalc:shareholdersEquityExcludingAdjustments2,2008Q3,,,USD</t>
  </si>
  <si>
    <t>LUV.N,mscalc:shareholdersEquityExcludingAdjustments2,2010Q4,,,USD</t>
  </si>
  <si>
    <t>LUV,mscalc:shareholdersEquityExcludingAdjustments2,2008Q4,,,USD,,P / E Valuation</t>
  </si>
  <si>
    <t>LUV,mscalc:shareholdersEquityExcludingAdjustments2,2011Q2,,,USD,,P / E Valuation</t>
  </si>
  <si>
    <t>LUV.N,mstag:statutoryTaxRate,2011FY,,FYR</t>
  </si>
  <si>
    <t>LUV.N,mstag:statutoryTaxRate,2014FY,,FYE</t>
  </si>
  <si>
    <t>LUV.N,mstag:statutoryTaxRate,2010FY,,FYE</t>
  </si>
  <si>
    <t>LUV.N,mstag:statutoryTaxRate,2004FY,,FYE</t>
  </si>
  <si>
    <t>LUV.N,mstag:statutoryTaxRate,2015FY,,FYE</t>
  </si>
  <si>
    <t>Operating Income</t>
  </si>
  <si>
    <t>Operating Margin</t>
  </si>
  <si>
    <t>2010 - Pro Forma</t>
  </si>
  <si>
    <t>Other Expense (Income)</t>
  </si>
  <si>
    <t>No Change</t>
  </si>
  <si>
    <t>LUV.N,mscalc:shareholdersEquityExcludingAdjustments2,2010Q1,,,USD</t>
  </si>
  <si>
    <t>Passenger Revenue (mm)</t>
  </si>
  <si>
    <t>,mscalc:fiscalYearEndMonth</t>
  </si>
  <si>
    <t>Unhedged Jet Fuel Price Assumption</t>
  </si>
  <si>
    <t>YoY Pt. Chg.</t>
  </si>
  <si>
    <t>Capitalized Interest</t>
  </si>
  <si>
    <t>2QA</t>
  </si>
  <si>
    <t>3QA</t>
  </si>
  <si>
    <t>Cash Flow</t>
  </si>
  <si>
    <t>2013A</t>
  </si>
  <si>
    <t>Debt Net of Unrest. Cash / LTM EBITDAR</t>
  </si>
  <si>
    <t>Covenant Check</t>
  </si>
  <si>
    <t>Interest Income Forecast</t>
  </si>
  <si>
    <t>Total Other Income (Expense)</t>
  </si>
  <si>
    <t>Dividends per share</t>
  </si>
  <si>
    <t>Goodwill</t>
  </si>
  <si>
    <t>LUV.N,mstag:statutoryTaxRate,2013FY,,FYE</t>
  </si>
  <si>
    <t>Retained Earnings</t>
  </si>
  <si>
    <t>Modelware Requirements</t>
  </si>
  <si>
    <t>After Tax Other Disc. Ops./Extrordinary Item</t>
  </si>
  <si>
    <t>EV on Debt Net of Unrest. Cash and Converts</t>
  </si>
  <si>
    <t>Sequential % change</t>
  </si>
  <si>
    <t>Employees (end of period)</t>
  </si>
  <si>
    <t>Employees (Average)</t>
  </si>
  <si>
    <t>Avg FTEs per Avg AC</t>
  </si>
  <si>
    <t>Salaries, Wages &amp; Benefits per Avg FTE</t>
  </si>
  <si>
    <t>Salaries, Wages &amp; Benefits per ASM</t>
  </si>
  <si>
    <t>Other Fuel Costs (transport, taxes, etc.)</t>
  </si>
  <si>
    <t>Depreciation per ASM</t>
  </si>
  <si>
    <t>Depreciation per Aircraft</t>
  </si>
  <si>
    <t>Aircraft Rentals per ASM</t>
  </si>
  <si>
    <t>Aircraft Rentals per Aircraft</t>
  </si>
  <si>
    <t>Maintenance per ASM</t>
  </si>
  <si>
    <t>Other Expense per ASM</t>
  </si>
  <si>
    <t>Accrued Pension Liability</t>
  </si>
  <si>
    <t>Other Long-Term Liabilities</t>
  </si>
  <si>
    <t>SENSITIVITY INPUTS</t>
  </si>
  <si>
    <t>SENSITIVITY TABLES</t>
  </si>
  <si>
    <t>Debt Net of Unrest. Cash / LTM EBIT</t>
  </si>
  <si>
    <t>Debt Net of Unrest. Cash / LTM EBITDA</t>
  </si>
  <si>
    <t>Ticker:</t>
  </si>
  <si>
    <t>4QA</t>
  </si>
  <si>
    <t>4QE</t>
  </si>
  <si>
    <t>Aircraft Rent</t>
  </si>
  <si>
    <t>Total Current Assets</t>
  </si>
  <si>
    <t>Depreciation</t>
  </si>
  <si>
    <t>Pro Forma</t>
  </si>
  <si>
    <t>LUV,mscalc:shareholdersEquityExcludingAdjustments2,2008Q3,,,USD,,P / E Valuation</t>
  </si>
  <si>
    <t>LUV,mscalc:shareholdersEquityExcludingAdjustments2,2009Q4,,,USD,,P / E Valuation</t>
  </si>
  <si>
    <t>LUV.N,mscalc:shareholdersEquityExcludingAdjustments2,2009Q3,,,USD</t>
  </si>
  <si>
    <t>LUV.N,mscalc:shareholdersEquityExcludingAdjustments2,2007Q2,,,USD</t>
  </si>
  <si>
    <t>Aircraft (Average)</t>
  </si>
  <si>
    <t>Aircraft (End of period)</t>
  </si>
  <si>
    <t>LUV.N,mscalc:targetPrice</t>
  </si>
  <si>
    <t>,mscalc:sedolCodeCalc</t>
  </si>
  <si>
    <t>,mscalc:targetPrice,,,,USD</t>
  </si>
  <si>
    <t>,mscalc:closePriceCurrencyCalc</t>
  </si>
  <si>
    <t>Profit-Sharing Expense</t>
  </si>
  <si>
    <t>Expense ex-Profit Sharing</t>
  </si>
  <si>
    <t>Total Op Expense per ASM (ex fuel &amp; profit sharing)</t>
  </si>
  <si>
    <t>Implied Interest Rate and Forward Interest Rate Assumption</t>
  </si>
  <si>
    <t>Income Statement Views</t>
  </si>
  <si>
    <t>Last Twelve-Month View</t>
  </si>
  <si>
    <t>LTM Metrics</t>
  </si>
  <si>
    <t>LTM Operating Revenue</t>
  </si>
  <si>
    <t>LTM Passenger Revenue</t>
  </si>
  <si>
    <t>CASH FLOW FROM INVESTING</t>
  </si>
  <si>
    <t>Other Amortization</t>
  </si>
  <si>
    <t>Total D&amp;A</t>
  </si>
  <si>
    <t>LUV.N,mstag:statutoryTaxRate,2009FY,,FYE</t>
  </si>
  <si>
    <t>LUV.N,mstag:revenueNet,2009FY,,FYR,,,IN-PROGRESS</t>
  </si>
  <si>
    <t>Valuation</t>
  </si>
  <si>
    <t>Net Debt Calculations</t>
  </si>
  <si>
    <t>Unrestricted Cash Balance</t>
  </si>
  <si>
    <t>Total Cash Balance</t>
  </si>
  <si>
    <t>On Balance Sheet Debt</t>
  </si>
  <si>
    <t>Convertible Debt Adjustment</t>
  </si>
  <si>
    <t>Debt Net of Total Cash and Converts</t>
  </si>
  <si>
    <t>After Tax Asset Impairment Charge</t>
  </si>
  <si>
    <t>Currency</t>
  </si>
  <si>
    <t>NA</t>
  </si>
  <si>
    <t>Total Operating Expense per ASM</t>
  </si>
  <si>
    <t>2011A</t>
  </si>
  <si>
    <t>LUV.N,mstag:statutoryTaxRate,2011FY,,FYE</t>
  </si>
  <si>
    <t>LUV.N,mstag:statutoryTaxRate,2006FY,,FYE</t>
  </si>
  <si>
    <t>Treasury Stock</t>
  </si>
  <si>
    <t>Other Expense Detail</t>
  </si>
  <si>
    <t>Realized Price per Gallon</t>
  </si>
  <si>
    <t>Accounts Receivable</t>
  </si>
  <si>
    <t>LUV.N,mscalc:shareholdersEquityExcludingAdjustments2,2008Q1,,,USD</t>
  </si>
  <si>
    <t>GAAP Net Income</t>
  </si>
  <si>
    <t>Total Extraordinary Items (A/T)</t>
  </si>
  <si>
    <t>Total</t>
  </si>
  <si>
    <t>LTM Interest Expense</t>
  </si>
  <si>
    <t>LTM Net Interest Expense</t>
  </si>
  <si>
    <t>LTM Pre-Tax Income</t>
  </si>
  <si>
    <t>LTM Net Income</t>
  </si>
  <si>
    <t>% of Total Assets</t>
  </si>
  <si>
    <t>Net Income</t>
  </si>
  <si>
    <t>Air Traffic Liability</t>
  </si>
  <si>
    <t>Current Portion of Long-Term Debt</t>
  </si>
  <si>
    <t>Accounts Payable</t>
  </si>
  <si>
    <t>Other Current Liabilities</t>
  </si>
  <si>
    <t>Long-Term Debt, Less Current Portion</t>
  </si>
  <si>
    <t>Current Fixed Charge Ratio</t>
  </si>
  <si>
    <t>Min. Fixed Charge Ratio</t>
  </si>
  <si>
    <t>Other Current Assets</t>
  </si>
  <si>
    <t>Short-Term Debt</t>
  </si>
  <si>
    <t>LUV.N,mscalc:factsetIdCalc</t>
  </si>
  <si>
    <t>Market Value of Equity Calculations</t>
  </si>
  <si>
    <t>,mscalc:lastActualYearAsPerYearEndCalc</t>
  </si>
  <si>
    <t>LUV.N,mscalc:defaultCurrencyCalc</t>
  </si>
  <si>
    <t>MSA91FHR</t>
  </si>
  <si>
    <t>2012A</t>
  </si>
  <si>
    <t>LUV,mscalc:shareholdersEquityExcludingAdjustments2,2009Q1,,,USD,,P / E Valuation</t>
  </si>
  <si>
    <t>LUV,mscalc:shareholdersEquityExcludingAdjustments2,2009Q3,,,USD,,P / E Valuation</t>
  </si>
  <si>
    <t>LUV,mscalc:shareholdersEquityExcludingAdjustments2,2011Q1,,,USD,,P / E Valuation</t>
  </si>
  <si>
    <t xml:space="preserve"> </t>
  </si>
  <si>
    <t>Assumed Share Creep, annualized</t>
  </si>
  <si>
    <t>Stock Price Assumptions</t>
  </si>
  <si>
    <t>Avg. Stock Price Assumption (for repurchase calculation)</t>
  </si>
  <si>
    <t>Sequential Growth</t>
  </si>
  <si>
    <t>YoY % Change</t>
  </si>
  <si>
    <t>Period End Stock Price ($)</t>
  </si>
  <si>
    <t>Sequential Change ($)</t>
  </si>
  <si>
    <t>Sequential % Change</t>
  </si>
  <si>
    <t>LUV,mscalc:shareholdersEquityExcludingAdjustments2,2010Q3,,,USD</t>
  </si>
  <si>
    <t>LUV,mscalc:shareholdersEquityExcludingAdjustments2,2008Q1,,,USD</t>
  </si>
  <si>
    <t>LUV,mscalc:shareholdersEquityExcludingAdjustments2,2009Q2,,,USD</t>
  </si>
  <si>
    <t>LUV.N,mscalc:shareholdersEquityExcludingAdjustments2,2011Q1,,,USD</t>
  </si>
  <si>
    <t>LUV.N,mscalc:shareholdersEquityExcludingAdjustments2,2009Q2,,,USD</t>
  </si>
  <si>
    <t>Net adjustment for aircraft leases</t>
  </si>
  <si>
    <t>Adjustment for fuel hedge accounting</t>
  </si>
  <si>
    <t>Adjusted Operating Income</t>
  </si>
  <si>
    <t>Adjusted Average Invested Capital</t>
  </si>
  <si>
    <t>2009A</t>
  </si>
  <si>
    <t>LUV.N,mscalc:shareholdersEquityExcludingAdjustments2,2008Q2,,,USD</t>
  </si>
  <si>
    <t>LUV.N,mscalc:shareholdersEquityExcludingAdjustments2,2008Q4,,,USD</t>
  </si>
  <si>
    <t>LUV.N,mscalc:shareholdersEquityExcludingAdjustments2,2012Q1,,,USD</t>
  </si>
  <si>
    <t>Effective Tax Rate to = GAAP Net Income</t>
  </si>
  <si>
    <t>LUV,mscalc:shareholdersEquityExcludingAdjustments2,2007Q3,,,USD,,P / E Valuation</t>
  </si>
  <si>
    <t>Distribution</t>
  </si>
  <si>
    <t>Freight and Other Revenue (mm)</t>
  </si>
  <si>
    <t>Valuation Summary</t>
  </si>
  <si>
    <t>Current Stock Price</t>
  </si>
  <si>
    <t>% of LTM Operating Revenue</t>
  </si>
  <si>
    <t>LUV.N,mscalc:shareholdersEquityExcludingAdjustments2,2007Q4,,,USD</t>
  </si>
  <si>
    <t>$FZ$2</t>
  </si>
  <si>
    <t>7,121.718</t>
  </si>
  <si>
    <t>5,553.77</t>
  </si>
  <si>
    <t>6,485</t>
  </si>
  <si>
    <t>8,730</t>
  </si>
  <si>
    <t>4,953</t>
  </si>
  <si>
    <t>7,097</t>
  </si>
  <si>
    <t>6,554</t>
  </si>
  <si>
    <t>6,269</t>
  </si>
  <si>
    <t>6,465.176</t>
  </si>
  <si>
    <t>5,955.943</t>
  </si>
  <si>
    <t>7,185</t>
  </si>
  <si>
    <t>7,202</t>
  </si>
  <si>
    <t>6,877</t>
  </si>
  <si>
    <t>7,064</t>
  </si>
  <si>
    <t>6,776.358</t>
  </si>
  <si>
    <t>6,023.685</t>
  </si>
  <si>
    <t>6,032.08</t>
  </si>
  <si>
    <t>5,237.636</t>
  </si>
  <si>
    <t>LUV.N,mscalc:sedolCodeCalc</t>
  </si>
  <si>
    <t>2831543</t>
  </si>
  <si>
    <t>Effective Tax Rate</t>
  </si>
  <si>
    <t>Provision for Taxes (benefit)</t>
  </si>
  <si>
    <t>Count</t>
  </si>
  <si>
    <t>Taxes</t>
  </si>
  <si>
    <t>Debt Net of Unrest. Cash and Converts</t>
  </si>
  <si>
    <t>EBITDAR Margin</t>
  </si>
  <si>
    <t>Deferred Taxes</t>
  </si>
  <si>
    <t>% of Reported Taxes</t>
  </si>
  <si>
    <t>Total Changes in Working Capital and Other</t>
  </si>
  <si>
    <t>Capex</t>
  </si>
  <si>
    <t>Financed Capex</t>
  </si>
  <si>
    <t>Cash From Operations</t>
  </si>
  <si>
    <t>Revenue Passengers (mm)</t>
  </si>
  <si>
    <t>Available Seat Miles (mm)</t>
  </si>
  <si>
    <t>Passenger Load Factor</t>
  </si>
  <si>
    <t>Average Passenger Length of Haul</t>
  </si>
  <si>
    <t>NET INCOME AND EPS</t>
  </si>
  <si>
    <t>YoY % Chg.</t>
  </si>
  <si>
    <t>% of Total Capex Financed</t>
  </si>
  <si>
    <t>% of Op.Revenue</t>
  </si>
  <si>
    <t>Total Capex % of Depreciation</t>
  </si>
  <si>
    <t>Adj. EV / Sales</t>
  </si>
  <si>
    <t>Adj. EV / EBITDAR</t>
  </si>
  <si>
    <t>Share Price</t>
  </si>
  <si>
    <t>Enterprise Value Calculations</t>
  </si>
  <si>
    <t>EV on Debt Net of Total Cash and Converts</t>
  </si>
  <si>
    <t>LTM D&amp;A</t>
  </si>
  <si>
    <t>LUV,mscalc:shareholdersEquityExcludingAdjustments2,2007Q1,,,USD,,P / E Valuation</t>
  </si>
  <si>
    <t>LUV,mscalc:shareholdersEquityExcludingAdjustments2,2007Q2,,,USD,,P / E Valuation</t>
  </si>
  <si>
    <t>LUV.N,mscalc:shareholdersEquityExcludingAdjustments2,2007Q1,,,USD</t>
  </si>
  <si>
    <t>Proceeds from Sales, net of Acquisitions</t>
  </si>
  <si>
    <t>Dividends</t>
  </si>
  <si>
    <t>LUV,mscalc:shareholdersEquityExcludingAdjustments2,2010Q4,,,USD</t>
  </si>
  <si>
    <t>LUV,mscalc:shareholdersEquityExcludingAdjustments2,2011Q3,,,USD</t>
  </si>
  <si>
    <t>LUV,mscalc:shareholdersEquityExcludingAdjustments2,2009Q3,,,USD</t>
  </si>
  <si>
    <t>LUV,mscalc:shareholdersEquityExcludingAdjustments2,2012Q1,,,USD</t>
  </si>
  <si>
    <t>Interest Expense</t>
  </si>
  <si>
    <t>Interest Income</t>
  </si>
  <si>
    <t>Fuel Consumption by Segment</t>
  </si>
  <si>
    <t>1QA</t>
  </si>
  <si>
    <t>All Other Expenses</t>
  </si>
  <si>
    <t>Assets</t>
  </si>
  <si>
    <t>2011</t>
  </si>
  <si>
    <t>12</t>
  </si>
  <si>
    <t>LUV.N,mstag:statutoryTaxRate,2007FY,,FYE</t>
  </si>
  <si>
    <t>0.37</t>
  </si>
  <si>
    <t>EV on Mainline Rent Adj. Debt Net of Unrest. Cash and Converts</t>
  </si>
  <si>
    <t>EV on Total Rent Adj. Debt Net of Total Cash and Converts</t>
  </si>
  <si>
    <t>EBITDAR</t>
  </si>
  <si>
    <t>Pre-tax Income Profit Sharing Calculation</t>
  </si>
  <si>
    <t>Other Revenue (mm)</t>
  </si>
  <si>
    <t>Total Revenue (mm)</t>
  </si>
  <si>
    <t>Salaries, Wages &amp; Benefits</t>
  </si>
  <si>
    <t>Accumulated Other Comprehensive Inc.</t>
  </si>
  <si>
    <t>Restricted Cash in Current Assets</t>
  </si>
  <si>
    <t>Restricted Cash in LT Assets (i.e. impaired ARS)</t>
  </si>
  <si>
    <t>Available Lines of Credit</t>
  </si>
  <si>
    <t>Additional Paid-In Capital</t>
  </si>
  <si>
    <t>Revenue per Available Seat Mile (cents)</t>
  </si>
  <si>
    <t>Annualized Mainline Aircraft Rent</t>
  </si>
  <si>
    <t>Annualized Regional Rent</t>
  </si>
  <si>
    <t>Annualized Total Aircraft Rent</t>
  </si>
  <si>
    <t>Mainline Rent Adj. Debt Net of Total Cash and Converts</t>
  </si>
  <si>
    <t>Mainline Rent Adj. Debt Net of Unrest. Cash and Converts</t>
  </si>
  <si>
    <t>Total Rent Adj. Debt Net of Total Cash and Converts</t>
  </si>
  <si>
    <t>Total Rent Adj. Debt Net of Unrest. Cash and Converts</t>
  </si>
  <si>
    <t>Freight Revenue (mm)</t>
  </si>
  <si>
    <t>Fuel/PRASM Sensitivities</t>
  </si>
  <si>
    <t>Net Income Before Extraordinary Items</t>
  </si>
  <si>
    <t>Basic Shares Outstanding</t>
  </si>
  <si>
    <t>1990A</t>
  </si>
  <si>
    <t>Revenue Passenger Miles (mm)</t>
  </si>
  <si>
    <t>Baseline Unhedged Jet Fuel Price</t>
  </si>
  <si>
    <t>Gallons Consumed (mm)</t>
  </si>
  <si>
    <t>Gallons per 1,000 ASMs</t>
  </si>
  <si>
    <t xml:space="preserve">After Tax Restructuring Costs </t>
  </si>
  <si>
    <t>Total Liabilities</t>
  </si>
  <si>
    <t>Total Operating Expense per ASM (ex fuel)</t>
  </si>
  <si>
    <t>OPEB Contributions, net of I.S. expense</t>
  </si>
  <si>
    <t>,mscalc:defaultCurrencyCalc</t>
  </si>
  <si>
    <t>LUV.N,mscalc:lastActualYearAsPerYearEndCalc</t>
  </si>
  <si>
    <t>LUV.N,mscalc:fiscalYearEndMonth</t>
  </si>
  <si>
    <t>EPS</t>
  </si>
  <si>
    <t>Unrecorded goodwill from Poolings and accum amortization</t>
  </si>
  <si>
    <t>LUV,mscalc:shareholdersEquityExcludingAdjustments2,2009Q2,,,USD,,P / E Valuation</t>
  </si>
  <si>
    <t>LUV,mscalc:shareholdersEquityExcludingAdjustments2,2011Q3,,,USD,,P / E Valuation</t>
  </si>
  <si>
    <t>2005A</t>
  </si>
  <si>
    <t>Total Revenue per ASM (cents)</t>
  </si>
  <si>
    <t>LUV.N,mstag:statutoryTaxRate,2012FY,,FYE</t>
  </si>
  <si>
    <t>LUV.N,mstag:statutoryTaxRate,2008FY,,FYE</t>
  </si>
  <si>
    <t>LUV.N,mstag:statutoryTaxRate,2005FY,,FYE</t>
  </si>
  <si>
    <t>DEBT METRICS AND COVENANTS</t>
  </si>
  <si>
    <t>LIQUIDITY</t>
  </si>
  <si>
    <t>DEBT RATIOS</t>
  </si>
  <si>
    <t>COVENANT CHECK</t>
  </si>
  <si>
    <t>VALUATION</t>
  </si>
  <si>
    <t>KEY INPUTS</t>
  </si>
  <si>
    <t>Total Change in Debt</t>
  </si>
  <si>
    <t>Other, net</t>
  </si>
  <si>
    <t>Cash &amp; Cash Equivalents</t>
  </si>
  <si>
    <t>Short-Term Investments</t>
  </si>
  <si>
    <t>IR: 0.10-0.15 taxes + 0.05 transport</t>
  </si>
  <si>
    <t>5,631.813</t>
  </si>
  <si>
    <t>6,427</t>
  </si>
  <si>
    <t>6,941</t>
  </si>
  <si>
    <t>Traditional EBITDAR</t>
  </si>
  <si>
    <t>Total Unencumbered Assets</t>
  </si>
  <si>
    <t>% of Unencumbered Assets Applied to Liquidity</t>
  </si>
  <si>
    <t>Total Liquidity including Restriced Cash</t>
  </si>
  <si>
    <t>LUV,mscalc:shareholdersEquityExcludingAdjustments2,2011Q4,,,USD</t>
  </si>
  <si>
    <t>LUV,mscalc:shareholdersEquityExcludingAdjustments2,2008Q2,,,USD</t>
  </si>
  <si>
    <t>LUV,mscalc:shareholdersEquityExcludingAdjustments2,2007Q1,,,USD</t>
  </si>
  <si>
    <t>LUV,mscalc:shareholdersEquityExcludingAdjustments2,2007Q3,,,USD</t>
  </si>
  <si>
    <t>LUV,mscalc:shareholdersEquityExcludingAdjustments2,2011Q2,,,USD</t>
  </si>
  <si>
    <t>LUV.N,mscalc:shareholdersEquityExcludingAdjustments2,2010Q3,,,USD</t>
  </si>
  <si>
    <t>LUV.N,mscalc:shareholdersEquityExcludingAdjustments2,2009Q4,,,USD</t>
  </si>
  <si>
    <t>LUV,mscalc:shareholdersEquityExcludingAdjustments2,2007Q4,,,USD</t>
  </si>
  <si>
    <t>Unrestricted Cash and ST Investments</t>
  </si>
  <si>
    <t>Price / Pre-tax Income</t>
  </si>
  <si>
    <t>Price / Earnings</t>
  </si>
  <si>
    <t>EV / EBIT</t>
  </si>
  <si>
    <t>EV / EBITDA</t>
  </si>
  <si>
    <t>Fuel &amp; Oil</t>
  </si>
  <si>
    <t>Maintenance</t>
  </si>
  <si>
    <t>Accrural Net Share Issuance</t>
  </si>
  <si>
    <t>COMMENTS</t>
  </si>
  <si>
    <t>USD</t>
  </si>
  <si>
    <t>Gross Debt / LTM EBITDA</t>
  </si>
  <si>
    <t>Gross Debt / LTM EBITDAR</t>
  </si>
  <si>
    <t>2008A</t>
  </si>
  <si>
    <t>Cash &amp; ST Investments</t>
  </si>
  <si>
    <t>% of Op Revenue</t>
  </si>
  <si>
    <t>Restricted Cash</t>
  </si>
  <si>
    <t>% of Pax Revenue</t>
  </si>
  <si>
    <t>Total Cash &amp; Short-term Investments</t>
  </si>
  <si>
    <t>OPERATING STATISTICS</t>
  </si>
  <si>
    <t>INCOME STATEMENT</t>
  </si>
  <si>
    <t>OPERATING REVENUE</t>
  </si>
  <si>
    <t>OPERATING EXPENSES</t>
  </si>
  <si>
    <t>OPERATING SUMMARY</t>
  </si>
  <si>
    <t>EPS RECONCILIATION</t>
  </si>
  <si>
    <t>LUV,mscalc:shareholdersEquityExcludingAdjustments2,2008Q2,,,USD,,P / E Valuation</t>
  </si>
  <si>
    <t>LUV,mscalc:shareholdersEquityExcludingAdjustments2,2010Q3,,,USD,,P / E Valuation</t>
  </si>
  <si>
    <t>LUV,mscalc:shareholdersEquityExcludingAdjustments2,2012Q1,,,USD,,P / E Valuation</t>
  </si>
  <si>
    <t>2009 - Pro Forma</t>
  </si>
  <si>
    <t>Total Current Liabilities</t>
  </si>
  <si>
    <t>This sheet contains Factset binary data for use with this workbook's =FDS codes.  Modifying the worksheet's contents may damage the workbook's =FDS functionality.</t>
  </si>
  <si>
    <t>Inventories of Spare Parts</t>
  </si>
  <si>
    <t>% of Ex-Fuel Expenses</t>
  </si>
  <si>
    <t>Date</t>
  </si>
  <si>
    <t>LUV</t>
  </si>
  <si>
    <t>LUV.N</t>
  </si>
  <si>
    <t>Aircraft Rentals</t>
  </si>
  <si>
    <t>Landing Fees</t>
  </si>
  <si>
    <t>Hard Code</t>
  </si>
  <si>
    <t>LTM Operating Expense</t>
  </si>
  <si>
    <t>LTM Fuel Expense</t>
  </si>
  <si>
    <t>LTM Ex-Fuel Operating Expense</t>
  </si>
  <si>
    <t>LTM Mainline Aircraft Rent</t>
  </si>
  <si>
    <t>LTM Regional Rent</t>
  </si>
  <si>
    <t>LTM EBIT</t>
  </si>
  <si>
    <t>LTM EBITDA</t>
  </si>
  <si>
    <t>LTM EBITDAR</t>
  </si>
  <si>
    <t>LTM Regional Rent Adj EBITDAR</t>
  </si>
  <si>
    <t>LTM Interest Income</t>
  </si>
  <si>
    <t>Deferred Income Taxes</t>
  </si>
  <si>
    <t>CA Less Cash and Deferred Income Taxes</t>
  </si>
  <si>
    <t xml:space="preserve">Total Owned and Leased PPE </t>
  </si>
  <si>
    <t>Total Accumulated Depreciation</t>
  </si>
  <si>
    <t xml:space="preserve">Total Owned and Leased PPE, net </t>
  </si>
  <si>
    <t>Other Long-Term Assets</t>
  </si>
  <si>
    <t>LIABILITIES</t>
  </si>
  <si>
    <t>SHAREHOLDERS' EQUITY</t>
  </si>
  <si>
    <t>LUV,mscalc:shareholdersEquityExcludingAdjustments2,2010Q2,,,USD,,P / E Valuation</t>
  </si>
  <si>
    <t>Equity Buybacks</t>
  </si>
  <si>
    <t>Equity Issuance</t>
  </si>
  <si>
    <t>Total Change in Equity</t>
  </si>
  <si>
    <t>Debt Financing for Capex</t>
  </si>
  <si>
    <t>Debt Paydown</t>
  </si>
  <si>
    <t>Other Debt</t>
  </si>
  <si>
    <t>Price</t>
  </si>
  <si>
    <t>Total Liabilities and Equity</t>
  </si>
  <si>
    <t>Math Check: Assets - (Liab + Equity)</t>
  </si>
  <si>
    <t>Southwest Airlines</t>
  </si>
  <si>
    <t>Operating Revenue</t>
  </si>
  <si>
    <t>2007A</t>
  </si>
  <si>
    <t>Cash Flow From Operations</t>
  </si>
  <si>
    <t>2QE</t>
  </si>
  <si>
    <t>3QE</t>
  </si>
  <si>
    <t>After Tax Gains (Losses) from Sale of Operating Assets</t>
  </si>
  <si>
    <t>LTM EBITDA / LTM (Interest  + Aircraft Rent) Expense</t>
  </si>
  <si>
    <t>Total Liquidity ex-Restriced Cash</t>
  </si>
  <si>
    <t>Basic Earnings Per Share</t>
  </si>
  <si>
    <t>Diluted Earnings Per Share</t>
  </si>
  <si>
    <t>Diluted Shares Outstanding</t>
  </si>
  <si>
    <t>CASH FLOW FROM FINANCING</t>
  </si>
  <si>
    <t>Interest Add-back on Convertible Debt</t>
  </si>
  <si>
    <t>ROIC, pre-tax</t>
  </si>
  <si>
    <t>Total Assets</t>
  </si>
  <si>
    <t>2004A</t>
  </si>
  <si>
    <t>LUV,mscalc:shareholdersEquityExcludingAdjustments2,2008Q1,,,USD,,P / E Valuation</t>
  </si>
  <si>
    <t>#Refresh#</t>
  </si>
  <si>
    <t>LUV,mscalc:shareholdersEquityExcludingAdjustments2,2010Q1,,,USD,,P / E Valuation</t>
  </si>
  <si>
    <t>EV on Mainline Rent Adj. Debt Net of Total Cash and Converts</t>
  </si>
  <si>
    <t>Research</t>
  </si>
  <si>
    <t>Other</t>
  </si>
  <si>
    <t>LUV.N,mscalc:shareholdersEquityExcludingAdjustments2,2010Q2,,,USD</t>
  </si>
  <si>
    <t>LUV.N,mscalc:shareholdersEquityExcludingAdjustments2,2009Q1,,,USD</t>
  </si>
  <si>
    <t>Regional Rent Adj. EBITDAR</t>
  </si>
  <si>
    <t>Price / EBIT</t>
  </si>
  <si>
    <t>nmf</t>
  </si>
  <si>
    <t>Pre-tax Income</t>
  </si>
  <si>
    <t>2 YoY % Chg.</t>
  </si>
  <si>
    <t>Total Non-Current Assets</t>
  </si>
  <si>
    <t>Total Non-Current Liabilities</t>
  </si>
  <si>
    <t>Implied / Assumed Depreciable Life of PPE</t>
  </si>
  <si>
    <t>Year</t>
  </si>
  <si>
    <t>Gross Debt / LTM EBIT</t>
  </si>
  <si>
    <t>LUV,mscalc:shareholdersEquityExcludingAdjustments2,2009Q4,,,USD</t>
  </si>
  <si>
    <t>First Copy is Master - Other Sensitivities Are Linked to It - Caution When Changing</t>
  </si>
  <si>
    <t>Statutory Tax Rate</t>
  </si>
  <si>
    <t>Current Cash Balance</t>
  </si>
  <si>
    <t>Min. Cash Balance Covenant</t>
  </si>
  <si>
    <t>Hedged Fuel Price Forecasting Details</t>
  </si>
  <si>
    <t>Long Term Investments</t>
  </si>
  <si>
    <t>Cash From Investing</t>
  </si>
  <si>
    <t>Free Cash Flow</t>
  </si>
  <si>
    <t>Cash From Financing</t>
  </si>
  <si>
    <t>LTM Common-Sized Statement (% of LTM Total Revenue)</t>
  </si>
  <si>
    <t>LUV,mscalc:shareholdersEquityExcludingAdjustments2,2010Q4,,,USD,,P / E Valuation</t>
  </si>
  <si>
    <t>LTM EBIT / LTM (Interest  + Aircraft Rent) Expense</t>
  </si>
  <si>
    <t>Cash provided by (used in) operations</t>
  </si>
  <si>
    <t>Cash used in discontinued operations</t>
  </si>
  <si>
    <t>Beginning Cash</t>
  </si>
  <si>
    <t>Ending Cash</t>
  </si>
  <si>
    <t>Balance Sheet</t>
  </si>
  <si>
    <t>Cash Flow Statement</t>
  </si>
  <si>
    <t>Total Shareholders' Equity</t>
  </si>
  <si>
    <t>Net Earnings</t>
  </si>
  <si>
    <t>ASM per gallon</t>
  </si>
  <si>
    <t>Dividend and buybacks % of FCF</t>
  </si>
  <si>
    <t>38</t>
  </si>
  <si>
    <t>Approx. Hedge Cost</t>
  </si>
  <si>
    <t>2014A</t>
  </si>
  <si>
    <t>Hedge Close Out Cost</t>
  </si>
  <si>
    <t>Approx. % Hedge</t>
  </si>
  <si>
    <t>rajeev.lalwani@morganstanley.com</t>
  </si>
  <si>
    <t>(212) 761-8518</t>
  </si>
  <si>
    <t>Rajeev Lalwani</t>
  </si>
  <si>
    <t>Date:</t>
  </si>
  <si>
    <t>Price Target:</t>
  </si>
  <si>
    <t>Rating:</t>
  </si>
  <si>
    <t>Debt &amp; Rent to EBITDAR</t>
  </si>
  <si>
    <t>Net Debt &amp; Rent to EBITDAR</t>
  </si>
  <si>
    <t>Shareholder's Equity</t>
  </si>
  <si>
    <t>EBITDAR Margin (%)</t>
  </si>
  <si>
    <t>Operating Margin (%)</t>
  </si>
  <si>
    <t>Aircraft Rent @ 7x</t>
  </si>
  <si>
    <t>Debt</t>
  </si>
  <si>
    <t>Average Hedged Fuel ($/gal) - w/ taxes &amp; costs</t>
  </si>
  <si>
    <t>CASM Ex-Fuel &amp; Profits - YoY (%)</t>
  </si>
  <si>
    <t>Cash to Revenues (%)</t>
  </si>
  <si>
    <t>CASM - YoY (%)</t>
  </si>
  <si>
    <t>RASM - YoY (%)</t>
  </si>
  <si>
    <t>PRASM - YoY (%)</t>
  </si>
  <si>
    <t>Load Factor (%)</t>
  </si>
  <si>
    <t>Cash Flow from Financing</t>
  </si>
  <si>
    <t>ASM Growth - YoY (%)</t>
  </si>
  <si>
    <t>RPM - YoY (%)</t>
  </si>
  <si>
    <t>Net Equity Issuances/Buybacks</t>
  </si>
  <si>
    <t>Net Debt Change</t>
  </si>
  <si>
    <t>Implied Per Share Value</t>
  </si>
  <si>
    <t>Cash Flow from Investment</t>
  </si>
  <si>
    <t>Forecasted Shares (mil)</t>
  </si>
  <si>
    <t>Implied Equity Value</t>
  </si>
  <si>
    <t>Operating Cash Flow</t>
  </si>
  <si>
    <t>Net Debt and Rents</t>
  </si>
  <si>
    <t>EPS (Diluted)</t>
  </si>
  <si>
    <t>Diluted Shares (mil)</t>
  </si>
  <si>
    <t>Forecasted Aircraft Rent @ 7x</t>
  </si>
  <si>
    <t>Forecasted Debt</t>
  </si>
  <si>
    <t>Implied Enterprise Value</t>
  </si>
  <si>
    <t>Interest Expense and Other</t>
  </si>
  <si>
    <t>Assumed Multiple</t>
  </si>
  <si>
    <t>MS EBITDAR - Adjusted</t>
  </si>
  <si>
    <t>Oil Price Change (+$15-bbl / $0 / $0)</t>
  </si>
  <si>
    <t>Total Operating Expenses</t>
  </si>
  <si>
    <t>MS EBITDAR</t>
  </si>
  <si>
    <t>Implied FCF Yield</t>
  </si>
  <si>
    <t>Fuel</t>
  </si>
  <si>
    <t>Implied Target P/E</t>
  </si>
  <si>
    <t>Labor</t>
  </si>
  <si>
    <t>Implied Target EV/EBITDAR</t>
  </si>
  <si>
    <t>Total Revenues</t>
  </si>
  <si>
    <t>Price Return Potential</t>
  </si>
  <si>
    <t>Other Revenues</t>
  </si>
  <si>
    <t>Passenger Revenues</t>
  </si>
  <si>
    <t>Company Valuation</t>
  </si>
  <si>
    <t>Valuation Year</t>
  </si>
  <si>
    <t>SUMMARIZED FINANCIAL DATA</t>
  </si>
  <si>
    <t>BULL</t>
  </si>
  <si>
    <t>BASE</t>
  </si>
  <si>
    <t>BEAR</t>
  </si>
  <si>
    <t>BEAR TO BULL VALUATION</t>
  </si>
  <si>
    <t>$m, unless stated otherwise</t>
  </si>
  <si>
    <t>TRADING MULTIPLES - MSe</t>
  </si>
  <si>
    <t>FCF Yield</t>
  </si>
  <si>
    <t>P/E</t>
  </si>
  <si>
    <t>Debt to Capitalization</t>
  </si>
  <si>
    <t>Capacity Change - None</t>
  </si>
  <si>
    <t>PRASM Change (-2% / 0% / +2%)</t>
  </si>
  <si>
    <t>After-Tax ROIC (%) - excludes cash</t>
  </si>
  <si>
    <t>2018E</t>
  </si>
  <si>
    <t>2015A</t>
  </si>
  <si>
    <t>** Assume 4Q dividend paid in 1Q</t>
  </si>
  <si>
    <t>Pilots</t>
  </si>
  <si>
    <t>2019E</t>
  </si>
  <si>
    <t>Domestic</t>
  </si>
  <si>
    <t>YoY (%)</t>
  </si>
  <si>
    <t>International</t>
  </si>
  <si>
    <t>IR: 2% annual fleet growth</t>
  </si>
  <si>
    <t>Key Amendable Groups</t>
  </si>
  <si>
    <t>N/A</t>
  </si>
  <si>
    <t>Flight Attendants</t>
  </si>
  <si>
    <t>Wage Math</t>
  </si>
  <si>
    <t>Weight</t>
  </si>
  <si>
    <t>Wage Hike</t>
  </si>
  <si>
    <t>Pilot</t>
  </si>
  <si>
    <t>FA</t>
  </si>
  <si>
    <t>TWA</t>
  </si>
  <si>
    <t>Mechanics</t>
  </si>
  <si>
    <t>AMFA</t>
  </si>
  <si>
    <t>IAMAW</t>
  </si>
  <si>
    <t>Customer Service</t>
  </si>
  <si>
    <t>Ramp Agents</t>
  </si>
  <si>
    <t>FV of Hedges</t>
  </si>
  <si>
    <t>Hedge Impact</t>
  </si>
  <si>
    <t>Modeled Fuel</t>
  </si>
  <si>
    <t>Underlying Fuel</t>
  </si>
  <si>
    <t>Underlying Fuel per Gallon</t>
  </si>
  <si>
    <t>AC Capex</t>
  </si>
  <si>
    <t>Depreciation Rate</t>
  </si>
  <si>
    <t>Incr. Depreciation</t>
  </si>
  <si>
    <t>Modeled Incr. Depreciation</t>
  </si>
  <si>
    <t>Accelerated Depreciation</t>
  </si>
  <si>
    <t>2016A</t>
  </si>
  <si>
    <t>2019</t>
  </si>
  <si>
    <t>2020E</t>
  </si>
  <si>
    <t>Overweight</t>
  </si>
  <si>
    <t>2020</t>
  </si>
  <si>
    <t>1QE</t>
  </si>
  <si>
    <t>Capital commitments</t>
  </si>
  <si>
    <t>10Q: 4Q17 freight revenues to increase compared with  4Q16</t>
  </si>
  <si>
    <t>10Q: 4Q17 Other revenues to increase compared with  4Q16</t>
  </si>
  <si>
    <t>improvements to 2018 pre-tax results of an estimated $200 million</t>
  </si>
  <si>
    <t>10Q: benefits from the new reservation system capabilities to produce incremental</t>
  </si>
  <si>
    <t>2017A</t>
  </si>
  <si>
    <t>2018: 23-23.5%</t>
  </si>
  <si>
    <t>2018 CASM ex-fuel of flattish to down 1%</t>
  </si>
  <si>
    <t>1Q18 $2.10-2.15/gal</t>
  </si>
  <si>
    <t>2018: first half low 3%, second half low 7%</t>
  </si>
  <si>
    <t>2018: low 5%</t>
  </si>
  <si>
    <t>72</t>
  </si>
  <si>
    <t>Debt Maturities</t>
  </si>
  <si>
    <t>2019-2020</t>
  </si>
  <si>
    <t>2021-2022</t>
  </si>
  <si>
    <t>Thereafter</t>
  </si>
  <si>
    <t xml:space="preserve">On January 31, 2018, the Company launched a new accelerated share repurchase </t>
  </si>
  <si>
    <t xml:space="preserve">program by advancing $500 million to a financial institution in a privately </t>
  </si>
  <si>
    <t xml:space="preserve">negotiated transaction </t>
  </si>
  <si>
    <t xml:space="preserve">Subsequent to the launch of the First Quarter 2018 ASR Program, the Company has </t>
  </si>
  <si>
    <t xml:space="preserve">$850 million remaining under its May 2017 $2.0 billion share repurchase authorization. </t>
  </si>
  <si>
    <t>10Q: 1Q18 Aircraft Rentals/ASM to decrease comapred to that of 1Q17</t>
  </si>
  <si>
    <t>10Q: 1Q18 Maintenance/ASM expected to increase compared to that of 1Q18</t>
  </si>
  <si>
    <t xml:space="preserve">10Q: 1Q18 Other operating expenses/ASM to increase compared to that of 1Q17 </t>
  </si>
  <si>
    <t xml:space="preserve">10Q: 1Q18 Landing fees and other rentals/ASM to increase compared to that of 1Q17 </t>
  </si>
  <si>
    <t>10Q: 1Q18 D&amp;A/ASM to decrease compared to that of 1Q17</t>
  </si>
  <si>
    <t>10Q: 1Q18 SW&amp;B ex Profitsharing/ASM to increase compared with 1Q18</t>
  </si>
  <si>
    <t>Matt Sharpe</t>
  </si>
  <si>
    <t>(212) 761-5156</t>
  </si>
  <si>
    <t>matt.sharpe@morganstanley.com</t>
  </si>
  <si>
    <t>1Q18: RASM flattish on $13.23</t>
  </si>
  <si>
    <t>1Q18 CASM ex-fuel of flat to up 1.0%</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</si>
  <si>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</si>
  <si>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</si>
  <si>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</si>
  <si>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</si>
  <si>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</si>
  <si>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</si>
  <si>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</si>
  <si>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</si>
  <si>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11 Apr 2018</t>
  </si>
  <si>
    <t>Ticker: LUV.N</t>
  </si>
  <si>
    <t>Stock Rating: Overweight</t>
  </si>
  <si>
    <t>Industry: Airlines</t>
  </si>
  <si>
    <t>Industry View: In-Line</t>
  </si>
  <si>
    <t>Price as of 11 Apr 2018: 54.02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</si>
  <si>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</si>
  <si>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</si>
  <si>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</si>
  <si>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</si>
  <si>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Southwest Airlines.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</si>
  <si>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</si>
  <si>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</si>
  <si>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</si>
  <si>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</si>
  <si>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</si>
  <si>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</si>
  <si>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</si>
  <si>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</si>
  <si>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</si>
  <si>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</si>
  <si>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</si>
  <si>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</si>
  <si>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</si>
  <si>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</si>
  <si>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</si>
  <si>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</si>
  <si>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</si>
  <si>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</si>
  <si>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</si>
  <si>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</si>
  <si>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</si>
  <si>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</si>
  <si>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</si>
  <si>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</si>
  <si>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</si>
  <si>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</si>
  <si>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</si>
  <si>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</si>
  <si>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</si>
  <si>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</si>
  <si>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</si>
  <si>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</si>
  <si>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</si>
  <si>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</si>
  <si>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</si>
  <si>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</si>
  <si>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</si>
  <si>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</si>
  <si>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</si>
  <si>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</si>
  <si>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</si>
  <si>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</si>
  <si>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</si>
  <si>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</si>
  <si>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</si>
  <si>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</si>
  <si>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</si>
  <si>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</si>
  <si>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</si>
  <si>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</si>
  <si>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</si>
  <si>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</si>
  <si>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</si>
  <si>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</si>
  <si>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</si>
  <si>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</si>
  <si>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</si>
  <si>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</si>
  <si>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</si>
  <si>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</si>
  <si>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</si>
  <si>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</si>
  <si>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</si>
  <si>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</si>
  <si>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</si>
  <si>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</si>
  <si>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</si>
  <si>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</si>
  <si>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</si>
  <si>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</si>
  <si>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</si>
  <si>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</si>
  <si>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</si>
  <si>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</si>
  <si>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</si>
  <si>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</si>
  <si>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</si>
  <si>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</si>
  <si>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</si>
  <si>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</si>
  <si>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</si>
  <si>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</si>
  <si>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</si>
  <si>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</si>
  <si>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</si>
  <si>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</si>
  <si>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</si>
  <si>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</si>
  <si>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</si>
  <si>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</si>
  <si>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</si>
  <si>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</si>
  <si>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</si>
  <si>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</si>
  <si>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</si>
  <si>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</si>
  <si>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</si>
  <si>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</si>
  <si>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</si>
  <si>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</si>
  <si>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</si>
  <si>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</si>
  <si>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</si>
  <si>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</si>
  <si>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</si>
  <si>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</si>
  <si>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</si>
  <si>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</si>
  <si>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</si>
  <si>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</si>
  <si>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</si>
  <si>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</si>
  <si>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</si>
  <si>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</si>
  <si>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</si>
  <si>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</si>
  <si>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</si>
  <si>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</si>
  <si>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</si>
  <si>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</si>
  <si>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</si>
  <si>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</si>
  <si>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</si>
  <si>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</si>
  <si>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</si>
  <si>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</si>
  <si>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</si>
  <si>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</si>
  <si>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</si>
  <si>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</si>
  <si>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</si>
  <si>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</si>
  <si>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</si>
  <si>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</si>
  <si>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</si>
  <si>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</si>
  <si>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</si>
  <si>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</si>
  <si>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</si>
  <si>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</si>
  <si>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</si>
  <si>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</si>
  <si>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</si>
  <si>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</si>
  <si>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</si>
  <si>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</si>
  <si>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</si>
  <si>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</si>
  <si>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</si>
  <si>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</si>
  <si>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</si>
  <si>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</si>
  <si>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</si>
  <si>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</si>
  <si>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</si>
  <si>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</si>
  <si>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</si>
  <si>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</si>
  <si>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</si>
  <si>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</si>
  <si>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</si>
  <si>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</si>
  <si>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</si>
  <si>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</si>
  <si>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</si>
  <si>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</si>
  <si>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</si>
  <si>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</si>
  <si>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</si>
  <si>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</si>
  <si>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</si>
  <si>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</si>
  <si>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</si>
  <si>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</si>
  <si>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</si>
  <si>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</si>
  <si>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Southwest Airlines.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</si>
  <si>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</si>
  <si>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</si>
  <si>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</si>
  <si>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</si>
  <si>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</si>
  <si>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</si>
  <si>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</si>
  <si>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</si>
  <si>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</si>
  <si>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</si>
  <si>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</si>
  <si>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</si>
  <si>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</si>
  <si>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</si>
  <si>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</si>
  <si>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</si>
  <si>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</si>
  <si>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</si>
  <si>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</si>
  <si>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</si>
  <si>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</si>
  <si>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</si>
  <si>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</si>
  <si>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</si>
  <si>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</si>
  <si>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</si>
  <si>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</si>
  <si>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</si>
  <si>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</si>
  <si>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</si>
  <si>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</si>
  <si>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</si>
  <si>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</si>
  <si>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</si>
  <si>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</si>
  <si>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</si>
  <si>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</si>
  <si>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</si>
  <si>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</si>
  <si>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</si>
  <si>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</si>
  <si>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</si>
  <si>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</si>
  <si>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</si>
  <si>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</si>
  <si>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</si>
  <si>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</si>
  <si>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</si>
  <si>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</si>
  <si>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</si>
  <si>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</si>
  <si>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</si>
  <si>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</si>
  <si>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</si>
  <si>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</si>
  <si>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</si>
  <si>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</si>
  <si>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</si>
  <si>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</si>
  <si>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</si>
  <si>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</si>
  <si>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</si>
  <si>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</si>
  <si>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</si>
  <si>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</si>
  <si>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</si>
  <si>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</si>
  <si>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</si>
  <si>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Southwest Airlines.</t>
  </si>
  <si>
    <t>Within the last 12 months, Morgan Stanley has provided or is providing investment banking services to,</t>
  </si>
  <si>
    <t>or has an investment banking client relationship with, the following company: Southwest Airlines.</t>
  </si>
  <si>
    <t>Within the last 12 months, Morgan Stanley has received compensation for products and services other than</t>
  </si>
  <si>
    <t>investment banking services from Southwest Airlines.</t>
  </si>
  <si>
    <t>In the next 3 months, Morgan Stanley expects to receive or intends to seek compensation for investment</t>
  </si>
  <si>
    <t>banking services from Southwest Airlines.</t>
  </si>
  <si>
    <t>Within the last 12 months, Morgan Stanley has received compensation for investment banking services from</t>
  </si>
  <si>
    <t>Southwest Airlines.</t>
  </si>
  <si>
    <t>Within the last 12 months, Morgan Stanley managed or co-managed a public offering (or 144A offering) of</t>
  </si>
  <si>
    <t>securities of Southwest Airlines.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</si>
  <si>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</si>
  <si>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</si>
  <si>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</si>
  <si>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</si>
  <si>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</si>
  <si>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</si>
  <si>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</si>
  <si>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</si>
  <si>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</si>
  <si>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</si>
  <si>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</si>
  <si>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</si>
  <si>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</si>
  <si>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</si>
  <si>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</si>
  <si>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</si>
  <si>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</si>
  <si>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</si>
  <si>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</si>
  <si>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</si>
  <si>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</si>
  <si>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</si>
  <si>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</si>
  <si>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</si>
  <si>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</si>
  <si>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</si>
  <si>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</si>
  <si>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</si>
  <si>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</si>
  <si>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</si>
  <si>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</si>
  <si>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</si>
  <si>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</si>
  <si>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</si>
  <si>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</si>
  <si>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</si>
  <si>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</si>
  <si>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</si>
  <si>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</si>
  <si>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</si>
  <si>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</si>
  <si>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</si>
  <si>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</si>
  <si>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</si>
  <si>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</si>
  <si>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</si>
  <si>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</si>
  <si>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</si>
  <si>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</si>
  <si>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</si>
  <si>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</si>
  <si>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</si>
  <si>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</si>
  <si>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</si>
  <si>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</si>
  <si>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</si>
  <si>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</si>
  <si>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</si>
  <si>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</si>
  <si>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</si>
  <si>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</si>
  <si>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</si>
  <si>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</si>
  <si>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</si>
  <si>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</si>
  <si>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</si>
  <si>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</si>
  <si>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</si>
  <si>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</si>
  <si>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</si>
  <si>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</si>
  <si>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</si>
  <si>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</si>
  <si>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</si>
  <si>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</si>
  <si>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</si>
  <si>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sharpmat</t>
  </si>
  <si>
    <t>L:\FREIGHT-NY\WG Airlines\LUV\LUVQQ.WIP.xlsm</t>
  </si>
  <si>
    <t>[BRO MSA]</t>
  </si>
  <si>
    <t>[PRODUCT MODEL]</t>
  </si>
  <si>
    <t>[EMAIL_ALERT YES]</t>
  </si>
  <si>
    <t>[DISCIPLINE Company]</t>
  </si>
  <si>
    <t>[SUPPRESSED NO]</t>
  </si>
  <si>
    <t>[DOCDAT 2018-04-11]</t>
  </si>
  <si>
    <t>[DOCTIME 11:57]</t>
  </si>
  <si>
    <t>[PSYM LUV.N(S&amp;P) (None)]</t>
  </si>
  <si>
    <t>[COU 1]</t>
  </si>
  <si>
    <t>[ANA ]</t>
  </si>
  <si>
    <t>[HL LUV.N Model]</t>
  </si>
  <si>
    <t>[IND AIRTRN]</t>
  </si>
  <si>
    <t>[PANA MSA91FHR]</t>
  </si>
  <si>
    <t>Target Price: 69</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</si>
</sst>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quot;$&quot;#,##0.0"/>
    <numFmt numFmtId="168" formatCode="&quot;$&quot;#,##0.00"/>
    <numFmt numFmtId="169" formatCode="&quot;$&quot;#,##0"/>
    <numFmt numFmtId="170" formatCode="&quot;$&quot;#,##0.0_);\(&quot;$&quot;#,##0.0\)"/>
    <numFmt numFmtId="171" formatCode="_(* #,##0.0_);_(* \(#,##0.0\);_(* &quot;-&quot;??_);_(@_)"/>
    <numFmt numFmtId="172" formatCode="_(* #,##0_);_(* \(#,##0\);_(* &quot;-&quot;??_);_(@_)"/>
    <numFmt numFmtId="173" formatCode="#,##0.0_);\(#,##0.0\)"/>
    <numFmt numFmtId="174" formatCode="0_);\(0\)"/>
    <numFmt numFmtId="175" formatCode="0.00_);\(0.00\)"/>
    <numFmt numFmtId="176" formatCode="0.0\x"/>
    <numFmt numFmtId="177" formatCode="0_)"/>
    <numFmt numFmtId="179" formatCode="m/d/yy;@"/>
    <numFmt numFmtId="180" formatCode="0&quot;e&quot;"/>
    <numFmt numFmtId="181" formatCode="[$-F400]h:mm:ss\ AM/PM"/>
    <numFmt numFmtId="182" formatCode="0&quot;E&quot;"/>
    <numFmt numFmtId="183" formatCode="0.0&quot;e&quot;"/>
    <numFmt numFmtId="184" formatCode="mm/dd/yy\ hh:mm"/>
  </numFmts>
  <fonts count="79" x14ac:knownFonts="1">
    <font>
      <sz val="10"/>
      <name val="Times New Roman"/>
    </font>
    <font>
      <sz val="10"/>
      <name val="Times New Roman"/>
      <family val="1"/>
    </font>
    <font>
      <sz val="10"/>
      <name val="Arial"/>
      <family val="2"/>
    </font>
    <font>
      <b/>
      <sz val="10"/>
      <name val="Arial"/>
      <family val="2"/>
    </font>
    <font>
      <sz val="8"/>
      <color indexed="81"/>
      <name val="Tahoma"/>
      <family val="2"/>
    </font>
    <font>
      <b/>
      <sz val="8"/>
      <color indexed="81"/>
      <name val="Tahoma"/>
      <family val="2"/>
    </font>
    <font>
      <sz val="10"/>
      <name val="Times New Roman"/>
      <family val="1"/>
    </font>
    <font>
      <sz val="10"/>
      <name val="Arial"/>
      <family val="2"/>
    </font>
    <font>
      <sz val="8"/>
      <name val="Times New Roman"/>
      <family val="1"/>
    </font>
    <font>
      <sz val="9"/>
      <name val="Times New Roman"/>
      <family val="1"/>
    </font>
    <font>
      <sz val="8"/>
      <color indexed="12"/>
      <name val="Arial"/>
      <family val="2"/>
    </font>
    <font>
      <sz val="10"/>
      <name val="MS Sans Serif"/>
      <family val="2"/>
    </font>
    <font>
      <sz val="8"/>
      <name val="Arial"/>
      <family val="2"/>
    </font>
    <font>
      <b/>
      <sz val="8"/>
      <name val="Arial"/>
      <family val="2"/>
    </font>
    <font>
      <i/>
      <sz val="8"/>
      <name val="Arial"/>
      <family val="2"/>
    </font>
    <font>
      <b/>
      <sz val="8"/>
      <name val="Arial"/>
      <family val="2"/>
    </font>
    <font>
      <b/>
      <sz val="8"/>
      <color indexed="12"/>
      <name val="Arial"/>
      <family val="2"/>
    </font>
    <font>
      <b/>
      <sz val="8"/>
      <color indexed="10"/>
      <name val="Arial"/>
      <family val="2"/>
    </font>
    <font>
      <u/>
      <sz val="8"/>
      <color indexed="81"/>
      <name val="Tahoma"/>
      <family val="2"/>
    </font>
    <font>
      <sz val="10"/>
      <color indexed="9"/>
      <name val="Arial"/>
      <family val="2"/>
    </font>
    <font>
      <b/>
      <sz val="10"/>
      <color indexed="81"/>
      <name val="Arial"/>
      <family val="2"/>
    </font>
    <font>
      <sz val="10"/>
      <color indexed="81"/>
      <name val="Arial"/>
      <family val="2"/>
    </font>
    <font>
      <b/>
      <sz val="10"/>
      <color indexed="8"/>
      <name val="Times New Roman"/>
      <family val="1"/>
    </font>
    <font>
      <sz val="10"/>
      <color indexed="8"/>
      <name val="Times New Roman"/>
      <family val="1"/>
    </font>
    <font>
      <b/>
      <i/>
      <sz val="8"/>
      <color indexed="10"/>
      <name val="Arial"/>
      <family val="2"/>
    </font>
    <font>
      <i/>
      <sz val="10"/>
      <name val="Arial"/>
      <family val="2"/>
    </font>
    <font>
      <i/>
      <sz val="8"/>
      <name val="Times New Roman"/>
      <family val="1"/>
    </font>
    <font>
      <sz val="8"/>
      <color indexed="9"/>
      <name val="Arial"/>
      <family val="2"/>
    </font>
    <font>
      <b/>
      <sz val="8"/>
      <color indexed="9"/>
      <name val="Arial"/>
      <family val="2"/>
    </font>
    <font>
      <b/>
      <i/>
      <sz val="8"/>
      <name val="Arial"/>
      <family val="2"/>
    </font>
    <font>
      <b/>
      <sz val="8"/>
      <color indexed="8"/>
      <name val="Arial"/>
      <family val="2"/>
    </font>
    <font>
      <sz val="10"/>
      <name val="Courier"/>
      <family val="3"/>
    </font>
    <font>
      <sz val="8"/>
      <color indexed="8"/>
      <name val="Arial"/>
      <family val="2"/>
    </font>
    <font>
      <i/>
      <sz val="8"/>
      <color indexed="12"/>
      <name val="Arial"/>
      <family val="2"/>
    </font>
    <font>
      <i/>
      <sz val="8"/>
      <color indexed="8"/>
      <name val="Arial"/>
      <family val="2"/>
    </font>
    <font>
      <b/>
      <sz val="8"/>
      <name val="Times New Roman"/>
      <family val="1"/>
    </font>
    <font>
      <i/>
      <sz val="8"/>
      <name val="Times New Roman"/>
      <family val="1"/>
    </font>
    <font>
      <sz val="8"/>
      <color indexed="8"/>
      <name val="Helvetica"/>
      <family val="2"/>
    </font>
    <font>
      <sz val="8"/>
      <name val="Helvetica"/>
      <family val="2"/>
    </font>
    <font>
      <b/>
      <sz val="8"/>
      <name val="Helvetica"/>
      <family val="2"/>
    </font>
    <font>
      <sz val="8"/>
      <color indexed="9"/>
      <name val="Helvetica"/>
      <family val="2"/>
    </font>
    <font>
      <sz val="8"/>
      <color indexed="12"/>
      <name val="Helvetica"/>
      <family val="2"/>
    </font>
    <font>
      <sz val="10"/>
      <name val="Times New Roman"/>
      <family val="1"/>
    </font>
    <font>
      <sz val="8"/>
      <name val="Helvetica"/>
      <family val="2"/>
    </font>
    <font>
      <b/>
      <sz val="10"/>
      <name val="Times New Roman"/>
      <family val="1"/>
    </font>
    <font>
      <sz val="10"/>
      <name val="Arial"/>
      <family val="2"/>
    </font>
    <font>
      <b/>
      <sz val="11"/>
      <color indexed="16"/>
      <name val="Arial"/>
      <family val="2"/>
    </font>
    <font>
      <b/>
      <sz val="10"/>
      <color indexed="16"/>
      <name val="Arial"/>
      <family val="2"/>
    </font>
    <font>
      <sz val="10"/>
      <color indexed="16"/>
      <name val="Arial"/>
      <family val="2"/>
    </font>
    <font>
      <b/>
      <sz val="12"/>
      <color indexed="9"/>
      <name val="Arial"/>
      <family val="2"/>
    </font>
    <font>
      <b/>
      <sz val="18"/>
      <color indexed="9"/>
      <name val="Arial"/>
      <family val="2"/>
    </font>
    <font>
      <sz val="10"/>
      <name val="Times New Roman"/>
      <family val="1"/>
    </font>
    <font>
      <i/>
      <sz val="10"/>
      <color indexed="9"/>
      <name val="Arial"/>
      <family val="2"/>
    </font>
    <font>
      <sz val="12"/>
      <color indexed="16"/>
      <name val="Arial"/>
      <family val="2"/>
    </font>
    <font>
      <b/>
      <sz val="12"/>
      <color indexed="12"/>
      <name val="Arial"/>
      <family val="2"/>
    </font>
    <font>
      <b/>
      <sz val="14"/>
      <color indexed="9"/>
      <name val="Arial"/>
      <family val="2"/>
    </font>
    <font>
      <sz val="8"/>
      <color rgb="FF0000FF"/>
      <name val="Arial"/>
      <family val="2"/>
    </font>
    <font>
      <sz val="10"/>
      <color rgb="FF002060"/>
      <name val="Times New Roman"/>
      <family val="1"/>
    </font>
    <font>
      <b/>
      <sz val="10"/>
      <color rgb="FF002060"/>
      <name val="Arial"/>
      <family val="2"/>
    </font>
    <font>
      <b/>
      <sz val="11"/>
      <color rgb="FF002060"/>
      <name val="Arial"/>
      <family val="2"/>
    </font>
    <font>
      <sz val="10"/>
      <color rgb="FF002060"/>
      <name val="Arial"/>
      <family val="2"/>
    </font>
    <font>
      <b/>
      <u/>
      <sz val="10"/>
      <color rgb="FF0070C0"/>
      <name val="Arial"/>
      <family val="2"/>
    </font>
    <font>
      <sz val="10"/>
      <color theme="0"/>
      <name val="Arial"/>
      <family val="2"/>
    </font>
    <font>
      <b/>
      <sz val="10"/>
      <color theme="0"/>
      <name val="Arial"/>
      <family val="2"/>
    </font>
    <font>
      <sz val="10"/>
      <color rgb="FF0070C0"/>
      <name val="Arial"/>
      <family val="2"/>
    </font>
    <font>
      <i/>
      <sz val="10"/>
      <color rgb="FF0070C0"/>
      <name val="Arial"/>
      <family val="2"/>
    </font>
    <font>
      <b/>
      <sz val="10"/>
      <color rgb="FF0070C0"/>
      <name val="Arial"/>
      <family val="2"/>
    </font>
    <font>
      <b/>
      <sz val="10"/>
      <color theme="1"/>
      <name val="Arial"/>
      <family val="2"/>
    </font>
    <font>
      <b/>
      <sz val="9"/>
      <color indexed="81"/>
      <name val="Tahoma"/>
      <family val="2"/>
    </font>
    <font>
      <sz val="9"/>
      <color indexed="81"/>
      <name val="Tahoma"/>
      <family val="2"/>
    </font>
    <font>
      <i/>
      <sz val="8"/>
      <color rgb="FF137CB1"/>
      <name val="Arial"/>
      <family val="2"/>
    </font>
    <font>
      <b/>
      <sz val="8"/>
      <color rgb="FF137CB1"/>
      <name val="Arial"/>
      <family val="2"/>
    </font>
    <font>
      <sz val="8"/>
      <color rgb="FF137CB1"/>
      <name val="Arial"/>
      <family val="2"/>
    </font>
    <font>
      <sz val="10"/>
      <name val="Arial"/>
      <family val="2"/>
    </font>
    <font>
      <sz val="8"/>
      <color rgb="FF00843C"/>
      <name val="Arial"/>
      <family val="2"/>
    </font>
    <font>
      <b/>
      <sz val="8"/>
      <color rgb="FF00843C"/>
      <name val="Arial"/>
      <family val="2"/>
    </font>
    <font>
      <sz val="10"/>
      <color rgb="FF000000"/>
      <name val="Arial"/>
      <family val="2"/>
    </font>
    <font>
      <sz val="11"/>
      <name val="Arial"/>
      <family val="2"/>
    </font>
    <font>
      <b/>
      <sz val="12"/>
      <color rgb="FF000080"/>
      <name val="Arial"/>
      <family val="2"/>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18"/>
        <bgColor indexed="64"/>
      </patternFill>
    </fill>
    <fill>
      <patternFill patternType="solid">
        <fgColor indexed="48"/>
        <bgColor indexed="64"/>
      </patternFill>
    </fill>
    <fill>
      <patternFill patternType="solid">
        <fgColor indexed="5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3" tint="0.79998168889431442"/>
        <bgColor indexed="64"/>
      </patternFill>
    </fill>
    <fill>
      <patternFill patternType="solid">
        <fgColor rgb="FF00B050"/>
        <bgColor indexed="64"/>
      </patternFill>
    </fill>
    <fill>
      <patternFill patternType="solid">
        <fgColor indexed="65"/>
        <bgColor indexed="64"/>
      </patternFill>
    </fill>
  </fills>
  <borders count="30">
    <border>
      <left/>
      <right/>
      <top/>
      <bottom/>
      <diagonal/>
    </border>
    <border>
      <left style="thin">
        <color indexed="64"/>
      </left>
      <right/>
      <top/>
      <bottom/>
      <diagonal/>
    </border>
    <border>
      <left/>
      <right/>
      <top/>
      <bottom style="thin">
        <color indexed="64"/>
      </bottom>
      <diagonal/>
    </border>
    <border>
      <left/>
      <right/>
      <top/>
      <bottom style="hair">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8"/>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medium">
        <color indexed="64"/>
      </left>
      <right/>
      <top/>
      <bottom/>
      <diagonal/>
    </border>
    <border>
      <left style="dotted">
        <color indexed="64"/>
      </left>
      <right style="dotted">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2">
    <xf numFmtId="0" fontId="0" fillId="0" borderId="0"/>
    <xf numFmtId="0" fontId="73" fillId="0" borderId="0"/>
    <xf numFmtId="0" fontId="7" fillId="0" borderId="0"/>
    <xf numFmtId="0" fontId="2" fillId="0" borderId="0" applyNumberFormat="0" applyFont="0" applyFill="0" applyBorder="0" applyAlignment="0" applyProtection="0"/>
    <xf numFmtId="0" fontId="2" fillId="0" borderId="0" applyNumberFormat="0" applyFill="0" applyBorder="0" applyAlignment="0" applyProtection="0"/>
    <xf numFmtId="0" fontId="7" fillId="0" borderId="0"/>
    <xf numFmtId="0" fontId="11" fillId="0" borderId="0"/>
    <xf numFmtId="0" fontId="11" fillId="0" borderId="0"/>
    <xf numFmtId="44" fontId="73" fillId="0" borderId="0" applyFont="0" applyFill="0" applyBorder="0" applyAlignment="0" applyProtection="0"/>
    <xf numFmtId="0" fontId="22" fillId="0" borderId="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1" fillId="0" borderId="0" applyFont="0" applyFill="0" applyBorder="0" applyAlignment="0" applyProtection="0"/>
    <xf numFmtId="0" fontId="45" fillId="0" borderId="0"/>
    <xf numFmtId="0" fontId="6" fillId="0" borderId="0"/>
    <xf numFmtId="0" fontId="7" fillId="0" borderId="0"/>
    <xf numFmtId="0" fontId="6" fillId="0" borderId="0"/>
    <xf numFmtId="0" fontId="6" fillId="0" borderId="0"/>
    <xf numFmtId="0" fontId="1" fillId="0" borderId="0"/>
    <xf numFmtId="0" fontId="31" fillId="0" borderId="0"/>
    <xf numFmtId="0" fontId="9" fillId="0" borderId="0">
      <alignment vertical="center"/>
    </xf>
    <xf numFmtId="9" fontId="1" fillId="0" borderId="0" applyFont="0" applyFill="0" applyBorder="0" applyAlignment="0" applyProtection="0"/>
    <xf numFmtId="0" fontId="2" fillId="3" borderId="0" applyNumberFormat="0" applyFont="0" applyBorder="0" applyAlignment="0" applyProtection="0"/>
    <xf numFmtId="0" fontId="23" fillId="0" borderId="0"/>
    <xf numFmtId="0" fontId="23" fillId="0" borderId="7">
      <alignment horizontal="centerContinuous"/>
    </xf>
    <xf numFmtId="0" fontId="26" fillId="0" borderId="7"/>
    <xf numFmtId="0" fontId="12" fillId="4" borderId="6" applyNumberFormat="0" applyProtection="0">
      <alignment wrapText="1"/>
    </xf>
    <xf numFmtId="9" fontId="2" fillId="0" borderId="0" applyFont="0" applyFill="0" applyBorder="0" applyAlignment="0" applyProtection="0"/>
    <xf numFmtId="43" fontId="2" fillId="0" borderId="0" applyFont="0" applyFill="0" applyBorder="0" applyAlignment="0" applyProtection="0"/>
    <xf numFmtId="0" fontId="31" fillId="0" borderId="0"/>
    <xf numFmtId="0" fontId="2" fillId="0" borderId="0"/>
  </cellStyleXfs>
  <cellXfs count="928">
    <xf numFmtId="0" fontId="0" fillId="0" borderId="0" xfId="0"/>
    <xf numFmtId="49" fontId="0" fillId="0" borderId="0" xfId="0" applyNumberFormat="1"/>
    <xf numFmtId="0" fontId="3" fillId="0" borderId="0" xfId="0" applyFont="1"/>
    <xf numFmtId="0" fontId="2" fillId="0" borderId="0" xfId="0" applyFont="1"/>
    <xf numFmtId="0" fontId="12" fillId="0" borderId="0" xfId="0" applyFont="1"/>
    <xf numFmtId="0" fontId="0" fillId="0" borderId="0" xfId="0" applyFill="1"/>
    <xf numFmtId="0" fontId="28" fillId="5" borderId="0" xfId="20" applyFont="1" applyFill="1" applyBorder="1" applyAlignment="1">
      <alignment horizontal="left"/>
    </xf>
    <xf numFmtId="0" fontId="28" fillId="6" borderId="0" xfId="20" applyFont="1" applyFill="1" applyBorder="1" applyAlignment="1">
      <alignment horizontal="left"/>
    </xf>
    <xf numFmtId="169" fontId="15" fillId="2" borderId="0" xfId="20" applyNumberFormat="1" applyFont="1" applyFill="1" applyBorder="1" applyAlignment="1" applyProtection="1">
      <alignment horizontal="left"/>
      <protection locked="0"/>
    </xf>
    <xf numFmtId="169" fontId="15" fillId="2" borderId="0" xfId="20" applyNumberFormat="1" applyFont="1" applyFill="1" applyBorder="1" applyAlignment="1" applyProtection="1">
      <alignment horizontal="right"/>
      <protection locked="0"/>
    </xf>
    <xf numFmtId="169" fontId="15" fillId="2" borderId="13" xfId="20" applyNumberFormat="1" applyFont="1" applyFill="1" applyBorder="1" applyAlignment="1" applyProtection="1">
      <alignment horizontal="right"/>
      <protection locked="0"/>
    </xf>
    <xf numFmtId="0" fontId="8" fillId="0" borderId="0" xfId="0" applyFont="1"/>
    <xf numFmtId="164" fontId="12" fillId="4" borderId="0" xfId="0" applyNumberFormat="1" applyFont="1" applyFill="1" applyBorder="1"/>
    <xf numFmtId="0" fontId="12" fillId="0" borderId="0" xfId="10" applyNumberFormat="1" applyFont="1" applyAlignment="1">
      <alignment horizontal="left"/>
    </xf>
    <xf numFmtId="3" fontId="12" fillId="4" borderId="0" xfId="0" applyNumberFormat="1" applyFont="1" applyFill="1" applyBorder="1"/>
    <xf numFmtId="0" fontId="12" fillId="0" borderId="0" xfId="10" applyNumberFormat="1" applyFont="1"/>
    <xf numFmtId="0" fontId="28" fillId="5" borderId="0" xfId="0" applyFont="1" applyFill="1"/>
    <xf numFmtId="5" fontId="8" fillId="0" borderId="0" xfId="0" applyNumberFormat="1" applyFont="1"/>
    <xf numFmtId="2" fontId="12" fillId="4" borderId="0" xfId="0" applyNumberFormat="1" applyFont="1" applyFill="1" applyBorder="1"/>
    <xf numFmtId="165" fontId="12" fillId="4" borderId="0" xfId="0" applyNumberFormat="1" applyFont="1" applyFill="1"/>
    <xf numFmtId="168" fontId="12" fillId="4" borderId="0" xfId="0" applyNumberFormat="1" applyFont="1" applyFill="1"/>
    <xf numFmtId="0" fontId="12" fillId="4" borderId="0" xfId="0" applyFont="1" applyFill="1"/>
    <xf numFmtId="0" fontId="12" fillId="0" borderId="0" xfId="0" applyFont="1" applyAlignment="1">
      <alignment horizontal="left" indent="1"/>
    </xf>
    <xf numFmtId="169" fontId="12" fillId="4" borderId="0" xfId="0" applyNumberFormat="1" applyFont="1" applyFill="1" applyBorder="1"/>
    <xf numFmtId="165" fontId="12" fillId="4" borderId="0" xfId="0" applyNumberFormat="1" applyFont="1" applyFill="1" applyBorder="1"/>
    <xf numFmtId="5" fontId="12" fillId="0" borderId="0" xfId="10" applyNumberFormat="1" applyFont="1"/>
    <xf numFmtId="5" fontId="12" fillId="0" borderId="12" xfId="0" applyNumberFormat="1" applyFont="1" applyBorder="1"/>
    <xf numFmtId="5" fontId="12" fillId="0" borderId="12" xfId="10" applyNumberFormat="1" applyFont="1" applyBorder="1"/>
    <xf numFmtId="5" fontId="12" fillId="4" borderId="0" xfId="18" applyNumberFormat="1" applyFont="1" applyFill="1" applyBorder="1"/>
    <xf numFmtId="1" fontId="10" fillId="4" borderId="0" xfId="0" applyNumberFormat="1" applyFont="1" applyFill="1" applyBorder="1"/>
    <xf numFmtId="7" fontId="12" fillId="4" borderId="0" xfId="0" applyNumberFormat="1" applyFont="1" applyFill="1" applyBorder="1"/>
    <xf numFmtId="7" fontId="28" fillId="5" borderId="0" xfId="0" applyNumberFormat="1" applyFont="1" applyFill="1" applyBorder="1"/>
    <xf numFmtId="7" fontId="27" fillId="5" borderId="0" xfId="0" applyNumberFormat="1" applyFont="1" applyFill="1" applyBorder="1"/>
    <xf numFmtId="5" fontId="12" fillId="4" borderId="0" xfId="0" applyNumberFormat="1" applyFont="1" applyFill="1" applyBorder="1"/>
    <xf numFmtId="166" fontId="12" fillId="4" borderId="0" xfId="0" applyNumberFormat="1" applyFont="1" applyFill="1" applyBorder="1"/>
    <xf numFmtId="7" fontId="12" fillId="5" borderId="0" xfId="0" applyNumberFormat="1" applyFont="1" applyFill="1" applyBorder="1"/>
    <xf numFmtId="5" fontId="15" fillId="4" borderId="0" xfId="0" applyNumberFormat="1" applyFont="1" applyFill="1"/>
    <xf numFmtId="5" fontId="15" fillId="4" borderId="0" xfId="0" applyNumberFormat="1" applyFont="1" applyFill="1" applyBorder="1"/>
    <xf numFmtId="5" fontId="12" fillId="4" borderId="0" xfId="0" applyNumberFormat="1" applyFont="1" applyFill="1"/>
    <xf numFmtId="5" fontId="10" fillId="4" borderId="0" xfId="0" applyNumberFormat="1" applyFont="1" applyFill="1"/>
    <xf numFmtId="0" fontId="12" fillId="4" borderId="0" xfId="0" applyFont="1" applyFill="1" applyBorder="1"/>
    <xf numFmtId="5" fontId="14" fillId="4" borderId="0" xfId="0" applyNumberFormat="1" applyFont="1" applyFill="1"/>
    <xf numFmtId="0" fontId="15" fillId="4" borderId="0" xfId="0" applyFont="1" applyFill="1"/>
    <xf numFmtId="165" fontId="12" fillId="4" borderId="0" xfId="22" applyNumberFormat="1" applyFont="1" applyFill="1" applyBorder="1"/>
    <xf numFmtId="5" fontId="15" fillId="4" borderId="12" xfId="0" applyNumberFormat="1" applyFont="1" applyFill="1" applyBorder="1"/>
    <xf numFmtId="170" fontId="15" fillId="4" borderId="0" xfId="0" applyNumberFormat="1" applyFont="1" applyFill="1" applyBorder="1"/>
    <xf numFmtId="170" fontId="12" fillId="4" borderId="0" xfId="0" applyNumberFormat="1" applyFont="1" applyFill="1" applyBorder="1"/>
    <xf numFmtId="5" fontId="10" fillId="4" borderId="0" xfId="0" applyNumberFormat="1" applyFont="1" applyFill="1" applyBorder="1"/>
    <xf numFmtId="165" fontId="12" fillId="4" borderId="0" xfId="0" applyNumberFormat="1" applyFont="1" applyFill="1" applyBorder="1" applyAlignment="1">
      <alignment horizontal="left" indent="1"/>
    </xf>
    <xf numFmtId="9" fontId="12" fillId="4" borderId="0" xfId="0" applyNumberFormat="1" applyFont="1" applyFill="1" applyBorder="1" applyAlignment="1">
      <alignment horizontal="left" indent="1"/>
    </xf>
    <xf numFmtId="5" fontId="28" fillId="5" borderId="0" xfId="0" applyNumberFormat="1" applyFont="1" applyFill="1" applyBorder="1"/>
    <xf numFmtId="179" fontId="15" fillId="4" borderId="0" xfId="0" applyNumberFormat="1" applyFont="1" applyFill="1" applyBorder="1"/>
    <xf numFmtId="174" fontId="12" fillId="4" borderId="0" xfId="0" applyNumberFormat="1" applyFont="1" applyFill="1"/>
    <xf numFmtId="174" fontId="10" fillId="4" borderId="0" xfId="0" applyNumberFormat="1" applyFont="1" applyFill="1" applyBorder="1"/>
    <xf numFmtId="7" fontId="10" fillId="4" borderId="0" xfId="0" applyNumberFormat="1" applyFont="1" applyFill="1" applyBorder="1"/>
    <xf numFmtId="169" fontId="15" fillId="4" borderId="0" xfId="0" applyNumberFormat="1" applyFont="1" applyFill="1" applyBorder="1"/>
    <xf numFmtId="5" fontId="29" fillId="4" borderId="0" xfId="0" applyNumberFormat="1" applyFont="1" applyFill="1" applyBorder="1"/>
    <xf numFmtId="166" fontId="29" fillId="4" borderId="0" xfId="0" applyNumberFormat="1" applyFont="1" applyFill="1" applyBorder="1"/>
    <xf numFmtId="165" fontId="12" fillId="4" borderId="0" xfId="20" applyNumberFormat="1" applyFont="1" applyFill="1" applyBorder="1" applyAlignment="1" applyProtection="1">
      <alignment horizontal="left" indent="2"/>
      <protection locked="0"/>
    </xf>
    <xf numFmtId="165" fontId="12" fillId="4" borderId="12" xfId="20" applyNumberFormat="1" applyFont="1" applyFill="1" applyBorder="1" applyAlignment="1" applyProtection="1">
      <alignment horizontal="left" indent="2"/>
      <protection locked="0"/>
    </xf>
    <xf numFmtId="165" fontId="12" fillId="4" borderId="0" xfId="20" applyNumberFormat="1" applyFont="1" applyFill="1" applyBorder="1" applyAlignment="1" applyProtection="1">
      <alignment horizontal="left" indent="3"/>
      <protection locked="0"/>
    </xf>
    <xf numFmtId="0" fontId="8" fillId="0" borderId="0" xfId="0" applyFont="1" applyBorder="1"/>
    <xf numFmtId="7" fontId="12" fillId="0" borderId="12" xfId="0" applyNumberFormat="1" applyFont="1" applyBorder="1" applyAlignment="1">
      <alignment horizontal="left" indent="1"/>
    </xf>
    <xf numFmtId="0" fontId="29" fillId="4" borderId="0" xfId="19" applyFont="1" applyFill="1"/>
    <xf numFmtId="0" fontId="12" fillId="0" borderId="0" xfId="0" applyFont="1" applyFill="1" applyBorder="1" applyAlignment="1">
      <alignment horizontal="left" indent="2"/>
    </xf>
    <xf numFmtId="169" fontId="32" fillId="4" borderId="0" xfId="0" applyNumberFormat="1" applyFont="1" applyFill="1" applyBorder="1" applyAlignment="1">
      <alignment horizontal="left" indent="1"/>
    </xf>
    <xf numFmtId="165" fontId="12" fillId="4" borderId="0" xfId="18" applyNumberFormat="1" applyFont="1" applyFill="1" applyBorder="1" applyAlignment="1">
      <alignment horizontal="left" indent="1"/>
    </xf>
    <xf numFmtId="5" fontId="17" fillId="4" borderId="2" xfId="18" applyNumberFormat="1" applyFont="1" applyFill="1" applyBorder="1" applyAlignment="1">
      <alignment horizontal="left" indent="1"/>
    </xf>
    <xf numFmtId="169" fontId="12" fillId="4" borderId="0" xfId="0" applyNumberFormat="1" applyFont="1" applyFill="1" applyBorder="1" applyAlignment="1">
      <alignment horizontal="left" indent="1"/>
    </xf>
    <xf numFmtId="168" fontId="15" fillId="0" borderId="0" xfId="0" applyNumberFormat="1" applyFont="1" applyBorder="1"/>
    <xf numFmtId="1" fontId="12" fillId="4" borderId="0" xfId="0" applyNumberFormat="1" applyFont="1" applyFill="1" applyBorder="1"/>
    <xf numFmtId="0" fontId="8" fillId="0" borderId="2" xfId="0" applyFont="1" applyBorder="1"/>
    <xf numFmtId="169" fontId="15" fillId="2" borderId="4" xfId="20" applyNumberFormat="1" applyFont="1" applyFill="1" applyBorder="1" applyAlignment="1" applyProtection="1">
      <alignment horizontal="left"/>
      <protection locked="0"/>
    </xf>
    <xf numFmtId="170" fontId="12" fillId="0" borderId="0" xfId="0" applyNumberFormat="1" applyFont="1" applyFill="1" applyBorder="1"/>
    <xf numFmtId="169" fontId="12" fillId="0" borderId="0" xfId="20" applyNumberFormat="1" applyFont="1" applyFill="1" applyBorder="1" applyAlignment="1" applyProtection="1">
      <alignment horizontal="left"/>
      <protection locked="0"/>
    </xf>
    <xf numFmtId="170" fontId="15" fillId="4" borderId="0" xfId="0" applyNumberFormat="1" applyFont="1" applyFill="1" applyBorder="1" applyAlignment="1"/>
    <xf numFmtId="170" fontId="12" fillId="4" borderId="0" xfId="0" applyNumberFormat="1" applyFont="1" applyFill="1" applyBorder="1" applyAlignment="1">
      <alignment horizontal="left"/>
    </xf>
    <xf numFmtId="170" fontId="12" fillId="4" borderId="0" xfId="0" applyNumberFormat="1" applyFont="1" applyFill="1" applyBorder="1" applyAlignment="1"/>
    <xf numFmtId="165" fontId="12" fillId="4" borderId="0" xfId="0" applyNumberFormat="1" applyFont="1" applyFill="1" applyBorder="1" applyAlignment="1">
      <alignment horizontal="left" indent="2"/>
    </xf>
    <xf numFmtId="5" fontId="15" fillId="4" borderId="0" xfId="17" applyNumberFormat="1" applyFont="1" applyFill="1" applyBorder="1" applyAlignment="1"/>
    <xf numFmtId="0" fontId="15" fillId="4" borderId="0" xfId="0" applyFont="1" applyFill="1" applyBorder="1"/>
    <xf numFmtId="0" fontId="12" fillId="4" borderId="0" xfId="0" applyFont="1" applyFill="1" applyBorder="1" applyAlignment="1">
      <alignment horizontal="left" indent="1"/>
    </xf>
    <xf numFmtId="170" fontId="15" fillId="0" borderId="12" xfId="0" applyNumberFormat="1" applyFont="1" applyFill="1" applyBorder="1"/>
    <xf numFmtId="5" fontId="15" fillId="4" borderId="0" xfId="0" applyNumberFormat="1" applyFont="1" applyFill="1" applyAlignment="1"/>
    <xf numFmtId="5" fontId="15" fillId="2" borderId="4" xfId="0" applyNumberFormat="1" applyFont="1" applyFill="1" applyBorder="1"/>
    <xf numFmtId="5" fontId="15" fillId="0" borderId="12" xfId="0" applyNumberFormat="1" applyFont="1" applyFill="1" applyBorder="1"/>
    <xf numFmtId="165" fontId="12" fillId="4" borderId="0" xfId="0" applyNumberFormat="1" applyFont="1" applyFill="1" applyAlignment="1">
      <alignment horizontal="left" indent="2"/>
    </xf>
    <xf numFmtId="9" fontId="12" fillId="4" borderId="0" xfId="22" applyFont="1" applyFill="1" applyAlignment="1">
      <alignment horizontal="left" indent="2"/>
    </xf>
    <xf numFmtId="39" fontId="12" fillId="4" borderId="0" xfId="0" applyNumberFormat="1" applyFont="1" applyFill="1" applyBorder="1"/>
    <xf numFmtId="166" fontId="14" fillId="4" borderId="0" xfId="0" applyNumberFormat="1" applyFont="1" applyFill="1" applyAlignment="1">
      <alignment horizontal="left" indent="1"/>
    </xf>
    <xf numFmtId="0" fontId="36" fillId="0" borderId="0" xfId="0" applyFont="1"/>
    <xf numFmtId="5" fontId="12" fillId="4" borderId="0" xfId="0" applyNumberFormat="1" applyFont="1" applyFill="1" applyAlignment="1">
      <alignment horizontal="left" indent="1"/>
    </xf>
    <xf numFmtId="5" fontId="15" fillId="0" borderId="0" xfId="0" applyNumberFormat="1" applyFont="1" applyFill="1" applyBorder="1"/>
    <xf numFmtId="0" fontId="28" fillId="5" borderId="0" xfId="20" applyFont="1" applyFill="1" applyBorder="1" applyAlignment="1" applyProtection="1">
      <alignment horizontal="centerContinuous" wrapText="1"/>
    </xf>
    <xf numFmtId="0" fontId="28" fillId="5" borderId="13" xfId="20" applyFont="1" applyFill="1" applyBorder="1" applyAlignment="1" applyProtection="1">
      <alignment horizontal="center"/>
    </xf>
    <xf numFmtId="0" fontId="28" fillId="5" borderId="2" xfId="20" applyFont="1" applyFill="1" applyBorder="1" applyAlignment="1" applyProtection="1">
      <alignment horizontal="center"/>
    </xf>
    <xf numFmtId="0" fontId="28" fillId="5" borderId="14" xfId="20" applyFont="1" applyFill="1" applyBorder="1" applyAlignment="1" applyProtection="1">
      <alignment horizontal="center"/>
    </xf>
    <xf numFmtId="164" fontId="12" fillId="4" borderId="13" xfId="0" applyNumberFormat="1" applyFont="1" applyFill="1" applyBorder="1"/>
    <xf numFmtId="3" fontId="12" fillId="4" borderId="13" xfId="0" applyNumberFormat="1" applyFont="1" applyFill="1" applyBorder="1"/>
    <xf numFmtId="0" fontId="28" fillId="6" borderId="13" xfId="20" applyFont="1" applyFill="1" applyBorder="1" applyAlignment="1">
      <alignment horizontal="left"/>
    </xf>
    <xf numFmtId="168" fontId="12" fillId="4" borderId="13" xfId="0" applyNumberFormat="1" applyFont="1" applyFill="1" applyBorder="1"/>
    <xf numFmtId="0" fontId="28" fillId="5" borderId="13" xfId="20" applyFont="1" applyFill="1" applyBorder="1" applyAlignment="1">
      <alignment horizontal="left"/>
    </xf>
    <xf numFmtId="1" fontId="12" fillId="4" borderId="13" xfId="0" applyNumberFormat="1" applyFont="1" applyFill="1" applyBorder="1"/>
    <xf numFmtId="5" fontId="12" fillId="4" borderId="13" xfId="0" applyNumberFormat="1" applyFont="1" applyFill="1" applyBorder="1"/>
    <xf numFmtId="165" fontId="12" fillId="4" borderId="13" xfId="0" applyNumberFormat="1" applyFont="1" applyFill="1" applyBorder="1"/>
    <xf numFmtId="166" fontId="12" fillId="4" borderId="13" xfId="0" applyNumberFormat="1" applyFont="1" applyFill="1" applyBorder="1"/>
    <xf numFmtId="5" fontId="15" fillId="4" borderId="13" xfId="0" applyNumberFormat="1" applyFont="1" applyFill="1" applyBorder="1"/>
    <xf numFmtId="5" fontId="15" fillId="2" borderId="6" xfId="0" applyNumberFormat="1" applyFont="1" applyFill="1" applyBorder="1"/>
    <xf numFmtId="0" fontId="12" fillId="4" borderId="13" xfId="0" applyFont="1" applyFill="1" applyBorder="1"/>
    <xf numFmtId="5" fontId="15" fillId="0" borderId="15" xfId="0" applyNumberFormat="1" applyFont="1" applyFill="1" applyBorder="1"/>
    <xf numFmtId="165" fontId="12" fillId="4" borderId="13" xfId="22" applyNumberFormat="1" applyFont="1" applyFill="1" applyBorder="1"/>
    <xf numFmtId="5" fontId="15" fillId="4" borderId="15" xfId="0" applyNumberFormat="1" applyFont="1" applyFill="1" applyBorder="1"/>
    <xf numFmtId="5" fontId="15" fillId="0" borderId="13" xfId="0" applyNumberFormat="1" applyFont="1" applyFill="1" applyBorder="1"/>
    <xf numFmtId="7" fontId="12" fillId="4" borderId="13" xfId="0" applyNumberFormat="1" applyFont="1" applyFill="1" applyBorder="1"/>
    <xf numFmtId="169" fontId="32" fillId="4" borderId="13" xfId="0" applyNumberFormat="1" applyFont="1" applyFill="1" applyBorder="1"/>
    <xf numFmtId="168" fontId="10" fillId="4" borderId="13" xfId="22" applyNumberFormat="1" applyFont="1" applyFill="1" applyBorder="1"/>
    <xf numFmtId="168" fontId="12" fillId="4" borderId="13" xfId="22" applyNumberFormat="1" applyFont="1" applyFill="1" applyBorder="1"/>
    <xf numFmtId="179" fontId="15" fillId="4" borderId="13" xfId="0" applyNumberFormat="1" applyFont="1" applyFill="1" applyBorder="1"/>
    <xf numFmtId="5" fontId="10" fillId="4" borderId="13" xfId="0" applyNumberFormat="1" applyFont="1" applyFill="1" applyBorder="1"/>
    <xf numFmtId="174" fontId="10" fillId="4" borderId="13" xfId="0" applyNumberFormat="1" applyFont="1" applyFill="1" applyBorder="1"/>
    <xf numFmtId="169" fontId="12" fillId="4" borderId="13" xfId="0" applyNumberFormat="1" applyFont="1" applyFill="1" applyBorder="1"/>
    <xf numFmtId="5" fontId="16" fillId="4" borderId="13" xfId="0" applyNumberFormat="1" applyFont="1" applyFill="1" applyBorder="1"/>
    <xf numFmtId="7" fontId="10" fillId="4" borderId="13" xfId="0" applyNumberFormat="1" applyFont="1" applyFill="1" applyBorder="1"/>
    <xf numFmtId="0" fontId="15" fillId="3" borderId="0" xfId="0" applyFont="1" applyFill="1" applyBorder="1" applyAlignment="1">
      <alignment horizontal="center"/>
    </xf>
    <xf numFmtId="0" fontId="27" fillId="5" borderId="0" xfId="0" applyFont="1" applyFill="1" applyBorder="1"/>
    <xf numFmtId="165" fontId="28" fillId="5" borderId="0" xfId="0" applyNumberFormat="1" applyFont="1" applyFill="1" applyBorder="1" applyAlignment="1"/>
    <xf numFmtId="1" fontId="28" fillId="5" borderId="0" xfId="0" applyNumberFormat="1" applyFont="1" applyFill="1" applyBorder="1" applyAlignment="1"/>
    <xf numFmtId="164" fontId="32" fillId="4" borderId="0" xfId="0" applyNumberFormat="1" applyFont="1" applyFill="1" applyBorder="1"/>
    <xf numFmtId="165" fontId="32" fillId="4" borderId="0" xfId="22" applyNumberFormat="1" applyFont="1" applyFill="1" applyBorder="1"/>
    <xf numFmtId="165" fontId="32" fillId="4" borderId="12" xfId="22" applyNumberFormat="1" applyFont="1" applyFill="1" applyBorder="1"/>
    <xf numFmtId="165" fontId="10" fillId="4" borderId="12" xfId="22" applyNumberFormat="1" applyFont="1" applyFill="1" applyBorder="1"/>
    <xf numFmtId="0" fontId="8" fillId="4" borderId="12" xfId="0" applyFont="1" applyFill="1" applyBorder="1"/>
    <xf numFmtId="166" fontId="10" fillId="4" borderId="0" xfId="0" applyNumberFormat="1" applyFont="1" applyFill="1" applyBorder="1"/>
    <xf numFmtId="165" fontId="10" fillId="4" borderId="0" xfId="22" applyNumberFormat="1" applyFont="1" applyFill="1" applyBorder="1"/>
    <xf numFmtId="3" fontId="12" fillId="4" borderId="12" xfId="0" applyNumberFormat="1" applyFont="1" applyFill="1" applyBorder="1"/>
    <xf numFmtId="3" fontId="10" fillId="4" borderId="12" xfId="0" applyNumberFormat="1" applyFont="1" applyFill="1" applyBorder="1"/>
    <xf numFmtId="1" fontId="32" fillId="4" borderId="0" xfId="10" applyNumberFormat="1" applyFont="1" applyFill="1" applyBorder="1" applyAlignment="1">
      <alignment horizontal="right"/>
    </xf>
    <xf numFmtId="1" fontId="12" fillId="4" borderId="0" xfId="22" applyNumberFormat="1" applyFont="1" applyFill="1" applyBorder="1"/>
    <xf numFmtId="165" fontId="12" fillId="4" borderId="2" xfId="22" applyNumberFormat="1" applyFont="1" applyFill="1" applyBorder="1"/>
    <xf numFmtId="165" fontId="27" fillId="5" borderId="0" xfId="22" applyNumberFormat="1" applyFont="1" applyFill="1" applyBorder="1"/>
    <xf numFmtId="4" fontId="12" fillId="4" borderId="0" xfId="0" applyNumberFormat="1" applyFont="1" applyFill="1" applyBorder="1"/>
    <xf numFmtId="4" fontId="32" fillId="4" borderId="0" xfId="0" applyNumberFormat="1" applyFont="1" applyFill="1" applyBorder="1"/>
    <xf numFmtId="175" fontId="12" fillId="4" borderId="0" xfId="22" applyNumberFormat="1" applyFont="1" applyFill="1" applyBorder="1"/>
    <xf numFmtId="3" fontId="32" fillId="4" borderId="0" xfId="22" applyNumberFormat="1" applyFont="1" applyFill="1" applyBorder="1"/>
    <xf numFmtId="3" fontId="12" fillId="4" borderId="0" xfId="22" applyNumberFormat="1" applyFont="1" applyFill="1" applyBorder="1"/>
    <xf numFmtId="164" fontId="32" fillId="4" borderId="0" xfId="22" applyNumberFormat="1" applyFont="1" applyFill="1" applyBorder="1"/>
    <xf numFmtId="7" fontId="32" fillId="4" borderId="12" xfId="0" applyNumberFormat="1" applyFont="1" applyFill="1" applyBorder="1"/>
    <xf numFmtId="168" fontId="12" fillId="4" borderId="0" xfId="22" applyNumberFormat="1" applyFont="1" applyFill="1" applyBorder="1"/>
    <xf numFmtId="9" fontId="32" fillId="4" borderId="0" xfId="22" applyNumberFormat="1" applyFont="1" applyFill="1" applyBorder="1"/>
    <xf numFmtId="9" fontId="10" fillId="4" borderId="0" xfId="22" applyNumberFormat="1" applyFont="1" applyFill="1" applyBorder="1"/>
    <xf numFmtId="168" fontId="12" fillId="4" borderId="0" xfId="18" applyNumberFormat="1" applyFont="1" applyFill="1" applyBorder="1"/>
    <xf numFmtId="168" fontId="32" fillId="4" borderId="0" xfId="22" applyNumberFormat="1" applyFont="1" applyFill="1" applyBorder="1"/>
    <xf numFmtId="168" fontId="10" fillId="0" borderId="0" xfId="22" applyNumberFormat="1" applyFont="1" applyFill="1" applyBorder="1"/>
    <xf numFmtId="168" fontId="10" fillId="4" borderId="0" xfId="22" applyNumberFormat="1" applyFont="1" applyFill="1" applyBorder="1"/>
    <xf numFmtId="168" fontId="32" fillId="4" borderId="0" xfId="18" applyNumberFormat="1" applyFont="1" applyFill="1" applyBorder="1"/>
    <xf numFmtId="37" fontId="12" fillId="4" borderId="0" xfId="0" applyNumberFormat="1" applyFont="1" applyFill="1" applyBorder="1"/>
    <xf numFmtId="173" fontId="12" fillId="4" borderId="0" xfId="0" applyNumberFormat="1" applyFont="1" applyFill="1" applyBorder="1"/>
    <xf numFmtId="173" fontId="32" fillId="4" borderId="0" xfId="0" applyNumberFormat="1" applyFont="1" applyFill="1" applyBorder="1"/>
    <xf numFmtId="168" fontId="12" fillId="4" borderId="0" xfId="0" applyNumberFormat="1" applyFont="1" applyFill="1" applyBorder="1"/>
    <xf numFmtId="168" fontId="32" fillId="4" borderId="0" xfId="0" applyNumberFormat="1" applyFont="1" applyFill="1" applyBorder="1"/>
    <xf numFmtId="5" fontId="30" fillId="4" borderId="0" xfId="0" applyNumberFormat="1" applyFont="1" applyFill="1" applyBorder="1"/>
    <xf numFmtId="9" fontId="12" fillId="4" borderId="0" xfId="22" applyNumberFormat="1" applyFont="1" applyFill="1" applyBorder="1"/>
    <xf numFmtId="167" fontId="12" fillId="4" borderId="0" xfId="0" applyNumberFormat="1" applyFont="1" applyFill="1" applyBorder="1"/>
    <xf numFmtId="5" fontId="15" fillId="4" borderId="0" xfId="22" applyNumberFormat="1" applyFont="1" applyFill="1" applyBorder="1"/>
    <xf numFmtId="165" fontId="15" fillId="4" borderId="0" xfId="22" applyNumberFormat="1" applyFont="1" applyFill="1" applyBorder="1"/>
    <xf numFmtId="0" fontId="15" fillId="2" borderId="4" xfId="0" applyFont="1" applyFill="1" applyBorder="1"/>
    <xf numFmtId="169" fontId="12" fillId="4" borderId="0" xfId="22" applyNumberFormat="1" applyFont="1" applyFill="1" applyBorder="1"/>
    <xf numFmtId="169" fontId="10" fillId="4" borderId="0" xfId="22" applyNumberFormat="1" applyFont="1" applyFill="1" applyBorder="1"/>
    <xf numFmtId="169" fontId="10" fillId="4" borderId="0" xfId="0" applyNumberFormat="1" applyFont="1" applyFill="1" applyBorder="1"/>
    <xf numFmtId="165" fontId="32" fillId="4" borderId="0" xfId="0" applyNumberFormat="1" applyFont="1" applyFill="1" applyBorder="1"/>
    <xf numFmtId="165" fontId="10" fillId="4" borderId="0" xfId="0" applyNumberFormat="1" applyFont="1" applyFill="1" applyBorder="1"/>
    <xf numFmtId="169" fontId="24" fillId="4" borderId="2" xfId="22" applyNumberFormat="1" applyFont="1" applyFill="1" applyBorder="1"/>
    <xf numFmtId="5" fontId="32" fillId="4" borderId="0" xfId="0" applyNumberFormat="1" applyFont="1" applyFill="1" applyBorder="1"/>
    <xf numFmtId="169" fontId="33" fillId="4" borderId="0" xfId="22" applyNumberFormat="1" applyFont="1" applyFill="1" applyBorder="1"/>
    <xf numFmtId="169" fontId="12" fillId="4" borderId="0" xfId="0" applyNumberFormat="1" applyFont="1" applyFill="1"/>
    <xf numFmtId="5" fontId="12" fillId="4" borderId="12" xfId="0" applyNumberFormat="1" applyFont="1" applyFill="1" applyBorder="1"/>
    <xf numFmtId="9" fontId="12" fillId="4" borderId="2" xfId="22" applyNumberFormat="1" applyFont="1" applyFill="1" applyBorder="1"/>
    <xf numFmtId="5" fontId="12" fillId="4" borderId="3" xfId="0" applyNumberFormat="1" applyFont="1" applyFill="1" applyBorder="1"/>
    <xf numFmtId="7" fontId="15" fillId="4" borderId="4" xfId="0" applyNumberFormat="1" applyFont="1" applyFill="1" applyBorder="1"/>
    <xf numFmtId="169" fontId="12" fillId="4" borderId="12" xfId="0" applyNumberFormat="1" applyFont="1" applyFill="1" applyBorder="1"/>
    <xf numFmtId="169" fontId="32" fillId="4" borderId="12" xfId="0" applyNumberFormat="1" applyFont="1" applyFill="1" applyBorder="1"/>
    <xf numFmtId="165" fontId="32" fillId="4" borderId="0" xfId="22" applyNumberFormat="1" applyFont="1" applyFill="1"/>
    <xf numFmtId="169" fontId="12" fillId="4" borderId="4" xfId="0" applyNumberFormat="1" applyFont="1" applyFill="1" applyBorder="1"/>
    <xf numFmtId="0" fontId="32" fillId="4" borderId="0" xfId="0" applyFont="1" applyFill="1" applyBorder="1"/>
    <xf numFmtId="177" fontId="37" fillId="4" borderId="0" xfId="0" applyNumberFormat="1" applyFont="1" applyFill="1" applyBorder="1" applyAlignment="1" applyProtection="1">
      <alignment horizontal="right"/>
    </xf>
    <xf numFmtId="177" fontId="38" fillId="4" borderId="0" xfId="0" applyNumberFormat="1" applyFont="1" applyFill="1" applyBorder="1" applyAlignment="1" applyProtection="1">
      <alignment horizontal="right"/>
    </xf>
    <xf numFmtId="5" fontId="37" fillId="4" borderId="0" xfId="0" applyNumberFormat="1" applyFont="1" applyFill="1" applyBorder="1" applyAlignment="1" applyProtection="1">
      <alignment horizontal="right"/>
    </xf>
    <xf numFmtId="165" fontId="38" fillId="4" borderId="0" xfId="0" applyNumberFormat="1" applyFont="1" applyFill="1" applyBorder="1" applyAlignment="1" applyProtection="1">
      <alignment horizontal="right"/>
    </xf>
    <xf numFmtId="177" fontId="37" fillId="5" borderId="0" xfId="0" applyNumberFormat="1" applyFont="1" applyFill="1" applyBorder="1" applyAlignment="1" applyProtection="1">
      <alignment horizontal="right"/>
    </xf>
    <xf numFmtId="177" fontId="38" fillId="5" borderId="0" xfId="0" applyNumberFormat="1" applyFont="1" applyFill="1" applyBorder="1" applyAlignment="1" applyProtection="1">
      <alignment horizontal="right"/>
    </xf>
    <xf numFmtId="0" fontId="12" fillId="5" borderId="0" xfId="0" applyFont="1" applyFill="1" applyBorder="1"/>
    <xf numFmtId="5" fontId="12" fillId="0" borderId="0" xfId="0" applyNumberFormat="1" applyFont="1" applyFill="1" applyBorder="1"/>
    <xf numFmtId="165" fontId="12" fillId="0" borderId="0" xfId="0" applyNumberFormat="1" applyFont="1" applyFill="1" applyBorder="1"/>
    <xf numFmtId="165" fontId="10" fillId="0" borderId="0" xfId="0" applyNumberFormat="1" applyFont="1" applyFill="1" applyBorder="1"/>
    <xf numFmtId="5" fontId="16" fillId="0" borderId="0" xfId="0" applyNumberFormat="1" applyFont="1" applyFill="1" applyBorder="1"/>
    <xf numFmtId="5" fontId="10" fillId="0" borderId="0" xfId="0" applyNumberFormat="1" applyFont="1" applyFill="1" applyBorder="1"/>
    <xf numFmtId="5" fontId="30" fillId="0" borderId="0" xfId="0" applyNumberFormat="1" applyFont="1" applyFill="1"/>
    <xf numFmtId="5" fontId="16" fillId="4" borderId="0" xfId="0" applyNumberFormat="1" applyFont="1" applyFill="1" applyBorder="1"/>
    <xf numFmtId="177" fontId="40" fillId="5" borderId="0" xfId="0" applyNumberFormat="1" applyFont="1" applyFill="1" applyBorder="1" applyAlignment="1" applyProtection="1">
      <alignment horizontal="right"/>
    </xf>
    <xf numFmtId="169" fontId="15" fillId="4" borderId="0" xfId="0" applyNumberFormat="1" applyFont="1" applyFill="1"/>
    <xf numFmtId="169" fontId="15" fillId="4" borderId="12" xfId="0" applyNumberFormat="1" applyFont="1" applyFill="1" applyBorder="1"/>
    <xf numFmtId="169" fontId="16" fillId="4" borderId="0" xfId="0" applyNumberFormat="1" applyFont="1" applyFill="1" applyBorder="1"/>
    <xf numFmtId="169" fontId="15" fillId="0" borderId="0" xfId="0" applyNumberFormat="1" applyFont="1" applyFill="1" applyBorder="1"/>
    <xf numFmtId="169" fontId="15" fillId="0" borderId="12" xfId="0" applyNumberFormat="1" applyFont="1" applyFill="1" applyBorder="1"/>
    <xf numFmtId="171" fontId="12" fillId="4" borderId="0" xfId="10" applyNumberFormat="1" applyFont="1" applyFill="1"/>
    <xf numFmtId="169" fontId="37" fillId="4" borderId="0" xfId="0" applyNumberFormat="1" applyFont="1" applyFill="1" applyBorder="1" applyAlignment="1" applyProtection="1">
      <alignment horizontal="right"/>
    </xf>
    <xf numFmtId="169" fontId="8" fillId="0" borderId="0" xfId="0" applyNumberFormat="1" applyFont="1"/>
    <xf numFmtId="166" fontId="37" fillId="4" borderId="0" xfId="0" applyNumberFormat="1" applyFont="1" applyFill="1" applyBorder="1" applyAlignment="1" applyProtection="1">
      <alignment horizontal="right"/>
    </xf>
    <xf numFmtId="5" fontId="38" fillId="4" borderId="0" xfId="0" applyNumberFormat="1" applyFont="1" applyFill="1" applyBorder="1" applyAlignment="1" applyProtection="1">
      <alignment horizontal="right"/>
    </xf>
    <xf numFmtId="0" fontId="32" fillId="5" borderId="0" xfId="0" applyFont="1" applyFill="1" applyBorder="1"/>
    <xf numFmtId="0" fontId="28" fillId="5" borderId="8" xfId="18" applyFont="1" applyFill="1" applyBorder="1"/>
    <xf numFmtId="0" fontId="27" fillId="5" borderId="8" xfId="0" applyFont="1" applyFill="1" applyBorder="1"/>
    <xf numFmtId="9" fontId="12" fillId="4" borderId="0" xfId="0" applyNumberFormat="1" applyFont="1" applyFill="1" applyBorder="1" applyAlignment="1">
      <alignment horizontal="center"/>
    </xf>
    <xf numFmtId="9" fontId="12" fillId="7" borderId="0" xfId="0" applyNumberFormat="1" applyFont="1" applyFill="1" applyBorder="1" applyAlignment="1">
      <alignment horizontal="center"/>
    </xf>
    <xf numFmtId="4" fontId="12" fillId="4" borderId="0" xfId="0" applyNumberFormat="1" applyFont="1" applyFill="1" applyBorder="1" applyAlignment="1">
      <alignment horizontal="left" indent="1"/>
    </xf>
    <xf numFmtId="0" fontId="12" fillId="4" borderId="0" xfId="0" applyFont="1" applyFill="1" applyBorder="1" applyAlignment="1">
      <alignment horizontal="left" indent="3"/>
    </xf>
    <xf numFmtId="175" fontId="12" fillId="4" borderId="0" xfId="0" applyNumberFormat="1" applyFont="1" applyFill="1" applyBorder="1" applyAlignment="1">
      <alignment horizontal="left" indent="1"/>
    </xf>
    <xf numFmtId="3" fontId="12" fillId="4" borderId="0" xfId="0" applyNumberFormat="1" applyFont="1" applyFill="1" applyBorder="1" applyAlignment="1">
      <alignment horizontal="left" indent="1"/>
    </xf>
    <xf numFmtId="168" fontId="12" fillId="4" borderId="0" xfId="18" applyNumberFormat="1" applyFont="1" applyFill="1" applyBorder="1" applyAlignment="1">
      <alignment horizontal="left" indent="1"/>
    </xf>
    <xf numFmtId="0" fontId="29" fillId="0" borderId="0" xfId="18" applyFont="1" applyFill="1" applyBorder="1"/>
    <xf numFmtId="173" fontId="12" fillId="4" borderId="0" xfId="0" applyNumberFormat="1" applyFont="1" applyFill="1" applyBorder="1" applyAlignment="1">
      <alignment horizontal="left" indent="1"/>
    </xf>
    <xf numFmtId="168" fontId="12" fillId="4" borderId="0" xfId="0" applyNumberFormat="1" applyFont="1" applyFill="1" applyBorder="1" applyAlignment="1">
      <alignment horizontal="left" indent="1"/>
    </xf>
    <xf numFmtId="7" fontId="15" fillId="4" borderId="0" xfId="0" applyNumberFormat="1" applyFont="1" applyFill="1" applyBorder="1"/>
    <xf numFmtId="0" fontId="35" fillId="0" borderId="0" xfId="0" applyFont="1"/>
    <xf numFmtId="0" fontId="12" fillId="2" borderId="4" xfId="0" applyFont="1" applyFill="1" applyBorder="1"/>
    <xf numFmtId="0" fontId="8" fillId="0" borderId="4" xfId="0" applyFont="1" applyBorder="1"/>
    <xf numFmtId="169" fontId="12" fillId="4" borderId="0" xfId="20" applyNumberFormat="1" applyFont="1" applyFill="1" applyBorder="1" applyAlignment="1" applyProtection="1">
      <alignment horizontal="left"/>
      <protection locked="0"/>
    </xf>
    <xf numFmtId="5" fontId="15" fillId="4" borderId="4" xfId="0" applyNumberFormat="1" applyFont="1" applyFill="1" applyBorder="1"/>
    <xf numFmtId="0" fontId="8" fillId="4" borderId="0" xfId="0" applyFont="1" applyFill="1"/>
    <xf numFmtId="169" fontId="15" fillId="4" borderId="4" xfId="20" applyNumberFormat="1" applyFont="1" applyFill="1" applyBorder="1" applyAlignment="1" applyProtection="1">
      <alignment horizontal="left"/>
      <protection locked="0"/>
    </xf>
    <xf numFmtId="5" fontId="15" fillId="4" borderId="2" xfId="0" applyNumberFormat="1" applyFont="1" applyFill="1" applyBorder="1"/>
    <xf numFmtId="0" fontId="8" fillId="4" borderId="0" xfId="0" applyFont="1" applyFill="1" applyBorder="1"/>
    <xf numFmtId="166" fontId="14" fillId="4" borderId="0" xfId="0" applyNumberFormat="1" applyFont="1" applyFill="1" applyBorder="1"/>
    <xf numFmtId="169" fontId="15" fillId="2" borderId="4" xfId="0" applyNumberFormat="1" applyFont="1" applyFill="1" applyBorder="1"/>
    <xf numFmtId="169" fontId="12" fillId="0" borderId="0" xfId="0" applyNumberFormat="1" applyFont="1" applyFill="1" applyBorder="1"/>
    <xf numFmtId="169" fontId="10" fillId="0" borderId="0" xfId="0" applyNumberFormat="1" applyFont="1" applyFill="1" applyBorder="1"/>
    <xf numFmtId="167" fontId="12" fillId="2" borderId="4" xfId="0" applyNumberFormat="1" applyFont="1" applyFill="1" applyBorder="1"/>
    <xf numFmtId="0" fontId="12" fillId="4" borderId="1" xfId="0" applyFont="1" applyFill="1" applyBorder="1"/>
    <xf numFmtId="165" fontId="12" fillId="4" borderId="0" xfId="22" applyNumberFormat="1" applyFont="1" applyFill="1" applyBorder="1" applyAlignment="1">
      <alignment horizontal="center" vertical="center"/>
    </xf>
    <xf numFmtId="0" fontId="8" fillId="4" borderId="1" xfId="0" applyFont="1" applyFill="1" applyBorder="1"/>
    <xf numFmtId="0" fontId="8" fillId="4" borderId="11" xfId="0" applyFont="1" applyFill="1" applyBorder="1"/>
    <xf numFmtId="0" fontId="12" fillId="4" borderId="11" xfId="0" applyFont="1" applyFill="1" applyBorder="1"/>
    <xf numFmtId="0" fontId="27" fillId="5" borderId="13" xfId="0" applyFont="1" applyFill="1" applyBorder="1"/>
    <xf numFmtId="164" fontId="32" fillId="4" borderId="13" xfId="0" applyNumberFormat="1" applyFont="1" applyFill="1" applyBorder="1"/>
    <xf numFmtId="165" fontId="32" fillId="4" borderId="13" xfId="22" applyNumberFormat="1" applyFont="1" applyFill="1" applyBorder="1"/>
    <xf numFmtId="3" fontId="32" fillId="4" borderId="13" xfId="0" applyNumberFormat="1" applyFont="1" applyFill="1" applyBorder="1"/>
    <xf numFmtId="165" fontId="32" fillId="4" borderId="15" xfId="22" applyNumberFormat="1" applyFont="1" applyFill="1" applyBorder="1"/>
    <xf numFmtId="166" fontId="32" fillId="4" borderId="13" xfId="0" applyNumberFormat="1" applyFont="1" applyFill="1" applyBorder="1"/>
    <xf numFmtId="3" fontId="32" fillId="4" borderId="15" xfId="0" applyNumberFormat="1" applyFont="1" applyFill="1" applyBorder="1"/>
    <xf numFmtId="1" fontId="32" fillId="0" borderId="13" xfId="10" applyNumberFormat="1" applyFont="1" applyFill="1" applyBorder="1" applyAlignment="1">
      <alignment horizontal="right"/>
    </xf>
    <xf numFmtId="165" fontId="27" fillId="5" borderId="13" xfId="22" applyNumberFormat="1" applyFont="1" applyFill="1" applyBorder="1"/>
    <xf numFmtId="4" fontId="32" fillId="4" borderId="13" xfId="0" applyNumberFormat="1" applyFont="1" applyFill="1" applyBorder="1"/>
    <xf numFmtId="175" fontId="32" fillId="4" borderId="13" xfId="22" applyNumberFormat="1" applyFont="1" applyFill="1" applyBorder="1"/>
    <xf numFmtId="7" fontId="32" fillId="4" borderId="15" xfId="0" applyNumberFormat="1" applyFont="1" applyFill="1" applyBorder="1"/>
    <xf numFmtId="9" fontId="32" fillId="4" borderId="13" xfId="22" applyNumberFormat="1" applyFont="1" applyFill="1" applyBorder="1"/>
    <xf numFmtId="168" fontId="32" fillId="4" borderId="13" xfId="22" applyNumberFormat="1" applyFont="1" applyFill="1" applyBorder="1"/>
    <xf numFmtId="37" fontId="32" fillId="4" borderId="13" xfId="0" applyNumberFormat="1" applyFont="1" applyFill="1" applyBorder="1"/>
    <xf numFmtId="173" fontId="32" fillId="4" borderId="13" xfId="0" applyNumberFormat="1" applyFont="1" applyFill="1" applyBorder="1"/>
    <xf numFmtId="165" fontId="32" fillId="4" borderId="13" xfId="0" applyNumberFormat="1" applyFont="1" applyFill="1" applyBorder="1"/>
    <xf numFmtId="168" fontId="32" fillId="4" borderId="13" xfId="0" applyNumberFormat="1" applyFont="1" applyFill="1" applyBorder="1"/>
    <xf numFmtId="165" fontId="32" fillId="4" borderId="14" xfId="22" applyNumberFormat="1" applyFont="1" applyFill="1" applyBorder="1"/>
    <xf numFmtId="5" fontId="30" fillId="4" borderId="13" xfId="0" applyNumberFormat="1" applyFont="1" applyFill="1" applyBorder="1"/>
    <xf numFmtId="5" fontId="30" fillId="4" borderId="13" xfId="22" applyNumberFormat="1" applyFont="1" applyFill="1" applyBorder="1"/>
    <xf numFmtId="165" fontId="30" fillId="4" borderId="13" xfId="22" applyNumberFormat="1" applyFont="1" applyFill="1" applyBorder="1"/>
    <xf numFmtId="169" fontId="32" fillId="4" borderId="13" xfId="22" applyNumberFormat="1" applyFont="1" applyFill="1" applyBorder="1"/>
    <xf numFmtId="169" fontId="34" fillId="4" borderId="14" xfId="22" applyNumberFormat="1" applyFont="1" applyFill="1" applyBorder="1"/>
    <xf numFmtId="5" fontId="32" fillId="4" borderId="13" xfId="0" applyNumberFormat="1" applyFont="1" applyFill="1" applyBorder="1"/>
    <xf numFmtId="169" fontId="12" fillId="4" borderId="13" xfId="22" applyNumberFormat="1" applyFont="1" applyFill="1" applyBorder="1"/>
    <xf numFmtId="169" fontId="34" fillId="4" borderId="13" xfId="22" applyNumberFormat="1" applyFont="1" applyFill="1" applyBorder="1"/>
    <xf numFmtId="5" fontId="32" fillId="4" borderId="15" xfId="0" applyNumberFormat="1" applyFont="1" applyFill="1" applyBorder="1"/>
    <xf numFmtId="9" fontId="32" fillId="4" borderId="14" xfId="22" applyNumberFormat="1" applyFont="1" applyFill="1" applyBorder="1"/>
    <xf numFmtId="5" fontId="32" fillId="4" borderId="17" xfId="0" applyNumberFormat="1" applyFont="1" applyFill="1" applyBorder="1"/>
    <xf numFmtId="7" fontId="30" fillId="4" borderId="13" xfId="0" applyNumberFormat="1" applyFont="1" applyFill="1" applyBorder="1"/>
    <xf numFmtId="7" fontId="30" fillId="4" borderId="6" xfId="0" applyNumberFormat="1" applyFont="1" applyFill="1" applyBorder="1"/>
    <xf numFmtId="1" fontId="32" fillId="4" borderId="13" xfId="0" applyNumberFormat="1" applyFont="1" applyFill="1" applyBorder="1"/>
    <xf numFmtId="1" fontId="32" fillId="4" borderId="13" xfId="22" applyNumberFormat="1" applyFont="1" applyFill="1" applyBorder="1"/>
    <xf numFmtId="0" fontId="32" fillId="2" borderId="6" xfId="0" applyFont="1" applyFill="1" applyBorder="1"/>
    <xf numFmtId="169" fontId="32" fillId="4" borderId="15" xfId="0" applyNumberFormat="1" applyFont="1" applyFill="1" applyBorder="1"/>
    <xf numFmtId="169" fontId="32" fillId="4" borderId="6" xfId="0" applyNumberFormat="1" applyFont="1" applyFill="1" applyBorder="1"/>
    <xf numFmtId="0" fontId="32" fillId="4" borderId="13" xfId="0" applyFont="1" applyFill="1" applyBorder="1"/>
    <xf numFmtId="0" fontId="32" fillId="5" borderId="13" xfId="0" applyFont="1" applyFill="1" applyBorder="1"/>
    <xf numFmtId="0" fontId="32" fillId="0" borderId="15" xfId="0" applyFont="1" applyFill="1" applyBorder="1"/>
    <xf numFmtId="0" fontId="32" fillId="4" borderId="14" xfId="0" applyFont="1" applyFill="1" applyBorder="1"/>
    <xf numFmtId="0" fontId="32" fillId="4" borderId="6" xfId="0" applyFont="1" applyFill="1" applyBorder="1"/>
    <xf numFmtId="0" fontId="32" fillId="4" borderId="15" xfId="0" applyFont="1" applyFill="1" applyBorder="1"/>
    <xf numFmtId="0" fontId="34" fillId="4" borderId="13" xfId="0" applyFont="1" applyFill="1" applyBorder="1"/>
    <xf numFmtId="5" fontId="30" fillId="4" borderId="15" xfId="0" applyNumberFormat="1" applyFont="1" applyFill="1" applyBorder="1"/>
    <xf numFmtId="0" fontId="28" fillId="5" borderId="16" xfId="18" applyFont="1" applyFill="1" applyBorder="1"/>
    <xf numFmtId="7" fontId="27" fillId="5" borderId="13" xfId="0" applyNumberFormat="1" applyFont="1" applyFill="1" applyBorder="1"/>
    <xf numFmtId="169" fontId="15" fillId="4" borderId="13" xfId="0" applyNumberFormat="1" applyFont="1" applyFill="1" applyBorder="1"/>
    <xf numFmtId="5" fontId="30" fillId="0" borderId="13" xfId="0" applyNumberFormat="1" applyFont="1" applyFill="1" applyBorder="1"/>
    <xf numFmtId="5" fontId="15" fillId="4" borderId="14" xfId="0" applyNumberFormat="1" applyFont="1" applyFill="1" applyBorder="1"/>
    <xf numFmtId="5" fontId="15" fillId="4" borderId="6" xfId="0" applyNumberFormat="1" applyFont="1" applyFill="1" applyBorder="1"/>
    <xf numFmtId="169" fontId="15" fillId="4" borderId="15" xfId="0" applyNumberFormat="1" applyFont="1" applyFill="1" applyBorder="1"/>
    <xf numFmtId="5" fontId="14" fillId="4" borderId="13" xfId="0" applyNumberFormat="1" applyFont="1" applyFill="1" applyBorder="1"/>
    <xf numFmtId="169" fontId="15" fillId="2" borderId="6" xfId="0" applyNumberFormat="1" applyFont="1" applyFill="1" applyBorder="1"/>
    <xf numFmtId="169" fontId="12" fillId="0" borderId="13" xfId="0" applyNumberFormat="1" applyFont="1" applyFill="1" applyBorder="1"/>
    <xf numFmtId="169" fontId="15" fillId="0" borderId="13" xfId="0" applyNumberFormat="1" applyFont="1" applyFill="1" applyBorder="1"/>
    <xf numFmtId="167" fontId="12" fillId="2" borderId="6" xfId="0" applyNumberFormat="1" applyFont="1" applyFill="1" applyBorder="1"/>
    <xf numFmtId="171" fontId="12" fillId="4" borderId="13" xfId="10" applyNumberFormat="1" applyFont="1" applyFill="1" applyBorder="1"/>
    <xf numFmtId="0" fontId="27" fillId="5" borderId="16" xfId="0" applyFont="1" applyFill="1" applyBorder="1"/>
    <xf numFmtId="169" fontId="12" fillId="4" borderId="15" xfId="0" applyNumberFormat="1" applyFont="1" applyFill="1" applyBorder="1"/>
    <xf numFmtId="165" fontId="27" fillId="5" borderId="13" xfId="0" applyNumberFormat="1" applyFont="1" applyFill="1" applyBorder="1"/>
    <xf numFmtId="165" fontId="12" fillId="4" borderId="15" xfId="22" applyNumberFormat="1" applyFont="1" applyFill="1" applyBorder="1"/>
    <xf numFmtId="3" fontId="12" fillId="4" borderId="15" xfId="0" applyNumberFormat="1" applyFont="1" applyFill="1" applyBorder="1"/>
    <xf numFmtId="1" fontId="12" fillId="0" borderId="13" xfId="10" applyNumberFormat="1" applyFont="1" applyFill="1" applyBorder="1" applyAlignment="1">
      <alignment horizontal="right"/>
    </xf>
    <xf numFmtId="4" fontId="12" fillId="4" borderId="13" xfId="0" applyNumberFormat="1" applyFont="1" applyFill="1" applyBorder="1"/>
    <xf numFmtId="175" fontId="12" fillId="4" borderId="13" xfId="22" applyNumberFormat="1" applyFont="1" applyFill="1" applyBorder="1"/>
    <xf numFmtId="37" fontId="12" fillId="4" borderId="13" xfId="0" applyNumberFormat="1" applyFont="1" applyFill="1" applyBorder="1"/>
    <xf numFmtId="173" fontId="12" fillId="4" borderId="13" xfId="0" applyNumberFormat="1" applyFont="1" applyFill="1" applyBorder="1"/>
    <xf numFmtId="165" fontId="12" fillId="4" borderId="14" xfId="22" applyNumberFormat="1" applyFont="1" applyFill="1" applyBorder="1"/>
    <xf numFmtId="9" fontId="12" fillId="4" borderId="13" xfId="22" applyNumberFormat="1" applyFont="1" applyFill="1" applyBorder="1"/>
    <xf numFmtId="5" fontId="15" fillId="4" borderId="13" xfId="22" applyNumberFormat="1" applyFont="1" applyFill="1" applyBorder="1"/>
    <xf numFmtId="165" fontId="15" fillId="4" borderId="13" xfId="22" applyNumberFormat="1" applyFont="1" applyFill="1" applyBorder="1"/>
    <xf numFmtId="166" fontId="12" fillId="4" borderId="14" xfId="0" applyNumberFormat="1" applyFont="1" applyFill="1" applyBorder="1"/>
    <xf numFmtId="169" fontId="33" fillId="4" borderId="14" xfId="22" applyNumberFormat="1" applyFont="1" applyFill="1" applyBorder="1"/>
    <xf numFmtId="5" fontId="12" fillId="4" borderId="15" xfId="0" applyNumberFormat="1" applyFont="1" applyFill="1" applyBorder="1"/>
    <xf numFmtId="9" fontId="12" fillId="4" borderId="14" xfId="22" applyNumberFormat="1" applyFont="1" applyFill="1" applyBorder="1"/>
    <xf numFmtId="5" fontId="12" fillId="4" borderId="17" xfId="0" applyNumberFormat="1" applyFont="1" applyFill="1" applyBorder="1"/>
    <xf numFmtId="7" fontId="15" fillId="4" borderId="13" xfId="0" applyNumberFormat="1" applyFont="1" applyFill="1" applyBorder="1"/>
    <xf numFmtId="7" fontId="15" fillId="4" borderId="6" xfId="0" applyNumberFormat="1" applyFont="1" applyFill="1" applyBorder="1"/>
    <xf numFmtId="1" fontId="12" fillId="4" borderId="13" xfId="22" applyNumberFormat="1" applyFont="1" applyFill="1" applyBorder="1"/>
    <xf numFmtId="0" fontId="12" fillId="2" borderId="6" xfId="0" applyFont="1" applyFill="1" applyBorder="1"/>
    <xf numFmtId="169" fontId="12" fillId="4" borderId="6" xfId="0" applyNumberFormat="1" applyFont="1" applyFill="1" applyBorder="1"/>
    <xf numFmtId="0" fontId="12" fillId="5" borderId="13" xfId="0" applyFont="1" applyFill="1" applyBorder="1"/>
    <xf numFmtId="168" fontId="10" fillId="0" borderId="13" xfId="22" applyNumberFormat="1" applyFont="1" applyFill="1" applyBorder="1"/>
    <xf numFmtId="165" fontId="10" fillId="4" borderId="13" xfId="0" applyNumberFormat="1" applyFont="1" applyFill="1" applyBorder="1"/>
    <xf numFmtId="165" fontId="10" fillId="4" borderId="13" xfId="22" applyNumberFormat="1" applyFont="1" applyFill="1" applyBorder="1"/>
    <xf numFmtId="2" fontId="12" fillId="4" borderId="13" xfId="22" applyNumberFormat="1" applyFont="1" applyFill="1" applyBorder="1"/>
    <xf numFmtId="0" fontId="32" fillId="4" borderId="1" xfId="0" applyFont="1" applyFill="1" applyBorder="1"/>
    <xf numFmtId="0" fontId="15" fillId="3" borderId="13" xfId="0" applyFont="1" applyFill="1" applyBorder="1" applyAlignment="1">
      <alignment horizontal="center"/>
    </xf>
    <xf numFmtId="0" fontId="30" fillId="3" borderId="2" xfId="0" applyFont="1" applyFill="1" applyBorder="1" applyAlignment="1">
      <alignment horizontal="center"/>
    </xf>
    <xf numFmtId="0" fontId="15" fillId="3" borderId="2" xfId="0" applyFont="1" applyFill="1" applyBorder="1" applyAlignment="1">
      <alignment horizontal="center"/>
    </xf>
    <xf numFmtId="0" fontId="15" fillId="3" borderId="14" xfId="0" applyFont="1" applyFill="1" applyBorder="1" applyAlignment="1">
      <alignment horizontal="center"/>
    </xf>
    <xf numFmtId="0" fontId="27" fillId="4" borderId="0" xfId="0" applyFont="1" applyFill="1" applyBorder="1"/>
    <xf numFmtId="165" fontId="27" fillId="4" borderId="0" xfId="22" applyNumberFormat="1" applyFont="1" applyFill="1" applyBorder="1"/>
    <xf numFmtId="0" fontId="28" fillId="4" borderId="0" xfId="20" applyFont="1" applyFill="1" applyBorder="1" applyAlignment="1">
      <alignment horizontal="left"/>
    </xf>
    <xf numFmtId="169" fontId="15" fillId="4" borderId="0" xfId="20" applyNumberFormat="1" applyFont="1" applyFill="1" applyBorder="1" applyAlignment="1" applyProtection="1">
      <alignment horizontal="right"/>
      <protection locked="0"/>
    </xf>
    <xf numFmtId="7" fontId="27" fillId="4" borderId="0" xfId="0" applyNumberFormat="1" applyFont="1" applyFill="1" applyBorder="1"/>
    <xf numFmtId="3" fontId="10" fillId="4" borderId="0" xfId="0" applyNumberFormat="1" applyFont="1" applyFill="1" applyBorder="1"/>
    <xf numFmtId="0" fontId="15" fillId="2" borderId="0" xfId="0" applyFont="1" applyFill="1" applyBorder="1"/>
    <xf numFmtId="0" fontId="28" fillId="4" borderId="11" xfId="20" applyFont="1" applyFill="1" applyBorder="1" applyAlignment="1">
      <alignment horizontal="left"/>
    </xf>
    <xf numFmtId="169" fontId="15" fillId="4" borderId="11" xfId="20" applyNumberFormat="1" applyFont="1" applyFill="1" applyBorder="1" applyAlignment="1" applyProtection="1">
      <alignment horizontal="right"/>
      <protection locked="0"/>
    </xf>
    <xf numFmtId="0" fontId="35" fillId="4" borderId="11" xfId="0" applyFont="1" applyFill="1" applyBorder="1"/>
    <xf numFmtId="0" fontId="36" fillId="4" borderId="11" xfId="0" applyFont="1" applyFill="1" applyBorder="1"/>
    <xf numFmtId="169" fontId="8" fillId="4" borderId="11" xfId="0" applyNumberFormat="1" applyFont="1" applyFill="1" applyBorder="1"/>
    <xf numFmtId="0" fontId="28" fillId="4" borderId="1" xfId="20" applyFont="1" applyFill="1" applyBorder="1" applyAlignment="1">
      <alignment horizontal="left"/>
    </xf>
    <xf numFmtId="169" fontId="15" fillId="4" borderId="1" xfId="20" applyNumberFormat="1" applyFont="1" applyFill="1" applyBorder="1" applyAlignment="1" applyProtection="1">
      <alignment horizontal="right"/>
      <protection locked="0"/>
    </xf>
    <xf numFmtId="0" fontId="35" fillId="4" borderId="1" xfId="0" applyFont="1" applyFill="1" applyBorder="1"/>
    <xf numFmtId="0" fontId="36" fillId="4" borderId="1" xfId="0" applyFont="1" applyFill="1" applyBorder="1"/>
    <xf numFmtId="169" fontId="8" fillId="4" borderId="1" xfId="0" applyNumberFormat="1" applyFont="1" applyFill="1" applyBorder="1"/>
    <xf numFmtId="0" fontId="35" fillId="4" borderId="0" xfId="0" applyFont="1" applyFill="1" applyBorder="1"/>
    <xf numFmtId="0" fontId="36" fillId="4" borderId="0" xfId="0" applyFont="1" applyFill="1" applyBorder="1"/>
    <xf numFmtId="169" fontId="8" fillId="4" borderId="0" xfId="0" applyNumberFormat="1" applyFont="1" applyFill="1" applyBorder="1"/>
    <xf numFmtId="0" fontId="8" fillId="4" borderId="5" xfId="0" applyFont="1" applyFill="1" applyBorder="1"/>
    <xf numFmtId="0" fontId="8" fillId="4" borderId="8" xfId="0" applyFont="1" applyFill="1" applyBorder="1"/>
    <xf numFmtId="169" fontId="12" fillId="4" borderId="20" xfId="0" applyNumberFormat="1" applyFont="1" applyFill="1" applyBorder="1" applyAlignment="1">
      <alignment horizontal="center"/>
    </xf>
    <xf numFmtId="9" fontId="12" fillId="4" borderId="18" xfId="0" applyNumberFormat="1" applyFont="1" applyFill="1" applyBorder="1"/>
    <xf numFmtId="9" fontId="12" fillId="4" borderId="20" xfId="0" applyNumberFormat="1" applyFont="1" applyFill="1" applyBorder="1" applyAlignment="1">
      <alignment horizontal="center"/>
    </xf>
    <xf numFmtId="9" fontId="12" fillId="4" borderId="19" xfId="0" applyNumberFormat="1" applyFont="1" applyFill="1" applyBorder="1" applyAlignment="1">
      <alignment horizontal="center"/>
    </xf>
    <xf numFmtId="165" fontId="16" fillId="4" borderId="13" xfId="22" applyNumberFormat="1" applyFont="1" applyFill="1" applyBorder="1"/>
    <xf numFmtId="169" fontId="24" fillId="4" borderId="14" xfId="22" applyNumberFormat="1" applyFont="1" applyFill="1" applyBorder="1"/>
    <xf numFmtId="166" fontId="12" fillId="4" borderId="0" xfId="16" applyNumberFormat="1" applyFont="1" applyFill="1" applyAlignment="1">
      <alignment horizontal="left" indent="1"/>
    </xf>
    <xf numFmtId="165" fontId="10" fillId="4" borderId="15" xfId="22" applyNumberFormat="1" applyFont="1" applyFill="1" applyBorder="1"/>
    <xf numFmtId="166" fontId="10" fillId="4" borderId="13" xfId="0" applyNumberFormat="1" applyFont="1" applyFill="1" applyBorder="1"/>
    <xf numFmtId="169" fontId="10" fillId="4" borderId="13" xfId="0" applyNumberFormat="1" applyFont="1" applyFill="1" applyBorder="1"/>
    <xf numFmtId="5" fontId="41" fillId="4" borderId="0" xfId="0" applyNumberFormat="1" applyFont="1" applyFill="1" applyBorder="1" applyAlignment="1" applyProtection="1">
      <alignment horizontal="right"/>
    </xf>
    <xf numFmtId="169" fontId="16" fillId="4" borderId="13" xfId="0" applyNumberFormat="1" applyFont="1" applyFill="1" applyBorder="1"/>
    <xf numFmtId="0" fontId="15" fillId="2" borderId="0" xfId="0" applyFont="1" applyFill="1" applyBorder="1" applyAlignment="1">
      <alignment horizontal="left"/>
    </xf>
    <xf numFmtId="165" fontId="15" fillId="2" borderId="0" xfId="22" applyNumberFormat="1" applyFont="1" applyFill="1" applyBorder="1" applyAlignment="1">
      <alignment horizontal="left"/>
    </xf>
    <xf numFmtId="3" fontId="15" fillId="2" borderId="0" xfId="0" applyNumberFormat="1" applyFont="1" applyFill="1" applyBorder="1" applyAlignment="1">
      <alignment horizontal="left"/>
    </xf>
    <xf numFmtId="166" fontId="15" fillId="2" borderId="0" xfId="0" applyNumberFormat="1" applyFont="1" applyFill="1" applyBorder="1" applyAlignment="1">
      <alignment horizontal="left"/>
    </xf>
    <xf numFmtId="1" fontId="15" fillId="2" borderId="0" xfId="22" applyNumberFormat="1" applyFont="1" applyFill="1" applyBorder="1" applyAlignment="1">
      <alignment horizontal="left"/>
    </xf>
    <xf numFmtId="0" fontId="28" fillId="2" borderId="0" xfId="20" applyFont="1" applyFill="1" applyBorder="1" applyAlignment="1">
      <alignment horizontal="left"/>
    </xf>
    <xf numFmtId="4" fontId="15" fillId="2" borderId="0" xfId="0" applyNumberFormat="1" applyFont="1" applyFill="1" applyBorder="1" applyAlignment="1">
      <alignment horizontal="left"/>
    </xf>
    <xf numFmtId="175" fontId="15" fillId="2" borderId="0" xfId="22" applyNumberFormat="1" applyFont="1" applyFill="1" applyBorder="1" applyAlignment="1">
      <alignment horizontal="left"/>
    </xf>
    <xf numFmtId="169" fontId="12" fillId="2" borderId="0" xfId="0" applyNumberFormat="1" applyFont="1" applyFill="1" applyBorder="1" applyAlignment="1">
      <alignment horizontal="left"/>
    </xf>
    <xf numFmtId="169" fontId="15" fillId="2" borderId="0" xfId="0" applyNumberFormat="1" applyFont="1" applyFill="1" applyBorder="1" applyAlignment="1">
      <alignment horizontal="left"/>
    </xf>
    <xf numFmtId="7" fontId="15" fillId="2" borderId="0" xfId="0" applyNumberFormat="1" applyFont="1" applyFill="1" applyBorder="1" applyAlignment="1">
      <alignment horizontal="left"/>
    </xf>
    <xf numFmtId="9" fontId="15" fillId="2" borderId="0" xfId="22" applyNumberFormat="1" applyFont="1" applyFill="1" applyBorder="1" applyAlignment="1">
      <alignment horizontal="left"/>
    </xf>
    <xf numFmtId="168" fontId="15" fillId="2" borderId="0" xfId="22" applyNumberFormat="1" applyFont="1" applyFill="1" applyBorder="1" applyAlignment="1">
      <alignment horizontal="left"/>
    </xf>
    <xf numFmtId="177" fontId="39" fillId="2" borderId="0" xfId="0" applyNumberFormat="1" applyFont="1" applyFill="1" applyBorder="1" applyAlignment="1" applyProtection="1">
      <alignment horizontal="left"/>
    </xf>
    <xf numFmtId="168" fontId="15" fillId="2" borderId="0" xfId="0" applyNumberFormat="1" applyFont="1" applyFill="1" applyBorder="1" applyAlignment="1">
      <alignment horizontal="left"/>
    </xf>
    <xf numFmtId="2" fontId="15" fillId="2" borderId="0" xfId="0" applyNumberFormat="1" applyFont="1" applyFill="1" applyBorder="1" applyAlignment="1">
      <alignment horizontal="left"/>
    </xf>
    <xf numFmtId="5" fontId="15" fillId="2" borderId="0" xfId="0" applyNumberFormat="1" applyFont="1" applyFill="1" applyBorder="1" applyAlignment="1">
      <alignment horizontal="left"/>
    </xf>
    <xf numFmtId="5" fontId="15" fillId="2" borderId="0" xfId="22" applyNumberFormat="1" applyFont="1" applyFill="1" applyBorder="1" applyAlignment="1">
      <alignment horizontal="left"/>
    </xf>
    <xf numFmtId="169" fontId="15" fillId="2" borderId="0" xfId="22" applyNumberFormat="1" applyFont="1" applyFill="1" applyBorder="1" applyAlignment="1">
      <alignment horizontal="left"/>
    </xf>
    <xf numFmtId="1" fontId="15" fillId="2" borderId="0" xfId="0" applyNumberFormat="1" applyFont="1" applyFill="1" applyBorder="1" applyAlignment="1">
      <alignment horizontal="left"/>
    </xf>
    <xf numFmtId="165" fontId="12" fillId="2" borderId="0" xfId="0" applyNumberFormat="1" applyFont="1" applyFill="1" applyBorder="1" applyAlignment="1">
      <alignment horizontal="left"/>
    </xf>
    <xf numFmtId="165" fontId="15" fillId="2" borderId="0" xfId="0" applyNumberFormat="1" applyFont="1" applyFill="1" applyBorder="1" applyAlignment="1">
      <alignment horizontal="left"/>
    </xf>
    <xf numFmtId="166" fontId="29" fillId="2" borderId="0" xfId="0" applyNumberFormat="1" applyFont="1" applyFill="1" applyBorder="1" applyAlignment="1">
      <alignment horizontal="left"/>
    </xf>
    <xf numFmtId="167" fontId="15" fillId="2" borderId="0" xfId="0" applyNumberFormat="1" applyFont="1" applyFill="1" applyBorder="1" applyAlignment="1">
      <alignment horizontal="left"/>
    </xf>
    <xf numFmtId="0" fontId="35" fillId="2" borderId="0" xfId="0" applyFont="1" applyFill="1" applyBorder="1" applyAlignment="1">
      <alignment horizontal="left"/>
    </xf>
    <xf numFmtId="9" fontId="12" fillId="4" borderId="11" xfId="0" applyNumberFormat="1" applyFont="1" applyFill="1" applyBorder="1"/>
    <xf numFmtId="165" fontId="12" fillId="4" borderId="11" xfId="0" applyNumberFormat="1" applyFont="1" applyFill="1" applyBorder="1"/>
    <xf numFmtId="169" fontId="15" fillId="0" borderId="0" xfId="20" applyNumberFormat="1" applyFont="1" applyFill="1" applyBorder="1" applyAlignment="1" applyProtection="1">
      <alignment horizontal="right"/>
      <protection locked="0"/>
    </xf>
    <xf numFmtId="169" fontId="15" fillId="0" borderId="11" xfId="20" applyNumberFormat="1" applyFont="1" applyFill="1" applyBorder="1" applyAlignment="1" applyProtection="1">
      <alignment horizontal="right"/>
      <protection locked="0"/>
    </xf>
    <xf numFmtId="169" fontId="12" fillId="0" borderId="0" xfId="20" applyNumberFormat="1" applyFont="1" applyFill="1" applyBorder="1" applyAlignment="1" applyProtection="1">
      <alignment horizontal="right"/>
      <protection locked="0"/>
    </xf>
    <xf numFmtId="169" fontId="12" fillId="0" borderId="13" xfId="20" applyNumberFormat="1" applyFont="1" applyFill="1" applyBorder="1" applyAlignment="1" applyProtection="1">
      <alignment horizontal="right"/>
      <protection locked="0"/>
    </xf>
    <xf numFmtId="0" fontId="42" fillId="0" borderId="0" xfId="0" applyFont="1"/>
    <xf numFmtId="177" fontId="38" fillId="2" borderId="0" xfId="0" applyNumberFormat="1" applyFont="1" applyFill="1" applyBorder="1" applyAlignment="1" applyProtection="1">
      <alignment horizontal="left"/>
    </xf>
    <xf numFmtId="5" fontId="8" fillId="4" borderId="1" xfId="0" applyNumberFormat="1" applyFont="1" applyFill="1" applyBorder="1"/>
    <xf numFmtId="5" fontId="8" fillId="4" borderId="0" xfId="0" applyNumberFormat="1" applyFont="1" applyFill="1" applyBorder="1"/>
    <xf numFmtId="5" fontId="8" fillId="4" borderId="11" xfId="0" applyNumberFormat="1" applyFont="1" applyFill="1" applyBorder="1"/>
    <xf numFmtId="5" fontId="39" fillId="2" borderId="0" xfId="0" applyNumberFormat="1" applyFont="1" applyFill="1" applyBorder="1" applyAlignment="1" applyProtection="1">
      <alignment horizontal="left"/>
    </xf>
    <xf numFmtId="5" fontId="0" fillId="0" borderId="0" xfId="0" applyNumberFormat="1"/>
    <xf numFmtId="0" fontId="12" fillId="2" borderId="0" xfId="0" applyFont="1" applyFill="1" applyBorder="1" applyAlignment="1">
      <alignment horizontal="left"/>
    </xf>
    <xf numFmtId="164" fontId="12" fillId="2" borderId="0" xfId="0" applyNumberFormat="1" applyFont="1" applyFill="1" applyBorder="1" applyAlignment="1">
      <alignment horizontal="left"/>
    </xf>
    <xf numFmtId="165" fontId="12" fillId="2" borderId="0" xfId="22" applyNumberFormat="1" applyFont="1" applyFill="1" applyBorder="1" applyAlignment="1">
      <alignment horizontal="left"/>
    </xf>
    <xf numFmtId="3" fontId="12" fillId="2" borderId="0" xfId="0" applyNumberFormat="1" applyFont="1" applyFill="1" applyBorder="1" applyAlignment="1">
      <alignment horizontal="left"/>
    </xf>
    <xf numFmtId="166" fontId="12" fillId="2" borderId="0" xfId="0" applyNumberFormat="1" applyFont="1" applyFill="1" applyBorder="1" applyAlignment="1">
      <alignment horizontal="left"/>
    </xf>
    <xf numFmtId="1" fontId="12" fillId="2" borderId="0" xfId="22" applyNumberFormat="1" applyFont="1" applyFill="1" applyBorder="1" applyAlignment="1">
      <alignment horizontal="left"/>
    </xf>
    <xf numFmtId="0" fontId="27" fillId="2" borderId="0" xfId="20" applyFont="1" applyFill="1" applyBorder="1" applyAlignment="1">
      <alignment horizontal="left"/>
    </xf>
    <xf numFmtId="169" fontId="12" fillId="2" borderId="0" xfId="20" applyNumberFormat="1" applyFont="1" applyFill="1" applyBorder="1" applyAlignment="1" applyProtection="1">
      <alignment horizontal="right"/>
      <protection locked="0"/>
    </xf>
    <xf numFmtId="4" fontId="12" fillId="2" borderId="0" xfId="0" applyNumberFormat="1" applyFont="1" applyFill="1" applyBorder="1" applyAlignment="1">
      <alignment horizontal="left"/>
    </xf>
    <xf numFmtId="175" fontId="12" fillId="2" borderId="0" xfId="22" applyNumberFormat="1" applyFont="1" applyFill="1" applyBorder="1" applyAlignment="1">
      <alignment horizontal="left"/>
    </xf>
    <xf numFmtId="7" fontId="12" fillId="2" borderId="0" xfId="0" applyNumberFormat="1" applyFont="1" applyFill="1" applyBorder="1" applyAlignment="1">
      <alignment horizontal="left"/>
    </xf>
    <xf numFmtId="9" fontId="12" fillId="2" borderId="0" xfId="22" applyNumberFormat="1" applyFont="1" applyFill="1" applyBorder="1" applyAlignment="1">
      <alignment horizontal="left"/>
    </xf>
    <xf numFmtId="168" fontId="12" fillId="2" borderId="0" xfId="22" applyNumberFormat="1" applyFont="1" applyFill="1" applyBorder="1" applyAlignment="1">
      <alignment horizontal="left"/>
    </xf>
    <xf numFmtId="37" fontId="12" fillId="2" borderId="0" xfId="0" applyNumberFormat="1" applyFont="1" applyFill="1" applyBorder="1" applyAlignment="1">
      <alignment horizontal="left"/>
    </xf>
    <xf numFmtId="173" fontId="12" fillId="2" borderId="0" xfId="0" applyNumberFormat="1" applyFont="1" applyFill="1" applyBorder="1" applyAlignment="1">
      <alignment horizontal="left"/>
    </xf>
    <xf numFmtId="168" fontId="12" fillId="2" borderId="0" xfId="0" applyNumberFormat="1" applyFont="1" applyFill="1" applyBorder="1" applyAlignment="1">
      <alignment horizontal="left"/>
    </xf>
    <xf numFmtId="2" fontId="12" fillId="2" borderId="0" xfId="0" applyNumberFormat="1" applyFont="1" applyFill="1" applyBorder="1" applyAlignment="1">
      <alignment horizontal="left"/>
    </xf>
    <xf numFmtId="49" fontId="12" fillId="2" borderId="0" xfId="0" applyNumberFormat="1" applyFont="1" applyFill="1" applyBorder="1" applyAlignment="1">
      <alignment horizontal="left"/>
    </xf>
    <xf numFmtId="0" fontId="8" fillId="2" borderId="0" xfId="0" applyFont="1" applyFill="1" applyBorder="1" applyAlignment="1">
      <alignment horizontal="left"/>
    </xf>
    <xf numFmtId="5" fontId="12" fillId="2" borderId="0" xfId="0" applyNumberFormat="1" applyFont="1" applyFill="1" applyBorder="1" applyAlignment="1">
      <alignment horizontal="left"/>
    </xf>
    <xf numFmtId="5" fontId="12" fillId="2" borderId="0" xfId="22" applyNumberFormat="1" applyFont="1" applyFill="1" applyBorder="1" applyAlignment="1">
      <alignment horizontal="left"/>
    </xf>
    <xf numFmtId="169" fontId="12" fillId="2" borderId="0" xfId="22" applyNumberFormat="1" applyFont="1" applyFill="1" applyBorder="1" applyAlignment="1">
      <alignment horizontal="left"/>
    </xf>
    <xf numFmtId="1" fontId="12" fillId="2" borderId="0" xfId="0" applyNumberFormat="1" applyFont="1" applyFill="1" applyBorder="1" applyAlignment="1">
      <alignment horizontal="left"/>
    </xf>
    <xf numFmtId="177" fontId="43" fillId="2" borderId="0" xfId="0" applyNumberFormat="1" applyFont="1" applyFill="1" applyBorder="1" applyAlignment="1" applyProtection="1">
      <alignment horizontal="left"/>
    </xf>
    <xf numFmtId="166" fontId="14" fillId="2" borderId="0" xfId="0" applyNumberFormat="1" applyFont="1" applyFill="1" applyBorder="1" applyAlignment="1">
      <alignment horizontal="left"/>
    </xf>
    <xf numFmtId="167" fontId="12" fillId="2" borderId="0" xfId="0" applyNumberFormat="1" applyFont="1" applyFill="1" applyBorder="1" applyAlignment="1">
      <alignment horizontal="left"/>
    </xf>
    <xf numFmtId="0" fontId="15" fillId="5" borderId="0" xfId="0" applyFont="1" applyFill="1" applyBorder="1"/>
    <xf numFmtId="0" fontId="15" fillId="5" borderId="0" xfId="0" applyFont="1" applyFill="1" applyBorder="1" applyAlignment="1">
      <alignment horizontal="right"/>
    </xf>
    <xf numFmtId="164" fontId="12" fillId="5" borderId="0" xfId="0" applyNumberFormat="1" applyFont="1" applyFill="1" applyBorder="1"/>
    <xf numFmtId="165" fontId="12" fillId="5" borderId="0" xfId="22" applyNumberFormat="1" applyFont="1" applyFill="1" applyBorder="1"/>
    <xf numFmtId="3" fontId="12" fillId="5" borderId="0" xfId="0" applyNumberFormat="1" applyFont="1" applyFill="1" applyBorder="1"/>
    <xf numFmtId="165" fontId="10" fillId="5" borderId="0" xfId="22" applyNumberFormat="1" applyFont="1" applyFill="1" applyBorder="1"/>
    <xf numFmtId="166" fontId="10" fillId="5" borderId="0" xfId="0" applyNumberFormat="1" applyFont="1" applyFill="1" applyBorder="1"/>
    <xf numFmtId="3" fontId="10" fillId="5" borderId="0" xfId="0" applyNumberFormat="1" applyFont="1" applyFill="1" applyBorder="1"/>
    <xf numFmtId="1" fontId="12" fillId="5" borderId="0" xfId="22" applyNumberFormat="1" applyFont="1" applyFill="1" applyBorder="1"/>
    <xf numFmtId="169" fontId="15" fillId="5" borderId="0" xfId="20" applyNumberFormat="1" applyFont="1" applyFill="1" applyBorder="1" applyAlignment="1" applyProtection="1">
      <alignment horizontal="right"/>
      <protection locked="0"/>
    </xf>
    <xf numFmtId="4" fontId="12" fillId="5" borderId="0" xfId="0" applyNumberFormat="1" applyFont="1" applyFill="1" applyBorder="1"/>
    <xf numFmtId="175" fontId="12" fillId="5" borderId="0" xfId="22" applyNumberFormat="1" applyFont="1" applyFill="1" applyBorder="1"/>
    <xf numFmtId="169" fontId="12" fillId="5" borderId="0" xfId="0" applyNumberFormat="1" applyFont="1" applyFill="1" applyBorder="1"/>
    <xf numFmtId="168" fontId="10" fillId="5" borderId="0" xfId="22" applyNumberFormat="1" applyFont="1" applyFill="1" applyBorder="1"/>
    <xf numFmtId="168" fontId="32" fillId="5" borderId="0" xfId="22" applyNumberFormat="1" applyFont="1" applyFill="1" applyBorder="1"/>
    <xf numFmtId="37" fontId="12" fillId="5" borderId="0" xfId="0" applyNumberFormat="1" applyFont="1" applyFill="1" applyBorder="1"/>
    <xf numFmtId="173" fontId="12" fillId="5" borderId="0" xfId="0" applyNumberFormat="1" applyFont="1" applyFill="1" applyBorder="1"/>
    <xf numFmtId="168" fontId="12" fillId="5" borderId="0" xfId="0" applyNumberFormat="1" applyFont="1" applyFill="1" applyBorder="1"/>
    <xf numFmtId="2" fontId="12" fillId="5" borderId="0" xfId="0" applyNumberFormat="1" applyFont="1" applyFill="1" applyBorder="1"/>
    <xf numFmtId="5" fontId="15" fillId="5" borderId="0" xfId="0" applyNumberFormat="1" applyFont="1" applyFill="1" applyBorder="1"/>
    <xf numFmtId="9" fontId="12" fillId="5" borderId="0" xfId="22" applyNumberFormat="1" applyFont="1" applyFill="1" applyBorder="1"/>
    <xf numFmtId="5" fontId="15" fillId="5" borderId="0" xfId="22" applyNumberFormat="1" applyFont="1" applyFill="1" applyBorder="1"/>
    <xf numFmtId="165" fontId="15" fillId="5" borderId="0" xfId="22" applyNumberFormat="1" applyFont="1" applyFill="1" applyBorder="1"/>
    <xf numFmtId="166" fontId="12" fillId="5" borderId="0" xfId="0" applyNumberFormat="1" applyFont="1" applyFill="1" applyBorder="1"/>
    <xf numFmtId="169" fontId="10" fillId="5" borderId="0" xfId="22" applyNumberFormat="1" applyFont="1" applyFill="1" applyBorder="1"/>
    <xf numFmtId="169" fontId="33" fillId="5" borderId="0" xfId="22" applyNumberFormat="1" applyFont="1" applyFill="1" applyBorder="1"/>
    <xf numFmtId="5" fontId="10" fillId="5" borderId="0" xfId="0" applyNumberFormat="1" applyFont="1" applyFill="1" applyBorder="1"/>
    <xf numFmtId="169" fontId="12" fillId="5" borderId="0" xfId="22" applyNumberFormat="1" applyFont="1" applyFill="1" applyBorder="1"/>
    <xf numFmtId="5" fontId="12" fillId="5" borderId="0" xfId="0" applyNumberFormat="1" applyFont="1" applyFill="1" applyBorder="1"/>
    <xf numFmtId="7" fontId="15" fillId="5" borderId="0" xfId="0" applyNumberFormat="1" applyFont="1" applyFill="1" applyBorder="1"/>
    <xf numFmtId="1" fontId="12" fillId="5" borderId="0" xfId="0" applyNumberFormat="1" applyFont="1" applyFill="1" applyBorder="1"/>
    <xf numFmtId="1" fontId="10" fillId="5" borderId="0" xfId="0" applyNumberFormat="1" applyFont="1" applyFill="1" applyBorder="1"/>
    <xf numFmtId="165" fontId="32" fillId="5" borderId="0" xfId="22" applyNumberFormat="1" applyFont="1" applyFill="1" applyBorder="1"/>
    <xf numFmtId="165" fontId="12" fillId="5" borderId="0" xfId="0" applyNumberFormat="1" applyFont="1" applyFill="1" applyBorder="1"/>
    <xf numFmtId="5" fontId="37" fillId="5" borderId="0" xfId="0" applyNumberFormat="1" applyFont="1" applyFill="1" applyBorder="1" applyAlignment="1" applyProtection="1">
      <alignment horizontal="right"/>
    </xf>
    <xf numFmtId="169" fontId="15" fillId="5" borderId="0" xfId="0" applyNumberFormat="1" applyFont="1" applyFill="1" applyBorder="1"/>
    <xf numFmtId="165" fontId="10" fillId="5" borderId="0" xfId="0" applyNumberFormat="1" applyFont="1" applyFill="1" applyBorder="1"/>
    <xf numFmtId="166" fontId="14" fillId="5" borderId="0" xfId="0" applyNumberFormat="1" applyFont="1" applyFill="1" applyBorder="1"/>
    <xf numFmtId="169" fontId="10" fillId="5" borderId="0" xfId="0" applyNumberFormat="1" applyFont="1" applyFill="1" applyBorder="1"/>
    <xf numFmtId="167" fontId="12" fillId="5" borderId="0" xfId="0" applyNumberFormat="1" applyFont="1" applyFill="1" applyBorder="1"/>
    <xf numFmtId="0" fontId="8" fillId="5" borderId="0" xfId="0" applyFont="1" applyFill="1" applyBorder="1"/>
    <xf numFmtId="0" fontId="28" fillId="5" borderId="0" xfId="0" applyFont="1" applyFill="1" applyBorder="1" applyAlignment="1">
      <alignment horizontal="left"/>
    </xf>
    <xf numFmtId="0" fontId="12" fillId="5" borderId="0" xfId="0" applyFont="1" applyFill="1" applyBorder="1" applyAlignment="1">
      <alignment horizontal="left"/>
    </xf>
    <xf numFmtId="0" fontId="15" fillId="5" borderId="0" xfId="0" applyFont="1" applyFill="1" applyBorder="1" applyAlignment="1">
      <alignment horizontal="left"/>
    </xf>
    <xf numFmtId="175" fontId="12" fillId="5" borderId="0" xfId="0" applyNumberFormat="1" applyFont="1" applyFill="1" applyBorder="1"/>
    <xf numFmtId="168" fontId="12" fillId="5" borderId="0" xfId="22" applyNumberFormat="1" applyFont="1" applyFill="1" applyBorder="1"/>
    <xf numFmtId="9" fontId="12" fillId="5" borderId="0" xfId="0" applyNumberFormat="1" applyFont="1" applyFill="1" applyBorder="1"/>
    <xf numFmtId="169" fontId="33" fillId="5" borderId="0" xfId="0" applyNumberFormat="1" applyFont="1" applyFill="1" applyBorder="1"/>
    <xf numFmtId="169" fontId="12" fillId="0" borderId="0" xfId="20" applyNumberFormat="1" applyFont="1" applyFill="1" applyBorder="1" applyAlignment="1" applyProtection="1">
      <alignment horizontal="left" indent="1"/>
      <protection locked="0"/>
    </xf>
    <xf numFmtId="165" fontId="14" fillId="4" borderId="12" xfId="20" applyNumberFormat="1" applyFont="1" applyFill="1" applyBorder="1" applyAlignment="1" applyProtection="1">
      <alignment horizontal="left"/>
      <protection locked="0"/>
    </xf>
    <xf numFmtId="7" fontId="12" fillId="4" borderId="12" xfId="0" applyNumberFormat="1" applyFont="1" applyFill="1" applyBorder="1"/>
    <xf numFmtId="168" fontId="32" fillId="0" borderId="13" xfId="22" applyNumberFormat="1" applyFont="1" applyFill="1" applyBorder="1"/>
    <xf numFmtId="165" fontId="12" fillId="0" borderId="13" xfId="22" applyNumberFormat="1" applyFont="1" applyFill="1" applyBorder="1"/>
    <xf numFmtId="5" fontId="32" fillId="4" borderId="13" xfId="22" applyNumberFormat="1" applyFont="1" applyFill="1" applyBorder="1"/>
    <xf numFmtId="5" fontId="12" fillId="4" borderId="13" xfId="22" applyNumberFormat="1" applyFont="1" applyFill="1" applyBorder="1"/>
    <xf numFmtId="5" fontId="12" fillId="4" borderId="0" xfId="22" applyNumberFormat="1" applyFont="1" applyFill="1" applyBorder="1"/>
    <xf numFmtId="5" fontId="12" fillId="5" borderId="0" xfId="22" applyNumberFormat="1" applyFont="1" applyFill="1" applyBorder="1"/>
    <xf numFmtId="165" fontId="12" fillId="4" borderId="12" xfId="22" applyNumberFormat="1" applyFont="1" applyFill="1" applyBorder="1"/>
    <xf numFmtId="1" fontId="12" fillId="4" borderId="0" xfId="10" applyNumberFormat="1" applyFont="1" applyFill="1" applyBorder="1" applyAlignment="1">
      <alignment horizontal="right"/>
    </xf>
    <xf numFmtId="1" fontId="12" fillId="4" borderId="0" xfId="19" applyNumberFormat="1" applyFont="1" applyFill="1" applyBorder="1" applyAlignment="1">
      <alignment horizontal="left" indent="1"/>
    </xf>
    <xf numFmtId="9" fontId="12" fillId="4" borderId="0" xfId="0" applyNumberFormat="1" applyFont="1" applyFill="1" applyBorder="1" applyAlignment="1">
      <alignment horizontal="right" vertical="center"/>
    </xf>
    <xf numFmtId="9" fontId="12" fillId="4" borderId="13" xfId="0" applyNumberFormat="1" applyFont="1" applyFill="1" applyBorder="1" applyAlignment="1">
      <alignment horizontal="right" vertical="center"/>
    </xf>
    <xf numFmtId="1" fontId="12" fillId="4" borderId="0" xfId="0" applyNumberFormat="1" applyFont="1" applyFill="1" applyBorder="1" applyAlignment="1">
      <alignment horizontal="right" vertical="center"/>
    </xf>
    <xf numFmtId="9" fontId="10" fillId="4" borderId="0" xfId="0" applyNumberFormat="1" applyFont="1" applyFill="1" applyBorder="1" applyAlignment="1">
      <alignment horizontal="right" vertical="center"/>
    </xf>
    <xf numFmtId="5" fontId="34" fillId="4" borderId="0" xfId="0" applyNumberFormat="1" applyFont="1" applyFill="1" applyBorder="1" applyAlignment="1">
      <alignment vertical="top"/>
    </xf>
    <xf numFmtId="9" fontId="12" fillId="4" borderId="0" xfId="0" applyNumberFormat="1" applyFont="1" applyFill="1" applyBorder="1" applyAlignment="1">
      <alignment horizontal="left" vertical="top" indent="1"/>
    </xf>
    <xf numFmtId="7" fontId="12" fillId="4" borderId="0" xfId="0" applyNumberFormat="1" applyFont="1" applyFill="1" applyBorder="1" applyAlignment="1">
      <alignment horizontal="left" vertical="top" indent="1"/>
    </xf>
    <xf numFmtId="1" fontId="32" fillId="2" borderId="13" xfId="22" applyNumberFormat="1" applyFont="1" applyFill="1" applyBorder="1"/>
    <xf numFmtId="1" fontId="12" fillId="2" borderId="13" xfId="22" applyNumberFormat="1" applyFont="1" applyFill="1" applyBorder="1"/>
    <xf numFmtId="1" fontId="12" fillId="2" borderId="0" xfId="22" applyNumberFormat="1" applyFont="1" applyFill="1" applyBorder="1"/>
    <xf numFmtId="7" fontId="12" fillId="4" borderId="0" xfId="0" applyNumberFormat="1" applyFont="1" applyFill="1" applyBorder="1" applyAlignment="1">
      <alignment horizontal="right" vertical="center"/>
    </xf>
    <xf numFmtId="7" fontId="12" fillId="4" borderId="13" xfId="0" applyNumberFormat="1" applyFont="1" applyFill="1" applyBorder="1" applyAlignment="1">
      <alignment horizontal="right" vertical="center"/>
    </xf>
    <xf numFmtId="9" fontId="10" fillId="4" borderId="13" xfId="0" applyNumberFormat="1" applyFont="1" applyFill="1" applyBorder="1" applyAlignment="1">
      <alignment horizontal="right" vertical="center"/>
    </xf>
    <xf numFmtId="0" fontId="15" fillId="6" borderId="13" xfId="20" applyFont="1" applyFill="1" applyBorder="1" applyAlignment="1">
      <alignment horizontal="left"/>
    </xf>
    <xf numFmtId="5" fontId="15" fillId="6" borderId="13" xfId="20" applyNumberFormat="1" applyFont="1" applyFill="1" applyBorder="1" applyAlignment="1">
      <alignment horizontal="left"/>
    </xf>
    <xf numFmtId="7" fontId="28" fillId="6" borderId="13" xfId="20" applyNumberFormat="1" applyFont="1" applyFill="1" applyBorder="1" applyAlignment="1">
      <alignment horizontal="left"/>
    </xf>
    <xf numFmtId="169" fontId="12" fillId="4" borderId="11" xfId="0" applyNumberFormat="1" applyFont="1" applyFill="1" applyBorder="1"/>
    <xf numFmtId="9" fontId="12" fillId="4" borderId="16" xfId="22" applyNumberFormat="1" applyFont="1" applyFill="1" applyBorder="1"/>
    <xf numFmtId="1" fontId="12" fillId="4" borderId="13" xfId="0" applyNumberFormat="1" applyFont="1" applyFill="1" applyBorder="1" applyAlignment="1">
      <alignment horizontal="right" vertical="center"/>
    </xf>
    <xf numFmtId="7" fontId="12" fillId="4" borderId="15" xfId="0" applyNumberFormat="1" applyFont="1" applyFill="1" applyBorder="1"/>
    <xf numFmtId="0" fontId="28" fillId="3" borderId="0" xfId="20" applyFont="1" applyFill="1" applyBorder="1" applyAlignment="1" applyProtection="1">
      <alignment horizontal="centerContinuous" wrapText="1"/>
    </xf>
    <xf numFmtId="0" fontId="15" fillId="3" borderId="2" xfId="20" applyFont="1" applyFill="1" applyBorder="1" applyAlignment="1" applyProtection="1">
      <alignment horizontal="center"/>
    </xf>
    <xf numFmtId="10" fontId="28" fillId="6" borderId="13" xfId="20" applyNumberFormat="1" applyFont="1" applyFill="1" applyBorder="1" applyAlignment="1">
      <alignment horizontal="left"/>
    </xf>
    <xf numFmtId="169" fontId="12" fillId="2" borderId="0" xfId="20" applyNumberFormat="1" applyFont="1" applyFill="1" applyBorder="1" applyAlignment="1" applyProtection="1">
      <alignment horizontal="left"/>
      <protection locked="0"/>
    </xf>
    <xf numFmtId="5" fontId="10" fillId="0" borderId="13" xfId="0" applyNumberFormat="1" applyFont="1" applyFill="1" applyBorder="1"/>
    <xf numFmtId="165" fontId="12" fillId="4" borderId="0" xfId="20" applyNumberFormat="1" applyFont="1" applyFill="1" applyBorder="1" applyAlignment="1" applyProtection="1">
      <alignment horizontal="left"/>
      <protection locked="0"/>
    </xf>
    <xf numFmtId="5" fontId="34" fillId="4" borderId="0" xfId="0" applyNumberFormat="1" applyFont="1" applyFill="1" applyBorder="1" applyAlignment="1">
      <alignment horizontal="left" indent="1"/>
    </xf>
    <xf numFmtId="5" fontId="34" fillId="4" borderId="0" xfId="0" applyNumberFormat="1" applyFont="1" applyFill="1" applyBorder="1"/>
    <xf numFmtId="169" fontId="14" fillId="4" borderId="13" xfId="22" applyNumberFormat="1" applyFont="1" applyFill="1" applyBorder="1"/>
    <xf numFmtId="169" fontId="10" fillId="4" borderId="13" xfId="22" applyNumberFormat="1" applyFont="1" applyFill="1" applyBorder="1"/>
    <xf numFmtId="169" fontId="32" fillId="0" borderId="0" xfId="0" applyNumberFormat="1" applyFont="1" applyFill="1" applyBorder="1"/>
    <xf numFmtId="4" fontId="32" fillId="0" borderId="0" xfId="0" applyNumberFormat="1" applyFont="1" applyFill="1" applyBorder="1"/>
    <xf numFmtId="4" fontId="12" fillId="0" borderId="13" xfId="0" applyNumberFormat="1" applyFont="1" applyFill="1" applyBorder="1"/>
    <xf numFmtId="165" fontId="12" fillId="2" borderId="0" xfId="22" applyNumberFormat="1" applyFont="1" applyFill="1" applyBorder="1" applyAlignment="1"/>
    <xf numFmtId="0" fontId="8" fillId="0" borderId="0" xfId="0" applyFont="1" applyBorder="1" applyAlignment="1"/>
    <xf numFmtId="0" fontId="12" fillId="4" borderId="0" xfId="0" applyFont="1" applyFill="1" applyBorder="1" applyAlignment="1"/>
    <xf numFmtId="169" fontId="14" fillId="4" borderId="0" xfId="22" applyNumberFormat="1" applyFont="1" applyFill="1" applyBorder="1"/>
    <xf numFmtId="0" fontId="27" fillId="5" borderId="1" xfId="0" applyFont="1" applyFill="1" applyBorder="1"/>
    <xf numFmtId="0" fontId="28" fillId="6" borderId="1" xfId="20" applyFont="1" applyFill="1" applyBorder="1" applyAlignment="1">
      <alignment horizontal="left"/>
    </xf>
    <xf numFmtId="169" fontId="12" fillId="4" borderId="1" xfId="0" applyNumberFormat="1" applyFont="1" applyFill="1" applyBorder="1"/>
    <xf numFmtId="5" fontId="10" fillId="4" borderId="1" xfId="0" applyNumberFormat="1" applyFont="1" applyFill="1" applyBorder="1"/>
    <xf numFmtId="165" fontId="10" fillId="4" borderId="1" xfId="0" applyNumberFormat="1" applyFont="1" applyFill="1" applyBorder="1"/>
    <xf numFmtId="7" fontId="12" fillId="4" borderId="1" xfId="0" applyNumberFormat="1" applyFont="1" applyFill="1" applyBorder="1"/>
    <xf numFmtId="5" fontId="12" fillId="4" borderId="1" xfId="0" applyNumberFormat="1" applyFont="1" applyFill="1" applyBorder="1"/>
    <xf numFmtId="165" fontId="12" fillId="4" borderId="1" xfId="0" applyNumberFormat="1" applyFont="1" applyFill="1" applyBorder="1"/>
    <xf numFmtId="166" fontId="12" fillId="4" borderId="1" xfId="0" applyNumberFormat="1" applyFont="1" applyFill="1" applyBorder="1"/>
    <xf numFmtId="5" fontId="32" fillId="4" borderId="1" xfId="0" applyNumberFormat="1" applyFont="1" applyFill="1" applyBorder="1"/>
    <xf numFmtId="0" fontId="32" fillId="5" borderId="1" xfId="0" applyFont="1" applyFill="1" applyBorder="1"/>
    <xf numFmtId="179" fontId="15" fillId="4" borderId="1" xfId="0" applyNumberFormat="1" applyFont="1" applyFill="1" applyBorder="1"/>
    <xf numFmtId="174" fontId="10" fillId="4" borderId="1" xfId="0" applyNumberFormat="1" applyFont="1" applyFill="1" applyBorder="1"/>
    <xf numFmtId="7" fontId="10" fillId="4" borderId="1" xfId="0" applyNumberFormat="1" applyFont="1" applyFill="1" applyBorder="1"/>
    <xf numFmtId="166" fontId="12" fillId="4" borderId="21" xfId="0" applyNumberFormat="1" applyFont="1" applyFill="1" applyBorder="1"/>
    <xf numFmtId="0" fontId="27" fillId="5" borderId="5" xfId="0" applyFont="1" applyFill="1" applyBorder="1"/>
    <xf numFmtId="0" fontId="27" fillId="5" borderId="11" xfId="0" applyFont="1" applyFill="1" applyBorder="1"/>
    <xf numFmtId="0" fontId="28" fillId="6" borderId="11" xfId="20" applyFont="1" applyFill="1" applyBorder="1" applyAlignment="1">
      <alignment horizontal="left"/>
    </xf>
    <xf numFmtId="166" fontId="12" fillId="4" borderId="11" xfId="0" applyNumberFormat="1" applyFont="1" applyFill="1" applyBorder="1"/>
    <xf numFmtId="166" fontId="12" fillId="4" borderId="22" xfId="0" applyNumberFormat="1" applyFont="1" applyFill="1" applyBorder="1"/>
    <xf numFmtId="5" fontId="10" fillId="4" borderId="11" xfId="0" applyNumberFormat="1" applyFont="1" applyFill="1" applyBorder="1"/>
    <xf numFmtId="5" fontId="12" fillId="4" borderId="11" xfId="0" applyNumberFormat="1" applyFont="1" applyFill="1" applyBorder="1"/>
    <xf numFmtId="165" fontId="10" fillId="4" borderId="11" xfId="0" applyNumberFormat="1" applyFont="1" applyFill="1" applyBorder="1"/>
    <xf numFmtId="7" fontId="12" fillId="4" borderId="11" xfId="0" applyNumberFormat="1" applyFont="1" applyFill="1" applyBorder="1"/>
    <xf numFmtId="5" fontId="32" fillId="4" borderId="11" xfId="0" applyNumberFormat="1" applyFont="1" applyFill="1" applyBorder="1"/>
    <xf numFmtId="0" fontId="32" fillId="4" borderId="11" xfId="0" applyFont="1" applyFill="1" applyBorder="1"/>
    <xf numFmtId="0" fontId="32" fillId="5" borderId="11" xfId="0" applyFont="1" applyFill="1" applyBorder="1"/>
    <xf numFmtId="179" fontId="15" fillId="4" borderId="11" xfId="0" applyNumberFormat="1" applyFont="1" applyFill="1" applyBorder="1"/>
    <xf numFmtId="174" fontId="10" fillId="4" borderId="11" xfId="0" applyNumberFormat="1" applyFont="1" applyFill="1" applyBorder="1"/>
    <xf numFmtId="7" fontId="10" fillId="4" borderId="11" xfId="0" applyNumberFormat="1" applyFont="1" applyFill="1" applyBorder="1"/>
    <xf numFmtId="0" fontId="27" fillId="5" borderId="9" xfId="0" applyFont="1" applyFill="1" applyBorder="1"/>
    <xf numFmtId="165" fontId="12" fillId="7" borderId="0" xfId="0" applyNumberFormat="1" applyFont="1" applyFill="1" applyBorder="1" applyAlignment="1">
      <alignment horizontal="center"/>
    </xf>
    <xf numFmtId="168" fontId="12" fillId="7" borderId="0" xfId="0" applyNumberFormat="1" applyFont="1" applyFill="1" applyBorder="1" applyAlignment="1">
      <alignment horizontal="center"/>
    </xf>
    <xf numFmtId="168" fontId="10" fillId="7" borderId="0" xfId="0" applyNumberFormat="1" applyFont="1" applyFill="1" applyBorder="1" applyAlignment="1">
      <alignment horizontal="center"/>
    </xf>
    <xf numFmtId="169" fontId="12" fillId="2" borderId="0" xfId="20" applyNumberFormat="1" applyFont="1" applyFill="1" applyBorder="1" applyAlignment="1" applyProtection="1">
      <protection locked="0"/>
    </xf>
    <xf numFmtId="5" fontId="10" fillId="4" borderId="13" xfId="22" applyNumberFormat="1" applyFont="1" applyFill="1" applyBorder="1"/>
    <xf numFmtId="9" fontId="12" fillId="4" borderId="0" xfId="0" applyNumberFormat="1" applyFont="1" applyFill="1" applyBorder="1" applyAlignment="1">
      <alignment horizontal="left" vertical="top"/>
    </xf>
    <xf numFmtId="168" fontId="10" fillId="4" borderId="0" xfId="0" applyNumberFormat="1" applyFont="1" applyFill="1" applyBorder="1"/>
    <xf numFmtId="165" fontId="15" fillId="4" borderId="0" xfId="0" applyNumberFormat="1" applyFont="1" applyFill="1" applyBorder="1"/>
    <xf numFmtId="165" fontId="30" fillId="4" borderId="13" xfId="0" applyNumberFormat="1" applyFont="1" applyFill="1" applyBorder="1"/>
    <xf numFmtId="165" fontId="15" fillId="4" borderId="13" xfId="0" applyNumberFormat="1" applyFont="1" applyFill="1" applyBorder="1"/>
    <xf numFmtId="165" fontId="15" fillId="5" borderId="0" xfId="0" applyNumberFormat="1" applyFont="1" applyFill="1" applyBorder="1"/>
    <xf numFmtId="165" fontId="35" fillId="4" borderId="1" xfId="0" applyNumberFormat="1" applyFont="1" applyFill="1" applyBorder="1"/>
    <xf numFmtId="165" fontId="35" fillId="4" borderId="0" xfId="0" applyNumberFormat="1" applyFont="1" applyFill="1" applyBorder="1"/>
    <xf numFmtId="165" fontId="35" fillId="4" borderId="11" xfId="0" applyNumberFormat="1" applyFont="1" applyFill="1" applyBorder="1"/>
    <xf numFmtId="165" fontId="44" fillId="0" borderId="0" xfId="0" applyNumberFormat="1" applyFont="1"/>
    <xf numFmtId="165" fontId="35" fillId="0" borderId="0" xfId="0" applyNumberFormat="1" applyFont="1"/>
    <xf numFmtId="9" fontId="12" fillId="0" borderId="0" xfId="22" applyNumberFormat="1" applyFont="1" applyAlignment="1">
      <alignment horizontal="left" indent="1"/>
    </xf>
    <xf numFmtId="9" fontId="10" fillId="4" borderId="13" xfId="22" applyNumberFormat="1" applyFont="1" applyFill="1" applyBorder="1"/>
    <xf numFmtId="9" fontId="10" fillId="5" borderId="0" xfId="22" applyNumberFormat="1" applyFont="1" applyFill="1" applyBorder="1"/>
    <xf numFmtId="9" fontId="8" fillId="4" borderId="1" xfId="0" applyNumberFormat="1" applyFont="1" applyFill="1" applyBorder="1"/>
    <xf numFmtId="9" fontId="8" fillId="4" borderId="0" xfId="0" applyNumberFormat="1" applyFont="1" applyFill="1" applyBorder="1"/>
    <xf numFmtId="9" fontId="8" fillId="4" borderId="11" xfId="0" applyNumberFormat="1" applyFont="1" applyFill="1" applyBorder="1"/>
    <xf numFmtId="9" fontId="0" fillId="0" borderId="0" xfId="0" applyNumberFormat="1"/>
    <xf numFmtId="9" fontId="8" fillId="0" borderId="0" xfId="0" applyNumberFormat="1" applyFont="1"/>
    <xf numFmtId="165" fontId="13" fillId="2" borderId="0" xfId="22" applyNumberFormat="1" applyFont="1" applyFill="1" applyBorder="1" applyAlignment="1">
      <alignment horizontal="left"/>
    </xf>
    <xf numFmtId="165" fontId="12" fillId="0" borderId="13" xfId="0" applyNumberFormat="1" applyFont="1" applyFill="1" applyBorder="1"/>
    <xf numFmtId="165" fontId="10" fillId="0" borderId="13" xfId="0" applyNumberFormat="1" applyFont="1" applyFill="1" applyBorder="1"/>
    <xf numFmtId="5" fontId="13" fillId="4" borderId="0" xfId="0" applyNumberFormat="1" applyFont="1" applyFill="1" applyBorder="1"/>
    <xf numFmtId="165" fontId="12" fillId="2" borderId="0" xfId="22" quotePrefix="1" applyNumberFormat="1" applyFont="1" applyFill="1" applyBorder="1" applyAlignment="1"/>
    <xf numFmtId="4" fontId="15" fillId="2" borderId="0" xfId="22" applyNumberFormat="1" applyFont="1" applyFill="1" applyBorder="1" applyAlignment="1">
      <alignment horizontal="left"/>
    </xf>
    <xf numFmtId="165" fontId="12" fillId="2" borderId="0" xfId="22" quotePrefix="1" applyNumberFormat="1" applyFont="1" applyFill="1" applyBorder="1" applyAlignment="1">
      <alignment horizontal="left"/>
    </xf>
    <xf numFmtId="7" fontId="10" fillId="4" borderId="0" xfId="0" applyNumberFormat="1" applyFont="1" applyFill="1" applyBorder="1" applyAlignment="1">
      <alignment horizontal="right" vertical="center"/>
    </xf>
    <xf numFmtId="7" fontId="10" fillId="4" borderId="13" xfId="0" applyNumberFormat="1" applyFont="1" applyFill="1" applyBorder="1" applyAlignment="1">
      <alignment horizontal="right" vertical="center"/>
    </xf>
    <xf numFmtId="5" fontId="15" fillId="8" borderId="0" xfId="0" applyNumberFormat="1" applyFont="1" applyFill="1" applyBorder="1"/>
    <xf numFmtId="5" fontId="15" fillId="8" borderId="13" xfId="0" applyNumberFormat="1" applyFont="1" applyFill="1" applyBorder="1"/>
    <xf numFmtId="5" fontId="32" fillId="4" borderId="0" xfId="0" applyNumberFormat="1" applyFont="1" applyFill="1" applyBorder="1" applyAlignment="1">
      <alignment horizontal="left" indent="1"/>
    </xf>
    <xf numFmtId="9" fontId="13" fillId="2" borderId="0" xfId="22" applyNumberFormat="1" applyFont="1" applyFill="1" applyBorder="1" applyAlignment="1">
      <alignment horizontal="left"/>
    </xf>
    <xf numFmtId="2" fontId="15" fillId="2" borderId="0" xfId="22" applyNumberFormat="1" applyFont="1" applyFill="1" applyBorder="1" applyAlignment="1">
      <alignment horizontal="left"/>
    </xf>
    <xf numFmtId="7" fontId="13" fillId="2" borderId="0" xfId="0" applyNumberFormat="1" applyFont="1" applyFill="1" applyBorder="1" applyAlignment="1">
      <alignment horizontal="left"/>
    </xf>
    <xf numFmtId="1" fontId="13" fillId="2" borderId="0" xfId="0" applyNumberFormat="1" applyFont="1" applyFill="1" applyBorder="1" applyAlignment="1">
      <alignment horizontal="left"/>
    </xf>
    <xf numFmtId="8" fontId="13" fillId="2" borderId="0" xfId="22" applyNumberFormat="1" applyFont="1" applyFill="1" applyBorder="1" applyAlignment="1">
      <alignment horizontal="left"/>
    </xf>
    <xf numFmtId="5" fontId="15" fillId="2" borderId="0" xfId="0" applyNumberFormat="1" applyFont="1" applyFill="1" applyBorder="1" applyAlignment="1">
      <alignment horizontal="center"/>
    </xf>
    <xf numFmtId="164" fontId="15" fillId="2" borderId="0" xfId="22" applyNumberFormat="1" applyFont="1" applyFill="1" applyBorder="1" applyAlignment="1">
      <alignment horizontal="center"/>
    </xf>
    <xf numFmtId="1" fontId="13" fillId="2" borderId="0" xfId="22" applyNumberFormat="1" applyFont="1" applyFill="1" applyBorder="1" applyAlignment="1">
      <alignment horizontal="left"/>
    </xf>
    <xf numFmtId="4" fontId="13" fillId="2" borderId="0" xfId="22" applyNumberFormat="1" applyFont="1" applyFill="1" applyBorder="1" applyAlignment="1">
      <alignment horizontal="center"/>
    </xf>
    <xf numFmtId="7" fontId="13" fillId="2" borderId="0" xfId="0" applyNumberFormat="1" applyFont="1" applyFill="1" applyBorder="1" applyAlignment="1"/>
    <xf numFmtId="165" fontId="12" fillId="9" borderId="0" xfId="22" applyNumberFormat="1" applyFont="1" applyFill="1" applyBorder="1" applyAlignment="1">
      <alignment horizontal="left"/>
    </xf>
    <xf numFmtId="0" fontId="13" fillId="9" borderId="0" xfId="20" applyFont="1" applyFill="1" applyBorder="1" applyAlignment="1">
      <alignment horizontal="left"/>
    </xf>
    <xf numFmtId="37" fontId="15" fillId="9" borderId="0" xfId="0" applyNumberFormat="1" applyFont="1" applyFill="1" applyBorder="1" applyAlignment="1">
      <alignment horizontal="left"/>
    </xf>
    <xf numFmtId="165" fontId="10" fillId="8" borderId="13" xfId="22" applyNumberFormat="1" applyFont="1" applyFill="1" applyBorder="1"/>
    <xf numFmtId="43" fontId="13" fillId="2" borderId="0" xfId="10" applyFont="1" applyFill="1" applyBorder="1" applyAlignment="1">
      <alignment horizontal="left"/>
    </xf>
    <xf numFmtId="6" fontId="12" fillId="2" borderId="0" xfId="10" applyNumberFormat="1" applyFont="1" applyFill="1" applyBorder="1" applyAlignment="1">
      <alignment horizontal="left"/>
    </xf>
    <xf numFmtId="168" fontId="13" fillId="2" borderId="0" xfId="22" applyNumberFormat="1" applyFont="1" applyFill="1" applyBorder="1" applyAlignment="1">
      <alignment horizontal="left"/>
    </xf>
    <xf numFmtId="168" fontId="12" fillId="2" borderId="0" xfId="22" applyNumberFormat="1" applyFont="1" applyFill="1" applyBorder="1" applyAlignment="1">
      <alignment horizontal="center"/>
    </xf>
    <xf numFmtId="3" fontId="56" fillId="8" borderId="15" xfId="0" applyNumberFormat="1" applyFont="1" applyFill="1" applyBorder="1"/>
    <xf numFmtId="0" fontId="6" fillId="0" borderId="0" xfId="15"/>
    <xf numFmtId="0" fontId="0" fillId="4" borderId="0" xfId="3" applyFont="1" applyFill="1"/>
    <xf numFmtId="0" fontId="46" fillId="4" borderId="0" xfId="3" applyFont="1" applyFill="1"/>
    <xf numFmtId="0" fontId="3" fillId="4" borderId="0" xfId="3" applyFont="1" applyFill="1"/>
    <xf numFmtId="0" fontId="47" fillId="4" borderId="0" xfId="3" applyFont="1" applyFill="1"/>
    <xf numFmtId="0" fontId="57" fillId="0" borderId="0" xfId="15" applyFont="1"/>
    <xf numFmtId="0" fontId="57" fillId="4" borderId="0" xfId="3" applyFont="1" applyFill="1"/>
    <xf numFmtId="0" fontId="58" fillId="4" borderId="0" xfId="3" applyFont="1" applyFill="1"/>
    <xf numFmtId="0" fontId="59" fillId="4" borderId="0" xfId="3" applyFont="1" applyFill="1"/>
    <xf numFmtId="0" fontId="60" fillId="4" borderId="0" xfId="3" applyFont="1" applyFill="1"/>
    <xf numFmtId="0" fontId="48" fillId="4" borderId="0" xfId="3" applyFont="1" applyFill="1"/>
    <xf numFmtId="0" fontId="6" fillId="10" borderId="0" xfId="15" applyFill="1"/>
    <xf numFmtId="0" fontId="19" fillId="10" borderId="0" xfId="3" applyFont="1" applyFill="1"/>
    <xf numFmtId="14" fontId="49" fillId="10" borderId="0" xfId="3" applyNumberFormat="1" applyFont="1" applyFill="1" applyAlignment="1">
      <alignment horizontal="left"/>
    </xf>
    <xf numFmtId="0" fontId="49" fillId="10" borderId="0" xfId="3" applyFont="1" applyFill="1"/>
    <xf numFmtId="8" fontId="49" fillId="10" borderId="0" xfId="3" applyNumberFormat="1" applyFont="1" applyFill="1" applyAlignment="1">
      <alignment horizontal="left"/>
    </xf>
    <xf numFmtId="0" fontId="50" fillId="10" borderId="0" xfId="3" applyFont="1" applyFill="1"/>
    <xf numFmtId="0" fontId="2" fillId="0" borderId="0" xfId="15" applyFont="1"/>
    <xf numFmtId="0" fontId="2" fillId="0" borderId="0" xfId="15" applyNumberFormat="1" applyFont="1"/>
    <xf numFmtId="172" fontId="2" fillId="0" borderId="0" xfId="11" applyNumberFormat="1" applyFont="1"/>
    <xf numFmtId="176" fontId="2" fillId="0" borderId="0" xfId="15" applyNumberFormat="1" applyFont="1" applyAlignment="1">
      <alignment horizontal="right"/>
    </xf>
    <xf numFmtId="165" fontId="2" fillId="0" borderId="0" xfId="15" applyNumberFormat="1" applyFont="1"/>
    <xf numFmtId="0" fontId="3" fillId="0" borderId="0" xfId="15" applyFont="1"/>
    <xf numFmtId="8" fontId="2" fillId="0" borderId="0" xfId="15" applyNumberFormat="1" applyFont="1"/>
    <xf numFmtId="9" fontId="25" fillId="0" borderId="0" xfId="0" applyNumberFormat="1" applyFont="1"/>
    <xf numFmtId="0" fontId="25" fillId="0" borderId="0" xfId="0" applyFont="1"/>
    <xf numFmtId="0" fontId="25" fillId="0" borderId="0" xfId="15" applyFont="1"/>
    <xf numFmtId="0" fontId="61" fillId="0" borderId="0" xfId="15" applyFont="1"/>
    <xf numFmtId="172" fontId="25" fillId="0" borderId="23" xfId="15" applyNumberFormat="1" applyFont="1" applyBorder="1"/>
    <xf numFmtId="172" fontId="25" fillId="0" borderId="4" xfId="15" applyNumberFormat="1" applyFont="1" applyBorder="1"/>
    <xf numFmtId="0" fontId="25" fillId="0" borderId="4" xfId="15" applyFont="1" applyBorder="1"/>
    <xf numFmtId="0" fontId="25" fillId="0" borderId="10" xfId="15" applyFont="1" applyBorder="1"/>
    <xf numFmtId="172" fontId="3" fillId="0" borderId="0" xfId="11" applyNumberFormat="1" applyFont="1"/>
    <xf numFmtId="0" fontId="58" fillId="0" borderId="0" xfId="3" applyNumberFormat="1" applyFont="1" applyAlignment="1">
      <alignment horizontal="right"/>
    </xf>
    <xf numFmtId="0" fontId="62" fillId="10" borderId="0" xfId="15" applyFont="1" applyFill="1"/>
    <xf numFmtId="0" fontId="63" fillId="10" borderId="0" xfId="15" applyFont="1" applyFill="1"/>
    <xf numFmtId="8" fontId="3" fillId="0" borderId="23" xfId="15" applyNumberFormat="1" applyFont="1" applyFill="1" applyBorder="1"/>
    <xf numFmtId="8" fontId="3" fillId="0" borderId="4" xfId="15" applyNumberFormat="1" applyFont="1" applyFill="1" applyBorder="1"/>
    <xf numFmtId="0" fontId="2" fillId="0" borderId="4" xfId="15" applyFont="1" applyFill="1" applyBorder="1"/>
    <xf numFmtId="0" fontId="3" fillId="0" borderId="10" xfId="15" applyFont="1" applyFill="1" applyBorder="1"/>
    <xf numFmtId="172" fontId="25" fillId="0" borderId="0" xfId="15" applyNumberFormat="1" applyFont="1"/>
    <xf numFmtId="172" fontId="25" fillId="0" borderId="0" xfId="11" applyNumberFormat="1" applyFont="1"/>
    <xf numFmtId="172" fontId="3" fillId="0" borderId="0" xfId="15" applyNumberFormat="1" applyFont="1"/>
    <xf numFmtId="0" fontId="2" fillId="0" borderId="0" xfId="15" applyFont="1" applyBorder="1"/>
    <xf numFmtId="0" fontId="25" fillId="0" borderId="0" xfId="15" applyFont="1" applyBorder="1"/>
    <xf numFmtId="8" fontId="3" fillId="0" borderId="0" xfId="11" applyNumberFormat="1" applyFont="1"/>
    <xf numFmtId="172" fontId="2" fillId="0" borderId="0" xfId="15" applyNumberFormat="1" applyFont="1"/>
    <xf numFmtId="176" fontId="64" fillId="0" borderId="0" xfId="15" applyNumberFormat="1" applyFont="1" applyAlignment="1">
      <alignment horizontal="right"/>
    </xf>
    <xf numFmtId="180" fontId="2" fillId="0" borderId="0" xfId="15" applyNumberFormat="1" applyFont="1"/>
    <xf numFmtId="0" fontId="3" fillId="0" borderId="0" xfId="15" applyFont="1" applyBorder="1"/>
    <xf numFmtId="172" fontId="25" fillId="0" borderId="0" xfId="13" applyNumberFormat="1" applyFont="1"/>
    <xf numFmtId="172" fontId="65" fillId="0" borderId="0" xfId="12" applyNumberFormat="1" applyFont="1"/>
    <xf numFmtId="165" fontId="3" fillId="0" borderId="0" xfId="15" applyNumberFormat="1" applyFont="1"/>
    <xf numFmtId="0" fontId="66" fillId="0" borderId="0" xfId="15" applyFont="1"/>
    <xf numFmtId="165" fontId="25" fillId="0" borderId="22" xfId="15" applyNumberFormat="1" applyFont="1" applyBorder="1" applyAlignment="1">
      <alignment horizontal="right"/>
    </xf>
    <xf numFmtId="165" fontId="25" fillId="0" borderId="2" xfId="15" applyNumberFormat="1" applyFont="1" applyBorder="1" applyAlignment="1">
      <alignment horizontal="right"/>
    </xf>
    <xf numFmtId="165" fontId="25" fillId="0" borderId="2" xfId="15" applyNumberFormat="1" applyFont="1" applyBorder="1"/>
    <xf numFmtId="0" fontId="25" fillId="0" borderId="2" xfId="15" applyFont="1" applyBorder="1"/>
    <xf numFmtId="0" fontId="25" fillId="0" borderId="21" xfId="15" applyFont="1" applyBorder="1"/>
    <xf numFmtId="176" fontId="25" fillId="0" borderId="11" xfId="15" applyNumberFormat="1" applyFont="1" applyBorder="1" applyAlignment="1">
      <alignment horizontal="right"/>
    </xf>
    <xf numFmtId="176" fontId="25" fillId="0" borderId="0" xfId="15" applyNumberFormat="1" applyFont="1" applyBorder="1" applyAlignment="1">
      <alignment horizontal="right"/>
    </xf>
    <xf numFmtId="0" fontId="25" fillId="0" borderId="1" xfId="15" applyFont="1" applyBorder="1"/>
    <xf numFmtId="176" fontId="25" fillId="0" borderId="9" xfId="15" applyNumberFormat="1" applyFont="1" applyBorder="1" applyAlignment="1">
      <alignment horizontal="right"/>
    </xf>
    <xf numFmtId="176" fontId="25" fillId="0" borderId="8" xfId="15" applyNumberFormat="1" applyFont="1" applyBorder="1" applyAlignment="1">
      <alignment horizontal="right"/>
    </xf>
    <xf numFmtId="0" fontId="25" fillId="0" borderId="8" xfId="15" applyFont="1" applyBorder="1"/>
    <xf numFmtId="0" fontId="25" fillId="0" borderId="5" xfId="15" applyFont="1" applyBorder="1"/>
    <xf numFmtId="9" fontId="25" fillId="0" borderId="0" xfId="15" applyNumberFormat="1" applyFont="1"/>
    <xf numFmtId="8" fontId="64" fillId="0" borderId="0" xfId="15" applyNumberFormat="1" applyFont="1"/>
    <xf numFmtId="0" fontId="2" fillId="11" borderId="4" xfId="15" applyFont="1" applyFill="1" applyBorder="1"/>
    <xf numFmtId="0" fontId="3" fillId="11" borderId="10" xfId="15" applyFont="1" applyFill="1" applyBorder="1"/>
    <xf numFmtId="0" fontId="58" fillId="0" borderId="0" xfId="3" applyFont="1" applyAlignment="1">
      <alignment horizontal="right"/>
    </xf>
    <xf numFmtId="0" fontId="2" fillId="10" borderId="0" xfId="15" applyFont="1" applyFill="1"/>
    <xf numFmtId="181" fontId="48" fillId="10" borderId="0" xfId="3" applyNumberFormat="1" applyFont="1" applyFill="1"/>
    <xf numFmtId="0" fontId="48" fillId="10" borderId="0" xfId="3" applyNumberFormat="1" applyFont="1" applyFill="1"/>
    <xf numFmtId="181" fontId="47" fillId="10" borderId="0" xfId="3" applyNumberFormat="1" applyFont="1" applyFill="1"/>
    <xf numFmtId="181" fontId="52" fillId="10" borderId="0" xfId="3" applyNumberFormat="1" applyFont="1" applyFill="1"/>
    <xf numFmtId="181" fontId="53" fillId="10" borderId="0" xfId="3" applyNumberFormat="1" applyFont="1" applyFill="1"/>
    <xf numFmtId="0" fontId="53" fillId="10" borderId="0" xfId="3" applyNumberFormat="1" applyFont="1" applyFill="1"/>
    <xf numFmtId="181" fontId="54" fillId="10" borderId="0" xfId="3" applyNumberFormat="1" applyFont="1" applyFill="1"/>
    <xf numFmtId="181" fontId="49" fillId="10" borderId="0" xfId="3" applyNumberFormat="1" applyFont="1" applyFill="1"/>
    <xf numFmtId="181" fontId="55" fillId="10" borderId="0" xfId="3" applyNumberFormat="1" applyFont="1" applyFill="1"/>
    <xf numFmtId="0" fontId="2" fillId="10" borderId="0" xfId="3" applyFont="1" applyFill="1"/>
    <xf numFmtId="172" fontId="25" fillId="0" borderId="0" xfId="10" applyNumberFormat="1" applyFont="1"/>
    <xf numFmtId="9" fontId="2" fillId="0" borderId="0" xfId="15" applyNumberFormat="1" applyFont="1"/>
    <xf numFmtId="172" fontId="2" fillId="0" borderId="0" xfId="10" applyNumberFormat="1" applyFont="1" applyAlignment="1"/>
    <xf numFmtId="0" fontId="67" fillId="0" borderId="0" xfId="0" applyFont="1"/>
    <xf numFmtId="43" fontId="2" fillId="0" borderId="0" xfId="15" applyNumberFormat="1" applyFont="1"/>
    <xf numFmtId="182" fontId="58" fillId="0" borderId="0" xfId="3" applyNumberFormat="1" applyFont="1" applyAlignment="1">
      <alignment horizontal="right"/>
    </xf>
    <xf numFmtId="182" fontId="58" fillId="0" borderId="0" xfId="15" applyNumberFormat="1" applyFont="1"/>
    <xf numFmtId="169" fontId="13" fillId="9" borderId="0" xfId="20" applyNumberFormat="1" applyFont="1" applyFill="1" applyBorder="1" applyAlignment="1">
      <alignment horizontal="left"/>
    </xf>
    <xf numFmtId="4" fontId="13" fillId="2" borderId="0" xfId="0" applyNumberFormat="1" applyFont="1" applyFill="1" applyBorder="1" applyAlignment="1">
      <alignment horizontal="left"/>
    </xf>
    <xf numFmtId="13" fontId="12" fillId="2" borderId="0" xfId="10" applyNumberFormat="1" applyFont="1" applyFill="1" applyBorder="1" applyAlignment="1">
      <alignment horizontal="left"/>
    </xf>
    <xf numFmtId="2" fontId="12" fillId="2" borderId="0" xfId="10" applyNumberFormat="1" applyFont="1" applyFill="1" applyBorder="1" applyAlignment="1">
      <alignment horizontal="left"/>
    </xf>
    <xf numFmtId="165" fontId="15" fillId="2" borderId="0" xfId="22" applyNumberFormat="1" applyFont="1" applyFill="1" applyBorder="1" applyAlignment="1" applyProtection="1">
      <alignment horizontal="right"/>
      <protection locked="0"/>
    </xf>
    <xf numFmtId="165" fontId="56" fillId="4" borderId="13" xfId="22" applyNumberFormat="1" applyFont="1" applyFill="1" applyBorder="1"/>
    <xf numFmtId="165" fontId="10" fillId="8" borderId="0" xfId="22" applyNumberFormat="1" applyFont="1" applyFill="1" applyBorder="1"/>
    <xf numFmtId="165" fontId="12" fillId="8" borderId="13" xfId="22" applyNumberFormat="1" applyFont="1" applyFill="1" applyBorder="1"/>
    <xf numFmtId="168" fontId="10" fillId="8" borderId="0" xfId="22" applyNumberFormat="1" applyFont="1" applyFill="1" applyBorder="1"/>
    <xf numFmtId="168" fontId="10" fillId="8" borderId="13" xfId="22" applyNumberFormat="1" applyFont="1" applyFill="1" applyBorder="1"/>
    <xf numFmtId="169" fontId="35" fillId="2" borderId="0" xfId="0" applyNumberFormat="1" applyFont="1" applyFill="1" applyBorder="1" applyAlignment="1">
      <alignment horizontal="left"/>
    </xf>
    <xf numFmtId="4" fontId="35" fillId="2" borderId="0" xfId="0" applyNumberFormat="1" applyFont="1" applyFill="1" applyBorder="1" applyAlignment="1">
      <alignment horizontal="left"/>
    </xf>
    <xf numFmtId="4" fontId="12" fillId="2" borderId="0" xfId="22" applyNumberFormat="1" applyFont="1" applyFill="1" applyBorder="1" applyAlignment="1">
      <alignment horizontal="left"/>
    </xf>
    <xf numFmtId="5" fontId="16" fillId="8" borderId="13" xfId="0" applyNumberFormat="1" applyFont="1" applyFill="1" applyBorder="1"/>
    <xf numFmtId="168" fontId="15" fillId="2" borderId="0" xfId="20" applyNumberFormat="1" applyFont="1" applyFill="1" applyBorder="1" applyAlignment="1" applyProtection="1">
      <alignment horizontal="right"/>
      <protection locked="0"/>
    </xf>
    <xf numFmtId="165" fontId="10" fillId="8" borderId="15" xfId="22" applyNumberFormat="1" applyFont="1" applyFill="1" applyBorder="1"/>
    <xf numFmtId="169" fontId="12" fillId="8" borderId="13" xfId="0" applyNumberFormat="1" applyFont="1" applyFill="1" applyBorder="1"/>
    <xf numFmtId="8" fontId="13" fillId="9" borderId="0" xfId="0" applyNumberFormat="1" applyFont="1" applyFill="1" applyBorder="1" applyAlignment="1">
      <alignment horizontal="left"/>
    </xf>
    <xf numFmtId="165" fontId="25" fillId="0" borderId="0" xfId="15" applyNumberFormat="1" applyFont="1"/>
    <xf numFmtId="5" fontId="13" fillId="4" borderId="13" xfId="0" applyNumberFormat="1" applyFont="1" applyFill="1" applyBorder="1"/>
    <xf numFmtId="165" fontId="38" fillId="2" borderId="0" xfId="22" applyNumberFormat="1" applyFont="1" applyFill="1" applyBorder="1" applyAlignment="1" applyProtection="1">
      <alignment horizontal="left"/>
    </xf>
    <xf numFmtId="49" fontId="13" fillId="2" borderId="0" xfId="10" applyNumberFormat="1" applyFont="1" applyFill="1" applyBorder="1" applyAlignment="1">
      <alignment horizontal="left"/>
    </xf>
    <xf numFmtId="2" fontId="13" fillId="2" borderId="0" xfId="22" applyNumberFormat="1" applyFont="1" applyFill="1" applyBorder="1" applyAlignment="1">
      <alignment horizontal="left"/>
    </xf>
    <xf numFmtId="1" fontId="13" fillId="2" borderId="0" xfId="22" applyNumberFormat="1" applyFont="1" applyFill="1" applyBorder="1" applyAlignment="1">
      <alignment horizontal="center"/>
    </xf>
    <xf numFmtId="165" fontId="15" fillId="2" borderId="0" xfId="22" applyNumberFormat="1" applyFont="1" applyFill="1" applyBorder="1" applyAlignment="1">
      <alignment horizontal="center"/>
    </xf>
    <xf numFmtId="165" fontId="13" fillId="2" borderId="0" xfId="22" applyNumberFormat="1" applyFont="1" applyFill="1" applyBorder="1" applyAlignment="1">
      <alignment horizontal="center"/>
    </xf>
    <xf numFmtId="0" fontId="52" fillId="10" borderId="0" xfId="3" applyFont="1" applyFill="1"/>
    <xf numFmtId="165" fontId="12" fillId="8" borderId="14" xfId="22" applyNumberFormat="1" applyFont="1" applyFill="1" applyBorder="1"/>
    <xf numFmtId="165" fontId="2" fillId="0" borderId="0" xfId="22" applyNumberFormat="1" applyFont="1"/>
    <xf numFmtId="169" fontId="12" fillId="2" borderId="0" xfId="10" applyNumberFormat="1" applyFont="1" applyFill="1" applyBorder="1" applyAlignment="1">
      <alignment horizontal="left"/>
    </xf>
    <xf numFmtId="3" fontId="35" fillId="2" borderId="0" xfId="0" applyNumberFormat="1" applyFont="1" applyFill="1" applyBorder="1" applyAlignment="1">
      <alignment horizontal="left"/>
    </xf>
    <xf numFmtId="165" fontId="10" fillId="8" borderId="1" xfId="22" applyNumberFormat="1" applyFont="1" applyFill="1" applyBorder="1"/>
    <xf numFmtId="168" fontId="10" fillId="8" borderId="1" xfId="22" applyNumberFormat="1" applyFont="1" applyFill="1" applyBorder="1"/>
    <xf numFmtId="168" fontId="32" fillId="0" borderId="1" xfId="22" applyNumberFormat="1" applyFont="1" applyFill="1" applyBorder="1"/>
    <xf numFmtId="165" fontId="10" fillId="8" borderId="11" xfId="22" applyNumberFormat="1" applyFont="1" applyFill="1" applyBorder="1"/>
    <xf numFmtId="168" fontId="10" fillId="8" borderId="11" xfId="22" applyNumberFormat="1" applyFont="1" applyFill="1" applyBorder="1"/>
    <xf numFmtId="168" fontId="32" fillId="0" borderId="11" xfId="22" applyNumberFormat="1" applyFont="1" applyFill="1" applyBorder="1"/>
    <xf numFmtId="168" fontId="32" fillId="0" borderId="0" xfId="22" applyNumberFormat="1" applyFont="1" applyFill="1" applyBorder="1"/>
    <xf numFmtId="168" fontId="10" fillId="0" borderId="1" xfId="22" applyNumberFormat="1" applyFont="1" applyFill="1" applyBorder="1"/>
    <xf numFmtId="168" fontId="10" fillId="0" borderId="11" xfId="22" applyNumberFormat="1" applyFont="1" applyFill="1" applyBorder="1"/>
    <xf numFmtId="167" fontId="12" fillId="0" borderId="0" xfId="20" applyNumberFormat="1" applyFont="1" applyFill="1" applyBorder="1" applyAlignment="1" applyProtection="1">
      <alignment horizontal="right"/>
      <protection locked="0"/>
    </xf>
    <xf numFmtId="165" fontId="8" fillId="4" borderId="1" xfId="0" applyNumberFormat="1" applyFont="1" applyFill="1" applyBorder="1"/>
    <xf numFmtId="165" fontId="8" fillId="4" borderId="0" xfId="0" applyNumberFormat="1" applyFont="1" applyFill="1" applyBorder="1"/>
    <xf numFmtId="9" fontId="15" fillId="4" borderId="0" xfId="22" applyFont="1" applyFill="1" applyBorder="1" applyAlignment="1" applyProtection="1">
      <alignment horizontal="right"/>
      <protection locked="0"/>
    </xf>
    <xf numFmtId="166" fontId="8" fillId="4" borderId="1" xfId="0" applyNumberFormat="1" applyFont="1" applyFill="1" applyBorder="1" applyAlignment="1">
      <alignment horizontal="center"/>
    </xf>
    <xf numFmtId="166" fontId="8" fillId="4" borderId="0" xfId="0" applyNumberFormat="1" applyFont="1" applyFill="1" applyBorder="1" applyAlignment="1">
      <alignment horizontal="center"/>
    </xf>
    <xf numFmtId="165" fontId="8" fillId="4" borderId="1" xfId="22" applyNumberFormat="1" applyFont="1" applyFill="1" applyBorder="1"/>
    <xf numFmtId="165" fontId="8" fillId="4" borderId="0" xfId="22" applyNumberFormat="1" applyFont="1" applyFill="1" applyBorder="1"/>
    <xf numFmtId="169" fontId="8" fillId="4" borderId="1" xfId="0" applyNumberFormat="1" applyFont="1" applyFill="1" applyBorder="1" applyAlignment="1">
      <alignment horizontal="center"/>
    </xf>
    <xf numFmtId="169" fontId="8" fillId="4" borderId="0" xfId="0" applyNumberFormat="1" applyFont="1" applyFill="1" applyBorder="1" applyAlignment="1">
      <alignment horizontal="center"/>
    </xf>
    <xf numFmtId="10" fontId="8" fillId="4" borderId="0" xfId="0" applyNumberFormat="1" applyFont="1" applyFill="1" applyBorder="1"/>
    <xf numFmtId="2" fontId="12" fillId="4" borderId="0" xfId="22" applyNumberFormat="1" applyFont="1" applyFill="1" applyBorder="1" applyAlignment="1">
      <alignment horizontal="center" vertical="center"/>
    </xf>
    <xf numFmtId="5" fontId="12" fillId="8" borderId="0" xfId="0" applyNumberFormat="1" applyFont="1" applyFill="1" applyBorder="1"/>
    <xf numFmtId="5" fontId="12" fillId="8" borderId="13" xfId="0" applyNumberFormat="1" applyFont="1" applyFill="1" applyBorder="1"/>
    <xf numFmtId="166" fontId="13" fillId="2" borderId="0" xfId="0" applyNumberFormat="1" applyFont="1" applyFill="1" applyBorder="1" applyAlignment="1">
      <alignment horizontal="left"/>
    </xf>
    <xf numFmtId="1" fontId="13" fillId="2" borderId="0" xfId="0" applyNumberFormat="1" applyFont="1" applyFill="1" applyBorder="1" applyAlignment="1">
      <alignment horizontal="center"/>
    </xf>
    <xf numFmtId="0" fontId="13" fillId="2" borderId="0" xfId="0" applyFont="1" applyFill="1" applyBorder="1" applyAlignment="1">
      <alignment horizontal="center"/>
    </xf>
    <xf numFmtId="3" fontId="12" fillId="2" borderId="0" xfId="10" applyNumberFormat="1" applyFont="1" applyFill="1" applyBorder="1" applyAlignment="1">
      <alignment vertical="center"/>
    </xf>
    <xf numFmtId="172" fontId="13" fillId="2" borderId="0" xfId="10" applyNumberFormat="1" applyFont="1" applyFill="1" applyBorder="1" applyAlignment="1">
      <alignment horizontal="left"/>
    </xf>
    <xf numFmtId="172" fontId="14" fillId="2" borderId="0" xfId="10" applyNumberFormat="1" applyFont="1" applyFill="1" applyBorder="1" applyAlignment="1"/>
    <xf numFmtId="165" fontId="29" fillId="2" borderId="0" xfId="22" applyNumberFormat="1" applyFont="1" applyFill="1" applyBorder="1" applyAlignment="1">
      <alignment horizontal="left"/>
    </xf>
    <xf numFmtId="165" fontId="14" fillId="2" borderId="0" xfId="22" applyNumberFormat="1" applyFont="1" applyFill="1" applyBorder="1" applyAlignment="1">
      <alignment horizontal="center"/>
    </xf>
    <xf numFmtId="0" fontId="12" fillId="2" borderId="0" xfId="0" applyFont="1" applyFill="1" applyBorder="1" applyAlignment="1"/>
    <xf numFmtId="10" fontId="12" fillId="2" borderId="0" xfId="0" applyNumberFormat="1" applyFont="1" applyFill="1" applyBorder="1" applyAlignment="1"/>
    <xf numFmtId="165" fontId="70" fillId="2" borderId="0" xfId="22" applyNumberFormat="1" applyFont="1" applyFill="1" applyBorder="1" applyAlignment="1">
      <alignment horizontal="center"/>
    </xf>
    <xf numFmtId="165" fontId="13" fillId="2" borderId="0" xfId="22" quotePrefix="1" applyNumberFormat="1" applyFont="1" applyFill="1" applyBorder="1" applyAlignment="1">
      <alignment horizontal="left"/>
    </xf>
    <xf numFmtId="169" fontId="15" fillId="2" borderId="0" xfId="20" applyNumberFormat="1" applyFont="1" applyFill="1" applyBorder="1" applyAlignment="1" applyProtection="1">
      <alignment horizontal="center"/>
      <protection locked="0"/>
    </xf>
    <xf numFmtId="169" fontId="15" fillId="2" borderId="0" xfId="22" applyNumberFormat="1" applyFont="1" applyFill="1" applyBorder="1" applyAlignment="1">
      <alignment horizontal="center"/>
    </xf>
    <xf numFmtId="169" fontId="71" fillId="2" borderId="0" xfId="22" applyNumberFormat="1" applyFont="1" applyFill="1" applyBorder="1" applyAlignment="1">
      <alignment horizontal="center"/>
    </xf>
    <xf numFmtId="169" fontId="71" fillId="2" borderId="0" xfId="0" applyNumberFormat="1" applyFont="1" applyFill="1" applyBorder="1" applyAlignment="1">
      <alignment horizontal="center"/>
    </xf>
    <xf numFmtId="2" fontId="12" fillId="2" borderId="0" xfId="22" applyNumberFormat="1" applyFont="1" applyFill="1" applyBorder="1" applyAlignment="1">
      <alignment horizontal="left" indent="1"/>
    </xf>
    <xf numFmtId="169" fontId="8" fillId="2" borderId="0" xfId="0" applyNumberFormat="1" applyFont="1" applyFill="1" applyBorder="1" applyAlignment="1">
      <alignment horizontal="center"/>
    </xf>
    <xf numFmtId="169" fontId="13" fillId="2" borderId="0" xfId="20" applyNumberFormat="1" applyFont="1" applyFill="1" applyBorder="1" applyAlignment="1" applyProtection="1">
      <alignment horizontal="left"/>
      <protection locked="0"/>
    </xf>
    <xf numFmtId="2" fontId="12" fillId="2" borderId="0" xfId="22" applyNumberFormat="1" applyFont="1" applyFill="1" applyBorder="1" applyAlignment="1" applyProtection="1">
      <alignment horizontal="center"/>
      <protection locked="0"/>
    </xf>
    <xf numFmtId="169" fontId="13" fillId="9" borderId="0" xfId="20" applyNumberFormat="1" applyFont="1" applyFill="1" applyBorder="1" applyAlignment="1">
      <alignment horizontal="center"/>
    </xf>
    <xf numFmtId="2" fontId="15" fillId="2" borderId="0" xfId="22" applyNumberFormat="1" applyFont="1" applyFill="1" applyBorder="1" applyAlignment="1">
      <alignment horizontal="center"/>
    </xf>
    <xf numFmtId="3" fontId="12" fillId="2" borderId="0" xfId="10" applyNumberFormat="1" applyFont="1" applyFill="1" applyBorder="1" applyAlignment="1">
      <alignment horizontal="left" vertical="center"/>
    </xf>
    <xf numFmtId="0" fontId="13" fillId="2" borderId="0" xfId="0" applyFont="1" applyFill="1" applyBorder="1" applyAlignment="1">
      <alignment horizontal="left"/>
    </xf>
    <xf numFmtId="169" fontId="13" fillId="2" borderId="0" xfId="0" applyNumberFormat="1" applyFont="1" applyFill="1" applyBorder="1" applyAlignment="1">
      <alignment horizontal="left"/>
    </xf>
    <xf numFmtId="165" fontId="12" fillId="2" borderId="0" xfId="22" applyNumberFormat="1" applyFont="1" applyFill="1" applyBorder="1" applyAlignment="1">
      <alignment horizontal="center"/>
    </xf>
    <xf numFmtId="165" fontId="72" fillId="2" borderId="0" xfId="22" applyNumberFormat="1" applyFont="1" applyFill="1" applyBorder="1" applyAlignment="1">
      <alignment horizontal="center"/>
    </xf>
    <xf numFmtId="9" fontId="12" fillId="2" borderId="0" xfId="0" applyNumberFormat="1" applyFont="1" applyFill="1" applyBorder="1" applyAlignment="1">
      <alignment horizontal="left"/>
    </xf>
    <xf numFmtId="168" fontId="13" fillId="2" borderId="0" xfId="0" applyNumberFormat="1" applyFont="1" applyFill="1" applyBorder="1" applyAlignment="1">
      <alignment horizontal="left"/>
    </xf>
    <xf numFmtId="49" fontId="13" fillId="2" borderId="0" xfId="10" applyNumberFormat="1" applyFont="1" applyFill="1" applyBorder="1" applyAlignment="1">
      <alignment horizontal="center"/>
    </xf>
    <xf numFmtId="168" fontId="8" fillId="2" borderId="0" xfId="0" applyNumberFormat="1" applyFont="1" applyFill="1" applyBorder="1" applyAlignment="1">
      <alignment horizontal="center"/>
    </xf>
    <xf numFmtId="169" fontId="72" fillId="2" borderId="0" xfId="0" applyNumberFormat="1" applyFont="1" applyFill="1" applyBorder="1" applyAlignment="1">
      <alignment horizontal="center"/>
    </xf>
    <xf numFmtId="169" fontId="12" fillId="2" borderId="0" xfId="0" applyNumberFormat="1" applyFont="1" applyFill="1" applyBorder="1" applyAlignment="1">
      <alignment horizontal="center"/>
    </xf>
    <xf numFmtId="177" fontId="38" fillId="2" borderId="0" xfId="0" applyNumberFormat="1" applyFont="1" applyFill="1" applyBorder="1" applyAlignment="1" applyProtection="1">
      <alignment horizontal="left" indent="1"/>
    </xf>
    <xf numFmtId="176" fontId="2" fillId="0" borderId="0" xfId="15" applyNumberFormat="1" applyFont="1"/>
    <xf numFmtId="2" fontId="13" fillId="2" borderId="0" xfId="10" applyNumberFormat="1" applyFont="1" applyFill="1" applyBorder="1" applyAlignment="1">
      <alignment horizontal="left"/>
    </xf>
    <xf numFmtId="165" fontId="2" fillId="0" borderId="0" xfId="22" applyNumberFormat="1" applyFont="1" applyAlignment="1">
      <alignment horizontal="center"/>
    </xf>
    <xf numFmtId="183" fontId="2" fillId="0" borderId="0" xfId="15" applyNumberFormat="1" applyFont="1"/>
    <xf numFmtId="10" fontId="35" fillId="2" borderId="0" xfId="22" applyNumberFormat="1" applyFont="1" applyFill="1" applyBorder="1" applyAlignment="1">
      <alignment horizontal="left"/>
    </xf>
    <xf numFmtId="165" fontId="3" fillId="0" borderId="0" xfId="22" applyNumberFormat="1" applyFont="1"/>
    <xf numFmtId="8" fontId="12" fillId="2" borderId="0" xfId="10" applyNumberFormat="1" applyFont="1" applyFill="1" applyBorder="1" applyAlignment="1">
      <alignment horizontal="left"/>
    </xf>
    <xf numFmtId="169" fontId="28" fillId="6" borderId="13" xfId="20" applyNumberFormat="1" applyFont="1" applyFill="1" applyBorder="1" applyAlignment="1">
      <alignment horizontal="left"/>
    </xf>
    <xf numFmtId="165" fontId="12" fillId="0" borderId="0" xfId="22" applyNumberFormat="1" applyFont="1" applyFill="1" applyBorder="1"/>
    <xf numFmtId="2" fontId="35" fillId="2" borderId="0" xfId="0" applyNumberFormat="1" applyFont="1" applyFill="1" applyBorder="1" applyAlignment="1">
      <alignment horizontal="left"/>
    </xf>
    <xf numFmtId="165" fontId="35" fillId="2" borderId="0" xfId="22" applyNumberFormat="1" applyFont="1" applyFill="1" applyBorder="1" applyAlignment="1">
      <alignment horizontal="left"/>
    </xf>
    <xf numFmtId="10" fontId="15" fillId="2" borderId="0" xfId="22" applyNumberFormat="1" applyFont="1" applyFill="1" applyBorder="1" applyAlignment="1">
      <alignment horizontal="left"/>
    </xf>
    <xf numFmtId="165" fontId="25" fillId="0" borderId="0" xfId="22" applyNumberFormat="1" applyFont="1"/>
    <xf numFmtId="5" fontId="2" fillId="0" borderId="0" xfId="15" applyNumberFormat="1" applyFont="1"/>
    <xf numFmtId="169" fontId="35" fillId="2" borderId="0" xfId="22" applyNumberFormat="1" applyFont="1" applyFill="1" applyBorder="1" applyAlignment="1">
      <alignment horizontal="left"/>
    </xf>
    <xf numFmtId="168" fontId="35" fillId="2" borderId="0" xfId="0" applyNumberFormat="1" applyFont="1" applyFill="1" applyBorder="1" applyAlignment="1">
      <alignment horizontal="center"/>
    </xf>
    <xf numFmtId="9" fontId="15" fillId="2" borderId="0" xfId="0" applyNumberFormat="1" applyFont="1" applyFill="1" applyBorder="1" applyAlignment="1">
      <alignment horizontal="center"/>
    </xf>
    <xf numFmtId="169" fontId="28" fillId="6" borderId="0" xfId="20" applyNumberFormat="1" applyFont="1" applyFill="1" applyBorder="1" applyAlignment="1">
      <alignment horizontal="left"/>
    </xf>
    <xf numFmtId="165" fontId="28" fillId="6" borderId="0" xfId="20" applyNumberFormat="1" applyFont="1" applyFill="1" applyBorder="1" applyAlignment="1">
      <alignment horizontal="left"/>
    </xf>
    <xf numFmtId="177" fontId="39" fillId="2" borderId="0" xfId="0" applyNumberFormat="1" applyFont="1" applyFill="1" applyBorder="1" applyAlignment="1" applyProtection="1">
      <alignment horizontal="center"/>
    </xf>
    <xf numFmtId="6" fontId="38" fillId="2" borderId="0" xfId="0" applyNumberFormat="1" applyFont="1" applyFill="1" applyBorder="1" applyAlignment="1" applyProtection="1">
      <alignment horizontal="center"/>
    </xf>
    <xf numFmtId="2" fontId="12" fillId="2" borderId="0" xfId="22" applyNumberFormat="1" applyFont="1" applyFill="1" applyBorder="1" applyAlignment="1">
      <alignment horizontal="left"/>
    </xf>
    <xf numFmtId="9" fontId="12" fillId="2" borderId="0" xfId="20" applyNumberFormat="1" applyFont="1" applyFill="1" applyBorder="1" applyAlignment="1" applyProtection="1">
      <protection locked="0"/>
    </xf>
    <xf numFmtId="9" fontId="12" fillId="2" borderId="0" xfId="22" applyNumberFormat="1" applyFont="1" applyFill="1" applyBorder="1" applyAlignment="1" applyProtection="1">
      <alignment horizontal="center"/>
      <protection locked="0"/>
    </xf>
    <xf numFmtId="177" fontId="39" fillId="2" borderId="0" xfId="0" quotePrefix="1" applyNumberFormat="1" applyFont="1" applyFill="1" applyBorder="1" applyAlignment="1" applyProtection="1">
      <alignment horizontal="left"/>
    </xf>
    <xf numFmtId="8" fontId="27" fillId="5" borderId="13" xfId="22" applyNumberFormat="1" applyFont="1" applyFill="1" applyBorder="1"/>
    <xf numFmtId="46" fontId="12" fillId="2" borderId="0" xfId="22" applyNumberFormat="1" applyFont="1" applyFill="1" applyBorder="1" applyAlignment="1">
      <alignment horizontal="left"/>
    </xf>
    <xf numFmtId="8" fontId="25" fillId="0" borderId="0" xfId="15" applyNumberFormat="1" applyFont="1"/>
    <xf numFmtId="164" fontId="74" fillId="4" borderId="0" xfId="0" applyNumberFormat="1" applyFont="1" applyFill="1" applyBorder="1"/>
    <xf numFmtId="3" fontId="74" fillId="4" borderId="0" xfId="0" applyNumberFormat="1" applyFont="1" applyFill="1" applyBorder="1"/>
    <xf numFmtId="3" fontId="74" fillId="4" borderId="12" xfId="0" applyNumberFormat="1" applyFont="1" applyFill="1" applyBorder="1"/>
    <xf numFmtId="169" fontId="75" fillId="2" borderId="0" xfId="20" applyNumberFormat="1" applyFont="1" applyFill="1" applyBorder="1" applyAlignment="1" applyProtection="1">
      <alignment horizontal="right"/>
      <protection locked="0"/>
    </xf>
    <xf numFmtId="169" fontId="74" fillId="0" borderId="0" xfId="20" applyNumberFormat="1" applyFont="1" applyFill="1" applyBorder="1" applyAlignment="1" applyProtection="1">
      <alignment horizontal="right"/>
      <protection locked="0"/>
    </xf>
    <xf numFmtId="169" fontId="74" fillId="8" borderId="0" xfId="22" applyNumberFormat="1" applyFont="1" applyFill="1" applyBorder="1"/>
    <xf numFmtId="37" fontId="74" fillId="4" borderId="0" xfId="0" applyNumberFormat="1" applyFont="1" applyFill="1" applyBorder="1"/>
    <xf numFmtId="5" fontId="74" fillId="4" borderId="0" xfId="0" applyNumberFormat="1" applyFont="1" applyFill="1" applyBorder="1"/>
    <xf numFmtId="5" fontId="75" fillId="4" borderId="0" xfId="0" applyNumberFormat="1" applyFont="1" applyFill="1" applyBorder="1"/>
    <xf numFmtId="5" fontId="74" fillId="0" borderId="0" xfId="0" applyNumberFormat="1" applyFont="1" applyFill="1" applyBorder="1"/>
    <xf numFmtId="5" fontId="74" fillId="4" borderId="0" xfId="22" applyNumberFormat="1" applyFont="1" applyFill="1" applyBorder="1"/>
    <xf numFmtId="1" fontId="74" fillId="4" borderId="0" xfId="0" applyNumberFormat="1" applyFont="1" applyFill="1" applyBorder="1"/>
    <xf numFmtId="7" fontId="74" fillId="4" borderId="0" xfId="0" applyNumberFormat="1" applyFont="1" applyFill="1" applyBorder="1" applyAlignment="1">
      <alignment horizontal="right" vertical="center"/>
    </xf>
    <xf numFmtId="168" fontId="74" fillId="0" borderId="0" xfId="0" applyNumberFormat="1" applyFont="1" applyFill="1" applyBorder="1"/>
    <xf numFmtId="169" fontId="74" fillId="0" borderId="0" xfId="0" applyNumberFormat="1" applyFont="1" applyFill="1" applyBorder="1"/>
    <xf numFmtId="5" fontId="75" fillId="8" borderId="0" xfId="0" applyNumberFormat="1" applyFont="1" applyFill="1" applyBorder="1"/>
    <xf numFmtId="5" fontId="75" fillId="4" borderId="0" xfId="0" applyNumberFormat="1" applyFont="1" applyFill="1"/>
    <xf numFmtId="5" fontId="75" fillId="2" borderId="4" xfId="0" applyNumberFormat="1" applyFont="1" applyFill="1" applyBorder="1"/>
    <xf numFmtId="5" fontId="74" fillId="4" borderId="0" xfId="0" applyNumberFormat="1" applyFont="1" applyFill="1"/>
    <xf numFmtId="169" fontId="74" fillId="4" borderId="0" xfId="0" applyNumberFormat="1" applyFont="1" applyFill="1" applyBorder="1"/>
    <xf numFmtId="169" fontId="74" fillId="4" borderId="0" xfId="0" applyNumberFormat="1" applyFont="1" applyFill="1"/>
    <xf numFmtId="169" fontId="75" fillId="4" borderId="12" xfId="0" applyNumberFormat="1" applyFont="1" applyFill="1" applyBorder="1"/>
    <xf numFmtId="169" fontId="75" fillId="0" borderId="12" xfId="0" applyNumberFormat="1" applyFont="1" applyFill="1" applyBorder="1"/>
    <xf numFmtId="169" fontId="75" fillId="2" borderId="4" xfId="0" applyNumberFormat="1" applyFont="1" applyFill="1" applyBorder="1"/>
    <xf numFmtId="169" fontId="13" fillId="4" borderId="0" xfId="0" applyNumberFormat="1" applyFont="1" applyFill="1" applyBorder="1"/>
    <xf numFmtId="169" fontId="13" fillId="4" borderId="13" xfId="0" applyNumberFormat="1" applyFont="1" applyFill="1" applyBorder="1"/>
    <xf numFmtId="5" fontId="75" fillId="4" borderId="13" xfId="0" applyNumberFormat="1" applyFont="1" applyFill="1" applyBorder="1"/>
    <xf numFmtId="5" fontId="75" fillId="2" borderId="6" xfId="0" applyNumberFormat="1" applyFont="1" applyFill="1" applyBorder="1"/>
    <xf numFmtId="5" fontId="74" fillId="4" borderId="13" xfId="0" applyNumberFormat="1" applyFont="1" applyFill="1" applyBorder="1"/>
    <xf numFmtId="5" fontId="75" fillId="0" borderId="13" xfId="0" applyNumberFormat="1" applyFont="1" applyFill="1" applyBorder="1"/>
    <xf numFmtId="5" fontId="75" fillId="4" borderId="14" xfId="0" applyNumberFormat="1" applyFont="1" applyFill="1" applyBorder="1"/>
    <xf numFmtId="169" fontId="74" fillId="4" borderId="13" xfId="0" applyNumberFormat="1" applyFont="1" applyFill="1" applyBorder="1"/>
    <xf numFmtId="169" fontId="75" fillId="4" borderId="15" xfId="0" applyNumberFormat="1" applyFont="1" applyFill="1" applyBorder="1"/>
    <xf numFmtId="169" fontId="75" fillId="2" borderId="6" xfId="0" applyNumberFormat="1" applyFont="1" applyFill="1" applyBorder="1"/>
    <xf numFmtId="169" fontId="74" fillId="0" borderId="13" xfId="0" applyNumberFormat="1" applyFont="1" applyFill="1" applyBorder="1"/>
    <xf numFmtId="169" fontId="75" fillId="0" borderId="13" xfId="0" applyNumberFormat="1" applyFont="1" applyFill="1" applyBorder="1"/>
    <xf numFmtId="5" fontId="13" fillId="4" borderId="14" xfId="0" applyNumberFormat="1" applyFont="1" applyFill="1" applyBorder="1"/>
    <xf numFmtId="6" fontId="3" fillId="11" borderId="4" xfId="15" applyNumberFormat="1" applyFont="1" applyFill="1" applyBorder="1"/>
    <xf numFmtId="6" fontId="3" fillId="11" borderId="23" xfId="15" applyNumberFormat="1" applyFont="1" applyFill="1" applyBorder="1"/>
    <xf numFmtId="6" fontId="2" fillId="0" borderId="0" xfId="15" applyNumberFormat="1" applyFont="1"/>
    <xf numFmtId="6" fontId="64" fillId="0" borderId="0" xfId="15" applyNumberFormat="1" applyFont="1"/>
    <xf numFmtId="1" fontId="12" fillId="0" borderId="0" xfId="10" applyNumberFormat="1" applyFont="1" applyFill="1" applyBorder="1" applyAlignment="1">
      <alignment horizontal="right"/>
    </xf>
    <xf numFmtId="0" fontId="28" fillId="12" borderId="0" xfId="20" applyFont="1" applyFill="1" applyBorder="1" applyAlignment="1" applyProtection="1">
      <alignment horizontal="centerContinuous" wrapText="1"/>
    </xf>
    <xf numFmtId="0" fontId="28" fillId="12" borderId="13" xfId="20" applyFont="1" applyFill="1" applyBorder="1" applyAlignment="1" applyProtection="1">
      <alignment horizontal="center"/>
    </xf>
    <xf numFmtId="0" fontId="28" fillId="12" borderId="2" xfId="20" applyFont="1" applyFill="1" applyBorder="1" applyAlignment="1" applyProtection="1">
      <alignment horizontal="center"/>
    </xf>
    <xf numFmtId="0" fontId="28" fillId="12" borderId="14" xfId="20" applyFont="1" applyFill="1" applyBorder="1" applyAlignment="1" applyProtection="1">
      <alignment horizontal="center"/>
    </xf>
    <xf numFmtId="3" fontId="12" fillId="0" borderId="13" xfId="0" applyNumberFormat="1" applyFont="1" applyFill="1" applyBorder="1"/>
    <xf numFmtId="3" fontId="74" fillId="0" borderId="0" xfId="0" applyNumberFormat="1" applyFont="1" applyFill="1" applyBorder="1"/>
    <xf numFmtId="165" fontId="12" fillId="0" borderId="12" xfId="22" applyNumberFormat="1" applyFont="1" applyFill="1" applyBorder="1"/>
    <xf numFmtId="165" fontId="12" fillId="0" borderId="15" xfId="22" applyNumberFormat="1" applyFont="1" applyFill="1" applyBorder="1"/>
    <xf numFmtId="165" fontId="32" fillId="0" borderId="0" xfId="22" applyNumberFormat="1" applyFont="1" applyFill="1" applyBorder="1"/>
    <xf numFmtId="165" fontId="10" fillId="0" borderId="13" xfId="22" applyNumberFormat="1" applyFont="1" applyFill="1" applyBorder="1"/>
    <xf numFmtId="166" fontId="12" fillId="0" borderId="0" xfId="0" applyNumberFormat="1" applyFont="1" applyFill="1" applyBorder="1"/>
    <xf numFmtId="166" fontId="12" fillId="0" borderId="13" xfId="0" applyNumberFormat="1" applyFont="1" applyFill="1" applyBorder="1"/>
    <xf numFmtId="3" fontId="12" fillId="0" borderId="0" xfId="0" applyNumberFormat="1" applyFont="1" applyFill="1" applyBorder="1"/>
    <xf numFmtId="3" fontId="74" fillId="0" borderId="12" xfId="0" applyNumberFormat="1" applyFont="1" applyFill="1" applyBorder="1"/>
    <xf numFmtId="3" fontId="12" fillId="0" borderId="15" xfId="0" applyNumberFormat="1" applyFont="1" applyFill="1" applyBorder="1"/>
    <xf numFmtId="169" fontId="15" fillId="9" borderId="13" xfId="20" applyNumberFormat="1" applyFont="1" applyFill="1" applyBorder="1" applyAlignment="1" applyProtection="1">
      <alignment horizontal="right"/>
      <protection locked="0"/>
    </xf>
    <xf numFmtId="175" fontId="12" fillId="0" borderId="0" xfId="22" applyNumberFormat="1" applyFont="1" applyFill="1" applyBorder="1"/>
    <xf numFmtId="175" fontId="12" fillId="0" borderId="13" xfId="22" applyNumberFormat="1" applyFont="1" applyFill="1" applyBorder="1"/>
    <xf numFmtId="164" fontId="32" fillId="0" borderId="0" xfId="22" applyNumberFormat="1" applyFont="1" applyFill="1" applyBorder="1"/>
    <xf numFmtId="164" fontId="12" fillId="0" borderId="13" xfId="0" applyNumberFormat="1" applyFont="1" applyFill="1" applyBorder="1"/>
    <xf numFmtId="37" fontId="74" fillId="0" borderId="0" xfId="0" applyNumberFormat="1" applyFont="1" applyFill="1" applyBorder="1"/>
    <xf numFmtId="37" fontId="12" fillId="0" borderId="13" xfId="0" applyNumberFormat="1" applyFont="1" applyFill="1" applyBorder="1"/>
    <xf numFmtId="173" fontId="32" fillId="0" borderId="0" xfId="0" applyNumberFormat="1" applyFont="1" applyFill="1" applyBorder="1"/>
    <xf numFmtId="173" fontId="12" fillId="0" borderId="13" xfId="0" applyNumberFormat="1" applyFont="1" applyFill="1" applyBorder="1"/>
    <xf numFmtId="164" fontId="32" fillId="0" borderId="0" xfId="0" applyNumberFormat="1" applyFont="1" applyFill="1" applyBorder="1"/>
    <xf numFmtId="5" fontId="12" fillId="0" borderId="12" xfId="0" applyNumberFormat="1" applyFont="1" applyFill="1" applyBorder="1"/>
    <xf numFmtId="5" fontId="12" fillId="0" borderId="15" xfId="0" applyNumberFormat="1" applyFont="1" applyFill="1" applyBorder="1"/>
    <xf numFmtId="5" fontId="12" fillId="0" borderId="13" xfId="0" applyNumberFormat="1" applyFont="1" applyFill="1" applyBorder="1"/>
    <xf numFmtId="168" fontId="12" fillId="0" borderId="0" xfId="20" applyNumberFormat="1" applyFont="1" applyFill="1" applyBorder="1" applyAlignment="1" applyProtection="1">
      <alignment horizontal="right"/>
      <protection locked="0"/>
    </xf>
    <xf numFmtId="169" fontId="13" fillId="2" borderId="0" xfId="20" applyNumberFormat="1" applyFont="1" applyFill="1" applyBorder="1" applyAlignment="1" applyProtection="1">
      <protection locked="0"/>
    </xf>
    <xf numFmtId="0" fontId="12" fillId="2" borderId="0" xfId="22" applyNumberFormat="1" applyFont="1" applyFill="1" applyBorder="1" applyAlignment="1">
      <alignment horizontal="left"/>
    </xf>
    <xf numFmtId="0" fontId="28" fillId="6" borderId="0" xfId="20" applyNumberFormat="1" applyFont="1" applyFill="1" applyBorder="1" applyAlignment="1">
      <alignment horizontal="left"/>
    </xf>
    <xf numFmtId="172" fontId="2" fillId="0" borderId="0" xfId="11" applyNumberFormat="1" applyFont="1" applyFill="1"/>
    <xf numFmtId="9" fontId="25" fillId="0" borderId="0" xfId="0" applyNumberFormat="1" applyFont="1" applyFill="1"/>
    <xf numFmtId="0" fontId="2" fillId="0" borderId="0" xfId="15" applyFont="1" applyFill="1"/>
    <xf numFmtId="176" fontId="2" fillId="0" borderId="0" xfId="15" applyNumberFormat="1" applyFont="1" applyFill="1" applyAlignment="1">
      <alignment horizontal="right"/>
    </xf>
    <xf numFmtId="9" fontId="2" fillId="0" borderId="0" xfId="15" applyNumberFormat="1" applyFont="1" applyFill="1"/>
    <xf numFmtId="0" fontId="2" fillId="0" borderId="0" xfId="31"/>
    <xf numFmtId="0" fontId="2" fillId="13" borderId="0" xfId="30" applyFont="1" applyFill="1" applyAlignment="1">
      <alignment vertical="top"/>
    </xf>
    <xf numFmtId="0" fontId="2" fillId="13" borderId="0" xfId="31" applyFill="1" applyAlignment="1">
      <alignment vertical="top"/>
    </xf>
    <xf numFmtId="0" fontId="2" fillId="13" borderId="0" xfId="31" applyFill="1"/>
    <xf numFmtId="0" fontId="77" fillId="13" borderId="0" xfId="30" applyFont="1" applyFill="1" applyAlignment="1">
      <alignment horizontal="left" vertical="top"/>
    </xf>
    <xf numFmtId="0" fontId="2" fillId="13" borderId="0" xfId="31" applyFont="1" applyFill="1" applyAlignment="1">
      <alignment vertical="top"/>
    </xf>
    <xf numFmtId="0" fontId="25" fillId="13" borderId="0" xfId="30" applyFont="1" applyFill="1" applyAlignment="1">
      <alignment vertical="top"/>
    </xf>
    <xf numFmtId="0" fontId="0" fillId="13" borderId="0" xfId="0" applyFill="1" applyAlignment="1">
      <alignment vertical="top"/>
    </xf>
    <xf numFmtId="0" fontId="76" fillId="13" borderId="0" xfId="0" applyFont="1" applyFill="1" applyAlignment="1">
      <alignment vertical="top"/>
    </xf>
    <xf numFmtId="0" fontId="78" fillId="13" borderId="0" xfId="0" applyFont="1" applyFill="1" applyAlignment="1">
      <alignment vertical="top"/>
    </xf>
    <xf numFmtId="0" fontId="76" fillId="13" borderId="24" xfId="0" applyFont="1" applyFill="1" applyBorder="1" applyAlignment="1">
      <alignment vertical="top"/>
    </xf>
    <xf numFmtId="9" fontId="76" fillId="13" borderId="24" xfId="0" applyNumberFormat="1" applyFont="1" applyFill="1" applyBorder="1" applyAlignment="1">
      <alignment vertical="top"/>
    </xf>
    <xf numFmtId="3" fontId="76" fillId="13" borderId="24" xfId="0" applyNumberFormat="1" applyFont="1" applyFill="1" applyBorder="1" applyAlignment="1">
      <alignment vertical="top"/>
    </xf>
    <xf numFmtId="2" fontId="2" fillId="0" borderId="0" xfId="31" applyNumberFormat="1" applyAlignment="1">
      <alignment horizontal="left"/>
    </xf>
    <xf numFmtId="0" fontId="2" fillId="0" borderId="0" xfId="31" applyNumberFormat="1" applyAlignment="1">
      <alignment horizontal="left"/>
    </xf>
    <xf numFmtId="1" fontId="2" fillId="0" borderId="0" xfId="31" applyNumberFormat="1" applyAlignment="1">
      <alignment horizontal="left"/>
    </xf>
    <xf numFmtId="0" fontId="2" fillId="0" borderId="0" xfId="31" applyFont="1"/>
    <xf numFmtId="184" fontId="2" fillId="0" borderId="0" xfId="31" applyNumberFormat="1" applyAlignment="1">
      <alignment horizontal="left"/>
    </xf>
    <xf numFmtId="49" fontId="2" fillId="0" borderId="0" xfId="31" applyNumberFormat="1"/>
    <xf numFmtId="0" fontId="0" fillId="13" borderId="29" xfId="0" applyFill="1" applyBorder="1" applyAlignment="1">
      <alignment vertical="top"/>
    </xf>
    <xf numFmtId="0" fontId="76" fillId="13" borderId="0" xfId="0" applyFont="1" applyFill="1" applyAlignment="1">
      <alignment vertical="top"/>
    </xf>
    <xf numFmtId="0" fontId="76" fillId="13" borderId="25" xfId="0" applyFont="1" applyFill="1" applyBorder="1" applyAlignment="1">
      <alignment vertical="top"/>
    </xf>
    <xf numFmtId="0" fontId="76" fillId="13" borderId="26" xfId="0" applyFont="1" applyFill="1" applyBorder="1" applyAlignment="1">
      <alignment vertical="top"/>
    </xf>
    <xf numFmtId="0" fontId="76" fillId="13" borderId="27" xfId="0" applyFont="1" applyFill="1" applyBorder="1" applyAlignment="1">
      <alignment vertical="top"/>
    </xf>
    <xf numFmtId="0" fontId="78" fillId="13" borderId="0" xfId="0" applyFont="1" applyFill="1" applyAlignment="1">
      <alignment vertical="top"/>
    </xf>
    <xf numFmtId="0" fontId="0" fillId="13" borderId="0" xfId="0" applyFill="1" applyAlignment="1">
      <alignment vertical="top"/>
    </xf>
    <xf numFmtId="0" fontId="0" fillId="13" borderId="28" xfId="0" applyFill="1" applyBorder="1" applyAlignment="1">
      <alignment vertical="top"/>
    </xf>
    <xf numFmtId="14" fontId="28" fillId="5" borderId="0" xfId="20" applyNumberFormat="1" applyFont="1" applyFill="1" applyBorder="1" applyAlignment="1">
      <alignment horizontal="center"/>
    </xf>
    <xf numFmtId="0" fontId="8" fillId="0" borderId="0" xfId="0" applyFont="1" applyAlignment="1">
      <alignment horizontal="center"/>
    </xf>
  </cellXfs>
  <cellStyles count="32">
    <cellStyle name=" 1" xfId="2"/>
    <cellStyle name="******************************************" xfId="3"/>
    <cellStyle name="_PensionT(1)" xfId="4"/>
    <cellStyle name="_SUMMARY " xfId="5"/>
    <cellStyle name="0_Capex &amp; Depreciation " xfId="6"/>
    <cellStyle name="0_Valuing BP " xfId="7"/>
    <cellStyle name="c_HardInc " xfId="9"/>
    <cellStyle name="Comma" xfId="10" builtinId="3"/>
    <cellStyle name="Comma 2" xfId="11"/>
    <cellStyle name="Comma 2 2" xfId="12"/>
    <cellStyle name="Comma 3" xfId="13"/>
    <cellStyle name="Comma 4" xfId="29"/>
    <cellStyle name="Currency 2" xfId="8"/>
    <cellStyle name="Normal" xfId="0" builtinId="0"/>
    <cellStyle name="Normal 2" xfId="1"/>
    <cellStyle name="Normal 3" xfId="14"/>
    <cellStyle name="Normal 3 2" xfId="15"/>
    <cellStyle name="Normal 4" xfId="31"/>
    <cellStyle name="Normal_AAI.model.BuiltOut" xfId="16"/>
    <cellStyle name="Normal_CF and Bal Sheet" xfId="17"/>
    <cellStyle name="Normal_DisclaimerSheet Samples" xfId="30"/>
    <cellStyle name="Normal_Inc Statement" xfId="18"/>
    <cellStyle name="Normal_Inc Statement_1" xfId="19"/>
    <cellStyle name="Normal_JBHTqq" xfId="20"/>
    <cellStyle name="p " xfId="21"/>
    <cellStyle name="Percent" xfId="22" builtinId="5"/>
    <cellStyle name="Percent 2" xfId="28"/>
    <cellStyle name="RRSInstruction" xfId="23"/>
    <cellStyle name="s_HardInc " xfId="24"/>
    <cellStyle name="s_Valuation " xfId="25"/>
    <cellStyle name="ssp " xfId="26"/>
    <cellStyle name="Style 32 2" xfId="27"/>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FFCC"/>
      <color rgb="FF00843C"/>
      <color rgb="FF137CB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2.xml" Type="http://schemas.openxmlformats.org/officeDocument/2006/relationships/externalLink"/>
<Relationship Id="rId11" Target="externalLinks/externalLink3.xml" Type="http://schemas.openxmlformats.org/officeDocument/2006/relationships/externalLink"/>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externalLinks/externalLink1.xml" Type="http://schemas.openxmlformats.org/officeDocument/2006/relationships/externalLink"/>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9</xdr:col>
      <xdr:colOff>114300</xdr:colOff>
      <xdr:row>203</xdr:row>
      <xdr:rowOff>104775</xdr:rowOff>
    </xdr:to>
    <xdr:pic>
      <xdr:nvPicPr>
        <xdr:cNvPr id="1905665" name="Picture 1" descr="C:\Users\sharpmat\AppData\Local\Temp\MercuryPriceRatingHistoryChart\LUV.N_2018_04_10_18_43_1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0987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UTILITIES/Models/SRE/Published/SRE%20Model.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COP"/>
      <sheetName val="Income Statement"/>
      <sheetName val="Revenue&amp;EBIT"/>
      <sheetName val="Fin. Summary"/>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Valuation"/>
      <sheetName val="Financial"/>
      <sheetName val="AFOSHEET"/>
      <sheetName val="SRE"/>
      <sheetName val="SDG&amp;E"/>
      <sheetName val="SoCalGas"/>
      <sheetName val="Mexico"/>
      <sheetName val="South America"/>
      <sheetName val="Renewables"/>
      <sheetName val="Natural Gas"/>
      <sheetName val="Parent"/>
      <sheetName val="LNG Export"/>
      <sheetName val="Debt"/>
      <sheetName val="PTCs"/>
      <sheetName val="Market Prices"/>
      <sheetName val="mwareDates"/>
      <sheetName val="MW-Cache"/>
      <sheetName val="mwareSettings"/>
      <sheetName val="MWA RR"/>
      <sheetName val="Sheet1"/>
      <sheetName val="SRE Model"/>
      <sheetName val="Associated"/>
      <sheetName val="Input-Notes"/>
      <sheetName val="Corp_Elims"/>
      <sheetName val="FBO"/>
      <sheetName val="Garrett"/>
      <sheetName val="PH"/>
      <sheetName val="PHHI"/>
      <sheetName val="MWA Lease"/>
    </sheetNames>
    <sheetDataSet>
      <sheetData sheetId="0" refreshError="1"/>
      <sheetData sheetId="1" refreshError="1"/>
      <sheetData sheetId="2" refreshError="1">
        <row r="37">
          <cell r="BE37">
            <v>127</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Monthly figures"/>
      <sheetName val="Consolidated"/>
      <sheetName val="Customize Your Statement"/>
      <sheetName val="DOMNETREV1002B"/>
      <sheetName val="Cash flow"/>
      <sheetName val="Profit &amp; Loss"/>
      <sheetName val="Inputs, sensitivity &amp; val"/>
      <sheetName val="c1"/>
      <sheetName val="KQ"/>
      <sheetName val="Sainsbury"/>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7"/>
  <sheetViews>
    <sheetView showGridLines="0" tabSelected="1" workbookViewId="0">
      <selection activeCell="H31" sqref="H31"/>
    </sheetView>
  </sheetViews>
  <sheetFormatPr defaultRowHeight="12.75" x14ac:dyDescent="0.2"/>
  <cols>
    <col min="1" max="1" width="25.83203125" style="902" customWidth="1"/>
    <col min="2" max="5" width="9.33203125" style="902"/>
    <col min="6" max="6" width="18.83203125" style="902" customWidth="1"/>
    <col min="7" max="256" width="9.33203125" style="902"/>
    <col min="257" max="257" width="117.5" style="902" customWidth="1"/>
    <col min="258" max="512" width="9.33203125" style="902"/>
    <col min="513" max="513" width="117.5" style="902" customWidth="1"/>
    <col min="514" max="768" width="9.33203125" style="902"/>
    <col min="769" max="769" width="117.5" style="902" customWidth="1"/>
    <col min="770" max="1024" width="9.33203125" style="902"/>
    <col min="1025" max="1025" width="117.5" style="902" customWidth="1"/>
    <col min="1026" max="1280" width="9.33203125" style="902"/>
    <col min="1281" max="1281" width="117.5" style="902" customWidth="1"/>
    <col min="1282" max="1536" width="9.33203125" style="902"/>
    <col min="1537" max="1537" width="117.5" style="902" customWidth="1"/>
    <col min="1538" max="1792" width="9.33203125" style="902"/>
    <col min="1793" max="1793" width="117.5" style="902" customWidth="1"/>
    <col min="1794" max="2048" width="9.33203125" style="902"/>
    <col min="2049" max="2049" width="117.5" style="902" customWidth="1"/>
    <col min="2050" max="2304" width="9.33203125" style="902"/>
    <col min="2305" max="2305" width="117.5" style="902" customWidth="1"/>
    <col min="2306" max="2560" width="9.33203125" style="902"/>
    <col min="2561" max="2561" width="117.5" style="902" customWidth="1"/>
    <col min="2562" max="2816" width="9.33203125" style="902"/>
    <col min="2817" max="2817" width="117.5" style="902" customWidth="1"/>
    <col min="2818" max="3072" width="9.33203125" style="902"/>
    <col min="3073" max="3073" width="117.5" style="902" customWidth="1"/>
    <col min="3074" max="3328" width="9.33203125" style="902"/>
    <col min="3329" max="3329" width="117.5" style="902" customWidth="1"/>
    <col min="3330" max="3584" width="9.33203125" style="902"/>
    <col min="3585" max="3585" width="117.5" style="902" customWidth="1"/>
    <col min="3586" max="3840" width="9.33203125" style="902"/>
    <col min="3841" max="3841" width="117.5" style="902" customWidth="1"/>
    <col min="3842" max="4096" width="9.33203125" style="902"/>
    <col min="4097" max="4097" width="117.5" style="902" customWidth="1"/>
    <col min="4098" max="4352" width="9.33203125" style="902"/>
    <col min="4353" max="4353" width="117.5" style="902" customWidth="1"/>
    <col min="4354" max="4608" width="9.33203125" style="902"/>
    <col min="4609" max="4609" width="117.5" style="902" customWidth="1"/>
    <col min="4610" max="4864" width="9.33203125" style="902"/>
    <col min="4865" max="4865" width="117.5" style="902" customWidth="1"/>
    <col min="4866" max="5120" width="9.33203125" style="902"/>
    <col min="5121" max="5121" width="117.5" style="902" customWidth="1"/>
    <col min="5122" max="5376" width="9.33203125" style="902"/>
    <col min="5377" max="5377" width="117.5" style="902" customWidth="1"/>
    <col min="5378" max="5632" width="9.33203125" style="902"/>
    <col min="5633" max="5633" width="117.5" style="902" customWidth="1"/>
    <col min="5634" max="5888" width="9.33203125" style="902"/>
    <col min="5889" max="5889" width="117.5" style="902" customWidth="1"/>
    <col min="5890" max="6144" width="9.33203125" style="902"/>
    <col min="6145" max="6145" width="117.5" style="902" customWidth="1"/>
    <col min="6146" max="6400" width="9.33203125" style="902"/>
    <col min="6401" max="6401" width="117.5" style="902" customWidth="1"/>
    <col min="6402" max="6656" width="9.33203125" style="902"/>
    <col min="6657" max="6657" width="117.5" style="902" customWidth="1"/>
    <col min="6658" max="6912" width="9.33203125" style="902"/>
    <col min="6913" max="6913" width="117.5" style="902" customWidth="1"/>
    <col min="6914" max="7168" width="9.33203125" style="902"/>
    <col min="7169" max="7169" width="117.5" style="902" customWidth="1"/>
    <col min="7170" max="7424" width="9.33203125" style="902"/>
    <col min="7425" max="7425" width="117.5" style="902" customWidth="1"/>
    <col min="7426" max="7680" width="9.33203125" style="902"/>
    <col min="7681" max="7681" width="117.5" style="902" customWidth="1"/>
    <col min="7682" max="7936" width="9.33203125" style="902"/>
    <col min="7937" max="7937" width="117.5" style="902" customWidth="1"/>
    <col min="7938" max="8192" width="9.33203125" style="902"/>
    <col min="8193" max="8193" width="117.5" style="902" customWidth="1"/>
    <col min="8194" max="8448" width="9.33203125" style="902"/>
    <col min="8449" max="8449" width="117.5" style="902" customWidth="1"/>
    <col min="8450" max="8704" width="9.33203125" style="902"/>
    <col min="8705" max="8705" width="117.5" style="902" customWidth="1"/>
    <col min="8706" max="8960" width="9.33203125" style="902"/>
    <col min="8961" max="8961" width="117.5" style="902" customWidth="1"/>
    <col min="8962" max="9216" width="9.33203125" style="902"/>
    <col min="9217" max="9217" width="117.5" style="902" customWidth="1"/>
    <col min="9218" max="9472" width="9.33203125" style="902"/>
    <col min="9473" max="9473" width="117.5" style="902" customWidth="1"/>
    <col min="9474" max="9728" width="9.33203125" style="902"/>
    <col min="9729" max="9729" width="117.5" style="902" customWidth="1"/>
    <col min="9730" max="9984" width="9.33203125" style="902"/>
    <col min="9985" max="9985" width="117.5" style="902" customWidth="1"/>
    <col min="9986" max="10240" width="9.33203125" style="902"/>
    <col min="10241" max="10241" width="117.5" style="902" customWidth="1"/>
    <col min="10242" max="10496" width="9.33203125" style="902"/>
    <col min="10497" max="10497" width="117.5" style="902" customWidth="1"/>
    <col min="10498" max="10752" width="9.33203125" style="902"/>
    <col min="10753" max="10753" width="117.5" style="902" customWidth="1"/>
    <col min="10754" max="11008" width="9.33203125" style="902"/>
    <col min="11009" max="11009" width="117.5" style="902" customWidth="1"/>
    <col min="11010" max="11264" width="9.33203125" style="902"/>
    <col min="11265" max="11265" width="117.5" style="902" customWidth="1"/>
    <col min="11266" max="11520" width="9.33203125" style="902"/>
    <col min="11521" max="11521" width="117.5" style="902" customWidth="1"/>
    <col min="11522" max="11776" width="9.33203125" style="902"/>
    <col min="11777" max="11777" width="117.5" style="902" customWidth="1"/>
    <col min="11778" max="12032" width="9.33203125" style="902"/>
    <col min="12033" max="12033" width="117.5" style="902" customWidth="1"/>
    <col min="12034" max="12288" width="9.33203125" style="902"/>
    <col min="12289" max="12289" width="117.5" style="902" customWidth="1"/>
    <col min="12290" max="12544" width="9.33203125" style="902"/>
    <col min="12545" max="12545" width="117.5" style="902" customWidth="1"/>
    <col min="12546" max="12800" width="9.33203125" style="902"/>
    <col min="12801" max="12801" width="117.5" style="902" customWidth="1"/>
    <col min="12802" max="13056" width="9.33203125" style="902"/>
    <col min="13057" max="13057" width="117.5" style="902" customWidth="1"/>
    <col min="13058" max="13312" width="9.33203125" style="902"/>
    <col min="13313" max="13313" width="117.5" style="902" customWidth="1"/>
    <col min="13314" max="13568" width="9.33203125" style="902"/>
    <col min="13569" max="13569" width="117.5" style="902" customWidth="1"/>
    <col min="13570" max="13824" width="9.33203125" style="902"/>
    <col min="13825" max="13825" width="117.5" style="902" customWidth="1"/>
    <col min="13826" max="14080" width="9.33203125" style="902"/>
    <col min="14081" max="14081" width="117.5" style="902" customWidth="1"/>
    <col min="14082" max="14336" width="9.33203125" style="902"/>
    <col min="14337" max="14337" width="117.5" style="902" customWidth="1"/>
    <col min="14338" max="14592" width="9.33203125" style="902"/>
    <col min="14593" max="14593" width="117.5" style="902" customWidth="1"/>
    <col min="14594" max="14848" width="9.33203125" style="902"/>
    <col min="14849" max="14849" width="117.5" style="902" customWidth="1"/>
    <col min="14850" max="15104" width="9.33203125" style="902"/>
    <col min="15105" max="15105" width="117.5" style="902" customWidth="1"/>
    <col min="15106" max="15360" width="9.33203125" style="902"/>
    <col min="15361" max="15361" width="117.5" style="902" customWidth="1"/>
    <col min="15362" max="15616" width="9.33203125" style="902"/>
    <col min="15617" max="15617" width="117.5" style="902" customWidth="1"/>
    <col min="15618" max="15872" width="9.33203125" style="902"/>
    <col min="15873" max="15873" width="117.5" style="902" customWidth="1"/>
    <col min="15874" max="16128" width="9.33203125" style="902"/>
    <col min="16129" max="16129" width="117.5" style="902" customWidth="1"/>
    <col min="16130" max="16384" width="9.33203125" style="902"/>
  </cols>
  <sheetData>
    <row r="1" spans="1:8" ht="30" customHeight="1" x14ac:dyDescent="0.2">
      <c r="A1" s="900"/>
      <c r="B1" s="901"/>
      <c r="C1" s="901"/>
      <c r="D1" s="901"/>
      <c r="E1" s="901"/>
      <c r="F1" s="901"/>
      <c r="G1" s="901"/>
      <c r="H1" s="901"/>
    </row>
    <row r="2" spans="1:8" ht="14.25" x14ac:dyDescent="0.2">
      <c r="A2" s="903" t="s">
        <v>613</v>
      </c>
      <c r="B2" s="901"/>
      <c r="C2" s="901"/>
      <c r="D2" s="901"/>
      <c r="E2" s="901"/>
      <c r="F2" s="901"/>
      <c r="G2" s="901"/>
      <c r="H2" s="901"/>
    </row>
    <row r="3" spans="1:8" ht="14.25" x14ac:dyDescent="0.2">
      <c r="A3" s="903" t="s">
        <v>614</v>
      </c>
      <c r="B3" s="901"/>
      <c r="C3" s="901"/>
      <c r="D3" s="901"/>
      <c r="E3" s="901"/>
      <c r="F3" s="901"/>
      <c r="G3" s="901"/>
      <c r="H3" s="901"/>
    </row>
    <row r="4" spans="1:8" ht="14.25" x14ac:dyDescent="0.2">
      <c r="A4" s="903" t="s">
        <v>615</v>
      </c>
      <c r="B4" s="901"/>
      <c r="C4" s="901"/>
      <c r="D4" s="901"/>
      <c r="E4" s="901"/>
      <c r="F4" s="901"/>
      <c r="G4" s="901"/>
      <c r="H4" s="901"/>
    </row>
    <row r="5" spans="1:8" ht="14.25" x14ac:dyDescent="0.2">
      <c r="A5" s="903" t="s">
        <v>616</v>
      </c>
      <c r="B5" s="901"/>
      <c r="C5" s="901"/>
      <c r="D5" s="901"/>
      <c r="E5" s="901"/>
      <c r="F5" s="901"/>
      <c r="G5" s="901"/>
      <c r="H5" s="901"/>
    </row>
    <row r="6" spans="1:8" ht="14.25" x14ac:dyDescent="0.2">
      <c r="A6" s="903"/>
      <c r="B6" s="901"/>
      <c r="C6" s="901"/>
      <c r="D6" s="901"/>
      <c r="E6" s="901"/>
      <c r="F6" s="901"/>
      <c r="G6" s="901"/>
      <c r="H6" s="901"/>
    </row>
    <row r="7" spans="1:8" x14ac:dyDescent="0.2">
      <c r="A7" s="900" t="s">
        <v>617</v>
      </c>
      <c r="B7" s="901"/>
      <c r="C7" s="901"/>
      <c r="D7" s="901"/>
      <c r="E7" s="901"/>
      <c r="F7" s="901"/>
      <c r="G7" s="901"/>
      <c r="H7" s="901"/>
    </row>
    <row r="8" spans="1:8" x14ac:dyDescent="0.2">
      <c r="A8" s="900" t="s">
        <v>618</v>
      </c>
      <c r="B8" s="901"/>
      <c r="C8" s="901"/>
      <c r="D8" s="901"/>
      <c r="E8" s="901"/>
      <c r="F8" s="901"/>
      <c r="G8" s="901"/>
      <c r="H8" s="901"/>
    </row>
    <row r="9" spans="1:8" x14ac:dyDescent="0.2">
      <c r="A9" s="900"/>
      <c r="B9" s="901"/>
      <c r="C9" s="901"/>
      <c r="D9" s="901"/>
      <c r="E9" s="901"/>
      <c r="F9" s="901"/>
      <c r="G9" s="901"/>
      <c r="H9" s="901"/>
    </row>
    <row r="10" spans="1:8" x14ac:dyDescent="0.2">
      <c r="A10" s="904" t="s">
        <v>619</v>
      </c>
      <c r="B10" s="901"/>
      <c r="C10" s="901"/>
      <c r="D10" s="901"/>
      <c r="E10" s="901"/>
      <c r="F10" s="901"/>
      <c r="G10" s="901"/>
      <c r="H10" s="901"/>
    </row>
    <row r="11" spans="1:8" x14ac:dyDescent="0.2">
      <c r="A11" s="904" t="s">
        <v>620</v>
      </c>
      <c r="B11" s="901"/>
      <c r="C11" s="901"/>
      <c r="D11" s="901"/>
      <c r="E11" s="901"/>
      <c r="F11" s="901"/>
      <c r="G11" s="901"/>
      <c r="H11" s="901"/>
    </row>
    <row r="12" spans="1:8" x14ac:dyDescent="0.2">
      <c r="A12" s="904" t="s">
        <v>621</v>
      </c>
      <c r="B12" s="901"/>
      <c r="C12" s="901"/>
      <c r="D12" s="901"/>
      <c r="E12" s="901"/>
      <c r="F12" s="901"/>
      <c r="G12" s="901"/>
      <c r="H12" s="901"/>
    </row>
    <row r="13" spans="1:8" x14ac:dyDescent="0.2">
      <c r="A13" s="904" t="s">
        <v>622</v>
      </c>
      <c r="B13" s="901"/>
      <c r="C13" s="901"/>
      <c r="D13" s="901"/>
      <c r="E13" s="901"/>
      <c r="F13" s="901"/>
      <c r="G13" s="901"/>
      <c r="H13" s="901"/>
    </row>
    <row r="14" spans="1:8" x14ac:dyDescent="0.2">
      <c r="A14" s="904" t="s">
        <v>623</v>
      </c>
      <c r="B14" s="901"/>
      <c r="C14" s="901"/>
      <c r="D14" s="901"/>
      <c r="E14" s="901"/>
      <c r="F14" s="901"/>
      <c r="G14" s="901"/>
      <c r="H14" s="901"/>
    </row>
    <row r="15" spans="1:8" x14ac:dyDescent="0.2">
      <c r="A15" s="904" t="s">
        <v>976</v>
      </c>
      <c r="B15" s="901"/>
      <c r="C15" s="901"/>
      <c r="D15" s="901"/>
      <c r="E15" s="901"/>
      <c r="F15" s="901"/>
      <c r="G15" s="901"/>
      <c r="H15" s="901"/>
    </row>
    <row r="16" spans="1:8" x14ac:dyDescent="0.2">
      <c r="A16" s="904"/>
      <c r="B16" s="901"/>
      <c r="C16" s="901"/>
      <c r="D16" s="901"/>
      <c r="E16" s="901"/>
      <c r="F16" s="901"/>
      <c r="G16" s="901"/>
      <c r="H16" s="901"/>
    </row>
    <row r="17" spans="1:8" x14ac:dyDescent="0.2">
      <c r="A17" s="904" t="s">
        <v>610</v>
      </c>
      <c r="B17" s="901"/>
      <c r="C17" s="901"/>
      <c r="D17" s="901"/>
      <c r="E17" s="901"/>
      <c r="F17" s="901"/>
      <c r="G17" s="901"/>
      <c r="H17" s="901"/>
    </row>
    <row r="18" spans="1:8" x14ac:dyDescent="0.2">
      <c r="A18" s="904"/>
      <c r="B18" s="901"/>
      <c r="C18" s="901"/>
      <c r="D18" s="901"/>
      <c r="E18" s="901"/>
      <c r="F18" s="901"/>
      <c r="G18" s="901"/>
      <c r="H18" s="901"/>
    </row>
    <row r="19" spans="1:8" x14ac:dyDescent="0.2">
      <c r="A19" s="904" t="s">
        <v>611</v>
      </c>
      <c r="B19" s="901"/>
      <c r="C19" s="901"/>
      <c r="D19" s="901"/>
      <c r="E19" s="901"/>
      <c r="F19" s="901"/>
      <c r="G19" s="901"/>
      <c r="H19" s="901"/>
    </row>
    <row r="20" spans="1:8" x14ac:dyDescent="0.2">
      <c r="A20" s="900"/>
      <c r="B20" s="901"/>
      <c r="C20" s="901"/>
      <c r="D20" s="901"/>
      <c r="E20" s="901"/>
      <c r="F20" s="901"/>
      <c r="G20" s="901"/>
      <c r="H20" s="901"/>
    </row>
    <row r="21" spans="1:8" x14ac:dyDescent="0.2">
      <c r="A21" s="905" t="s">
        <v>612</v>
      </c>
      <c r="B21" s="901"/>
      <c r="C21" s="901"/>
      <c r="D21" s="901"/>
      <c r="E21" s="901"/>
      <c r="F21" s="901"/>
      <c r="G21" s="901"/>
      <c r="H21" s="901"/>
    </row>
    <row r="22" spans="1:8" x14ac:dyDescent="0.2">
      <c r="A22" s="906"/>
      <c r="B22" s="906"/>
      <c r="C22" s="906"/>
      <c r="D22" s="906"/>
      <c r="E22" s="906"/>
      <c r="F22" s="906"/>
      <c r="G22" s="906"/>
      <c r="H22" s="906"/>
    </row>
    <row r="23" spans="1:8" x14ac:dyDescent="0.2">
      <c r="A23" s="907" t="s">
        <v>906</v>
      </c>
      <c r="B23" s="906"/>
      <c r="C23" s="906"/>
      <c r="D23" s="906"/>
      <c r="E23" s="906"/>
      <c r="F23" s="906"/>
      <c r="G23" s="906"/>
      <c r="H23" s="906"/>
    </row>
    <row r="24" spans="1:8" x14ac:dyDescent="0.2">
      <c r="A24" s="907" t="s">
        <v>907</v>
      </c>
      <c r="B24" s="906"/>
      <c r="C24" s="906"/>
      <c r="D24" s="906"/>
      <c r="E24" s="906"/>
      <c r="F24" s="906"/>
      <c r="G24" s="906"/>
      <c r="H24" s="906"/>
    </row>
    <row r="25" spans="1:8" x14ac:dyDescent="0.2">
      <c r="A25" s="907" t="s">
        <v>908</v>
      </c>
      <c r="B25" s="906"/>
      <c r="C25" s="906"/>
      <c r="D25" s="906"/>
      <c r="E25" s="906"/>
      <c r="F25" s="906"/>
      <c r="G25" s="906"/>
      <c r="H25" s="906"/>
    </row>
    <row r="26" spans="1:8" x14ac:dyDescent="0.2">
      <c r="A26" s="907" t="s">
        <v>909</v>
      </c>
      <c r="B26" s="906"/>
      <c r="C26" s="906"/>
      <c r="D26" s="906"/>
      <c r="E26" s="906"/>
      <c r="F26" s="906"/>
      <c r="G26" s="906"/>
      <c r="H26" s="906"/>
    </row>
    <row r="27" spans="1:8" x14ac:dyDescent="0.2">
      <c r="A27" s="906"/>
      <c r="B27" s="906"/>
      <c r="C27" s="906"/>
      <c r="D27" s="906"/>
      <c r="E27" s="906"/>
      <c r="F27" s="906"/>
      <c r="G27" s="906"/>
      <c r="H27" s="906"/>
    </row>
    <row r="28" spans="1:8" x14ac:dyDescent="0.2">
      <c r="A28" s="906"/>
      <c r="B28" s="906"/>
      <c r="C28" s="906"/>
      <c r="D28" s="906"/>
      <c r="E28" s="906"/>
      <c r="F28" s="906"/>
      <c r="G28" s="906"/>
      <c r="H28" s="906"/>
    </row>
    <row r="29" spans="1:8" x14ac:dyDescent="0.2">
      <c r="A29" s="907" t="s">
        <v>901</v>
      </c>
      <c r="B29" s="906"/>
      <c r="C29" s="906"/>
      <c r="D29" s="906"/>
      <c r="E29" s="906"/>
      <c r="F29" s="906"/>
      <c r="G29" s="906"/>
      <c r="H29" s="906"/>
    </row>
    <row r="30" spans="1:8" x14ac:dyDescent="0.2">
      <c r="A30" s="907" t="s">
        <v>902</v>
      </c>
      <c r="B30" s="906"/>
      <c r="C30" s="906"/>
      <c r="D30" s="906"/>
      <c r="E30" s="906"/>
      <c r="F30" s="906"/>
      <c r="G30" s="906"/>
      <c r="H30" s="906"/>
    </row>
    <row r="31" spans="1:8" x14ac:dyDescent="0.2">
      <c r="A31" s="907" t="s">
        <v>903</v>
      </c>
      <c r="B31" s="906"/>
      <c r="C31" s="906"/>
      <c r="D31" s="906"/>
      <c r="E31" s="906"/>
      <c r="F31" s="906"/>
      <c r="G31" s="906"/>
      <c r="H31" s="906"/>
    </row>
    <row r="32" spans="1:8" x14ac:dyDescent="0.2">
      <c r="A32" s="907" t="s">
        <v>904</v>
      </c>
      <c r="B32" s="906"/>
      <c r="C32" s="906"/>
      <c r="D32" s="906"/>
      <c r="E32" s="906"/>
      <c r="F32" s="906"/>
      <c r="G32" s="906"/>
      <c r="H32" s="906"/>
    </row>
    <row r="33" spans="1:8" x14ac:dyDescent="0.2">
      <c r="A33" s="907" t="s">
        <v>905</v>
      </c>
      <c r="B33" s="906"/>
      <c r="C33" s="906"/>
      <c r="D33" s="906"/>
      <c r="E33" s="906"/>
      <c r="F33" s="906"/>
      <c r="G33" s="906"/>
      <c r="H33" s="906"/>
    </row>
    <row r="34" spans="1:8" x14ac:dyDescent="0.2">
      <c r="A34" s="906"/>
      <c r="B34" s="906"/>
      <c r="C34" s="906"/>
      <c r="D34" s="906"/>
      <c r="E34" s="906"/>
      <c r="F34" s="906"/>
      <c r="G34" s="906"/>
      <c r="H34" s="906"/>
    </row>
    <row r="35" spans="1:8" x14ac:dyDescent="0.2">
      <c r="A35" s="907" t="s">
        <v>897</v>
      </c>
      <c r="B35" s="906"/>
      <c r="C35" s="906"/>
      <c r="D35" s="906"/>
      <c r="E35" s="906"/>
      <c r="F35" s="906"/>
      <c r="G35" s="906"/>
      <c r="H35" s="906"/>
    </row>
    <row r="36" spans="1:8" x14ac:dyDescent="0.2">
      <c r="A36" s="907" t="s">
        <v>898</v>
      </c>
      <c r="B36" s="906"/>
      <c r="C36" s="906"/>
      <c r="D36" s="906"/>
      <c r="E36" s="906"/>
      <c r="F36" s="906"/>
      <c r="G36" s="906"/>
      <c r="H36" s="906"/>
    </row>
    <row r="37" spans="1:8" x14ac:dyDescent="0.2">
      <c r="A37" s="907" t="s">
        <v>899</v>
      </c>
      <c r="B37" s="906"/>
      <c r="C37" s="906"/>
      <c r="D37" s="906"/>
      <c r="E37" s="906"/>
      <c r="F37" s="906"/>
      <c r="G37" s="906"/>
      <c r="H37" s="906"/>
    </row>
    <row r="38" spans="1:8" x14ac:dyDescent="0.2">
      <c r="A38" s="907" t="s">
        <v>900</v>
      </c>
      <c r="B38" s="906"/>
      <c r="C38" s="906"/>
      <c r="D38" s="906"/>
      <c r="E38" s="906"/>
      <c r="F38" s="906"/>
      <c r="G38" s="906"/>
      <c r="H38" s="906"/>
    </row>
    <row r="39" spans="1:8" x14ac:dyDescent="0.2">
      <c r="A39" s="906"/>
      <c r="B39" s="906"/>
      <c r="C39" s="906"/>
      <c r="D39" s="906"/>
      <c r="E39" s="906"/>
      <c r="F39" s="906"/>
      <c r="G39" s="906"/>
      <c r="H39" s="906"/>
    </row>
    <row r="40" spans="1:8" x14ac:dyDescent="0.2">
      <c r="A40" s="907" t="s">
        <v>891</v>
      </c>
      <c r="B40" s="906"/>
      <c r="C40" s="906"/>
      <c r="D40" s="906"/>
      <c r="E40" s="906"/>
      <c r="F40" s="906"/>
      <c r="G40" s="906"/>
      <c r="H40" s="906"/>
    </row>
    <row r="41" spans="1:8" x14ac:dyDescent="0.2">
      <c r="A41" s="907" t="s">
        <v>892</v>
      </c>
      <c r="B41" s="906"/>
      <c r="C41" s="906"/>
      <c r="D41" s="906"/>
      <c r="E41" s="906"/>
      <c r="F41" s="906"/>
      <c r="G41" s="906"/>
      <c r="H41" s="906"/>
    </row>
    <row r="42" spans="1:8" x14ac:dyDescent="0.2">
      <c r="A42" s="907" t="s">
        <v>893</v>
      </c>
      <c r="B42" s="906"/>
      <c r="C42" s="906"/>
      <c r="D42" s="906"/>
      <c r="E42" s="906"/>
      <c r="F42" s="906"/>
      <c r="G42" s="906"/>
      <c r="H42" s="906"/>
    </row>
    <row r="43" spans="1:8" x14ac:dyDescent="0.2">
      <c r="A43" s="907" t="s">
        <v>894</v>
      </c>
      <c r="B43" s="906"/>
      <c r="C43" s="906"/>
      <c r="D43" s="906"/>
      <c r="E43" s="906"/>
      <c r="F43" s="906"/>
      <c r="G43" s="906"/>
      <c r="H43" s="906"/>
    </row>
    <row r="44" spans="1:8" x14ac:dyDescent="0.2">
      <c r="A44" s="907" t="s">
        <v>895</v>
      </c>
      <c r="B44" s="906"/>
      <c r="C44" s="906"/>
      <c r="D44" s="906"/>
      <c r="E44" s="906"/>
      <c r="F44" s="906"/>
      <c r="G44" s="906"/>
      <c r="H44" s="906"/>
    </row>
    <row r="45" spans="1:8" x14ac:dyDescent="0.2">
      <c r="A45" s="907" t="s">
        <v>896</v>
      </c>
      <c r="B45" s="906"/>
      <c r="C45" s="906"/>
      <c r="D45" s="906"/>
      <c r="E45" s="906"/>
      <c r="F45" s="906"/>
      <c r="G45" s="906"/>
      <c r="H45" s="906"/>
    </row>
    <row r="46" spans="1:8" x14ac:dyDescent="0.2">
      <c r="A46" s="906"/>
      <c r="B46" s="906"/>
      <c r="C46" s="906"/>
      <c r="D46" s="906"/>
      <c r="E46" s="906"/>
      <c r="F46" s="906"/>
      <c r="G46" s="906"/>
      <c r="H46" s="906"/>
    </row>
    <row r="47" spans="1:8" ht="15.75" x14ac:dyDescent="0.2">
      <c r="A47" s="908" t="s">
        <v>624</v>
      </c>
      <c r="B47" s="906"/>
      <c r="C47" s="906"/>
      <c r="D47" s="906"/>
      <c r="E47" s="906"/>
      <c r="F47" s="906"/>
      <c r="G47" s="906"/>
      <c r="H47" s="906"/>
    </row>
    <row r="48" spans="1:8" x14ac:dyDescent="0.2">
      <c r="A48" s="906"/>
      <c r="B48" s="906"/>
      <c r="C48" s="906"/>
      <c r="D48" s="906"/>
      <c r="E48" s="906"/>
      <c r="F48" s="906"/>
      <c r="G48" s="906"/>
      <c r="H48" s="906"/>
    </row>
    <row r="49" spans="1:8" x14ac:dyDescent="0.2">
      <c r="A49" s="907" t="s">
        <v>887</v>
      </c>
      <c r="B49" s="906"/>
      <c r="C49" s="906"/>
      <c r="D49" s="906"/>
      <c r="E49" s="906"/>
      <c r="F49" s="906"/>
      <c r="G49" s="906"/>
      <c r="H49" s="906"/>
    </row>
    <row r="50" spans="1:8" x14ac:dyDescent="0.2">
      <c r="A50" s="907" t="s">
        <v>888</v>
      </c>
      <c r="B50" s="906"/>
      <c r="C50" s="906"/>
      <c r="D50" s="906"/>
      <c r="E50" s="906"/>
      <c r="F50" s="906"/>
      <c r="G50" s="906"/>
      <c r="H50" s="906"/>
    </row>
    <row r="51" spans="1:8" x14ac:dyDescent="0.2">
      <c r="A51" s="907" t="s">
        <v>889</v>
      </c>
      <c r="B51" s="906"/>
      <c r="C51" s="906"/>
      <c r="D51" s="906"/>
      <c r="E51" s="906"/>
      <c r="F51" s="906"/>
      <c r="G51" s="906"/>
      <c r="H51" s="906"/>
    </row>
    <row r="52" spans="1:8" x14ac:dyDescent="0.2">
      <c r="A52" s="907" t="s">
        <v>890</v>
      </c>
      <c r="B52" s="906"/>
      <c r="C52" s="906"/>
      <c r="D52" s="906"/>
      <c r="E52" s="906"/>
      <c r="F52" s="906"/>
      <c r="G52" s="906"/>
      <c r="H52" s="906"/>
    </row>
    <row r="53" spans="1:8" x14ac:dyDescent="0.2">
      <c r="A53" s="906"/>
      <c r="B53" s="906"/>
      <c r="C53" s="906"/>
      <c r="D53" s="906"/>
      <c r="E53" s="906"/>
      <c r="F53" s="906"/>
      <c r="G53" s="906"/>
      <c r="H53" s="906"/>
    </row>
    <row r="54" spans="1:8" x14ac:dyDescent="0.2">
      <c r="A54" s="907" t="s">
        <v>625</v>
      </c>
      <c r="B54" s="906"/>
      <c r="C54" s="906"/>
      <c r="D54" s="906"/>
      <c r="E54" s="906"/>
      <c r="F54" s="906"/>
      <c r="G54" s="906"/>
      <c r="H54" s="906"/>
    </row>
    <row r="55" spans="1:8" x14ac:dyDescent="0.2">
      <c r="A55" s="906"/>
      <c r="B55" s="906"/>
      <c r="C55" s="906"/>
      <c r="D55" s="906"/>
      <c r="E55" s="906"/>
      <c r="F55" s="906"/>
      <c r="G55" s="906"/>
      <c r="H55" s="906"/>
    </row>
    <row r="56" spans="1:8" ht="15.75" x14ac:dyDescent="0.2">
      <c r="A56" s="908" t="s">
        <v>626</v>
      </c>
      <c r="B56" s="906"/>
      <c r="C56" s="906"/>
      <c r="D56" s="906"/>
      <c r="E56" s="906"/>
      <c r="F56" s="906"/>
      <c r="G56" s="906"/>
      <c r="H56" s="906"/>
    </row>
    <row r="57" spans="1:8" x14ac:dyDescent="0.2">
      <c r="A57" s="906"/>
      <c r="B57" s="906"/>
      <c r="C57" s="906"/>
      <c r="D57" s="906"/>
      <c r="E57" s="906"/>
      <c r="F57" s="906"/>
      <c r="G57" s="906"/>
      <c r="H57" s="906"/>
    </row>
    <row r="58" spans="1:8" x14ac:dyDescent="0.2">
      <c r="A58" s="907" t="s">
        <v>885</v>
      </c>
      <c r="B58" s="906"/>
      <c r="C58" s="906"/>
      <c r="D58" s="906"/>
      <c r="E58" s="906"/>
      <c r="F58" s="906"/>
      <c r="G58" s="906"/>
      <c r="H58" s="906"/>
    </row>
    <row r="59" spans="1:8" x14ac:dyDescent="0.2">
      <c r="A59" s="907" t="s">
        <v>886</v>
      </c>
      <c r="B59" s="906"/>
      <c r="C59" s="906"/>
      <c r="D59" s="906"/>
      <c r="E59" s="906"/>
      <c r="F59" s="906"/>
      <c r="G59" s="906"/>
      <c r="H59" s="906"/>
    </row>
    <row r="60" spans="1:8" x14ac:dyDescent="0.2">
      <c r="A60" s="906"/>
      <c r="B60" s="906"/>
      <c r="C60" s="906"/>
      <c r="D60" s="906"/>
      <c r="E60" s="906"/>
      <c r="F60" s="906"/>
      <c r="G60" s="906"/>
      <c r="H60" s="906"/>
    </row>
    <row r="61" spans="1:8" ht="15.75" x14ac:dyDescent="0.2">
      <c r="A61" s="908" t="s">
        <v>627</v>
      </c>
      <c r="B61" s="906"/>
      <c r="C61" s="906"/>
      <c r="D61" s="906"/>
      <c r="E61" s="906"/>
      <c r="F61" s="906"/>
      <c r="G61" s="906"/>
      <c r="H61" s="906"/>
    </row>
    <row r="62" spans="1:8" x14ac:dyDescent="0.2">
      <c r="A62" s="906"/>
      <c r="B62" s="906"/>
      <c r="C62" s="906"/>
      <c r="D62" s="906"/>
      <c r="E62" s="906"/>
      <c r="F62" s="906"/>
      <c r="G62" s="906"/>
      <c r="H62" s="906"/>
    </row>
    <row r="63" spans="1:8" x14ac:dyDescent="0.2">
      <c r="A63" s="907" t="s">
        <v>883</v>
      </c>
      <c r="B63" s="906"/>
      <c r="C63" s="906"/>
      <c r="D63" s="906"/>
      <c r="E63" s="906"/>
      <c r="F63" s="906"/>
      <c r="G63" s="906"/>
      <c r="H63" s="906"/>
    </row>
    <row r="64" spans="1:8" x14ac:dyDescent="0.2">
      <c r="A64" s="907" t="s">
        <v>884</v>
      </c>
      <c r="B64" s="906"/>
      <c r="C64" s="906"/>
      <c r="D64" s="906"/>
      <c r="E64" s="906"/>
      <c r="F64" s="906"/>
      <c r="G64" s="906"/>
      <c r="H64" s="906"/>
    </row>
    <row r="65" spans="1:8" x14ac:dyDescent="0.2">
      <c r="A65" s="906"/>
      <c r="B65" s="906"/>
      <c r="C65" s="906"/>
      <c r="D65" s="906"/>
      <c r="E65" s="906"/>
      <c r="F65" s="906"/>
      <c r="G65" s="906"/>
      <c r="H65" s="906"/>
    </row>
    <row r="66" spans="1:8" x14ac:dyDescent="0.2">
      <c r="A66" s="907" t="s">
        <v>881</v>
      </c>
      <c r="B66" s="906"/>
      <c r="C66" s="906"/>
      <c r="D66" s="906"/>
      <c r="E66" s="906"/>
      <c r="F66" s="906"/>
      <c r="G66" s="906"/>
      <c r="H66" s="906"/>
    </row>
    <row r="67" spans="1:8" x14ac:dyDescent="0.2">
      <c r="A67" s="907" t="s">
        <v>882</v>
      </c>
      <c r="B67" s="906"/>
      <c r="C67" s="906"/>
      <c r="D67" s="906"/>
      <c r="E67" s="906"/>
      <c r="F67" s="906"/>
      <c r="G67" s="906"/>
      <c r="H67" s="906"/>
    </row>
    <row r="68" spans="1:8" x14ac:dyDescent="0.2">
      <c r="A68" s="906"/>
      <c r="B68" s="906"/>
      <c r="C68" s="906"/>
      <c r="D68" s="906"/>
      <c r="E68" s="906"/>
      <c r="F68" s="906"/>
      <c r="G68" s="906"/>
      <c r="H68" s="906"/>
    </row>
    <row r="69" spans="1:8" x14ac:dyDescent="0.2">
      <c r="A69" s="907" t="s">
        <v>879</v>
      </c>
      <c r="B69" s="906"/>
      <c r="C69" s="906"/>
      <c r="D69" s="906"/>
      <c r="E69" s="906"/>
      <c r="F69" s="906"/>
      <c r="G69" s="906"/>
      <c r="H69" s="906"/>
    </row>
    <row r="70" spans="1:8" x14ac:dyDescent="0.2">
      <c r="A70" s="907" t="s">
        <v>880</v>
      </c>
      <c r="B70" s="906"/>
      <c r="C70" s="906"/>
      <c r="D70" s="906"/>
      <c r="E70" s="906"/>
      <c r="F70" s="906"/>
      <c r="G70" s="906"/>
      <c r="H70" s="906"/>
    </row>
    <row r="71" spans="1:8" x14ac:dyDescent="0.2">
      <c r="A71" s="906"/>
      <c r="B71" s="906"/>
      <c r="C71" s="906"/>
      <c r="D71" s="906"/>
      <c r="E71" s="906"/>
      <c r="F71" s="906"/>
      <c r="G71" s="906"/>
      <c r="H71" s="906"/>
    </row>
    <row r="72" spans="1:8" x14ac:dyDescent="0.2">
      <c r="A72" s="907" t="s">
        <v>877</v>
      </c>
      <c r="B72" s="906"/>
      <c r="C72" s="906"/>
      <c r="D72" s="906"/>
      <c r="E72" s="906"/>
      <c r="F72" s="906"/>
      <c r="G72" s="906"/>
      <c r="H72" s="906"/>
    </row>
    <row r="73" spans="1:8" x14ac:dyDescent="0.2">
      <c r="A73" s="907" t="s">
        <v>878</v>
      </c>
      <c r="B73" s="906"/>
      <c r="C73" s="906"/>
      <c r="D73" s="906"/>
      <c r="E73" s="906"/>
      <c r="F73" s="906"/>
      <c r="G73" s="906"/>
      <c r="H73" s="906"/>
    </row>
    <row r="74" spans="1:8" x14ac:dyDescent="0.2">
      <c r="A74" s="906"/>
      <c r="B74" s="906"/>
      <c r="C74" s="906"/>
      <c r="D74" s="906"/>
      <c r="E74" s="906"/>
      <c r="F74" s="906"/>
      <c r="G74" s="906"/>
      <c r="H74" s="906"/>
    </row>
    <row r="75" spans="1:8" x14ac:dyDescent="0.2">
      <c r="A75" s="907" t="s">
        <v>875</v>
      </c>
      <c r="B75" s="906"/>
      <c r="C75" s="906"/>
      <c r="D75" s="906"/>
      <c r="E75" s="906"/>
      <c r="F75" s="906"/>
      <c r="G75" s="906"/>
      <c r="H75" s="906"/>
    </row>
    <row r="76" spans="1:8" x14ac:dyDescent="0.2">
      <c r="A76" s="907" t="s">
        <v>876</v>
      </c>
      <c r="B76" s="906"/>
      <c r="C76" s="906"/>
      <c r="D76" s="906"/>
      <c r="E76" s="906"/>
      <c r="F76" s="906"/>
      <c r="G76" s="906"/>
      <c r="H76" s="906"/>
    </row>
    <row r="77" spans="1:8" x14ac:dyDescent="0.2">
      <c r="A77" s="906"/>
      <c r="B77" s="906"/>
      <c r="C77" s="906"/>
      <c r="D77" s="906"/>
      <c r="E77" s="906"/>
      <c r="F77" s="906"/>
      <c r="G77" s="906"/>
      <c r="H77" s="906"/>
    </row>
    <row r="78" spans="1:8" x14ac:dyDescent="0.2">
      <c r="A78" s="907" t="s">
        <v>872</v>
      </c>
      <c r="B78" s="906"/>
      <c r="C78" s="906"/>
      <c r="D78" s="906"/>
      <c r="E78" s="906"/>
      <c r="F78" s="906"/>
      <c r="G78" s="906"/>
      <c r="H78" s="906"/>
    </row>
    <row r="79" spans="1:8" x14ac:dyDescent="0.2">
      <c r="A79" s="907" t="s">
        <v>873</v>
      </c>
      <c r="B79" s="906"/>
      <c r="C79" s="906"/>
      <c r="D79" s="906"/>
      <c r="E79" s="906"/>
      <c r="F79" s="906"/>
      <c r="G79" s="906"/>
      <c r="H79" s="906"/>
    </row>
    <row r="80" spans="1:8" x14ac:dyDescent="0.2">
      <c r="A80" s="907" t="s">
        <v>874</v>
      </c>
      <c r="B80" s="906"/>
      <c r="C80" s="906"/>
      <c r="D80" s="906"/>
      <c r="E80" s="906"/>
      <c r="F80" s="906"/>
      <c r="G80" s="906"/>
      <c r="H80" s="906"/>
    </row>
    <row r="81" spans="1:8" x14ac:dyDescent="0.2">
      <c r="A81" s="906"/>
      <c r="B81" s="906"/>
      <c r="C81" s="906"/>
      <c r="D81" s="906"/>
      <c r="E81" s="906"/>
      <c r="F81" s="906"/>
      <c r="G81" s="906"/>
      <c r="H81" s="906"/>
    </row>
    <row r="82" spans="1:8" x14ac:dyDescent="0.2">
      <c r="A82" s="907" t="s">
        <v>628</v>
      </c>
      <c r="B82" s="906"/>
      <c r="C82" s="906"/>
      <c r="D82" s="906"/>
      <c r="E82" s="906"/>
      <c r="F82" s="906"/>
      <c r="G82" s="906"/>
      <c r="H82" s="906"/>
    </row>
    <row r="83" spans="1:8" x14ac:dyDescent="0.2">
      <c r="A83" s="906"/>
      <c r="B83" s="906"/>
      <c r="C83" s="906"/>
      <c r="D83" s="906"/>
      <c r="E83" s="906"/>
      <c r="F83" s="906"/>
      <c r="G83" s="906"/>
      <c r="H83" s="906"/>
    </row>
    <row r="84" spans="1:8" x14ac:dyDescent="0.2">
      <c r="A84" s="907" t="s">
        <v>867</v>
      </c>
      <c r="B84" s="906"/>
      <c r="C84" s="906"/>
      <c r="D84" s="906"/>
      <c r="E84" s="906"/>
      <c r="F84" s="906"/>
      <c r="G84" s="906"/>
      <c r="H84" s="906"/>
    </row>
    <row r="85" spans="1:8" x14ac:dyDescent="0.2">
      <c r="A85" s="907" t="s">
        <v>868</v>
      </c>
      <c r="B85" s="906"/>
      <c r="C85" s="906"/>
      <c r="D85" s="906"/>
      <c r="E85" s="906"/>
      <c r="F85" s="906"/>
      <c r="G85" s="906"/>
      <c r="H85" s="906"/>
    </row>
    <row r="86" spans="1:8" x14ac:dyDescent="0.2">
      <c r="A86" s="907" t="s">
        <v>869</v>
      </c>
      <c r="B86" s="906"/>
      <c r="C86" s="906"/>
      <c r="D86" s="906"/>
      <c r="E86" s="906"/>
      <c r="F86" s="906"/>
      <c r="G86" s="906"/>
      <c r="H86" s="906"/>
    </row>
    <row r="87" spans="1:8" x14ac:dyDescent="0.2">
      <c r="A87" s="907" t="s">
        <v>870</v>
      </c>
      <c r="B87" s="906"/>
      <c r="C87" s="906"/>
      <c r="D87" s="906"/>
      <c r="E87" s="906"/>
      <c r="F87" s="906"/>
      <c r="G87" s="906"/>
      <c r="H87" s="906"/>
    </row>
    <row r="88" spans="1:8" x14ac:dyDescent="0.2">
      <c r="A88" s="907" t="s">
        <v>871</v>
      </c>
      <c r="B88" s="906"/>
      <c r="C88" s="906"/>
      <c r="D88" s="906"/>
      <c r="E88" s="906"/>
      <c r="F88" s="906"/>
      <c r="G88" s="906"/>
      <c r="H88" s="906"/>
    </row>
    <row r="89" spans="1:8" x14ac:dyDescent="0.2">
      <c r="A89" s="907" t="s">
        <v>754</v>
      </c>
      <c r="B89" s="906"/>
      <c r="C89" s="906"/>
      <c r="D89" s="906"/>
      <c r="E89" s="906"/>
      <c r="F89" s="906"/>
      <c r="G89" s="906"/>
      <c r="H89" s="906"/>
    </row>
    <row r="90" spans="1:8" x14ac:dyDescent="0.2">
      <c r="A90" s="906"/>
      <c r="B90" s="906"/>
      <c r="C90" s="906"/>
      <c r="D90" s="906"/>
      <c r="E90" s="906"/>
      <c r="F90" s="906"/>
      <c r="G90" s="906"/>
      <c r="H90" s="906"/>
    </row>
    <row r="91" spans="1:8" x14ac:dyDescent="0.2">
      <c r="A91" s="907" t="s">
        <v>860</v>
      </c>
      <c r="B91" s="906"/>
      <c r="C91" s="906"/>
      <c r="D91" s="906"/>
      <c r="E91" s="906"/>
      <c r="F91" s="906"/>
      <c r="G91" s="906"/>
      <c r="H91" s="906"/>
    </row>
    <row r="92" spans="1:8" x14ac:dyDescent="0.2">
      <c r="A92" s="907" t="s">
        <v>861</v>
      </c>
      <c r="B92" s="906"/>
      <c r="C92" s="906"/>
      <c r="D92" s="906"/>
      <c r="E92" s="906"/>
      <c r="F92" s="906"/>
      <c r="G92" s="906"/>
      <c r="H92" s="906"/>
    </row>
    <row r="93" spans="1:8" x14ac:dyDescent="0.2">
      <c r="A93" s="907" t="s">
        <v>862</v>
      </c>
      <c r="B93" s="906"/>
      <c r="C93" s="906"/>
      <c r="D93" s="906"/>
      <c r="E93" s="906"/>
      <c r="F93" s="906"/>
      <c r="G93" s="906"/>
      <c r="H93" s="906"/>
    </row>
    <row r="94" spans="1:8" x14ac:dyDescent="0.2">
      <c r="A94" s="907" t="s">
        <v>863</v>
      </c>
      <c r="B94" s="906"/>
      <c r="C94" s="906"/>
      <c r="D94" s="906"/>
      <c r="E94" s="906"/>
      <c r="F94" s="906"/>
      <c r="G94" s="906"/>
      <c r="H94" s="906"/>
    </row>
    <row r="95" spans="1:8" x14ac:dyDescent="0.2">
      <c r="A95" s="907" t="s">
        <v>864</v>
      </c>
      <c r="B95" s="906"/>
      <c r="C95" s="906"/>
      <c r="D95" s="906"/>
      <c r="E95" s="906"/>
      <c r="F95" s="906"/>
      <c r="G95" s="906"/>
      <c r="H95" s="906"/>
    </row>
    <row r="96" spans="1:8" x14ac:dyDescent="0.2">
      <c r="A96" s="907" t="s">
        <v>865</v>
      </c>
      <c r="B96" s="906"/>
      <c r="C96" s="906"/>
      <c r="D96" s="906"/>
      <c r="E96" s="906"/>
      <c r="F96" s="906"/>
      <c r="G96" s="906"/>
      <c r="H96" s="906"/>
    </row>
    <row r="97" spans="1:8" x14ac:dyDescent="0.2">
      <c r="A97" s="907" t="s">
        <v>866</v>
      </c>
      <c r="B97" s="906"/>
      <c r="C97" s="906"/>
      <c r="D97" s="906"/>
      <c r="E97" s="906"/>
      <c r="F97" s="906"/>
      <c r="G97" s="906"/>
      <c r="H97" s="906"/>
    </row>
    <row r="98" spans="1:8" x14ac:dyDescent="0.2">
      <c r="A98" s="906"/>
      <c r="B98" s="906"/>
      <c r="C98" s="906"/>
      <c r="D98" s="906"/>
      <c r="E98" s="906"/>
      <c r="F98" s="906"/>
      <c r="G98" s="906"/>
      <c r="H98" s="906"/>
    </row>
    <row r="99" spans="1:8" x14ac:dyDescent="0.2">
      <c r="A99" s="907" t="s">
        <v>858</v>
      </c>
      <c r="B99" s="906"/>
      <c r="C99" s="906"/>
      <c r="D99" s="906"/>
      <c r="E99" s="906"/>
      <c r="F99" s="906"/>
      <c r="G99" s="906"/>
      <c r="H99" s="906"/>
    </row>
    <row r="100" spans="1:8" x14ac:dyDescent="0.2">
      <c r="A100" s="907" t="s">
        <v>859</v>
      </c>
      <c r="B100" s="906"/>
      <c r="C100" s="906"/>
      <c r="D100" s="906"/>
      <c r="E100" s="906"/>
      <c r="F100" s="906"/>
      <c r="G100" s="906"/>
      <c r="H100" s="906"/>
    </row>
    <row r="101" spans="1:8" x14ac:dyDescent="0.2">
      <c r="A101" s="906"/>
      <c r="B101" s="906"/>
      <c r="C101" s="906"/>
      <c r="D101" s="906"/>
      <c r="E101" s="906"/>
      <c r="F101" s="906"/>
      <c r="G101" s="906"/>
      <c r="H101" s="906"/>
    </row>
    <row r="102" spans="1:8" ht="15.75" x14ac:dyDescent="0.2">
      <c r="A102" s="908" t="s">
        <v>629</v>
      </c>
      <c r="B102" s="906"/>
      <c r="C102" s="906"/>
      <c r="D102" s="906"/>
      <c r="E102" s="906"/>
      <c r="F102" s="906"/>
      <c r="G102" s="906"/>
      <c r="H102" s="906"/>
    </row>
    <row r="103" spans="1:8" x14ac:dyDescent="0.2">
      <c r="A103" s="906"/>
      <c r="B103" s="906"/>
      <c r="C103" s="906"/>
      <c r="D103" s="906"/>
      <c r="E103" s="906"/>
      <c r="F103" s="906"/>
      <c r="G103" s="906"/>
      <c r="H103" s="906"/>
    </row>
    <row r="104" spans="1:8" x14ac:dyDescent="0.2">
      <c r="A104" s="907" t="s">
        <v>849</v>
      </c>
      <c r="B104" s="906"/>
      <c r="C104" s="906"/>
      <c r="D104" s="906"/>
      <c r="E104" s="906"/>
      <c r="F104" s="906"/>
      <c r="G104" s="906"/>
      <c r="H104" s="906"/>
    </row>
    <row r="105" spans="1:8" x14ac:dyDescent="0.2">
      <c r="A105" s="907" t="s">
        <v>850</v>
      </c>
      <c r="B105" s="906"/>
      <c r="C105" s="906"/>
      <c r="D105" s="906"/>
      <c r="E105" s="906"/>
      <c r="F105" s="906"/>
      <c r="G105" s="906"/>
      <c r="H105" s="906"/>
    </row>
    <row r="106" spans="1:8" x14ac:dyDescent="0.2">
      <c r="A106" s="907" t="s">
        <v>851</v>
      </c>
      <c r="B106" s="906"/>
      <c r="C106" s="906"/>
      <c r="D106" s="906"/>
      <c r="E106" s="906"/>
      <c r="F106" s="906"/>
      <c r="G106" s="906"/>
      <c r="H106" s="906"/>
    </row>
    <row r="107" spans="1:8" x14ac:dyDescent="0.2">
      <c r="A107" s="907" t="s">
        <v>852</v>
      </c>
      <c r="B107" s="906"/>
      <c r="C107" s="906"/>
      <c r="D107" s="906"/>
      <c r="E107" s="906"/>
      <c r="F107" s="906"/>
      <c r="G107" s="906"/>
      <c r="H107" s="906"/>
    </row>
    <row r="108" spans="1:8" x14ac:dyDescent="0.2">
      <c r="A108" s="907" t="s">
        <v>853</v>
      </c>
      <c r="B108" s="906"/>
      <c r="C108" s="906"/>
      <c r="D108" s="906"/>
      <c r="E108" s="906"/>
      <c r="F108" s="906"/>
      <c r="G108" s="906"/>
      <c r="H108" s="906"/>
    </row>
    <row r="109" spans="1:8" x14ac:dyDescent="0.2">
      <c r="A109" s="907" t="s">
        <v>854</v>
      </c>
      <c r="B109" s="906"/>
      <c r="C109" s="906"/>
      <c r="D109" s="906"/>
      <c r="E109" s="906"/>
      <c r="F109" s="906"/>
      <c r="G109" s="906"/>
      <c r="H109" s="906"/>
    </row>
    <row r="110" spans="1:8" x14ac:dyDescent="0.2">
      <c r="A110" s="907" t="s">
        <v>855</v>
      </c>
      <c r="B110" s="906"/>
      <c r="C110" s="906"/>
      <c r="D110" s="906"/>
      <c r="E110" s="906"/>
      <c r="F110" s="906"/>
      <c r="G110" s="906"/>
      <c r="H110" s="906"/>
    </row>
    <row r="111" spans="1:8" x14ac:dyDescent="0.2">
      <c r="A111" s="907" t="s">
        <v>856</v>
      </c>
      <c r="B111" s="906"/>
      <c r="C111" s="906"/>
      <c r="D111" s="906"/>
      <c r="E111" s="906"/>
      <c r="F111" s="906"/>
      <c r="G111" s="906"/>
      <c r="H111" s="906"/>
    </row>
    <row r="112" spans="1:8" x14ac:dyDescent="0.2">
      <c r="A112" s="907" t="s">
        <v>857</v>
      </c>
      <c r="B112" s="906"/>
      <c r="C112" s="906"/>
      <c r="D112" s="906"/>
      <c r="E112" s="906"/>
      <c r="F112" s="906"/>
      <c r="G112" s="906"/>
      <c r="H112" s="906"/>
    </row>
    <row r="113" spans="1:8" x14ac:dyDescent="0.2">
      <c r="A113" s="906"/>
      <c r="B113" s="906"/>
      <c r="C113" s="906"/>
      <c r="D113" s="906"/>
      <c r="E113" s="906"/>
      <c r="F113" s="906"/>
      <c r="G113" s="906"/>
      <c r="H113" s="906"/>
    </row>
    <row r="114" spans="1:8" ht="15.75" x14ac:dyDescent="0.2">
      <c r="A114" s="923" t="s">
        <v>630</v>
      </c>
      <c r="B114" s="923"/>
      <c r="C114" s="923"/>
      <c r="D114" s="923"/>
      <c r="E114" s="923"/>
      <c r="F114" s="923"/>
      <c r="G114" s="923"/>
      <c r="H114" s="923"/>
    </row>
    <row r="115" spans="1:8" x14ac:dyDescent="0.2">
      <c r="A115" s="919" t="s">
        <v>631</v>
      </c>
      <c r="B115" s="919"/>
      <c r="C115" s="919"/>
      <c r="D115" s="919"/>
      <c r="E115" s="919"/>
      <c r="F115" s="919"/>
      <c r="G115" s="919"/>
      <c r="H115" s="919"/>
    </row>
    <row r="116" spans="1:8" x14ac:dyDescent="0.2">
      <c r="A116" s="924"/>
      <c r="B116" s="924"/>
      <c r="C116" s="924"/>
      <c r="D116" s="924"/>
      <c r="E116" s="924"/>
      <c r="F116" s="924"/>
      <c r="G116" s="924"/>
      <c r="H116" s="924"/>
    </row>
    <row r="117" spans="1:8" x14ac:dyDescent="0.2">
      <c r="A117" s="919" t="s">
        <v>847</v>
      </c>
      <c r="B117" s="919"/>
      <c r="C117" s="919"/>
      <c r="D117" s="919"/>
      <c r="E117" s="919"/>
      <c r="F117" s="919"/>
      <c r="G117" s="919"/>
      <c r="H117" s="919"/>
    </row>
    <row r="118" spans="1:8" x14ac:dyDescent="0.2">
      <c r="A118" s="907" t="s">
        <v>848</v>
      </c>
      <c r="B118" s="907"/>
      <c r="C118" s="907"/>
      <c r="D118" s="907"/>
      <c r="E118" s="907"/>
      <c r="F118" s="907"/>
      <c r="G118" s="907"/>
      <c r="H118" s="907"/>
    </row>
    <row r="119" spans="1:8" x14ac:dyDescent="0.2">
      <c r="A119" s="924"/>
      <c r="B119" s="924"/>
      <c r="C119" s="924"/>
      <c r="D119" s="924"/>
      <c r="E119" s="924"/>
      <c r="F119" s="924"/>
      <c r="G119" s="924"/>
      <c r="H119" s="924"/>
    </row>
    <row r="120" spans="1:8" x14ac:dyDescent="0.2">
      <c r="A120" s="919" t="s">
        <v>840</v>
      </c>
      <c r="B120" s="919"/>
      <c r="C120" s="919"/>
      <c r="D120" s="919"/>
      <c r="E120" s="919"/>
      <c r="F120" s="919"/>
      <c r="G120" s="919"/>
      <c r="H120" s="919"/>
    </row>
    <row r="121" spans="1:8" x14ac:dyDescent="0.2">
      <c r="A121" s="907" t="s">
        <v>841</v>
      </c>
      <c r="B121" s="907"/>
      <c r="C121" s="907"/>
      <c r="D121" s="907"/>
      <c r="E121" s="907"/>
      <c r="F121" s="907"/>
      <c r="G121" s="907"/>
      <c r="H121" s="907"/>
    </row>
    <row r="122" spans="1:8" x14ac:dyDescent="0.2">
      <c r="A122" s="907" t="s">
        <v>842</v>
      </c>
      <c r="B122" s="907"/>
      <c r="C122" s="907"/>
      <c r="D122" s="907"/>
      <c r="E122" s="907"/>
      <c r="F122" s="907"/>
      <c r="G122" s="907"/>
      <c r="H122" s="907"/>
    </row>
    <row r="123" spans="1:8" x14ac:dyDescent="0.2">
      <c r="A123" s="907" t="s">
        <v>843</v>
      </c>
      <c r="B123" s="907"/>
      <c r="C123" s="907"/>
      <c r="D123" s="907"/>
      <c r="E123" s="907"/>
      <c r="F123" s="907"/>
      <c r="G123" s="907"/>
      <c r="H123" s="907"/>
    </row>
    <row r="124" spans="1:8" x14ac:dyDescent="0.2">
      <c r="A124" s="907" t="s">
        <v>844</v>
      </c>
      <c r="B124" s="907"/>
      <c r="C124" s="907"/>
      <c r="D124" s="907"/>
      <c r="E124" s="907"/>
      <c r="F124" s="907"/>
      <c r="G124" s="907"/>
      <c r="H124" s="907"/>
    </row>
    <row r="125" spans="1:8" x14ac:dyDescent="0.2">
      <c r="A125" s="907" t="s">
        <v>845</v>
      </c>
      <c r="B125" s="907"/>
      <c r="C125" s="907"/>
      <c r="D125" s="907"/>
      <c r="E125" s="907"/>
      <c r="F125" s="907"/>
      <c r="G125" s="907"/>
      <c r="H125" s="907"/>
    </row>
    <row r="126" spans="1:8" x14ac:dyDescent="0.2">
      <c r="A126" s="907" t="s">
        <v>846</v>
      </c>
      <c r="B126" s="907"/>
      <c r="C126" s="907"/>
      <c r="D126" s="907"/>
      <c r="E126" s="907"/>
      <c r="F126" s="907"/>
      <c r="G126" s="907"/>
      <c r="H126" s="907"/>
    </row>
    <row r="127" spans="1:8" x14ac:dyDescent="0.2">
      <c r="A127" s="925"/>
      <c r="B127" s="925"/>
      <c r="C127" s="925"/>
      <c r="D127" s="925"/>
      <c r="E127" s="925"/>
      <c r="F127" s="925"/>
      <c r="G127" s="925"/>
      <c r="H127" s="925"/>
    </row>
    <row r="128" spans="1:8" x14ac:dyDescent="0.2">
      <c r="A128" s="909"/>
      <c r="B128" s="920" t="s">
        <v>632</v>
      </c>
      <c r="C128" s="921"/>
      <c r="D128" s="920" t="s">
        <v>633</v>
      </c>
      <c r="E128" s="922"/>
      <c r="F128" s="921"/>
      <c r="G128" s="920" t="s">
        <v>634</v>
      </c>
      <c r="H128" s="921"/>
    </row>
    <row r="129" spans="1:8" x14ac:dyDescent="0.2">
      <c r="A129" s="909" t="s">
        <v>635</v>
      </c>
      <c r="B129" s="909" t="s">
        <v>229</v>
      </c>
      <c r="C129" s="909" t="s">
        <v>636</v>
      </c>
      <c r="D129" s="909" t="s">
        <v>229</v>
      </c>
      <c r="E129" s="909" t="s">
        <v>637</v>
      </c>
      <c r="F129" s="909" t="s">
        <v>638</v>
      </c>
      <c r="G129" s="909" t="s">
        <v>229</v>
      </c>
      <c r="H129" s="909" t="s">
        <v>639</v>
      </c>
    </row>
    <row r="130" spans="1:8" x14ac:dyDescent="0.2">
      <c r="A130" s="909" t="s">
        <v>640</v>
      </c>
      <c r="B130" s="909">
        <v>1189</v>
      </c>
      <c r="C130" s="910">
        <v>0.38</v>
      </c>
      <c r="D130" s="909">
        <v>315</v>
      </c>
      <c r="E130" s="910">
        <v>0.41</v>
      </c>
      <c r="F130" s="910">
        <v>0.26</v>
      </c>
      <c r="G130" s="909">
        <v>555</v>
      </c>
      <c r="H130" s="910">
        <v>0.39</v>
      </c>
    </row>
    <row r="131" spans="1:8" x14ac:dyDescent="0.2">
      <c r="A131" s="909" t="s">
        <v>641</v>
      </c>
      <c r="B131" s="909">
        <v>1355</v>
      </c>
      <c r="C131" s="910">
        <v>0.43</v>
      </c>
      <c r="D131" s="909">
        <v>364</v>
      </c>
      <c r="E131" s="910">
        <v>0.47</v>
      </c>
      <c r="F131" s="910">
        <v>0.27</v>
      </c>
      <c r="G131" s="909">
        <v>644</v>
      </c>
      <c r="H131" s="910">
        <v>0.45</v>
      </c>
    </row>
    <row r="132" spans="1:8" x14ac:dyDescent="0.2">
      <c r="A132" s="909" t="s">
        <v>642</v>
      </c>
      <c r="B132" s="909">
        <v>53</v>
      </c>
      <c r="C132" s="910">
        <v>0.02</v>
      </c>
      <c r="D132" s="909">
        <v>4</v>
      </c>
      <c r="E132" s="910">
        <v>0.01</v>
      </c>
      <c r="F132" s="910">
        <v>0.08</v>
      </c>
      <c r="G132" s="909">
        <v>7</v>
      </c>
      <c r="H132" s="910">
        <v>0</v>
      </c>
    </row>
    <row r="133" spans="1:8" x14ac:dyDescent="0.2">
      <c r="A133" s="909" t="s">
        <v>643</v>
      </c>
      <c r="B133" s="909">
        <v>545</v>
      </c>
      <c r="C133" s="910">
        <v>0.17</v>
      </c>
      <c r="D133" s="909">
        <v>84</v>
      </c>
      <c r="E133" s="910">
        <v>0.11</v>
      </c>
      <c r="F133" s="910">
        <v>0.15</v>
      </c>
      <c r="G133" s="909">
        <v>214</v>
      </c>
      <c r="H133" s="910">
        <v>0.15</v>
      </c>
    </row>
    <row r="134" spans="1:8" x14ac:dyDescent="0.2">
      <c r="A134" s="909" t="s">
        <v>151</v>
      </c>
      <c r="B134" s="911">
        <v>3142</v>
      </c>
      <c r="C134" s="909"/>
      <c r="D134" s="909">
        <v>767</v>
      </c>
      <c r="E134" s="909"/>
      <c r="F134" s="909"/>
      <c r="G134" s="909">
        <v>1420</v>
      </c>
      <c r="H134" s="909"/>
    </row>
    <row r="135" spans="1:8" x14ac:dyDescent="0.2">
      <c r="A135" s="918"/>
      <c r="B135" s="918"/>
      <c r="C135" s="918"/>
      <c r="D135" s="918"/>
      <c r="E135" s="918"/>
      <c r="F135" s="918"/>
      <c r="G135" s="918"/>
      <c r="H135" s="918"/>
    </row>
    <row r="136" spans="1:8" x14ac:dyDescent="0.2">
      <c r="A136" s="919" t="s">
        <v>836</v>
      </c>
      <c r="B136" s="919"/>
      <c r="C136" s="919"/>
      <c r="D136" s="919"/>
      <c r="E136" s="919"/>
      <c r="F136" s="919"/>
      <c r="G136" s="919"/>
      <c r="H136" s="919"/>
    </row>
    <row r="137" spans="1:8" x14ac:dyDescent="0.2">
      <c r="A137" s="907" t="s">
        <v>837</v>
      </c>
      <c r="B137" s="907"/>
      <c r="C137" s="907"/>
      <c r="D137" s="907"/>
      <c r="E137" s="907"/>
      <c r="F137" s="907"/>
      <c r="G137" s="907"/>
      <c r="H137" s="907"/>
    </row>
    <row r="138" spans="1:8" x14ac:dyDescent="0.2">
      <c r="A138" s="907" t="s">
        <v>838</v>
      </c>
      <c r="B138" s="907"/>
      <c r="C138" s="907"/>
      <c r="D138" s="907"/>
      <c r="E138" s="907"/>
      <c r="F138" s="907"/>
      <c r="G138" s="907"/>
      <c r="H138" s="907"/>
    </row>
    <row r="139" spans="1:8" x14ac:dyDescent="0.2">
      <c r="A139" s="907" t="s">
        <v>839</v>
      </c>
      <c r="B139" s="907"/>
      <c r="C139" s="907"/>
      <c r="D139" s="907"/>
      <c r="E139" s="907"/>
      <c r="F139" s="907"/>
      <c r="G139" s="907"/>
      <c r="H139" s="907"/>
    </row>
    <row r="140" spans="1:8" x14ac:dyDescent="0.2">
      <c r="A140" s="906"/>
      <c r="B140" s="906"/>
      <c r="C140" s="906"/>
      <c r="D140" s="906"/>
      <c r="E140" s="906"/>
      <c r="F140" s="906"/>
      <c r="G140" s="906"/>
      <c r="H140" s="906"/>
    </row>
    <row r="141" spans="1:8" ht="15.75" x14ac:dyDescent="0.2">
      <c r="A141" s="908" t="s">
        <v>644</v>
      </c>
      <c r="B141" s="906"/>
      <c r="C141" s="906"/>
      <c r="D141" s="906"/>
      <c r="E141" s="906"/>
      <c r="F141" s="906"/>
      <c r="G141" s="906"/>
      <c r="H141" s="906"/>
    </row>
    <row r="142" spans="1:8" x14ac:dyDescent="0.2">
      <c r="A142" s="906"/>
      <c r="B142" s="906"/>
      <c r="C142" s="906"/>
      <c r="D142" s="906"/>
      <c r="E142" s="906"/>
      <c r="F142" s="906"/>
      <c r="G142" s="906"/>
      <c r="H142" s="906"/>
    </row>
    <row r="143" spans="1:8" x14ac:dyDescent="0.2">
      <c r="A143" s="907" t="s">
        <v>834</v>
      </c>
      <c r="B143" s="906"/>
      <c r="C143" s="906"/>
      <c r="D143" s="906"/>
      <c r="E143" s="906"/>
      <c r="F143" s="906"/>
      <c r="G143" s="906"/>
      <c r="H143" s="906"/>
    </row>
    <row r="144" spans="1:8" x14ac:dyDescent="0.2">
      <c r="A144" s="907" t="s">
        <v>835</v>
      </c>
      <c r="B144" s="906"/>
      <c r="C144" s="906"/>
      <c r="D144" s="906"/>
      <c r="E144" s="906"/>
      <c r="F144" s="906"/>
      <c r="G144" s="906"/>
      <c r="H144" s="906"/>
    </row>
    <row r="145" spans="1:8" x14ac:dyDescent="0.2">
      <c r="A145" s="906"/>
      <c r="B145" s="906"/>
      <c r="C145" s="906"/>
      <c r="D145" s="906"/>
      <c r="E145" s="906"/>
      <c r="F145" s="906"/>
      <c r="G145" s="906"/>
      <c r="H145" s="906"/>
    </row>
    <row r="146" spans="1:8" x14ac:dyDescent="0.2">
      <c r="A146" s="907" t="s">
        <v>831</v>
      </c>
      <c r="B146" s="906"/>
      <c r="C146" s="906"/>
      <c r="D146" s="906"/>
      <c r="E146" s="906"/>
      <c r="F146" s="906"/>
      <c r="G146" s="906"/>
      <c r="H146" s="906"/>
    </row>
    <row r="147" spans="1:8" x14ac:dyDescent="0.2">
      <c r="A147" s="907" t="s">
        <v>832</v>
      </c>
      <c r="B147" s="906"/>
      <c r="C147" s="906"/>
      <c r="D147" s="906"/>
      <c r="E147" s="906"/>
      <c r="F147" s="906"/>
      <c r="G147" s="906"/>
      <c r="H147" s="906"/>
    </row>
    <row r="148" spans="1:8" x14ac:dyDescent="0.2">
      <c r="A148" s="907" t="s">
        <v>833</v>
      </c>
      <c r="B148" s="906"/>
      <c r="C148" s="906"/>
      <c r="D148" s="906"/>
      <c r="E148" s="906"/>
      <c r="F148" s="906"/>
      <c r="G148" s="906"/>
      <c r="H148" s="906"/>
    </row>
    <row r="149" spans="1:8" x14ac:dyDescent="0.2">
      <c r="A149" s="906"/>
      <c r="B149" s="906"/>
      <c r="C149" s="906"/>
      <c r="D149" s="906"/>
      <c r="E149" s="906"/>
      <c r="F149" s="906"/>
      <c r="G149" s="906"/>
      <c r="H149" s="906"/>
    </row>
    <row r="150" spans="1:8" x14ac:dyDescent="0.2">
      <c r="A150" s="907" t="s">
        <v>828</v>
      </c>
      <c r="B150" s="906"/>
      <c r="C150" s="906"/>
      <c r="D150" s="906"/>
      <c r="E150" s="906"/>
      <c r="F150" s="906"/>
      <c r="G150" s="906"/>
      <c r="H150" s="906"/>
    </row>
    <row r="151" spans="1:8" x14ac:dyDescent="0.2">
      <c r="A151" s="907" t="s">
        <v>829</v>
      </c>
      <c r="B151" s="906"/>
      <c r="C151" s="906"/>
      <c r="D151" s="906"/>
      <c r="E151" s="906"/>
      <c r="F151" s="906"/>
      <c r="G151" s="906"/>
      <c r="H151" s="906"/>
    </row>
    <row r="152" spans="1:8" x14ac:dyDescent="0.2">
      <c r="A152" s="907" t="s">
        <v>830</v>
      </c>
      <c r="B152" s="906"/>
      <c r="C152" s="906"/>
      <c r="D152" s="906"/>
      <c r="E152" s="906"/>
      <c r="F152" s="906"/>
      <c r="G152" s="906"/>
      <c r="H152" s="906"/>
    </row>
    <row r="153" spans="1:8" x14ac:dyDescent="0.2">
      <c r="A153" s="906"/>
      <c r="B153" s="906"/>
      <c r="C153" s="906"/>
      <c r="D153" s="906"/>
      <c r="E153" s="906"/>
      <c r="F153" s="906"/>
      <c r="G153" s="906"/>
      <c r="H153" s="906"/>
    </row>
    <row r="154" spans="1:8" x14ac:dyDescent="0.2">
      <c r="A154" s="907" t="s">
        <v>825</v>
      </c>
      <c r="B154" s="906"/>
      <c r="C154" s="906"/>
      <c r="D154" s="906"/>
      <c r="E154" s="906"/>
      <c r="F154" s="906"/>
      <c r="G154" s="906"/>
      <c r="H154" s="906"/>
    </row>
    <row r="155" spans="1:8" x14ac:dyDescent="0.2">
      <c r="A155" s="907" t="s">
        <v>826</v>
      </c>
      <c r="B155" s="906"/>
      <c r="C155" s="906"/>
      <c r="D155" s="906"/>
      <c r="E155" s="906"/>
      <c r="F155" s="906"/>
      <c r="G155" s="906"/>
      <c r="H155" s="906"/>
    </row>
    <row r="156" spans="1:8" x14ac:dyDescent="0.2">
      <c r="A156" s="907" t="s">
        <v>827</v>
      </c>
      <c r="B156" s="906"/>
      <c r="C156" s="906"/>
      <c r="D156" s="906"/>
      <c r="E156" s="906"/>
      <c r="F156" s="906"/>
      <c r="G156" s="906"/>
      <c r="H156" s="906"/>
    </row>
    <row r="157" spans="1:8" x14ac:dyDescent="0.2">
      <c r="A157" s="906"/>
      <c r="B157" s="906"/>
      <c r="C157" s="906"/>
      <c r="D157" s="906"/>
      <c r="E157" s="906"/>
      <c r="F157" s="906"/>
      <c r="G157" s="906"/>
      <c r="H157" s="906"/>
    </row>
    <row r="158" spans="1:8" x14ac:dyDescent="0.2">
      <c r="A158" s="907" t="s">
        <v>823</v>
      </c>
      <c r="B158" s="906"/>
      <c r="C158" s="906"/>
      <c r="D158" s="906"/>
      <c r="E158" s="906"/>
      <c r="F158" s="906"/>
      <c r="G158" s="906"/>
      <c r="H158" s="906"/>
    </row>
    <row r="159" spans="1:8" x14ac:dyDescent="0.2">
      <c r="A159" s="907" t="s">
        <v>824</v>
      </c>
      <c r="B159" s="906"/>
      <c r="C159" s="906"/>
      <c r="D159" s="906"/>
      <c r="E159" s="906"/>
      <c r="F159" s="906"/>
      <c r="G159" s="906"/>
      <c r="H159" s="906"/>
    </row>
    <row r="160" spans="1:8" x14ac:dyDescent="0.2">
      <c r="A160" s="906"/>
      <c r="B160" s="906"/>
      <c r="C160" s="906"/>
      <c r="D160" s="906"/>
      <c r="E160" s="906"/>
      <c r="F160" s="906"/>
      <c r="G160" s="906"/>
      <c r="H160" s="906"/>
    </row>
    <row r="161" spans="1:8" ht="15.75" x14ac:dyDescent="0.2">
      <c r="A161" s="908" t="s">
        <v>645</v>
      </c>
      <c r="B161" s="906"/>
      <c r="C161" s="906"/>
      <c r="D161" s="906"/>
      <c r="E161" s="906"/>
      <c r="F161" s="906"/>
      <c r="G161" s="906"/>
      <c r="H161" s="906"/>
    </row>
    <row r="162" spans="1:8" x14ac:dyDescent="0.2">
      <c r="A162" s="906"/>
      <c r="B162" s="906"/>
      <c r="C162" s="906"/>
      <c r="D162" s="906"/>
      <c r="E162" s="906"/>
      <c r="F162" s="906"/>
      <c r="G162" s="906"/>
      <c r="H162" s="906"/>
    </row>
    <row r="163" spans="1:8" x14ac:dyDescent="0.2">
      <c r="A163" s="907" t="s">
        <v>821</v>
      </c>
      <c r="B163" s="906"/>
      <c r="C163" s="906"/>
      <c r="D163" s="906"/>
      <c r="E163" s="906"/>
      <c r="F163" s="906"/>
      <c r="G163" s="906"/>
      <c r="H163" s="906"/>
    </row>
    <row r="164" spans="1:8" x14ac:dyDescent="0.2">
      <c r="A164" s="907" t="s">
        <v>822</v>
      </c>
      <c r="B164" s="906"/>
      <c r="C164" s="906"/>
      <c r="D164" s="906"/>
      <c r="E164" s="906"/>
      <c r="F164" s="906"/>
      <c r="G164" s="906"/>
      <c r="H164" s="906"/>
    </row>
    <row r="165" spans="1:8" x14ac:dyDescent="0.2">
      <c r="A165" s="906"/>
      <c r="B165" s="906"/>
      <c r="C165" s="906"/>
      <c r="D165" s="906"/>
      <c r="E165" s="906"/>
      <c r="F165" s="906"/>
      <c r="G165" s="906"/>
      <c r="H165" s="906"/>
    </row>
    <row r="166" spans="1:8" x14ac:dyDescent="0.2">
      <c r="A166" s="907" t="s">
        <v>819</v>
      </c>
      <c r="B166" s="906"/>
      <c r="C166" s="906"/>
      <c r="D166" s="906"/>
      <c r="E166" s="906"/>
      <c r="F166" s="906"/>
      <c r="G166" s="906"/>
      <c r="H166" s="906"/>
    </row>
    <row r="167" spans="1:8" x14ac:dyDescent="0.2">
      <c r="A167" s="907" t="s">
        <v>820</v>
      </c>
      <c r="B167" s="906"/>
      <c r="C167" s="906"/>
      <c r="D167" s="906"/>
      <c r="E167" s="906"/>
      <c r="F167" s="906"/>
      <c r="G167" s="906"/>
      <c r="H167" s="906"/>
    </row>
    <row r="168" spans="1:8" x14ac:dyDescent="0.2">
      <c r="A168" s="906"/>
      <c r="B168" s="906"/>
      <c r="C168" s="906"/>
      <c r="D168" s="906"/>
      <c r="E168" s="906"/>
      <c r="F168" s="906"/>
      <c r="G168" s="906"/>
      <c r="H168" s="906"/>
    </row>
    <row r="169" spans="1:8" x14ac:dyDescent="0.2">
      <c r="A169" s="907" t="s">
        <v>817</v>
      </c>
      <c r="B169" s="906"/>
      <c r="C169" s="906"/>
      <c r="D169" s="906"/>
      <c r="E169" s="906"/>
      <c r="F169" s="906"/>
      <c r="G169" s="906"/>
      <c r="H169" s="906"/>
    </row>
    <row r="170" spans="1:8" x14ac:dyDescent="0.2">
      <c r="A170" s="907" t="s">
        <v>818</v>
      </c>
      <c r="B170" s="906"/>
      <c r="C170" s="906"/>
      <c r="D170" s="906"/>
      <c r="E170" s="906"/>
      <c r="F170" s="906"/>
      <c r="G170" s="906"/>
      <c r="H170" s="906"/>
    </row>
    <row r="171" spans="1:8" x14ac:dyDescent="0.2">
      <c r="A171" s="906"/>
      <c r="B171" s="906"/>
      <c r="C171" s="906"/>
      <c r="D171" s="906"/>
      <c r="E171" s="906"/>
      <c r="F171" s="906"/>
      <c r="G171" s="906"/>
      <c r="H171" s="906"/>
    </row>
    <row r="172" spans="1:8" x14ac:dyDescent="0.2">
      <c r="A172" s="907" t="s">
        <v>814</v>
      </c>
      <c r="B172" s="906"/>
      <c r="C172" s="906"/>
      <c r="D172" s="906"/>
      <c r="E172" s="906"/>
      <c r="F172" s="906"/>
      <c r="G172" s="906"/>
      <c r="H172" s="906"/>
    </row>
    <row r="173" spans="1:8" x14ac:dyDescent="0.2">
      <c r="A173" s="907" t="s">
        <v>815</v>
      </c>
      <c r="B173" s="906"/>
      <c r="C173" s="906"/>
      <c r="D173" s="906"/>
      <c r="E173" s="906"/>
      <c r="F173" s="906"/>
      <c r="G173" s="906"/>
      <c r="H173" s="906"/>
    </row>
    <row r="174" spans="1:8" x14ac:dyDescent="0.2">
      <c r="A174" s="907" t="s">
        <v>816</v>
      </c>
      <c r="B174" s="906"/>
      <c r="C174" s="906"/>
      <c r="D174" s="906"/>
      <c r="E174" s="906"/>
      <c r="F174" s="906"/>
      <c r="G174" s="906"/>
      <c r="H174" s="906"/>
    </row>
    <row r="175" spans="1:8" x14ac:dyDescent="0.2">
      <c r="A175" s="906"/>
      <c r="B175" s="906"/>
      <c r="C175" s="906"/>
      <c r="D175" s="906"/>
      <c r="E175" s="906"/>
      <c r="F175" s="906"/>
      <c r="G175" s="906"/>
      <c r="H175" s="906"/>
    </row>
    <row r="176" spans="1:8" x14ac:dyDescent="0.2">
      <c r="A176" s="906"/>
      <c r="B176" s="906"/>
      <c r="C176" s="906"/>
      <c r="D176" s="906"/>
      <c r="E176" s="906"/>
      <c r="F176" s="906"/>
      <c r="G176" s="906"/>
      <c r="H176" s="906"/>
    </row>
    <row r="177" spans="1:8" x14ac:dyDescent="0.2">
      <c r="A177" s="907" t="s">
        <v>646</v>
      </c>
      <c r="B177" s="906"/>
      <c r="C177" s="906"/>
      <c r="D177" s="906"/>
      <c r="E177" s="906"/>
      <c r="F177" s="906"/>
      <c r="G177" s="906"/>
      <c r="H177" s="906"/>
    </row>
    <row r="178" spans="1:8" x14ac:dyDescent="0.2">
      <c r="A178" s="906"/>
      <c r="B178" s="906"/>
      <c r="C178" s="906"/>
      <c r="D178" s="906"/>
      <c r="E178" s="906"/>
      <c r="F178" s="906"/>
      <c r="G178" s="906"/>
      <c r="H178" s="906"/>
    </row>
    <row r="179" spans="1:8" ht="15.75" x14ac:dyDescent="0.2">
      <c r="A179" s="908" t="s">
        <v>647</v>
      </c>
      <c r="B179" s="906"/>
      <c r="C179" s="906"/>
      <c r="D179" s="906"/>
      <c r="E179" s="906"/>
      <c r="F179" s="906"/>
      <c r="G179" s="906"/>
      <c r="H179" s="906"/>
    </row>
    <row r="180" spans="1:8" x14ac:dyDescent="0.2">
      <c r="A180" s="906"/>
      <c r="B180" s="906"/>
      <c r="C180" s="906"/>
      <c r="D180" s="906"/>
      <c r="E180" s="906"/>
      <c r="F180" s="906"/>
      <c r="G180" s="906"/>
      <c r="H180" s="906"/>
    </row>
    <row r="181" spans="1:8" x14ac:dyDescent="0.2">
      <c r="A181" s="906"/>
      <c r="B181" s="906"/>
      <c r="C181" s="906"/>
      <c r="D181" s="906"/>
      <c r="E181" s="906"/>
      <c r="F181" s="906"/>
      <c r="G181" s="906"/>
      <c r="H181" s="906"/>
    </row>
    <row r="182" spans="1:8" x14ac:dyDescent="0.2">
      <c r="A182" s="906"/>
      <c r="B182" s="906"/>
      <c r="C182" s="906"/>
      <c r="D182" s="906"/>
      <c r="E182" s="906"/>
      <c r="F182" s="906"/>
      <c r="G182" s="906"/>
      <c r="H182" s="906"/>
    </row>
    <row r="183" spans="1:8" x14ac:dyDescent="0.2">
      <c r="A183" s="906"/>
      <c r="B183" s="906"/>
      <c r="C183" s="906"/>
      <c r="D183" s="906"/>
      <c r="E183" s="906"/>
      <c r="F183" s="906"/>
      <c r="G183" s="906"/>
      <c r="H183" s="906"/>
    </row>
    <row r="184" spans="1:8" x14ac:dyDescent="0.2">
      <c r="A184" s="906"/>
      <c r="B184" s="906"/>
      <c r="C184" s="906"/>
      <c r="D184" s="906"/>
      <c r="E184" s="906"/>
      <c r="F184" s="906"/>
      <c r="G184" s="906"/>
      <c r="H184" s="906"/>
    </row>
    <row r="185" spans="1:8" x14ac:dyDescent="0.2">
      <c r="A185" s="906"/>
      <c r="B185" s="906"/>
      <c r="C185" s="906"/>
      <c r="D185" s="906"/>
      <c r="E185" s="906"/>
      <c r="F185" s="906"/>
      <c r="G185" s="906"/>
      <c r="H185" s="906"/>
    </row>
    <row r="186" spans="1:8" x14ac:dyDescent="0.2">
      <c r="A186" s="906"/>
      <c r="B186" s="906"/>
      <c r="C186" s="906"/>
      <c r="D186" s="906"/>
      <c r="E186" s="906"/>
      <c r="F186" s="906"/>
      <c r="G186" s="906"/>
      <c r="H186" s="906"/>
    </row>
    <row r="187" spans="1:8" x14ac:dyDescent="0.2">
      <c r="A187" s="906"/>
      <c r="B187" s="906"/>
      <c r="C187" s="906"/>
      <c r="D187" s="906"/>
      <c r="E187" s="906"/>
      <c r="F187" s="906"/>
      <c r="G187" s="906"/>
      <c r="H187" s="906"/>
    </row>
    <row r="188" spans="1:8" x14ac:dyDescent="0.2">
      <c r="A188" s="906"/>
      <c r="B188" s="906"/>
      <c r="C188" s="906"/>
      <c r="D188" s="906"/>
      <c r="E188" s="906"/>
      <c r="F188" s="906"/>
      <c r="G188" s="906"/>
      <c r="H188" s="906"/>
    </row>
    <row r="189" spans="1:8" x14ac:dyDescent="0.2">
      <c r="A189" s="906"/>
      <c r="B189" s="906"/>
      <c r="C189" s="906"/>
      <c r="D189" s="906"/>
      <c r="E189" s="906"/>
      <c r="F189" s="906"/>
      <c r="G189" s="906"/>
      <c r="H189" s="906"/>
    </row>
    <row r="190" spans="1:8" x14ac:dyDescent="0.2">
      <c r="A190" s="906"/>
      <c r="B190" s="906"/>
      <c r="C190" s="906"/>
      <c r="D190" s="906"/>
      <c r="E190" s="906"/>
      <c r="F190" s="906"/>
      <c r="G190" s="906"/>
      <c r="H190" s="906"/>
    </row>
    <row r="191" spans="1:8" x14ac:dyDescent="0.2">
      <c r="A191" s="906"/>
      <c r="B191" s="906"/>
      <c r="C191" s="906"/>
      <c r="D191" s="906"/>
      <c r="E191" s="906"/>
      <c r="F191" s="906"/>
      <c r="G191" s="906"/>
      <c r="H191" s="906"/>
    </row>
    <row r="192" spans="1:8" x14ac:dyDescent="0.2">
      <c r="A192" s="906"/>
      <c r="B192" s="906"/>
      <c r="C192" s="906"/>
      <c r="D192" s="906"/>
      <c r="E192" s="906"/>
      <c r="F192" s="906"/>
      <c r="G192" s="906"/>
      <c r="H192" s="906"/>
    </row>
    <row r="193" spans="1:8" x14ac:dyDescent="0.2">
      <c r="A193" s="906"/>
      <c r="B193" s="906"/>
      <c r="C193" s="906"/>
      <c r="D193" s="906"/>
      <c r="E193" s="906"/>
      <c r="F193" s="906"/>
      <c r="G193" s="906"/>
      <c r="H193" s="906"/>
    </row>
    <row r="194" spans="1:8" x14ac:dyDescent="0.2">
      <c r="A194" s="906"/>
      <c r="B194" s="906"/>
      <c r="C194" s="906"/>
      <c r="D194" s="906"/>
      <c r="E194" s="906"/>
      <c r="F194" s="906"/>
      <c r="G194" s="906"/>
      <c r="H194" s="906"/>
    </row>
    <row r="195" spans="1:8" x14ac:dyDescent="0.2">
      <c r="A195" s="906"/>
      <c r="B195" s="906"/>
      <c r="C195" s="906"/>
      <c r="D195" s="906"/>
      <c r="E195" s="906"/>
      <c r="F195" s="906"/>
      <c r="G195" s="906"/>
      <c r="H195" s="906"/>
    </row>
    <row r="196" spans="1:8" x14ac:dyDescent="0.2">
      <c r="A196" s="906"/>
      <c r="B196" s="906"/>
      <c r="C196" s="906"/>
      <c r="D196" s="906"/>
      <c r="E196" s="906"/>
      <c r="F196" s="906"/>
      <c r="G196" s="906"/>
      <c r="H196" s="906"/>
    </row>
    <row r="197" spans="1:8" x14ac:dyDescent="0.2">
      <c r="A197" s="906"/>
      <c r="B197" s="906"/>
      <c r="C197" s="906"/>
      <c r="D197" s="906"/>
      <c r="E197" s="906"/>
      <c r="F197" s="906"/>
      <c r="G197" s="906"/>
      <c r="H197" s="906"/>
    </row>
    <row r="198" spans="1:8" x14ac:dyDescent="0.2">
      <c r="A198" s="906"/>
      <c r="B198" s="906"/>
      <c r="C198" s="906"/>
      <c r="D198" s="906"/>
      <c r="E198" s="906"/>
      <c r="F198" s="906"/>
      <c r="G198" s="906"/>
      <c r="H198" s="906"/>
    </row>
    <row r="199" spans="1:8" x14ac:dyDescent="0.2">
      <c r="A199" s="906"/>
      <c r="B199" s="906"/>
      <c r="C199" s="906"/>
      <c r="D199" s="906"/>
      <c r="E199" s="906"/>
      <c r="F199" s="906"/>
      <c r="G199" s="906"/>
      <c r="H199" s="906"/>
    </row>
    <row r="200" spans="1:8" x14ac:dyDescent="0.2">
      <c r="A200" s="906"/>
      <c r="B200" s="906"/>
      <c r="C200" s="906"/>
      <c r="D200" s="906"/>
      <c r="E200" s="906"/>
      <c r="F200" s="906"/>
      <c r="G200" s="906"/>
      <c r="H200" s="906"/>
    </row>
    <row r="201" spans="1:8" x14ac:dyDescent="0.2">
      <c r="A201" s="906"/>
      <c r="B201" s="906"/>
      <c r="C201" s="906"/>
      <c r="D201" s="906"/>
      <c r="E201" s="906"/>
      <c r="F201" s="906"/>
      <c r="G201" s="906"/>
      <c r="H201" s="906"/>
    </row>
    <row r="202" spans="1:8" x14ac:dyDescent="0.2">
      <c r="A202" s="906"/>
      <c r="B202" s="906"/>
      <c r="C202" s="906"/>
      <c r="D202" s="906"/>
      <c r="E202" s="906"/>
      <c r="F202" s="906"/>
      <c r="G202" s="906"/>
      <c r="H202" s="906"/>
    </row>
    <row r="203" spans="1:8" x14ac:dyDescent="0.2">
      <c r="A203" s="906"/>
      <c r="B203" s="906"/>
      <c r="C203" s="906"/>
      <c r="D203" s="906"/>
      <c r="E203" s="906"/>
      <c r="F203" s="906"/>
      <c r="G203" s="906"/>
      <c r="H203" s="906"/>
    </row>
    <row r="204" spans="1:8" x14ac:dyDescent="0.2">
      <c r="A204" s="906"/>
      <c r="B204" s="906"/>
      <c r="C204" s="906"/>
      <c r="D204" s="906"/>
      <c r="E204" s="906"/>
      <c r="F204" s="906"/>
      <c r="G204" s="906"/>
      <c r="H204" s="906"/>
    </row>
    <row r="205" spans="1:8" x14ac:dyDescent="0.2">
      <c r="A205" s="906"/>
      <c r="B205" s="906"/>
      <c r="C205" s="906"/>
      <c r="D205" s="906"/>
      <c r="E205" s="906"/>
      <c r="F205" s="906"/>
      <c r="G205" s="906"/>
      <c r="H205" s="906"/>
    </row>
    <row r="206" spans="1:8" ht="15.75" x14ac:dyDescent="0.2">
      <c r="A206" s="908" t="s">
        <v>648</v>
      </c>
      <c r="B206" s="906"/>
      <c r="C206" s="906"/>
      <c r="D206" s="906"/>
      <c r="E206" s="906"/>
      <c r="F206" s="906"/>
      <c r="G206" s="906"/>
      <c r="H206" s="906"/>
    </row>
    <row r="207" spans="1:8" x14ac:dyDescent="0.2">
      <c r="A207" s="906"/>
      <c r="B207" s="906"/>
      <c r="C207" s="906"/>
      <c r="D207" s="906"/>
      <c r="E207" s="906"/>
      <c r="F207" s="906"/>
      <c r="G207" s="906"/>
      <c r="H207" s="906"/>
    </row>
    <row r="208" spans="1:8" x14ac:dyDescent="0.2">
      <c r="A208" s="907" t="s">
        <v>809</v>
      </c>
      <c r="B208" s="906"/>
      <c r="C208" s="906"/>
      <c r="D208" s="906"/>
      <c r="E208" s="906"/>
      <c r="F208" s="906"/>
      <c r="G208" s="906"/>
      <c r="H208" s="906"/>
    </row>
    <row r="209" spans="1:8" x14ac:dyDescent="0.2">
      <c r="A209" s="907" t="s">
        <v>810</v>
      </c>
      <c r="B209" s="906"/>
      <c r="C209" s="906"/>
      <c r="D209" s="906"/>
      <c r="E209" s="906"/>
      <c r="F209" s="906"/>
      <c r="G209" s="906"/>
      <c r="H209" s="906"/>
    </row>
    <row r="210" spans="1:8" x14ac:dyDescent="0.2">
      <c r="A210" s="907" t="s">
        <v>811</v>
      </c>
      <c r="B210" s="906"/>
      <c r="C210" s="906"/>
      <c r="D210" s="906"/>
      <c r="E210" s="906"/>
      <c r="F210" s="906"/>
      <c r="G210" s="906"/>
      <c r="H210" s="906"/>
    </row>
    <row r="211" spans="1:8" x14ac:dyDescent="0.2">
      <c r="A211" s="907" t="s">
        <v>812</v>
      </c>
      <c r="B211" s="906"/>
      <c r="C211" s="906"/>
      <c r="D211" s="906"/>
      <c r="E211" s="906"/>
      <c r="F211" s="906"/>
      <c r="G211" s="906"/>
      <c r="H211" s="906"/>
    </row>
    <row r="212" spans="1:8" x14ac:dyDescent="0.2">
      <c r="A212" s="907" t="s">
        <v>813</v>
      </c>
      <c r="B212" s="906"/>
      <c r="C212" s="906"/>
      <c r="D212" s="906"/>
      <c r="E212" s="906"/>
      <c r="F212" s="906"/>
      <c r="G212" s="906"/>
      <c r="H212" s="906"/>
    </row>
    <row r="213" spans="1:8" x14ac:dyDescent="0.2">
      <c r="A213" s="906"/>
      <c r="B213" s="906"/>
      <c r="C213" s="906"/>
      <c r="D213" s="906"/>
      <c r="E213" s="906"/>
      <c r="F213" s="906"/>
      <c r="G213" s="906"/>
      <c r="H213" s="906"/>
    </row>
    <row r="214" spans="1:8" x14ac:dyDescent="0.2">
      <c r="A214" s="907" t="s">
        <v>806</v>
      </c>
      <c r="B214" s="906"/>
      <c r="C214" s="906"/>
      <c r="D214" s="906"/>
      <c r="E214" s="906"/>
      <c r="F214" s="906"/>
      <c r="G214" s="906"/>
      <c r="H214" s="906"/>
    </row>
    <row r="215" spans="1:8" x14ac:dyDescent="0.2">
      <c r="A215" s="907" t="s">
        <v>807</v>
      </c>
      <c r="B215" s="906"/>
      <c r="C215" s="906"/>
      <c r="D215" s="906"/>
      <c r="E215" s="906"/>
      <c r="F215" s="906"/>
      <c r="G215" s="906"/>
      <c r="H215" s="906"/>
    </row>
    <row r="216" spans="1:8" x14ac:dyDescent="0.2">
      <c r="A216" s="907" t="s">
        <v>808</v>
      </c>
      <c r="B216" s="906"/>
      <c r="C216" s="906"/>
      <c r="D216" s="906"/>
      <c r="E216" s="906"/>
      <c r="F216" s="906"/>
      <c r="G216" s="906"/>
      <c r="H216" s="906"/>
    </row>
    <row r="217" spans="1:8" ht="15.75" x14ac:dyDescent="0.2">
      <c r="A217" s="908" t="s">
        <v>649</v>
      </c>
      <c r="B217" s="906"/>
      <c r="C217" s="906"/>
      <c r="D217" s="906"/>
      <c r="E217" s="906"/>
      <c r="F217" s="906"/>
      <c r="G217" s="906"/>
      <c r="H217" s="906"/>
    </row>
    <row r="218" spans="1:8" x14ac:dyDescent="0.2">
      <c r="A218" s="906"/>
      <c r="B218" s="906"/>
      <c r="C218" s="906"/>
      <c r="D218" s="906"/>
      <c r="E218" s="906"/>
      <c r="F218" s="906"/>
      <c r="G218" s="906"/>
      <c r="H218" s="906"/>
    </row>
    <row r="219" spans="1:8" x14ac:dyDescent="0.2">
      <c r="A219" s="907" t="s">
        <v>804</v>
      </c>
      <c r="B219" s="906"/>
      <c r="C219" s="906"/>
      <c r="D219" s="906"/>
      <c r="E219" s="906"/>
      <c r="F219" s="906"/>
      <c r="G219" s="906"/>
      <c r="H219" s="906"/>
    </row>
    <row r="220" spans="1:8" x14ac:dyDescent="0.2">
      <c r="A220" s="907" t="s">
        <v>805</v>
      </c>
      <c r="B220" s="906"/>
      <c r="C220" s="906"/>
      <c r="D220" s="906"/>
      <c r="E220" s="906"/>
      <c r="F220" s="906"/>
      <c r="G220" s="906"/>
      <c r="H220" s="906"/>
    </row>
    <row r="221" spans="1:8" x14ac:dyDescent="0.2">
      <c r="A221" s="906"/>
      <c r="B221" s="906"/>
      <c r="C221" s="906"/>
      <c r="D221" s="906"/>
      <c r="E221" s="906"/>
      <c r="F221" s="906"/>
      <c r="G221" s="906"/>
      <c r="H221" s="906"/>
    </row>
    <row r="222" spans="1:8" x14ac:dyDescent="0.2">
      <c r="A222" s="907" t="s">
        <v>797</v>
      </c>
      <c r="B222" s="906"/>
      <c r="C222" s="906"/>
      <c r="D222" s="906"/>
      <c r="E222" s="906"/>
      <c r="F222" s="906"/>
      <c r="G222" s="906"/>
      <c r="H222" s="906"/>
    </row>
    <row r="223" spans="1:8" x14ac:dyDescent="0.2">
      <c r="A223" s="907" t="s">
        <v>798</v>
      </c>
      <c r="B223" s="906"/>
      <c r="C223" s="906"/>
      <c r="D223" s="906"/>
      <c r="E223" s="906"/>
      <c r="F223" s="906"/>
      <c r="G223" s="906"/>
      <c r="H223" s="906"/>
    </row>
    <row r="224" spans="1:8" x14ac:dyDescent="0.2">
      <c r="A224" s="907" t="s">
        <v>799</v>
      </c>
      <c r="B224" s="906"/>
      <c r="C224" s="906"/>
      <c r="D224" s="906"/>
      <c r="E224" s="906"/>
      <c r="F224" s="906"/>
      <c r="G224" s="906"/>
      <c r="H224" s="906"/>
    </row>
    <row r="225" spans="1:8" x14ac:dyDescent="0.2">
      <c r="A225" s="907" t="s">
        <v>800</v>
      </c>
      <c r="B225" s="906"/>
      <c r="C225" s="906"/>
      <c r="D225" s="906"/>
      <c r="E225" s="906"/>
      <c r="F225" s="906"/>
      <c r="G225" s="906"/>
      <c r="H225" s="906"/>
    </row>
    <row r="226" spans="1:8" x14ac:dyDescent="0.2">
      <c r="A226" s="907" t="s">
        <v>801</v>
      </c>
      <c r="B226" s="906"/>
      <c r="C226" s="906"/>
      <c r="D226" s="906"/>
      <c r="E226" s="906"/>
      <c r="F226" s="906"/>
      <c r="G226" s="906"/>
      <c r="H226" s="906"/>
    </row>
    <row r="227" spans="1:8" x14ac:dyDescent="0.2">
      <c r="A227" s="907" t="s">
        <v>802</v>
      </c>
      <c r="B227" s="906"/>
      <c r="C227" s="906"/>
      <c r="D227" s="906"/>
      <c r="E227" s="906"/>
      <c r="F227" s="906"/>
      <c r="G227" s="906"/>
      <c r="H227" s="906"/>
    </row>
    <row r="228" spans="1:8" x14ac:dyDescent="0.2">
      <c r="A228" s="907" t="s">
        <v>803</v>
      </c>
      <c r="B228" s="906"/>
      <c r="C228" s="906"/>
      <c r="D228" s="906"/>
      <c r="E228" s="906"/>
      <c r="F228" s="906"/>
      <c r="G228" s="906"/>
      <c r="H228" s="906"/>
    </row>
    <row r="229" spans="1:8" x14ac:dyDescent="0.2">
      <c r="A229" s="906"/>
      <c r="B229" s="906"/>
      <c r="C229" s="906"/>
      <c r="D229" s="906"/>
      <c r="E229" s="906"/>
      <c r="F229" s="906"/>
      <c r="G229" s="906"/>
      <c r="H229" s="906"/>
    </row>
    <row r="230" spans="1:8" x14ac:dyDescent="0.2">
      <c r="A230" s="907" t="s">
        <v>794</v>
      </c>
      <c r="B230" s="906"/>
      <c r="C230" s="906"/>
      <c r="D230" s="906"/>
      <c r="E230" s="906"/>
      <c r="F230" s="906"/>
      <c r="G230" s="906"/>
      <c r="H230" s="906"/>
    </row>
    <row r="231" spans="1:8" x14ac:dyDescent="0.2">
      <c r="A231" s="907" t="s">
        <v>795</v>
      </c>
      <c r="B231" s="906"/>
      <c r="C231" s="906"/>
      <c r="D231" s="906"/>
      <c r="E231" s="906"/>
      <c r="F231" s="906"/>
      <c r="G231" s="906"/>
      <c r="H231" s="906"/>
    </row>
    <row r="232" spans="1:8" x14ac:dyDescent="0.2">
      <c r="A232" s="907" t="s">
        <v>796</v>
      </c>
      <c r="B232" s="906"/>
      <c r="C232" s="906"/>
      <c r="D232" s="906"/>
      <c r="E232" s="906"/>
      <c r="F232" s="906"/>
      <c r="G232" s="906"/>
      <c r="H232" s="906"/>
    </row>
    <row r="233" spans="1:8" x14ac:dyDescent="0.2">
      <c r="A233" s="906"/>
      <c r="B233" s="906"/>
      <c r="C233" s="906"/>
      <c r="D233" s="906"/>
      <c r="E233" s="906"/>
      <c r="F233" s="906"/>
      <c r="G233" s="906"/>
      <c r="H233" s="906"/>
    </row>
    <row r="234" spans="1:8" x14ac:dyDescent="0.2">
      <c r="A234" s="907" t="s">
        <v>789</v>
      </c>
      <c r="B234" s="906"/>
      <c r="C234" s="906"/>
      <c r="D234" s="906"/>
      <c r="E234" s="906"/>
      <c r="F234" s="906"/>
      <c r="G234" s="906"/>
      <c r="H234" s="906"/>
    </row>
    <row r="235" spans="1:8" x14ac:dyDescent="0.2">
      <c r="A235" s="907" t="s">
        <v>790</v>
      </c>
      <c r="B235" s="906"/>
      <c r="C235" s="906"/>
      <c r="D235" s="906"/>
      <c r="E235" s="906"/>
      <c r="F235" s="906"/>
      <c r="G235" s="906"/>
      <c r="H235" s="906"/>
    </row>
    <row r="236" spans="1:8" x14ac:dyDescent="0.2">
      <c r="A236" s="907" t="s">
        <v>791</v>
      </c>
      <c r="B236" s="906"/>
      <c r="C236" s="906"/>
      <c r="D236" s="906"/>
      <c r="E236" s="906"/>
      <c r="F236" s="906"/>
      <c r="G236" s="906"/>
      <c r="H236" s="906"/>
    </row>
    <row r="237" spans="1:8" x14ac:dyDescent="0.2">
      <c r="A237" s="907" t="s">
        <v>792</v>
      </c>
      <c r="B237" s="906"/>
      <c r="C237" s="906"/>
      <c r="D237" s="906"/>
      <c r="E237" s="906"/>
      <c r="F237" s="906"/>
      <c r="G237" s="906"/>
      <c r="H237" s="906"/>
    </row>
    <row r="238" spans="1:8" x14ac:dyDescent="0.2">
      <c r="A238" s="907" t="s">
        <v>793</v>
      </c>
      <c r="B238" s="906"/>
      <c r="C238" s="906"/>
      <c r="D238" s="906"/>
      <c r="E238" s="906"/>
      <c r="F238" s="906"/>
      <c r="G238" s="906"/>
      <c r="H238" s="906"/>
    </row>
    <row r="239" spans="1:8" x14ac:dyDescent="0.2">
      <c r="A239" s="906"/>
      <c r="B239" s="906"/>
      <c r="C239" s="906"/>
      <c r="D239" s="906"/>
      <c r="E239" s="906"/>
      <c r="F239" s="906"/>
      <c r="G239" s="906"/>
      <c r="H239" s="906"/>
    </row>
    <row r="240" spans="1:8" x14ac:dyDescent="0.2">
      <c r="A240" s="907" t="s">
        <v>783</v>
      </c>
      <c r="B240" s="906"/>
      <c r="C240" s="906"/>
      <c r="D240" s="906"/>
      <c r="E240" s="906"/>
      <c r="F240" s="906"/>
      <c r="G240" s="906"/>
      <c r="H240" s="906"/>
    </row>
    <row r="241" spans="1:8" x14ac:dyDescent="0.2">
      <c r="A241" s="907" t="s">
        <v>784</v>
      </c>
      <c r="B241" s="906"/>
      <c r="C241" s="906"/>
      <c r="D241" s="906"/>
      <c r="E241" s="906"/>
      <c r="F241" s="906"/>
      <c r="G241" s="906"/>
      <c r="H241" s="906"/>
    </row>
    <row r="242" spans="1:8" x14ac:dyDescent="0.2">
      <c r="A242" s="907" t="s">
        <v>785</v>
      </c>
      <c r="B242" s="906"/>
      <c r="C242" s="906"/>
      <c r="D242" s="906"/>
      <c r="E242" s="906"/>
      <c r="F242" s="906"/>
      <c r="G242" s="906"/>
      <c r="H242" s="906"/>
    </row>
    <row r="243" spans="1:8" x14ac:dyDescent="0.2">
      <c r="A243" s="907" t="s">
        <v>786</v>
      </c>
      <c r="B243" s="906"/>
      <c r="C243" s="906"/>
      <c r="D243" s="906"/>
      <c r="E243" s="906"/>
      <c r="F243" s="906"/>
      <c r="G243" s="906"/>
      <c r="H243" s="906"/>
    </row>
    <row r="244" spans="1:8" x14ac:dyDescent="0.2">
      <c r="A244" s="907" t="s">
        <v>787</v>
      </c>
      <c r="B244" s="906"/>
      <c r="C244" s="906"/>
      <c r="D244" s="906"/>
      <c r="E244" s="906"/>
      <c r="F244" s="906"/>
      <c r="G244" s="906"/>
      <c r="H244" s="906"/>
    </row>
    <row r="245" spans="1:8" x14ac:dyDescent="0.2">
      <c r="A245" s="907" t="s">
        <v>788</v>
      </c>
      <c r="B245" s="906"/>
      <c r="C245" s="906"/>
      <c r="D245" s="906"/>
      <c r="E245" s="906"/>
      <c r="F245" s="906"/>
      <c r="G245" s="906"/>
      <c r="H245" s="906"/>
    </row>
    <row r="246" spans="1:8" x14ac:dyDescent="0.2">
      <c r="A246" s="906"/>
      <c r="B246" s="906"/>
      <c r="C246" s="906"/>
      <c r="D246" s="906"/>
      <c r="E246" s="906"/>
      <c r="F246" s="906"/>
      <c r="G246" s="906"/>
      <c r="H246" s="906"/>
    </row>
    <row r="247" spans="1:8" x14ac:dyDescent="0.2">
      <c r="A247" s="907" t="s">
        <v>773</v>
      </c>
      <c r="B247" s="906"/>
      <c r="C247" s="906"/>
      <c r="D247" s="906"/>
      <c r="E247" s="906"/>
      <c r="F247" s="906"/>
      <c r="G247" s="906"/>
      <c r="H247" s="906"/>
    </row>
    <row r="248" spans="1:8" x14ac:dyDescent="0.2">
      <c r="A248" s="907" t="s">
        <v>774</v>
      </c>
      <c r="B248" s="906"/>
      <c r="C248" s="906"/>
      <c r="D248" s="906"/>
      <c r="E248" s="906"/>
      <c r="F248" s="906"/>
      <c r="G248" s="906"/>
      <c r="H248" s="906"/>
    </row>
    <row r="249" spans="1:8" x14ac:dyDescent="0.2">
      <c r="A249" s="907" t="s">
        <v>775</v>
      </c>
      <c r="B249" s="906"/>
      <c r="C249" s="906"/>
      <c r="D249" s="906"/>
      <c r="E249" s="906"/>
      <c r="F249" s="906"/>
      <c r="G249" s="906"/>
      <c r="H249" s="906"/>
    </row>
    <row r="250" spans="1:8" x14ac:dyDescent="0.2">
      <c r="A250" s="907" t="s">
        <v>776</v>
      </c>
      <c r="B250" s="906"/>
      <c r="C250" s="906"/>
      <c r="D250" s="906"/>
      <c r="E250" s="906"/>
      <c r="F250" s="906"/>
      <c r="G250" s="906"/>
      <c r="H250" s="906"/>
    </row>
    <row r="251" spans="1:8" x14ac:dyDescent="0.2">
      <c r="A251" s="907" t="s">
        <v>777</v>
      </c>
      <c r="B251" s="906"/>
      <c r="C251" s="906"/>
      <c r="D251" s="906"/>
      <c r="E251" s="906"/>
      <c r="F251" s="906"/>
      <c r="G251" s="906"/>
      <c r="H251" s="906"/>
    </row>
    <row r="252" spans="1:8" x14ac:dyDescent="0.2">
      <c r="A252" s="907" t="s">
        <v>778</v>
      </c>
      <c r="B252" s="906"/>
      <c r="C252" s="906"/>
      <c r="D252" s="906"/>
      <c r="E252" s="906"/>
      <c r="F252" s="906"/>
      <c r="G252" s="906"/>
      <c r="H252" s="906"/>
    </row>
    <row r="253" spans="1:8" x14ac:dyDescent="0.2">
      <c r="A253" s="907" t="s">
        <v>779</v>
      </c>
      <c r="B253" s="906"/>
      <c r="C253" s="906"/>
      <c r="D253" s="906"/>
      <c r="E253" s="906"/>
      <c r="F253" s="906"/>
      <c r="G253" s="906"/>
      <c r="H253" s="906"/>
    </row>
    <row r="254" spans="1:8" x14ac:dyDescent="0.2">
      <c r="A254" s="907" t="s">
        <v>780</v>
      </c>
      <c r="B254" s="906"/>
      <c r="C254" s="906"/>
      <c r="D254" s="906"/>
      <c r="E254" s="906"/>
      <c r="F254" s="906"/>
      <c r="G254" s="906"/>
      <c r="H254" s="906"/>
    </row>
    <row r="255" spans="1:8" x14ac:dyDescent="0.2">
      <c r="A255" s="907" t="s">
        <v>781</v>
      </c>
      <c r="B255" s="906"/>
      <c r="C255" s="906"/>
      <c r="D255" s="906"/>
      <c r="E255" s="906"/>
      <c r="F255" s="906"/>
      <c r="G255" s="906"/>
      <c r="H255" s="906"/>
    </row>
    <row r="256" spans="1:8" x14ac:dyDescent="0.2">
      <c r="A256" s="907" t="s">
        <v>782</v>
      </c>
      <c r="B256" s="906"/>
      <c r="C256" s="906"/>
      <c r="D256" s="906"/>
      <c r="E256" s="906"/>
      <c r="F256" s="906"/>
      <c r="G256" s="906"/>
      <c r="H256" s="906"/>
    </row>
    <row r="257" spans="1:8" x14ac:dyDescent="0.2">
      <c r="A257" s="906"/>
      <c r="B257" s="906"/>
      <c r="C257" s="906"/>
      <c r="D257" s="906"/>
      <c r="E257" s="906"/>
      <c r="F257" s="906"/>
      <c r="G257" s="906"/>
      <c r="H257" s="906"/>
    </row>
    <row r="258" spans="1:8" x14ac:dyDescent="0.2">
      <c r="A258" s="907" t="s">
        <v>771</v>
      </c>
      <c r="B258" s="906"/>
      <c r="C258" s="906"/>
      <c r="D258" s="906"/>
      <c r="E258" s="906"/>
      <c r="F258" s="906"/>
      <c r="G258" s="906"/>
      <c r="H258" s="906"/>
    </row>
    <row r="259" spans="1:8" x14ac:dyDescent="0.2">
      <c r="A259" s="907" t="s">
        <v>772</v>
      </c>
      <c r="B259" s="906"/>
      <c r="C259" s="906"/>
      <c r="D259" s="906"/>
      <c r="E259" s="906"/>
      <c r="F259" s="906"/>
      <c r="G259" s="906"/>
      <c r="H259" s="906"/>
    </row>
    <row r="260" spans="1:8" x14ac:dyDescent="0.2">
      <c r="A260" s="906"/>
      <c r="B260" s="906"/>
      <c r="C260" s="906"/>
      <c r="D260" s="906"/>
      <c r="E260" s="906"/>
      <c r="F260" s="906"/>
      <c r="G260" s="906"/>
      <c r="H260" s="906"/>
    </row>
    <row r="261" spans="1:8" x14ac:dyDescent="0.2">
      <c r="A261" s="907" t="s">
        <v>755</v>
      </c>
      <c r="B261" s="906"/>
      <c r="C261" s="906"/>
      <c r="D261" s="906"/>
      <c r="E261" s="906"/>
      <c r="F261" s="906"/>
      <c r="G261" s="906"/>
      <c r="H261" s="906"/>
    </row>
    <row r="262" spans="1:8" x14ac:dyDescent="0.2">
      <c r="A262" s="907" t="s">
        <v>756</v>
      </c>
      <c r="B262" s="906"/>
      <c r="C262" s="906"/>
      <c r="D262" s="906"/>
      <c r="E262" s="906"/>
      <c r="F262" s="906"/>
      <c r="G262" s="906"/>
      <c r="H262" s="906"/>
    </row>
    <row r="263" spans="1:8" x14ac:dyDescent="0.2">
      <c r="A263" s="907" t="s">
        <v>757</v>
      </c>
      <c r="B263" s="906"/>
      <c r="C263" s="906"/>
      <c r="D263" s="906"/>
      <c r="E263" s="906"/>
      <c r="F263" s="906"/>
      <c r="G263" s="906"/>
      <c r="H263" s="906"/>
    </row>
    <row r="264" spans="1:8" x14ac:dyDescent="0.2">
      <c r="A264" s="907" t="s">
        <v>758</v>
      </c>
      <c r="B264" s="906"/>
      <c r="C264" s="906"/>
      <c r="D264" s="906"/>
      <c r="E264" s="906"/>
      <c r="F264" s="906"/>
      <c r="G264" s="906"/>
      <c r="H264" s="906"/>
    </row>
    <row r="265" spans="1:8" x14ac:dyDescent="0.2">
      <c r="A265" s="907" t="s">
        <v>759</v>
      </c>
      <c r="B265" s="906"/>
      <c r="C265" s="906"/>
      <c r="D265" s="906"/>
      <c r="E265" s="906"/>
      <c r="F265" s="906"/>
      <c r="G265" s="906"/>
      <c r="H265" s="906"/>
    </row>
    <row r="266" spans="1:8" x14ac:dyDescent="0.2">
      <c r="A266" s="907" t="s">
        <v>760</v>
      </c>
      <c r="B266" s="906"/>
      <c r="C266" s="906"/>
      <c r="D266" s="906"/>
      <c r="E266" s="906"/>
      <c r="F266" s="906"/>
      <c r="G266" s="906"/>
      <c r="H266" s="906"/>
    </row>
    <row r="267" spans="1:8" x14ac:dyDescent="0.2">
      <c r="A267" s="907" t="s">
        <v>761</v>
      </c>
      <c r="B267" s="906"/>
      <c r="C267" s="906"/>
      <c r="D267" s="906"/>
      <c r="E267" s="906"/>
      <c r="F267" s="906"/>
      <c r="G267" s="906"/>
      <c r="H267" s="906"/>
    </row>
    <row r="268" spans="1:8" x14ac:dyDescent="0.2">
      <c r="A268" s="907" t="s">
        <v>762</v>
      </c>
      <c r="B268" s="906"/>
      <c r="C268" s="906"/>
      <c r="D268" s="906"/>
      <c r="E268" s="906"/>
      <c r="F268" s="906"/>
      <c r="G268" s="906"/>
      <c r="H268" s="906"/>
    </row>
    <row r="269" spans="1:8" x14ac:dyDescent="0.2">
      <c r="A269" s="907" t="s">
        <v>763</v>
      </c>
      <c r="B269" s="906"/>
      <c r="C269" s="906"/>
      <c r="D269" s="906"/>
      <c r="E269" s="906"/>
      <c r="F269" s="906"/>
      <c r="G269" s="906"/>
      <c r="H269" s="906"/>
    </row>
    <row r="270" spans="1:8" x14ac:dyDescent="0.2">
      <c r="A270" s="907" t="s">
        <v>764</v>
      </c>
      <c r="B270" s="906"/>
      <c r="C270" s="906"/>
      <c r="D270" s="906"/>
      <c r="E270" s="906"/>
      <c r="F270" s="906"/>
      <c r="G270" s="906"/>
      <c r="H270" s="906"/>
    </row>
    <row r="271" spans="1:8" x14ac:dyDescent="0.2">
      <c r="A271" s="907" t="s">
        <v>765</v>
      </c>
      <c r="B271" s="906"/>
      <c r="C271" s="906"/>
      <c r="D271" s="906"/>
      <c r="E271" s="906"/>
      <c r="F271" s="906"/>
      <c r="G271" s="906"/>
      <c r="H271" s="906"/>
    </row>
    <row r="272" spans="1:8" x14ac:dyDescent="0.2">
      <c r="A272" s="907" t="s">
        <v>766</v>
      </c>
      <c r="B272" s="906"/>
      <c r="C272" s="906"/>
      <c r="D272" s="906"/>
      <c r="E272" s="906"/>
      <c r="F272" s="906"/>
      <c r="G272" s="906"/>
      <c r="H272" s="906"/>
    </row>
    <row r="273" spans="1:8" x14ac:dyDescent="0.2">
      <c r="A273" s="907" t="s">
        <v>767</v>
      </c>
      <c r="B273" s="906"/>
      <c r="C273" s="906"/>
      <c r="D273" s="906"/>
      <c r="E273" s="906"/>
      <c r="F273" s="906"/>
      <c r="G273" s="906"/>
      <c r="H273" s="906"/>
    </row>
    <row r="274" spans="1:8" x14ac:dyDescent="0.2">
      <c r="A274" s="907" t="s">
        <v>768</v>
      </c>
      <c r="B274" s="906"/>
      <c r="C274" s="906"/>
      <c r="D274" s="906"/>
      <c r="E274" s="906"/>
      <c r="F274" s="906"/>
      <c r="G274" s="906"/>
      <c r="H274" s="906"/>
    </row>
    <row r="275" spans="1:8" x14ac:dyDescent="0.2">
      <c r="A275" s="907" t="s">
        <v>769</v>
      </c>
      <c r="B275" s="906"/>
      <c r="C275" s="906"/>
      <c r="D275" s="906"/>
      <c r="E275" s="906"/>
      <c r="F275" s="906"/>
      <c r="G275" s="906"/>
      <c r="H275" s="906"/>
    </row>
    <row r="276" spans="1:8" x14ac:dyDescent="0.2">
      <c r="A276" s="907" t="s">
        <v>770</v>
      </c>
      <c r="B276" s="906"/>
      <c r="C276" s="906"/>
      <c r="D276" s="906"/>
      <c r="E276" s="906"/>
      <c r="F276" s="906"/>
      <c r="G276" s="906"/>
      <c r="H276" s="906"/>
    </row>
    <row r="277" spans="1:8" x14ac:dyDescent="0.2">
      <c r="A277" s="906"/>
      <c r="B277" s="906"/>
      <c r="C277" s="906"/>
      <c r="D277" s="906"/>
      <c r="E277" s="906"/>
      <c r="F277" s="906"/>
      <c r="G277" s="906"/>
      <c r="H277" s="906"/>
    </row>
    <row r="278" spans="1:8" x14ac:dyDescent="0.2">
      <c r="A278" s="907" t="s">
        <v>748</v>
      </c>
      <c r="B278" s="906"/>
      <c r="C278" s="906"/>
      <c r="D278" s="906"/>
      <c r="E278" s="906"/>
      <c r="F278" s="906"/>
      <c r="G278" s="906"/>
      <c r="H278" s="906"/>
    </row>
    <row r="279" spans="1:8" x14ac:dyDescent="0.2">
      <c r="A279" s="907" t="s">
        <v>749</v>
      </c>
      <c r="B279" s="906"/>
      <c r="C279" s="906"/>
      <c r="D279" s="906"/>
      <c r="E279" s="906"/>
      <c r="F279" s="906"/>
      <c r="G279" s="906"/>
      <c r="H279" s="906"/>
    </row>
    <row r="280" spans="1:8" x14ac:dyDescent="0.2">
      <c r="A280" s="907" t="s">
        <v>750</v>
      </c>
      <c r="B280" s="906"/>
      <c r="C280" s="906"/>
      <c r="D280" s="906"/>
      <c r="E280" s="906"/>
      <c r="F280" s="906"/>
      <c r="G280" s="906"/>
      <c r="H280" s="906"/>
    </row>
    <row r="281" spans="1:8" x14ac:dyDescent="0.2">
      <c r="A281" s="907" t="s">
        <v>751</v>
      </c>
      <c r="B281" s="906"/>
      <c r="C281" s="906"/>
      <c r="D281" s="906"/>
      <c r="E281" s="906"/>
      <c r="F281" s="906"/>
      <c r="G281" s="906"/>
      <c r="H281" s="906"/>
    </row>
    <row r="282" spans="1:8" x14ac:dyDescent="0.2">
      <c r="A282" s="907" t="s">
        <v>752</v>
      </c>
      <c r="B282" s="906"/>
      <c r="C282" s="906"/>
      <c r="D282" s="906"/>
      <c r="E282" s="906"/>
      <c r="F282" s="906"/>
      <c r="G282" s="906"/>
      <c r="H282" s="906"/>
    </row>
    <row r="283" spans="1:8" x14ac:dyDescent="0.2">
      <c r="A283" s="907" t="s">
        <v>753</v>
      </c>
      <c r="B283" s="906"/>
      <c r="C283" s="906"/>
      <c r="D283" s="906"/>
      <c r="E283" s="906"/>
      <c r="F283" s="906"/>
      <c r="G283" s="906"/>
      <c r="H283" s="906"/>
    </row>
    <row r="284" spans="1:8" x14ac:dyDescent="0.2">
      <c r="A284" s="907" t="s">
        <v>754</v>
      </c>
      <c r="B284" s="906"/>
      <c r="C284" s="906"/>
      <c r="D284" s="906"/>
      <c r="E284" s="906"/>
      <c r="F284" s="906"/>
      <c r="G284" s="906"/>
      <c r="H284" s="906"/>
    </row>
    <row r="285" spans="1:8" x14ac:dyDescent="0.2">
      <c r="A285" s="906"/>
      <c r="B285" s="906"/>
      <c r="C285" s="906"/>
      <c r="D285" s="906"/>
      <c r="E285" s="906"/>
      <c r="F285" s="906"/>
      <c r="G285" s="906"/>
      <c r="H285" s="906"/>
    </row>
    <row r="286" spans="1:8" x14ac:dyDescent="0.2">
      <c r="A286" s="907" t="s">
        <v>739</v>
      </c>
      <c r="B286" s="906"/>
      <c r="C286" s="906"/>
      <c r="D286" s="906"/>
      <c r="E286" s="906"/>
      <c r="F286" s="906"/>
      <c r="G286" s="906"/>
      <c r="H286" s="906"/>
    </row>
    <row r="287" spans="1:8" x14ac:dyDescent="0.2">
      <c r="A287" s="907" t="s">
        <v>740</v>
      </c>
      <c r="B287" s="906"/>
      <c r="C287" s="906"/>
      <c r="D287" s="906"/>
      <c r="E287" s="906"/>
      <c r="F287" s="906"/>
      <c r="G287" s="906"/>
      <c r="H287" s="906"/>
    </row>
    <row r="288" spans="1:8" x14ac:dyDescent="0.2">
      <c r="A288" s="907" t="s">
        <v>741</v>
      </c>
      <c r="B288" s="906"/>
      <c r="C288" s="906"/>
      <c r="D288" s="906"/>
      <c r="E288" s="906"/>
      <c r="F288" s="906"/>
      <c r="G288" s="906"/>
      <c r="H288" s="906"/>
    </row>
    <row r="289" spans="1:8" x14ac:dyDescent="0.2">
      <c r="A289" s="907" t="s">
        <v>742</v>
      </c>
      <c r="B289" s="906"/>
      <c r="C289" s="906"/>
      <c r="D289" s="906"/>
      <c r="E289" s="906"/>
      <c r="F289" s="906"/>
      <c r="G289" s="906"/>
      <c r="H289" s="906"/>
    </row>
    <row r="290" spans="1:8" x14ac:dyDescent="0.2">
      <c r="A290" s="907" t="s">
        <v>743</v>
      </c>
      <c r="B290" s="906"/>
      <c r="C290" s="906"/>
      <c r="D290" s="906"/>
      <c r="E290" s="906"/>
      <c r="F290" s="906"/>
      <c r="G290" s="906"/>
      <c r="H290" s="906"/>
    </row>
    <row r="291" spans="1:8" x14ac:dyDescent="0.2">
      <c r="A291" s="907" t="s">
        <v>744</v>
      </c>
      <c r="B291" s="906"/>
      <c r="C291" s="906"/>
      <c r="D291" s="906"/>
      <c r="E291" s="906"/>
      <c r="F291" s="906"/>
      <c r="G291" s="906"/>
      <c r="H291" s="906"/>
    </row>
    <row r="292" spans="1:8" x14ac:dyDescent="0.2">
      <c r="A292" s="907" t="s">
        <v>745</v>
      </c>
      <c r="B292" s="906"/>
      <c r="C292" s="906"/>
      <c r="D292" s="906"/>
      <c r="E292" s="906"/>
      <c r="F292" s="906"/>
      <c r="G292" s="906"/>
      <c r="H292" s="906"/>
    </row>
    <row r="293" spans="1:8" x14ac:dyDescent="0.2">
      <c r="A293" s="907" t="s">
        <v>746</v>
      </c>
      <c r="B293" s="906"/>
      <c r="C293" s="906"/>
      <c r="D293" s="906"/>
      <c r="E293" s="906"/>
      <c r="F293" s="906"/>
      <c r="G293" s="906"/>
      <c r="H293" s="906"/>
    </row>
    <row r="294" spans="1:8" x14ac:dyDescent="0.2">
      <c r="A294" s="907" t="s">
        <v>747</v>
      </c>
      <c r="B294" s="906"/>
      <c r="C294" s="906"/>
      <c r="D294" s="906"/>
      <c r="E294" s="906"/>
      <c r="F294" s="906"/>
      <c r="G294" s="906"/>
      <c r="H294" s="906"/>
    </row>
    <row r="295" spans="1:8" x14ac:dyDescent="0.2">
      <c r="A295" s="906"/>
      <c r="B295" s="906"/>
      <c r="C295" s="906"/>
      <c r="D295" s="906"/>
      <c r="E295" s="906"/>
      <c r="F295" s="906"/>
      <c r="G295" s="906"/>
      <c r="H295" s="906"/>
    </row>
    <row r="296" spans="1:8" x14ac:dyDescent="0.2">
      <c r="A296" s="907" t="s">
        <v>732</v>
      </c>
      <c r="B296" s="906"/>
      <c r="C296" s="906"/>
      <c r="D296" s="906"/>
      <c r="E296" s="906"/>
      <c r="F296" s="906"/>
      <c r="G296" s="906"/>
      <c r="H296" s="906"/>
    </row>
    <row r="297" spans="1:8" x14ac:dyDescent="0.2">
      <c r="A297" s="907" t="s">
        <v>733</v>
      </c>
      <c r="B297" s="906"/>
      <c r="C297" s="906"/>
      <c r="D297" s="906"/>
      <c r="E297" s="906"/>
      <c r="F297" s="906"/>
      <c r="G297" s="906"/>
      <c r="H297" s="906"/>
    </row>
    <row r="298" spans="1:8" x14ac:dyDescent="0.2">
      <c r="A298" s="907" t="s">
        <v>734</v>
      </c>
      <c r="B298" s="906"/>
      <c r="C298" s="906"/>
      <c r="D298" s="906"/>
      <c r="E298" s="906"/>
      <c r="F298" s="906"/>
      <c r="G298" s="906"/>
      <c r="H298" s="906"/>
    </row>
    <row r="299" spans="1:8" x14ac:dyDescent="0.2">
      <c r="A299" s="907" t="s">
        <v>735</v>
      </c>
      <c r="B299" s="906"/>
      <c r="C299" s="906"/>
      <c r="D299" s="906"/>
      <c r="E299" s="906"/>
      <c r="F299" s="906"/>
      <c r="G299" s="906"/>
      <c r="H299" s="906"/>
    </row>
    <row r="300" spans="1:8" x14ac:dyDescent="0.2">
      <c r="A300" s="907" t="s">
        <v>736</v>
      </c>
      <c r="B300" s="906"/>
      <c r="C300" s="906"/>
      <c r="D300" s="906"/>
      <c r="E300" s="906"/>
      <c r="F300" s="906"/>
      <c r="G300" s="906"/>
      <c r="H300" s="906"/>
    </row>
    <row r="301" spans="1:8" x14ac:dyDescent="0.2">
      <c r="A301" s="907" t="s">
        <v>737</v>
      </c>
      <c r="B301" s="906"/>
      <c r="C301" s="906"/>
      <c r="D301" s="906"/>
      <c r="E301" s="906"/>
      <c r="F301" s="906"/>
      <c r="G301" s="906"/>
      <c r="H301" s="906"/>
    </row>
    <row r="302" spans="1:8" x14ac:dyDescent="0.2">
      <c r="A302" s="907" t="s">
        <v>738</v>
      </c>
      <c r="B302" s="906"/>
      <c r="C302" s="906"/>
      <c r="D302" s="906"/>
      <c r="E302" s="906"/>
      <c r="F302" s="906"/>
      <c r="G302" s="906"/>
      <c r="H302" s="906"/>
    </row>
    <row r="303" spans="1:8" x14ac:dyDescent="0.2">
      <c r="A303" s="906"/>
      <c r="B303" s="906"/>
      <c r="C303" s="906"/>
      <c r="D303" s="906"/>
      <c r="E303" s="906"/>
      <c r="F303" s="906"/>
      <c r="G303" s="906"/>
      <c r="H303" s="906"/>
    </row>
    <row r="304" spans="1:8" x14ac:dyDescent="0.2">
      <c r="A304" s="907" t="s">
        <v>729</v>
      </c>
      <c r="B304" s="906"/>
      <c r="C304" s="906"/>
      <c r="D304" s="906"/>
      <c r="E304" s="906"/>
      <c r="F304" s="906"/>
      <c r="G304" s="906"/>
      <c r="H304" s="906"/>
    </row>
    <row r="305" spans="1:8" x14ac:dyDescent="0.2">
      <c r="A305" s="907" t="s">
        <v>730</v>
      </c>
      <c r="B305" s="906"/>
      <c r="C305" s="906"/>
      <c r="D305" s="906"/>
      <c r="E305" s="906"/>
      <c r="F305" s="906"/>
      <c r="G305" s="906"/>
      <c r="H305" s="906"/>
    </row>
    <row r="306" spans="1:8" x14ac:dyDescent="0.2">
      <c r="A306" s="907" t="s">
        <v>731</v>
      </c>
      <c r="B306" s="906"/>
      <c r="C306" s="906"/>
      <c r="D306" s="906"/>
      <c r="E306" s="906"/>
      <c r="F306" s="906"/>
      <c r="G306" s="906"/>
      <c r="H306" s="906"/>
    </row>
    <row r="307" spans="1:8" x14ac:dyDescent="0.2">
      <c r="A307" s="906"/>
      <c r="B307" s="906"/>
      <c r="C307" s="906"/>
      <c r="D307" s="906"/>
      <c r="E307" s="906"/>
      <c r="F307" s="906"/>
      <c r="G307" s="906"/>
      <c r="H307" s="906"/>
    </row>
    <row r="308" spans="1:8" x14ac:dyDescent="0.2">
      <c r="A308" s="907" t="s">
        <v>727</v>
      </c>
      <c r="B308" s="906"/>
      <c r="C308" s="906"/>
      <c r="D308" s="906"/>
      <c r="E308" s="906"/>
      <c r="F308" s="906"/>
      <c r="G308" s="906"/>
      <c r="H308" s="906"/>
    </row>
    <row r="309" spans="1:8" x14ac:dyDescent="0.2">
      <c r="A309" s="907" t="s">
        <v>728</v>
      </c>
      <c r="B309" s="906"/>
      <c r="C309" s="906"/>
      <c r="D309" s="906"/>
      <c r="E309" s="906"/>
      <c r="F309" s="906"/>
      <c r="G309" s="906"/>
      <c r="H309" s="906"/>
    </row>
    <row r="310" spans="1:8" x14ac:dyDescent="0.2">
      <c r="A310" s="906"/>
      <c r="B310" s="906"/>
      <c r="C310" s="906"/>
      <c r="D310" s="906"/>
      <c r="E310" s="906"/>
      <c r="F310" s="906"/>
      <c r="G310" s="906"/>
      <c r="H310" s="906"/>
    </row>
    <row r="311" spans="1:8" x14ac:dyDescent="0.2">
      <c r="A311" s="907" t="s">
        <v>714</v>
      </c>
      <c r="B311" s="906"/>
      <c r="C311" s="906"/>
      <c r="D311" s="906"/>
      <c r="E311" s="906"/>
      <c r="F311" s="906"/>
      <c r="G311" s="906"/>
      <c r="H311" s="906"/>
    </row>
    <row r="312" spans="1:8" x14ac:dyDescent="0.2">
      <c r="A312" s="907" t="s">
        <v>715</v>
      </c>
      <c r="B312" s="906"/>
      <c r="C312" s="906"/>
      <c r="D312" s="906"/>
      <c r="E312" s="906"/>
      <c r="F312" s="906"/>
      <c r="G312" s="906"/>
      <c r="H312" s="906"/>
    </row>
    <row r="313" spans="1:8" x14ac:dyDescent="0.2">
      <c r="A313" s="907" t="s">
        <v>716</v>
      </c>
      <c r="B313" s="906"/>
      <c r="C313" s="906"/>
      <c r="D313" s="906"/>
      <c r="E313" s="906"/>
      <c r="F313" s="906"/>
      <c r="G313" s="906"/>
      <c r="H313" s="906"/>
    </row>
    <row r="314" spans="1:8" x14ac:dyDescent="0.2">
      <c r="A314" s="907" t="s">
        <v>717</v>
      </c>
      <c r="B314" s="906"/>
      <c r="C314" s="906"/>
      <c r="D314" s="906"/>
      <c r="E314" s="906"/>
      <c r="F314" s="906"/>
      <c r="G314" s="906"/>
      <c r="H314" s="906"/>
    </row>
    <row r="315" spans="1:8" x14ac:dyDescent="0.2">
      <c r="A315" s="907" t="s">
        <v>718</v>
      </c>
      <c r="B315" s="906"/>
      <c r="C315" s="906"/>
      <c r="D315" s="906"/>
      <c r="E315" s="906"/>
      <c r="F315" s="906"/>
      <c r="G315" s="906"/>
      <c r="H315" s="906"/>
    </row>
    <row r="316" spans="1:8" x14ac:dyDescent="0.2">
      <c r="A316" s="907" t="s">
        <v>719</v>
      </c>
      <c r="B316" s="906"/>
      <c r="C316" s="906"/>
      <c r="D316" s="906"/>
      <c r="E316" s="906"/>
      <c r="F316" s="906"/>
      <c r="G316" s="906"/>
      <c r="H316" s="906"/>
    </row>
    <row r="317" spans="1:8" x14ac:dyDescent="0.2">
      <c r="A317" s="907" t="s">
        <v>720</v>
      </c>
      <c r="B317" s="906"/>
      <c r="C317" s="906"/>
      <c r="D317" s="906"/>
      <c r="E317" s="906"/>
      <c r="F317" s="906"/>
      <c r="G317" s="906"/>
      <c r="H317" s="906"/>
    </row>
    <row r="318" spans="1:8" x14ac:dyDescent="0.2">
      <c r="A318" s="907" t="s">
        <v>721</v>
      </c>
      <c r="B318" s="906"/>
      <c r="C318" s="906"/>
      <c r="D318" s="906"/>
      <c r="E318" s="906"/>
      <c r="F318" s="906"/>
      <c r="G318" s="906"/>
      <c r="H318" s="906"/>
    </row>
    <row r="319" spans="1:8" x14ac:dyDescent="0.2">
      <c r="A319" s="907" t="s">
        <v>722</v>
      </c>
      <c r="B319" s="906"/>
      <c r="C319" s="906"/>
      <c r="D319" s="906"/>
      <c r="E319" s="906"/>
      <c r="F319" s="906"/>
      <c r="G319" s="906"/>
      <c r="H319" s="906"/>
    </row>
    <row r="320" spans="1:8" x14ac:dyDescent="0.2">
      <c r="A320" s="907" t="s">
        <v>723</v>
      </c>
      <c r="B320" s="906"/>
      <c r="C320" s="906"/>
      <c r="D320" s="906"/>
      <c r="E320" s="906"/>
      <c r="F320" s="906"/>
      <c r="G320" s="906"/>
      <c r="H320" s="906"/>
    </row>
    <row r="321" spans="1:8" x14ac:dyDescent="0.2">
      <c r="A321" s="907" t="s">
        <v>724</v>
      </c>
      <c r="B321" s="906"/>
      <c r="C321" s="906"/>
      <c r="D321" s="906"/>
      <c r="E321" s="906"/>
      <c r="F321" s="906"/>
      <c r="G321" s="906"/>
      <c r="H321" s="906"/>
    </row>
    <row r="322" spans="1:8" x14ac:dyDescent="0.2">
      <c r="A322" s="907" t="s">
        <v>725</v>
      </c>
      <c r="B322" s="906"/>
      <c r="C322" s="906"/>
      <c r="D322" s="906"/>
      <c r="E322" s="906"/>
      <c r="F322" s="906"/>
      <c r="G322" s="906"/>
      <c r="H322" s="906"/>
    </row>
    <row r="323" spans="1:8" x14ac:dyDescent="0.2">
      <c r="A323" s="907" t="s">
        <v>726</v>
      </c>
      <c r="B323" s="906"/>
      <c r="C323" s="906"/>
      <c r="D323" s="906"/>
      <c r="E323" s="906"/>
      <c r="F323" s="906"/>
      <c r="G323" s="906"/>
      <c r="H323" s="906"/>
    </row>
    <row r="324" spans="1:8" x14ac:dyDescent="0.2">
      <c r="A324" s="906"/>
      <c r="B324" s="906"/>
      <c r="C324" s="906"/>
      <c r="D324" s="906"/>
      <c r="E324" s="906"/>
      <c r="F324" s="906"/>
      <c r="G324" s="906"/>
      <c r="H324" s="906"/>
    </row>
    <row r="325" spans="1:8" x14ac:dyDescent="0.2">
      <c r="A325" s="907" t="s">
        <v>706</v>
      </c>
      <c r="B325" s="906"/>
      <c r="C325" s="906"/>
      <c r="D325" s="906"/>
      <c r="E325" s="906"/>
      <c r="F325" s="906"/>
      <c r="G325" s="906"/>
      <c r="H325" s="906"/>
    </row>
    <row r="326" spans="1:8" x14ac:dyDescent="0.2">
      <c r="A326" s="907" t="s">
        <v>707</v>
      </c>
      <c r="B326" s="906"/>
      <c r="C326" s="906"/>
      <c r="D326" s="906"/>
      <c r="E326" s="906"/>
      <c r="F326" s="906"/>
      <c r="G326" s="906"/>
      <c r="H326" s="906"/>
    </row>
    <row r="327" spans="1:8" x14ac:dyDescent="0.2">
      <c r="A327" s="907" t="s">
        <v>708</v>
      </c>
      <c r="B327" s="906"/>
      <c r="C327" s="906"/>
      <c r="D327" s="906"/>
      <c r="E327" s="906"/>
      <c r="F327" s="906"/>
      <c r="G327" s="906"/>
      <c r="H327" s="906"/>
    </row>
    <row r="328" spans="1:8" x14ac:dyDescent="0.2">
      <c r="A328" s="907" t="s">
        <v>709</v>
      </c>
      <c r="B328" s="906"/>
      <c r="C328" s="906"/>
      <c r="D328" s="906"/>
      <c r="E328" s="906"/>
      <c r="F328" s="906"/>
      <c r="G328" s="906"/>
      <c r="H328" s="906"/>
    </row>
    <row r="329" spans="1:8" x14ac:dyDescent="0.2">
      <c r="A329" s="907" t="s">
        <v>710</v>
      </c>
      <c r="B329" s="906"/>
      <c r="C329" s="906"/>
      <c r="D329" s="906"/>
      <c r="E329" s="906"/>
      <c r="F329" s="906"/>
      <c r="G329" s="906"/>
      <c r="H329" s="906"/>
    </row>
    <row r="330" spans="1:8" x14ac:dyDescent="0.2">
      <c r="A330" s="907" t="s">
        <v>711</v>
      </c>
      <c r="B330" s="906"/>
      <c r="C330" s="906"/>
      <c r="D330" s="906"/>
      <c r="E330" s="906"/>
      <c r="F330" s="906"/>
      <c r="G330" s="906"/>
      <c r="H330" s="906"/>
    </row>
    <row r="331" spans="1:8" x14ac:dyDescent="0.2">
      <c r="A331" s="907" t="s">
        <v>712</v>
      </c>
      <c r="B331" s="906"/>
      <c r="C331" s="906"/>
      <c r="D331" s="906"/>
      <c r="E331" s="906"/>
      <c r="F331" s="906"/>
      <c r="G331" s="906"/>
      <c r="H331" s="906"/>
    </row>
    <row r="332" spans="1:8" x14ac:dyDescent="0.2">
      <c r="A332" s="907" t="s">
        <v>713</v>
      </c>
      <c r="B332" s="906"/>
      <c r="C332" s="906"/>
      <c r="D332" s="906"/>
      <c r="E332" s="906"/>
      <c r="F332" s="906"/>
      <c r="G332" s="906"/>
      <c r="H332" s="906"/>
    </row>
    <row r="333" spans="1:8" x14ac:dyDescent="0.2">
      <c r="A333" s="906"/>
      <c r="B333" s="906"/>
      <c r="C333" s="906"/>
      <c r="D333" s="906"/>
      <c r="E333" s="906"/>
      <c r="F333" s="906"/>
      <c r="G333" s="906"/>
      <c r="H333" s="906"/>
    </row>
    <row r="334" spans="1:8" x14ac:dyDescent="0.2">
      <c r="A334" s="907" t="s">
        <v>671</v>
      </c>
      <c r="B334" s="906"/>
      <c r="C334" s="906"/>
      <c r="D334" s="906"/>
      <c r="E334" s="906"/>
      <c r="F334" s="906"/>
      <c r="G334" s="906"/>
      <c r="H334" s="906"/>
    </row>
    <row r="335" spans="1:8" x14ac:dyDescent="0.2">
      <c r="A335" s="907" t="s">
        <v>672</v>
      </c>
      <c r="B335" s="906"/>
      <c r="C335" s="906"/>
      <c r="D335" s="906"/>
      <c r="E335" s="906"/>
      <c r="F335" s="906"/>
      <c r="G335" s="906"/>
      <c r="H335" s="906"/>
    </row>
    <row r="336" spans="1:8" x14ac:dyDescent="0.2">
      <c r="A336" s="907" t="s">
        <v>673</v>
      </c>
      <c r="B336" s="906"/>
      <c r="C336" s="906"/>
      <c r="D336" s="906"/>
      <c r="E336" s="906"/>
      <c r="F336" s="906"/>
      <c r="G336" s="906"/>
      <c r="H336" s="906"/>
    </row>
    <row r="337" spans="1:8" x14ac:dyDescent="0.2">
      <c r="A337" s="907" t="s">
        <v>674</v>
      </c>
      <c r="B337" s="906"/>
      <c r="C337" s="906"/>
      <c r="D337" s="906"/>
      <c r="E337" s="906"/>
      <c r="F337" s="906"/>
      <c r="G337" s="906"/>
      <c r="H337" s="906"/>
    </row>
    <row r="338" spans="1:8" x14ac:dyDescent="0.2">
      <c r="A338" s="907" t="s">
        <v>675</v>
      </c>
      <c r="B338" s="906"/>
      <c r="C338" s="906"/>
      <c r="D338" s="906"/>
      <c r="E338" s="906"/>
      <c r="F338" s="906"/>
      <c r="G338" s="906"/>
      <c r="H338" s="906"/>
    </row>
    <row r="339" spans="1:8" x14ac:dyDescent="0.2">
      <c r="A339" s="907" t="s">
        <v>676</v>
      </c>
      <c r="B339" s="906"/>
      <c r="C339" s="906"/>
      <c r="D339" s="906"/>
      <c r="E339" s="906"/>
      <c r="F339" s="906"/>
      <c r="G339" s="906"/>
      <c r="H339" s="906"/>
    </row>
    <row r="340" spans="1:8" x14ac:dyDescent="0.2">
      <c r="A340" s="907" t="s">
        <v>677</v>
      </c>
      <c r="B340" s="906"/>
      <c r="C340" s="906"/>
      <c r="D340" s="906"/>
      <c r="E340" s="906"/>
      <c r="F340" s="906"/>
      <c r="G340" s="906"/>
      <c r="H340" s="906"/>
    </row>
    <row r="341" spans="1:8" x14ac:dyDescent="0.2">
      <c r="A341" s="907" t="s">
        <v>678</v>
      </c>
      <c r="B341" s="906"/>
      <c r="C341" s="906"/>
      <c r="D341" s="906"/>
      <c r="E341" s="906"/>
      <c r="F341" s="906"/>
      <c r="G341" s="906"/>
      <c r="H341" s="906"/>
    </row>
    <row r="342" spans="1:8" x14ac:dyDescent="0.2">
      <c r="A342" s="907" t="s">
        <v>679</v>
      </c>
      <c r="B342" s="906"/>
      <c r="C342" s="906"/>
      <c r="D342" s="906"/>
      <c r="E342" s="906"/>
      <c r="F342" s="906"/>
      <c r="G342" s="906"/>
      <c r="H342" s="906"/>
    </row>
    <row r="343" spans="1:8" x14ac:dyDescent="0.2">
      <c r="A343" s="907" t="s">
        <v>680</v>
      </c>
      <c r="B343" s="906"/>
      <c r="C343" s="906"/>
      <c r="D343" s="906"/>
      <c r="E343" s="906"/>
      <c r="F343" s="906"/>
      <c r="G343" s="906"/>
      <c r="H343" s="906"/>
    </row>
    <row r="344" spans="1:8" x14ac:dyDescent="0.2">
      <c r="A344" s="907" t="s">
        <v>681</v>
      </c>
      <c r="B344" s="906"/>
      <c r="C344" s="906"/>
      <c r="D344" s="906"/>
      <c r="E344" s="906"/>
      <c r="F344" s="906"/>
      <c r="G344" s="906"/>
      <c r="H344" s="906"/>
    </row>
    <row r="345" spans="1:8" x14ac:dyDescent="0.2">
      <c r="A345" s="907" t="s">
        <v>682</v>
      </c>
      <c r="B345" s="906"/>
      <c r="C345" s="906"/>
      <c r="D345" s="906"/>
      <c r="E345" s="906"/>
      <c r="F345" s="906"/>
      <c r="G345" s="906"/>
      <c r="H345" s="906"/>
    </row>
    <row r="346" spans="1:8" x14ac:dyDescent="0.2">
      <c r="A346" s="907" t="s">
        <v>683</v>
      </c>
      <c r="B346" s="906"/>
      <c r="C346" s="906"/>
      <c r="D346" s="906"/>
      <c r="E346" s="906"/>
      <c r="F346" s="906"/>
      <c r="G346" s="906"/>
      <c r="H346" s="906"/>
    </row>
    <row r="347" spans="1:8" x14ac:dyDescent="0.2">
      <c r="A347" s="907" t="s">
        <v>684</v>
      </c>
      <c r="B347" s="906"/>
      <c r="C347" s="906"/>
      <c r="D347" s="906"/>
      <c r="E347" s="906"/>
      <c r="F347" s="906"/>
      <c r="G347" s="906"/>
      <c r="H347" s="906"/>
    </row>
    <row r="348" spans="1:8" x14ac:dyDescent="0.2">
      <c r="A348" s="907" t="s">
        <v>685</v>
      </c>
      <c r="B348" s="906"/>
      <c r="C348" s="906"/>
      <c r="D348" s="906"/>
      <c r="E348" s="906"/>
      <c r="F348" s="906"/>
      <c r="G348" s="906"/>
      <c r="H348" s="906"/>
    </row>
    <row r="349" spans="1:8" x14ac:dyDescent="0.2">
      <c r="A349" s="907" t="s">
        <v>686</v>
      </c>
      <c r="B349" s="906"/>
      <c r="C349" s="906"/>
      <c r="D349" s="906"/>
      <c r="E349" s="906"/>
      <c r="F349" s="906"/>
      <c r="G349" s="906"/>
      <c r="H349" s="906"/>
    </row>
    <row r="350" spans="1:8" x14ac:dyDescent="0.2">
      <c r="A350" s="907" t="s">
        <v>687</v>
      </c>
      <c r="B350" s="906"/>
      <c r="C350" s="906"/>
      <c r="D350" s="906"/>
      <c r="E350" s="906"/>
      <c r="F350" s="906"/>
      <c r="G350" s="906"/>
      <c r="H350" s="906"/>
    </row>
    <row r="351" spans="1:8" x14ac:dyDescent="0.2">
      <c r="A351" s="907" t="s">
        <v>688</v>
      </c>
      <c r="B351" s="906"/>
      <c r="C351" s="906"/>
      <c r="D351" s="906"/>
      <c r="E351" s="906"/>
      <c r="F351" s="906"/>
      <c r="G351" s="906"/>
      <c r="H351" s="906"/>
    </row>
    <row r="352" spans="1:8" x14ac:dyDescent="0.2">
      <c r="A352" s="907" t="s">
        <v>689</v>
      </c>
      <c r="B352" s="906"/>
      <c r="C352" s="906"/>
      <c r="D352" s="906"/>
      <c r="E352" s="906"/>
      <c r="F352" s="906"/>
      <c r="G352" s="906"/>
      <c r="H352" s="906"/>
    </row>
    <row r="353" spans="1:8" x14ac:dyDescent="0.2">
      <c r="A353" s="907" t="s">
        <v>690</v>
      </c>
      <c r="B353" s="906"/>
      <c r="C353" s="906"/>
      <c r="D353" s="906"/>
      <c r="E353" s="906"/>
      <c r="F353" s="906"/>
      <c r="G353" s="906"/>
      <c r="H353" s="906"/>
    </row>
    <row r="354" spans="1:8" x14ac:dyDescent="0.2">
      <c r="A354" s="907" t="s">
        <v>691</v>
      </c>
      <c r="B354" s="906"/>
      <c r="C354" s="906"/>
      <c r="D354" s="906"/>
      <c r="E354" s="906"/>
      <c r="F354" s="906"/>
      <c r="G354" s="906"/>
      <c r="H354" s="906"/>
    </row>
    <row r="355" spans="1:8" x14ac:dyDescent="0.2">
      <c r="A355" s="907" t="s">
        <v>692</v>
      </c>
      <c r="B355" s="906"/>
      <c r="C355" s="906"/>
      <c r="D355" s="906"/>
      <c r="E355" s="906"/>
      <c r="F355" s="906"/>
      <c r="G355" s="906"/>
      <c r="H355" s="906"/>
    </row>
    <row r="356" spans="1:8" x14ac:dyDescent="0.2">
      <c r="A356" s="907" t="s">
        <v>693</v>
      </c>
      <c r="B356" s="906"/>
      <c r="C356" s="906"/>
      <c r="D356" s="906"/>
      <c r="E356" s="906"/>
      <c r="F356" s="906"/>
      <c r="G356" s="906"/>
      <c r="H356" s="906"/>
    </row>
    <row r="357" spans="1:8" x14ac:dyDescent="0.2">
      <c r="A357" s="907" t="s">
        <v>694</v>
      </c>
      <c r="B357" s="906"/>
      <c r="C357" s="906"/>
      <c r="D357" s="906"/>
      <c r="E357" s="906"/>
      <c r="F357" s="906"/>
      <c r="G357" s="906"/>
      <c r="H357" s="906"/>
    </row>
    <row r="358" spans="1:8" x14ac:dyDescent="0.2">
      <c r="A358" s="907" t="s">
        <v>695</v>
      </c>
      <c r="B358" s="906"/>
      <c r="C358" s="906"/>
      <c r="D358" s="906"/>
      <c r="E358" s="906"/>
      <c r="F358" s="906"/>
      <c r="G358" s="906"/>
      <c r="H358" s="906"/>
    </row>
    <row r="359" spans="1:8" x14ac:dyDescent="0.2">
      <c r="A359" s="907" t="s">
        <v>696</v>
      </c>
      <c r="B359" s="906"/>
      <c r="C359" s="906"/>
      <c r="D359" s="906"/>
      <c r="E359" s="906"/>
      <c r="F359" s="906"/>
      <c r="G359" s="906"/>
      <c r="H359" s="906"/>
    </row>
    <row r="360" spans="1:8" x14ac:dyDescent="0.2">
      <c r="A360" s="907" t="s">
        <v>697</v>
      </c>
      <c r="B360" s="906"/>
      <c r="C360" s="906"/>
      <c r="D360" s="906"/>
      <c r="E360" s="906"/>
      <c r="F360" s="906"/>
      <c r="G360" s="906"/>
      <c r="H360" s="906"/>
    </row>
    <row r="361" spans="1:8" x14ac:dyDescent="0.2">
      <c r="A361" s="907" t="s">
        <v>698</v>
      </c>
      <c r="B361" s="906"/>
      <c r="C361" s="906"/>
      <c r="D361" s="906"/>
      <c r="E361" s="906"/>
      <c r="F361" s="906"/>
      <c r="G361" s="906"/>
      <c r="H361" s="906"/>
    </row>
    <row r="362" spans="1:8" x14ac:dyDescent="0.2">
      <c r="A362" s="907" t="s">
        <v>699</v>
      </c>
      <c r="B362" s="906"/>
      <c r="C362" s="906"/>
      <c r="D362" s="906"/>
      <c r="E362" s="906"/>
      <c r="F362" s="906"/>
      <c r="G362" s="906"/>
      <c r="H362" s="906"/>
    </row>
    <row r="363" spans="1:8" x14ac:dyDescent="0.2">
      <c r="A363" s="907" t="s">
        <v>700</v>
      </c>
      <c r="B363" s="906"/>
      <c r="C363" s="906"/>
      <c r="D363" s="906"/>
      <c r="E363" s="906"/>
      <c r="F363" s="906"/>
      <c r="G363" s="906"/>
      <c r="H363" s="906"/>
    </row>
    <row r="364" spans="1:8" x14ac:dyDescent="0.2">
      <c r="A364" s="907" t="s">
        <v>701</v>
      </c>
      <c r="B364" s="906"/>
      <c r="C364" s="906"/>
      <c r="D364" s="906"/>
      <c r="E364" s="906"/>
      <c r="F364" s="906"/>
      <c r="G364" s="906"/>
      <c r="H364" s="906"/>
    </row>
    <row r="365" spans="1:8" x14ac:dyDescent="0.2">
      <c r="A365" s="907" t="s">
        <v>702</v>
      </c>
      <c r="B365" s="906"/>
      <c r="C365" s="906"/>
      <c r="D365" s="906"/>
      <c r="E365" s="906"/>
      <c r="F365" s="906"/>
      <c r="G365" s="906"/>
      <c r="H365" s="906"/>
    </row>
    <row r="366" spans="1:8" x14ac:dyDescent="0.2">
      <c r="A366" s="907" t="s">
        <v>703</v>
      </c>
      <c r="B366" s="906"/>
      <c r="C366" s="906"/>
      <c r="D366" s="906"/>
      <c r="E366" s="906"/>
      <c r="F366" s="906"/>
      <c r="G366" s="906"/>
      <c r="H366" s="906"/>
    </row>
    <row r="367" spans="1:8" x14ac:dyDescent="0.2">
      <c r="A367" s="907" t="s">
        <v>704</v>
      </c>
      <c r="B367" s="906"/>
      <c r="C367" s="906"/>
      <c r="D367" s="906"/>
      <c r="E367" s="906"/>
      <c r="F367" s="906"/>
      <c r="G367" s="906"/>
      <c r="H367" s="906"/>
    </row>
    <row r="368" spans="1:8" x14ac:dyDescent="0.2">
      <c r="A368" s="907" t="s">
        <v>705</v>
      </c>
      <c r="B368" s="906"/>
      <c r="C368" s="906"/>
      <c r="D368" s="906"/>
      <c r="E368" s="906"/>
      <c r="F368" s="906"/>
      <c r="G368" s="906"/>
      <c r="H368" s="906"/>
    </row>
    <row r="369" spans="1:8" x14ac:dyDescent="0.2">
      <c r="A369" s="906"/>
      <c r="B369" s="906"/>
      <c r="C369" s="906"/>
      <c r="D369" s="906"/>
      <c r="E369" s="906"/>
      <c r="F369" s="906"/>
      <c r="G369" s="906"/>
      <c r="H369" s="906"/>
    </row>
    <row r="370" spans="1:8" x14ac:dyDescent="0.2">
      <c r="A370" s="907" t="s">
        <v>663</v>
      </c>
      <c r="B370" s="906"/>
      <c r="C370" s="906"/>
      <c r="D370" s="906"/>
      <c r="E370" s="906"/>
      <c r="F370" s="906"/>
      <c r="G370" s="906"/>
      <c r="H370" s="906"/>
    </row>
    <row r="371" spans="1:8" x14ac:dyDescent="0.2">
      <c r="A371" s="907" t="s">
        <v>667</v>
      </c>
      <c r="B371" s="906"/>
      <c r="C371" s="906"/>
      <c r="D371" s="906"/>
      <c r="E371" s="906"/>
      <c r="F371" s="906"/>
      <c r="G371" s="906"/>
      <c r="H371" s="906"/>
    </row>
    <row r="372" spans="1:8" x14ac:dyDescent="0.2">
      <c r="A372" s="907" t="s">
        <v>668</v>
      </c>
      <c r="B372" s="906"/>
      <c r="C372" s="906"/>
      <c r="D372" s="906"/>
      <c r="E372" s="906"/>
      <c r="F372" s="906"/>
      <c r="G372" s="906"/>
      <c r="H372" s="906"/>
    </row>
    <row r="373" spans="1:8" x14ac:dyDescent="0.2">
      <c r="A373" s="907" t="s">
        <v>669</v>
      </c>
      <c r="B373" s="906"/>
      <c r="C373" s="906"/>
      <c r="D373" s="906"/>
      <c r="E373" s="906"/>
      <c r="F373" s="906"/>
      <c r="G373" s="906"/>
      <c r="H373" s="906"/>
    </row>
    <row r="374" spans="1:8" x14ac:dyDescent="0.2">
      <c r="A374" s="907" t="s">
        <v>670</v>
      </c>
      <c r="B374" s="906"/>
      <c r="C374" s="906"/>
      <c r="D374" s="906"/>
      <c r="E374" s="906"/>
      <c r="F374" s="906"/>
      <c r="G374" s="906"/>
      <c r="H374" s="906"/>
    </row>
    <row r="375" spans="1:8" x14ac:dyDescent="0.2">
      <c r="A375" s="906"/>
      <c r="B375" s="906"/>
      <c r="C375" s="906"/>
      <c r="D375" s="906"/>
      <c r="E375" s="906"/>
      <c r="F375" s="906"/>
      <c r="G375" s="906"/>
      <c r="H375" s="906"/>
    </row>
    <row r="376" spans="1:8" x14ac:dyDescent="0.2">
      <c r="A376" s="907" t="s">
        <v>663</v>
      </c>
      <c r="B376" s="906"/>
      <c r="C376" s="906"/>
      <c r="D376" s="906"/>
      <c r="E376" s="906"/>
      <c r="F376" s="906"/>
      <c r="G376" s="906"/>
      <c r="H376" s="906"/>
    </row>
    <row r="377" spans="1:8" x14ac:dyDescent="0.2">
      <c r="A377" s="907" t="s">
        <v>664</v>
      </c>
      <c r="B377" s="906"/>
      <c r="C377" s="906"/>
      <c r="D377" s="906"/>
      <c r="E377" s="906"/>
      <c r="F377" s="906"/>
      <c r="G377" s="906"/>
      <c r="H377" s="906"/>
    </row>
    <row r="378" spans="1:8" x14ac:dyDescent="0.2">
      <c r="A378" s="907" t="s">
        <v>665</v>
      </c>
      <c r="B378" s="906"/>
      <c r="C378" s="906"/>
      <c r="D378" s="906"/>
      <c r="E378" s="906"/>
      <c r="F378" s="906"/>
      <c r="G378" s="906"/>
      <c r="H378" s="906"/>
    </row>
    <row r="379" spans="1:8" x14ac:dyDescent="0.2">
      <c r="A379" s="907" t="s">
        <v>666</v>
      </c>
      <c r="B379" s="906"/>
      <c r="C379" s="906"/>
      <c r="D379" s="906"/>
      <c r="E379" s="906"/>
      <c r="F379" s="906"/>
      <c r="G379" s="906"/>
      <c r="H379" s="906"/>
    </row>
    <row r="380" spans="1:8" x14ac:dyDescent="0.2">
      <c r="A380" s="906"/>
      <c r="B380" s="906"/>
      <c r="C380" s="906"/>
      <c r="D380" s="906"/>
      <c r="E380" s="906"/>
      <c r="F380" s="906"/>
      <c r="G380" s="906"/>
      <c r="H380" s="906"/>
    </row>
    <row r="381" spans="1:8" x14ac:dyDescent="0.2">
      <c r="A381" s="907" t="s">
        <v>657</v>
      </c>
      <c r="B381" s="906"/>
      <c r="C381" s="906"/>
      <c r="D381" s="906"/>
      <c r="E381" s="906"/>
      <c r="F381" s="906"/>
      <c r="G381" s="906"/>
      <c r="H381" s="906"/>
    </row>
    <row r="382" spans="1:8" x14ac:dyDescent="0.2">
      <c r="A382" s="907" t="s">
        <v>658</v>
      </c>
      <c r="B382" s="906"/>
      <c r="C382" s="906"/>
      <c r="D382" s="906"/>
      <c r="E382" s="906"/>
      <c r="F382" s="906"/>
      <c r="G382" s="906"/>
      <c r="H382" s="906"/>
    </row>
    <row r="383" spans="1:8" x14ac:dyDescent="0.2">
      <c r="A383" s="907" t="s">
        <v>659</v>
      </c>
      <c r="B383" s="906"/>
      <c r="C383" s="906"/>
      <c r="D383" s="906"/>
      <c r="E383" s="906"/>
      <c r="F383" s="906"/>
      <c r="G383" s="906"/>
      <c r="H383" s="906"/>
    </row>
    <row r="384" spans="1:8" x14ac:dyDescent="0.2">
      <c r="A384" s="907" t="s">
        <v>660</v>
      </c>
      <c r="B384" s="906"/>
      <c r="C384" s="906"/>
      <c r="D384" s="906"/>
      <c r="E384" s="906"/>
      <c r="F384" s="906"/>
      <c r="G384" s="906"/>
      <c r="H384" s="906"/>
    </row>
    <row r="385" spans="1:8" x14ac:dyDescent="0.2">
      <c r="A385" s="907" t="s">
        <v>661</v>
      </c>
      <c r="B385" s="906"/>
      <c r="C385" s="906"/>
      <c r="D385" s="906"/>
      <c r="E385" s="906"/>
      <c r="F385" s="906"/>
      <c r="G385" s="906"/>
      <c r="H385" s="906"/>
    </row>
    <row r="386" spans="1:8" x14ac:dyDescent="0.2">
      <c r="A386" s="907" t="s">
        <v>662</v>
      </c>
      <c r="B386" s="906"/>
      <c r="C386" s="906"/>
      <c r="D386" s="906"/>
      <c r="E386" s="906"/>
      <c r="F386" s="906"/>
      <c r="G386" s="906"/>
      <c r="H386" s="906"/>
    </row>
    <row r="387" spans="1:8" x14ac:dyDescent="0.2">
      <c r="A387" s="906"/>
      <c r="B387" s="906"/>
      <c r="C387" s="906"/>
      <c r="D387" s="906"/>
      <c r="E387" s="906"/>
      <c r="F387" s="906"/>
      <c r="G387" s="906"/>
      <c r="H387" s="906"/>
    </row>
    <row r="388" spans="1:8" x14ac:dyDescent="0.2">
      <c r="A388" s="907" t="s">
        <v>652</v>
      </c>
      <c r="B388" s="906"/>
      <c r="C388" s="906"/>
      <c r="D388" s="906"/>
      <c r="E388" s="906"/>
      <c r="F388" s="906"/>
      <c r="G388" s="906"/>
      <c r="H388" s="906"/>
    </row>
    <row r="389" spans="1:8" x14ac:dyDescent="0.2">
      <c r="A389" s="907" t="s">
        <v>653</v>
      </c>
      <c r="B389" s="906"/>
      <c r="C389" s="906"/>
      <c r="D389" s="906"/>
      <c r="E389" s="906"/>
      <c r="F389" s="906"/>
      <c r="G389" s="906"/>
      <c r="H389" s="906"/>
    </row>
    <row r="390" spans="1:8" x14ac:dyDescent="0.2">
      <c r="A390" s="907" t="s">
        <v>654</v>
      </c>
      <c r="B390" s="906"/>
      <c r="C390" s="906"/>
      <c r="D390" s="906"/>
      <c r="E390" s="906"/>
      <c r="F390" s="906"/>
      <c r="G390" s="906"/>
      <c r="H390" s="906"/>
    </row>
    <row r="391" spans="1:8" x14ac:dyDescent="0.2">
      <c r="A391" s="907" t="s">
        <v>655</v>
      </c>
      <c r="B391" s="906"/>
      <c r="C391" s="906"/>
      <c r="D391" s="906"/>
      <c r="E391" s="906"/>
      <c r="F391" s="906"/>
      <c r="G391" s="906"/>
      <c r="H391" s="906"/>
    </row>
    <row r="392" spans="1:8" x14ac:dyDescent="0.2">
      <c r="A392" s="907" t="s">
        <v>656</v>
      </c>
      <c r="B392" s="906"/>
      <c r="C392" s="906"/>
      <c r="D392" s="906"/>
      <c r="E392" s="906"/>
      <c r="F392" s="906"/>
      <c r="G392" s="906"/>
      <c r="H392" s="906"/>
    </row>
    <row r="393" spans="1:8" x14ac:dyDescent="0.2">
      <c r="A393" s="906"/>
      <c r="B393" s="906"/>
      <c r="C393" s="906"/>
      <c r="D393" s="906"/>
      <c r="E393" s="906"/>
      <c r="F393" s="906"/>
      <c r="G393" s="906"/>
      <c r="H393" s="906"/>
    </row>
    <row r="394" spans="1:8" x14ac:dyDescent="0.2">
      <c r="A394" s="907" t="s">
        <v>650</v>
      </c>
      <c r="B394" s="906"/>
      <c r="C394" s="906"/>
      <c r="D394" s="906"/>
      <c r="E394" s="906"/>
      <c r="F394" s="906"/>
      <c r="G394" s="906"/>
      <c r="H394" s="906"/>
    </row>
    <row r="395" spans="1:8" x14ac:dyDescent="0.2">
      <c r="A395" s="907" t="s">
        <v>651</v>
      </c>
      <c r="B395" s="906"/>
      <c r="C395" s="906"/>
      <c r="D395" s="906"/>
      <c r="E395" s="906"/>
      <c r="F395" s="906"/>
      <c r="G395" s="906"/>
      <c r="H395" s="906"/>
    </row>
    <row r="397" spans="1:8" x14ac:dyDescent="0.2">
      <c r="A397" s="902" t="s">
        <v>910</v>
      </c>
    </row>
  </sheetData>
  <mergeCells count="12">
    <mergeCell ref="A120:H120"/>
    <mergeCell ref="A127:H127"/>
    <mergeCell ref="A114:H114"/>
    <mergeCell ref="A115:H115"/>
    <mergeCell ref="A116:H116"/>
    <mergeCell ref="A117:H117"/>
    <mergeCell ref="A119:H119"/>
    <mergeCell ref="A135:H135"/>
    <mergeCell ref="A136:H136"/>
    <mergeCell ref="B128:C128"/>
    <mergeCell ref="D128:F128"/>
    <mergeCell ref="G128:H12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C73"/>
  <sheetViews>
    <sheetView zoomScaleNormal="100" workbookViewId="0"/>
  </sheetViews>
  <sheetFormatPr defaultRowHeight="12.75" x14ac:dyDescent="0.2"/>
  <cols>
    <col min="1" max="1" width="9.33203125" style="615"/>
    <col min="2" max="2" width="44.83203125" style="615" customWidth="1"/>
    <col min="3" max="3" width="15" style="615" customWidth="1"/>
    <col min="4" max="16384" width="9.33203125" style="615"/>
  </cols>
  <sheetData>
    <row r="1" spans="1:29" s="626" customFormat="1" x14ac:dyDescent="0.2">
      <c r="A1" s="730"/>
      <c r="B1" s="627"/>
      <c r="C1" s="627"/>
      <c r="D1" s="627"/>
      <c r="E1" s="627"/>
      <c r="F1" s="627"/>
      <c r="G1" s="627"/>
      <c r="H1" s="627"/>
      <c r="I1" s="627"/>
      <c r="J1" s="627"/>
      <c r="K1" s="627"/>
      <c r="L1" s="627"/>
      <c r="M1" s="627"/>
      <c r="N1" s="627"/>
      <c r="O1" s="627"/>
      <c r="P1" s="627"/>
      <c r="Q1" s="627"/>
      <c r="R1" s="627"/>
      <c r="S1" s="627"/>
      <c r="T1" s="627"/>
      <c r="U1" s="627"/>
      <c r="V1" s="627"/>
      <c r="W1" s="627"/>
      <c r="X1" s="627"/>
      <c r="Y1" s="627"/>
      <c r="Z1" s="627"/>
      <c r="AA1" s="627"/>
      <c r="AB1" s="627"/>
      <c r="AC1" s="627"/>
    </row>
    <row r="2" spans="1:29" s="626" customFormat="1" ht="28.5" customHeight="1" x14ac:dyDescent="0.35">
      <c r="A2" s="627"/>
      <c r="B2" s="631" t="s">
        <v>410</v>
      </c>
      <c r="C2" s="627"/>
      <c r="D2" s="627"/>
      <c r="E2" s="627"/>
      <c r="F2" s="627"/>
      <c r="G2" s="627"/>
      <c r="H2" s="627"/>
      <c r="I2" s="627"/>
      <c r="J2" s="627"/>
      <c r="K2" s="627"/>
      <c r="L2" s="627"/>
      <c r="M2" s="627"/>
      <c r="N2" s="627"/>
      <c r="O2" s="627"/>
      <c r="P2" s="627"/>
      <c r="Q2" s="627"/>
      <c r="R2" s="627"/>
      <c r="S2" s="627"/>
      <c r="T2" s="627"/>
      <c r="U2" s="627"/>
      <c r="V2" s="627"/>
      <c r="W2" s="627"/>
      <c r="X2" s="627"/>
      <c r="Y2" s="627"/>
      <c r="Z2" s="627"/>
      <c r="AA2" s="627"/>
      <c r="AB2" s="627"/>
      <c r="AC2" s="627"/>
    </row>
    <row r="3" spans="1:29" s="626" customFormat="1" ht="15.75" x14ac:dyDescent="0.25">
      <c r="A3" s="627"/>
      <c r="B3" s="629" t="s">
        <v>99</v>
      </c>
      <c r="C3" s="629" t="s">
        <v>377</v>
      </c>
      <c r="D3" s="627"/>
      <c r="E3" s="627"/>
      <c r="F3" s="627"/>
      <c r="G3" s="627"/>
      <c r="H3" s="627"/>
      <c r="I3" s="627"/>
      <c r="J3" s="627"/>
      <c r="K3" s="627"/>
      <c r="L3" s="627"/>
      <c r="M3" s="627"/>
      <c r="N3" s="627"/>
      <c r="O3" s="627"/>
      <c r="P3" s="627"/>
      <c r="Q3" s="627"/>
      <c r="R3" s="627"/>
      <c r="S3" s="627"/>
      <c r="T3" s="627"/>
      <c r="U3" s="627"/>
      <c r="V3" s="627"/>
      <c r="W3" s="627"/>
      <c r="X3" s="627"/>
      <c r="Y3" s="627"/>
      <c r="Z3" s="627"/>
      <c r="AA3" s="627"/>
      <c r="AB3" s="627"/>
      <c r="AC3" s="627"/>
    </row>
    <row r="4" spans="1:29" s="626" customFormat="1" ht="15.75" x14ac:dyDescent="0.25">
      <c r="A4" s="627"/>
      <c r="B4" s="629" t="s">
        <v>478</v>
      </c>
      <c r="C4" s="629" t="s">
        <v>575</v>
      </c>
      <c r="D4" s="627"/>
      <c r="E4" s="627"/>
      <c r="F4" s="627"/>
      <c r="G4" s="627"/>
      <c r="H4" s="627"/>
      <c r="I4" s="627"/>
      <c r="J4" s="627"/>
      <c r="K4" s="627"/>
      <c r="L4" s="627"/>
      <c r="M4" s="627"/>
      <c r="N4" s="627"/>
      <c r="O4" s="627"/>
      <c r="P4" s="627"/>
      <c r="Q4" s="627"/>
      <c r="R4" s="627"/>
      <c r="S4" s="627"/>
      <c r="T4" s="627"/>
      <c r="U4" s="627"/>
      <c r="V4" s="627"/>
      <c r="W4" s="627"/>
      <c r="X4" s="627"/>
      <c r="Y4" s="627"/>
      <c r="Z4" s="627"/>
      <c r="AA4" s="627"/>
      <c r="AB4" s="627"/>
      <c r="AC4" s="627"/>
    </row>
    <row r="5" spans="1:29" s="626" customFormat="1" ht="15.75" x14ac:dyDescent="0.25">
      <c r="A5" s="627"/>
      <c r="B5" s="629" t="s">
        <v>477</v>
      </c>
      <c r="C5" s="630">
        <f>+Valuation!G9</f>
        <v>69</v>
      </c>
      <c r="D5" s="627"/>
      <c r="E5" s="627"/>
      <c r="F5" s="627"/>
      <c r="G5" s="627"/>
      <c r="H5" s="627"/>
      <c r="I5" s="627"/>
      <c r="J5" s="627"/>
      <c r="K5" s="627"/>
      <c r="L5" s="627"/>
      <c r="M5" s="627"/>
      <c r="N5" s="627"/>
      <c r="O5" s="627"/>
      <c r="P5" s="627"/>
      <c r="Q5" s="627"/>
      <c r="R5" s="627"/>
      <c r="S5" s="627"/>
      <c r="T5" s="627"/>
      <c r="U5" s="627"/>
      <c r="V5" s="627"/>
      <c r="W5" s="627"/>
      <c r="X5" s="627"/>
      <c r="Y5" s="627"/>
      <c r="Z5" s="627"/>
      <c r="AA5" s="627"/>
      <c r="AB5" s="627"/>
      <c r="AC5" s="627"/>
    </row>
    <row r="6" spans="1:29" s="626" customFormat="1" ht="15.75" x14ac:dyDescent="0.25">
      <c r="A6" s="627"/>
      <c r="B6" s="629" t="s">
        <v>476</v>
      </c>
      <c r="C6" s="628">
        <f ca="1">NOW()</f>
        <v>43201.516205208332</v>
      </c>
      <c r="D6" s="627"/>
      <c r="E6" s="627"/>
      <c r="F6" s="627"/>
      <c r="G6" s="627"/>
      <c r="H6" s="627"/>
      <c r="I6" s="627"/>
      <c r="J6" s="627"/>
      <c r="K6" s="627"/>
      <c r="L6" s="627"/>
      <c r="M6" s="627"/>
      <c r="N6" s="627"/>
      <c r="O6" s="627"/>
      <c r="P6" s="627"/>
      <c r="Q6" s="627"/>
      <c r="R6" s="627"/>
      <c r="S6" s="627"/>
      <c r="T6" s="627"/>
      <c r="U6" s="627"/>
      <c r="V6" s="627"/>
      <c r="W6" s="627"/>
      <c r="X6" s="627"/>
      <c r="Y6" s="627"/>
      <c r="Z6" s="627"/>
      <c r="AA6" s="627"/>
      <c r="AB6" s="627"/>
      <c r="AC6" s="627"/>
    </row>
    <row r="7" spans="1:29" s="626" customFormat="1" x14ac:dyDescent="0.2">
      <c r="A7" s="627"/>
      <c r="B7" s="627"/>
      <c r="C7" s="627"/>
      <c r="D7" s="627"/>
      <c r="E7" s="627"/>
      <c r="F7" s="627"/>
      <c r="G7" s="627"/>
      <c r="H7" s="627"/>
      <c r="I7" s="627"/>
      <c r="J7" s="627"/>
      <c r="K7" s="627"/>
      <c r="L7" s="627"/>
      <c r="M7" s="627"/>
      <c r="N7" s="627"/>
      <c r="O7" s="627"/>
      <c r="P7" s="627"/>
      <c r="Q7" s="627"/>
      <c r="R7" s="627"/>
      <c r="S7" s="627"/>
      <c r="T7" s="627"/>
      <c r="U7" s="627"/>
      <c r="V7" s="627"/>
      <c r="W7" s="627"/>
      <c r="X7" s="627"/>
      <c r="Y7" s="627"/>
      <c r="Z7" s="627"/>
      <c r="AA7" s="627"/>
      <c r="AB7" s="627"/>
      <c r="AC7" s="627"/>
    </row>
    <row r="8" spans="1:29" x14ac:dyDescent="0.2">
      <c r="A8" s="616"/>
      <c r="B8" s="625"/>
      <c r="C8" s="625"/>
      <c r="D8" s="625"/>
      <c r="E8" s="625"/>
      <c r="F8" s="625"/>
      <c r="G8" s="625"/>
      <c r="H8" s="625"/>
      <c r="I8" s="625"/>
      <c r="J8" s="625"/>
      <c r="K8" s="625"/>
      <c r="L8" s="625"/>
      <c r="M8" s="625"/>
      <c r="N8" s="625"/>
      <c r="O8" s="625"/>
      <c r="P8" s="625"/>
      <c r="Q8" s="625"/>
      <c r="R8" s="625"/>
      <c r="S8" s="616"/>
      <c r="T8" s="616"/>
      <c r="U8" s="616"/>
      <c r="V8" s="616"/>
      <c r="W8" s="616"/>
      <c r="X8" s="616"/>
      <c r="Y8" s="616"/>
      <c r="Z8" s="616"/>
      <c r="AA8" s="616"/>
      <c r="AB8" s="616"/>
      <c r="AC8" s="616"/>
    </row>
    <row r="9" spans="1:29" x14ac:dyDescent="0.2">
      <c r="A9" s="616"/>
      <c r="B9" s="625"/>
      <c r="C9" s="625"/>
      <c r="D9" s="625"/>
      <c r="E9" s="625"/>
      <c r="F9" s="625"/>
      <c r="G9" s="625"/>
      <c r="H9" s="625"/>
      <c r="I9" s="625"/>
      <c r="J9" s="625"/>
      <c r="K9" s="625"/>
      <c r="L9" s="625"/>
      <c r="M9" s="625"/>
      <c r="N9" s="625"/>
      <c r="O9" s="625"/>
      <c r="P9" s="625"/>
      <c r="Q9" s="625"/>
      <c r="R9" s="625"/>
      <c r="S9" s="616"/>
      <c r="T9" s="616"/>
      <c r="U9" s="616"/>
      <c r="V9" s="616"/>
      <c r="W9" s="616"/>
      <c r="X9" s="616"/>
      <c r="Y9" s="616"/>
      <c r="Z9" s="616"/>
      <c r="AA9" s="616"/>
      <c r="AB9" s="616"/>
      <c r="AC9" s="616"/>
    </row>
    <row r="10" spans="1:29" s="620" customFormat="1" ht="15" x14ac:dyDescent="0.25">
      <c r="A10" s="621"/>
      <c r="B10" s="623" t="s">
        <v>475</v>
      </c>
      <c r="C10" s="623" t="s">
        <v>605</v>
      </c>
      <c r="D10" s="623"/>
      <c r="E10" s="623"/>
      <c r="F10" s="623"/>
      <c r="G10" s="623"/>
      <c r="H10" s="623"/>
      <c r="I10" s="624"/>
      <c r="J10" s="624"/>
      <c r="K10" s="624"/>
      <c r="L10" s="623"/>
      <c r="M10" s="623"/>
      <c r="N10" s="623"/>
      <c r="O10" s="623"/>
      <c r="P10" s="623"/>
      <c r="Q10" s="622"/>
      <c r="R10" s="622"/>
      <c r="S10" s="621"/>
      <c r="T10" s="621"/>
      <c r="U10" s="621"/>
      <c r="V10" s="621"/>
      <c r="W10" s="621"/>
      <c r="X10" s="621"/>
      <c r="Y10" s="621"/>
      <c r="Z10" s="621"/>
      <c r="AA10" s="621"/>
      <c r="AB10" s="621"/>
      <c r="AC10" s="621"/>
    </row>
    <row r="11" spans="1:29" s="620" customFormat="1" ht="15" x14ac:dyDescent="0.25">
      <c r="A11" s="621"/>
      <c r="B11" s="623" t="s">
        <v>474</v>
      </c>
      <c r="C11" s="623" t="s">
        <v>606</v>
      </c>
      <c r="D11" s="623"/>
      <c r="E11" s="623"/>
      <c r="F11" s="623"/>
      <c r="G11" s="623"/>
      <c r="H11" s="623"/>
      <c r="I11" s="624"/>
      <c r="J11" s="624"/>
      <c r="K11" s="624"/>
      <c r="L11" s="623"/>
      <c r="M11" s="623"/>
      <c r="N11" s="623"/>
      <c r="O11" s="623"/>
      <c r="P11" s="623"/>
      <c r="Q11" s="622"/>
      <c r="R11" s="622"/>
      <c r="S11" s="621"/>
      <c r="T11" s="621"/>
      <c r="U11" s="621"/>
      <c r="V11" s="621"/>
      <c r="W11" s="621"/>
      <c r="X11" s="621"/>
      <c r="Y11" s="621"/>
      <c r="Z11" s="621"/>
      <c r="AA11" s="621"/>
      <c r="AB11" s="621"/>
      <c r="AC11" s="621"/>
    </row>
    <row r="12" spans="1:29" s="620" customFormat="1" ht="15" x14ac:dyDescent="0.25">
      <c r="A12" s="621"/>
      <c r="B12" s="623" t="s">
        <v>473</v>
      </c>
      <c r="C12" s="623" t="s">
        <v>607</v>
      </c>
      <c r="D12" s="623"/>
      <c r="E12" s="623"/>
      <c r="F12" s="623"/>
      <c r="G12" s="623"/>
      <c r="H12" s="623"/>
      <c r="I12" s="624"/>
      <c r="J12" s="624"/>
      <c r="K12" s="624"/>
      <c r="L12" s="623"/>
      <c r="M12" s="623"/>
      <c r="N12" s="623"/>
      <c r="O12" s="623"/>
      <c r="P12" s="623"/>
      <c r="Q12" s="622"/>
      <c r="R12" s="622"/>
      <c r="S12" s="621"/>
      <c r="T12" s="621"/>
      <c r="U12" s="621"/>
      <c r="V12" s="621"/>
      <c r="W12" s="621"/>
      <c r="X12" s="621"/>
      <c r="Y12" s="621"/>
      <c r="Z12" s="621"/>
      <c r="AA12" s="621"/>
      <c r="AB12" s="621"/>
      <c r="AC12" s="621"/>
    </row>
    <row r="13" spans="1:29" x14ac:dyDescent="0.2">
      <c r="A13" s="616"/>
      <c r="B13" s="619"/>
      <c r="C13" s="619"/>
      <c r="D13" s="619"/>
      <c r="E13" s="619"/>
      <c r="F13" s="619"/>
      <c r="G13" s="619"/>
      <c r="H13" s="619"/>
      <c r="I13" s="619"/>
      <c r="J13" s="619"/>
      <c r="K13" s="619"/>
      <c r="L13" s="619"/>
      <c r="M13" s="619"/>
      <c r="N13" s="619"/>
      <c r="O13" s="619"/>
      <c r="P13" s="619"/>
      <c r="Q13" s="619"/>
      <c r="R13" s="619"/>
      <c r="S13" s="616"/>
      <c r="T13" s="616"/>
      <c r="U13" s="616"/>
      <c r="V13" s="616"/>
      <c r="W13" s="616"/>
      <c r="X13" s="616"/>
      <c r="Y13" s="616"/>
      <c r="Z13" s="616"/>
      <c r="AA13" s="616"/>
      <c r="AB13" s="616"/>
      <c r="AC13" s="616"/>
    </row>
    <row r="14" spans="1:29" ht="15" x14ac:dyDescent="0.25">
      <c r="A14" s="616"/>
      <c r="B14" s="618"/>
      <c r="C14" s="618"/>
      <c r="D14" s="618"/>
      <c r="E14" s="618"/>
      <c r="F14" s="618"/>
      <c r="G14" s="617"/>
      <c r="H14" s="618"/>
      <c r="I14" s="618"/>
      <c r="J14" s="618"/>
      <c r="K14" s="618"/>
      <c r="L14" s="618"/>
      <c r="M14" s="618"/>
      <c r="N14" s="618"/>
      <c r="O14" s="618"/>
      <c r="P14" s="618"/>
      <c r="Q14" s="618"/>
      <c r="R14" s="618"/>
      <c r="S14" s="616"/>
      <c r="T14" s="616"/>
      <c r="U14" s="616"/>
      <c r="V14" s="616"/>
      <c r="W14" s="616"/>
      <c r="X14" s="616"/>
      <c r="Y14" s="616"/>
      <c r="Z14" s="616"/>
      <c r="AA14" s="616"/>
      <c r="AB14" s="616"/>
      <c r="AC14" s="616"/>
    </row>
    <row r="15" spans="1:29" ht="15" x14ac:dyDescent="0.25">
      <c r="A15" s="616"/>
      <c r="B15" s="616"/>
      <c r="C15" s="616"/>
      <c r="D15" s="616"/>
      <c r="E15" s="616"/>
      <c r="F15" s="616"/>
      <c r="G15" s="617"/>
      <c r="H15" s="616"/>
      <c r="I15" s="616"/>
      <c r="J15" s="616"/>
      <c r="K15" s="616"/>
      <c r="L15" s="616"/>
      <c r="M15" s="616"/>
      <c r="N15" s="616"/>
      <c r="O15" s="616"/>
      <c r="P15" s="616"/>
      <c r="Q15" s="616"/>
      <c r="R15" s="616"/>
      <c r="S15" s="616"/>
      <c r="T15" s="616"/>
      <c r="U15" s="616"/>
      <c r="V15" s="616"/>
      <c r="W15" s="616"/>
      <c r="X15" s="616"/>
      <c r="Y15" s="616"/>
      <c r="Z15" s="616"/>
      <c r="AA15" s="616"/>
      <c r="AB15" s="616"/>
      <c r="AC15" s="616"/>
    </row>
    <row r="16" spans="1:29" ht="15" x14ac:dyDescent="0.25">
      <c r="A16" s="616"/>
      <c r="B16" s="616"/>
      <c r="C16" s="616"/>
      <c r="D16" s="616"/>
      <c r="E16" s="616"/>
      <c r="F16" s="616"/>
      <c r="G16" s="617"/>
      <c r="H16" s="616"/>
      <c r="I16" s="616"/>
      <c r="J16" s="616"/>
      <c r="K16" s="616"/>
      <c r="L16" s="616"/>
      <c r="M16" s="616"/>
      <c r="N16" s="616"/>
      <c r="O16" s="616"/>
      <c r="P16" s="616"/>
      <c r="Q16" s="616"/>
      <c r="R16" s="616"/>
      <c r="S16" s="616"/>
      <c r="T16" s="616"/>
      <c r="U16" s="616"/>
      <c r="V16" s="616"/>
      <c r="W16" s="616"/>
      <c r="X16" s="616"/>
      <c r="Y16" s="616"/>
      <c r="Z16" s="616"/>
      <c r="AA16" s="616"/>
      <c r="AB16" s="616"/>
      <c r="AC16" s="616"/>
    </row>
    <row r="17" spans="1:29" x14ac:dyDescent="0.2">
      <c r="A17" s="616"/>
      <c r="B17" s="616"/>
      <c r="C17" s="616"/>
      <c r="D17" s="616"/>
      <c r="E17" s="616"/>
      <c r="F17" s="616"/>
      <c r="G17" s="616"/>
      <c r="H17" s="616"/>
      <c r="I17" s="616"/>
      <c r="J17" s="616"/>
      <c r="K17" s="616"/>
      <c r="L17" s="616"/>
      <c r="M17" s="616"/>
      <c r="N17" s="616"/>
      <c r="O17" s="616"/>
      <c r="P17" s="616"/>
      <c r="Q17" s="616"/>
      <c r="R17" s="616"/>
      <c r="S17" s="616"/>
      <c r="T17" s="616"/>
      <c r="U17" s="616"/>
      <c r="V17" s="616"/>
      <c r="W17" s="616"/>
      <c r="X17" s="616"/>
      <c r="Y17" s="616"/>
      <c r="Z17" s="616"/>
      <c r="AA17" s="616"/>
      <c r="AB17" s="616"/>
      <c r="AC17" s="616"/>
    </row>
    <row r="18" spans="1:29" x14ac:dyDescent="0.2">
      <c r="A18" s="616"/>
      <c r="B18" s="616"/>
      <c r="C18" s="616"/>
      <c r="D18" s="616"/>
      <c r="E18" s="616"/>
      <c r="F18" s="616"/>
      <c r="G18" s="616"/>
      <c r="H18" s="616"/>
      <c r="I18" s="616"/>
      <c r="J18" s="616"/>
      <c r="K18" s="616"/>
      <c r="L18" s="616"/>
      <c r="M18" s="616"/>
      <c r="N18" s="616"/>
      <c r="O18" s="616"/>
      <c r="P18" s="616"/>
      <c r="Q18" s="616"/>
      <c r="R18" s="616"/>
      <c r="S18" s="616"/>
      <c r="T18" s="616"/>
      <c r="U18" s="616"/>
      <c r="V18" s="616"/>
      <c r="W18" s="616"/>
      <c r="X18" s="616"/>
      <c r="Y18" s="616"/>
      <c r="Z18" s="616"/>
      <c r="AA18" s="616"/>
      <c r="AB18" s="616"/>
      <c r="AC18" s="616"/>
    </row>
    <row r="19" spans="1:29" x14ac:dyDescent="0.2">
      <c r="A19" s="616"/>
      <c r="B19" s="616"/>
      <c r="C19" s="616"/>
      <c r="D19" s="616"/>
      <c r="E19" s="616"/>
      <c r="F19" s="616"/>
      <c r="G19" s="616"/>
      <c r="H19" s="616"/>
      <c r="I19" s="616"/>
      <c r="J19" s="616"/>
      <c r="K19" s="616"/>
      <c r="L19" s="616"/>
      <c r="M19" s="616"/>
      <c r="N19" s="616"/>
      <c r="O19" s="616"/>
      <c r="P19" s="616"/>
      <c r="Q19" s="616"/>
      <c r="R19" s="616"/>
      <c r="S19" s="616"/>
      <c r="T19" s="616"/>
      <c r="U19" s="616"/>
      <c r="V19" s="616"/>
      <c r="W19" s="616"/>
      <c r="X19" s="616"/>
      <c r="Y19" s="616"/>
      <c r="Z19" s="616"/>
      <c r="AA19" s="616"/>
      <c r="AB19" s="616"/>
      <c r="AC19" s="616"/>
    </row>
    <row r="20" spans="1:29" x14ac:dyDescent="0.2">
      <c r="A20" s="616"/>
      <c r="B20" s="616"/>
      <c r="C20" s="616"/>
      <c r="D20" s="616"/>
      <c r="E20" s="616"/>
      <c r="F20" s="616"/>
      <c r="G20" s="616"/>
      <c r="H20" s="616"/>
      <c r="I20" s="616"/>
      <c r="J20" s="616"/>
      <c r="K20" s="616"/>
      <c r="L20" s="616"/>
      <c r="M20" s="616"/>
      <c r="N20" s="616"/>
      <c r="O20" s="616"/>
      <c r="P20" s="616"/>
      <c r="Q20" s="616"/>
      <c r="R20" s="616"/>
      <c r="S20" s="616"/>
      <c r="T20" s="616"/>
      <c r="U20" s="616"/>
      <c r="V20" s="616"/>
      <c r="W20" s="616"/>
      <c r="X20" s="616"/>
      <c r="Y20" s="616"/>
      <c r="Z20" s="616"/>
      <c r="AA20" s="616"/>
      <c r="AB20" s="616"/>
      <c r="AC20" s="616"/>
    </row>
    <row r="21" spans="1:29" x14ac:dyDescent="0.2">
      <c r="A21" s="616"/>
      <c r="B21" s="616"/>
      <c r="C21" s="616"/>
      <c r="D21" s="616"/>
      <c r="E21" s="616"/>
      <c r="F21" s="616"/>
      <c r="G21" s="616"/>
      <c r="H21" s="616"/>
      <c r="I21" s="616"/>
      <c r="J21" s="616"/>
      <c r="K21" s="616"/>
      <c r="L21" s="616"/>
      <c r="M21" s="616"/>
      <c r="N21" s="616"/>
      <c r="O21" s="616"/>
      <c r="P21" s="616"/>
      <c r="Q21" s="616"/>
      <c r="R21" s="616"/>
      <c r="S21" s="616"/>
      <c r="T21" s="616"/>
      <c r="U21" s="616"/>
      <c r="V21" s="616"/>
      <c r="W21" s="616"/>
      <c r="X21" s="616"/>
      <c r="Y21" s="616"/>
      <c r="Z21" s="616"/>
      <c r="AA21" s="616"/>
      <c r="AB21" s="616"/>
      <c r="AC21" s="616"/>
    </row>
    <row r="22" spans="1:29" x14ac:dyDescent="0.2">
      <c r="A22" s="616"/>
      <c r="B22" s="616"/>
      <c r="C22" s="616"/>
      <c r="D22" s="616"/>
      <c r="E22" s="616"/>
      <c r="F22" s="616"/>
      <c r="G22" s="616"/>
      <c r="H22" s="616"/>
      <c r="I22" s="616"/>
      <c r="J22" s="616"/>
      <c r="K22" s="616"/>
      <c r="L22" s="616"/>
      <c r="M22" s="616"/>
      <c r="N22" s="616"/>
      <c r="O22" s="616"/>
      <c r="P22" s="616"/>
      <c r="Q22" s="616"/>
      <c r="R22" s="616"/>
      <c r="S22" s="616"/>
      <c r="T22" s="616"/>
      <c r="U22" s="616"/>
      <c r="V22" s="616"/>
      <c r="W22" s="616"/>
      <c r="X22" s="616"/>
      <c r="Y22" s="616"/>
      <c r="Z22" s="616"/>
      <c r="AA22" s="616"/>
      <c r="AB22" s="616"/>
      <c r="AC22" s="616"/>
    </row>
    <row r="23" spans="1:29" x14ac:dyDescent="0.2">
      <c r="A23" s="616"/>
      <c r="B23" s="616"/>
      <c r="C23" s="616"/>
      <c r="D23" s="616"/>
      <c r="E23" s="616"/>
      <c r="F23" s="616"/>
      <c r="G23" s="616"/>
      <c r="H23" s="616"/>
      <c r="I23" s="616"/>
      <c r="J23" s="616"/>
      <c r="K23" s="616"/>
      <c r="L23" s="616"/>
      <c r="M23" s="616"/>
      <c r="N23" s="616"/>
      <c r="O23" s="616"/>
      <c r="P23" s="616"/>
      <c r="Q23" s="616"/>
      <c r="R23" s="616"/>
      <c r="S23" s="616"/>
      <c r="T23" s="616"/>
      <c r="U23" s="616"/>
      <c r="V23" s="616"/>
      <c r="W23" s="616"/>
      <c r="X23" s="616"/>
      <c r="Y23" s="616"/>
      <c r="Z23" s="616"/>
      <c r="AA23" s="616"/>
      <c r="AB23" s="616"/>
      <c r="AC23" s="616"/>
    </row>
    <row r="24" spans="1:29" x14ac:dyDescent="0.2">
      <c r="A24" s="616"/>
      <c r="B24" s="616"/>
      <c r="C24" s="616"/>
      <c r="D24" s="616"/>
      <c r="E24" s="616"/>
      <c r="F24" s="616"/>
      <c r="G24" s="616"/>
      <c r="H24" s="616"/>
      <c r="I24" s="616"/>
      <c r="J24" s="616"/>
      <c r="K24" s="616"/>
      <c r="L24" s="616"/>
      <c r="M24" s="616"/>
      <c r="N24" s="616"/>
      <c r="O24" s="616"/>
      <c r="P24" s="616"/>
      <c r="Q24" s="616"/>
      <c r="R24" s="616"/>
      <c r="S24" s="616"/>
      <c r="T24" s="616"/>
      <c r="U24" s="616"/>
      <c r="V24" s="616"/>
      <c r="W24" s="616"/>
      <c r="X24" s="616"/>
      <c r="Y24" s="616"/>
      <c r="Z24" s="616"/>
      <c r="AA24" s="616"/>
      <c r="AB24" s="616"/>
      <c r="AC24" s="616"/>
    </row>
    <row r="25" spans="1:29" x14ac:dyDescent="0.2">
      <c r="A25" s="616"/>
      <c r="B25" s="616"/>
      <c r="C25" s="616"/>
      <c r="D25" s="616"/>
      <c r="E25" s="616"/>
      <c r="F25" s="616"/>
      <c r="G25" s="616"/>
      <c r="H25" s="616"/>
      <c r="I25" s="616"/>
      <c r="J25" s="616"/>
      <c r="K25" s="616"/>
      <c r="L25" s="616"/>
      <c r="M25" s="616"/>
      <c r="N25" s="616"/>
      <c r="O25" s="616"/>
      <c r="P25" s="616"/>
      <c r="Q25" s="616"/>
      <c r="R25" s="616"/>
      <c r="S25" s="616"/>
      <c r="T25" s="616"/>
      <c r="U25" s="616"/>
      <c r="V25" s="616"/>
      <c r="W25" s="616"/>
      <c r="X25" s="616"/>
      <c r="Y25" s="616"/>
      <c r="Z25" s="616"/>
      <c r="AA25" s="616"/>
      <c r="AB25" s="616"/>
      <c r="AC25" s="616"/>
    </row>
    <row r="26" spans="1:29" x14ac:dyDescent="0.2">
      <c r="A26" s="616"/>
      <c r="B26" s="616"/>
      <c r="C26" s="616"/>
      <c r="D26" s="616"/>
      <c r="E26" s="616"/>
      <c r="F26" s="616"/>
      <c r="G26" s="616"/>
      <c r="H26" s="616"/>
      <c r="I26" s="616"/>
      <c r="J26" s="616"/>
      <c r="K26" s="616"/>
      <c r="L26" s="616"/>
      <c r="M26" s="616"/>
      <c r="N26" s="616"/>
      <c r="O26" s="616"/>
      <c r="P26" s="616"/>
      <c r="Q26" s="616"/>
      <c r="R26" s="616"/>
      <c r="S26" s="616"/>
      <c r="T26" s="616"/>
      <c r="U26" s="616"/>
      <c r="V26" s="616"/>
      <c r="W26" s="616"/>
      <c r="X26" s="616"/>
      <c r="Y26" s="616"/>
      <c r="Z26" s="616"/>
      <c r="AA26" s="616"/>
      <c r="AB26" s="616"/>
      <c r="AC26" s="616"/>
    </row>
    <row r="27" spans="1:29" x14ac:dyDescent="0.2">
      <c r="A27" s="616"/>
      <c r="B27" s="616"/>
      <c r="C27" s="616"/>
      <c r="D27" s="616"/>
      <c r="E27" s="616"/>
      <c r="F27" s="616"/>
      <c r="G27" s="616"/>
      <c r="H27" s="616"/>
      <c r="I27" s="616"/>
      <c r="J27" s="616"/>
      <c r="K27" s="616"/>
      <c r="L27" s="616"/>
      <c r="M27" s="616"/>
      <c r="N27" s="616"/>
      <c r="O27" s="616"/>
      <c r="P27" s="616"/>
      <c r="Q27" s="616"/>
      <c r="R27" s="616"/>
      <c r="S27" s="616"/>
      <c r="T27" s="616"/>
      <c r="U27" s="616"/>
      <c r="V27" s="616"/>
      <c r="W27" s="616"/>
      <c r="X27" s="616"/>
      <c r="Y27" s="616"/>
      <c r="Z27" s="616"/>
      <c r="AA27" s="616"/>
      <c r="AB27" s="616"/>
      <c r="AC27" s="616"/>
    </row>
    <row r="28" spans="1:29" x14ac:dyDescent="0.2">
      <c r="A28" s="616"/>
      <c r="B28" s="616"/>
      <c r="C28" s="616"/>
      <c r="D28" s="616"/>
      <c r="E28" s="616"/>
      <c r="F28" s="616"/>
      <c r="G28" s="616"/>
      <c r="H28" s="616"/>
      <c r="I28" s="616"/>
      <c r="J28" s="616"/>
      <c r="K28" s="616"/>
      <c r="L28" s="616"/>
      <c r="M28" s="616"/>
      <c r="N28" s="616"/>
      <c r="O28" s="616"/>
      <c r="P28" s="616"/>
      <c r="Q28" s="616"/>
      <c r="R28" s="616"/>
      <c r="S28" s="616"/>
      <c r="T28" s="616"/>
      <c r="U28" s="616"/>
      <c r="V28" s="616"/>
      <c r="W28" s="616"/>
      <c r="X28" s="616"/>
      <c r="Y28" s="616"/>
      <c r="Z28" s="616"/>
      <c r="AA28" s="616"/>
      <c r="AB28" s="616"/>
      <c r="AC28" s="616"/>
    </row>
    <row r="29" spans="1:29" x14ac:dyDescent="0.2">
      <c r="A29" s="616"/>
      <c r="B29" s="616"/>
      <c r="C29" s="616"/>
      <c r="D29" s="616"/>
      <c r="E29" s="616"/>
      <c r="F29" s="616"/>
      <c r="G29" s="616"/>
      <c r="H29" s="616"/>
      <c r="I29" s="616"/>
      <c r="J29" s="616"/>
      <c r="K29" s="616"/>
      <c r="L29" s="616"/>
      <c r="M29" s="616"/>
      <c r="N29" s="616"/>
      <c r="O29" s="616"/>
      <c r="P29" s="616"/>
      <c r="Q29" s="616"/>
      <c r="R29" s="616"/>
      <c r="S29" s="616"/>
      <c r="T29" s="616"/>
      <c r="U29" s="616"/>
      <c r="V29" s="616"/>
      <c r="W29" s="616"/>
      <c r="X29" s="616"/>
      <c r="Y29" s="616"/>
      <c r="Z29" s="616"/>
      <c r="AA29" s="616"/>
      <c r="AB29" s="616"/>
      <c r="AC29" s="616"/>
    </row>
    <row r="30" spans="1:29" x14ac:dyDescent="0.2">
      <c r="A30" s="616"/>
      <c r="B30" s="616"/>
      <c r="C30" s="616"/>
      <c r="D30" s="616"/>
      <c r="E30" s="616"/>
      <c r="F30" s="616"/>
      <c r="G30" s="616"/>
      <c r="H30" s="616"/>
      <c r="I30" s="616"/>
      <c r="J30" s="616"/>
      <c r="K30" s="616"/>
      <c r="L30" s="616"/>
      <c r="M30" s="616"/>
      <c r="N30" s="616"/>
      <c r="O30" s="616"/>
      <c r="P30" s="616"/>
      <c r="Q30" s="616"/>
      <c r="R30" s="616"/>
      <c r="S30" s="616"/>
      <c r="T30" s="616"/>
      <c r="U30" s="616"/>
      <c r="V30" s="616"/>
      <c r="W30" s="616"/>
      <c r="X30" s="616"/>
      <c r="Y30" s="616"/>
      <c r="Z30" s="616"/>
      <c r="AA30" s="616"/>
      <c r="AB30" s="616"/>
      <c r="AC30" s="616"/>
    </row>
    <row r="31" spans="1:29" x14ac:dyDescent="0.2">
      <c r="A31" s="616"/>
      <c r="B31" s="616"/>
      <c r="C31" s="616"/>
      <c r="D31" s="616"/>
      <c r="E31" s="616"/>
      <c r="F31" s="616"/>
      <c r="G31" s="616"/>
      <c r="H31" s="616"/>
      <c r="I31" s="616"/>
      <c r="J31" s="616"/>
      <c r="K31" s="616"/>
      <c r="L31" s="616"/>
      <c r="M31" s="616"/>
      <c r="N31" s="616"/>
      <c r="O31" s="616"/>
      <c r="P31" s="616"/>
      <c r="Q31" s="616"/>
      <c r="R31" s="616"/>
      <c r="S31" s="616"/>
      <c r="T31" s="616"/>
      <c r="U31" s="616"/>
      <c r="V31" s="616"/>
      <c r="W31" s="616"/>
      <c r="X31" s="616"/>
      <c r="Y31" s="616"/>
      <c r="Z31" s="616"/>
      <c r="AA31" s="616"/>
      <c r="AB31" s="616"/>
      <c r="AC31" s="616"/>
    </row>
    <row r="32" spans="1:29" x14ac:dyDescent="0.2">
      <c r="A32" s="616"/>
      <c r="B32" s="616"/>
      <c r="C32" s="616"/>
      <c r="D32" s="616"/>
      <c r="E32" s="616"/>
      <c r="F32" s="616"/>
      <c r="G32" s="616"/>
      <c r="H32" s="616"/>
      <c r="I32" s="616"/>
      <c r="J32" s="616"/>
      <c r="K32" s="616"/>
      <c r="L32" s="616"/>
      <c r="M32" s="616"/>
      <c r="N32" s="616"/>
      <c r="O32" s="616"/>
      <c r="P32" s="616"/>
      <c r="Q32" s="616"/>
      <c r="R32" s="616"/>
      <c r="S32" s="616"/>
      <c r="T32" s="616"/>
      <c r="U32" s="616"/>
      <c r="V32" s="616"/>
      <c r="W32" s="616"/>
      <c r="X32" s="616"/>
      <c r="Y32" s="616"/>
      <c r="Z32" s="616"/>
      <c r="AA32" s="616"/>
      <c r="AB32" s="616"/>
      <c r="AC32" s="616"/>
    </row>
    <row r="33" spans="1:29" x14ac:dyDescent="0.2">
      <c r="A33" s="616"/>
      <c r="B33" s="616"/>
      <c r="C33" s="616"/>
      <c r="D33" s="616"/>
      <c r="E33" s="616"/>
      <c r="F33" s="616"/>
      <c r="G33" s="616"/>
      <c r="H33" s="616"/>
      <c r="I33" s="616"/>
      <c r="J33" s="616"/>
      <c r="K33" s="616"/>
      <c r="L33" s="616"/>
      <c r="M33" s="616"/>
      <c r="N33" s="616"/>
      <c r="O33" s="616"/>
      <c r="P33" s="616"/>
      <c r="Q33" s="616"/>
      <c r="R33" s="616"/>
      <c r="S33" s="616"/>
      <c r="T33" s="616"/>
      <c r="U33" s="616"/>
      <c r="V33" s="616"/>
      <c r="W33" s="616"/>
      <c r="X33" s="616"/>
      <c r="Y33" s="616"/>
      <c r="Z33" s="616"/>
      <c r="AA33" s="616"/>
      <c r="AB33" s="616"/>
      <c r="AC33" s="616"/>
    </row>
    <row r="34" spans="1:29" x14ac:dyDescent="0.2">
      <c r="A34" s="616"/>
      <c r="B34" s="616"/>
      <c r="C34" s="616"/>
      <c r="D34" s="616"/>
      <c r="E34" s="616"/>
      <c r="F34" s="616"/>
      <c r="G34" s="616"/>
      <c r="H34" s="616"/>
      <c r="I34" s="616"/>
      <c r="J34" s="616"/>
      <c r="K34" s="616"/>
      <c r="L34" s="616"/>
      <c r="M34" s="616"/>
      <c r="N34" s="616"/>
      <c r="O34" s="616"/>
      <c r="P34" s="616"/>
      <c r="Q34" s="616"/>
      <c r="R34" s="616"/>
      <c r="S34" s="616"/>
      <c r="T34" s="616"/>
      <c r="U34" s="616"/>
      <c r="V34" s="616"/>
      <c r="W34" s="616"/>
      <c r="X34" s="616"/>
      <c r="Y34" s="616"/>
      <c r="Z34" s="616"/>
      <c r="AA34" s="616"/>
      <c r="AB34" s="616"/>
      <c r="AC34" s="616"/>
    </row>
    <row r="35" spans="1:29" x14ac:dyDescent="0.2">
      <c r="A35" s="616"/>
      <c r="B35" s="616"/>
      <c r="C35" s="616"/>
      <c r="D35" s="616"/>
      <c r="E35" s="616"/>
      <c r="F35" s="616"/>
      <c r="G35" s="616"/>
      <c r="H35" s="616"/>
      <c r="I35" s="616"/>
      <c r="J35" s="616"/>
      <c r="K35" s="616"/>
      <c r="L35" s="616"/>
      <c r="M35" s="616"/>
      <c r="N35" s="616"/>
      <c r="O35" s="616"/>
      <c r="P35" s="616"/>
      <c r="Q35" s="616"/>
      <c r="R35" s="616"/>
      <c r="S35" s="616"/>
      <c r="T35" s="616"/>
      <c r="U35" s="616"/>
      <c r="V35" s="616"/>
      <c r="W35" s="616"/>
      <c r="X35" s="616"/>
      <c r="Y35" s="616"/>
      <c r="Z35" s="616"/>
      <c r="AA35" s="616"/>
      <c r="AB35" s="616"/>
      <c r="AC35" s="616"/>
    </row>
    <row r="36" spans="1:29" x14ac:dyDescent="0.2">
      <c r="A36" s="616"/>
      <c r="B36" s="616"/>
      <c r="C36" s="616"/>
      <c r="D36" s="616"/>
      <c r="E36" s="616"/>
      <c r="F36" s="616"/>
      <c r="G36" s="616"/>
      <c r="H36" s="616"/>
      <c r="I36" s="616"/>
      <c r="J36" s="616"/>
      <c r="K36" s="616"/>
      <c r="L36" s="616"/>
      <c r="M36" s="616"/>
      <c r="N36" s="616"/>
      <c r="O36" s="616"/>
      <c r="P36" s="616"/>
      <c r="Q36" s="616"/>
      <c r="R36" s="616"/>
      <c r="S36" s="616"/>
      <c r="T36" s="616"/>
      <c r="U36" s="616"/>
      <c r="V36" s="616"/>
      <c r="W36" s="616"/>
      <c r="X36" s="616"/>
      <c r="Y36" s="616"/>
      <c r="Z36" s="616"/>
      <c r="AA36" s="616"/>
      <c r="AB36" s="616"/>
      <c r="AC36" s="616"/>
    </row>
    <row r="37" spans="1:29" x14ac:dyDescent="0.2">
      <c r="A37" s="616"/>
      <c r="B37" s="616"/>
      <c r="C37" s="616"/>
      <c r="D37" s="616"/>
      <c r="E37" s="616"/>
      <c r="F37" s="616"/>
      <c r="G37" s="616"/>
      <c r="H37" s="616"/>
      <c r="I37" s="616"/>
      <c r="J37" s="616"/>
      <c r="K37" s="616"/>
      <c r="L37" s="616"/>
      <c r="M37" s="616"/>
      <c r="N37" s="616"/>
      <c r="O37" s="616"/>
      <c r="P37" s="616"/>
      <c r="Q37" s="616"/>
      <c r="R37" s="616"/>
      <c r="S37" s="616"/>
      <c r="T37" s="616"/>
      <c r="U37" s="616"/>
      <c r="V37" s="616"/>
      <c r="W37" s="616"/>
      <c r="X37" s="616"/>
      <c r="Y37" s="616"/>
      <c r="Z37" s="616"/>
      <c r="AA37" s="616"/>
      <c r="AB37" s="616"/>
      <c r="AC37" s="616"/>
    </row>
    <row r="38" spans="1:29" x14ac:dyDescent="0.2">
      <c r="A38" s="616"/>
      <c r="B38" s="616"/>
      <c r="C38" s="616"/>
      <c r="D38" s="616"/>
      <c r="E38" s="616"/>
      <c r="F38" s="616"/>
      <c r="G38" s="616"/>
      <c r="H38" s="616"/>
      <c r="I38" s="616"/>
      <c r="J38" s="616"/>
      <c r="K38" s="616"/>
      <c r="L38" s="616"/>
      <c r="M38" s="616"/>
      <c r="N38" s="616"/>
      <c r="O38" s="616"/>
      <c r="P38" s="616"/>
      <c r="Q38" s="616"/>
      <c r="R38" s="616"/>
      <c r="S38" s="616"/>
      <c r="T38" s="616"/>
      <c r="U38" s="616"/>
      <c r="V38" s="616"/>
      <c r="W38" s="616"/>
      <c r="X38" s="616"/>
      <c r="Y38" s="616"/>
      <c r="Z38" s="616"/>
      <c r="AA38" s="616"/>
      <c r="AB38" s="616"/>
      <c r="AC38" s="616"/>
    </row>
    <row r="39" spans="1:29" x14ac:dyDescent="0.2">
      <c r="A39" s="616"/>
      <c r="B39" s="616"/>
      <c r="C39" s="616"/>
      <c r="D39" s="616"/>
      <c r="E39" s="616"/>
      <c r="F39" s="616"/>
      <c r="G39" s="616"/>
      <c r="H39" s="616"/>
      <c r="I39" s="616"/>
      <c r="J39" s="616"/>
      <c r="K39" s="616"/>
      <c r="L39" s="616"/>
      <c r="M39" s="616"/>
      <c r="N39" s="616"/>
      <c r="O39" s="616"/>
      <c r="P39" s="616"/>
      <c r="Q39" s="616"/>
      <c r="R39" s="616"/>
      <c r="S39" s="616"/>
      <c r="T39" s="616"/>
      <c r="U39" s="616"/>
      <c r="V39" s="616"/>
      <c r="W39" s="616"/>
      <c r="X39" s="616"/>
      <c r="Y39" s="616"/>
      <c r="Z39" s="616"/>
      <c r="AA39" s="616"/>
      <c r="AB39" s="616"/>
      <c r="AC39" s="616"/>
    </row>
    <row r="40" spans="1:29" x14ac:dyDescent="0.2">
      <c r="A40" s="616"/>
      <c r="B40" s="616"/>
      <c r="C40" s="616"/>
      <c r="D40" s="616"/>
      <c r="E40" s="616"/>
      <c r="F40" s="616"/>
      <c r="G40" s="616"/>
      <c r="H40" s="616"/>
      <c r="I40" s="616"/>
      <c r="J40" s="616"/>
      <c r="K40" s="616"/>
      <c r="L40" s="616"/>
      <c r="M40" s="616"/>
      <c r="N40" s="616"/>
      <c r="O40" s="616"/>
      <c r="P40" s="616"/>
      <c r="Q40" s="616"/>
      <c r="R40" s="616"/>
      <c r="S40" s="616"/>
      <c r="T40" s="616"/>
      <c r="U40" s="616"/>
      <c r="V40" s="616"/>
      <c r="W40" s="616"/>
      <c r="X40" s="616"/>
      <c r="Y40" s="616"/>
      <c r="Z40" s="616"/>
      <c r="AA40" s="616"/>
      <c r="AB40" s="616"/>
      <c r="AC40" s="616"/>
    </row>
    <row r="41" spans="1:29" x14ac:dyDescent="0.2">
      <c r="A41" s="616"/>
      <c r="B41" s="616"/>
      <c r="C41" s="616"/>
      <c r="D41" s="616"/>
      <c r="E41" s="616"/>
      <c r="F41" s="616"/>
      <c r="G41" s="616"/>
      <c r="H41" s="616"/>
      <c r="I41" s="616"/>
      <c r="J41" s="616"/>
      <c r="K41" s="616"/>
      <c r="L41" s="616"/>
      <c r="M41" s="616"/>
      <c r="N41" s="616"/>
      <c r="O41" s="616"/>
      <c r="P41" s="616"/>
      <c r="Q41" s="616"/>
      <c r="R41" s="616"/>
      <c r="S41" s="616"/>
      <c r="T41" s="616"/>
      <c r="U41" s="616"/>
      <c r="V41" s="616"/>
      <c r="W41" s="616"/>
      <c r="X41" s="616"/>
      <c r="Y41" s="616"/>
      <c r="Z41" s="616"/>
      <c r="AA41" s="616"/>
      <c r="AB41" s="616"/>
      <c r="AC41" s="616"/>
    </row>
    <row r="42" spans="1:29" x14ac:dyDescent="0.2">
      <c r="A42" s="616"/>
      <c r="B42" s="616"/>
      <c r="C42" s="616"/>
      <c r="D42" s="616"/>
      <c r="E42" s="616"/>
      <c r="F42" s="616"/>
      <c r="G42" s="616"/>
      <c r="H42" s="616"/>
      <c r="I42" s="616"/>
      <c r="J42" s="616"/>
      <c r="K42" s="616"/>
      <c r="L42" s="616"/>
      <c r="M42" s="616"/>
      <c r="N42" s="616"/>
      <c r="O42" s="616"/>
      <c r="P42" s="616"/>
      <c r="Q42" s="616"/>
      <c r="R42" s="616"/>
      <c r="S42" s="616"/>
      <c r="T42" s="616"/>
      <c r="U42" s="616"/>
      <c r="V42" s="616"/>
      <c r="W42" s="616"/>
      <c r="X42" s="616"/>
      <c r="Y42" s="616"/>
      <c r="Z42" s="616"/>
      <c r="AA42" s="616"/>
      <c r="AB42" s="616"/>
      <c r="AC42" s="616"/>
    </row>
    <row r="43" spans="1:29" x14ac:dyDescent="0.2">
      <c r="A43" s="616"/>
      <c r="B43" s="616"/>
      <c r="C43" s="616"/>
      <c r="D43" s="616"/>
      <c r="E43" s="616"/>
      <c r="F43" s="616"/>
      <c r="G43" s="616"/>
      <c r="H43" s="616"/>
      <c r="I43" s="616"/>
      <c r="J43" s="616"/>
      <c r="K43" s="616"/>
      <c r="L43" s="616"/>
      <c r="M43" s="616"/>
      <c r="N43" s="616"/>
      <c r="O43" s="616"/>
      <c r="P43" s="616"/>
      <c r="Q43" s="616"/>
      <c r="R43" s="616"/>
      <c r="S43" s="616"/>
      <c r="T43" s="616"/>
      <c r="U43" s="616"/>
      <c r="V43" s="616"/>
      <c r="W43" s="616"/>
      <c r="X43" s="616"/>
      <c r="Y43" s="616"/>
      <c r="Z43" s="616"/>
      <c r="AA43" s="616"/>
      <c r="AB43" s="616"/>
      <c r="AC43" s="616"/>
    </row>
    <row r="44" spans="1:29" x14ac:dyDescent="0.2">
      <c r="A44" s="616"/>
      <c r="B44" s="616"/>
      <c r="C44" s="616"/>
      <c r="D44" s="616"/>
      <c r="E44" s="616"/>
      <c r="F44" s="616"/>
      <c r="G44" s="616"/>
      <c r="H44" s="616"/>
      <c r="I44" s="616"/>
      <c r="J44" s="616"/>
      <c r="K44" s="616"/>
      <c r="L44" s="616"/>
      <c r="M44" s="616"/>
      <c r="N44" s="616"/>
      <c r="O44" s="616"/>
      <c r="P44" s="616"/>
      <c r="Q44" s="616"/>
      <c r="R44" s="616"/>
      <c r="S44" s="616"/>
      <c r="T44" s="616"/>
      <c r="U44" s="616"/>
      <c r="V44" s="616"/>
      <c r="W44" s="616"/>
      <c r="X44" s="616"/>
      <c r="Y44" s="616"/>
      <c r="Z44" s="616"/>
      <c r="AA44" s="616"/>
      <c r="AB44" s="616"/>
      <c r="AC44" s="616"/>
    </row>
    <row r="45" spans="1:29" x14ac:dyDescent="0.2">
      <c r="A45" s="616"/>
      <c r="B45" s="616"/>
      <c r="C45" s="616"/>
      <c r="D45" s="616"/>
      <c r="E45" s="616"/>
      <c r="F45" s="616"/>
      <c r="G45" s="616"/>
      <c r="H45" s="616"/>
      <c r="I45" s="616"/>
      <c r="J45" s="616"/>
      <c r="K45" s="616"/>
      <c r="L45" s="616"/>
      <c r="M45" s="616"/>
      <c r="N45" s="616"/>
      <c r="O45" s="616"/>
      <c r="P45" s="616"/>
      <c r="Q45" s="616"/>
      <c r="R45" s="616"/>
      <c r="S45" s="616"/>
      <c r="T45" s="616"/>
      <c r="U45" s="616"/>
      <c r="V45" s="616"/>
      <c r="W45" s="616"/>
      <c r="X45" s="616"/>
      <c r="Y45" s="616"/>
      <c r="Z45" s="616"/>
      <c r="AA45" s="616"/>
      <c r="AB45" s="616"/>
      <c r="AC45" s="616"/>
    </row>
    <row r="46" spans="1:29" x14ac:dyDescent="0.2">
      <c r="A46" s="616"/>
      <c r="B46" s="616"/>
      <c r="C46" s="616"/>
      <c r="D46" s="616"/>
      <c r="E46" s="616"/>
      <c r="F46" s="616"/>
      <c r="G46" s="616"/>
      <c r="H46" s="616"/>
      <c r="I46" s="616"/>
      <c r="J46" s="616"/>
      <c r="K46" s="616"/>
      <c r="L46" s="616"/>
      <c r="M46" s="616"/>
      <c r="N46" s="616"/>
      <c r="O46" s="616"/>
      <c r="P46" s="616"/>
      <c r="Q46" s="616"/>
      <c r="R46" s="616"/>
      <c r="S46" s="616"/>
      <c r="T46" s="616"/>
      <c r="U46" s="616"/>
      <c r="V46" s="616"/>
      <c r="W46" s="616"/>
      <c r="X46" s="616"/>
      <c r="Y46" s="616"/>
      <c r="Z46" s="616"/>
      <c r="AA46" s="616"/>
      <c r="AB46" s="616"/>
      <c r="AC46" s="616"/>
    </row>
    <row r="47" spans="1:29" x14ac:dyDescent="0.2">
      <c r="A47" s="616"/>
      <c r="B47" s="616"/>
      <c r="C47" s="616"/>
      <c r="D47" s="616"/>
      <c r="E47" s="616"/>
      <c r="F47" s="616"/>
      <c r="G47" s="616"/>
      <c r="H47" s="616"/>
      <c r="I47" s="616"/>
      <c r="J47" s="616"/>
      <c r="K47" s="616"/>
      <c r="L47" s="616"/>
      <c r="M47" s="616"/>
      <c r="N47" s="616"/>
      <c r="O47" s="616"/>
      <c r="P47" s="616"/>
      <c r="Q47" s="616"/>
      <c r="R47" s="616"/>
      <c r="S47" s="616"/>
      <c r="T47" s="616"/>
      <c r="U47" s="616"/>
      <c r="V47" s="616"/>
      <c r="W47" s="616"/>
      <c r="X47" s="616"/>
      <c r="Y47" s="616"/>
      <c r="Z47" s="616"/>
      <c r="AA47" s="616"/>
      <c r="AB47" s="616"/>
      <c r="AC47" s="616"/>
    </row>
    <row r="48" spans="1:29" x14ac:dyDescent="0.2">
      <c r="A48" s="616"/>
      <c r="B48" s="616"/>
      <c r="C48" s="616"/>
      <c r="D48" s="616"/>
      <c r="E48" s="616"/>
      <c r="F48" s="616"/>
      <c r="G48" s="616"/>
      <c r="H48" s="616"/>
      <c r="I48" s="616"/>
      <c r="J48" s="616"/>
      <c r="K48" s="616"/>
      <c r="L48" s="616"/>
      <c r="M48" s="616"/>
      <c r="N48" s="616"/>
      <c r="O48" s="616"/>
      <c r="P48" s="616"/>
      <c r="Q48" s="616"/>
      <c r="R48" s="616"/>
      <c r="S48" s="616"/>
      <c r="T48" s="616"/>
      <c r="U48" s="616"/>
      <c r="V48" s="616"/>
      <c r="W48" s="616"/>
      <c r="X48" s="616"/>
      <c r="Y48" s="616"/>
      <c r="Z48" s="616"/>
      <c r="AA48" s="616"/>
      <c r="AB48" s="616"/>
      <c r="AC48" s="616"/>
    </row>
    <row r="49" spans="1:29" x14ac:dyDescent="0.2">
      <c r="A49" s="616"/>
      <c r="B49" s="616"/>
      <c r="C49" s="616"/>
      <c r="D49" s="616"/>
      <c r="E49" s="616"/>
      <c r="F49" s="616"/>
      <c r="G49" s="616"/>
      <c r="H49" s="616"/>
      <c r="I49" s="616"/>
      <c r="J49" s="616"/>
      <c r="K49" s="616"/>
      <c r="L49" s="616"/>
      <c r="M49" s="616"/>
      <c r="N49" s="616"/>
      <c r="O49" s="616"/>
      <c r="P49" s="616"/>
      <c r="Q49" s="616"/>
      <c r="R49" s="616"/>
      <c r="S49" s="616"/>
      <c r="T49" s="616"/>
      <c r="U49" s="616"/>
      <c r="V49" s="616"/>
      <c r="W49" s="616"/>
      <c r="X49" s="616"/>
      <c r="Y49" s="616"/>
      <c r="Z49" s="616"/>
      <c r="AA49" s="616"/>
      <c r="AB49" s="616"/>
      <c r="AC49" s="616"/>
    </row>
    <row r="50" spans="1:29" x14ac:dyDescent="0.2">
      <c r="A50" s="616"/>
      <c r="B50" s="616"/>
      <c r="C50" s="616"/>
      <c r="D50" s="616"/>
      <c r="E50" s="616"/>
      <c r="F50" s="616"/>
      <c r="G50" s="616"/>
      <c r="H50" s="616"/>
      <c r="I50" s="616"/>
      <c r="J50" s="616"/>
      <c r="K50" s="616"/>
      <c r="L50" s="616"/>
      <c r="M50" s="616"/>
      <c r="N50" s="616"/>
      <c r="O50" s="616"/>
      <c r="P50" s="616"/>
      <c r="Q50" s="616"/>
      <c r="R50" s="616"/>
      <c r="S50" s="616"/>
      <c r="T50" s="616"/>
      <c r="U50" s="616"/>
      <c r="V50" s="616"/>
      <c r="W50" s="616"/>
      <c r="X50" s="616"/>
      <c r="Y50" s="616"/>
      <c r="Z50" s="616"/>
      <c r="AA50" s="616"/>
      <c r="AB50" s="616"/>
      <c r="AC50" s="616"/>
    </row>
    <row r="51" spans="1:29" x14ac:dyDescent="0.2">
      <c r="A51" s="616"/>
      <c r="B51" s="616"/>
      <c r="C51" s="616"/>
      <c r="D51" s="616"/>
      <c r="E51" s="616"/>
      <c r="F51" s="616"/>
      <c r="G51" s="616"/>
      <c r="H51" s="616"/>
      <c r="I51" s="616"/>
      <c r="J51" s="616"/>
      <c r="K51" s="616"/>
      <c r="L51" s="616"/>
      <c r="M51" s="616"/>
      <c r="N51" s="616"/>
      <c r="O51" s="616"/>
      <c r="P51" s="616"/>
      <c r="Q51" s="616"/>
      <c r="R51" s="616"/>
      <c r="S51" s="616"/>
      <c r="T51" s="616"/>
      <c r="U51" s="616"/>
      <c r="V51" s="616"/>
      <c r="W51" s="616"/>
      <c r="X51" s="616"/>
      <c r="Y51" s="616"/>
      <c r="Z51" s="616"/>
      <c r="AA51" s="616"/>
      <c r="AB51" s="616"/>
      <c r="AC51" s="616"/>
    </row>
    <row r="52" spans="1:29" x14ac:dyDescent="0.2">
      <c r="A52" s="616"/>
      <c r="B52" s="616"/>
      <c r="C52" s="616"/>
      <c r="D52" s="616"/>
      <c r="E52" s="616"/>
      <c r="F52" s="616"/>
      <c r="G52" s="616"/>
      <c r="H52" s="616"/>
      <c r="I52" s="616"/>
      <c r="J52" s="616"/>
      <c r="K52" s="616"/>
      <c r="L52" s="616"/>
      <c r="M52" s="616"/>
      <c r="N52" s="616"/>
      <c r="O52" s="616"/>
      <c r="P52" s="616"/>
      <c r="Q52" s="616"/>
      <c r="R52" s="616"/>
      <c r="S52" s="616"/>
      <c r="T52" s="616"/>
      <c r="U52" s="616"/>
      <c r="V52" s="616"/>
      <c r="W52" s="616"/>
      <c r="X52" s="616"/>
      <c r="Y52" s="616"/>
      <c r="Z52" s="616"/>
      <c r="AA52" s="616"/>
      <c r="AB52" s="616"/>
      <c r="AC52" s="616"/>
    </row>
    <row r="53" spans="1:29" x14ac:dyDescent="0.2">
      <c r="A53" s="616"/>
      <c r="B53" s="616"/>
      <c r="C53" s="616"/>
      <c r="D53" s="616"/>
      <c r="E53" s="616"/>
      <c r="F53" s="616"/>
      <c r="G53" s="616"/>
      <c r="H53" s="616"/>
      <c r="I53" s="616"/>
      <c r="J53" s="616"/>
      <c r="K53" s="616"/>
      <c r="L53" s="616"/>
      <c r="M53" s="616"/>
      <c r="N53" s="616"/>
      <c r="O53" s="616"/>
      <c r="P53" s="616"/>
      <c r="Q53" s="616"/>
      <c r="R53" s="616"/>
      <c r="S53" s="616"/>
      <c r="T53" s="616"/>
      <c r="U53" s="616"/>
      <c r="V53" s="616"/>
      <c r="W53" s="616"/>
      <c r="X53" s="616"/>
      <c r="Y53" s="616"/>
      <c r="Z53" s="616"/>
      <c r="AA53" s="616"/>
      <c r="AB53" s="616"/>
      <c r="AC53" s="616"/>
    </row>
    <row r="54" spans="1:29" x14ac:dyDescent="0.2">
      <c r="A54" s="616"/>
      <c r="B54" s="616"/>
      <c r="C54" s="616"/>
      <c r="D54" s="616"/>
      <c r="E54" s="616"/>
      <c r="F54" s="616"/>
      <c r="G54" s="616"/>
      <c r="H54" s="616"/>
      <c r="I54" s="616"/>
      <c r="J54" s="616"/>
      <c r="K54" s="616"/>
      <c r="L54" s="616"/>
      <c r="M54" s="616"/>
      <c r="N54" s="616"/>
      <c r="O54" s="616"/>
      <c r="P54" s="616"/>
      <c r="Q54" s="616"/>
      <c r="R54" s="616"/>
      <c r="S54" s="616"/>
      <c r="T54" s="616"/>
      <c r="U54" s="616"/>
      <c r="V54" s="616"/>
      <c r="W54" s="616"/>
      <c r="X54" s="616"/>
      <c r="Y54" s="616"/>
      <c r="Z54" s="616"/>
      <c r="AA54" s="616"/>
      <c r="AB54" s="616"/>
      <c r="AC54" s="616"/>
    </row>
    <row r="55" spans="1:29" x14ac:dyDescent="0.2">
      <c r="A55" s="616"/>
      <c r="B55" s="616"/>
      <c r="C55" s="616"/>
      <c r="D55" s="616"/>
      <c r="E55" s="616"/>
      <c r="F55" s="616"/>
      <c r="G55" s="616"/>
      <c r="H55" s="616"/>
      <c r="I55" s="616"/>
      <c r="J55" s="616"/>
      <c r="K55" s="616"/>
      <c r="L55" s="616"/>
      <c r="M55" s="616"/>
      <c r="N55" s="616"/>
      <c r="O55" s="616"/>
      <c r="P55" s="616"/>
      <c r="Q55" s="616"/>
      <c r="R55" s="616"/>
      <c r="S55" s="616"/>
      <c r="T55" s="616"/>
      <c r="U55" s="616"/>
      <c r="V55" s="616"/>
      <c r="W55" s="616"/>
      <c r="X55" s="616"/>
      <c r="Y55" s="616"/>
      <c r="Z55" s="616"/>
      <c r="AA55" s="616"/>
      <c r="AB55" s="616"/>
      <c r="AC55" s="616"/>
    </row>
    <row r="56" spans="1:29" x14ac:dyDescent="0.2">
      <c r="A56" s="616"/>
      <c r="B56" s="616"/>
      <c r="C56" s="616"/>
      <c r="D56" s="616"/>
      <c r="E56" s="616"/>
      <c r="F56" s="616"/>
      <c r="G56" s="616"/>
      <c r="H56" s="616"/>
      <c r="I56" s="616"/>
      <c r="J56" s="616"/>
      <c r="K56" s="616"/>
      <c r="L56" s="616"/>
      <c r="M56" s="616"/>
      <c r="N56" s="616"/>
      <c r="O56" s="616"/>
      <c r="P56" s="616"/>
      <c r="Q56" s="616"/>
      <c r="R56" s="616"/>
      <c r="S56" s="616"/>
      <c r="T56" s="616"/>
      <c r="U56" s="616"/>
      <c r="V56" s="616"/>
      <c r="W56" s="616"/>
      <c r="X56" s="616"/>
      <c r="Y56" s="616"/>
      <c r="Z56" s="616"/>
      <c r="AA56" s="616"/>
      <c r="AB56" s="616"/>
      <c r="AC56" s="616"/>
    </row>
    <row r="57" spans="1:29" x14ac:dyDescent="0.2">
      <c r="A57" s="616"/>
      <c r="B57" s="616"/>
      <c r="C57" s="616"/>
      <c r="D57" s="616"/>
      <c r="E57" s="616"/>
      <c r="F57" s="616"/>
      <c r="G57" s="616"/>
      <c r="H57" s="616"/>
      <c r="I57" s="616"/>
      <c r="J57" s="616"/>
      <c r="K57" s="616"/>
      <c r="L57" s="616"/>
      <c r="M57" s="616"/>
      <c r="N57" s="616"/>
      <c r="O57" s="616"/>
      <c r="P57" s="616"/>
      <c r="Q57" s="616"/>
      <c r="R57" s="616"/>
      <c r="S57" s="616"/>
      <c r="T57" s="616"/>
      <c r="U57" s="616"/>
      <c r="V57" s="616"/>
      <c r="W57" s="616"/>
      <c r="X57" s="616"/>
      <c r="Y57" s="616"/>
      <c r="Z57" s="616"/>
      <c r="AA57" s="616"/>
      <c r="AB57" s="616"/>
      <c r="AC57" s="616"/>
    </row>
    <row r="58" spans="1:29" x14ac:dyDescent="0.2">
      <c r="A58" s="616"/>
      <c r="B58" s="616"/>
      <c r="C58" s="616"/>
      <c r="D58" s="616"/>
      <c r="E58" s="616"/>
      <c r="F58" s="616"/>
      <c r="G58" s="616"/>
      <c r="H58" s="616"/>
      <c r="I58" s="616"/>
      <c r="J58" s="616"/>
      <c r="K58" s="616"/>
      <c r="L58" s="616"/>
      <c r="M58" s="616"/>
      <c r="N58" s="616"/>
      <c r="O58" s="616"/>
      <c r="P58" s="616"/>
      <c r="Q58" s="616"/>
      <c r="R58" s="616"/>
      <c r="S58" s="616"/>
      <c r="T58" s="616"/>
      <c r="U58" s="616"/>
      <c r="V58" s="616"/>
      <c r="W58" s="616"/>
      <c r="X58" s="616"/>
      <c r="Y58" s="616"/>
      <c r="Z58" s="616"/>
      <c r="AA58" s="616"/>
      <c r="AB58" s="616"/>
      <c r="AC58" s="616"/>
    </row>
    <row r="59" spans="1:29" x14ac:dyDescent="0.2">
      <c r="A59" s="616"/>
      <c r="B59" s="616"/>
      <c r="C59" s="616"/>
      <c r="D59" s="616"/>
      <c r="E59" s="616"/>
      <c r="F59" s="616"/>
      <c r="G59" s="616"/>
      <c r="H59" s="616"/>
      <c r="I59" s="616"/>
      <c r="J59" s="616"/>
      <c r="K59" s="616"/>
      <c r="L59" s="616"/>
      <c r="M59" s="616"/>
      <c r="N59" s="616"/>
      <c r="O59" s="616"/>
      <c r="P59" s="616"/>
      <c r="Q59" s="616"/>
      <c r="R59" s="616"/>
      <c r="S59" s="616"/>
      <c r="T59" s="616"/>
      <c r="U59" s="616"/>
      <c r="V59" s="616"/>
      <c r="W59" s="616"/>
      <c r="X59" s="616"/>
      <c r="Y59" s="616"/>
      <c r="Z59" s="616"/>
      <c r="AA59" s="616"/>
      <c r="AB59" s="616"/>
      <c r="AC59" s="616"/>
    </row>
    <row r="60" spans="1:29" x14ac:dyDescent="0.2">
      <c r="A60" s="616"/>
      <c r="B60" s="616"/>
      <c r="C60" s="616"/>
      <c r="D60" s="616"/>
      <c r="E60" s="616"/>
      <c r="F60" s="616"/>
      <c r="G60" s="616"/>
      <c r="H60" s="616"/>
      <c r="I60" s="616"/>
      <c r="J60" s="616"/>
      <c r="K60" s="616"/>
      <c r="L60" s="616"/>
      <c r="M60" s="616"/>
      <c r="N60" s="616"/>
      <c r="O60" s="616"/>
      <c r="P60" s="616"/>
      <c r="Q60" s="616"/>
      <c r="R60" s="616"/>
      <c r="S60" s="616"/>
      <c r="T60" s="616"/>
      <c r="U60" s="616"/>
      <c r="V60" s="616"/>
      <c r="W60" s="616"/>
      <c r="X60" s="616"/>
      <c r="Y60" s="616"/>
      <c r="Z60" s="616"/>
      <c r="AA60" s="616"/>
      <c r="AB60" s="616"/>
      <c r="AC60" s="616"/>
    </row>
    <row r="61" spans="1:29" x14ac:dyDescent="0.2">
      <c r="A61" s="616"/>
      <c r="B61" s="616"/>
      <c r="C61" s="616"/>
      <c r="D61" s="616"/>
      <c r="E61" s="616"/>
      <c r="F61" s="616"/>
      <c r="G61" s="616"/>
      <c r="H61" s="616"/>
      <c r="I61" s="616"/>
      <c r="J61" s="616"/>
      <c r="K61" s="616"/>
      <c r="L61" s="616"/>
      <c r="M61" s="616"/>
      <c r="N61" s="616"/>
      <c r="O61" s="616"/>
      <c r="P61" s="616"/>
      <c r="Q61" s="616"/>
      <c r="R61" s="616"/>
      <c r="S61" s="616"/>
      <c r="T61" s="616"/>
      <c r="U61" s="616"/>
      <c r="V61" s="616"/>
      <c r="W61" s="616"/>
      <c r="X61" s="616"/>
      <c r="Y61" s="616"/>
      <c r="Z61" s="616"/>
      <c r="AA61" s="616"/>
      <c r="AB61" s="616"/>
      <c r="AC61" s="616"/>
    </row>
    <row r="62" spans="1:29" x14ac:dyDescent="0.2">
      <c r="A62" s="616"/>
      <c r="B62" s="616"/>
      <c r="C62" s="616"/>
      <c r="D62" s="616"/>
      <c r="E62" s="616"/>
      <c r="F62" s="616"/>
      <c r="G62" s="616"/>
      <c r="H62" s="616"/>
      <c r="I62" s="616"/>
      <c r="J62" s="616"/>
      <c r="K62" s="616"/>
      <c r="L62" s="616"/>
      <c r="M62" s="616"/>
      <c r="N62" s="616"/>
      <c r="O62" s="616"/>
      <c r="P62" s="616"/>
      <c r="Q62" s="616"/>
      <c r="R62" s="616"/>
      <c r="S62" s="616"/>
      <c r="T62" s="616"/>
      <c r="U62" s="616"/>
      <c r="V62" s="616"/>
      <c r="W62" s="616"/>
      <c r="X62" s="616"/>
      <c r="Y62" s="616"/>
      <c r="Z62" s="616"/>
      <c r="AA62" s="616"/>
      <c r="AB62" s="616"/>
      <c r="AC62" s="616"/>
    </row>
    <row r="63" spans="1:29" x14ac:dyDescent="0.2">
      <c r="A63" s="616"/>
      <c r="B63" s="616"/>
      <c r="C63" s="616"/>
      <c r="D63" s="616"/>
      <c r="E63" s="616"/>
      <c r="F63" s="616"/>
      <c r="G63" s="616"/>
      <c r="H63" s="616"/>
      <c r="I63" s="616"/>
      <c r="J63" s="616"/>
      <c r="K63" s="616"/>
      <c r="L63" s="616"/>
      <c r="M63" s="616"/>
      <c r="N63" s="616"/>
      <c r="O63" s="616"/>
      <c r="P63" s="616"/>
      <c r="Q63" s="616"/>
      <c r="R63" s="616"/>
      <c r="S63" s="616"/>
      <c r="T63" s="616"/>
      <c r="U63" s="616"/>
      <c r="V63" s="616"/>
      <c r="W63" s="616"/>
      <c r="X63" s="616"/>
      <c r="Y63" s="616"/>
      <c r="Z63" s="616"/>
      <c r="AA63" s="616"/>
      <c r="AB63" s="616"/>
      <c r="AC63" s="616"/>
    </row>
    <row r="64" spans="1:29" x14ac:dyDescent="0.2">
      <c r="A64" s="616"/>
      <c r="B64" s="616"/>
      <c r="C64" s="616"/>
      <c r="D64" s="616"/>
      <c r="E64" s="616"/>
      <c r="F64" s="616"/>
      <c r="G64" s="616"/>
      <c r="H64" s="616"/>
      <c r="I64" s="616"/>
      <c r="J64" s="616"/>
      <c r="K64" s="616"/>
      <c r="L64" s="616"/>
      <c r="M64" s="616"/>
      <c r="N64" s="616"/>
      <c r="O64" s="616"/>
      <c r="P64" s="616"/>
      <c r="Q64" s="616"/>
      <c r="R64" s="616"/>
      <c r="S64" s="616"/>
      <c r="T64" s="616"/>
      <c r="U64" s="616"/>
      <c r="V64" s="616"/>
      <c r="W64" s="616"/>
      <c r="X64" s="616"/>
      <c r="Y64" s="616"/>
      <c r="Z64" s="616"/>
      <c r="AA64" s="616"/>
      <c r="AB64" s="616"/>
      <c r="AC64" s="616"/>
    </row>
    <row r="65" spans="1:29" x14ac:dyDescent="0.2">
      <c r="A65" s="616"/>
      <c r="B65" s="616"/>
      <c r="C65" s="616"/>
      <c r="D65" s="616"/>
      <c r="E65" s="616"/>
      <c r="F65" s="616"/>
      <c r="G65" s="616"/>
      <c r="H65" s="616"/>
      <c r="I65" s="616"/>
      <c r="J65" s="616"/>
      <c r="K65" s="616"/>
      <c r="L65" s="616"/>
      <c r="M65" s="616"/>
      <c r="N65" s="616"/>
      <c r="O65" s="616"/>
      <c r="P65" s="616"/>
      <c r="Q65" s="616"/>
      <c r="R65" s="616"/>
      <c r="S65" s="616"/>
      <c r="T65" s="616"/>
      <c r="U65" s="616"/>
      <c r="V65" s="616"/>
      <c r="W65" s="616"/>
      <c r="X65" s="616"/>
      <c r="Y65" s="616"/>
      <c r="Z65" s="616"/>
      <c r="AA65" s="616"/>
      <c r="AB65" s="616"/>
      <c r="AC65" s="616"/>
    </row>
    <row r="66" spans="1:29" x14ac:dyDescent="0.2">
      <c r="A66" s="616"/>
      <c r="B66" s="616"/>
      <c r="C66" s="616"/>
      <c r="D66" s="616"/>
      <c r="E66" s="616"/>
      <c r="F66" s="616"/>
      <c r="G66" s="616"/>
      <c r="H66" s="616"/>
      <c r="I66" s="616"/>
      <c r="J66" s="616"/>
      <c r="K66" s="616"/>
      <c r="L66" s="616"/>
      <c r="M66" s="616"/>
      <c r="N66" s="616"/>
      <c r="O66" s="616"/>
      <c r="P66" s="616"/>
      <c r="Q66" s="616"/>
      <c r="R66" s="616"/>
      <c r="S66" s="616"/>
      <c r="T66" s="616"/>
      <c r="U66" s="616"/>
      <c r="V66" s="616"/>
      <c r="W66" s="616"/>
      <c r="X66" s="616"/>
      <c r="Y66" s="616"/>
      <c r="Z66" s="616"/>
      <c r="AA66" s="616"/>
      <c r="AB66" s="616"/>
      <c r="AC66" s="616"/>
    </row>
    <row r="67" spans="1:29" x14ac:dyDescent="0.2">
      <c r="A67" s="616"/>
      <c r="B67" s="616"/>
      <c r="C67" s="616"/>
      <c r="D67" s="616"/>
      <c r="E67" s="616"/>
      <c r="F67" s="616"/>
      <c r="G67" s="616"/>
      <c r="H67" s="616"/>
      <c r="I67" s="616"/>
      <c r="J67" s="616"/>
      <c r="K67" s="616"/>
      <c r="L67" s="616"/>
      <c r="M67" s="616"/>
      <c r="N67" s="616"/>
      <c r="O67" s="616"/>
      <c r="P67" s="616"/>
      <c r="Q67" s="616"/>
      <c r="R67" s="616"/>
      <c r="S67" s="616"/>
      <c r="T67" s="616"/>
      <c r="U67" s="616"/>
      <c r="V67" s="616"/>
      <c r="W67" s="616"/>
      <c r="X67" s="616"/>
      <c r="Y67" s="616"/>
      <c r="Z67" s="616"/>
      <c r="AA67" s="616"/>
      <c r="AB67" s="616"/>
      <c r="AC67" s="616"/>
    </row>
    <row r="68" spans="1:29" x14ac:dyDescent="0.2">
      <c r="A68" s="616"/>
      <c r="B68" s="616"/>
      <c r="C68" s="616"/>
      <c r="D68" s="616"/>
      <c r="E68" s="616"/>
      <c r="F68" s="616"/>
      <c r="G68" s="616"/>
      <c r="H68" s="616"/>
      <c r="I68" s="616"/>
      <c r="J68" s="616"/>
      <c r="K68" s="616"/>
      <c r="L68" s="616"/>
      <c r="M68" s="616"/>
      <c r="N68" s="616"/>
      <c r="O68" s="616"/>
      <c r="P68" s="616"/>
      <c r="Q68" s="616"/>
      <c r="R68" s="616"/>
      <c r="S68" s="616"/>
      <c r="T68" s="616"/>
      <c r="U68" s="616"/>
      <c r="V68" s="616"/>
      <c r="W68" s="616"/>
      <c r="X68" s="616"/>
      <c r="Y68" s="616"/>
      <c r="Z68" s="616"/>
      <c r="AA68" s="616"/>
      <c r="AB68" s="616"/>
      <c r="AC68" s="616"/>
    </row>
    <row r="69" spans="1:29" x14ac:dyDescent="0.2">
      <c r="A69" s="616"/>
      <c r="B69" s="616"/>
      <c r="C69" s="616"/>
      <c r="D69" s="616"/>
      <c r="E69" s="616"/>
      <c r="F69" s="616"/>
      <c r="G69" s="616"/>
      <c r="H69" s="616"/>
      <c r="I69" s="616"/>
      <c r="J69" s="616"/>
      <c r="K69" s="616"/>
      <c r="L69" s="616"/>
      <c r="M69" s="616"/>
      <c r="N69" s="616"/>
      <c r="O69" s="616"/>
      <c r="P69" s="616"/>
      <c r="Q69" s="616"/>
      <c r="R69" s="616"/>
      <c r="S69" s="616"/>
      <c r="T69" s="616"/>
      <c r="U69" s="616"/>
      <c r="V69" s="616"/>
      <c r="W69" s="616"/>
      <c r="X69" s="616"/>
      <c r="Y69" s="616"/>
      <c r="Z69" s="616"/>
      <c r="AA69" s="616"/>
      <c r="AB69" s="616"/>
      <c r="AC69" s="616"/>
    </row>
    <row r="70" spans="1:29" x14ac:dyDescent="0.2">
      <c r="A70" s="616"/>
      <c r="B70" s="616"/>
      <c r="C70" s="616"/>
      <c r="D70" s="616"/>
      <c r="E70" s="616"/>
      <c r="F70" s="616"/>
      <c r="G70" s="616"/>
      <c r="H70" s="616"/>
      <c r="I70" s="616"/>
      <c r="J70" s="616"/>
      <c r="K70" s="616"/>
      <c r="L70" s="616"/>
      <c r="M70" s="616"/>
      <c r="N70" s="616"/>
      <c r="O70" s="616"/>
      <c r="P70" s="616"/>
      <c r="Q70" s="616"/>
      <c r="R70" s="616"/>
      <c r="S70" s="616"/>
      <c r="T70" s="616"/>
      <c r="U70" s="616"/>
      <c r="V70" s="616"/>
      <c r="W70" s="616"/>
      <c r="X70" s="616"/>
      <c r="Y70" s="616"/>
      <c r="Z70" s="616"/>
      <c r="AA70" s="616"/>
      <c r="AB70" s="616"/>
      <c r="AC70" s="616"/>
    </row>
    <row r="71" spans="1:29" x14ac:dyDescent="0.2">
      <c r="A71" s="616"/>
      <c r="B71" s="616"/>
      <c r="C71" s="616"/>
      <c r="D71" s="616"/>
      <c r="E71" s="616"/>
      <c r="F71" s="616"/>
      <c r="G71" s="616"/>
      <c r="H71" s="616"/>
      <c r="I71" s="616"/>
      <c r="J71" s="616"/>
      <c r="K71" s="616"/>
      <c r="L71" s="616"/>
      <c r="M71" s="616"/>
      <c r="N71" s="616"/>
      <c r="O71" s="616"/>
      <c r="P71" s="616"/>
      <c r="Q71" s="616"/>
      <c r="R71" s="616"/>
      <c r="S71" s="616"/>
      <c r="T71" s="616"/>
      <c r="U71" s="616"/>
      <c r="V71" s="616"/>
      <c r="W71" s="616"/>
      <c r="X71" s="616"/>
      <c r="Y71" s="616"/>
      <c r="Z71" s="616"/>
      <c r="AA71" s="616"/>
      <c r="AB71" s="616"/>
      <c r="AC71" s="616"/>
    </row>
    <row r="72" spans="1:29" x14ac:dyDescent="0.2">
      <c r="A72" s="616"/>
      <c r="B72" s="616"/>
      <c r="C72" s="616"/>
      <c r="D72" s="616"/>
      <c r="E72" s="616"/>
      <c r="F72" s="616"/>
      <c r="G72" s="616"/>
      <c r="H72" s="616"/>
      <c r="I72" s="616"/>
      <c r="J72" s="616"/>
      <c r="K72" s="616"/>
      <c r="L72" s="616"/>
      <c r="M72" s="616"/>
      <c r="N72" s="616"/>
      <c r="O72" s="616"/>
      <c r="P72" s="616"/>
      <c r="Q72" s="616"/>
      <c r="R72" s="616"/>
      <c r="S72" s="616"/>
      <c r="T72" s="616"/>
      <c r="U72" s="616"/>
      <c r="V72" s="616"/>
      <c r="W72" s="616"/>
      <c r="X72" s="616"/>
      <c r="Y72" s="616"/>
      <c r="Z72" s="616"/>
      <c r="AA72" s="616"/>
      <c r="AB72" s="616"/>
      <c r="AC72" s="616"/>
    </row>
    <row r="73" spans="1:29" x14ac:dyDescent="0.2">
      <c r="A73" s="616"/>
      <c r="B73" s="616"/>
      <c r="C73" s="616"/>
      <c r="D73" s="616"/>
      <c r="E73" s="616"/>
      <c r="F73" s="616"/>
      <c r="G73" s="616"/>
      <c r="H73" s="616"/>
      <c r="I73" s="616"/>
      <c r="J73" s="616"/>
      <c r="K73" s="616"/>
      <c r="L73" s="616"/>
      <c r="M73" s="616"/>
      <c r="N73" s="616"/>
      <c r="O73" s="616"/>
      <c r="P73" s="616"/>
      <c r="Q73" s="616"/>
      <c r="R73" s="616"/>
      <c r="S73" s="616"/>
      <c r="T73" s="616"/>
      <c r="U73" s="616"/>
      <c r="V73" s="616"/>
      <c r="W73" s="616"/>
      <c r="X73" s="616"/>
      <c r="Y73" s="616"/>
      <c r="Z73" s="616"/>
      <c r="AA73" s="616"/>
      <c r="AB73" s="616"/>
      <c r="AC73" s="6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DB99"/>
  <sheetViews>
    <sheetView showGridLines="0" zoomScale="85" zoomScaleNormal="85" zoomScaleSheetLayoutView="85" workbookViewId="0"/>
  </sheetViews>
  <sheetFormatPr defaultRowHeight="12.75" x14ac:dyDescent="0.2"/>
  <cols>
    <col min="1" max="2" width="2.83203125" style="632" customWidth="1"/>
    <col min="3" max="3" width="45.83203125" style="632" customWidth="1"/>
    <col min="4" max="4" width="2.83203125" style="632" customWidth="1"/>
    <col min="5" max="5" width="9.33203125" style="632"/>
    <col min="6" max="6" width="9.33203125" style="632" customWidth="1"/>
    <col min="7" max="7" width="9.33203125" style="632"/>
    <col min="8" max="8" width="9.33203125" style="632" customWidth="1"/>
    <col min="9" max="10" width="9.33203125" style="632"/>
    <col min="11" max="12" width="2.83203125" style="632" customWidth="1"/>
    <col min="13" max="13" width="45.83203125" style="632" customWidth="1"/>
    <col min="14" max="14" width="2.83203125" style="632" customWidth="1"/>
    <col min="15" max="15" width="9.33203125" style="632" hidden="1" customWidth="1"/>
    <col min="16" max="16" width="11.83203125" style="632" hidden="1" customWidth="1"/>
    <col min="17" max="22" width="11.83203125" style="632" customWidth="1"/>
    <col min="23" max="23" width="9.33203125" style="633"/>
    <col min="24" max="26" width="9.33203125" style="632"/>
    <col min="27" max="27" width="9.6640625" style="632" bestFit="1" customWidth="1"/>
    <col min="28" max="16384" width="9.33203125" style="632"/>
  </cols>
  <sheetData>
    <row r="1" spans="1:106" s="686" customFormat="1" ht="15" customHeight="1" x14ac:dyDescent="0.25">
      <c r="A1" s="695"/>
      <c r="B1" s="695"/>
      <c r="C1" s="695"/>
      <c r="D1" s="695"/>
      <c r="E1" s="691"/>
      <c r="F1" s="691"/>
      <c r="G1" s="691"/>
      <c r="H1" s="691"/>
      <c r="I1" s="691"/>
      <c r="J1" s="691"/>
      <c r="K1" s="695"/>
      <c r="L1" s="695"/>
      <c r="M1" s="695"/>
      <c r="N1" s="695"/>
      <c r="O1" s="691"/>
      <c r="P1" s="691"/>
      <c r="Q1" s="691"/>
      <c r="R1" s="691"/>
      <c r="S1" s="691"/>
      <c r="T1" s="691"/>
      <c r="U1" s="691"/>
      <c r="V1" s="691"/>
      <c r="W1" s="692"/>
      <c r="X1" s="691"/>
      <c r="Y1" s="691"/>
      <c r="Z1" s="691"/>
      <c r="AA1" s="691"/>
      <c r="AB1" s="691"/>
      <c r="AC1" s="691"/>
      <c r="AD1" s="691"/>
      <c r="AE1" s="691"/>
      <c r="AF1" s="691"/>
      <c r="AG1" s="691"/>
      <c r="AH1" s="691"/>
      <c r="AI1" s="691"/>
      <c r="AJ1" s="691"/>
      <c r="AK1" s="691"/>
      <c r="AL1" s="691"/>
      <c r="AM1" s="691"/>
      <c r="AN1" s="691"/>
      <c r="AO1" s="691"/>
      <c r="AP1" s="691"/>
      <c r="AQ1" s="691"/>
      <c r="AR1" s="691"/>
      <c r="AS1" s="691"/>
      <c r="AT1" s="691"/>
      <c r="AU1" s="691"/>
      <c r="AV1" s="691"/>
      <c r="AW1" s="691"/>
      <c r="AX1" s="691"/>
      <c r="AY1" s="691"/>
      <c r="CW1" s="696"/>
      <c r="CX1" s="696"/>
      <c r="CY1" s="696"/>
      <c r="CZ1" s="696"/>
      <c r="DA1" s="696"/>
      <c r="DB1" s="696"/>
    </row>
    <row r="2" spans="1:106" s="686" customFormat="1" ht="15" customHeight="1" x14ac:dyDescent="0.25">
      <c r="A2" s="695"/>
      <c r="B2" s="695" t="str">
        <f>+Cover!B2</f>
        <v>Southwest Airlines</v>
      </c>
      <c r="C2" s="695"/>
      <c r="D2" s="695"/>
      <c r="E2" s="691"/>
      <c r="F2" s="691"/>
      <c r="G2" s="691"/>
      <c r="H2" s="691"/>
      <c r="I2" s="691"/>
      <c r="J2" s="691"/>
      <c r="K2" s="695"/>
      <c r="L2" s="695"/>
      <c r="M2" s="695"/>
      <c r="N2" s="695"/>
      <c r="O2" s="691"/>
      <c r="P2" s="691"/>
      <c r="Q2" s="691"/>
      <c r="R2" s="691"/>
      <c r="S2" s="691"/>
      <c r="T2" s="691"/>
      <c r="U2" s="691"/>
      <c r="V2" s="691"/>
      <c r="W2" s="692"/>
      <c r="X2" s="691"/>
      <c r="Y2" s="691"/>
      <c r="Z2" s="691"/>
      <c r="AA2" s="691"/>
      <c r="AB2" s="691"/>
      <c r="AC2" s="691"/>
      <c r="AD2" s="691"/>
      <c r="AE2" s="691"/>
      <c r="AF2" s="691"/>
      <c r="AG2" s="691"/>
      <c r="AH2" s="691"/>
      <c r="AI2" s="691"/>
      <c r="AJ2" s="691"/>
      <c r="AK2" s="691"/>
      <c r="AL2" s="691"/>
      <c r="AM2" s="691"/>
      <c r="AN2" s="691"/>
      <c r="AO2" s="691"/>
      <c r="AP2" s="691"/>
      <c r="AQ2" s="691"/>
      <c r="AR2" s="691"/>
      <c r="AS2" s="691"/>
      <c r="AT2" s="691"/>
      <c r="AU2" s="691"/>
      <c r="AV2" s="691"/>
      <c r="AW2" s="691"/>
      <c r="AX2" s="691"/>
      <c r="AY2" s="691"/>
    </row>
    <row r="3" spans="1:106" s="686" customFormat="1" ht="15" customHeight="1" x14ac:dyDescent="0.25">
      <c r="A3" s="693"/>
      <c r="B3" s="694" t="s">
        <v>202</v>
      </c>
      <c r="C3" s="694"/>
      <c r="D3" s="693"/>
      <c r="E3" s="691"/>
      <c r="F3" s="691"/>
      <c r="G3" s="691"/>
      <c r="H3" s="691"/>
      <c r="I3" s="691"/>
      <c r="J3" s="691"/>
      <c r="K3" s="693"/>
      <c r="L3" s="694"/>
      <c r="M3" s="694"/>
      <c r="N3" s="693"/>
      <c r="O3" s="691"/>
      <c r="P3" s="691"/>
      <c r="Q3" s="691"/>
      <c r="R3" s="691"/>
      <c r="S3" s="691"/>
      <c r="T3" s="691"/>
      <c r="U3" s="691"/>
      <c r="V3" s="691"/>
      <c r="W3" s="692"/>
      <c r="X3" s="691"/>
      <c r="Y3" s="691"/>
      <c r="Z3" s="691"/>
      <c r="AA3" s="691"/>
      <c r="AB3" s="691"/>
      <c r="AC3" s="691"/>
      <c r="AD3" s="691"/>
      <c r="AE3" s="691"/>
      <c r="AF3" s="691"/>
      <c r="AG3" s="691"/>
      <c r="AH3" s="691"/>
      <c r="AI3" s="691"/>
      <c r="AJ3" s="691"/>
      <c r="AK3" s="691"/>
      <c r="AL3" s="691"/>
      <c r="AM3" s="691"/>
      <c r="AN3" s="691"/>
      <c r="AO3" s="691"/>
      <c r="AP3" s="691"/>
      <c r="AQ3" s="691"/>
      <c r="AR3" s="691"/>
      <c r="AS3" s="691"/>
      <c r="AT3" s="691"/>
      <c r="AU3" s="691"/>
      <c r="AV3" s="691"/>
      <c r="AW3" s="691"/>
      <c r="AX3" s="691"/>
      <c r="AY3" s="691"/>
    </row>
    <row r="4" spans="1:106" s="686" customFormat="1" x14ac:dyDescent="0.2">
      <c r="A4" s="689"/>
      <c r="B4" s="690" t="s">
        <v>531</v>
      </c>
      <c r="C4" s="690"/>
      <c r="D4" s="689"/>
      <c r="E4" s="687"/>
      <c r="F4" s="687"/>
      <c r="G4" s="687"/>
      <c r="H4" s="687"/>
      <c r="I4" s="687"/>
      <c r="J4" s="687"/>
      <c r="K4" s="689"/>
      <c r="L4" s="690"/>
      <c r="M4" s="690"/>
      <c r="N4" s="689"/>
      <c r="O4" s="687"/>
      <c r="P4" s="687"/>
      <c r="Q4" s="687"/>
      <c r="R4" s="687"/>
      <c r="S4" s="687"/>
      <c r="T4" s="687"/>
      <c r="U4" s="687"/>
      <c r="V4" s="687"/>
      <c r="W4" s="688"/>
      <c r="X4" s="687"/>
      <c r="Y4" s="687"/>
      <c r="Z4" s="687"/>
      <c r="AA4" s="687"/>
      <c r="AB4" s="687"/>
      <c r="AC4" s="687"/>
      <c r="AD4" s="687"/>
      <c r="AE4" s="687"/>
      <c r="AF4" s="687"/>
      <c r="AG4" s="687"/>
      <c r="AH4" s="687"/>
      <c r="AI4" s="687"/>
      <c r="AJ4" s="687"/>
      <c r="AK4" s="687"/>
      <c r="AL4" s="687"/>
      <c r="AM4" s="687"/>
      <c r="AN4" s="687"/>
      <c r="AO4" s="687"/>
      <c r="AP4" s="687"/>
      <c r="AQ4" s="687"/>
      <c r="AR4" s="687"/>
      <c r="AS4" s="687"/>
      <c r="AT4" s="687"/>
      <c r="AU4" s="687"/>
      <c r="AV4" s="687"/>
      <c r="AW4" s="687"/>
      <c r="AX4" s="687"/>
      <c r="AY4" s="687"/>
    </row>
    <row r="5" spans="1:106" ht="12.75" customHeight="1" x14ac:dyDescent="0.2"/>
    <row r="6" spans="1:106" ht="12.75" customHeight="1" x14ac:dyDescent="0.2">
      <c r="B6" s="650" t="s">
        <v>530</v>
      </c>
      <c r="C6" s="649"/>
      <c r="D6" s="649"/>
      <c r="F6" s="685" t="s">
        <v>529</v>
      </c>
      <c r="G6" s="685" t="s">
        <v>528</v>
      </c>
      <c r="H6" s="685" t="s">
        <v>527</v>
      </c>
      <c r="L6" s="650" t="s">
        <v>526</v>
      </c>
      <c r="M6" s="649"/>
      <c r="N6" s="649"/>
      <c r="O6" s="648">
        <f>+P6-1</f>
        <v>2013</v>
      </c>
      <c r="P6" s="648">
        <f>+Q6-1</f>
        <v>2014</v>
      </c>
      <c r="Q6" s="648">
        <f>+R6-1</f>
        <v>2015</v>
      </c>
      <c r="R6" s="648">
        <f>+S6-1</f>
        <v>2016</v>
      </c>
      <c r="S6" s="648">
        <f>+T6-1</f>
        <v>2017</v>
      </c>
      <c r="T6" s="702">
        <v>2018</v>
      </c>
      <c r="U6" s="702">
        <v>2019</v>
      </c>
      <c r="V6" s="703">
        <v>2020</v>
      </c>
    </row>
    <row r="7" spans="1:106" ht="12.75" customHeight="1" x14ac:dyDescent="0.2">
      <c r="C7" s="632" t="s">
        <v>525</v>
      </c>
      <c r="F7" s="663">
        <v>2019</v>
      </c>
      <c r="G7" s="663">
        <v>2019</v>
      </c>
      <c r="H7" s="663">
        <v>2019</v>
      </c>
      <c r="X7" s="700"/>
    </row>
    <row r="8" spans="1:106" ht="12.75" customHeight="1" x14ac:dyDescent="0.2">
      <c r="F8" s="663"/>
      <c r="G8" s="795"/>
      <c r="H8" s="663"/>
      <c r="M8" s="642" t="s">
        <v>4</v>
      </c>
    </row>
    <row r="9" spans="1:106" ht="12.75" customHeight="1" x14ac:dyDescent="0.2">
      <c r="C9" s="684" t="s">
        <v>524</v>
      </c>
      <c r="D9" s="683"/>
      <c r="E9" s="683"/>
      <c r="F9" s="857">
        <f>MROUND(F34,1)</f>
        <v>41</v>
      </c>
      <c r="G9" s="857">
        <f>MROUND(G34,1)</f>
        <v>69</v>
      </c>
      <c r="H9" s="858">
        <f>MROUND(H34,1)</f>
        <v>86</v>
      </c>
      <c r="M9" s="632" t="s">
        <v>523</v>
      </c>
      <c r="O9" s="634">
        <f>+Model!DQ20</f>
        <v>16721</v>
      </c>
      <c r="P9" s="634">
        <f>+Model!DV20</f>
        <v>17658</v>
      </c>
      <c r="Q9" s="634">
        <f>+Model!EA20</f>
        <v>18299</v>
      </c>
      <c r="R9" s="634">
        <f>+Model!EF20</f>
        <v>18595</v>
      </c>
      <c r="S9" s="634">
        <f>+Model!EK20</f>
        <v>19140</v>
      </c>
      <c r="T9" s="634">
        <f>+Model!EU20</f>
        <v>20650.134060000004</v>
      </c>
      <c r="U9" s="634">
        <f>+Model!EZ20</f>
        <v>21899.467170630003</v>
      </c>
      <c r="V9" s="634">
        <f>+Model!FE20</f>
        <v>23224.384934453123</v>
      </c>
      <c r="X9" s="3"/>
    </row>
    <row r="10" spans="1:106" ht="12.75" customHeight="1" x14ac:dyDescent="0.2">
      <c r="C10" s="632" t="s">
        <v>203</v>
      </c>
      <c r="F10" s="859">
        <f>+G10</f>
        <v>53.96</v>
      </c>
      <c r="G10" s="860">
        <v>53.96</v>
      </c>
      <c r="H10" s="859">
        <f>+G10</f>
        <v>53.96</v>
      </c>
      <c r="J10" s="732"/>
      <c r="K10" s="658"/>
      <c r="M10" s="632" t="s">
        <v>522</v>
      </c>
      <c r="O10" s="634">
        <f t="shared" ref="O10:T10" si="0">+O11-O9</f>
        <v>979</v>
      </c>
      <c r="P10" s="634">
        <f t="shared" si="0"/>
        <v>947</v>
      </c>
      <c r="Q10" s="634">
        <f t="shared" si="0"/>
        <v>1349</v>
      </c>
      <c r="R10" s="634">
        <f t="shared" si="0"/>
        <v>1830</v>
      </c>
      <c r="S10" s="634">
        <f t="shared" si="0"/>
        <v>2032</v>
      </c>
      <c r="T10" s="634">
        <f t="shared" si="0"/>
        <v>1552.6450000000004</v>
      </c>
      <c r="U10" s="634">
        <f t="shared" ref="U10:V10" si="1">+U11-U9</f>
        <v>1666.3208999999988</v>
      </c>
      <c r="V10" s="634">
        <f t="shared" si="1"/>
        <v>1760.0314125000004</v>
      </c>
      <c r="X10" s="3"/>
    </row>
    <row r="11" spans="1:106" s="641" customFormat="1" ht="12.75" customHeight="1" x14ac:dyDescent="0.2">
      <c r="C11" s="641" t="s">
        <v>521</v>
      </c>
      <c r="F11" s="681">
        <f>+F9/F10-1</f>
        <v>-0.24017790956263896</v>
      </c>
      <c r="G11" s="681">
        <f>+G9/G10-1</f>
        <v>0.27872498146775393</v>
      </c>
      <c r="H11" s="681">
        <f>+H9/H10-1</f>
        <v>0.59377316530763524</v>
      </c>
      <c r="J11" s="804"/>
      <c r="K11" s="659"/>
      <c r="L11" s="632"/>
      <c r="M11" s="637" t="s">
        <v>520</v>
      </c>
      <c r="N11" s="637"/>
      <c r="O11" s="647">
        <f>+Model!DQ34</f>
        <v>17700</v>
      </c>
      <c r="P11" s="647">
        <f>+Model!DV34</f>
        <v>18605</v>
      </c>
      <c r="Q11" s="647">
        <f>+Model!EA34</f>
        <v>19648</v>
      </c>
      <c r="R11" s="647">
        <f>+Model!EF34</f>
        <v>20425</v>
      </c>
      <c r="S11" s="647">
        <f>+Model!EK34</f>
        <v>21172</v>
      </c>
      <c r="T11" s="647">
        <f>+Model!EU34</f>
        <v>22202.779060000004</v>
      </c>
      <c r="U11" s="647">
        <f>+Model!EZ34</f>
        <v>23565.788070630002</v>
      </c>
      <c r="V11" s="647">
        <f>+Model!FE34</f>
        <v>24984.416346953123</v>
      </c>
      <c r="W11" s="633"/>
      <c r="X11" s="3"/>
    </row>
    <row r="12" spans="1:106" ht="12.75" customHeight="1" x14ac:dyDescent="0.2">
      <c r="K12" s="658"/>
      <c r="O12" s="698"/>
      <c r="P12" s="698"/>
      <c r="Q12" s="698"/>
      <c r="R12" s="638"/>
      <c r="S12" s="638"/>
      <c r="T12" s="638"/>
      <c r="U12" s="638"/>
      <c r="V12" s="698"/>
      <c r="X12" s="3"/>
    </row>
    <row r="13" spans="1:106" s="641" customFormat="1" ht="12.75" customHeight="1" x14ac:dyDescent="0.2">
      <c r="C13" s="680" t="s">
        <v>519</v>
      </c>
      <c r="D13" s="679"/>
      <c r="E13" s="679"/>
      <c r="F13" s="678">
        <f>(F9*F32-F29)/(F17+F18+F19+F20)</f>
        <v>5.9506150433590896</v>
      </c>
      <c r="G13" s="678">
        <f>(G9*G32-G29)/G17</f>
        <v>7.7224203020718294</v>
      </c>
      <c r="H13" s="677">
        <f>(H9*H32-H29)/(H17+H18+H19+H20)</f>
        <v>8.9399634635090024</v>
      </c>
      <c r="K13" s="659"/>
      <c r="L13" s="632"/>
      <c r="M13" s="632" t="s">
        <v>518</v>
      </c>
      <c r="N13" s="632"/>
      <c r="O13" s="634">
        <f>+Model!DQ39</f>
        <v>5036</v>
      </c>
      <c r="P13" s="634">
        <f>+Model!DV39</f>
        <v>5434</v>
      </c>
      <c r="Q13" s="634">
        <f>+Model!EA39</f>
        <v>6050</v>
      </c>
      <c r="R13" s="634">
        <f>+Model!EF39</f>
        <v>6440</v>
      </c>
      <c r="S13" s="634">
        <f>+Model!EK39</f>
        <v>7319</v>
      </c>
      <c r="T13" s="634">
        <f>+Model!EU39</f>
        <v>7843.4880679334419</v>
      </c>
      <c r="U13" s="634">
        <f>+Model!EZ39</f>
        <v>8430.5218055202622</v>
      </c>
      <c r="V13" s="634">
        <f>+Model!FE39</f>
        <v>9133.6131144759638</v>
      </c>
      <c r="W13" s="633"/>
      <c r="X13" s="3"/>
    </row>
    <row r="14" spans="1:106" s="641" customFormat="1" ht="12.75" customHeight="1" x14ac:dyDescent="0.2">
      <c r="C14" s="676" t="s">
        <v>517</v>
      </c>
      <c r="D14" s="659"/>
      <c r="E14" s="659"/>
      <c r="F14" s="675">
        <f>F9/(U29+(((F18+F19+F20)*(1-38%))/U28))</f>
        <v>8.7184679655155257</v>
      </c>
      <c r="G14" s="675">
        <f>+G$9/U29</f>
        <v>11.401488010050091</v>
      </c>
      <c r="H14" s="674">
        <f>H9/(U29+(((H18+H19+H20)*(1-38%))/U28))</f>
        <v>13.249508646015233</v>
      </c>
      <c r="K14" s="659"/>
      <c r="L14" s="632"/>
      <c r="M14" s="632" t="s">
        <v>516</v>
      </c>
      <c r="N14" s="632"/>
      <c r="O14" s="634">
        <f>+Model!DQ54</f>
        <v>5680</v>
      </c>
      <c r="P14" s="634">
        <f>+Model!DV54</f>
        <v>5264</v>
      </c>
      <c r="Q14" s="634">
        <f>+Model!EA54</f>
        <v>3938</v>
      </c>
      <c r="R14" s="634">
        <f>+Model!EF54</f>
        <v>3849</v>
      </c>
      <c r="S14" s="634">
        <f>+Model!EK54</f>
        <v>4096</v>
      </c>
      <c r="T14" s="634">
        <f>+Model!EU54</f>
        <v>4326.1122599999999</v>
      </c>
      <c r="U14" s="634">
        <f>+Model!EZ54</f>
        <v>4254.9077985335252</v>
      </c>
      <c r="V14" s="634">
        <f>+Model!FE54</f>
        <v>4234.2390192109315</v>
      </c>
      <c r="W14" s="633"/>
      <c r="X14" s="3"/>
      <c r="AA14" s="655"/>
    </row>
    <row r="15" spans="1:106" ht="12.75" customHeight="1" x14ac:dyDescent="0.2">
      <c r="C15" s="673" t="s">
        <v>515</v>
      </c>
      <c r="D15" s="672"/>
      <c r="E15" s="672"/>
      <c r="F15" s="671">
        <f>((U44+((F18+F19+F20)*(1-38%)))/U28)/F9</f>
        <v>0.118284367498218</v>
      </c>
      <c r="G15" s="670">
        <f>(U44/$U$28)/G9</f>
        <v>8.9838255565171471E-2</v>
      </c>
      <c r="H15" s="669">
        <f>((U44+((H18+H19+H20)*(1-38%)))/U28)/H9</f>
        <v>7.7183775853203476E-2</v>
      </c>
      <c r="J15" s="701"/>
      <c r="K15" s="658"/>
      <c r="M15" s="632" t="s">
        <v>350</v>
      </c>
      <c r="O15" s="634">
        <f>+Model!DQ86</f>
        <v>1081</v>
      </c>
      <c r="P15" s="634">
        <f>+Model!DV86</f>
        <v>978</v>
      </c>
      <c r="Q15" s="634">
        <f>+Model!EA86</f>
        <v>1004</v>
      </c>
      <c r="R15" s="634">
        <f>+Model!EF86</f>
        <v>1044</v>
      </c>
      <c r="S15" s="634">
        <f>+Model!EK86</f>
        <v>1000</v>
      </c>
      <c r="T15" s="634">
        <f>+Model!EU86</f>
        <v>1010.1504000000001</v>
      </c>
      <c r="U15" s="634">
        <f>+Model!EZ86</f>
        <v>1023.5348928000001</v>
      </c>
      <c r="V15" s="634">
        <f>+Model!FE86</f>
        <v>1037.0967301296002</v>
      </c>
      <c r="X15" s="3"/>
      <c r="Y15" s="661"/>
    </row>
    <row r="16" spans="1:106" ht="12.75" customHeight="1" x14ac:dyDescent="0.2">
      <c r="C16" s="668"/>
      <c r="G16" s="792"/>
      <c r="J16" s="701"/>
      <c r="K16" s="658"/>
      <c r="L16" s="641"/>
      <c r="M16" s="632" t="s">
        <v>432</v>
      </c>
      <c r="O16" s="661">
        <f t="shared" ref="O16:T16" si="2">+O19-O17-O18-O14-O13-O15</f>
        <v>3227</v>
      </c>
      <c r="P16" s="661">
        <f t="shared" si="2"/>
        <v>3316</v>
      </c>
      <c r="Q16" s="661">
        <f t="shared" si="2"/>
        <v>3446</v>
      </c>
      <c r="R16" s="661">
        <f t="shared" si="2"/>
        <v>3682</v>
      </c>
      <c r="S16" s="661">
        <f t="shared" si="2"/>
        <v>3891</v>
      </c>
      <c r="T16" s="661">
        <f t="shared" si="2"/>
        <v>4015.8663999999994</v>
      </c>
      <c r="U16" s="661">
        <f t="shared" ref="U16:V16" si="3">+U19-U17-U18-U14-U13-U15</f>
        <v>4174.4931227999987</v>
      </c>
      <c r="V16" s="661">
        <f t="shared" si="3"/>
        <v>4295.5534233611979</v>
      </c>
      <c r="X16" s="3"/>
      <c r="Y16" s="661"/>
    </row>
    <row r="17" spans="2:27" ht="12.75" customHeight="1" x14ac:dyDescent="0.2">
      <c r="C17" s="637" t="s">
        <v>514</v>
      </c>
      <c r="D17" s="637"/>
      <c r="E17" s="637"/>
      <c r="F17" s="657">
        <f>+G17</f>
        <v>5682.3304509762156</v>
      </c>
      <c r="G17" s="647">
        <f>U22</f>
        <v>5682.3304509762156</v>
      </c>
      <c r="H17" s="657">
        <f>+G17</f>
        <v>5682.3304509762156</v>
      </c>
      <c r="J17" s="701"/>
      <c r="K17" s="658"/>
      <c r="M17" s="632" t="s">
        <v>9</v>
      </c>
      <c r="O17" s="634">
        <f>+Model!DQ72</f>
        <v>867</v>
      </c>
      <c r="P17" s="634">
        <f>+Model!DV72</f>
        <v>938</v>
      </c>
      <c r="Q17" s="634">
        <f>+Model!EA72</f>
        <v>1015</v>
      </c>
      <c r="R17" s="634">
        <f>+Model!EF72</f>
        <v>1222</v>
      </c>
      <c r="S17" s="634">
        <f>+Model!EK72</f>
        <v>1218</v>
      </c>
      <c r="T17" s="634">
        <f>+Model!EU72</f>
        <v>1208.9699999999998</v>
      </c>
      <c r="U17" s="634">
        <f>+Model!EZ72</f>
        <v>1245.2390999999998</v>
      </c>
      <c r="V17" s="634">
        <f>+Model!FE72</f>
        <v>1282.5962729999999</v>
      </c>
      <c r="X17" s="3"/>
      <c r="Y17" s="701"/>
    </row>
    <row r="18" spans="2:27" ht="12.75" customHeight="1" x14ac:dyDescent="0.2">
      <c r="B18" s="637"/>
      <c r="C18" s="641" t="s">
        <v>537</v>
      </c>
      <c r="D18" s="3"/>
      <c r="E18" s="3"/>
      <c r="F18" s="697">
        <f>-2%*U9*85%</f>
        <v>-372.29094190071004</v>
      </c>
      <c r="G18" s="666">
        <v>0</v>
      </c>
      <c r="H18" s="697">
        <f>2%*U9*85%</f>
        <v>372.29094190071004</v>
      </c>
      <c r="I18" s="667"/>
      <c r="J18" s="667"/>
      <c r="K18" s="664"/>
      <c r="M18" s="632" t="s">
        <v>102</v>
      </c>
      <c r="O18" s="634">
        <f>+Model!DQ79</f>
        <v>361</v>
      </c>
      <c r="P18" s="634">
        <f>+Model!DV79</f>
        <v>295</v>
      </c>
      <c r="Q18" s="634">
        <f>+Model!EA79</f>
        <v>238</v>
      </c>
      <c r="R18" s="634">
        <f>+Model!EF79</f>
        <v>229</v>
      </c>
      <c r="S18" s="634">
        <f>+Model!EK79</f>
        <v>193</v>
      </c>
      <c r="T18" s="634">
        <f>+Model!EU79</f>
        <v>174.27898126329995</v>
      </c>
      <c r="U18" s="634">
        <f>+Model!EZ79</f>
        <v>172.85262646479012</v>
      </c>
      <c r="V18" s="634">
        <f>+Model!FE79</f>
        <v>169.29423082775145</v>
      </c>
      <c r="X18" s="3"/>
      <c r="Y18" s="661"/>
    </row>
    <row r="19" spans="2:27" s="637" customFormat="1" ht="12.75" customHeight="1" x14ac:dyDescent="0.2">
      <c r="B19" s="632"/>
      <c r="C19" s="641" t="s">
        <v>536</v>
      </c>
      <c r="D19" s="3"/>
      <c r="E19" s="3"/>
      <c r="F19" s="697">
        <f>-1%*U9*85%*0</f>
        <v>0</v>
      </c>
      <c r="G19" s="666">
        <v>0</v>
      </c>
      <c r="H19" s="697">
        <f>1%*U9*85%*0</f>
        <v>0</v>
      </c>
      <c r="I19" s="632"/>
      <c r="J19" s="632"/>
      <c r="K19" s="658"/>
      <c r="L19" s="632"/>
      <c r="M19" s="637" t="s">
        <v>513</v>
      </c>
      <c r="O19" s="647">
        <f>+Model!DQ99</f>
        <v>16252</v>
      </c>
      <c r="P19" s="647">
        <f>+Model!DV99</f>
        <v>16225</v>
      </c>
      <c r="Q19" s="647">
        <f>+Model!EA99</f>
        <v>15691</v>
      </c>
      <c r="R19" s="647">
        <f>+Model!EF99</f>
        <v>16466</v>
      </c>
      <c r="S19" s="647">
        <f>+Model!EK99</f>
        <v>17717</v>
      </c>
      <c r="T19" s="647">
        <f>+Model!EU99</f>
        <v>18578.866109196741</v>
      </c>
      <c r="U19" s="647">
        <f>+Model!EZ99</f>
        <v>19301.549346118576</v>
      </c>
      <c r="V19" s="647">
        <f>+Model!FE99</f>
        <v>20152.392791005444</v>
      </c>
      <c r="W19" s="633"/>
      <c r="X19" s="3"/>
    </row>
    <row r="20" spans="2:27" ht="12.75" customHeight="1" x14ac:dyDescent="0.2">
      <c r="C20" s="641" t="s">
        <v>512</v>
      </c>
      <c r="D20" s="2"/>
      <c r="E20" s="2"/>
      <c r="F20" s="665">
        <f>-(15/42)*(Model!EZ66)*100%</f>
        <v>-771.96338737500014</v>
      </c>
      <c r="G20" s="666">
        <v>0</v>
      </c>
      <c r="H20" s="665">
        <f>-(0)*(Model!EZ66)*85%</f>
        <v>0</v>
      </c>
      <c r="K20" s="658"/>
      <c r="O20" s="663"/>
      <c r="P20" s="663"/>
      <c r="Q20" s="663"/>
      <c r="R20" s="663"/>
      <c r="S20" s="663"/>
      <c r="T20" s="663"/>
      <c r="U20" s="663"/>
      <c r="V20" s="663"/>
      <c r="X20" s="3"/>
    </row>
    <row r="21" spans="2:27" ht="12.75" customHeight="1" x14ac:dyDescent="0.2">
      <c r="B21" s="637"/>
      <c r="C21" s="2" t="s">
        <v>511</v>
      </c>
      <c r="D21" s="2"/>
      <c r="E21" s="647"/>
      <c r="F21" s="647">
        <f>SUM(F17:F20)</f>
        <v>4538.0761217005056</v>
      </c>
      <c r="G21" s="647">
        <f>SUM(G17:G20)</f>
        <v>5682.3304509762156</v>
      </c>
      <c r="H21" s="647">
        <f>SUM(H17:H20)</f>
        <v>6054.6213928769257</v>
      </c>
      <c r="I21" s="637"/>
      <c r="J21" s="637"/>
      <c r="K21" s="664"/>
      <c r="M21" s="637" t="s">
        <v>54</v>
      </c>
      <c r="N21" s="637"/>
      <c r="O21" s="647">
        <f t="shared" ref="O21:T21" si="4">+O11-O19</f>
        <v>1448</v>
      </c>
      <c r="P21" s="647">
        <f t="shared" si="4"/>
        <v>2380</v>
      </c>
      <c r="Q21" s="647">
        <f t="shared" si="4"/>
        <v>3957</v>
      </c>
      <c r="R21" s="647">
        <f t="shared" si="4"/>
        <v>3959</v>
      </c>
      <c r="S21" s="647">
        <f t="shared" si="4"/>
        <v>3455</v>
      </c>
      <c r="T21" s="647">
        <f t="shared" si="4"/>
        <v>3623.9129508032638</v>
      </c>
      <c r="U21" s="647">
        <f t="shared" ref="U21:V21" si="5">+U11-U19</f>
        <v>4264.238724511426</v>
      </c>
      <c r="V21" s="647">
        <f t="shared" si="5"/>
        <v>4832.0235559476787</v>
      </c>
      <c r="X21" s="663" t="s">
        <v>176</v>
      </c>
      <c r="Y21" s="663"/>
      <c r="Z21" s="663"/>
      <c r="AA21" s="663"/>
    </row>
    <row r="22" spans="2:27" s="637" customFormat="1" ht="12.75" customHeight="1" x14ac:dyDescent="0.2">
      <c r="B22" s="632"/>
      <c r="C22" s="632"/>
      <c r="D22" s="632"/>
      <c r="E22" s="632"/>
      <c r="F22" s="632"/>
      <c r="G22" s="634"/>
      <c r="H22" s="632"/>
      <c r="I22" s="632"/>
      <c r="J22" s="632"/>
      <c r="K22" s="658"/>
      <c r="L22" s="632"/>
      <c r="M22" s="637" t="s">
        <v>275</v>
      </c>
      <c r="O22" s="647">
        <f t="shared" ref="O22:T22" si="6">+O21+O17+O18</f>
        <v>2676</v>
      </c>
      <c r="P22" s="647">
        <f t="shared" si="6"/>
        <v>3613</v>
      </c>
      <c r="Q22" s="647">
        <f t="shared" si="6"/>
        <v>5210</v>
      </c>
      <c r="R22" s="647">
        <f t="shared" si="6"/>
        <v>5410</v>
      </c>
      <c r="S22" s="647">
        <f t="shared" si="6"/>
        <v>4866</v>
      </c>
      <c r="T22" s="647">
        <f t="shared" si="6"/>
        <v>5007.1619320665632</v>
      </c>
      <c r="U22" s="647">
        <f t="shared" ref="U22:V22" si="7">+U21+U17+U18</f>
        <v>5682.3304509762156</v>
      </c>
      <c r="V22" s="647">
        <f t="shared" si="7"/>
        <v>6283.9140597754304</v>
      </c>
      <c r="W22" s="633"/>
      <c r="X22" s="3"/>
      <c r="Y22" s="797"/>
      <c r="Z22" s="797"/>
      <c r="AA22" s="797"/>
    </row>
    <row r="23" spans="2:27" ht="12.75" customHeight="1" x14ac:dyDescent="0.2">
      <c r="C23" s="632" t="s">
        <v>510</v>
      </c>
      <c r="F23" s="662">
        <f>+G23-1.75</f>
        <v>5.95</v>
      </c>
      <c r="G23" s="662">
        <v>7.7</v>
      </c>
      <c r="H23" s="662">
        <f>+G23+1.2</f>
        <v>8.9</v>
      </c>
      <c r="K23" s="658"/>
      <c r="O23" s="663"/>
      <c r="P23" s="663"/>
      <c r="Q23" s="663"/>
      <c r="R23" s="663"/>
      <c r="S23" s="663"/>
      <c r="T23" s="663"/>
      <c r="U23" s="663"/>
      <c r="V23" s="663"/>
      <c r="X23" s="3"/>
    </row>
    <row r="24" spans="2:27" ht="12.75" customHeight="1" x14ac:dyDescent="0.2">
      <c r="C24" s="637" t="s">
        <v>508</v>
      </c>
      <c r="D24" s="637"/>
      <c r="E24" s="637"/>
      <c r="F24" s="647">
        <f>+F21*F23</f>
        <v>27001.552924118008</v>
      </c>
      <c r="G24" s="647">
        <f>+G21*G23</f>
        <v>43753.944472516858</v>
      </c>
      <c r="H24" s="647">
        <f>+H21*H23</f>
        <v>53886.13039660464</v>
      </c>
      <c r="K24" s="658"/>
      <c r="M24" s="632" t="s">
        <v>509</v>
      </c>
      <c r="O24" s="634">
        <f>-Model!DQ137</f>
        <v>157</v>
      </c>
      <c r="P24" s="634">
        <f>-Model!DV137</f>
        <v>157</v>
      </c>
      <c r="Q24" s="634">
        <f>-Model!EA137</f>
        <v>202</v>
      </c>
      <c r="R24" s="634">
        <f>-Model!EF137</f>
        <v>211</v>
      </c>
      <c r="S24" s="634">
        <f>-Model!EK137</f>
        <v>158</v>
      </c>
      <c r="T24" s="634">
        <f>-Model!EU137</f>
        <v>43</v>
      </c>
      <c r="U24" s="634">
        <f>-Model!EZ137</f>
        <v>118.00911807020138</v>
      </c>
      <c r="V24" s="634">
        <f>-Model!FE137</f>
        <v>92.853915822538255</v>
      </c>
      <c r="X24" s="3"/>
    </row>
    <row r="25" spans="2:27" ht="12.75" customHeight="1" x14ac:dyDescent="0.2">
      <c r="K25" s="658"/>
      <c r="M25" s="632" t="s">
        <v>230</v>
      </c>
      <c r="O25" s="634">
        <f>+Model!DQ142</f>
        <v>487</v>
      </c>
      <c r="P25" s="634">
        <f>+Model!DV142</f>
        <v>824</v>
      </c>
      <c r="Q25" s="634">
        <f>+Model!EA142</f>
        <v>1399</v>
      </c>
      <c r="R25" s="634">
        <f>+Model!EF142</f>
        <v>1379</v>
      </c>
      <c r="S25" s="634">
        <f>+Model!EK142</f>
        <v>1190</v>
      </c>
      <c r="T25" s="634">
        <f>+Model!EU142</f>
        <v>832.56226106175836</v>
      </c>
      <c r="U25" s="634">
        <f>+Model!EZ142</f>
        <v>963.99838349758477</v>
      </c>
      <c r="V25" s="634">
        <f>+Model!FE142</f>
        <v>1101.856941329095</v>
      </c>
      <c r="X25" s="699"/>
    </row>
    <row r="26" spans="2:27" ht="12.75" customHeight="1" x14ac:dyDescent="0.2">
      <c r="C26" s="632" t="s">
        <v>507</v>
      </c>
      <c r="F26" s="661">
        <f>+G26</f>
        <v>-3892.5</v>
      </c>
      <c r="G26" s="634">
        <f>-U50</f>
        <v>-3892.5</v>
      </c>
      <c r="H26" s="661">
        <f>+G26</f>
        <v>-3892.5</v>
      </c>
      <c r="K26" s="658"/>
      <c r="X26" s="699"/>
    </row>
    <row r="27" spans="2:27" ht="12.75" customHeight="1" x14ac:dyDescent="0.2">
      <c r="C27" s="632" t="s">
        <v>506</v>
      </c>
      <c r="F27" s="661">
        <f>+G27</f>
        <v>-1209.9683852535309</v>
      </c>
      <c r="G27" s="634">
        <f>-U51</f>
        <v>-1209.9683852535309</v>
      </c>
      <c r="H27" s="661">
        <f>+G27</f>
        <v>-1209.9683852535309</v>
      </c>
      <c r="K27" s="658"/>
      <c r="M27" s="637" t="s">
        <v>157</v>
      </c>
      <c r="O27" s="657">
        <f t="shared" ref="O27:T27" si="8">+O21-O24-O25</f>
        <v>804</v>
      </c>
      <c r="P27" s="657">
        <f t="shared" si="8"/>
        <v>1399</v>
      </c>
      <c r="Q27" s="657">
        <f t="shared" si="8"/>
        <v>2356</v>
      </c>
      <c r="R27" s="657">
        <f t="shared" si="8"/>
        <v>2369</v>
      </c>
      <c r="S27" s="657">
        <f t="shared" si="8"/>
        <v>2107</v>
      </c>
      <c r="T27" s="657">
        <f t="shared" si="8"/>
        <v>2748.3506897415054</v>
      </c>
      <c r="U27" s="657">
        <f t="shared" ref="U27:V27" si="9">+U21-U24-U25</f>
        <v>3182.2312229436402</v>
      </c>
      <c r="V27" s="657">
        <f t="shared" si="9"/>
        <v>3637.312698796045</v>
      </c>
    </row>
    <row r="28" spans="2:27" ht="12.75" customHeight="1" x14ac:dyDescent="0.2">
      <c r="C28" s="632" t="s">
        <v>11</v>
      </c>
      <c r="F28" s="661">
        <f>+G28</f>
        <v>2810.8743475538295</v>
      </c>
      <c r="G28" s="634">
        <f>U47</f>
        <v>2810.8743475538295</v>
      </c>
      <c r="H28" s="661">
        <f>+G28</f>
        <v>2810.8743475538295</v>
      </c>
      <c r="K28" s="658"/>
      <c r="M28" s="632" t="s">
        <v>505</v>
      </c>
      <c r="O28" s="634">
        <f>+Model!DQ151</f>
        <v>718</v>
      </c>
      <c r="P28" s="634">
        <f>+Model!DV151</f>
        <v>718</v>
      </c>
      <c r="Q28" s="634">
        <f>+Model!EA151</f>
        <v>668.5</v>
      </c>
      <c r="R28" s="634">
        <f>+Model!EF151</f>
        <v>633.25</v>
      </c>
      <c r="S28" s="634">
        <f>+Model!EK151</f>
        <v>602.75</v>
      </c>
      <c r="T28" s="634">
        <f>+Model!EU151</f>
        <v>568.46331584173834</v>
      </c>
      <c r="U28" s="634">
        <f>+Model!EZ151</f>
        <v>525.82856715360799</v>
      </c>
      <c r="V28" s="634">
        <f>+Model!FE151</f>
        <v>486.39142461708741</v>
      </c>
    </row>
    <row r="29" spans="2:27" ht="12.75" customHeight="1" x14ac:dyDescent="0.2">
      <c r="B29" s="641"/>
      <c r="C29" s="637" t="s">
        <v>503</v>
      </c>
      <c r="F29" s="647">
        <f>+SUM(F26:F28)</f>
        <v>-2291.5940376997014</v>
      </c>
      <c r="G29" s="647">
        <f>+SUM(G26:G28)</f>
        <v>-2291.5940376997014</v>
      </c>
      <c r="H29" s="647">
        <f>+SUM(H26:H28)</f>
        <v>-2291.5940376997014</v>
      </c>
      <c r="K29" s="659"/>
      <c r="L29" s="641"/>
      <c r="M29" s="637" t="s">
        <v>504</v>
      </c>
      <c r="N29" s="637"/>
      <c r="O29" s="660">
        <f>+Model!DQ148</f>
        <v>1.1239554317548746</v>
      </c>
      <c r="P29" s="660">
        <f>+Model!DV148</f>
        <v>1.9540389972144847</v>
      </c>
      <c r="Q29" s="660">
        <f>+Model!EA148</f>
        <v>3.5302916978309646</v>
      </c>
      <c r="R29" s="660">
        <f>+Model!EF148</f>
        <v>3.7473351756810107</v>
      </c>
      <c r="S29" s="660">
        <f>+Model!EK148</f>
        <v>3.4956449605972626</v>
      </c>
      <c r="T29" s="660">
        <f>+Model!EU148</f>
        <v>4.8347019291331961</v>
      </c>
      <c r="U29" s="660">
        <f>+Model!EZ148</f>
        <v>6.0518416490179563</v>
      </c>
      <c r="V29" s="660">
        <f>+Model!FE148</f>
        <v>7.4781595947328361</v>
      </c>
    </row>
    <row r="30" spans="2:27" ht="12.75" customHeight="1" x14ac:dyDescent="0.2">
      <c r="G30" s="634"/>
      <c r="I30" s="641"/>
      <c r="J30" s="641"/>
      <c r="K30" s="658"/>
      <c r="O30" s="647"/>
      <c r="P30" s="647"/>
      <c r="Q30" s="647"/>
      <c r="R30" s="660"/>
      <c r="S30" s="660"/>
      <c r="T30" s="660"/>
      <c r="U30" s="660"/>
      <c r="V30" s="660"/>
    </row>
    <row r="31" spans="2:27" s="641" customFormat="1" ht="12.75" customHeight="1" x14ac:dyDescent="0.2">
      <c r="B31" s="632"/>
      <c r="C31" s="637" t="s">
        <v>501</v>
      </c>
      <c r="D31" s="632"/>
      <c r="E31" s="632"/>
      <c r="F31" s="657">
        <f>+F24+F29</f>
        <v>24709.958886418306</v>
      </c>
      <c r="G31" s="657">
        <f>+G24+G29</f>
        <v>41462.350434817155</v>
      </c>
      <c r="H31" s="657">
        <f>+H24+H29</f>
        <v>51594.536358904938</v>
      </c>
      <c r="I31" s="632"/>
      <c r="J31" s="632"/>
      <c r="K31" s="632"/>
      <c r="L31" s="632"/>
      <c r="M31" s="642" t="s">
        <v>67</v>
      </c>
      <c r="N31" s="632"/>
      <c r="O31" s="632"/>
      <c r="P31" s="632"/>
      <c r="Q31" s="632"/>
      <c r="R31" s="732"/>
      <c r="S31" s="794"/>
      <c r="T31" s="794"/>
      <c r="U31" s="794"/>
      <c r="V31" s="794"/>
      <c r="W31" s="633"/>
      <c r="X31" s="819"/>
    </row>
    <row r="32" spans="2:27" ht="12.75" customHeight="1" x14ac:dyDescent="0.2">
      <c r="C32" s="641" t="s">
        <v>500</v>
      </c>
      <c r="D32" s="641"/>
      <c r="E32" s="641"/>
      <c r="F32" s="655">
        <f>+G32</f>
        <v>602.75</v>
      </c>
      <c r="G32" s="656">
        <f>S28</f>
        <v>602.75</v>
      </c>
      <c r="H32" s="655">
        <f>+G32</f>
        <v>602.75</v>
      </c>
      <c r="M32" s="637" t="s">
        <v>502</v>
      </c>
      <c r="N32" s="637"/>
      <c r="O32" s="647">
        <f>+Model!DQ217</f>
        <v>2491</v>
      </c>
      <c r="P32" s="647">
        <f>+Model!DV217</f>
        <v>2902</v>
      </c>
      <c r="Q32" s="647">
        <f>+Model!EA217</f>
        <v>3238</v>
      </c>
      <c r="R32" s="647">
        <f>+Model!EF217</f>
        <v>4293</v>
      </c>
      <c r="S32" s="647">
        <f>+Model!EK217</f>
        <v>3929</v>
      </c>
      <c r="T32" s="647">
        <f>+Model!EU217</f>
        <v>4605.8917444950794</v>
      </c>
      <c r="U32" s="647">
        <f>+Model!EZ217</f>
        <v>5159.5269627595499</v>
      </c>
      <c r="V32" s="647">
        <f>+Model!FE217</f>
        <v>5685.498696835024</v>
      </c>
      <c r="W32" s="647"/>
    </row>
    <row r="33" spans="2:34" ht="12.75" customHeight="1" x14ac:dyDescent="0.2">
      <c r="G33" s="661"/>
      <c r="W33" s="632"/>
    </row>
    <row r="34" spans="2:34" ht="12.75" customHeight="1" x14ac:dyDescent="0.2">
      <c r="C34" s="654" t="s">
        <v>498</v>
      </c>
      <c r="D34" s="653"/>
      <c r="E34" s="653"/>
      <c r="F34" s="652">
        <f>+F31/F$32</f>
        <v>40.995369367761604</v>
      </c>
      <c r="G34" s="652">
        <f>+G31/G$32</f>
        <v>68.788636142376035</v>
      </c>
      <c r="H34" s="651">
        <f>+H31/H$32</f>
        <v>85.598567165333776</v>
      </c>
      <c r="M34" s="632" t="s">
        <v>236</v>
      </c>
      <c r="O34" s="634">
        <f>+Model!DQ219</f>
        <v>-1446</v>
      </c>
      <c r="P34" s="634">
        <f>+Model!DV219</f>
        <v>-1828</v>
      </c>
      <c r="Q34" s="634">
        <f>+Model!EA219</f>
        <v>-2143</v>
      </c>
      <c r="R34" s="634">
        <f>+Model!EF219</f>
        <v>-2038</v>
      </c>
      <c r="S34" s="634">
        <f>+Model!EK219</f>
        <v>-2123</v>
      </c>
      <c r="T34" s="634">
        <f>+Model!EU219</f>
        <v>-1900</v>
      </c>
      <c r="U34" s="634">
        <f>+Model!EZ219</f>
        <v>-1900</v>
      </c>
      <c r="V34" s="634">
        <f>+Model!FE219</f>
        <v>-1900</v>
      </c>
      <c r="W34" s="661"/>
    </row>
    <row r="35" spans="2:34" ht="12.75" customHeight="1" x14ac:dyDescent="0.2">
      <c r="M35" s="632" t="s">
        <v>432</v>
      </c>
      <c r="O35" s="634">
        <f>+Model!DQ226</f>
        <v>62</v>
      </c>
      <c r="P35" s="634">
        <f>+Model!DV226</f>
        <v>101</v>
      </c>
      <c r="Q35" s="634">
        <f>+Model!EA226</f>
        <v>230</v>
      </c>
      <c r="R35" s="634">
        <f>+Model!EF226</f>
        <v>-234</v>
      </c>
      <c r="S35" s="634">
        <f>+Model!EK226</f>
        <v>-285</v>
      </c>
      <c r="T35" s="634">
        <f>+Model!EU226</f>
        <v>973.41565120628275</v>
      </c>
      <c r="U35" s="634">
        <f>+Model!EZ226</f>
        <v>0</v>
      </c>
      <c r="V35" s="634">
        <f>+Model!FE226</f>
        <v>0</v>
      </c>
    </row>
    <row r="36" spans="2:34" ht="12.75" customHeight="1" x14ac:dyDescent="0.2">
      <c r="B36" s="650" t="s">
        <v>362</v>
      </c>
      <c r="C36" s="649"/>
      <c r="D36" s="649"/>
      <c r="E36" s="648">
        <f>+F36-1</f>
        <v>2015</v>
      </c>
      <c r="F36" s="648">
        <f>+G36-1</f>
        <v>2016</v>
      </c>
      <c r="G36" s="648">
        <f>+H36-1</f>
        <v>2017</v>
      </c>
      <c r="H36" s="703">
        <v>2018</v>
      </c>
      <c r="I36" s="703">
        <v>2019</v>
      </c>
      <c r="J36" s="703">
        <v>2020</v>
      </c>
      <c r="M36" s="637" t="s">
        <v>499</v>
      </c>
      <c r="N36" s="641"/>
      <c r="O36" s="647">
        <f t="shared" ref="O36:T36" si="10">+O34+O35</f>
        <v>-1384</v>
      </c>
      <c r="P36" s="647">
        <f t="shared" si="10"/>
        <v>-1727</v>
      </c>
      <c r="Q36" s="647">
        <f t="shared" si="10"/>
        <v>-1913</v>
      </c>
      <c r="R36" s="647">
        <f t="shared" si="10"/>
        <v>-2272</v>
      </c>
      <c r="S36" s="647">
        <f t="shared" si="10"/>
        <v>-2408</v>
      </c>
      <c r="T36" s="647">
        <f t="shared" si="10"/>
        <v>-926.58434879371725</v>
      </c>
      <c r="U36" s="647">
        <f t="shared" ref="U36:V36" si="11">+U34+U35</f>
        <v>-1900</v>
      </c>
      <c r="V36" s="647">
        <f t="shared" si="11"/>
        <v>-1900</v>
      </c>
    </row>
    <row r="37" spans="2:34" ht="12.75" customHeight="1" x14ac:dyDescent="0.2">
      <c r="C37" s="632" t="s">
        <v>495</v>
      </c>
      <c r="E37" s="636">
        <f>+Model!EA5</f>
        <v>6.9452610585171826E-2</v>
      </c>
      <c r="F37" s="636">
        <f>+Model!EF5</f>
        <v>5.541581527839301E-2</v>
      </c>
      <c r="G37" s="636">
        <f>+Model!EK5</f>
        <v>4.4390919113742822E-2</v>
      </c>
      <c r="H37" s="636">
        <f>+Model!EU5</f>
        <v>4.0579664088467471E-2</v>
      </c>
      <c r="I37" s="636">
        <f>+Model!EZ5</f>
        <v>3.9603960396039639E-2</v>
      </c>
      <c r="J37" s="636">
        <f>+Model!FE5</f>
        <v>3.9603960396039639E-2</v>
      </c>
      <c r="K37" s="636"/>
    </row>
    <row r="38" spans="2:34" ht="12.75" customHeight="1" x14ac:dyDescent="0.2">
      <c r="C38" s="632" t="s">
        <v>494</v>
      </c>
      <c r="E38" s="636">
        <f>+Model!EA9</f>
        <v>7.249745190900958E-2</v>
      </c>
      <c r="F38" s="636">
        <f>+Model!EF9</f>
        <v>5.7085840327764981E-2</v>
      </c>
      <c r="G38" s="636">
        <f>+Model!EK9</f>
        <v>3.5611028800100586E-2</v>
      </c>
      <c r="H38" s="636">
        <f>+Model!EU9</f>
        <v>5.0007156246806961E-2</v>
      </c>
      <c r="I38" s="636">
        <f>+Model!EZ9</f>
        <v>0.05</v>
      </c>
      <c r="J38" s="636">
        <f>+Model!FE9</f>
        <v>0.05</v>
      </c>
      <c r="K38" s="636"/>
      <c r="M38" s="632" t="s">
        <v>497</v>
      </c>
      <c r="O38" s="634">
        <f>+Model!DQ237</f>
        <v>-313</v>
      </c>
      <c r="P38" s="634">
        <f>+Model!DV237</f>
        <v>80</v>
      </c>
      <c r="Q38" s="634">
        <f>+Model!EA237</f>
        <v>287</v>
      </c>
      <c r="R38" s="634">
        <f>+Model!EF237</f>
        <v>-8</v>
      </c>
      <c r="S38" s="634">
        <f>+Model!EK237</f>
        <v>8</v>
      </c>
      <c r="T38" s="634">
        <f>+Model!EU237</f>
        <v>244</v>
      </c>
      <c r="U38" s="634">
        <f>+Model!EZ237</f>
        <v>-19.5</v>
      </c>
      <c r="V38" s="634">
        <f>+Model!FE237</f>
        <v>-19.5</v>
      </c>
    </row>
    <row r="39" spans="2:34" ht="12.75" customHeight="1" x14ac:dyDescent="0.2">
      <c r="C39" s="632" t="s">
        <v>492</v>
      </c>
      <c r="E39" s="636">
        <f>+Model!EA11</f>
        <v>0.83671672644934136</v>
      </c>
      <c r="F39" s="636">
        <f>+Model!EF11</f>
        <v>0.84026571138763584</v>
      </c>
      <c r="G39" s="636">
        <f>+Model!EK11</f>
        <v>0.83896053439533602</v>
      </c>
      <c r="H39" s="636">
        <f>+Model!EU11</f>
        <v>0.83929018534687361</v>
      </c>
      <c r="I39" s="636">
        <f>+Model!EZ11</f>
        <v>0.83929018534687361</v>
      </c>
      <c r="J39" s="636">
        <f>+Model!FE11</f>
        <v>0.83929018534687361</v>
      </c>
      <c r="K39" s="636"/>
      <c r="M39" s="632" t="s">
        <v>496</v>
      </c>
      <c r="O39" s="634">
        <f>+Model!DQ230+Model!DQ231</f>
        <v>-541</v>
      </c>
      <c r="P39" s="634">
        <f>+Model!DV230+Model!DV231</f>
        <v>-955</v>
      </c>
      <c r="Q39" s="634">
        <f>+Model!EA230+Model!EA231</f>
        <v>-1180</v>
      </c>
      <c r="R39" s="634">
        <f>+Model!EF230+Model!EF231</f>
        <v>-1750</v>
      </c>
      <c r="S39" s="634">
        <f>+Model!EK230+Model!EK231</f>
        <v>-1600</v>
      </c>
      <c r="T39" s="634">
        <f>+Model!EU230+Model!EU231</f>
        <v>-2784.7565124152143</v>
      </c>
      <c r="U39" s="634">
        <f>+Model!EZ230+Model!EZ231</f>
        <v>-3234.1346620137324</v>
      </c>
      <c r="V39" s="634">
        <f>+Model!FE230+Model!FE231</f>
        <v>-3290.7320185989747</v>
      </c>
    </row>
    <row r="40" spans="2:34" ht="12.75" customHeight="1" x14ac:dyDescent="0.2">
      <c r="M40" s="632" t="s">
        <v>258</v>
      </c>
      <c r="O40" s="634">
        <f>+Model!DQ229</f>
        <v>-71</v>
      </c>
      <c r="P40" s="634">
        <f>+Model!DV229</f>
        <v>-139</v>
      </c>
      <c r="Q40" s="634">
        <f>+Model!EA229</f>
        <v>-180</v>
      </c>
      <c r="R40" s="634">
        <f>+Model!EF229</f>
        <v>-222</v>
      </c>
      <c r="S40" s="634">
        <f>+Model!EK229</f>
        <v>-274</v>
      </c>
      <c r="T40" s="634">
        <f>+Model!EU229</f>
        <v>-317.71304497968754</v>
      </c>
      <c r="U40" s="634">
        <f>+Model!EZ229</f>
        <v>-315.49714029216477</v>
      </c>
      <c r="V40" s="634">
        <f>+Model!FE229</f>
        <v>-291.83485477025243</v>
      </c>
    </row>
    <row r="41" spans="2:34" ht="12.75" customHeight="1" x14ac:dyDescent="0.2">
      <c r="B41" s="641"/>
      <c r="C41" s="632" t="s">
        <v>491</v>
      </c>
      <c r="E41" s="636">
        <f>+Model!EA23</f>
        <v>-3.3749847166420932E-2</v>
      </c>
      <c r="F41" s="636">
        <f>+Model!EF23</f>
        <v>-3.8700823961925424E-2</v>
      </c>
      <c r="G41" s="636">
        <f>+Model!EK23</f>
        <v>-6.0853685456638829E-3</v>
      </c>
      <c r="H41" s="636">
        <f>+Model!EU23</f>
        <v>-4.9251009278539204E-3</v>
      </c>
      <c r="I41" s="636">
        <f>+Model!EZ23</f>
        <v>0.01</v>
      </c>
      <c r="J41" s="636">
        <f>+Model!FE23</f>
        <v>0.01</v>
      </c>
      <c r="K41" s="636"/>
      <c r="M41" s="632" t="s">
        <v>432</v>
      </c>
      <c r="O41" s="634">
        <f>+Model!DQ238</f>
        <v>60</v>
      </c>
      <c r="P41" s="634">
        <f>+Model!DV238</f>
        <v>-234</v>
      </c>
      <c r="Q41" s="634">
        <f>+Model!EA238</f>
        <v>49</v>
      </c>
      <c r="R41" s="634">
        <f>+Model!EF238</f>
        <v>56</v>
      </c>
      <c r="S41" s="634">
        <f>+Model!EK238</f>
        <v>160</v>
      </c>
      <c r="T41" s="634">
        <f>+Model!EU238</f>
        <v>0</v>
      </c>
      <c r="U41" s="634">
        <f>+Model!EZ238</f>
        <v>0</v>
      </c>
      <c r="V41" s="634">
        <f>+Model!FE238</f>
        <v>0</v>
      </c>
    </row>
    <row r="42" spans="2:34" ht="12.75" customHeight="1" x14ac:dyDescent="0.2">
      <c r="C42" s="632" t="s">
        <v>490</v>
      </c>
      <c r="E42" s="636">
        <f>+Model!EA37</f>
        <v>-1.5326146471006163E-2</v>
      </c>
      <c r="F42" s="636">
        <f>+Model!EF37</f>
        <v>-1.6592626527226484E-2</v>
      </c>
      <c r="G42" s="636">
        <f>+Model!EK37</f>
        <v>9.2872573826729976E-4</v>
      </c>
      <c r="H42" s="636">
        <f>+Model!EU37</f>
        <v>-3.0277544923351662E-5</v>
      </c>
      <c r="I42" s="636">
        <f>+Model!EZ37</f>
        <v>1.0846778489461695E-2</v>
      </c>
      <c r="J42" s="636">
        <f>+Model!FE37</f>
        <v>9.7129857858953006E-3</v>
      </c>
      <c r="K42" s="636"/>
      <c r="M42" s="637" t="s">
        <v>493</v>
      </c>
      <c r="O42" s="647">
        <f t="shared" ref="O42:T42" si="12">SUM(O38:O41)</f>
        <v>-865</v>
      </c>
      <c r="P42" s="647">
        <f t="shared" si="12"/>
        <v>-1248</v>
      </c>
      <c r="Q42" s="647">
        <f t="shared" si="12"/>
        <v>-1024</v>
      </c>
      <c r="R42" s="647">
        <f t="shared" si="12"/>
        <v>-1924</v>
      </c>
      <c r="S42" s="647">
        <f t="shared" si="12"/>
        <v>-1706</v>
      </c>
      <c r="T42" s="647">
        <f t="shared" si="12"/>
        <v>-2858.469557394902</v>
      </c>
      <c r="U42" s="647">
        <f t="shared" ref="U42:V42" si="13">SUM(U38:U41)</f>
        <v>-3569.1318023058971</v>
      </c>
      <c r="V42" s="647">
        <f t="shared" si="13"/>
        <v>-3602.0668733692273</v>
      </c>
    </row>
    <row r="43" spans="2:34" ht="12.75" customHeight="1" x14ac:dyDescent="0.2">
      <c r="B43" s="641"/>
      <c r="E43" s="641"/>
      <c r="F43" s="722"/>
      <c r="G43" s="722"/>
      <c r="H43" s="722"/>
      <c r="I43" s="722"/>
      <c r="J43" s="722"/>
      <c r="K43" s="641"/>
    </row>
    <row r="44" spans="2:34" s="641" customFormat="1" ht="12.75" customHeight="1" x14ac:dyDescent="0.2">
      <c r="C44" s="632" t="s">
        <v>489</v>
      </c>
      <c r="D44" s="632"/>
      <c r="E44" s="636">
        <f>+Model!EA103</f>
        <v>-9.8284265659161707E-2</v>
      </c>
      <c r="F44" s="636">
        <f>+Model!EF103</f>
        <v>-7.2789447977540389E-3</v>
      </c>
      <c r="G44" s="636">
        <f>+Model!EK103</f>
        <v>3.8975740791337588E-2</v>
      </c>
      <c r="H44" s="636">
        <f>+Model!EU103</f>
        <v>-5.8970950055183824E-3</v>
      </c>
      <c r="I44" s="636">
        <f>+Model!EZ103</f>
        <v>-1.0573205025420918E-2</v>
      </c>
      <c r="J44" s="636">
        <f>+Model!FE103</f>
        <v>-5.6365582428049565E-3</v>
      </c>
      <c r="K44" s="636"/>
      <c r="M44" s="646" t="s">
        <v>453</v>
      </c>
      <c r="N44" s="645"/>
      <c r="O44" s="644">
        <f t="shared" ref="O44:T44" si="14">+O32+O34</f>
        <v>1045</v>
      </c>
      <c r="P44" s="644">
        <f t="shared" si="14"/>
        <v>1074</v>
      </c>
      <c r="Q44" s="644">
        <f t="shared" si="14"/>
        <v>1095</v>
      </c>
      <c r="R44" s="644">
        <f t="shared" si="14"/>
        <v>2255</v>
      </c>
      <c r="S44" s="644">
        <f t="shared" si="14"/>
        <v>1806</v>
      </c>
      <c r="T44" s="644">
        <f t="shared" si="14"/>
        <v>2705.8917444950794</v>
      </c>
      <c r="U44" s="644">
        <f t="shared" ref="U44:V44" si="15">+U32+U34</f>
        <v>3259.5269627595499</v>
      </c>
      <c r="V44" s="643">
        <f t="shared" si="15"/>
        <v>3785.498696835024</v>
      </c>
      <c r="W44" s="656"/>
    </row>
    <row r="45" spans="2:34" ht="12.75" customHeight="1" x14ac:dyDescent="0.2">
      <c r="C45" s="632" t="s">
        <v>487</v>
      </c>
      <c r="E45" s="636">
        <f>+Model!EA107</f>
        <v>-2.126243851280929E-2</v>
      </c>
      <c r="F45" s="636">
        <f>+Model!EF107</f>
        <v>2.2478936444800812E-2</v>
      </c>
      <c r="G45" s="636">
        <f>+Model!EK107</f>
        <v>4.9558965864719529E-2</v>
      </c>
      <c r="H45" s="636">
        <f>+Model!EU107</f>
        <v>-4.0612916255177156E-3</v>
      </c>
      <c r="I45" s="636">
        <f>+Model!EZ107</f>
        <v>9.7197798365789012E-4</v>
      </c>
      <c r="J45" s="636">
        <f>+Model!FE107</f>
        <v>3.4450339108142991E-3</v>
      </c>
      <c r="K45" s="636"/>
      <c r="Q45" s="732"/>
      <c r="R45" s="732"/>
      <c r="S45" s="732"/>
      <c r="T45" s="732"/>
      <c r="U45" s="732"/>
      <c r="V45" s="732"/>
      <c r="X45" s="641"/>
      <c r="Y45" s="641"/>
      <c r="Z45" s="641"/>
      <c r="AA45" s="641"/>
      <c r="AB45" s="641"/>
      <c r="AC45" s="641"/>
      <c r="AD45" s="641"/>
      <c r="AE45" s="641"/>
      <c r="AF45" s="641"/>
      <c r="AG45" s="641"/>
      <c r="AH45" s="641"/>
    </row>
    <row r="46" spans="2:34" ht="12.75" customHeight="1" x14ac:dyDescent="0.2">
      <c r="C46" s="632" t="s">
        <v>486</v>
      </c>
      <c r="E46" s="638">
        <f>+Model!EA56</f>
        <v>2.07154129405576</v>
      </c>
      <c r="F46" s="638">
        <f>+Model!EF56</f>
        <v>1.9283567134268538</v>
      </c>
      <c r="G46" s="638">
        <f>+Model!EK56</f>
        <v>2.0039138943248531</v>
      </c>
      <c r="H46" s="638">
        <f>+Model!EU56</f>
        <v>2.0699915853149822</v>
      </c>
      <c r="I46" s="638">
        <f>+Model!EZ56</f>
        <v>1.9684999999999999</v>
      </c>
      <c r="J46" s="638">
        <f>+Model!FE56</f>
        <v>1.8844999999999998</v>
      </c>
      <c r="K46" s="638"/>
      <c r="M46" s="642" t="s">
        <v>462</v>
      </c>
      <c r="X46" s="641"/>
      <c r="Y46" s="641"/>
      <c r="Z46" s="641"/>
      <c r="AA46" s="641"/>
      <c r="AB46" s="641"/>
      <c r="AC46" s="641"/>
      <c r="AD46" s="641"/>
      <c r="AE46" s="641"/>
      <c r="AF46" s="641"/>
      <c r="AG46" s="641"/>
      <c r="AH46" s="641"/>
    </row>
    <row r="47" spans="2:34" ht="12.75" customHeight="1" x14ac:dyDescent="0.2">
      <c r="M47" s="632" t="s">
        <v>11</v>
      </c>
      <c r="O47" s="634">
        <f>+Model!DQ248</f>
        <v>3152.0569999999998</v>
      </c>
      <c r="P47" s="634">
        <f>+Model!DV248</f>
        <v>2988.0569999999998</v>
      </c>
      <c r="Q47" s="634">
        <f>+Model!EA248</f>
        <v>3051.0569999999998</v>
      </c>
      <c r="R47" s="634">
        <f>+Model!EF248</f>
        <v>3305.0569999999998</v>
      </c>
      <c r="S47" s="634">
        <f>+Model!EK248</f>
        <v>3273.0569999999998</v>
      </c>
      <c r="T47" s="894">
        <f>+Model!EU248</f>
        <v>3120.4791871001771</v>
      </c>
      <c r="U47" s="894">
        <f>+Model!EZ248</f>
        <v>2810.8743475538295</v>
      </c>
      <c r="V47" s="894">
        <f>+Model!FE248</f>
        <v>2994.3061710196262</v>
      </c>
      <c r="X47" s="641"/>
      <c r="Y47" s="641"/>
      <c r="Z47" s="641"/>
      <c r="AA47" s="641"/>
      <c r="AB47" s="641"/>
      <c r="AC47" s="641"/>
      <c r="AD47" s="641"/>
      <c r="AE47" s="641"/>
      <c r="AF47" s="641"/>
      <c r="AG47" s="641"/>
      <c r="AH47" s="641"/>
    </row>
    <row r="48" spans="2:34" ht="12.75" customHeight="1" x14ac:dyDescent="0.2">
      <c r="C48" s="632" t="s">
        <v>483</v>
      </c>
      <c r="E48" s="636">
        <f>+Model!EA115</f>
        <v>0.20139454397394138</v>
      </c>
      <c r="F48" s="636">
        <f>+Model!EF115</f>
        <v>0.19383108935128518</v>
      </c>
      <c r="G48" s="636">
        <f>+Model!EK115</f>
        <v>0.16318722841488759</v>
      </c>
      <c r="H48" s="636">
        <f>+Model!EU115</f>
        <v>0.16321888989707684</v>
      </c>
      <c r="I48" s="636">
        <f>+Model!EZ115</f>
        <v>0.18095039774315627</v>
      </c>
      <c r="J48" s="636">
        <f>+Model!FE115</f>
        <v>0.19340149831184467</v>
      </c>
      <c r="K48" s="636"/>
      <c r="M48" s="640" t="s">
        <v>488</v>
      </c>
      <c r="N48" s="640"/>
      <c r="O48" s="639">
        <f t="shared" ref="O48:T48" si="16">O47/O11</f>
        <v>0.17808231638418079</v>
      </c>
      <c r="P48" s="639">
        <f t="shared" si="16"/>
        <v>0.1606050524052674</v>
      </c>
      <c r="Q48" s="639">
        <f t="shared" si="16"/>
        <v>0.15528588151465797</v>
      </c>
      <c r="R48" s="639">
        <f t="shared" si="16"/>
        <v>0.16181429620563034</v>
      </c>
      <c r="S48" s="639">
        <f t="shared" si="16"/>
        <v>0.15459366143963724</v>
      </c>
      <c r="T48" s="895">
        <f t="shared" si="16"/>
        <v>0.14054453177539192</v>
      </c>
      <c r="U48" s="895">
        <f t="shared" ref="U48:V48" si="17">U47/U11</f>
        <v>0.11927775719314972</v>
      </c>
      <c r="V48" s="895">
        <f t="shared" si="17"/>
        <v>0.11984695297414003</v>
      </c>
      <c r="X48" s="641"/>
      <c r="Y48" s="641"/>
      <c r="Z48" s="641"/>
      <c r="AA48" s="641"/>
      <c r="AB48" s="641"/>
      <c r="AC48" s="641"/>
      <c r="AD48" s="641"/>
      <c r="AE48" s="641"/>
      <c r="AF48" s="641"/>
      <c r="AG48" s="641"/>
      <c r="AH48" s="641"/>
    </row>
    <row r="49" spans="2:34" ht="12.75" customHeight="1" x14ac:dyDescent="0.2">
      <c r="C49" s="632" t="s">
        <v>482</v>
      </c>
      <c r="E49" s="636">
        <f>+Model!EA117</f>
        <v>0.26516693811074921</v>
      </c>
      <c r="F49" s="636">
        <f>+Model!EF117</f>
        <v>0.26487148102815178</v>
      </c>
      <c r="G49" s="636">
        <f>+Model!EK117</f>
        <v>0.22983185339127149</v>
      </c>
      <c r="H49" s="636">
        <f>+Model!EU117</f>
        <v>0.22551960358364986</v>
      </c>
      <c r="I49" s="636">
        <f>+Model!EZ117</f>
        <v>0.24112626464879797</v>
      </c>
      <c r="J49" s="636">
        <f>+Model!FE117</f>
        <v>0.25151334225751326</v>
      </c>
      <c r="K49" s="636"/>
      <c r="T49" s="896"/>
      <c r="U49" s="896"/>
      <c r="V49" s="896"/>
      <c r="X49" s="641"/>
      <c r="Y49" s="641"/>
      <c r="Z49" s="641"/>
      <c r="AA49" s="641"/>
      <c r="AB49" s="641"/>
      <c r="AC49" s="641"/>
      <c r="AD49" s="641"/>
      <c r="AE49" s="641"/>
      <c r="AF49" s="641"/>
      <c r="AG49" s="641"/>
      <c r="AH49" s="641"/>
    </row>
    <row r="50" spans="2:34" ht="12.75" customHeight="1" x14ac:dyDescent="0.2">
      <c r="B50" s="637"/>
      <c r="C50" s="632" t="s">
        <v>538</v>
      </c>
      <c r="E50" s="636">
        <f>+Model!EA123*(1-38%)</f>
        <v>0.20284648541114059</v>
      </c>
      <c r="F50" s="636">
        <f>+Model!EF123*(1-38%)</f>
        <v>0.18631385181776344</v>
      </c>
      <c r="G50" s="636">
        <f>+Model!EK123*(1-38%)</f>
        <v>0.16080326752893126</v>
      </c>
      <c r="H50" s="636">
        <f>+Model!EU123*(1-38%)</f>
        <v>0.16204530440727613</v>
      </c>
      <c r="I50" s="636">
        <f>+Model!EZ123*(1-38%)</f>
        <v>0.18115339266366975</v>
      </c>
      <c r="J50" s="636">
        <f>+Model!FE123*(1-38%)</f>
        <v>0.20627676407562745</v>
      </c>
      <c r="K50" s="636"/>
      <c r="M50" s="632" t="s">
        <v>485</v>
      </c>
      <c r="O50" s="634">
        <f>(Model!DQ268+Model!DQ274+Model!DQ267)</f>
        <v>2820</v>
      </c>
      <c r="P50" s="634">
        <f>(Model!DV268+Model!DV274+Model!DV267)</f>
        <v>2692</v>
      </c>
      <c r="Q50" s="634">
        <f>(Model!EA268+Model!EA274+Model!EA267)</f>
        <v>3178</v>
      </c>
      <c r="R50" s="634">
        <f>(Model!EF268+Model!EF274+Model!EF267)</f>
        <v>3387</v>
      </c>
      <c r="S50" s="634">
        <f>(Model!EK268+Model!EK274+Model!EK267)</f>
        <v>3668</v>
      </c>
      <c r="T50" s="894">
        <f>(Model!EU268+Model!EU274+Model!EU267)</f>
        <v>3912</v>
      </c>
      <c r="U50" s="894">
        <f>(Model!EZ268+Model!EZ274+Model!EZ267)</f>
        <v>3892.5</v>
      </c>
      <c r="V50" s="894">
        <f>(Model!FE268+Model!FE274+Model!FE267)</f>
        <v>3873</v>
      </c>
      <c r="X50" s="641"/>
      <c r="Y50" s="641"/>
      <c r="Z50" s="641"/>
      <c r="AA50" s="641"/>
      <c r="AB50" s="641"/>
      <c r="AC50" s="641"/>
      <c r="AD50" s="641"/>
      <c r="AE50" s="641"/>
      <c r="AF50" s="641"/>
      <c r="AG50" s="641"/>
      <c r="AH50" s="641"/>
    </row>
    <row r="51" spans="2:34" ht="12.75" customHeight="1" x14ac:dyDescent="0.2">
      <c r="M51" s="632" t="s">
        <v>484</v>
      </c>
      <c r="O51" s="634">
        <f t="shared" ref="O51:T51" si="18">7*O18</f>
        <v>2527</v>
      </c>
      <c r="P51" s="634">
        <f t="shared" si="18"/>
        <v>2065</v>
      </c>
      <c r="Q51" s="634">
        <f t="shared" si="18"/>
        <v>1666</v>
      </c>
      <c r="R51" s="634">
        <f t="shared" si="18"/>
        <v>1603</v>
      </c>
      <c r="S51" s="634">
        <f t="shared" si="18"/>
        <v>1351</v>
      </c>
      <c r="T51" s="894">
        <f t="shared" si="18"/>
        <v>1219.9528688430996</v>
      </c>
      <c r="U51" s="894">
        <f t="shared" ref="U51:V51" si="19">7*U18</f>
        <v>1209.9683852535309</v>
      </c>
      <c r="V51" s="894">
        <f t="shared" si="19"/>
        <v>1185.05961579426</v>
      </c>
      <c r="X51" s="641"/>
      <c r="Y51" s="641"/>
      <c r="Z51" s="641"/>
      <c r="AA51" s="641"/>
      <c r="AB51" s="641"/>
      <c r="AC51" s="641"/>
      <c r="AD51" s="641"/>
      <c r="AE51" s="641"/>
      <c r="AF51" s="641"/>
      <c r="AG51" s="641"/>
      <c r="AH51" s="641"/>
    </row>
    <row r="52" spans="2:34" ht="12.75" customHeight="1" x14ac:dyDescent="0.2">
      <c r="B52" s="650" t="s">
        <v>532</v>
      </c>
      <c r="C52" s="649"/>
      <c r="D52" s="649"/>
      <c r="E52" s="648">
        <f>+F52-1</f>
        <v>2015</v>
      </c>
      <c r="F52" s="648">
        <f>+G52-1</f>
        <v>2016</v>
      </c>
      <c r="G52" s="648">
        <f>+H52-1</f>
        <v>2017</v>
      </c>
      <c r="H52" s="703">
        <v>2018</v>
      </c>
      <c r="I52" s="703">
        <v>2019</v>
      </c>
      <c r="J52" s="703">
        <v>2020</v>
      </c>
      <c r="T52" s="896"/>
      <c r="U52" s="896"/>
      <c r="V52" s="896"/>
      <c r="X52" s="641"/>
      <c r="Y52" s="641"/>
      <c r="Z52" s="641"/>
      <c r="AA52" s="641"/>
      <c r="AB52" s="641"/>
      <c r="AC52" s="641"/>
      <c r="AD52" s="641"/>
      <c r="AE52" s="641"/>
      <c r="AF52" s="641"/>
      <c r="AG52" s="641"/>
      <c r="AH52" s="641"/>
    </row>
    <row r="53" spans="2:34" ht="12.75" customHeight="1" x14ac:dyDescent="0.2">
      <c r="C53" s="632" t="s">
        <v>533</v>
      </c>
      <c r="E53" s="636">
        <f t="shared" ref="E53:J53" si="20">(Q44/Q28)/$G$10</f>
        <v>3.0355735958878097E-2</v>
      </c>
      <c r="F53" s="636">
        <f t="shared" si="20"/>
        <v>6.5993233279202299E-2</v>
      </c>
      <c r="G53" s="636">
        <f t="shared" si="20"/>
        <v>5.5527559471522749E-2</v>
      </c>
      <c r="H53" s="636">
        <f t="shared" si="20"/>
        <v>8.8213698850475891E-2</v>
      </c>
      <c r="I53" s="636">
        <f t="shared" si="20"/>
        <v>0.11487842168266922</v>
      </c>
      <c r="J53" s="636">
        <f t="shared" si="20"/>
        <v>0.14423320383856059</v>
      </c>
      <c r="M53" s="632" t="s">
        <v>481</v>
      </c>
      <c r="O53" s="634">
        <f>+Model!DQ287</f>
        <v>7336</v>
      </c>
      <c r="P53" s="634">
        <f>+Model!DV287</f>
        <v>6775</v>
      </c>
      <c r="Q53" s="634">
        <f>+Model!EA287</f>
        <v>7358</v>
      </c>
      <c r="R53" s="634">
        <f>+Model!EF287</f>
        <v>8441</v>
      </c>
      <c r="S53" s="634">
        <f>+Model!EK287</f>
        <v>10430</v>
      </c>
      <c r="T53" s="894">
        <f>+Model!EU287</f>
        <v>9286.8811323466016</v>
      </c>
      <c r="U53" s="894">
        <f>+Model!EZ287</f>
        <v>8919.4805529843434</v>
      </c>
      <c r="V53" s="894">
        <f>+Model!FE287</f>
        <v>8974.2263784111638</v>
      </c>
      <c r="X53" s="641"/>
      <c r="Y53" s="641"/>
      <c r="Z53" s="641"/>
      <c r="AA53" s="641"/>
      <c r="AB53" s="641"/>
      <c r="AC53" s="641"/>
      <c r="AD53" s="641"/>
      <c r="AE53" s="641"/>
      <c r="AF53" s="641"/>
      <c r="AG53" s="641"/>
      <c r="AH53" s="641"/>
    </row>
    <row r="54" spans="2:34" ht="12.75" customHeight="1" x14ac:dyDescent="0.2">
      <c r="C54" s="632" t="s">
        <v>534</v>
      </c>
      <c r="E54" s="635">
        <f t="shared" ref="E54:J54" si="21">$G$10/Q29</f>
        <v>15.28485593220339</v>
      </c>
      <c r="F54" s="635">
        <f t="shared" si="21"/>
        <v>14.399565950273916</v>
      </c>
      <c r="G54" s="635">
        <f t="shared" si="21"/>
        <v>15.436350261034647</v>
      </c>
      <c r="H54" s="635">
        <f t="shared" si="21"/>
        <v>11.16097761370666</v>
      </c>
      <c r="I54" s="635">
        <f t="shared" si="21"/>
        <v>8.9162941017725057</v>
      </c>
      <c r="J54" s="635">
        <f t="shared" si="21"/>
        <v>7.2156791141507819</v>
      </c>
      <c r="T54" s="896"/>
      <c r="U54" s="896"/>
      <c r="V54" s="896"/>
      <c r="X54" s="641"/>
      <c r="Y54" s="641"/>
      <c r="Z54" s="641"/>
      <c r="AA54" s="641"/>
      <c r="AB54" s="641"/>
      <c r="AC54" s="641"/>
      <c r="AD54" s="641"/>
      <c r="AE54" s="641"/>
      <c r="AF54" s="641"/>
      <c r="AG54" s="641"/>
      <c r="AH54" s="641"/>
    </row>
    <row r="55" spans="2:34" ht="12.75" customHeight="1" x14ac:dyDescent="0.2">
      <c r="C55" s="632" t="s">
        <v>10</v>
      </c>
      <c r="E55" s="635">
        <f t="shared" ref="E55:J55" si="22">($G$10+(Q50+Q51-Q47)/Q28)/(Q22/Q28)</f>
        <v>7.2677932821497127</v>
      </c>
      <c r="F55" s="635">
        <f t="shared" si="22"/>
        <v>6.6275624768946395</v>
      </c>
      <c r="G55" s="635">
        <f t="shared" si="22"/>
        <v>7.0428140156185792</v>
      </c>
      <c r="H55" s="635">
        <f t="shared" si="22"/>
        <v>6.5278005081559272</v>
      </c>
      <c r="I55" s="635">
        <f t="shared" si="22"/>
        <v>5.3966068650653956</v>
      </c>
      <c r="J55" s="635">
        <f t="shared" si="22"/>
        <v>4.5050639534246546</v>
      </c>
      <c r="M55" s="3" t="s">
        <v>480</v>
      </c>
      <c r="O55" s="635">
        <f t="shared" ref="O55:T55" si="23">((O50+O51)-O47)/O22</f>
        <v>0.82023281016442462</v>
      </c>
      <c r="P55" s="635">
        <f t="shared" si="23"/>
        <v>0.48960503736507066</v>
      </c>
      <c r="Q55" s="635">
        <f t="shared" si="23"/>
        <v>0.34413493282149715</v>
      </c>
      <c r="R55" s="635">
        <f t="shared" si="23"/>
        <v>0.31144972273567473</v>
      </c>
      <c r="S55" s="635">
        <f t="shared" si="23"/>
        <v>0.35880456226880397</v>
      </c>
      <c r="T55" s="897">
        <f t="shared" si="23"/>
        <v>0.40171931905400643</v>
      </c>
      <c r="U55" s="897">
        <f t="shared" ref="U55:V55" si="24">((U50+U51)-U47)/U22</f>
        <v>0.40328419078584371</v>
      </c>
      <c r="V55" s="897">
        <f t="shared" si="24"/>
        <v>0.32841847058111845</v>
      </c>
      <c r="X55" s="641"/>
      <c r="Y55" s="641"/>
      <c r="Z55" s="641"/>
      <c r="AA55" s="641"/>
      <c r="AB55" s="641"/>
      <c r="AC55" s="641"/>
      <c r="AD55" s="641"/>
      <c r="AE55" s="641"/>
      <c r="AF55" s="641"/>
      <c r="AG55" s="641"/>
      <c r="AH55" s="641"/>
    </row>
    <row r="56" spans="2:34" ht="12.75" customHeight="1" x14ac:dyDescent="0.2">
      <c r="M56" s="3" t="s">
        <v>479</v>
      </c>
      <c r="O56" s="635">
        <f t="shared" ref="O56:T56" si="25">((O50+O51))/O22</f>
        <v>1.9981315396113601</v>
      </c>
      <c r="P56" s="635">
        <f t="shared" si="25"/>
        <v>1.3166343758649321</v>
      </c>
      <c r="Q56" s="635">
        <f t="shared" si="25"/>
        <v>0.9297504798464491</v>
      </c>
      <c r="R56" s="635">
        <f t="shared" si="25"/>
        <v>0.922365988909427</v>
      </c>
      <c r="S56" s="635">
        <f t="shared" si="25"/>
        <v>1.031442663378545</v>
      </c>
      <c r="T56" s="897">
        <f t="shared" si="25"/>
        <v>1.0249224887210773</v>
      </c>
      <c r="U56" s="897">
        <f t="shared" ref="U56:V56" si="26">((U50+U51))/U22</f>
        <v>0.89795347688322746</v>
      </c>
      <c r="V56" s="897">
        <f t="shared" si="26"/>
        <v>0.80492183178823118</v>
      </c>
      <c r="X56" s="641"/>
      <c r="Y56" s="641"/>
      <c r="Z56" s="641"/>
      <c r="AA56" s="641"/>
      <c r="AB56" s="641"/>
      <c r="AC56" s="641"/>
      <c r="AD56" s="641"/>
      <c r="AE56" s="641"/>
      <c r="AF56" s="641"/>
      <c r="AG56" s="641"/>
      <c r="AH56" s="641"/>
    </row>
    <row r="57" spans="2:34" ht="12.75" customHeight="1" x14ac:dyDescent="0.2">
      <c r="M57" s="632" t="s">
        <v>535</v>
      </c>
      <c r="O57" s="698">
        <f t="shared" ref="O57:T57" si="27">O50/(O53+O50)</f>
        <v>0.27766837337534461</v>
      </c>
      <c r="P57" s="698">
        <f t="shared" si="27"/>
        <v>0.28435618464138585</v>
      </c>
      <c r="Q57" s="698">
        <f t="shared" si="27"/>
        <v>0.30163249810174642</v>
      </c>
      <c r="R57" s="698">
        <f t="shared" si="27"/>
        <v>0.28635441325667904</v>
      </c>
      <c r="S57" s="698">
        <f t="shared" si="27"/>
        <v>0.26017874875868918</v>
      </c>
      <c r="T57" s="898">
        <f t="shared" si="27"/>
        <v>0.29638875907540607</v>
      </c>
      <c r="U57" s="898">
        <f t="shared" ref="U57:V57" si="28">U50/(U53+U50)</f>
        <v>0.3038171954681359</v>
      </c>
      <c r="V57" s="898">
        <f t="shared" si="28"/>
        <v>0.3014658484191029</v>
      </c>
      <c r="X57" s="641"/>
      <c r="Y57" s="641"/>
      <c r="Z57" s="641"/>
      <c r="AA57" s="641"/>
      <c r="AB57" s="641"/>
      <c r="AC57" s="641"/>
      <c r="AD57" s="641"/>
      <c r="AE57" s="641"/>
      <c r="AF57" s="641"/>
      <c r="AG57" s="641"/>
      <c r="AH57" s="641"/>
    </row>
    <row r="58" spans="2:34" ht="12.75" customHeight="1" x14ac:dyDescent="0.2">
      <c r="E58" s="635"/>
      <c r="F58" s="682"/>
      <c r="G58" s="682"/>
      <c r="H58" s="682"/>
      <c r="I58" s="682"/>
      <c r="J58" s="682"/>
      <c r="X58" s="641"/>
      <c r="Y58" s="641"/>
      <c r="Z58" s="641"/>
      <c r="AA58" s="641"/>
      <c r="AB58" s="641"/>
      <c r="AC58" s="641"/>
      <c r="AD58" s="641"/>
      <c r="AE58" s="641"/>
      <c r="AF58" s="641"/>
      <c r="AG58" s="641"/>
      <c r="AH58" s="641"/>
    </row>
    <row r="59" spans="2:34" ht="12.75" customHeight="1" x14ac:dyDescent="0.2">
      <c r="E59" s="635"/>
      <c r="G59" s="638"/>
      <c r="H59" s="638"/>
      <c r="I59" s="638"/>
      <c r="J59" s="638"/>
    </row>
    <row r="60" spans="2:34" ht="12.75" customHeight="1" x14ac:dyDescent="0.2">
      <c r="E60" s="635"/>
      <c r="G60" s="698"/>
      <c r="H60" s="698"/>
      <c r="I60" s="698"/>
      <c r="J60" s="698"/>
    </row>
    <row r="61" spans="2:34" ht="12.75" customHeight="1" x14ac:dyDescent="0.2"/>
    <row r="62" spans="2:34" ht="12.75" customHeight="1" x14ac:dyDescent="0.2"/>
    <row r="63" spans="2:34" ht="12.75" customHeight="1" x14ac:dyDescent="0.2">
      <c r="H63" s="633"/>
      <c r="Q63" s="661"/>
      <c r="R63" s="661"/>
      <c r="S63" s="661"/>
      <c r="T63" s="661"/>
      <c r="U63" s="661"/>
      <c r="V63" s="661"/>
    </row>
    <row r="64" spans="2:34" ht="12.75" customHeight="1" x14ac:dyDescent="0.2">
      <c r="Q64" s="661"/>
      <c r="R64" s="661"/>
      <c r="S64" s="661"/>
      <c r="T64" s="661"/>
      <c r="U64" s="661"/>
      <c r="V64" s="661"/>
    </row>
    <row r="65" spans="17:22" ht="12.75" customHeight="1" x14ac:dyDescent="0.2">
      <c r="Q65" s="805"/>
      <c r="R65" s="805"/>
      <c r="S65" s="805"/>
      <c r="T65" s="805"/>
      <c r="U65" s="805"/>
      <c r="V65" s="805"/>
    </row>
    <row r="66" spans="17:22" ht="12.75" customHeight="1" x14ac:dyDescent="0.2">
      <c r="Q66" s="661"/>
      <c r="R66" s="661"/>
      <c r="S66" s="661"/>
      <c r="T66" s="661"/>
      <c r="U66" s="661"/>
      <c r="V66" s="661"/>
    </row>
    <row r="67" spans="17:22" ht="12.75" customHeight="1" x14ac:dyDescent="0.2">
      <c r="Q67" s="732"/>
      <c r="R67" s="732"/>
      <c r="S67" s="732"/>
      <c r="T67" s="732"/>
      <c r="U67" s="732"/>
      <c r="V67" s="732"/>
    </row>
    <row r="68" spans="17:22" ht="12.75" customHeight="1" x14ac:dyDescent="0.2"/>
    <row r="69" spans="17:22" ht="12.75" customHeight="1" x14ac:dyDescent="0.2">
      <c r="Q69" s="732"/>
      <c r="R69" s="732"/>
      <c r="S69" s="732"/>
      <c r="T69" s="732"/>
      <c r="U69" s="732"/>
      <c r="V69" s="732"/>
    </row>
    <row r="70" spans="17:22" ht="12.75" customHeight="1" x14ac:dyDescent="0.2"/>
    <row r="71" spans="17:22" ht="12.75" customHeight="1" x14ac:dyDescent="0.2"/>
    <row r="72" spans="17:22" ht="12.75" customHeight="1" x14ac:dyDescent="0.2"/>
    <row r="73" spans="17:22" ht="12.75" customHeight="1" x14ac:dyDescent="0.2"/>
    <row r="74" spans="17:22" ht="12.75" customHeight="1" x14ac:dyDescent="0.2"/>
    <row r="75" spans="17:22" ht="12.75" customHeight="1" x14ac:dyDescent="0.2"/>
    <row r="76" spans="17:22" ht="12.75" customHeight="1" x14ac:dyDescent="0.2"/>
    <row r="77" spans="17:22" ht="12.75" customHeight="1" x14ac:dyDescent="0.2"/>
    <row r="78" spans="17:22" ht="12.75" customHeight="1" x14ac:dyDescent="0.2"/>
    <row r="79" spans="17:22" ht="12.75" customHeight="1" x14ac:dyDescent="0.2"/>
    <row r="80" spans="17:22" ht="12.75" customHeight="1" x14ac:dyDescent="0.2"/>
    <row r="81" spans="15:17" ht="12.75" customHeight="1" x14ac:dyDescent="0.2"/>
    <row r="82" spans="15:17" ht="12.75" customHeight="1" x14ac:dyDescent="0.2"/>
    <row r="83" spans="15:17" ht="12.75" customHeight="1" x14ac:dyDescent="0.2"/>
    <row r="84" spans="15:17" ht="12.75" customHeight="1" x14ac:dyDescent="0.2"/>
    <row r="85" spans="15:17" ht="12.75" customHeight="1" x14ac:dyDescent="0.2"/>
    <row r="86" spans="15:17" ht="12.75" customHeight="1" x14ac:dyDescent="0.2">
      <c r="O86" s="634"/>
      <c r="P86" s="634"/>
      <c r="Q86" s="634"/>
    </row>
    <row r="87" spans="15:17" ht="12.75" customHeight="1" x14ac:dyDescent="0.2">
      <c r="O87" s="634"/>
      <c r="P87" s="634"/>
      <c r="Q87" s="634"/>
    </row>
    <row r="88" spans="15:17" ht="12.75" customHeight="1" x14ac:dyDescent="0.2"/>
    <row r="89" spans="15:17" ht="12.75" customHeight="1" x14ac:dyDescent="0.2"/>
    <row r="90" spans="15:17" ht="12.75" customHeight="1" x14ac:dyDescent="0.2"/>
    <row r="91" spans="15:17" ht="12.75" customHeight="1" x14ac:dyDescent="0.2">
      <c r="O91" s="634"/>
      <c r="P91" s="634"/>
      <c r="Q91" s="634"/>
    </row>
    <row r="99" spans="15:17" x14ac:dyDescent="0.2">
      <c r="O99" s="634"/>
      <c r="P99" s="634"/>
      <c r="Q99" s="634"/>
    </row>
  </sheetData>
  <pageMargins left="0" right="0" top="0" bottom="0" header="0" footer="0"/>
  <pageSetup paperSize="5" scale="82"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B485"/>
  <sheetViews>
    <sheetView showGridLines="0" zoomScaleNormal="100" workbookViewId="0">
      <pane xSplit="1" ySplit="2" topLeftCell="DG3" activePane="bottomRight" state="frozen"/>
      <selection pane="topRight" activeCell="B1" sqref="B1"/>
      <selection pane="bottomLeft" activeCell="A3" sqref="A3"/>
      <selection pane="bottomRight" activeCell="EQ2" sqref="EQ2"/>
    </sheetView>
  </sheetViews>
  <sheetFormatPr defaultRowHeight="12.75" customHeight="1" outlineLevelCol="1" x14ac:dyDescent="0.2"/>
  <cols>
    <col min="1" max="1" width="40.83203125" style="61" customWidth="1"/>
    <col min="2" max="91" width="9.6640625" style="61" hidden="1" customWidth="1" outlineLevel="1"/>
    <col min="92" max="95" width="9.33203125" style="61" hidden="1" customWidth="1" outlineLevel="1"/>
    <col min="96" max="96" width="9.6640625" style="61" hidden="1" customWidth="1" outlineLevel="1" collapsed="1"/>
    <col min="97" max="100" width="9.33203125" style="61" hidden="1" customWidth="1" outlineLevel="1"/>
    <col min="101" max="101" width="9.6640625" style="61" hidden="1" customWidth="1" outlineLevel="1"/>
    <col min="102" max="102" width="9.33203125" style="61" hidden="1" customWidth="1" outlineLevel="1" collapsed="1"/>
    <col min="103" max="105" width="9.33203125" style="61" hidden="1" customWidth="1" outlineLevel="1"/>
    <col min="106" max="106" width="9.6640625" style="61" hidden="1" customWidth="1" outlineLevel="1"/>
    <col min="107" max="110" width="9.5" style="61" hidden="1" customWidth="1" outlineLevel="1"/>
    <col min="111" max="111" width="9.6640625" style="61" customWidth="1" collapsed="1"/>
    <col min="112" max="115" width="9.5" style="11" hidden="1" customWidth="1" outlineLevel="1"/>
    <col min="116" max="116" width="10.5" style="61" customWidth="1" collapsed="1"/>
    <col min="117" max="120" width="9.6640625" style="61" hidden="1" customWidth="1" outlineLevel="1"/>
    <col min="121" max="121" width="9.6640625" style="61" bestFit="1" customWidth="1" collapsed="1"/>
    <col min="122" max="125" width="9.6640625" style="61" hidden="1" customWidth="1" outlineLevel="1"/>
    <col min="126" max="126" width="9.6640625" style="61" bestFit="1" customWidth="1" collapsed="1"/>
    <col min="127" max="127" width="9.6640625" style="61" hidden="1" customWidth="1" outlineLevel="1"/>
    <col min="128" max="128" width="10.33203125" style="61" hidden="1" customWidth="1" outlineLevel="1"/>
    <col min="129" max="130" width="9.6640625" style="61" hidden="1" customWidth="1" outlineLevel="1"/>
    <col min="131" max="131" width="9.6640625" style="61" bestFit="1" customWidth="1" collapsed="1"/>
    <col min="132" max="132" width="9.6640625" style="61" hidden="1" customWidth="1" outlineLevel="1"/>
    <col min="133" max="133" width="10.33203125" style="61" hidden="1" customWidth="1" outlineLevel="1"/>
    <col min="134" max="135" width="9.6640625" style="61" hidden="1" customWidth="1" outlineLevel="1"/>
    <col min="136" max="136" width="9.6640625" style="61" bestFit="1" customWidth="1" collapsed="1"/>
    <col min="137" max="140" width="9.6640625" style="61" hidden="1" customWidth="1" outlineLevel="1"/>
    <col min="141" max="141" width="8.83203125" style="61" customWidth="1" collapsed="1"/>
    <col min="142" max="145" width="9.6640625" style="61" customWidth="1" outlineLevel="1"/>
    <col min="146" max="146" width="8.83203125" style="61" customWidth="1"/>
    <col min="147" max="150" width="9.6640625" style="61" customWidth="1" outlineLevel="1"/>
    <col min="151" max="151" width="8.83203125" style="61" customWidth="1"/>
    <col min="152" max="155" width="9.6640625" style="61" hidden="1" customWidth="1" outlineLevel="1"/>
    <col min="156" max="156" width="8.83203125" style="61" customWidth="1" collapsed="1"/>
    <col min="157" max="160" width="9.6640625" style="61" hidden="1" customWidth="1" outlineLevel="1"/>
    <col min="161" max="161" width="8.83203125" style="61" customWidth="1" collapsed="1"/>
    <col min="162" max="162" width="1.83203125" style="231" customWidth="1"/>
    <col min="163" max="163" width="1.83203125" style="472" customWidth="1"/>
    <col min="164" max="164" width="9.33203125" style="239" hidden="1" customWidth="1" outlineLevel="1"/>
    <col min="165" max="167" width="9.33203125" style="231" hidden="1" customWidth="1" outlineLevel="1"/>
    <col min="168" max="168" width="2.83203125" style="424" customWidth="1" collapsed="1"/>
    <col min="169" max="169" width="2.83203125" style="424" customWidth="1"/>
    <col min="170" max="175" width="10.83203125" style="392" customWidth="1"/>
    <col min="176" max="176" width="1.83203125" style="472" customWidth="1"/>
    <col min="177" max="177" width="8.1640625" customWidth="1"/>
    <col min="183" max="183" width="9.33203125" style="240"/>
    <col min="185" max="16384" width="9.33203125" style="11"/>
  </cols>
  <sheetData>
    <row r="1" spans="1:183" ht="12.75" customHeight="1" x14ac:dyDescent="0.2">
      <c r="A1" s="926" t="s">
        <v>377</v>
      </c>
      <c r="B1" s="93">
        <v>1990</v>
      </c>
      <c r="C1" s="93"/>
      <c r="D1" s="93"/>
      <c r="E1" s="93"/>
      <c r="F1" s="94" t="s">
        <v>443</v>
      </c>
      <c r="G1" s="93">
        <v>1991</v>
      </c>
      <c r="H1" s="93"/>
      <c r="I1" s="93"/>
      <c r="J1" s="93"/>
      <c r="K1" s="94" t="s">
        <v>443</v>
      </c>
      <c r="L1" s="93">
        <v>1992</v>
      </c>
      <c r="M1" s="93"/>
      <c r="N1" s="93"/>
      <c r="O1" s="93"/>
      <c r="P1" s="94" t="s">
        <v>443</v>
      </c>
      <c r="Q1" s="93">
        <v>1993</v>
      </c>
      <c r="R1" s="93"/>
      <c r="S1" s="93"/>
      <c r="T1" s="93"/>
      <c r="U1" s="94" t="s">
        <v>443</v>
      </c>
      <c r="V1" s="93">
        <v>1994</v>
      </c>
      <c r="W1" s="93"/>
      <c r="X1" s="93"/>
      <c r="Y1" s="93"/>
      <c r="Z1" s="94" t="s">
        <v>443</v>
      </c>
      <c r="AA1" s="93">
        <v>1995</v>
      </c>
      <c r="AB1" s="93"/>
      <c r="AC1" s="93"/>
      <c r="AD1" s="93"/>
      <c r="AE1" s="94" t="s">
        <v>443</v>
      </c>
      <c r="AF1" s="93">
        <v>1996</v>
      </c>
      <c r="AG1" s="93"/>
      <c r="AH1" s="93"/>
      <c r="AI1" s="93"/>
      <c r="AJ1" s="94" t="s">
        <v>443</v>
      </c>
      <c r="AK1" s="93">
        <v>1997</v>
      </c>
      <c r="AL1" s="93"/>
      <c r="AM1" s="93"/>
      <c r="AN1" s="93"/>
      <c r="AO1" s="94" t="s">
        <v>443</v>
      </c>
      <c r="AP1" s="93">
        <v>1998</v>
      </c>
      <c r="AQ1" s="93"/>
      <c r="AR1" s="93"/>
      <c r="AS1" s="93"/>
      <c r="AT1" s="94" t="s">
        <v>443</v>
      </c>
      <c r="AU1" s="93">
        <v>1999</v>
      </c>
      <c r="AV1" s="93"/>
      <c r="AW1" s="93"/>
      <c r="AX1" s="93"/>
      <c r="AY1" s="94" t="s">
        <v>443</v>
      </c>
      <c r="AZ1" s="93">
        <v>2000</v>
      </c>
      <c r="BA1" s="93"/>
      <c r="BB1" s="93"/>
      <c r="BC1" s="93"/>
      <c r="BD1" s="94" t="s">
        <v>443</v>
      </c>
      <c r="BE1" s="93">
        <v>2001</v>
      </c>
      <c r="BF1" s="93"/>
      <c r="BG1" s="93"/>
      <c r="BH1" s="93"/>
      <c r="BI1" s="94" t="s">
        <v>443</v>
      </c>
      <c r="BJ1" s="93">
        <v>2002</v>
      </c>
      <c r="BK1" s="93"/>
      <c r="BL1" s="93"/>
      <c r="BM1" s="93"/>
      <c r="BN1" s="94" t="s">
        <v>443</v>
      </c>
      <c r="BO1" s="93">
        <v>2003</v>
      </c>
      <c r="BP1" s="93"/>
      <c r="BQ1" s="93"/>
      <c r="BR1" s="93"/>
      <c r="BS1" s="94" t="s">
        <v>443</v>
      </c>
      <c r="BT1" s="93">
        <v>2004</v>
      </c>
      <c r="BU1" s="93"/>
      <c r="BV1" s="93"/>
      <c r="BW1" s="93"/>
      <c r="BX1" s="94" t="s">
        <v>443</v>
      </c>
      <c r="BY1" s="93">
        <v>2005</v>
      </c>
      <c r="BZ1" s="93"/>
      <c r="CA1" s="93"/>
      <c r="CB1" s="93"/>
      <c r="CC1" s="94" t="s">
        <v>443</v>
      </c>
      <c r="CD1" s="93">
        <v>2006</v>
      </c>
      <c r="CE1" s="93"/>
      <c r="CF1" s="93"/>
      <c r="CG1" s="93"/>
      <c r="CH1" s="94" t="s">
        <v>443</v>
      </c>
      <c r="CI1" s="93">
        <v>2007</v>
      </c>
      <c r="CJ1" s="93"/>
      <c r="CK1" s="93"/>
      <c r="CL1" s="93"/>
      <c r="CM1" s="94" t="s">
        <v>443</v>
      </c>
      <c r="CN1" s="93">
        <v>2008</v>
      </c>
      <c r="CO1" s="93"/>
      <c r="CP1" s="93"/>
      <c r="CQ1" s="93"/>
      <c r="CR1" s="94" t="s">
        <v>443</v>
      </c>
      <c r="CS1" s="123"/>
      <c r="CT1" s="123"/>
      <c r="CU1" s="123" t="s">
        <v>371</v>
      </c>
      <c r="CV1" s="123"/>
      <c r="CW1" s="330" t="s">
        <v>443</v>
      </c>
      <c r="CX1" s="123"/>
      <c r="CY1" s="123"/>
      <c r="CZ1" s="123" t="s">
        <v>56</v>
      </c>
      <c r="DA1" s="123"/>
      <c r="DB1" s="330" t="s">
        <v>443</v>
      </c>
      <c r="DC1" s="123" t="s">
        <v>105</v>
      </c>
      <c r="DD1" s="512"/>
      <c r="DE1" s="93">
        <v>2011</v>
      </c>
      <c r="DF1" s="93"/>
      <c r="DG1" s="94" t="s">
        <v>443</v>
      </c>
      <c r="DH1" s="93">
        <v>2012</v>
      </c>
      <c r="DI1" s="93"/>
      <c r="DJ1" s="93"/>
      <c r="DK1" s="93"/>
      <c r="DL1" s="94" t="s">
        <v>443</v>
      </c>
      <c r="DM1" s="93">
        <v>2013</v>
      </c>
      <c r="DN1" s="93"/>
      <c r="DO1" s="93"/>
      <c r="DP1" s="93"/>
      <c r="DQ1" s="94" t="s">
        <v>443</v>
      </c>
      <c r="DR1" s="93">
        <v>2014</v>
      </c>
      <c r="DS1" s="93"/>
      <c r="DT1" s="93"/>
      <c r="DU1" s="93"/>
      <c r="DV1" s="94" t="s">
        <v>443</v>
      </c>
      <c r="DW1" s="93">
        <v>2015</v>
      </c>
      <c r="DX1" s="93"/>
      <c r="DY1" s="93"/>
      <c r="DZ1" s="93"/>
      <c r="EA1" s="94" t="s">
        <v>443</v>
      </c>
      <c r="EB1" s="93">
        <v>2016</v>
      </c>
      <c r="EC1" s="93"/>
      <c r="ED1" s="93"/>
      <c r="EE1" s="93"/>
      <c r="EF1" s="94" t="s">
        <v>443</v>
      </c>
      <c r="EG1" s="93">
        <v>2017</v>
      </c>
      <c r="EH1" s="93"/>
      <c r="EI1" s="93"/>
      <c r="EJ1" s="93"/>
      <c r="EK1" s="94" t="s">
        <v>443</v>
      </c>
      <c r="EL1" s="862">
        <v>2017</v>
      </c>
      <c r="EM1" s="862"/>
      <c r="EN1" s="862"/>
      <c r="EO1" s="862"/>
      <c r="EP1" s="863" t="s">
        <v>443</v>
      </c>
      <c r="EQ1" s="93">
        <v>2018</v>
      </c>
      <c r="ER1" s="93"/>
      <c r="ES1" s="93"/>
      <c r="ET1" s="93"/>
      <c r="EU1" s="94" t="s">
        <v>443</v>
      </c>
      <c r="EV1" s="93"/>
      <c r="EW1" s="93"/>
      <c r="EX1" s="93"/>
      <c r="EY1" s="93"/>
      <c r="EZ1" s="94" t="s">
        <v>443</v>
      </c>
      <c r="FA1" s="93"/>
      <c r="FB1" s="93"/>
      <c r="FC1" s="93"/>
      <c r="FD1" s="93"/>
      <c r="FE1" s="94" t="s">
        <v>443</v>
      </c>
      <c r="FF1" s="432"/>
      <c r="FG1" s="432"/>
      <c r="FH1" s="94" t="s">
        <v>38</v>
      </c>
      <c r="FI1" s="94" t="s">
        <v>39</v>
      </c>
      <c r="FJ1" s="94" t="s">
        <v>40</v>
      </c>
      <c r="FK1" s="94" t="s">
        <v>41</v>
      </c>
      <c r="FL1" s="473" t="s">
        <v>352</v>
      </c>
      <c r="FM1" s="474"/>
      <c r="FN1" s="475"/>
      <c r="FO1" s="475"/>
      <c r="FP1" s="475"/>
      <c r="FQ1" s="475"/>
      <c r="FR1" s="475"/>
      <c r="FS1" s="475"/>
      <c r="FT1" s="432"/>
    </row>
    <row r="2" spans="1:183" ht="12.75" customHeight="1" x14ac:dyDescent="0.2">
      <c r="A2" s="927"/>
      <c r="B2" s="95" t="s">
        <v>266</v>
      </c>
      <c r="C2" s="95" t="s">
        <v>65</v>
      </c>
      <c r="D2" s="95" t="s">
        <v>66</v>
      </c>
      <c r="E2" s="95" t="s">
        <v>100</v>
      </c>
      <c r="F2" s="96" t="s">
        <v>297</v>
      </c>
      <c r="G2" s="95" t="s">
        <v>266</v>
      </c>
      <c r="H2" s="95" t="s">
        <v>65</v>
      </c>
      <c r="I2" s="95" t="s">
        <v>66</v>
      </c>
      <c r="J2" s="95" t="s">
        <v>100</v>
      </c>
      <c r="K2" s="96">
        <v>1991</v>
      </c>
      <c r="L2" s="95" t="s">
        <v>266</v>
      </c>
      <c r="M2" s="95" t="s">
        <v>65</v>
      </c>
      <c r="N2" s="95" t="s">
        <v>66</v>
      </c>
      <c r="O2" s="95" t="s">
        <v>100</v>
      </c>
      <c r="P2" s="96">
        <v>1992</v>
      </c>
      <c r="Q2" s="95" t="s">
        <v>266</v>
      </c>
      <c r="R2" s="95" t="s">
        <v>65</v>
      </c>
      <c r="S2" s="95" t="s">
        <v>66</v>
      </c>
      <c r="T2" s="95" t="s">
        <v>100</v>
      </c>
      <c r="U2" s="96">
        <v>1993</v>
      </c>
      <c r="V2" s="95" t="s">
        <v>266</v>
      </c>
      <c r="W2" s="95" t="s">
        <v>65</v>
      </c>
      <c r="X2" s="95" t="s">
        <v>66</v>
      </c>
      <c r="Y2" s="95" t="s">
        <v>100</v>
      </c>
      <c r="Z2" s="96">
        <v>1994</v>
      </c>
      <c r="AA2" s="95" t="s">
        <v>266</v>
      </c>
      <c r="AB2" s="95" t="s">
        <v>65</v>
      </c>
      <c r="AC2" s="95" t="s">
        <v>66</v>
      </c>
      <c r="AD2" s="95" t="s">
        <v>100</v>
      </c>
      <c r="AE2" s="96">
        <v>1995</v>
      </c>
      <c r="AF2" s="95" t="s">
        <v>266</v>
      </c>
      <c r="AG2" s="95" t="s">
        <v>65</v>
      </c>
      <c r="AH2" s="95" t="s">
        <v>66</v>
      </c>
      <c r="AI2" s="95" t="s">
        <v>100</v>
      </c>
      <c r="AJ2" s="96">
        <v>1996</v>
      </c>
      <c r="AK2" s="95" t="s">
        <v>266</v>
      </c>
      <c r="AL2" s="95" t="s">
        <v>65</v>
      </c>
      <c r="AM2" s="95" t="s">
        <v>66</v>
      </c>
      <c r="AN2" s="95" t="s">
        <v>100</v>
      </c>
      <c r="AO2" s="96">
        <v>1997</v>
      </c>
      <c r="AP2" s="95" t="s">
        <v>266</v>
      </c>
      <c r="AQ2" s="95" t="s">
        <v>65</v>
      </c>
      <c r="AR2" s="95" t="s">
        <v>66</v>
      </c>
      <c r="AS2" s="95" t="s">
        <v>100</v>
      </c>
      <c r="AT2" s="96">
        <v>1998</v>
      </c>
      <c r="AU2" s="95" t="s">
        <v>266</v>
      </c>
      <c r="AV2" s="95" t="s">
        <v>65</v>
      </c>
      <c r="AW2" s="95" t="s">
        <v>66</v>
      </c>
      <c r="AX2" s="95" t="s">
        <v>100</v>
      </c>
      <c r="AY2" s="96">
        <v>1999</v>
      </c>
      <c r="AZ2" s="95" t="s">
        <v>266</v>
      </c>
      <c r="BA2" s="95" t="s">
        <v>65</v>
      </c>
      <c r="BB2" s="95" t="s">
        <v>66</v>
      </c>
      <c r="BC2" s="95" t="s">
        <v>100</v>
      </c>
      <c r="BD2" s="96">
        <v>2000</v>
      </c>
      <c r="BE2" s="95" t="s">
        <v>266</v>
      </c>
      <c r="BF2" s="95" t="s">
        <v>65</v>
      </c>
      <c r="BG2" s="95" t="s">
        <v>66</v>
      </c>
      <c r="BH2" s="95" t="s">
        <v>100</v>
      </c>
      <c r="BI2" s="96">
        <v>2001</v>
      </c>
      <c r="BJ2" s="95" t="s">
        <v>266</v>
      </c>
      <c r="BK2" s="95" t="s">
        <v>65</v>
      </c>
      <c r="BL2" s="95" t="s">
        <v>66</v>
      </c>
      <c r="BM2" s="95" t="s">
        <v>100</v>
      </c>
      <c r="BN2" s="96">
        <v>2002</v>
      </c>
      <c r="BO2" s="95" t="s">
        <v>266</v>
      </c>
      <c r="BP2" s="95" t="s">
        <v>65</v>
      </c>
      <c r="BQ2" s="95" t="s">
        <v>66</v>
      </c>
      <c r="BR2" s="95" t="s">
        <v>100</v>
      </c>
      <c r="BS2" s="96">
        <v>2003</v>
      </c>
      <c r="BT2" s="95" t="s">
        <v>266</v>
      </c>
      <c r="BU2" s="95" t="s">
        <v>65</v>
      </c>
      <c r="BV2" s="95" t="s">
        <v>66</v>
      </c>
      <c r="BW2" s="95" t="s">
        <v>100</v>
      </c>
      <c r="BX2" s="96" t="s">
        <v>426</v>
      </c>
      <c r="BY2" s="95" t="s">
        <v>266</v>
      </c>
      <c r="BZ2" s="95" t="s">
        <v>65</v>
      </c>
      <c r="CA2" s="95" t="s">
        <v>66</v>
      </c>
      <c r="CB2" s="95" t="s">
        <v>100</v>
      </c>
      <c r="CC2" s="96" t="s">
        <v>313</v>
      </c>
      <c r="CD2" s="95" t="s">
        <v>266</v>
      </c>
      <c r="CE2" s="95" t="s">
        <v>65</v>
      </c>
      <c r="CF2" s="95" t="s">
        <v>66</v>
      </c>
      <c r="CG2" s="95" t="s">
        <v>100</v>
      </c>
      <c r="CH2" s="96" t="s">
        <v>5</v>
      </c>
      <c r="CI2" s="95" t="s">
        <v>266</v>
      </c>
      <c r="CJ2" s="95" t="s">
        <v>65</v>
      </c>
      <c r="CK2" s="95" t="s">
        <v>66</v>
      </c>
      <c r="CL2" s="95" t="s">
        <v>100</v>
      </c>
      <c r="CM2" s="96" t="s">
        <v>412</v>
      </c>
      <c r="CN2" s="95" t="s">
        <v>266</v>
      </c>
      <c r="CO2" s="95" t="s">
        <v>65</v>
      </c>
      <c r="CP2" s="95" t="s">
        <v>66</v>
      </c>
      <c r="CQ2" s="95" t="s">
        <v>100</v>
      </c>
      <c r="CR2" s="96" t="s">
        <v>356</v>
      </c>
      <c r="CS2" s="331" t="s">
        <v>266</v>
      </c>
      <c r="CT2" s="331" t="s">
        <v>65</v>
      </c>
      <c r="CU2" s="331" t="s">
        <v>66</v>
      </c>
      <c r="CV2" s="332" t="s">
        <v>100</v>
      </c>
      <c r="CW2" s="333" t="s">
        <v>194</v>
      </c>
      <c r="CX2" s="331" t="s">
        <v>266</v>
      </c>
      <c r="CY2" s="331" t="s">
        <v>65</v>
      </c>
      <c r="CZ2" s="331" t="s">
        <v>66</v>
      </c>
      <c r="DA2" s="331" t="s">
        <v>100</v>
      </c>
      <c r="DB2" s="333" t="s">
        <v>6</v>
      </c>
      <c r="DC2" s="331" t="s">
        <v>266</v>
      </c>
      <c r="DD2" s="513" t="s">
        <v>65</v>
      </c>
      <c r="DE2" s="95" t="s">
        <v>66</v>
      </c>
      <c r="DF2" s="95" t="s">
        <v>100</v>
      </c>
      <c r="DG2" s="96" t="s">
        <v>141</v>
      </c>
      <c r="DH2" s="95" t="s">
        <v>266</v>
      </c>
      <c r="DI2" s="95" t="s">
        <v>65</v>
      </c>
      <c r="DJ2" s="95" t="s">
        <v>66</v>
      </c>
      <c r="DK2" s="95" t="s">
        <v>100</v>
      </c>
      <c r="DL2" s="96" t="s">
        <v>172</v>
      </c>
      <c r="DM2" s="95" t="s">
        <v>266</v>
      </c>
      <c r="DN2" s="95" t="s">
        <v>65</v>
      </c>
      <c r="DO2" s="95" t="s">
        <v>66</v>
      </c>
      <c r="DP2" s="95" t="s">
        <v>100</v>
      </c>
      <c r="DQ2" s="96" t="s">
        <v>68</v>
      </c>
      <c r="DR2" s="95" t="s">
        <v>266</v>
      </c>
      <c r="DS2" s="95" t="s">
        <v>65</v>
      </c>
      <c r="DT2" s="95" t="s">
        <v>66</v>
      </c>
      <c r="DU2" s="95" t="s">
        <v>100</v>
      </c>
      <c r="DV2" s="96" t="s">
        <v>470</v>
      </c>
      <c r="DW2" s="95" t="s">
        <v>266</v>
      </c>
      <c r="DX2" s="95" t="s">
        <v>65</v>
      </c>
      <c r="DY2" s="95" t="s">
        <v>66</v>
      </c>
      <c r="DZ2" s="95" t="s">
        <v>100</v>
      </c>
      <c r="EA2" s="96" t="s">
        <v>540</v>
      </c>
      <c r="EB2" s="95" t="s">
        <v>266</v>
      </c>
      <c r="EC2" s="95" t="s">
        <v>65</v>
      </c>
      <c r="ED2" s="95" t="s">
        <v>66</v>
      </c>
      <c r="EE2" s="95" t="s">
        <v>100</v>
      </c>
      <c r="EF2" s="96" t="s">
        <v>572</v>
      </c>
      <c r="EG2" s="95" t="s">
        <v>266</v>
      </c>
      <c r="EH2" s="95" t="s">
        <v>65</v>
      </c>
      <c r="EI2" s="95" t="s">
        <v>66</v>
      </c>
      <c r="EJ2" s="95" t="s">
        <v>100</v>
      </c>
      <c r="EK2" s="96" t="s">
        <v>583</v>
      </c>
      <c r="EL2" s="864" t="s">
        <v>266</v>
      </c>
      <c r="EM2" s="864" t="s">
        <v>65</v>
      </c>
      <c r="EN2" s="864" t="s">
        <v>66</v>
      </c>
      <c r="EO2" s="864" t="s">
        <v>100</v>
      </c>
      <c r="EP2" s="865" t="s">
        <v>583</v>
      </c>
      <c r="EQ2" s="95" t="s">
        <v>577</v>
      </c>
      <c r="ER2" s="95" t="s">
        <v>414</v>
      </c>
      <c r="ES2" s="95" t="s">
        <v>415</v>
      </c>
      <c r="ET2" s="95" t="s">
        <v>101</v>
      </c>
      <c r="EU2" s="96" t="s">
        <v>539</v>
      </c>
      <c r="EV2" s="95"/>
      <c r="EW2" s="95"/>
      <c r="EX2" s="95"/>
      <c r="EY2" s="95"/>
      <c r="EZ2" s="96" t="s">
        <v>543</v>
      </c>
      <c r="FA2" s="95"/>
      <c r="FB2" s="95"/>
      <c r="FC2" s="95"/>
      <c r="FD2" s="95"/>
      <c r="FE2" s="96" t="s">
        <v>574</v>
      </c>
      <c r="FF2" s="433"/>
      <c r="FG2" s="433"/>
      <c r="FH2" s="94" t="s">
        <v>42</v>
      </c>
      <c r="FI2" s="94" t="s">
        <v>42</v>
      </c>
      <c r="FJ2" s="94" t="s">
        <v>42</v>
      </c>
      <c r="FK2" s="94" t="s">
        <v>42</v>
      </c>
      <c r="FL2" s="475"/>
      <c r="FM2" s="474"/>
      <c r="FN2" s="475"/>
      <c r="FO2" s="475"/>
      <c r="FP2" s="475"/>
      <c r="FQ2" s="475"/>
      <c r="FR2" s="475"/>
      <c r="FS2" s="475"/>
      <c r="FT2" s="432"/>
    </row>
    <row r="3" spans="1:183" ht="12.75" customHeight="1" x14ac:dyDescent="0.2">
      <c r="A3" s="6" t="s">
        <v>362</v>
      </c>
      <c r="B3" s="124"/>
      <c r="C3" s="124"/>
      <c r="D3" s="124"/>
      <c r="E3" s="124"/>
      <c r="F3" s="242"/>
      <c r="G3" s="124"/>
      <c r="H3" s="124"/>
      <c r="I3" s="124"/>
      <c r="J3" s="124"/>
      <c r="K3" s="242"/>
      <c r="L3" s="124"/>
      <c r="M3" s="124"/>
      <c r="N3" s="124"/>
      <c r="O3" s="124"/>
      <c r="P3" s="242"/>
      <c r="Q3" s="124"/>
      <c r="R3" s="124"/>
      <c r="S3" s="124"/>
      <c r="T3" s="124"/>
      <c r="U3" s="242"/>
      <c r="V3" s="124"/>
      <c r="W3" s="124"/>
      <c r="X3" s="124"/>
      <c r="Y3" s="124"/>
      <c r="Z3" s="242"/>
      <c r="AA3" s="124"/>
      <c r="AB3" s="124"/>
      <c r="AC3" s="124"/>
      <c r="AD3" s="124"/>
      <c r="AE3" s="242"/>
      <c r="AF3" s="124"/>
      <c r="AG3" s="124"/>
      <c r="AH3" s="124"/>
      <c r="AI3" s="124"/>
      <c r="AJ3" s="242"/>
      <c r="AK3" s="124"/>
      <c r="AL3" s="124"/>
      <c r="AM3" s="124"/>
      <c r="AN3" s="124"/>
      <c r="AO3" s="242"/>
      <c r="AP3" s="124"/>
      <c r="AQ3" s="124"/>
      <c r="AR3" s="124"/>
      <c r="AS3" s="124"/>
      <c r="AT3" s="242"/>
      <c r="AU3" s="124"/>
      <c r="AV3" s="124"/>
      <c r="AW3" s="124"/>
      <c r="AX3" s="124"/>
      <c r="AY3" s="242"/>
      <c r="AZ3" s="124"/>
      <c r="BA3" s="124"/>
      <c r="BB3" s="124"/>
      <c r="BC3" s="124"/>
      <c r="BD3" s="242"/>
      <c r="BE3" s="124"/>
      <c r="BF3" s="124"/>
      <c r="BG3" s="124"/>
      <c r="BH3" s="124"/>
      <c r="BI3" s="242"/>
      <c r="BJ3" s="124"/>
      <c r="BK3" s="124"/>
      <c r="BL3" s="124"/>
      <c r="BM3" s="124"/>
      <c r="BN3" s="242"/>
      <c r="BO3" s="124"/>
      <c r="BP3" s="124"/>
      <c r="BQ3" s="124"/>
      <c r="BR3" s="124"/>
      <c r="BS3" s="242"/>
      <c r="BT3" s="124"/>
      <c r="BU3" s="124"/>
      <c r="BV3" s="124"/>
      <c r="BW3" s="124"/>
      <c r="BX3" s="242"/>
      <c r="BY3" s="125"/>
      <c r="BZ3" s="125"/>
      <c r="CA3" s="125"/>
      <c r="CB3" s="125"/>
      <c r="CC3" s="242"/>
      <c r="CD3" s="125"/>
      <c r="CE3" s="125"/>
      <c r="CF3" s="125"/>
      <c r="CG3" s="125"/>
      <c r="CH3" s="242"/>
      <c r="CI3" s="125"/>
      <c r="CJ3" s="125"/>
      <c r="CK3" s="125"/>
      <c r="CL3" s="125"/>
      <c r="CM3" s="242"/>
      <c r="CN3" s="125"/>
      <c r="CO3" s="125"/>
      <c r="CP3" s="125"/>
      <c r="CQ3" s="125"/>
      <c r="CR3" s="302"/>
      <c r="CS3" s="125"/>
      <c r="CT3" s="125"/>
      <c r="CU3" s="125"/>
      <c r="CV3" s="125"/>
      <c r="CW3" s="242"/>
      <c r="CX3" s="125"/>
      <c r="CY3" s="125"/>
      <c r="CZ3" s="125"/>
      <c r="DA3" s="125"/>
      <c r="DB3" s="242"/>
      <c r="DC3" s="125"/>
      <c r="DD3" s="125"/>
      <c r="DE3" s="125"/>
      <c r="DF3" s="126"/>
      <c r="DG3" s="242"/>
      <c r="DH3" s="126"/>
      <c r="DI3" s="126"/>
      <c r="DJ3" s="126"/>
      <c r="DK3" s="126"/>
      <c r="DL3" s="242"/>
      <c r="DM3" s="126"/>
      <c r="DN3" s="126"/>
      <c r="DO3" s="126"/>
      <c r="DP3" s="126"/>
      <c r="DQ3" s="242"/>
      <c r="DR3" s="126"/>
      <c r="DS3" s="126"/>
      <c r="DT3" s="126"/>
      <c r="DU3" s="126"/>
      <c r="DV3" s="242"/>
      <c r="DW3" s="126"/>
      <c r="DX3" s="126"/>
      <c r="DY3" s="126"/>
      <c r="DZ3" s="126"/>
      <c r="EA3" s="242"/>
      <c r="EB3" s="126"/>
      <c r="EC3" s="126"/>
      <c r="ED3" s="126"/>
      <c r="EE3" s="126"/>
      <c r="EF3" s="242"/>
      <c r="EG3" s="126"/>
      <c r="EH3" s="126"/>
      <c r="EI3" s="126"/>
      <c r="EJ3" s="126"/>
      <c r="EK3" s="242"/>
      <c r="EL3" s="126"/>
      <c r="EM3" s="126"/>
      <c r="EN3" s="126"/>
      <c r="EO3" s="126"/>
      <c r="EP3" s="242"/>
      <c r="EQ3" s="126"/>
      <c r="ER3" s="126"/>
      <c r="ES3" s="126"/>
      <c r="ET3" s="126"/>
      <c r="EU3" s="242"/>
      <c r="EV3" s="126"/>
      <c r="EW3" s="126"/>
      <c r="EX3" s="126"/>
      <c r="EY3" s="126"/>
      <c r="EZ3" s="242"/>
      <c r="FA3" s="126"/>
      <c r="FB3" s="126"/>
      <c r="FC3" s="126"/>
      <c r="FD3" s="126"/>
      <c r="FE3" s="242"/>
      <c r="FF3" s="124"/>
      <c r="FG3" s="124"/>
      <c r="FH3" s="354"/>
      <c r="FI3" s="355"/>
      <c r="FJ3" s="355"/>
      <c r="FK3" s="355"/>
      <c r="FL3" s="406"/>
      <c r="FM3" s="406"/>
      <c r="FN3" s="368"/>
      <c r="FO3" s="368"/>
      <c r="FP3" s="368"/>
      <c r="FQ3" s="368"/>
      <c r="FR3" s="368"/>
      <c r="FS3" s="368"/>
      <c r="FT3" s="124"/>
    </row>
    <row r="4" spans="1:183" ht="12.75" customHeight="1" x14ac:dyDescent="0.2">
      <c r="A4" s="4" t="s">
        <v>239</v>
      </c>
      <c r="B4" s="820">
        <v>4.4291879999999999</v>
      </c>
      <c r="C4" s="820">
        <v>5.2039999999999997</v>
      </c>
      <c r="D4" s="820">
        <v>5.3668820000000004</v>
      </c>
      <c r="E4" s="820">
        <f>F4-SUM(B4:D4)</f>
        <v>4.8308709999999984</v>
      </c>
      <c r="F4" s="243">
        <v>19.830940999999999</v>
      </c>
      <c r="G4" s="820">
        <v>5.2345629999999996</v>
      </c>
      <c r="H4" s="820">
        <v>5.4562900000000001</v>
      </c>
      <c r="I4" s="820">
        <v>6.0324429999999998</v>
      </c>
      <c r="J4" s="820">
        <f>K4-SUM(G4:I4)</f>
        <v>5.9466459999999977</v>
      </c>
      <c r="K4" s="243">
        <v>22.669941999999999</v>
      </c>
      <c r="L4" s="820">
        <v>6.2782099999999996</v>
      </c>
      <c r="M4" s="820">
        <v>6.9911820000000002</v>
      </c>
      <c r="N4" s="820">
        <v>7.3891220000000004</v>
      </c>
      <c r="O4" s="820">
        <f>P4-SUM(L4:N4)</f>
        <v>7.180769999999999</v>
      </c>
      <c r="P4" s="243">
        <v>27.839283999999999</v>
      </c>
      <c r="Q4" s="820">
        <v>7.212199</v>
      </c>
      <c r="R4" s="820">
        <v>8.4651270000000007</v>
      </c>
      <c r="S4" s="820">
        <v>9.0755140000000001</v>
      </c>
      <c r="T4" s="820">
        <f>U4-SUM(Q4:S4)</f>
        <v>12.202381000000003</v>
      </c>
      <c r="U4" s="243">
        <v>36.955221000000002</v>
      </c>
      <c r="V4" s="820">
        <v>9.9198409999999999</v>
      </c>
      <c r="W4" s="820">
        <v>10.773624</v>
      </c>
      <c r="X4" s="820">
        <v>11.254033</v>
      </c>
      <c r="Y4" s="820">
        <v>10.795104</v>
      </c>
      <c r="Z4" s="243">
        <f>SUM(V4:Y4)</f>
        <v>42.742601999999998</v>
      </c>
      <c r="AA4" s="820">
        <v>10.103557</v>
      </c>
      <c r="AB4" s="820">
        <v>11.513555999999999</v>
      </c>
      <c r="AC4" s="820">
        <v>11.682228</v>
      </c>
      <c r="AD4" s="820">
        <v>11.486232000000001</v>
      </c>
      <c r="AE4" s="243">
        <f>SUM(AA4:AD4)</f>
        <v>44.785572999999999</v>
      </c>
      <c r="AF4" s="820">
        <v>11.405237</v>
      </c>
      <c r="AG4" s="820">
        <v>12.57474</v>
      </c>
      <c r="AH4" s="820">
        <v>12.846515999999999</v>
      </c>
      <c r="AI4" s="820">
        <v>12.795011000000001</v>
      </c>
      <c r="AJ4" s="243">
        <f>SUM(AF4:AI4)</f>
        <v>49.621504000000002</v>
      </c>
      <c r="AK4" s="820">
        <v>12.046184</v>
      </c>
      <c r="AL4" s="820">
        <v>12.72236</v>
      </c>
      <c r="AM4" s="820">
        <v>13.019325</v>
      </c>
      <c r="AN4" s="820">
        <v>12.612090999999999</v>
      </c>
      <c r="AO4" s="243">
        <f>SUM(AK4:AN4)</f>
        <v>50.39996</v>
      </c>
      <c r="AP4" s="820">
        <v>11.848686000000001</v>
      </c>
      <c r="AQ4" s="820">
        <v>13.766337999999999</v>
      </c>
      <c r="AR4" s="820">
        <v>13.680771999999999</v>
      </c>
      <c r="AS4" s="820">
        <v>13.290604</v>
      </c>
      <c r="AT4" s="243">
        <f>SUM(AP4:AS4)</f>
        <v>52.586399999999998</v>
      </c>
      <c r="AU4" s="820">
        <v>12.933578000000001</v>
      </c>
      <c r="AV4" s="820">
        <v>14.816803</v>
      </c>
      <c r="AW4" s="820">
        <v>14.932022</v>
      </c>
      <c r="AX4" s="820">
        <v>14.81781</v>
      </c>
      <c r="AY4" s="243">
        <f>SUM(AU4:AX4)</f>
        <v>57.500213000000002</v>
      </c>
      <c r="AZ4" s="820">
        <v>14.389276000000001</v>
      </c>
      <c r="BA4" s="820">
        <v>16.501441</v>
      </c>
      <c r="BB4" s="820">
        <v>16.500661999999998</v>
      </c>
      <c r="BC4" s="820">
        <v>16.286881999999999</v>
      </c>
      <c r="BD4" s="243">
        <f>SUM(AZ4:BC4)</f>
        <v>63.678260999999999</v>
      </c>
      <c r="BE4" s="820">
        <v>15.71602</v>
      </c>
      <c r="BF4" s="820">
        <v>17.526752999999999</v>
      </c>
      <c r="BG4" s="820">
        <v>16.207719000000001</v>
      </c>
      <c r="BH4" s="820">
        <v>14.996281</v>
      </c>
      <c r="BI4" s="243">
        <f>SUM(BE4:BH4)</f>
        <v>64.446772999999993</v>
      </c>
      <c r="BJ4" s="820">
        <v>14.463282</v>
      </c>
      <c r="BK4" s="820">
        <v>16.772418999999999</v>
      </c>
      <c r="BL4" s="820">
        <v>16.255949999999999</v>
      </c>
      <c r="BM4" s="820">
        <v>15.554337</v>
      </c>
      <c r="BN4" s="243">
        <f>SUM(BJ4:BM4)</f>
        <v>63.045987999999994</v>
      </c>
      <c r="BO4" s="820">
        <v>15.077496999999999</v>
      </c>
      <c r="BP4" s="820">
        <v>17.063496000000001</v>
      </c>
      <c r="BQ4" s="820">
        <v>17.24325</v>
      </c>
      <c r="BR4" s="820">
        <v>16.289874999999999</v>
      </c>
      <c r="BS4" s="243">
        <f>SUM(BO4:BR4)</f>
        <v>65.674117999999993</v>
      </c>
      <c r="BT4" s="820">
        <v>15.995061</v>
      </c>
      <c r="BU4" s="820">
        <v>18.863975</v>
      </c>
      <c r="BV4" s="820">
        <v>18.334447999999998</v>
      </c>
      <c r="BW4" s="820">
        <v>17.709288999999998</v>
      </c>
      <c r="BX4" s="243">
        <f>SUM(BT4:BW4)</f>
        <v>70.902772999999996</v>
      </c>
      <c r="BY4" s="820">
        <v>17.474489999999999</v>
      </c>
      <c r="BZ4" s="820">
        <v>20.098051000000002</v>
      </c>
      <c r="CA4" s="820">
        <v>20.637619999999998</v>
      </c>
      <c r="CB4" s="820">
        <v>19.485340999999998</v>
      </c>
      <c r="CC4" s="243">
        <f>SUM(BY4:CB4)</f>
        <v>77.695502000000005</v>
      </c>
      <c r="CD4" s="820">
        <v>19.199483000000001</v>
      </c>
      <c r="CE4" s="820">
        <v>21.999255999999999</v>
      </c>
      <c r="CF4" s="820">
        <v>21.558982</v>
      </c>
      <c r="CG4" s="820">
        <v>21.057096999999999</v>
      </c>
      <c r="CH4" s="243">
        <f>SUM(CD4:CG4)</f>
        <v>83.814818000000002</v>
      </c>
      <c r="CI4" s="820">
        <v>19.960933000000001</v>
      </c>
      <c r="CJ4" s="820">
        <v>23.442018999999998</v>
      </c>
      <c r="CK4" s="820">
        <v>23.553366</v>
      </c>
      <c r="CL4" s="820">
        <v>21.757154</v>
      </c>
      <c r="CM4" s="243">
        <f>SUM(CI4:CL4)</f>
        <v>88.713471999999996</v>
      </c>
      <c r="CN4" s="820">
        <v>21.504821</v>
      </c>
      <c r="CO4" s="820">
        <v>23.993341999999998</v>
      </c>
      <c r="CP4" s="820">
        <v>22.243013000000001</v>
      </c>
      <c r="CQ4" s="820">
        <v>20.788057999999999</v>
      </c>
      <c r="CR4" s="97">
        <f>SUM(CN4:CQ4)</f>
        <v>88.529234000000002</v>
      </c>
      <c r="CS4" s="820">
        <v>25.104372999999999</v>
      </c>
      <c r="CT4" s="820">
        <v>28.884560999999998</v>
      </c>
      <c r="CU4" s="820">
        <v>28.908612248363973</v>
      </c>
      <c r="CV4" s="820">
        <v>27.410330999999999</v>
      </c>
      <c r="CW4" s="97">
        <f>SUM(CS4:CV4)</f>
        <v>110.30787724836397</v>
      </c>
      <c r="CX4" s="820">
        <v>25.503243000000001</v>
      </c>
      <c r="CY4" s="820">
        <v>27.997506999999999</v>
      </c>
      <c r="CZ4" s="820">
        <v>27.966581999999999</v>
      </c>
      <c r="DA4" s="820">
        <v>27.330795999999999</v>
      </c>
      <c r="DB4" s="97">
        <f>SUM(CX4:DA4)</f>
        <v>108.79812799999999</v>
      </c>
      <c r="DC4" s="820">
        <v>26.719836000000001</v>
      </c>
      <c r="DD4" s="820">
        <v>28.826013</v>
      </c>
      <c r="DE4" s="820">
        <v>28.208036</v>
      </c>
      <c r="DF4" s="820">
        <v>27.536128000000001</v>
      </c>
      <c r="DG4" s="97">
        <f>SUM(DC4:DF4)</f>
        <v>111.290013</v>
      </c>
      <c r="DH4" s="820">
        <v>25.560822000000002</v>
      </c>
      <c r="DI4" s="820">
        <v>28.859348000000001</v>
      </c>
      <c r="DJ4" s="820">
        <v>28.318778999999999</v>
      </c>
      <c r="DK4" s="820">
        <v>26.607559999999999</v>
      </c>
      <c r="DL4" s="97">
        <f>SUM(DH4:DK4)</f>
        <v>109.346509</v>
      </c>
      <c r="DM4" s="820">
        <v>25.203934</v>
      </c>
      <c r="DN4" s="820">
        <v>28.960367000000002</v>
      </c>
      <c r="DO4" s="820">
        <v>27.015865999999999</v>
      </c>
      <c r="DP4" s="820">
        <v>26.895809</v>
      </c>
      <c r="DQ4" s="97">
        <f>SUM(DM4:DP4)</f>
        <v>108.075976</v>
      </c>
      <c r="DR4" s="820">
        <v>25.055809</v>
      </c>
      <c r="DS4" s="820">
        <v>29.155114000000001</v>
      </c>
      <c r="DT4" s="820">
        <v>28.391881999999999</v>
      </c>
      <c r="DU4" s="820">
        <v>27.894107000000002</v>
      </c>
      <c r="DV4" s="97">
        <f>SUM(DR4:DU4)</f>
        <v>110.49691200000001</v>
      </c>
      <c r="DW4" s="820">
        <v>26.442996000000001</v>
      </c>
      <c r="DX4" s="820">
        <v>30.800742</v>
      </c>
      <c r="DY4" s="820">
        <v>30.559018999999999</v>
      </c>
      <c r="DZ4" s="820">
        <v>30.368454</v>
      </c>
      <c r="EA4" s="97">
        <f>SUM(DW4:DZ4)</f>
        <v>118.171211</v>
      </c>
      <c r="EB4" s="820">
        <v>28.603479</v>
      </c>
      <c r="EC4" s="820">
        <v>32.340969000000001</v>
      </c>
      <c r="ED4" s="820">
        <v>31.768550000000001</v>
      </c>
      <c r="EE4" s="820">
        <v>32.006767000000004</v>
      </c>
      <c r="EF4" s="97">
        <f>SUM(EB4:EE4)</f>
        <v>124.719765</v>
      </c>
      <c r="EG4" s="820">
        <v>29.538789999999999</v>
      </c>
      <c r="EH4" s="820">
        <v>33.992862000000002</v>
      </c>
      <c r="EI4" s="820">
        <v>33.029536999999998</v>
      </c>
      <c r="EJ4" s="820">
        <v>33.695000999999998</v>
      </c>
      <c r="EK4" s="97">
        <f>SUM(EG4:EJ4)</f>
        <v>130.25619</v>
      </c>
      <c r="EL4" s="820">
        <v>29.538789999999999</v>
      </c>
      <c r="EM4" s="820">
        <v>33.992862000000002</v>
      </c>
      <c r="EN4" s="820">
        <v>33.029536999999998</v>
      </c>
      <c r="EO4" s="820">
        <v>33.695000999999998</v>
      </c>
      <c r="EP4" s="97">
        <f>SUM(EL4:EO4)</f>
        <v>130.25619</v>
      </c>
      <c r="EQ4" s="12">
        <f>EQ6/EQ13</f>
        <v>29.83125326732673</v>
      </c>
      <c r="ER4" s="12">
        <f t="shared" ref="ER4:ET4" si="0">ER6/ER13</f>
        <v>35.002550970297037</v>
      </c>
      <c r="ES4" s="12">
        <f t="shared" si="0"/>
        <v>34.010612356435651</v>
      </c>
      <c r="ET4" s="12">
        <f t="shared" si="0"/>
        <v>36.697525841584159</v>
      </c>
      <c r="EU4" s="97">
        <f>SUM(EQ4:ET4)</f>
        <v>135.54194243564359</v>
      </c>
      <c r="EV4" s="12"/>
      <c r="EW4" s="12"/>
      <c r="EX4" s="12"/>
      <c r="EY4" s="12"/>
      <c r="EZ4" s="97">
        <f>EZ6/EZ13</f>
        <v>140.9099401558671</v>
      </c>
      <c r="FA4" s="12"/>
      <c r="FB4" s="12"/>
      <c r="FC4" s="12"/>
      <c r="FD4" s="12"/>
      <c r="FE4" s="97">
        <f>FE6/FE13</f>
        <v>146.49053184520838</v>
      </c>
      <c r="FF4" s="12"/>
      <c r="FG4" s="434"/>
      <c r="FL4" s="407"/>
      <c r="FM4" s="407"/>
      <c r="FN4" s="758"/>
      <c r="FO4" s="759">
        <v>2014</v>
      </c>
      <c r="FP4" s="759">
        <v>2015</v>
      </c>
      <c r="FQ4" s="759">
        <v>2016</v>
      </c>
      <c r="FR4" s="760">
        <v>2017</v>
      </c>
      <c r="FS4" s="760">
        <v>2018</v>
      </c>
      <c r="FT4" s="434"/>
    </row>
    <row r="5" spans="1:183" ht="12.75" customHeight="1" x14ac:dyDescent="0.2">
      <c r="A5" s="58" t="s">
        <v>244</v>
      </c>
      <c r="B5" s="43"/>
      <c r="C5" s="43"/>
      <c r="D5" s="43"/>
      <c r="E5" s="43"/>
      <c r="F5" s="244"/>
      <c r="G5" s="43">
        <f>G4/B4-1</f>
        <v>0.1818335550444008</v>
      </c>
      <c r="H5" s="43">
        <f>H4/C4-1</f>
        <v>4.8480015372790231E-2</v>
      </c>
      <c r="I5" s="43">
        <f>I4/D4-1</f>
        <v>0.12401260173038997</v>
      </c>
      <c r="J5" s="43">
        <f>J4/E4-1</f>
        <v>0.23096766607926389</v>
      </c>
      <c r="K5" s="244">
        <f t="shared" ref="K5:U5" si="1">K4/F4-1</f>
        <v>0.14316017580809715</v>
      </c>
      <c r="L5" s="43">
        <f t="shared" si="1"/>
        <v>0.19937614658568448</v>
      </c>
      <c r="M5" s="43">
        <f t="shared" si="1"/>
        <v>0.28130689534463893</v>
      </c>
      <c r="N5" s="43">
        <f t="shared" si="1"/>
        <v>0.2248971105073021</v>
      </c>
      <c r="O5" s="43">
        <f t="shared" si="1"/>
        <v>0.20753278402649178</v>
      </c>
      <c r="P5" s="244">
        <f t="shared" si="1"/>
        <v>0.22802625608834814</v>
      </c>
      <c r="Q5" s="43">
        <f t="shared" si="1"/>
        <v>0.14876676632352215</v>
      </c>
      <c r="R5" s="43">
        <f t="shared" si="1"/>
        <v>0.21082915592813922</v>
      </c>
      <c r="S5" s="43">
        <f t="shared" si="1"/>
        <v>0.22822630347692185</v>
      </c>
      <c r="T5" s="43">
        <f t="shared" si="1"/>
        <v>0.69931372262306191</v>
      </c>
      <c r="U5" s="244">
        <f t="shared" si="1"/>
        <v>0.32744868725790521</v>
      </c>
      <c r="V5" s="43">
        <f t="shared" ref="V5:AX5" si="2">V4/Q4-1</f>
        <v>0.37542530371111504</v>
      </c>
      <c r="W5" s="43">
        <f t="shared" si="2"/>
        <v>0.27270671780825007</v>
      </c>
      <c r="X5" s="43">
        <f t="shared" si="2"/>
        <v>0.24004359422507626</v>
      </c>
      <c r="Y5" s="43">
        <f t="shared" si="2"/>
        <v>-0.11532806589140288</v>
      </c>
      <c r="Z5" s="244">
        <f t="shared" si="2"/>
        <v>0.15660523312795216</v>
      </c>
      <c r="AA5" s="43">
        <f t="shared" si="2"/>
        <v>1.8520054908138128E-2</v>
      </c>
      <c r="AB5" s="43">
        <f t="shared" si="2"/>
        <v>6.8679953931936044E-2</v>
      </c>
      <c r="AC5" s="43">
        <f t="shared" si="2"/>
        <v>3.8048137943082372E-2</v>
      </c>
      <c r="AD5" s="43">
        <f t="shared" si="2"/>
        <v>6.4022356801750169E-2</v>
      </c>
      <c r="AE5" s="244">
        <f t="shared" si="2"/>
        <v>4.7797066729816873E-2</v>
      </c>
      <c r="AF5" s="43">
        <f t="shared" si="2"/>
        <v>0.12883383545022808</v>
      </c>
      <c r="AG5" s="43">
        <f t="shared" si="2"/>
        <v>9.2168223266556382E-2</v>
      </c>
      <c r="AH5" s="43">
        <f t="shared" si="2"/>
        <v>9.9663180687793451E-2</v>
      </c>
      <c r="AI5" s="43">
        <f t="shared" si="2"/>
        <v>0.11394328444697965</v>
      </c>
      <c r="AJ5" s="244">
        <f t="shared" si="2"/>
        <v>0.10797966121813385</v>
      </c>
      <c r="AK5" s="43">
        <f t="shared" si="2"/>
        <v>5.6197604661788247E-2</v>
      </c>
      <c r="AL5" s="43">
        <f t="shared" si="2"/>
        <v>1.1739407733281082E-2</v>
      </c>
      <c r="AM5" s="43">
        <f t="shared" si="2"/>
        <v>1.3451818376281954E-2</v>
      </c>
      <c r="AN5" s="43">
        <f t="shared" si="2"/>
        <v>-1.4296197166223656E-2</v>
      </c>
      <c r="AO5" s="244">
        <f t="shared" si="2"/>
        <v>1.5687875966032827E-2</v>
      </c>
      <c r="AP5" s="43">
        <f t="shared" si="2"/>
        <v>-1.6395067516816852E-2</v>
      </c>
      <c r="AQ5" s="43">
        <f t="shared" si="2"/>
        <v>8.2058517444876466E-2</v>
      </c>
      <c r="AR5" s="43">
        <f t="shared" si="2"/>
        <v>5.0805014852920438E-2</v>
      </c>
      <c r="AS5" s="43">
        <f t="shared" si="2"/>
        <v>5.3798612775629362E-2</v>
      </c>
      <c r="AT5" s="244">
        <f t="shared" si="2"/>
        <v>4.3381780461730468E-2</v>
      </c>
      <c r="AU5" s="43">
        <f t="shared" si="2"/>
        <v>9.1562220485883472E-2</v>
      </c>
      <c r="AV5" s="43">
        <f t="shared" si="2"/>
        <v>7.6306785435603874E-2</v>
      </c>
      <c r="AW5" s="43">
        <f t="shared" si="2"/>
        <v>9.146048190847722E-2</v>
      </c>
      <c r="AX5" s="43">
        <f t="shared" si="2"/>
        <v>0.11490869790417357</v>
      </c>
      <c r="AY5" s="244">
        <f t="shared" ref="AY5:BR5" si="3">AY4/AT4-1</f>
        <v>9.3442658177779858E-2</v>
      </c>
      <c r="AZ5" s="43">
        <f t="shared" si="3"/>
        <v>0.1125518398698333</v>
      </c>
      <c r="BA5" s="43">
        <f t="shared" si="3"/>
        <v>0.11369780647012706</v>
      </c>
      <c r="BB5" s="43">
        <f t="shared" si="3"/>
        <v>0.10505208202881011</v>
      </c>
      <c r="BC5" s="43">
        <f t="shared" si="3"/>
        <v>9.9142315902282396E-2</v>
      </c>
      <c r="BD5" s="244">
        <f t="shared" si="3"/>
        <v>0.10744391503384509</v>
      </c>
      <c r="BE5" s="43">
        <f t="shared" si="3"/>
        <v>9.2203666119129224E-2</v>
      </c>
      <c r="BF5" s="43">
        <f t="shared" si="3"/>
        <v>6.21346947821102E-2</v>
      </c>
      <c r="BG5" s="43">
        <f t="shared" si="3"/>
        <v>-1.7753408923835701E-2</v>
      </c>
      <c r="BH5" s="43">
        <f t="shared" si="3"/>
        <v>-7.9241748052205407E-2</v>
      </c>
      <c r="BI5" s="244">
        <f>BI4/BD4-1</f>
        <v>1.2068671284851673E-2</v>
      </c>
      <c r="BJ5" s="43">
        <f t="shared" si="3"/>
        <v>-7.9710893725001619E-2</v>
      </c>
      <c r="BK5" s="43">
        <f t="shared" si="3"/>
        <v>-4.3039004429400007E-2</v>
      </c>
      <c r="BL5" s="43">
        <f t="shared" si="3"/>
        <v>2.9758043065775119E-3</v>
      </c>
      <c r="BM5" s="43">
        <f t="shared" si="3"/>
        <v>3.7212959666466761E-2</v>
      </c>
      <c r="BN5" s="244">
        <f>BN4/BI4-1</f>
        <v>-2.1735533600728107E-2</v>
      </c>
      <c r="BO5" s="43">
        <f t="shared" si="3"/>
        <v>4.2467193822259608E-2</v>
      </c>
      <c r="BP5" s="43">
        <f t="shared" si="3"/>
        <v>1.7354503247265729E-2</v>
      </c>
      <c r="BQ5" s="43">
        <f t="shared" si="3"/>
        <v>6.0734684838474662E-2</v>
      </c>
      <c r="BR5" s="43">
        <f t="shared" si="3"/>
        <v>4.7288290076266115E-2</v>
      </c>
      <c r="BS5" s="244">
        <f t="shared" ref="BS5:CT5" si="4">BS4/BN4-1</f>
        <v>4.1685919808251759E-2</v>
      </c>
      <c r="BT5" s="43">
        <f t="shared" si="4"/>
        <v>6.085652015052645E-2</v>
      </c>
      <c r="BU5" s="43">
        <f t="shared" si="4"/>
        <v>0.10551641937853762</v>
      </c>
      <c r="BV5" s="43">
        <f t="shared" si="4"/>
        <v>6.3282617835964672E-2</v>
      </c>
      <c r="BW5" s="43">
        <f t="shared" si="4"/>
        <v>8.713473860296661E-2</v>
      </c>
      <c r="BX5" s="244">
        <f t="shared" si="4"/>
        <v>7.9615153720069776E-2</v>
      </c>
      <c r="BY5" s="43">
        <f t="shared" si="4"/>
        <v>9.2492863890922372E-2</v>
      </c>
      <c r="BZ5" s="43">
        <f t="shared" si="4"/>
        <v>6.5419721983304147E-2</v>
      </c>
      <c r="CA5" s="43">
        <f t="shared" si="4"/>
        <v>0.12561992594486626</v>
      </c>
      <c r="CB5" s="43">
        <f t="shared" si="4"/>
        <v>0.1002892888585194</v>
      </c>
      <c r="CC5" s="244">
        <f>CC4/BX4-1</f>
        <v>9.5803432116823073E-2</v>
      </c>
      <c r="CD5" s="43">
        <f t="shared" si="4"/>
        <v>9.8714926730336661E-2</v>
      </c>
      <c r="CE5" s="43">
        <f t="shared" si="4"/>
        <v>9.4596485997572533E-2</v>
      </c>
      <c r="CF5" s="43">
        <f t="shared" si="4"/>
        <v>4.4644779775962595E-2</v>
      </c>
      <c r="CG5" s="43">
        <f t="shared" si="4"/>
        <v>8.0663510071494304E-2</v>
      </c>
      <c r="CH5" s="244">
        <f>CH4/CC4-1</f>
        <v>7.8760235051959615E-2</v>
      </c>
      <c r="CI5" s="43">
        <f t="shared" si="4"/>
        <v>3.9659922092693867E-2</v>
      </c>
      <c r="CJ5" s="43">
        <f t="shared" si="4"/>
        <v>6.5582354239616114E-2</v>
      </c>
      <c r="CK5" s="43">
        <f t="shared" si="4"/>
        <v>9.2508264072951096E-2</v>
      </c>
      <c r="CL5" s="43">
        <f t="shared" si="4"/>
        <v>3.3245655847052413E-2</v>
      </c>
      <c r="CM5" s="244">
        <f>CM4/CH4-1</f>
        <v>5.8446156859757181E-2</v>
      </c>
      <c r="CN5" s="43">
        <f t="shared" si="4"/>
        <v>7.7345482798825138E-2</v>
      </c>
      <c r="CO5" s="43">
        <f t="shared" si="4"/>
        <v>2.3518580033571324E-2</v>
      </c>
      <c r="CP5" s="43">
        <f t="shared" si="4"/>
        <v>-5.5633364674925856E-2</v>
      </c>
      <c r="CQ5" s="43">
        <f t="shared" si="4"/>
        <v>-4.454148736548913E-2</v>
      </c>
      <c r="CR5" s="110">
        <f t="shared" ref="CR5:CW5" si="5">CR4/CM4-1</f>
        <v>-2.0767758926174551E-3</v>
      </c>
      <c r="CS5" s="43">
        <f t="shared" si="4"/>
        <v>0.16738349042756506</v>
      </c>
      <c r="CT5" s="43">
        <f t="shared" si="4"/>
        <v>0.20385734509181752</v>
      </c>
      <c r="CU5" s="43">
        <f t="shared" si="5"/>
        <v>0.29967159792443465</v>
      </c>
      <c r="CV5" s="43">
        <f t="shared" si="5"/>
        <v>0.3185614067461231</v>
      </c>
      <c r="CW5" s="110">
        <f t="shared" si="5"/>
        <v>0.24600510209276139</v>
      </c>
      <c r="CX5" s="43">
        <f t="shared" ref="CX5:DT5" si="6">CX4/CS4-1</f>
        <v>1.5888466921679445E-2</v>
      </c>
      <c r="CY5" s="43">
        <f t="shared" si="6"/>
        <v>-3.0710316144323624E-2</v>
      </c>
      <c r="CZ5" s="43">
        <f t="shared" si="6"/>
        <v>-3.2586491536524265E-2</v>
      </c>
      <c r="DA5" s="43">
        <f t="shared" si="6"/>
        <v>-2.9016431797193043E-3</v>
      </c>
      <c r="DB5" s="110">
        <f t="shared" si="6"/>
        <v>-1.368668572022913E-2</v>
      </c>
      <c r="DC5" s="43">
        <f>DC4/CX4-1</f>
        <v>4.7703462653749584E-2</v>
      </c>
      <c r="DD5" s="43">
        <f t="shared" si="6"/>
        <v>2.9592134756855293E-2</v>
      </c>
      <c r="DE5" s="43">
        <f t="shared" si="6"/>
        <v>8.6336614177593418E-3</v>
      </c>
      <c r="DF5" s="43">
        <f t="shared" si="6"/>
        <v>7.5128437532518966E-3</v>
      </c>
      <c r="DG5" s="110">
        <f t="shared" si="6"/>
        <v>2.2903748858620121E-2</v>
      </c>
      <c r="DH5" s="43">
        <f t="shared" si="6"/>
        <v>-4.3376538688336241E-2</v>
      </c>
      <c r="DI5" s="43">
        <f t="shared" si="6"/>
        <v>1.1564207648140368E-3</v>
      </c>
      <c r="DJ5" s="43">
        <f t="shared" si="6"/>
        <v>3.9259379844807096E-3</v>
      </c>
      <c r="DK5" s="43">
        <f t="shared" si="6"/>
        <v>-3.372180721995488E-2</v>
      </c>
      <c r="DL5" s="110">
        <f t="shared" si="6"/>
        <v>-1.7463417854035157E-2</v>
      </c>
      <c r="DM5" s="43">
        <f t="shared" si="6"/>
        <v>-1.3962305281105647E-2</v>
      </c>
      <c r="DN5" s="43">
        <f t="shared" si="6"/>
        <v>3.5003909305226788E-3</v>
      </c>
      <c r="DO5" s="43">
        <f t="shared" si="6"/>
        <v>-4.6008798613810353E-2</v>
      </c>
      <c r="DP5" s="43">
        <f t="shared" si="6"/>
        <v>1.0833349619431498E-2</v>
      </c>
      <c r="DQ5" s="110">
        <f>DQ4/DL4-1</f>
        <v>-1.1619328423187247E-2</v>
      </c>
      <c r="DR5" s="43">
        <f t="shared" si="6"/>
        <v>-5.8770587163099464E-3</v>
      </c>
      <c r="DS5" s="43">
        <f t="shared" si="6"/>
        <v>6.7246040079533831E-3</v>
      </c>
      <c r="DT5" s="43">
        <f t="shared" si="6"/>
        <v>5.0933625448097875E-2</v>
      </c>
      <c r="DU5" s="43">
        <f>DU4/DP4-1</f>
        <v>3.7117232651377119E-2</v>
      </c>
      <c r="DV5" s="110">
        <f>DV4/DQ4-1</f>
        <v>2.2400315866682563E-2</v>
      </c>
      <c r="DW5" s="43">
        <f>DW4/DR4-1</f>
        <v>5.5363887871271666E-2</v>
      </c>
      <c r="DX5" s="43">
        <f>DX4/DS4-1</f>
        <v>5.6443888368949535E-2</v>
      </c>
      <c r="DY5" s="43">
        <f>DY4/DT4-1</f>
        <v>7.6329459244723452E-2</v>
      </c>
      <c r="DZ5" s="43">
        <f t="shared" ref="DZ5:EA5" si="7">DZ4/DU4-1</f>
        <v>8.8705008552523168E-2</v>
      </c>
      <c r="EA5" s="110">
        <f t="shared" si="7"/>
        <v>6.9452610585171826E-2</v>
      </c>
      <c r="EB5" s="43">
        <f>EB4/DW4-1</f>
        <v>8.1703412124707775E-2</v>
      </c>
      <c r="EC5" s="43">
        <f>EC4/DX4-1</f>
        <v>5.0006165435884764E-2</v>
      </c>
      <c r="ED5" s="43">
        <f>ED4/DY4-1</f>
        <v>3.9580164533423057E-2</v>
      </c>
      <c r="EE5" s="43">
        <f t="shared" ref="EE5" si="8">EE4/DZ4-1</f>
        <v>5.3947856548772766E-2</v>
      </c>
      <c r="EF5" s="110">
        <f t="shared" ref="EF5" si="9">EF4/EA4-1</f>
        <v>5.541581527839301E-2</v>
      </c>
      <c r="EG5" s="43">
        <f>EG4/EB4-1</f>
        <v>3.2699204177226049E-2</v>
      </c>
      <c r="EH5" s="43">
        <f>EH4/EC4-1</f>
        <v>5.1077412058989413E-2</v>
      </c>
      <c r="EI5" s="43">
        <f>EI4/ED4-1</f>
        <v>3.9692935308662136E-2</v>
      </c>
      <c r="EJ5" s="43">
        <f t="shared" ref="EJ5" si="10">EJ4/EE4-1</f>
        <v>5.2746158335829296E-2</v>
      </c>
      <c r="EK5" s="110">
        <f t="shared" ref="EK5" si="11">EK4/EF4-1</f>
        <v>4.4390919113742822E-2</v>
      </c>
      <c r="EL5" s="800"/>
      <c r="EM5" s="800"/>
      <c r="EN5" s="800"/>
      <c r="EO5" s="800"/>
      <c r="EP5" s="484"/>
      <c r="EQ5" s="43">
        <f>EQ4/EL4-1</f>
        <v>9.9009900990099098E-3</v>
      </c>
      <c r="ER5" s="43">
        <f>ER4/EM4-1</f>
        <v>2.9702970297029729E-2</v>
      </c>
      <c r="ES5" s="43">
        <f>ES4/EN4-1</f>
        <v>2.9702970297029951E-2</v>
      </c>
      <c r="ET5" s="43">
        <f t="shared" ref="ET5" si="12">ET4/EO4-1</f>
        <v>8.9108910891089188E-2</v>
      </c>
      <c r="EU5" s="110">
        <f t="shared" ref="EU5" si="13">EU4/EP4-1</f>
        <v>4.0579664088467471E-2</v>
      </c>
      <c r="EV5" s="43"/>
      <c r="EW5" s="43"/>
      <c r="EX5" s="43"/>
      <c r="EY5" s="43"/>
      <c r="EZ5" s="110">
        <f>EZ4/EU4-1</f>
        <v>3.9603960396039639E-2</v>
      </c>
      <c r="FA5" s="43"/>
      <c r="FB5" s="43"/>
      <c r="FC5" s="43"/>
      <c r="FD5" s="43"/>
      <c r="FE5" s="110">
        <f>FE4/EZ4-1</f>
        <v>3.9603960396039639E-2</v>
      </c>
      <c r="FF5" s="43"/>
      <c r="FG5" s="435"/>
      <c r="FL5" s="408"/>
      <c r="FM5" s="408"/>
      <c r="FN5" s="761" t="s">
        <v>544</v>
      </c>
      <c r="FO5" s="762">
        <f>+FO9-FO7</f>
        <v>127040.150097732</v>
      </c>
      <c r="FP5" s="762">
        <f t="shared" ref="FP5:FS5" si="14">+FP9-FP7</f>
        <v>135587.32021143194</v>
      </c>
      <c r="FQ5" s="762">
        <f t="shared" si="14"/>
        <v>142605.6103458523</v>
      </c>
      <c r="FR5" s="762">
        <f t="shared" si="14"/>
        <v>146415.52343231539</v>
      </c>
      <c r="FS5" s="762">
        <f t="shared" si="14"/>
        <v>152258.29040039427</v>
      </c>
      <c r="FT5" s="190"/>
    </row>
    <row r="6" spans="1:183" ht="12.75" customHeight="1" x14ac:dyDescent="0.2">
      <c r="A6" s="13" t="s">
        <v>298</v>
      </c>
      <c r="B6" s="821">
        <v>2325.2460000000001</v>
      </c>
      <c r="C6" s="821">
        <v>2558.59</v>
      </c>
      <c r="D6" s="821">
        <v>2680.5079999999998</v>
      </c>
      <c r="E6" s="821">
        <f>F6-SUM(B6:D6)</f>
        <v>2394.5960000000005</v>
      </c>
      <c r="F6" s="245">
        <v>9958.94</v>
      </c>
      <c r="G6" s="821">
        <v>2615.1779999999999</v>
      </c>
      <c r="H6" s="821">
        <v>2701.297</v>
      </c>
      <c r="I6" s="821">
        <v>3056.0729999999999</v>
      </c>
      <c r="J6" s="821">
        <f>K6-SUM(G6:I6)</f>
        <v>2923.6350000000002</v>
      </c>
      <c r="K6" s="245">
        <v>11296.183000000001</v>
      </c>
      <c r="L6" s="821">
        <v>3103.06</v>
      </c>
      <c r="M6" s="821">
        <v>3426.5940000000001</v>
      </c>
      <c r="N6" s="821">
        <v>3709.3310000000001</v>
      </c>
      <c r="O6" s="821">
        <f>P6-SUM(L6:N6)</f>
        <v>3548.0199999999986</v>
      </c>
      <c r="P6" s="245">
        <v>13787.004999999999</v>
      </c>
      <c r="Q6" s="821">
        <v>3646.4929999999999</v>
      </c>
      <c r="R6" s="821">
        <v>4243.0159999999996</v>
      </c>
      <c r="S6" s="821">
        <v>4548.5389999999998</v>
      </c>
      <c r="T6" s="821">
        <f>U6-SUM(Q6:S6)</f>
        <v>6389.2400000000016</v>
      </c>
      <c r="U6" s="245">
        <v>18827.288</v>
      </c>
      <c r="V6" s="821">
        <v>5041.8050000000003</v>
      </c>
      <c r="W6" s="821">
        <v>5454.5460000000003</v>
      </c>
      <c r="X6" s="821">
        <v>5718.9489999999996</v>
      </c>
      <c r="Y6" s="821">
        <v>5395.9669999999996</v>
      </c>
      <c r="Z6" s="245">
        <f>SUM(V6:Y6)</f>
        <v>21611.267</v>
      </c>
      <c r="AA6" s="821">
        <v>5206.2849999999999</v>
      </c>
      <c r="AB6" s="821">
        <v>5992.0439999999999</v>
      </c>
      <c r="AC6" s="821">
        <v>6252.0060000000003</v>
      </c>
      <c r="AD6" s="821">
        <f>23327.804-SUM(AA6:AC6)</f>
        <v>5877.469000000001</v>
      </c>
      <c r="AE6" s="245">
        <f>SUM(AA6:AD6)</f>
        <v>23327.804</v>
      </c>
      <c r="AF6" s="821">
        <v>5837.1180000000004</v>
      </c>
      <c r="AG6" s="821">
        <v>6809.3360000000002</v>
      </c>
      <c r="AH6" s="821">
        <v>7333.4970000000003</v>
      </c>
      <c r="AI6" s="821">
        <v>7103.5309999999999</v>
      </c>
      <c r="AJ6" s="245">
        <f>SUM(AF6:AI6)</f>
        <v>27083.482</v>
      </c>
      <c r="AK6" s="821">
        <v>6533.0460000000003</v>
      </c>
      <c r="AL6" s="821">
        <v>7014.5020000000004</v>
      </c>
      <c r="AM6" s="821">
        <v>7565.8320000000003</v>
      </c>
      <c r="AN6" s="821">
        <v>7241.7879999999996</v>
      </c>
      <c r="AO6" s="245">
        <f>SUM(AK6:AN6)</f>
        <v>28355.168000000001</v>
      </c>
      <c r="AP6" s="821">
        <v>6898.8469999999998</v>
      </c>
      <c r="AQ6" s="821">
        <v>8225.1409999999996</v>
      </c>
      <c r="AR6" s="821">
        <v>8463.51</v>
      </c>
      <c r="AS6" s="821">
        <v>7831.6120000000001</v>
      </c>
      <c r="AT6" s="245">
        <f>SUM(AP6:AS6)</f>
        <v>31419.11</v>
      </c>
      <c r="AU6" s="821">
        <v>8046.4840000000004</v>
      </c>
      <c r="AV6" s="821">
        <v>9471.0139999999992</v>
      </c>
      <c r="AW6" s="821">
        <v>9611.3250000000007</v>
      </c>
      <c r="AX6" s="821">
        <v>9350.4989999999998</v>
      </c>
      <c r="AY6" s="245">
        <f>SUM(AU6:AX6)</f>
        <v>36479.322</v>
      </c>
      <c r="AZ6" s="821">
        <v>9453.2009999999991</v>
      </c>
      <c r="BA6" s="821">
        <v>10954.767</v>
      </c>
      <c r="BB6" s="821">
        <v>10968.075999999999</v>
      </c>
      <c r="BC6" s="821">
        <v>10839.117</v>
      </c>
      <c r="BD6" s="245">
        <f>SUM(AZ6:BC6)</f>
        <v>42215.161</v>
      </c>
      <c r="BE6" s="821">
        <v>10662.391</v>
      </c>
      <c r="BF6" s="821">
        <v>11788.386</v>
      </c>
      <c r="BG6" s="821">
        <v>11260.082</v>
      </c>
      <c r="BH6" s="821">
        <v>10783.057000000001</v>
      </c>
      <c r="BI6" s="245">
        <f>SUM(BE6:BH6)</f>
        <v>44493.916000000005</v>
      </c>
      <c r="BJ6" s="821">
        <v>10392.59</v>
      </c>
      <c r="BK6" s="821">
        <v>11998.867</v>
      </c>
      <c r="BL6" s="821">
        <v>11917.932000000001</v>
      </c>
      <c r="BM6" s="821">
        <v>11082.513999999999</v>
      </c>
      <c r="BN6" s="245">
        <f>SUM(BJ6:BM6)</f>
        <v>45391.903000000006</v>
      </c>
      <c r="BO6" s="821">
        <v>10895.687</v>
      </c>
      <c r="BP6" s="821">
        <v>12550.665000000001</v>
      </c>
      <c r="BQ6" s="821">
        <v>12832.34</v>
      </c>
      <c r="BR6" s="821">
        <v>11664.359</v>
      </c>
      <c r="BS6" s="245">
        <f>SUM(BO6:BR6)</f>
        <v>47943.050999999992</v>
      </c>
      <c r="BT6" s="821">
        <v>11792.423000000001</v>
      </c>
      <c r="BU6" s="821">
        <v>14325.736999999999</v>
      </c>
      <c r="BV6" s="821">
        <v>14164.101000000001</v>
      </c>
      <c r="BW6" s="821">
        <v>13136.093000000001</v>
      </c>
      <c r="BX6" s="245">
        <f>SUM(BT6:BW6)</f>
        <v>53418.353999999999</v>
      </c>
      <c r="BY6" s="821">
        <v>13238.009</v>
      </c>
      <c r="BZ6" s="821">
        <v>15480.308999999999</v>
      </c>
      <c r="CA6" s="821">
        <v>16365.42</v>
      </c>
      <c r="CB6" s="821">
        <v>15139.361000000001</v>
      </c>
      <c r="CC6" s="245">
        <f>SUM(BY6:CB6)</f>
        <v>60223.099000000002</v>
      </c>
      <c r="CD6" s="821">
        <v>15280.496999999999</v>
      </c>
      <c r="CE6" s="821">
        <v>17843.848000000002</v>
      </c>
      <c r="CF6" s="821">
        <v>17767.128000000001</v>
      </c>
      <c r="CG6" s="821">
        <v>16799.791000000001</v>
      </c>
      <c r="CH6" s="245">
        <f>SUM(CD6:CG6)</f>
        <v>67691.263999999996</v>
      </c>
      <c r="CI6" s="821">
        <v>16109.071</v>
      </c>
      <c r="CJ6" s="821">
        <v>19018.769</v>
      </c>
      <c r="CK6" s="821">
        <v>19685.689999999999</v>
      </c>
      <c r="CL6" s="821">
        <v>17505.281999999999</v>
      </c>
      <c r="CM6" s="245">
        <f>SUM(CI6:CL6)</f>
        <v>72318.812000000005</v>
      </c>
      <c r="CN6" s="821">
        <v>17592.159</v>
      </c>
      <c r="CO6" s="821">
        <v>19811.541000000001</v>
      </c>
      <c r="CP6" s="821">
        <v>18822.810000000001</v>
      </c>
      <c r="CQ6" s="821">
        <v>17265.177</v>
      </c>
      <c r="CR6" s="98">
        <f>SUM(CN6:CQ6)</f>
        <v>73491.686999999991</v>
      </c>
      <c r="CS6" s="821">
        <v>20977.81</v>
      </c>
      <c r="CT6" s="821">
        <v>24501.906999999999</v>
      </c>
      <c r="CU6" s="821">
        <v>24878.925999999999</v>
      </c>
      <c r="CV6" s="821">
        <v>22686.103999999999</v>
      </c>
      <c r="CW6" s="98">
        <f>SUM(CS6:CV6)</f>
        <v>93044.747000000003</v>
      </c>
      <c r="CX6" s="821">
        <v>21552.513999999996</v>
      </c>
      <c r="CY6" s="821">
        <v>25403.035</v>
      </c>
      <c r="CZ6" s="821">
        <v>25938.073</v>
      </c>
      <c r="DA6" s="821">
        <v>24713.32</v>
      </c>
      <c r="DB6" s="98">
        <f>SUM(CX6:DA6)</f>
        <v>97606.94200000001</v>
      </c>
      <c r="DC6" s="821">
        <v>23726.329999999998</v>
      </c>
      <c r="DD6" s="821">
        <v>27646.262999999999</v>
      </c>
      <c r="DE6" s="821">
        <v>27322.289000000001</v>
      </c>
      <c r="DF6" s="821">
        <v>25180.506000000001</v>
      </c>
      <c r="DG6" s="98">
        <f>SUM(DC6:DF6)</f>
        <v>103875.38800000001</v>
      </c>
      <c r="DH6" s="821">
        <v>23684.868999999999</v>
      </c>
      <c r="DI6" s="821">
        <v>27206.498</v>
      </c>
      <c r="DJ6" s="821">
        <v>27162.606</v>
      </c>
      <c r="DK6" s="821">
        <v>24821.008000000002</v>
      </c>
      <c r="DL6" s="98">
        <f>SUM(DH6:DK6)</f>
        <v>102874.981</v>
      </c>
      <c r="DM6" s="821">
        <v>23756.742999999999</v>
      </c>
      <c r="DN6" s="821">
        <v>27929.506000000001</v>
      </c>
      <c r="DO6" s="821">
        <v>27009.603999999999</v>
      </c>
      <c r="DP6" s="821">
        <v>25652.363000000001</v>
      </c>
      <c r="DQ6" s="98">
        <f>SUM(DM6:DP6)</f>
        <v>104348.216</v>
      </c>
      <c r="DR6" s="821">
        <v>24155.316999999999</v>
      </c>
      <c r="DS6" s="821">
        <v>28589.996999999999</v>
      </c>
      <c r="DT6" s="821">
        <v>28522.164000000001</v>
      </c>
      <c r="DU6" s="821">
        <v>26767.654999999999</v>
      </c>
      <c r="DV6" s="98">
        <f>SUM(DR6:DU6)</f>
        <v>108035.133</v>
      </c>
      <c r="DW6" s="821">
        <v>25860.866000000002</v>
      </c>
      <c r="DX6" s="821">
        <v>30858.381000000001</v>
      </c>
      <c r="DY6" s="821">
        <v>31052.66</v>
      </c>
      <c r="DZ6" s="821">
        <v>29787.972000000002</v>
      </c>
      <c r="EA6" s="98">
        <f>SUM(DW6:DZ6)</f>
        <v>117559.87900000002</v>
      </c>
      <c r="EB6" s="821">
        <v>28408.164000000001</v>
      </c>
      <c r="EC6" s="821">
        <v>32707.694</v>
      </c>
      <c r="ED6" s="821">
        <v>32315.952000000001</v>
      </c>
      <c r="EE6" s="821">
        <v>31366.175999999999</v>
      </c>
      <c r="EF6" s="98">
        <f>SUM(EB6:EE6)</f>
        <v>124797.986</v>
      </c>
      <c r="EG6" s="821">
        <v>29340.657999999999</v>
      </c>
      <c r="EH6" s="821">
        <v>34382.696000000004</v>
      </c>
      <c r="EI6" s="821">
        <v>33128.226999999999</v>
      </c>
      <c r="EJ6" s="821">
        <v>32189.839</v>
      </c>
      <c r="EK6" s="98">
        <f>SUM(EG6:EJ6)</f>
        <v>129041.42000000001</v>
      </c>
      <c r="EL6" s="867">
        <v>29340.657999999999</v>
      </c>
      <c r="EM6" s="867">
        <v>34382.696000000004</v>
      </c>
      <c r="EN6" s="867">
        <v>33128.226999999999</v>
      </c>
      <c r="EO6" s="867">
        <v>32189.839</v>
      </c>
      <c r="EP6" s="866">
        <f>SUM(EL6:EO6)</f>
        <v>129041.42000000001</v>
      </c>
      <c r="EQ6" s="14">
        <f t="shared" ref="EQ6" si="15">EQ8*EQ11</f>
        <v>29927.471159999997</v>
      </c>
      <c r="ER6" s="14">
        <f t="shared" ref="ER6:ET6" si="16">ER8*ER11</f>
        <v>35758.003840000005</v>
      </c>
      <c r="ES6" s="14">
        <f t="shared" si="16"/>
        <v>34453.356080000005</v>
      </c>
      <c r="ET6" s="14">
        <f t="shared" si="16"/>
        <v>35408.822899999999</v>
      </c>
      <c r="EU6" s="98">
        <f>SUM(EQ6:ET6)</f>
        <v>135547.65398</v>
      </c>
      <c r="EV6" s="14"/>
      <c r="EW6" s="14"/>
      <c r="EX6" s="14"/>
      <c r="EY6" s="14"/>
      <c r="EZ6" s="98">
        <f>EZ8*EZ11</f>
        <v>142325.03667900001</v>
      </c>
      <c r="FA6" s="14"/>
      <c r="FB6" s="14"/>
      <c r="FC6" s="14"/>
      <c r="FD6" s="14"/>
      <c r="FE6" s="98">
        <f>FE8*FE11</f>
        <v>149441.28851295001</v>
      </c>
      <c r="FF6" s="14"/>
      <c r="FG6" s="436"/>
      <c r="FL6" s="409"/>
      <c r="FM6" s="409"/>
      <c r="FN6" s="763" t="s">
        <v>545</v>
      </c>
      <c r="FO6" s="764"/>
      <c r="FP6" s="765">
        <f>+FP5/FO5-1</f>
        <v>6.7279282235770399E-2</v>
      </c>
      <c r="FQ6" s="765">
        <f>+FQ5/FP5-1</f>
        <v>5.1762142090249874E-2</v>
      </c>
      <c r="FR6" s="765">
        <f>+FR5/FQ5-1</f>
        <v>2.6716431963813569E-2</v>
      </c>
      <c r="FS6" s="765">
        <f>+FS5/FR5-1</f>
        <v>3.9905379095816151E-2</v>
      </c>
      <c r="FT6" s="436"/>
    </row>
    <row r="7" spans="1:183" ht="12.75" customHeight="1" x14ac:dyDescent="0.2">
      <c r="A7" s="58" t="s">
        <v>244</v>
      </c>
      <c r="B7" s="43"/>
      <c r="C7" s="43"/>
      <c r="D7" s="43"/>
      <c r="E7" s="43"/>
      <c r="F7" s="244"/>
      <c r="G7" s="43">
        <f>G6/B6-1</f>
        <v>0.12468874261045926</v>
      </c>
      <c r="H7" s="43">
        <f>H6/C6-1</f>
        <v>5.5775642052849461E-2</v>
      </c>
      <c r="I7" s="43">
        <f>I6/D6-1</f>
        <v>0.14010963593468118</v>
      </c>
      <c r="J7" s="43">
        <f>J6/E6-1</f>
        <v>0.22093037823499229</v>
      </c>
      <c r="K7" s="244">
        <f t="shared" ref="K7:U7" si="17">K6/F6-1</f>
        <v>0.13427563576043244</v>
      </c>
      <c r="L7" s="43">
        <f>L6/G6-1</f>
        <v>0.18655785571766059</v>
      </c>
      <c r="M7" s="43">
        <f t="shared" si="17"/>
        <v>0.26849953929538284</v>
      </c>
      <c r="N7" s="43">
        <f t="shared" si="17"/>
        <v>0.2137573284407801</v>
      </c>
      <c r="O7" s="43">
        <f t="shared" si="17"/>
        <v>0.21356462075464222</v>
      </c>
      <c r="P7" s="244">
        <f t="shared" si="17"/>
        <v>0.22050120823998665</v>
      </c>
      <c r="Q7" s="43">
        <f>Q6/L6-1</f>
        <v>0.17512809935998663</v>
      </c>
      <c r="R7" s="43">
        <f t="shared" si="17"/>
        <v>0.23826050007675237</v>
      </c>
      <c r="S7" s="43">
        <f t="shared" si="17"/>
        <v>0.22624241406334455</v>
      </c>
      <c r="T7" s="43">
        <f t="shared" si="17"/>
        <v>0.80079029994194051</v>
      </c>
      <c r="U7" s="244">
        <f t="shared" si="17"/>
        <v>0.36558215508009173</v>
      </c>
      <c r="V7" s="43"/>
      <c r="W7" s="43"/>
      <c r="X7" s="43"/>
      <c r="Y7" s="43"/>
      <c r="Z7" s="244"/>
      <c r="AA7" s="43">
        <f t="shared" ref="AA7:BR7" si="18">AA6/V6-1</f>
        <v>3.262323711448567E-2</v>
      </c>
      <c r="AB7" s="43">
        <f t="shared" si="18"/>
        <v>9.8541290145870875E-2</v>
      </c>
      <c r="AC7" s="43">
        <f t="shared" si="18"/>
        <v>9.3208909539147955E-2</v>
      </c>
      <c r="AD7" s="43">
        <f t="shared" si="18"/>
        <v>8.923368137722143E-2</v>
      </c>
      <c r="AE7" s="244">
        <f t="shared" si="18"/>
        <v>7.9427874358314998E-2</v>
      </c>
      <c r="AF7" s="43">
        <f t="shared" si="18"/>
        <v>0.1211675887893191</v>
      </c>
      <c r="AG7" s="43">
        <f t="shared" si="18"/>
        <v>0.13639619468748898</v>
      </c>
      <c r="AH7" s="43">
        <f t="shared" si="18"/>
        <v>0.17298303936368575</v>
      </c>
      <c r="AI7" s="43">
        <f t="shared" si="18"/>
        <v>0.20860373742507177</v>
      </c>
      <c r="AJ7" s="244">
        <f t="shared" si="18"/>
        <v>0.16099577997140235</v>
      </c>
      <c r="AK7" s="43">
        <f t="shared" si="18"/>
        <v>0.11922458994318763</v>
      </c>
      <c r="AL7" s="43">
        <f t="shared" si="18"/>
        <v>3.0130103728175595E-2</v>
      </c>
      <c r="AM7" s="43">
        <f t="shared" si="18"/>
        <v>3.1681338384675239E-2</v>
      </c>
      <c r="AN7" s="43">
        <f t="shared" si="18"/>
        <v>1.946313741715211E-2</v>
      </c>
      <c r="AO7" s="244">
        <f t="shared" si="18"/>
        <v>4.695430225699937E-2</v>
      </c>
      <c r="AP7" s="43">
        <f t="shared" si="18"/>
        <v>5.599241150299572E-2</v>
      </c>
      <c r="AQ7" s="43">
        <f t="shared" si="18"/>
        <v>0.17259086960129166</v>
      </c>
      <c r="AR7" s="43">
        <f t="shared" si="18"/>
        <v>0.11864894700278827</v>
      </c>
      <c r="AS7" s="43">
        <f t="shared" si="18"/>
        <v>8.1447288984433097E-2</v>
      </c>
      <c r="AT7" s="244">
        <f t="shared" si="18"/>
        <v>0.10805585775404314</v>
      </c>
      <c r="AU7" s="43">
        <f t="shared" si="18"/>
        <v>0.16635200055893407</v>
      </c>
      <c r="AV7" s="43">
        <f t="shared" si="18"/>
        <v>0.15147132432137034</v>
      </c>
      <c r="AW7" s="43">
        <f t="shared" si="18"/>
        <v>0.13561926434777072</v>
      </c>
      <c r="AX7" s="43">
        <f t="shared" si="18"/>
        <v>0.19394308604665289</v>
      </c>
      <c r="AY7" s="244">
        <f t="shared" si="18"/>
        <v>0.16105523039958802</v>
      </c>
      <c r="AZ7" s="43">
        <f t="shared" si="18"/>
        <v>0.17482381124476221</v>
      </c>
      <c r="BA7" s="43">
        <f t="shared" si="18"/>
        <v>0.15666252842620665</v>
      </c>
      <c r="BB7" s="43">
        <f t="shared" si="18"/>
        <v>0.14116170247078297</v>
      </c>
      <c r="BC7" s="43">
        <f t="shared" si="18"/>
        <v>0.15920198483524794</v>
      </c>
      <c r="BD7" s="244">
        <f t="shared" si="18"/>
        <v>0.15723535102982455</v>
      </c>
      <c r="BE7" s="43">
        <f t="shared" si="18"/>
        <v>0.12791328566905547</v>
      </c>
      <c r="BF7" s="43">
        <f t="shared" si="18"/>
        <v>7.6096461020120243E-2</v>
      </c>
      <c r="BG7" s="43">
        <f t="shared" si="18"/>
        <v>2.6623265557240927E-2</v>
      </c>
      <c r="BH7" s="43">
        <f t="shared" si="18"/>
        <v>-5.1720080150440273E-3</v>
      </c>
      <c r="BI7" s="244">
        <f>BI6/BD6-1</f>
        <v>5.3979540667865811E-2</v>
      </c>
      <c r="BJ7" s="43">
        <f t="shared" si="18"/>
        <v>-2.5303986694916736E-2</v>
      </c>
      <c r="BK7" s="43">
        <f t="shared" si="18"/>
        <v>1.7854946385366111E-2</v>
      </c>
      <c r="BL7" s="43">
        <f t="shared" si="18"/>
        <v>5.8423197983815678E-2</v>
      </c>
      <c r="BM7" s="43">
        <f t="shared" si="18"/>
        <v>2.7771067147284612E-2</v>
      </c>
      <c r="BN7" s="244">
        <f>BN6/BI6-1</f>
        <v>2.0182242444113152E-2</v>
      </c>
      <c r="BO7" s="43">
        <f t="shared" si="18"/>
        <v>4.8409203095667097E-2</v>
      </c>
      <c r="BP7" s="43">
        <f t="shared" si="18"/>
        <v>4.5987508653942077E-2</v>
      </c>
      <c r="BQ7" s="43">
        <f t="shared" si="18"/>
        <v>7.6725391619955507E-2</v>
      </c>
      <c r="BR7" s="43">
        <f t="shared" si="18"/>
        <v>5.2501174372529658E-2</v>
      </c>
      <c r="BS7" s="244">
        <f t="shared" ref="BS7:CT7" si="19">BS6/BN6-1</f>
        <v>5.6202710866737338E-2</v>
      </c>
      <c r="BT7" s="43">
        <f t="shared" si="19"/>
        <v>8.2301923687785994E-2</v>
      </c>
      <c r="BU7" s="43">
        <f t="shared" si="19"/>
        <v>0.14143250576762245</v>
      </c>
      <c r="BV7" s="43">
        <f t="shared" si="19"/>
        <v>0.10378161738233249</v>
      </c>
      <c r="BW7" s="43">
        <f t="shared" si="19"/>
        <v>0.12617358570668147</v>
      </c>
      <c r="BX7" s="244">
        <f t="shared" si="19"/>
        <v>0.11420430877459187</v>
      </c>
      <c r="BY7" s="43">
        <f t="shared" si="19"/>
        <v>0.12258600289355281</v>
      </c>
      <c r="BZ7" s="43">
        <f t="shared" si="19"/>
        <v>8.0594247960855459E-2</v>
      </c>
      <c r="CA7" s="43">
        <f t="shared" si="19"/>
        <v>0.15541537016715701</v>
      </c>
      <c r="CB7" s="43">
        <f t="shared" si="19"/>
        <v>0.15250105187288177</v>
      </c>
      <c r="CC7" s="244">
        <f>CC6/BX6-1</f>
        <v>0.12738589811284728</v>
      </c>
      <c r="CD7" s="43">
        <f t="shared" si="19"/>
        <v>0.15428966697333402</v>
      </c>
      <c r="CE7" s="43">
        <f t="shared" si="19"/>
        <v>0.15268035024365489</v>
      </c>
      <c r="CF7" s="43">
        <f t="shared" si="19"/>
        <v>8.565059741821468E-2</v>
      </c>
      <c r="CG7" s="43">
        <f t="shared" si="19"/>
        <v>0.10967635952402488</v>
      </c>
      <c r="CH7" s="244">
        <f>CH6/CC6-1</f>
        <v>0.12400831448411509</v>
      </c>
      <c r="CI7" s="43">
        <f t="shared" si="19"/>
        <v>5.4224283411724139E-2</v>
      </c>
      <c r="CJ7" s="43">
        <f t="shared" si="19"/>
        <v>6.5844598093415696E-2</v>
      </c>
      <c r="CK7" s="43">
        <f t="shared" si="19"/>
        <v>0.10798380019550691</v>
      </c>
      <c r="CL7" s="43">
        <f t="shared" si="19"/>
        <v>4.1994034330546048E-2</v>
      </c>
      <c r="CM7" s="244">
        <f>CM6/CH6-1</f>
        <v>6.8362558571812393E-2</v>
      </c>
      <c r="CN7" s="43">
        <f t="shared" si="19"/>
        <v>9.2065395949896711E-2</v>
      </c>
      <c r="CO7" s="43">
        <f t="shared" si="19"/>
        <v>4.1683665225651589E-2</v>
      </c>
      <c r="CP7" s="43">
        <f t="shared" si="19"/>
        <v>-4.3832855236468626E-2</v>
      </c>
      <c r="CQ7" s="43">
        <f t="shared" si="19"/>
        <v>-1.3716145789596457E-2</v>
      </c>
      <c r="CR7" s="110">
        <f t="shared" ref="CR7:CX7" si="20">CR6/CM6-1</f>
        <v>1.6218117631688678E-2</v>
      </c>
      <c r="CS7" s="43">
        <f t="shared" si="19"/>
        <v>0.19245227376582963</v>
      </c>
      <c r="CT7" s="43">
        <f t="shared" si="19"/>
        <v>0.23674917564464049</v>
      </c>
      <c r="CU7" s="43">
        <f t="shared" si="20"/>
        <v>0.32174345913282854</v>
      </c>
      <c r="CV7" s="43">
        <f t="shared" si="20"/>
        <v>0.31398038954364615</v>
      </c>
      <c r="CW7" s="110">
        <f t="shared" si="20"/>
        <v>0.26605811892711095</v>
      </c>
      <c r="CX7" s="43">
        <f t="shared" si="20"/>
        <v>2.7395805377205429E-2</v>
      </c>
      <c r="CY7" s="43">
        <f t="shared" ref="CY7:DT7" si="21">CY6/CT6-1</f>
        <v>3.6777872024410296E-2</v>
      </c>
      <c r="CZ7" s="43">
        <f t="shared" si="21"/>
        <v>4.2572054758312383E-2</v>
      </c>
      <c r="DA7" s="43">
        <f t="shared" si="21"/>
        <v>8.9359371710541424E-2</v>
      </c>
      <c r="DB7" s="110">
        <f t="shared" si="21"/>
        <v>4.9032268312793725E-2</v>
      </c>
      <c r="DC7" s="43">
        <f>DC6/CX6-1</f>
        <v>0.10086136587128558</v>
      </c>
      <c r="DD7" s="43">
        <f t="shared" si="21"/>
        <v>8.8305511526477032E-2</v>
      </c>
      <c r="DE7" s="43">
        <f t="shared" si="21"/>
        <v>5.336618491281131E-2</v>
      </c>
      <c r="DF7" s="43">
        <f t="shared" si="21"/>
        <v>1.8904218453854149E-2</v>
      </c>
      <c r="DG7" s="110">
        <f t="shared" si="21"/>
        <v>6.4221313275033109E-2</v>
      </c>
      <c r="DH7" s="43">
        <f t="shared" si="21"/>
        <v>-1.7474678974792601E-3</v>
      </c>
      <c r="DI7" s="43">
        <f t="shared" si="21"/>
        <v>-1.5906851497433872E-2</v>
      </c>
      <c r="DJ7" s="43">
        <f t="shared" si="21"/>
        <v>-5.844422478658351E-3</v>
      </c>
      <c r="DK7" s="43">
        <f t="shared" si="21"/>
        <v>-1.4276837804609643E-2</v>
      </c>
      <c r="DL7" s="110">
        <f t="shared" si="21"/>
        <v>-9.6308376725390277E-3</v>
      </c>
      <c r="DM7" s="43">
        <f t="shared" si="21"/>
        <v>3.0345956314978828E-3</v>
      </c>
      <c r="DN7" s="43">
        <f t="shared" si="21"/>
        <v>2.6574827822382741E-2</v>
      </c>
      <c r="DO7" s="43">
        <f t="shared" si="21"/>
        <v>-5.632817410818447E-3</v>
      </c>
      <c r="DP7" s="43">
        <f t="shared" si="21"/>
        <v>3.3494006367509321E-2</v>
      </c>
      <c r="DQ7" s="110">
        <f>DQ6/DL6-1</f>
        <v>1.4320634479631167E-2</v>
      </c>
      <c r="DR7" s="43">
        <f t="shared" si="21"/>
        <v>1.6777299817571922E-2</v>
      </c>
      <c r="DS7" s="43">
        <f t="shared" si="21"/>
        <v>2.3648502769794799E-2</v>
      </c>
      <c r="DT7" s="43">
        <f t="shared" si="21"/>
        <v>5.6000821041285898E-2</v>
      </c>
      <c r="DU7" s="43">
        <f>DU6/DP6-1</f>
        <v>4.347716426747894E-2</v>
      </c>
      <c r="DV7" s="110">
        <f>DV6/DQ6-1</f>
        <v>3.533282255635295E-2</v>
      </c>
      <c r="DW7" s="43">
        <f>DW6/DR6-1</f>
        <v>7.060760163073021E-2</v>
      </c>
      <c r="DX7" s="43">
        <f>DX6/DS6-1</f>
        <v>7.9341876111424625E-2</v>
      </c>
      <c r="DY7" s="43">
        <f>DY6/DT6-1</f>
        <v>8.8720336928151733E-2</v>
      </c>
      <c r="DZ7" s="43">
        <f t="shared" ref="DZ7:EA7" si="22">DZ6/DU6-1</f>
        <v>0.11283457590887225</v>
      </c>
      <c r="EA7" s="110">
        <f t="shared" si="22"/>
        <v>8.8163412544695285E-2</v>
      </c>
      <c r="EB7" s="43">
        <f>EB6/DW6-1</f>
        <v>9.8500104366187946E-2</v>
      </c>
      <c r="EC7" s="43">
        <f>EC6/DX6-1</f>
        <v>5.9929035162278765E-2</v>
      </c>
      <c r="ED7" s="43">
        <f>ED6/DY6-1</f>
        <v>4.0682247511163228E-2</v>
      </c>
      <c r="EE7" s="43">
        <f t="shared" ref="EE7" si="23">EE6/DZ6-1</f>
        <v>5.2981250284510839E-2</v>
      </c>
      <c r="EF7" s="110">
        <f t="shared" ref="EF7" si="24">EF6/EA6-1</f>
        <v>6.1569534279632743E-2</v>
      </c>
      <c r="EG7" s="43">
        <f>EG6/EB6-1</f>
        <v>3.2824859783264992E-2</v>
      </c>
      <c r="EH7" s="43">
        <f>EH6/EC6-1</f>
        <v>5.1211253229897613E-2</v>
      </c>
      <c r="EI7" s="43">
        <f>EI6/ED6-1</f>
        <v>2.5135419188640817E-2</v>
      </c>
      <c r="EJ7" s="43">
        <f t="shared" ref="EJ7" si="25">EJ6/EE6-1</f>
        <v>2.6259592498620199E-2</v>
      </c>
      <c r="EK7" s="110">
        <f t="shared" ref="EK7" si="26">EK6/EF6-1</f>
        <v>3.4002423725011166E-2</v>
      </c>
      <c r="EL7" s="800"/>
      <c r="EM7" s="800"/>
      <c r="EN7" s="800"/>
      <c r="EO7" s="800"/>
      <c r="EP7" s="484"/>
      <c r="EQ7" s="43">
        <f>EQ6/EL6-1</f>
        <v>2.0000000000000018E-2</v>
      </c>
      <c r="ER7" s="43">
        <f>ER6/EM6-1</f>
        <v>4.0000000000000036E-2</v>
      </c>
      <c r="ES7" s="43">
        <f>ES6/EN6-1</f>
        <v>4.0000000000000258E-2</v>
      </c>
      <c r="ET7" s="43">
        <f t="shared" ref="ET7" si="27">ET6/EO6-1</f>
        <v>9.9999999999999867E-2</v>
      </c>
      <c r="EU7" s="110">
        <f t="shared" ref="EU7" si="28">EU6/EP6-1</f>
        <v>5.0419733291837465E-2</v>
      </c>
      <c r="EV7" s="43"/>
      <c r="EW7" s="43"/>
      <c r="EX7" s="43"/>
      <c r="EY7" s="43"/>
      <c r="EZ7" s="110">
        <f>EZ6/EU6-1</f>
        <v>5.0000000000000044E-2</v>
      </c>
      <c r="FA7" s="43"/>
      <c r="FB7" s="43"/>
      <c r="FC7" s="43"/>
      <c r="FD7" s="43"/>
      <c r="FE7" s="110">
        <f>FE6/EZ6-1</f>
        <v>5.0000000000000044E-2</v>
      </c>
      <c r="FF7" s="43"/>
      <c r="FG7" s="435"/>
      <c r="FL7" s="408"/>
      <c r="FM7" s="408"/>
      <c r="FN7" s="766" t="s">
        <v>546</v>
      </c>
      <c r="FO7" s="762">
        <v>3963.805902268</v>
      </c>
      <c r="FP7" s="762">
        <v>4914.0887885680568</v>
      </c>
      <c r="FQ7" s="762">
        <v>5916.4396541476754</v>
      </c>
      <c r="FR7" s="762">
        <f>+FQ7*(1+FR8)</f>
        <v>7395.549567684594</v>
      </c>
      <c r="FS7" s="762">
        <f>+FR7*(1+FS8)</f>
        <v>9244.4369596057422</v>
      </c>
      <c r="FT7" s="190"/>
    </row>
    <row r="8" spans="1:183" ht="12.75" customHeight="1" x14ac:dyDescent="0.2">
      <c r="A8" s="15" t="s">
        <v>240</v>
      </c>
      <c r="B8" s="821">
        <v>3851.8890000000001</v>
      </c>
      <c r="C8" s="821">
        <v>4109.7</v>
      </c>
      <c r="D8" s="821">
        <v>4259.7179999999998</v>
      </c>
      <c r="E8" s="821">
        <f>F8-SUM(B8:D8)</f>
        <v>4189.8080000000009</v>
      </c>
      <c r="F8" s="245">
        <v>16411.115000000002</v>
      </c>
      <c r="G8" s="821">
        <v>4306.4560000000001</v>
      </c>
      <c r="H8" s="821">
        <v>4555.82</v>
      </c>
      <c r="I8" s="821">
        <v>4853.4350000000004</v>
      </c>
      <c r="J8" s="821">
        <f>K8-SUM(G8:I8)</f>
        <v>4775.2920000000013</v>
      </c>
      <c r="K8" s="245">
        <v>18491.003000000001</v>
      </c>
      <c r="L8" s="821">
        <v>4944.1409999999996</v>
      </c>
      <c r="M8" s="821">
        <v>5146.933</v>
      </c>
      <c r="N8" s="821">
        <v>5674.5209999999997</v>
      </c>
      <c r="O8" s="821">
        <f>P8-SUM(L8:N8)</f>
        <v>5601.0469999999987</v>
      </c>
      <c r="P8" s="245">
        <v>21366.642</v>
      </c>
      <c r="Q8" s="821">
        <v>5670.8909999999996</v>
      </c>
      <c r="R8" s="821">
        <v>6089.8019999999997</v>
      </c>
      <c r="S8" s="821">
        <v>6513.982</v>
      </c>
      <c r="T8" s="821">
        <f>U8-SUM(Q8:S8)</f>
        <v>9236.3250000000007</v>
      </c>
      <c r="U8" s="245">
        <v>27511</v>
      </c>
      <c r="V8" s="821">
        <v>7540.7430000000004</v>
      </c>
      <c r="W8" s="821">
        <v>7793.5540000000001</v>
      </c>
      <c r="X8" s="821">
        <v>8298.6029999999992</v>
      </c>
      <c r="Y8" s="821">
        <v>8491.0740000000005</v>
      </c>
      <c r="Z8" s="245">
        <f>SUM(V8:Y8)</f>
        <v>32123.974000000002</v>
      </c>
      <c r="AA8" s="821">
        <v>8523.3379999999997</v>
      </c>
      <c r="AB8" s="821">
        <v>8923.8590000000004</v>
      </c>
      <c r="AC8" s="821">
        <v>9216.5220000000008</v>
      </c>
      <c r="AD8" s="821">
        <v>9516.2819999999992</v>
      </c>
      <c r="AE8" s="245">
        <f>SUM(AA8:AD8)</f>
        <v>36180.001000000004</v>
      </c>
      <c r="AF8" s="821">
        <v>9641.4030000000002</v>
      </c>
      <c r="AG8" s="821">
        <v>10165.469999999999</v>
      </c>
      <c r="AH8" s="821">
        <v>10479.825000000001</v>
      </c>
      <c r="AI8" s="821">
        <v>10440.797</v>
      </c>
      <c r="AJ8" s="245">
        <f>SUM(AF8:AI8)</f>
        <v>40727.495000000003</v>
      </c>
      <c r="AK8" s="821">
        <v>10517.635</v>
      </c>
      <c r="AL8" s="821">
        <v>10981.206</v>
      </c>
      <c r="AM8" s="821">
        <v>11492.134</v>
      </c>
      <c r="AN8" s="821">
        <v>11496.522000000001</v>
      </c>
      <c r="AO8" s="245">
        <f>SUM(AK8:AN8)</f>
        <v>44487.497000000003</v>
      </c>
      <c r="AP8" s="821">
        <v>11270.174000000001</v>
      </c>
      <c r="AQ8" s="821">
        <v>11712.905000000001</v>
      </c>
      <c r="AR8" s="821">
        <v>12279.921</v>
      </c>
      <c r="AS8" s="821">
        <v>12280.514999999999</v>
      </c>
      <c r="AT8" s="245">
        <f>SUM(AP8:AS8)</f>
        <v>47543.514999999999</v>
      </c>
      <c r="AU8" s="821">
        <v>12392.977999999999</v>
      </c>
      <c r="AV8" s="821">
        <v>12947.815000000001</v>
      </c>
      <c r="AW8" s="821">
        <v>13620.008</v>
      </c>
      <c r="AX8" s="821">
        <v>13894.665999999999</v>
      </c>
      <c r="AY8" s="245">
        <f>SUM(AU8:AX8)</f>
        <v>52855.466999999997</v>
      </c>
      <c r="AZ8" s="821">
        <v>14153.959000000001</v>
      </c>
      <c r="BA8" s="821">
        <v>14744.769</v>
      </c>
      <c r="BB8" s="821">
        <v>15310.348</v>
      </c>
      <c r="BC8" s="821">
        <v>15700.89</v>
      </c>
      <c r="BD8" s="245">
        <f>SUM(AZ8:BC8)</f>
        <v>59909.966</v>
      </c>
      <c r="BE8" s="821">
        <v>15852.999</v>
      </c>
      <c r="BF8" s="821">
        <v>16433.810000000001</v>
      </c>
      <c r="BG8" s="821">
        <v>16290.821</v>
      </c>
      <c r="BH8" s="821">
        <v>16707.66</v>
      </c>
      <c r="BI8" s="245">
        <f>SUM(BE8:BH8)</f>
        <v>65285.290000000008</v>
      </c>
      <c r="BJ8" s="821">
        <v>16519.956999999999</v>
      </c>
      <c r="BK8" s="821">
        <v>17172.875</v>
      </c>
      <c r="BL8" s="821">
        <v>17611.103999999999</v>
      </c>
      <c r="BM8" s="821">
        <v>17582.61</v>
      </c>
      <c r="BN8" s="245">
        <f>SUM(BJ8:BM8)</f>
        <v>68886.546000000002</v>
      </c>
      <c r="BO8" s="821">
        <v>17399.132000000001</v>
      </c>
      <c r="BP8" s="821">
        <v>17893.764999999999</v>
      </c>
      <c r="BQ8" s="821">
        <v>18204.357</v>
      </c>
      <c r="BR8" s="821">
        <v>18293.170999999998</v>
      </c>
      <c r="BS8" s="245">
        <f>SUM(BO8:BR8)</f>
        <v>71790.425000000003</v>
      </c>
      <c r="BT8" s="821">
        <v>18381.592000000001</v>
      </c>
      <c r="BU8" s="821">
        <v>18773.522000000001</v>
      </c>
      <c r="BV8" s="821">
        <v>19486.102999999999</v>
      </c>
      <c r="BW8" s="821">
        <v>20220.077000000001</v>
      </c>
      <c r="BX8" s="245">
        <f>SUM(BT8:BW8)</f>
        <v>76861.294000000009</v>
      </c>
      <c r="BY8" s="821">
        <v>20231.598999999998</v>
      </c>
      <c r="BZ8" s="821">
        <v>21338.928</v>
      </c>
      <c r="CA8" s="821">
        <v>21853.579000000002</v>
      </c>
      <c r="CB8" s="821">
        <v>21748.688999999998</v>
      </c>
      <c r="CC8" s="245">
        <f>SUM(BY8:CB8)</f>
        <v>85172.794999999998</v>
      </c>
      <c r="CD8" s="821">
        <v>22079.457999999999</v>
      </c>
      <c r="CE8" s="821">
        <v>22883.984</v>
      </c>
      <c r="CF8" s="821">
        <v>23784.615000000002</v>
      </c>
      <c r="CG8" s="821">
        <v>23915.113000000001</v>
      </c>
      <c r="CH8" s="245">
        <f>SUM(CD8:CG8)</f>
        <v>92663.17</v>
      </c>
      <c r="CI8" s="821">
        <v>23678.376</v>
      </c>
      <c r="CJ8" s="821">
        <v>24982.675999999999</v>
      </c>
      <c r="CK8" s="821">
        <v>25715.956999999999</v>
      </c>
      <c r="CL8" s="821">
        <v>25258.957999999999</v>
      </c>
      <c r="CM8" s="245">
        <f>SUM(CI8:CL8)</f>
        <v>99635.96699999999</v>
      </c>
      <c r="CN8" s="821">
        <v>25193.437000000002</v>
      </c>
      <c r="CO8" s="821">
        <v>26335.084999999999</v>
      </c>
      <c r="CP8" s="821">
        <v>26287.035</v>
      </c>
      <c r="CQ8" s="821">
        <v>25455.786</v>
      </c>
      <c r="CR8" s="98">
        <f>SUM(CN8:CQ8)</f>
        <v>103271.34299999999</v>
      </c>
      <c r="CS8" s="821">
        <v>29530.057000000001</v>
      </c>
      <c r="CT8" s="821">
        <v>31521.828999999998</v>
      </c>
      <c r="CU8" s="821">
        <v>30941.993999999999</v>
      </c>
      <c r="CV8" s="821">
        <v>29301.788</v>
      </c>
      <c r="CW8" s="98">
        <f>SUM(CS8:CV8)</f>
        <v>121295.66800000001</v>
      </c>
      <c r="CX8" s="821">
        <v>28303.919999999998</v>
      </c>
      <c r="CY8" s="821">
        <v>31722.856</v>
      </c>
      <c r="CZ8" s="821">
        <v>31819.149000000001</v>
      </c>
      <c r="DA8" s="821">
        <v>30626.416000000001</v>
      </c>
      <c r="DB8" s="98">
        <f>SUM(CX8:DA8)</f>
        <v>122472.341</v>
      </c>
      <c r="DC8" s="821">
        <v>30277.449999999997</v>
      </c>
      <c r="DD8" s="821">
        <v>33639.004999999997</v>
      </c>
      <c r="DE8" s="821">
        <v>33318.089</v>
      </c>
      <c r="DF8" s="821">
        <v>31297.561000000002</v>
      </c>
      <c r="DG8" s="98">
        <f>SUM(DC8:DF8)</f>
        <v>128532.105</v>
      </c>
      <c r="DH8" s="821">
        <v>30632.893</v>
      </c>
      <c r="DI8" s="821">
        <v>33230.589</v>
      </c>
      <c r="DJ8" s="821">
        <v>33080.807000000001</v>
      </c>
      <c r="DK8" s="821">
        <v>31193.395</v>
      </c>
      <c r="DL8" s="98">
        <f>SUM(DH8:DK8)</f>
        <v>128137.68400000001</v>
      </c>
      <c r="DM8" s="821">
        <v>30801.423999999999</v>
      </c>
      <c r="DN8" s="821">
        <v>34231.243000000002</v>
      </c>
      <c r="DO8" s="821">
        <v>33425.087</v>
      </c>
      <c r="DP8" s="821">
        <v>31886.317999999999</v>
      </c>
      <c r="DQ8" s="98">
        <f>SUM(DM8:DP8)</f>
        <v>130344.072</v>
      </c>
      <c r="DR8" s="821">
        <v>30474.581999999999</v>
      </c>
      <c r="DS8" s="821">
        <v>34096.212</v>
      </c>
      <c r="DT8" s="821">
        <v>33785.824000000001</v>
      </c>
      <c r="DU8" s="821">
        <v>32647.338</v>
      </c>
      <c r="DV8" s="98">
        <f>SUM(DR8:DU8)</f>
        <v>131003.95599999999</v>
      </c>
      <c r="DW8" s="821">
        <v>32297.465</v>
      </c>
      <c r="DX8" s="821">
        <v>36476.03</v>
      </c>
      <c r="DY8" s="821">
        <v>36360.339999999997</v>
      </c>
      <c r="DZ8" s="821">
        <v>35367.574000000001</v>
      </c>
      <c r="EA8" s="98">
        <f>SUM(DW8:DZ8)</f>
        <v>140501.40899999999</v>
      </c>
      <c r="EB8" s="821">
        <v>35268.148999999998</v>
      </c>
      <c r="EC8" s="821">
        <v>38225.281999999999</v>
      </c>
      <c r="ED8" s="821">
        <v>37881.51</v>
      </c>
      <c r="EE8" s="821">
        <v>37147.108999999997</v>
      </c>
      <c r="EF8" s="98">
        <f>SUM(EB8:EE8)</f>
        <v>148522.04999999999</v>
      </c>
      <c r="EG8" s="821">
        <v>36699.870000000003</v>
      </c>
      <c r="EH8" s="821">
        <v>40171.224999999999</v>
      </c>
      <c r="EI8" s="821">
        <v>39053.163999999997</v>
      </c>
      <c r="EJ8" s="821">
        <v>37886.813999999998</v>
      </c>
      <c r="EK8" s="98">
        <f>SUM(EG8:EJ8)</f>
        <v>153811.07299999997</v>
      </c>
      <c r="EL8" s="867">
        <v>36699.870000000003</v>
      </c>
      <c r="EM8" s="867">
        <v>40171.224999999999</v>
      </c>
      <c r="EN8" s="867">
        <v>39053.163999999997</v>
      </c>
      <c r="EO8" s="867">
        <v>37886.813999999998</v>
      </c>
      <c r="EP8" s="866">
        <f>SUM(EL8:EO8)</f>
        <v>153811.07299999997</v>
      </c>
      <c r="EQ8" s="14">
        <f>EL8*(1+EQ9)</f>
        <v>37433.867400000003</v>
      </c>
      <c r="ER8" s="14">
        <f>EM8*(1+ER9)</f>
        <v>41778.074000000001</v>
      </c>
      <c r="ES8" s="14">
        <f>EN8*(1+ES9)</f>
        <v>40615.290560000001</v>
      </c>
      <c r="ET8" s="14">
        <f>EO8*(1+ET9)</f>
        <v>41675.4954</v>
      </c>
      <c r="EU8" s="98">
        <f>SUM(EQ8:ET8)</f>
        <v>161502.72736000002</v>
      </c>
      <c r="EV8" s="14"/>
      <c r="EW8" s="14"/>
      <c r="EX8" s="14"/>
      <c r="EY8" s="14"/>
      <c r="EZ8" s="98">
        <f>EU8*(1+EZ9)</f>
        <v>169577.86372800003</v>
      </c>
      <c r="FA8" s="14"/>
      <c r="FB8" s="14"/>
      <c r="FC8" s="14"/>
      <c r="FD8" s="14"/>
      <c r="FE8" s="98">
        <f>EZ8*(1+FE9)</f>
        <v>178056.75691440003</v>
      </c>
      <c r="FF8" s="14"/>
      <c r="FG8" s="436"/>
      <c r="FL8" s="409"/>
      <c r="FM8" s="409"/>
      <c r="FN8" s="763" t="s">
        <v>545</v>
      </c>
      <c r="FO8" s="764"/>
      <c r="FP8" s="765">
        <f>+FP7/FO7-1</f>
        <v>0.23974001495792874</v>
      </c>
      <c r="FQ8" s="765">
        <f>+FQ7/FP7-1</f>
        <v>0.20397491960492209</v>
      </c>
      <c r="FR8" s="768">
        <v>0.25</v>
      </c>
      <c r="FS8" s="768">
        <v>0.25</v>
      </c>
      <c r="FT8" s="436"/>
    </row>
    <row r="9" spans="1:183" s="131" customFormat="1" ht="12.75" customHeight="1" x14ac:dyDescent="0.2">
      <c r="A9" s="59" t="s">
        <v>244</v>
      </c>
      <c r="B9" s="489"/>
      <c r="C9" s="489"/>
      <c r="D9" s="489"/>
      <c r="E9" s="489"/>
      <c r="F9" s="246"/>
      <c r="G9" s="489">
        <f>G8/B8-1</f>
        <v>0.11801144840881972</v>
      </c>
      <c r="H9" s="489">
        <f>H8/C8-1</f>
        <v>0.10855293573740177</v>
      </c>
      <c r="I9" s="489">
        <f>I8/D8-1</f>
        <v>0.13937941431803713</v>
      </c>
      <c r="J9" s="489">
        <f>J8/E8-1</f>
        <v>0.13974005491421093</v>
      </c>
      <c r="K9" s="246">
        <f t="shared" ref="K9:U9" si="29">K8/F8-1</f>
        <v>0.12673654410440727</v>
      </c>
      <c r="L9" s="489">
        <f t="shared" si="29"/>
        <v>0.14807651581718217</v>
      </c>
      <c r="M9" s="489">
        <f t="shared" si="29"/>
        <v>0.12974898042503891</v>
      </c>
      <c r="N9" s="489">
        <f t="shared" si="29"/>
        <v>0.1691762638213965</v>
      </c>
      <c r="O9" s="489">
        <f t="shared" si="29"/>
        <v>0.17292240977096207</v>
      </c>
      <c r="P9" s="246">
        <f t="shared" si="29"/>
        <v>0.15551557695382989</v>
      </c>
      <c r="Q9" s="489">
        <f t="shared" si="29"/>
        <v>0.14699216709232199</v>
      </c>
      <c r="R9" s="489">
        <f t="shared" si="29"/>
        <v>0.18319045536438883</v>
      </c>
      <c r="S9" s="489">
        <f t="shared" si="29"/>
        <v>0.14793512967878697</v>
      </c>
      <c r="T9" s="489">
        <f t="shared" si="29"/>
        <v>0.64903543926698037</v>
      </c>
      <c r="U9" s="246">
        <f t="shared" si="29"/>
        <v>0.28756778907981895</v>
      </c>
      <c r="V9" s="489">
        <f t="shared" ref="V9:AS9" si="30">V8/Q8-1</f>
        <v>0.32972807976735941</v>
      </c>
      <c r="W9" s="489">
        <f t="shared" si="30"/>
        <v>0.27977132918278791</v>
      </c>
      <c r="X9" s="489">
        <f t="shared" si="30"/>
        <v>0.27396775121576922</v>
      </c>
      <c r="Y9" s="489">
        <f t="shared" si="30"/>
        <v>-8.068696153502608E-2</v>
      </c>
      <c r="Z9" s="246">
        <f t="shared" si="30"/>
        <v>0.16767743811566294</v>
      </c>
      <c r="AA9" s="489">
        <f t="shared" si="30"/>
        <v>0.13030479887724589</v>
      </c>
      <c r="AB9" s="489">
        <f t="shared" si="30"/>
        <v>0.1450307523371237</v>
      </c>
      <c r="AC9" s="489">
        <f t="shared" si="30"/>
        <v>0.11061126794473752</v>
      </c>
      <c r="AD9" s="489">
        <f t="shared" si="30"/>
        <v>0.12073949655838567</v>
      </c>
      <c r="AE9" s="246">
        <f t="shared" si="30"/>
        <v>0.12626168231863222</v>
      </c>
      <c r="AF9" s="489">
        <f t="shared" si="30"/>
        <v>0.13117689337205696</v>
      </c>
      <c r="AG9" s="489">
        <f t="shared" si="30"/>
        <v>0.13913386574126729</v>
      </c>
      <c r="AH9" s="489">
        <f t="shared" si="30"/>
        <v>0.1370693847418798</v>
      </c>
      <c r="AI9" s="489">
        <f t="shared" si="30"/>
        <v>9.7150862069871557E-2</v>
      </c>
      <c r="AJ9" s="246">
        <f t="shared" si="30"/>
        <v>0.12569082018543876</v>
      </c>
      <c r="AK9" s="489">
        <f t="shared" si="30"/>
        <v>9.08822087407819E-2</v>
      </c>
      <c r="AL9" s="489">
        <f t="shared" si="30"/>
        <v>8.0245773191008452E-2</v>
      </c>
      <c r="AM9" s="489">
        <f t="shared" si="30"/>
        <v>9.6595983234452731E-2</v>
      </c>
      <c r="AN9" s="489">
        <f t="shared" si="30"/>
        <v>0.10111536504349239</v>
      </c>
      <c r="AO9" s="246">
        <f t="shared" si="30"/>
        <v>9.2320973828613928E-2</v>
      </c>
      <c r="AP9" s="489">
        <f t="shared" si="30"/>
        <v>7.1550210669984349E-2</v>
      </c>
      <c r="AQ9" s="489">
        <f t="shared" si="30"/>
        <v>6.6631934598076148E-2</v>
      </c>
      <c r="AR9" s="489">
        <f t="shared" si="30"/>
        <v>6.855010566357822E-2</v>
      </c>
      <c r="AS9" s="489">
        <f t="shared" si="30"/>
        <v>6.8193928563786477E-2</v>
      </c>
      <c r="AT9" s="246">
        <f t="shared" ref="AT9:BR9" si="31">AT8/AO8-1</f>
        <v>6.8693862457579913E-2</v>
      </c>
      <c r="AU9" s="489">
        <f t="shared" si="31"/>
        <v>9.9626145967222746E-2</v>
      </c>
      <c r="AV9" s="489">
        <f t="shared" si="31"/>
        <v>0.10543157312383222</v>
      </c>
      <c r="AW9" s="489">
        <f t="shared" si="31"/>
        <v>0.10912830791012418</v>
      </c>
      <c r="AX9" s="489">
        <f t="shared" si="31"/>
        <v>0.13144000882699136</v>
      </c>
      <c r="AY9" s="246">
        <f t="shared" si="31"/>
        <v>0.11172821361651519</v>
      </c>
      <c r="AZ9" s="489">
        <f t="shared" si="31"/>
        <v>0.14209506383372927</v>
      </c>
      <c r="BA9" s="489">
        <f t="shared" si="31"/>
        <v>0.13878434314979016</v>
      </c>
      <c r="BB9" s="489">
        <f t="shared" si="31"/>
        <v>0.12410712240403976</v>
      </c>
      <c r="BC9" s="489">
        <f t="shared" si="31"/>
        <v>0.1299940567121225</v>
      </c>
      <c r="BD9" s="246">
        <f t="shared" si="31"/>
        <v>0.13346772624296377</v>
      </c>
      <c r="BE9" s="489">
        <f t="shared" si="31"/>
        <v>0.12003991250787149</v>
      </c>
      <c r="BF9" s="489">
        <f t="shared" si="31"/>
        <v>0.11455187938176592</v>
      </c>
      <c r="BG9" s="489">
        <f t="shared" si="31"/>
        <v>6.4039889883626522E-2</v>
      </c>
      <c r="BH9" s="489">
        <f t="shared" si="31"/>
        <v>6.4121842774517823E-2</v>
      </c>
      <c r="BI9" s="246">
        <f>BI8/BD8-1</f>
        <v>8.9723369230421568E-2</v>
      </c>
      <c r="BJ9" s="489">
        <f t="shared" si="31"/>
        <v>4.2071408696865431E-2</v>
      </c>
      <c r="BK9" s="489">
        <f t="shared" si="31"/>
        <v>4.4972224943576666E-2</v>
      </c>
      <c r="BL9" s="489">
        <f t="shared" si="31"/>
        <v>8.1044595603867897E-2</v>
      </c>
      <c r="BM9" s="489">
        <f t="shared" si="31"/>
        <v>5.2368195187117772E-2</v>
      </c>
      <c r="BN9" s="246">
        <f>BN8/BI8-1</f>
        <v>5.5161828951054481E-2</v>
      </c>
      <c r="BO9" s="489">
        <f t="shared" si="31"/>
        <v>5.321896418979799E-2</v>
      </c>
      <c r="BP9" s="489">
        <f t="shared" si="31"/>
        <v>4.1978410720394876E-2</v>
      </c>
      <c r="BQ9" s="489">
        <f t="shared" si="31"/>
        <v>3.3686303822860975E-2</v>
      </c>
      <c r="BR9" s="489">
        <f t="shared" si="31"/>
        <v>4.0412714608354383E-2</v>
      </c>
      <c r="BS9" s="246">
        <f t="shared" ref="BS9:DA9" si="32">BS8/BN8-1</f>
        <v>4.215451591955266E-2</v>
      </c>
      <c r="BT9" s="489">
        <f t="shared" si="32"/>
        <v>5.6466035202215714E-2</v>
      </c>
      <c r="BU9" s="489">
        <f t="shared" si="32"/>
        <v>4.9165561300263061E-2</v>
      </c>
      <c r="BV9" s="489">
        <f t="shared" si="32"/>
        <v>7.040874885061843E-2</v>
      </c>
      <c r="BW9" s="489">
        <f t="shared" si="32"/>
        <v>0.10533471752929024</v>
      </c>
      <c r="BX9" s="246">
        <f t="shared" si="32"/>
        <v>7.0634335985613861E-2</v>
      </c>
      <c r="BY9" s="489">
        <f t="shared" si="32"/>
        <v>0.10064454700115189</v>
      </c>
      <c r="BZ9" s="489">
        <f t="shared" si="32"/>
        <v>0.13665022471542621</v>
      </c>
      <c r="CA9" s="489">
        <f t="shared" si="32"/>
        <v>0.12149561151349775</v>
      </c>
      <c r="CB9" s="489">
        <f t="shared" si="32"/>
        <v>7.5598722992004319E-2</v>
      </c>
      <c r="CC9" s="246">
        <f>CC8/BX8-1</f>
        <v>0.1081363657499701</v>
      </c>
      <c r="CD9" s="489">
        <f t="shared" si="32"/>
        <v>9.1335291886716519E-2</v>
      </c>
      <c r="CE9" s="489">
        <f t="shared" si="32"/>
        <v>7.2405511654568544E-2</v>
      </c>
      <c r="CF9" s="489">
        <f t="shared" si="32"/>
        <v>8.8362459988819309E-2</v>
      </c>
      <c r="CG9" s="489">
        <f t="shared" si="32"/>
        <v>9.9611705330836298E-2</v>
      </c>
      <c r="CH9" s="246">
        <f>CH8/CC8-1</f>
        <v>8.7943280480580643E-2</v>
      </c>
      <c r="CI9" s="489">
        <f t="shared" si="32"/>
        <v>7.2416542108959536E-2</v>
      </c>
      <c r="CJ9" s="489">
        <f t="shared" si="32"/>
        <v>9.171007985322821E-2</v>
      </c>
      <c r="CK9" s="489">
        <f t="shared" si="32"/>
        <v>8.1201314379063749E-2</v>
      </c>
      <c r="CL9" s="489">
        <f t="shared" si="32"/>
        <v>5.619229146021576E-2</v>
      </c>
      <c r="CM9" s="246">
        <f>CM8/CH8-1</f>
        <v>7.5248850217405572E-2</v>
      </c>
      <c r="CN9" s="489">
        <f t="shared" si="32"/>
        <v>6.3985004714850469E-2</v>
      </c>
      <c r="CO9" s="489">
        <f t="shared" si="32"/>
        <v>5.4133872608362665E-2</v>
      </c>
      <c r="CP9" s="489">
        <f t="shared" si="32"/>
        <v>2.2207145547801455E-2</v>
      </c>
      <c r="CQ9" s="489">
        <f t="shared" si="32"/>
        <v>7.7924037879948393E-3</v>
      </c>
      <c r="CR9" s="303">
        <f>CR8/CM8-1</f>
        <v>3.6486583203432899E-2</v>
      </c>
      <c r="CS9" s="489">
        <f t="shared" si="32"/>
        <v>0.17213292493596644</v>
      </c>
      <c r="CT9" s="489">
        <f t="shared" si="32"/>
        <v>0.19695186098696849</v>
      </c>
      <c r="CU9" s="489">
        <f t="shared" si="32"/>
        <v>0.17708193411695161</v>
      </c>
      <c r="CV9" s="489">
        <f t="shared" si="32"/>
        <v>0.15108557245099408</v>
      </c>
      <c r="CW9" s="303">
        <f>CW8/CR8-1</f>
        <v>0.1745336554788488</v>
      </c>
      <c r="CX9" s="489">
        <f t="shared" si="32"/>
        <v>-4.152166045598904E-2</v>
      </c>
      <c r="CY9" s="489">
        <f t="shared" si="32"/>
        <v>6.3773900937029726E-3</v>
      </c>
      <c r="CZ9" s="489">
        <f t="shared" si="32"/>
        <v>2.8348366947521297E-2</v>
      </c>
      <c r="DA9" s="489">
        <f t="shared" si="32"/>
        <v>4.5206388087989824E-2</v>
      </c>
      <c r="DB9" s="303">
        <f t="shared" ref="DB9:DT9" si="33">DB8/CW8-1</f>
        <v>9.7008658215229637E-3</v>
      </c>
      <c r="DC9" s="489">
        <f t="shared" si="33"/>
        <v>6.9726384189893187E-2</v>
      </c>
      <c r="DD9" s="489">
        <f t="shared" si="33"/>
        <v>6.0402789710989335E-2</v>
      </c>
      <c r="DE9" s="489">
        <f t="shared" si="33"/>
        <v>4.7108110905165868E-2</v>
      </c>
      <c r="DF9" s="489">
        <f t="shared" si="33"/>
        <v>2.1913925547148549E-2</v>
      </c>
      <c r="DG9" s="303">
        <f t="shared" si="33"/>
        <v>4.9478632893936503E-2</v>
      </c>
      <c r="DH9" s="489">
        <f t="shared" si="33"/>
        <v>1.1739528923340625E-2</v>
      </c>
      <c r="DI9" s="489">
        <f t="shared" si="33"/>
        <v>-1.2141143889362938E-2</v>
      </c>
      <c r="DJ9" s="489">
        <f t="shared" si="33"/>
        <v>-7.1217169748241105E-3</v>
      </c>
      <c r="DK9" s="489">
        <f t="shared" si="33"/>
        <v>-3.3282465684786322E-3</v>
      </c>
      <c r="DL9" s="303">
        <f t="shared" si="33"/>
        <v>-3.0686574377661868E-3</v>
      </c>
      <c r="DM9" s="489">
        <f t="shared" si="33"/>
        <v>5.5016351214363102E-3</v>
      </c>
      <c r="DN9" s="489">
        <f t="shared" si="33"/>
        <v>3.0112436466293246E-2</v>
      </c>
      <c r="DO9" s="489">
        <f t="shared" si="33"/>
        <v>1.0407243088114582E-2</v>
      </c>
      <c r="DP9" s="489">
        <f t="shared" si="33"/>
        <v>2.2213773140115078E-2</v>
      </c>
      <c r="DQ9" s="303">
        <f>DQ8/DL8-1</f>
        <v>1.7218884649109034E-2</v>
      </c>
      <c r="DR9" s="489">
        <f t="shared" si="33"/>
        <v>-1.0611262648116515E-2</v>
      </c>
      <c r="DS9" s="489">
        <f t="shared" si="33"/>
        <v>-3.9446712466737477E-3</v>
      </c>
      <c r="DT9" s="489">
        <f t="shared" si="33"/>
        <v>1.0792402724336903E-2</v>
      </c>
      <c r="DU9" s="489">
        <f t="shared" ref="DU9:ED9" si="34">DU8/DP8-1</f>
        <v>2.3866662811303563E-2</v>
      </c>
      <c r="DV9" s="303">
        <f t="shared" si="34"/>
        <v>5.0626314635926484E-3</v>
      </c>
      <c r="DW9" s="489">
        <f t="shared" si="34"/>
        <v>5.9816505440501322E-2</v>
      </c>
      <c r="DX9" s="489">
        <f t="shared" si="34"/>
        <v>6.9797137582321422E-2</v>
      </c>
      <c r="DY9" s="489">
        <f t="shared" si="34"/>
        <v>7.620107178679425E-2</v>
      </c>
      <c r="DZ9" s="489">
        <f t="shared" si="34"/>
        <v>8.3321831629886711E-2</v>
      </c>
      <c r="EA9" s="303">
        <f t="shared" si="34"/>
        <v>7.249745190900958E-2</v>
      </c>
      <c r="EB9" s="489">
        <f t="shared" si="34"/>
        <v>9.1978859641151267E-2</v>
      </c>
      <c r="EC9" s="489">
        <f t="shared" si="34"/>
        <v>4.7956205760330883E-2</v>
      </c>
      <c r="ED9" s="489">
        <f t="shared" si="34"/>
        <v>4.1835967430447818E-2</v>
      </c>
      <c r="EE9" s="489">
        <f t="shared" ref="EE9" si="35">EE8/DZ8-1</f>
        <v>5.0315438655758493E-2</v>
      </c>
      <c r="EF9" s="303">
        <f t="shared" ref="EF9:EJ9" si="36">EF8/EA8-1</f>
        <v>5.7085840327764981E-2</v>
      </c>
      <c r="EG9" s="489">
        <f t="shared" si="36"/>
        <v>4.0595297473649872E-2</v>
      </c>
      <c r="EH9" s="489">
        <f t="shared" si="36"/>
        <v>5.0907224176920396E-2</v>
      </c>
      <c r="EI9" s="489">
        <f t="shared" si="36"/>
        <v>3.0929442886516334E-2</v>
      </c>
      <c r="EJ9" s="489">
        <f t="shared" si="36"/>
        <v>1.9912855129587737E-2</v>
      </c>
      <c r="EK9" s="303">
        <f>EK8/EF8-1</f>
        <v>3.5611028800100586E-2</v>
      </c>
      <c r="EL9" s="868"/>
      <c r="EM9" s="868"/>
      <c r="EN9" s="868"/>
      <c r="EO9" s="868"/>
      <c r="EP9" s="869"/>
      <c r="EQ9" s="130">
        <v>0.02</v>
      </c>
      <c r="ER9" s="130">
        <v>0.04</v>
      </c>
      <c r="ES9" s="130">
        <v>0.04</v>
      </c>
      <c r="ET9" s="130">
        <v>0.1</v>
      </c>
      <c r="EU9" s="303">
        <f>EU8/EP8-1</f>
        <v>5.0007156246806961E-2</v>
      </c>
      <c r="EV9" s="130"/>
      <c r="EW9" s="130"/>
      <c r="EX9" s="130"/>
      <c r="EY9" s="130"/>
      <c r="EZ9" s="719">
        <v>0.05</v>
      </c>
      <c r="FA9" s="130"/>
      <c r="FB9" s="130"/>
      <c r="FC9" s="130"/>
      <c r="FD9" s="130"/>
      <c r="FE9" s="719">
        <v>0.05</v>
      </c>
      <c r="FF9" s="133"/>
      <c r="FG9" s="437"/>
      <c r="FH9" s="239"/>
      <c r="FI9" s="231"/>
      <c r="FJ9" s="231"/>
      <c r="FK9" s="231"/>
      <c r="FL9" s="409"/>
      <c r="FM9" s="408"/>
      <c r="FN9" s="767" t="s">
        <v>151</v>
      </c>
      <c r="FO9" s="762">
        <f>+DV8</f>
        <v>131003.95599999999</v>
      </c>
      <c r="FP9" s="762">
        <f>+EA8</f>
        <v>140501.40899999999</v>
      </c>
      <c r="FQ9" s="762">
        <f>+EF8</f>
        <v>148522.04999999999</v>
      </c>
      <c r="FR9" s="762">
        <f>+EK8</f>
        <v>153811.07299999997</v>
      </c>
      <c r="FS9" s="762">
        <f>+EU8</f>
        <v>161502.72736000002</v>
      </c>
      <c r="FT9" s="190"/>
      <c r="FU9"/>
      <c r="FV9"/>
      <c r="FW9"/>
      <c r="FX9"/>
      <c r="FY9"/>
      <c r="FZ9"/>
      <c r="GA9" s="240"/>
    </row>
    <row r="10" spans="1:183" ht="12.75" customHeight="1" x14ac:dyDescent="0.2">
      <c r="A10" s="215" t="s">
        <v>80</v>
      </c>
      <c r="B10" s="128"/>
      <c r="C10" s="128">
        <f>C8/B8-1</f>
        <v>6.6931056424523128E-2</v>
      </c>
      <c r="D10" s="128">
        <f>D8/C8-1</f>
        <v>3.6503394408351042E-2</v>
      </c>
      <c r="E10" s="128">
        <f>E8/D8-1</f>
        <v>-1.641188454259157E-2</v>
      </c>
      <c r="F10" s="244"/>
      <c r="G10" s="128">
        <f>G8/E8-1</f>
        <v>2.7840893902536523E-2</v>
      </c>
      <c r="H10" s="128">
        <f>H8/G8-1</f>
        <v>5.7904690074622733E-2</v>
      </c>
      <c r="I10" s="128">
        <f>I8/H8-1</f>
        <v>6.5326329837438912E-2</v>
      </c>
      <c r="J10" s="128">
        <f>J8/I8-1</f>
        <v>-1.6100555585888965E-2</v>
      </c>
      <c r="K10" s="244"/>
      <c r="L10" s="128">
        <f>L8/J8-1</f>
        <v>3.5358884859815642E-2</v>
      </c>
      <c r="M10" s="128">
        <f>M8/L8-1</f>
        <v>4.1016629582368402E-2</v>
      </c>
      <c r="N10" s="128">
        <f>N8/M8-1</f>
        <v>0.10250531724426959</v>
      </c>
      <c r="O10" s="128">
        <f>O8/N8-1</f>
        <v>-1.2948053236564117E-2</v>
      </c>
      <c r="P10" s="244"/>
      <c r="Q10" s="128">
        <f>Q8/O8-1</f>
        <v>1.246981144775261E-2</v>
      </c>
      <c r="R10" s="128">
        <f>R8/Q8-1</f>
        <v>7.3870402375922906E-2</v>
      </c>
      <c r="S10" s="128">
        <f>S8/R8-1</f>
        <v>6.9654152959324422E-2</v>
      </c>
      <c r="T10" s="128">
        <f>T8/S8-1</f>
        <v>0.41792301544585175</v>
      </c>
      <c r="U10" s="244"/>
      <c r="V10" s="128">
        <f>V8/T8-1</f>
        <v>-0.18357755925652253</v>
      </c>
      <c r="W10" s="128">
        <f>W8/V8-1</f>
        <v>3.3526006654781781E-2</v>
      </c>
      <c r="X10" s="128">
        <f>X8/W8-1</f>
        <v>6.4803426010777487E-2</v>
      </c>
      <c r="Y10" s="128">
        <f>Y8/X8-1</f>
        <v>2.3193180828146698E-2</v>
      </c>
      <c r="Z10" s="244"/>
      <c r="AA10" s="128">
        <f>AA8/Y8-1</f>
        <v>3.7997548955526206E-3</v>
      </c>
      <c r="AB10" s="128">
        <f>AB8/AA8-1</f>
        <v>4.6991096680666811E-2</v>
      </c>
      <c r="AC10" s="128">
        <f>AC8/AB8-1</f>
        <v>3.2795565236967583E-2</v>
      </c>
      <c r="AD10" s="128">
        <f>AD8/AC8-1</f>
        <v>3.2524199475680637E-2</v>
      </c>
      <c r="AE10" s="244"/>
      <c r="AF10" s="128">
        <f>AF8/AD8-1</f>
        <v>1.3148097124486391E-2</v>
      </c>
      <c r="AG10" s="128">
        <f>AG8/AF8-1</f>
        <v>5.4355885756460776E-2</v>
      </c>
      <c r="AH10" s="128">
        <f>AH8/AG8-1</f>
        <v>3.0923803818220019E-2</v>
      </c>
      <c r="AI10" s="128">
        <f>AI8/AH8-1</f>
        <v>-3.7241079884444694E-3</v>
      </c>
      <c r="AJ10" s="244"/>
      <c r="AK10" s="128">
        <f>AK8/AI8-1</f>
        <v>7.3593998619070344E-3</v>
      </c>
      <c r="AL10" s="128">
        <f>AL8/AK8-1</f>
        <v>4.4075593039689887E-2</v>
      </c>
      <c r="AM10" s="128">
        <f>AM8/AL8-1</f>
        <v>4.6527494338964193E-2</v>
      </c>
      <c r="AN10" s="128">
        <f>AN8/AM8-1</f>
        <v>3.8182638663974977E-4</v>
      </c>
      <c r="AO10" s="244"/>
      <c r="AP10" s="128">
        <f>AP8/AN8-1</f>
        <v>-1.9688389236327319E-2</v>
      </c>
      <c r="AQ10" s="128">
        <f>AQ8/AP8-1</f>
        <v>3.9283421888606229E-2</v>
      </c>
      <c r="AR10" s="128">
        <f>AR8/AQ8-1</f>
        <v>4.8409510706353354E-2</v>
      </c>
      <c r="AS10" s="128">
        <f>AS8/AR8-1</f>
        <v>4.8371646690581471E-5</v>
      </c>
      <c r="AT10" s="244"/>
      <c r="AU10" s="128">
        <f>AU8/AS8-1</f>
        <v>9.1578406931631662E-3</v>
      </c>
      <c r="AV10" s="128">
        <f>AV8/AU8-1</f>
        <v>4.4770272326796867E-2</v>
      </c>
      <c r="AW10" s="128">
        <f>AW8/AV8-1</f>
        <v>5.1915554863890101E-2</v>
      </c>
      <c r="AX10" s="128">
        <f>AX8/AW8-1</f>
        <v>2.0165773764596828E-2</v>
      </c>
      <c r="AY10" s="244"/>
      <c r="AZ10" s="128">
        <f>AZ8/AX8-1</f>
        <v>1.8661333780891187E-2</v>
      </c>
      <c r="BA10" s="128">
        <f>BA8/AZ8-1</f>
        <v>4.1741678070425392E-2</v>
      </c>
      <c r="BB10" s="128">
        <f>BB8/BA8-1</f>
        <v>3.8357942399775746E-2</v>
      </c>
      <c r="BC10" s="128">
        <f>BC8/BB8-1</f>
        <v>2.5508368588355923E-2</v>
      </c>
      <c r="BD10" s="244"/>
      <c r="BE10" s="128">
        <f>BE8/BC8-1</f>
        <v>9.6879221496362078E-3</v>
      </c>
      <c r="BF10" s="128">
        <f>BF8/BE8-1</f>
        <v>3.6637294937065246E-2</v>
      </c>
      <c r="BG10" s="128">
        <f>BG8/BF8-1</f>
        <v>-8.7009038074555844E-3</v>
      </c>
      <c r="BH10" s="128">
        <f>BH8/BG8-1</f>
        <v>2.5587353761974407E-2</v>
      </c>
      <c r="BI10" s="244"/>
      <c r="BJ10" s="128">
        <f>BJ8/BH8-1</f>
        <v>-1.1234547506951964E-2</v>
      </c>
      <c r="BK10" s="128">
        <f>BK8/BJ8-1</f>
        <v>3.9522984230528024E-2</v>
      </c>
      <c r="BL10" s="128">
        <f>BL8/BK8-1</f>
        <v>2.5518674071755676E-2</v>
      </c>
      <c r="BM10" s="128">
        <f>BM8/BL8-1</f>
        <v>-1.6179564892694343E-3</v>
      </c>
      <c r="BN10" s="244"/>
      <c r="BO10" s="128">
        <f>BO8/BM8-1</f>
        <v>-1.0435197049812217E-2</v>
      </c>
      <c r="BP10" s="128">
        <f>BP8/BO8-1</f>
        <v>2.8428602070494025E-2</v>
      </c>
      <c r="BQ10" s="128">
        <f>BQ8/BP8-1</f>
        <v>1.7357554433066413E-2</v>
      </c>
      <c r="BR10" s="128">
        <f>BR8/BQ8-1</f>
        <v>4.8787221652486501E-3</v>
      </c>
      <c r="BS10" s="244"/>
      <c r="BT10" s="128">
        <f>BT8/BR8-1</f>
        <v>4.8335523677114356E-3</v>
      </c>
      <c r="BU10" s="128">
        <f>BU8/BT8-1</f>
        <v>2.1321874623264403E-2</v>
      </c>
      <c r="BV10" s="128">
        <f>BV8/BU8-1</f>
        <v>3.7956703062962838E-2</v>
      </c>
      <c r="BW10" s="128">
        <f>BW8/BV8-1</f>
        <v>3.7666535992342931E-2</v>
      </c>
      <c r="BX10" s="244"/>
      <c r="BY10" s="128">
        <f>BY8/BW8-1</f>
        <v>5.6982967967922349E-4</v>
      </c>
      <c r="BZ10" s="128">
        <f>BZ8/BY8-1</f>
        <v>5.4732648665090755E-2</v>
      </c>
      <c r="CA10" s="128">
        <f>CA8/BZ8-1</f>
        <v>2.4117940695052908E-2</v>
      </c>
      <c r="CB10" s="128">
        <f>CB8/CA8-1</f>
        <v>-4.7996714863045575E-3</v>
      </c>
      <c r="CC10" s="244"/>
      <c r="CD10" s="128">
        <f>CD8/CB8-1</f>
        <v>1.5208686831652329E-2</v>
      </c>
      <c r="CE10" s="128">
        <f>CE8/CD8-1</f>
        <v>3.6437760383429829E-2</v>
      </c>
      <c r="CF10" s="128">
        <f>CF8/CE8-1</f>
        <v>3.9356390041174638E-2</v>
      </c>
      <c r="CG10" s="128">
        <f>CG8/CF8-1</f>
        <v>5.4866559748811827E-3</v>
      </c>
      <c r="CH10" s="244"/>
      <c r="CI10" s="128">
        <f>CI8/CG8-1</f>
        <v>-9.8990542089431033E-3</v>
      </c>
      <c r="CJ10" s="128">
        <f>CJ8/CI8-1</f>
        <v>5.5084014207731125E-2</v>
      </c>
      <c r="CK10" s="128">
        <f>CK8/CJ8-1</f>
        <v>2.9351579470509925E-2</v>
      </c>
      <c r="CL10" s="128">
        <f>CL8/CK8-1</f>
        <v>-1.7771028315220816E-2</v>
      </c>
      <c r="CM10" s="244"/>
      <c r="CN10" s="128">
        <f>CN8/CL8-1</f>
        <v>-2.5939708201738743E-3</v>
      </c>
      <c r="CO10" s="128">
        <f>CO8/CN8-1</f>
        <v>4.5315293820370695E-2</v>
      </c>
      <c r="CP10" s="128">
        <f>CP8/CO8-1</f>
        <v>-1.8245621762754682E-3</v>
      </c>
      <c r="CQ10" s="128">
        <f>CQ8/CP8-1</f>
        <v>-3.1622014426503364E-2</v>
      </c>
      <c r="CR10" s="110"/>
      <c r="CS10" s="128">
        <f>CS8/CQ8-1</f>
        <v>0.16005284613879134</v>
      </c>
      <c r="CT10" s="128">
        <f>CT8/CS8-1</f>
        <v>6.7448972414783981E-2</v>
      </c>
      <c r="CU10" s="128">
        <f>CU8/CT8-1</f>
        <v>-1.8394713073280111E-2</v>
      </c>
      <c r="CV10" s="128">
        <f>CV8/CU8-1</f>
        <v>-5.3009059467854502E-2</v>
      </c>
      <c r="CW10" s="110"/>
      <c r="CX10" s="128">
        <f>CX8/CV8-1</f>
        <v>-3.4054850168187767E-2</v>
      </c>
      <c r="CY10" s="128">
        <f>CY8/CX8-1</f>
        <v>0.12079372751194883</v>
      </c>
      <c r="CZ10" s="128">
        <f>CZ8/CY8-1</f>
        <v>3.0354454844796486E-3</v>
      </c>
      <c r="DA10" s="128">
        <f>DA8/CZ8-1</f>
        <v>-3.7484754856266012E-2</v>
      </c>
      <c r="DB10" s="327"/>
      <c r="DC10" s="128">
        <f>DC8/DA8-1</f>
        <v>-1.1394281328902633E-2</v>
      </c>
      <c r="DD10" s="128">
        <f>DD8/DC8-1</f>
        <v>0.1110250367848018</v>
      </c>
      <c r="DE10" s="128">
        <f>DE8/DD8-1</f>
        <v>-9.5399967983594847E-3</v>
      </c>
      <c r="DF10" s="128">
        <f>DF8/DE8-1</f>
        <v>-6.064357412575494E-2</v>
      </c>
      <c r="DG10" s="327"/>
      <c r="DH10" s="128">
        <f>DH8/DF8-1</f>
        <v>-2.1237054222851492E-2</v>
      </c>
      <c r="DI10" s="128">
        <f>DI8/DH8-1</f>
        <v>8.4800870750274981E-2</v>
      </c>
      <c r="DJ10" s="128">
        <f>DJ8/DI8-1</f>
        <v>-4.5073531498343034E-3</v>
      </c>
      <c r="DK10" s="128">
        <f>DK8/DJ8-1</f>
        <v>-5.7054593619798921E-2</v>
      </c>
      <c r="DL10" s="327"/>
      <c r="DM10" s="128">
        <f>DM8/DK8-1</f>
        <v>-1.2565833247711655E-2</v>
      </c>
      <c r="DN10" s="128">
        <f>DN8/DM8-1</f>
        <v>0.11135261148965081</v>
      </c>
      <c r="DO10" s="128">
        <f>DO8/DN8-1</f>
        <v>-2.3550298772381795E-2</v>
      </c>
      <c r="DP10" s="128">
        <f>DP8/DO8-1</f>
        <v>-4.6036349882948691E-2</v>
      </c>
      <c r="DQ10" s="327"/>
      <c r="DR10" s="128">
        <f>DR8/DP8-1</f>
        <v>-4.4274036281015561E-2</v>
      </c>
      <c r="DS10" s="128">
        <f>DS8/DR8-1</f>
        <v>0.11884100658050056</v>
      </c>
      <c r="DT10" s="128">
        <f>DT8/DS8-1</f>
        <v>-9.103298630358081E-3</v>
      </c>
      <c r="DU10" s="128">
        <f>DU8/DT8-1</f>
        <v>-3.3697150615595528E-2</v>
      </c>
      <c r="DV10" s="327"/>
      <c r="DW10" s="128">
        <f>DW8/DU8-1</f>
        <v>-1.0716738988030161E-2</v>
      </c>
      <c r="DX10" s="128">
        <f>DX8/DW8-1</f>
        <v>0.12937749139135213</v>
      </c>
      <c r="DY10" s="128">
        <f>DY8/DX8-1</f>
        <v>-3.1716719171467345E-3</v>
      </c>
      <c r="DZ10" s="128">
        <f>DZ8/DY8-1</f>
        <v>-2.7303540065906851E-2</v>
      </c>
      <c r="EA10" s="327"/>
      <c r="EB10" s="128">
        <f>EB8/DZ8-1</f>
        <v>-2.8111908382520978E-3</v>
      </c>
      <c r="EC10" s="128">
        <f>EC8/EB8-1</f>
        <v>8.3847127900021023E-2</v>
      </c>
      <c r="ED10" s="128">
        <f>ED8/EC8-1</f>
        <v>-8.9933149479446417E-3</v>
      </c>
      <c r="EE10" s="128">
        <f>EE8/ED8-1</f>
        <v>-1.9386793187494478E-2</v>
      </c>
      <c r="EF10" s="327"/>
      <c r="EG10" s="128">
        <f>EG8/EE8-1</f>
        <v>-1.2039671781725825E-2</v>
      </c>
      <c r="EH10" s="128">
        <f>EH8/EG8-1</f>
        <v>9.458766475194591E-2</v>
      </c>
      <c r="EI10" s="128">
        <f>EI8/EH8-1</f>
        <v>-2.7832384996972381E-2</v>
      </c>
      <c r="EJ10" s="128">
        <f>EJ8/EI8-1</f>
        <v>-2.9865697949595038E-2</v>
      </c>
      <c r="EK10" s="327"/>
      <c r="EL10" s="870">
        <f>EL8/EE8-1</f>
        <v>-1.2039671781725825E-2</v>
      </c>
      <c r="EM10" s="870">
        <f>EM8/EL8-1</f>
        <v>9.458766475194591E-2</v>
      </c>
      <c r="EN10" s="870">
        <f>EN8/EM8-1</f>
        <v>-2.7832384996972381E-2</v>
      </c>
      <c r="EO10" s="870">
        <f>EO8/EN8-1</f>
        <v>-2.9865697949595038E-2</v>
      </c>
      <c r="EP10" s="871"/>
      <c r="EQ10" s="43">
        <f>EQ8/EO8-1</f>
        <v>-1.1955257045366596E-2</v>
      </c>
      <c r="ER10" s="43">
        <f>ER8/EQ8-1</f>
        <v>0.11605016798237622</v>
      </c>
      <c r="ES10" s="43">
        <f>ES8/ER8-1</f>
        <v>-2.783238499697227E-2</v>
      </c>
      <c r="ET10" s="43">
        <f>ET8/ES8-1</f>
        <v>2.6103588707159009E-2</v>
      </c>
      <c r="EU10" s="327"/>
      <c r="EV10" s="43"/>
      <c r="EW10" s="43"/>
      <c r="EX10" s="43"/>
      <c r="EY10" s="43"/>
      <c r="EZ10" s="327"/>
      <c r="FA10" s="43"/>
      <c r="FB10" s="43"/>
      <c r="FC10" s="43"/>
      <c r="FD10" s="43"/>
      <c r="FE10" s="327"/>
      <c r="FF10" s="133"/>
      <c r="FG10" s="437"/>
      <c r="FH10" s="238">
        <f>AVERAGE(CD10,CI10,CN10,CS10,CX10,DC10,BT10,DH10,DM10,DR10)</f>
        <v>4.4076005060369019E-3</v>
      </c>
      <c r="FI10" s="238">
        <f>AVERAGE(CE10,CJ10,CO10,CT10,CY10,DD10,BU10,DI10,DN10,DS10)</f>
        <v>7.7242116856675702E-2</v>
      </c>
      <c r="FJ10" s="238">
        <f>AVERAGE(CF10,CK10,CP10,CU10,CZ10,DE10,BV10,DJ10,DO10,DT10)</f>
        <v>4.2779895458637807E-3</v>
      </c>
      <c r="FK10" s="238">
        <f>AVERAGE(CG10,CL10,CQ10,CV10,DA10,DF10,BW10,DK10,DP10,DU10)</f>
        <v>-2.9416533334271865E-2</v>
      </c>
      <c r="FL10" s="408"/>
      <c r="FM10" s="408"/>
      <c r="FN10" s="763" t="s">
        <v>545</v>
      </c>
      <c r="FO10" s="764"/>
      <c r="FP10" s="765">
        <f>+FP9/FO9-1</f>
        <v>7.249745190900958E-2</v>
      </c>
      <c r="FQ10" s="765">
        <f>+FQ9/FP9-1</f>
        <v>5.7085840327764981E-2</v>
      </c>
      <c r="FR10" s="765">
        <f>+FR9/FQ9-1</f>
        <v>3.5611028800100586E-2</v>
      </c>
      <c r="FS10" s="765">
        <f>+FS9/FR9-1</f>
        <v>5.0007156246806961E-2</v>
      </c>
      <c r="FT10" s="190"/>
    </row>
    <row r="11" spans="1:183" ht="12.75" customHeight="1" x14ac:dyDescent="0.2">
      <c r="A11" s="22" t="s">
        <v>241</v>
      </c>
      <c r="B11" s="43">
        <f t="shared" ref="B11:AG11" si="37">B6/B8</f>
        <v>0.60366381274226755</v>
      </c>
      <c r="C11" s="43">
        <f t="shared" si="37"/>
        <v>0.62257342385088943</v>
      </c>
      <c r="D11" s="43">
        <f t="shared" si="37"/>
        <v>0.62926888587460483</v>
      </c>
      <c r="E11" s="43">
        <f t="shared" si="37"/>
        <v>0.57152881468554162</v>
      </c>
      <c r="F11" s="244">
        <f t="shared" si="37"/>
        <v>0.60684115613107337</v>
      </c>
      <c r="G11" s="43">
        <f t="shared" si="37"/>
        <v>0.60726917911154787</v>
      </c>
      <c r="H11" s="43">
        <f t="shared" si="37"/>
        <v>0.59293321509629449</v>
      </c>
      <c r="I11" s="43">
        <f t="shared" si="37"/>
        <v>0.62967218063083152</v>
      </c>
      <c r="J11" s="43">
        <f t="shared" si="37"/>
        <v>0.61224214142297462</v>
      </c>
      <c r="K11" s="244">
        <f t="shared" si="37"/>
        <v>0.61090158278596352</v>
      </c>
      <c r="L11" s="43">
        <f t="shared" si="37"/>
        <v>0.62762368629859067</v>
      </c>
      <c r="M11" s="43">
        <f t="shared" si="37"/>
        <v>0.66575453770235593</v>
      </c>
      <c r="N11" s="43">
        <f t="shared" si="37"/>
        <v>0.6536817821275136</v>
      </c>
      <c r="O11" s="43">
        <f t="shared" si="37"/>
        <v>0.63345656624556079</v>
      </c>
      <c r="P11" s="244">
        <f t="shared" si="37"/>
        <v>0.64525838922185341</v>
      </c>
      <c r="Q11" s="43">
        <f t="shared" si="37"/>
        <v>0.64301941264609042</v>
      </c>
      <c r="R11" s="43">
        <f t="shared" si="37"/>
        <v>0.69674120767801639</v>
      </c>
      <c r="S11" s="43">
        <f t="shared" si="37"/>
        <v>0.6982731914211614</v>
      </c>
      <c r="T11" s="43">
        <f t="shared" si="37"/>
        <v>0.69175131884163898</v>
      </c>
      <c r="U11" s="244">
        <f t="shared" si="37"/>
        <v>0.68435491258042236</v>
      </c>
      <c r="V11" s="43">
        <f t="shared" si="37"/>
        <v>0.66860851775481545</v>
      </c>
      <c r="W11" s="43">
        <f t="shared" si="37"/>
        <v>0.69987915654398491</v>
      </c>
      <c r="X11" s="43">
        <f t="shared" si="37"/>
        <v>0.68914599240378172</v>
      </c>
      <c r="Y11" s="43">
        <f t="shared" si="37"/>
        <v>0.63548698315430996</v>
      </c>
      <c r="Z11" s="244">
        <f t="shared" si="37"/>
        <v>0.672745750572454</v>
      </c>
      <c r="AA11" s="43">
        <f t="shared" si="37"/>
        <v>0.61082700228478559</v>
      </c>
      <c r="AB11" s="43">
        <f t="shared" si="37"/>
        <v>0.67146332096910089</v>
      </c>
      <c r="AC11" s="43">
        <f t="shared" si="37"/>
        <v>0.67834764567371508</v>
      </c>
      <c r="AD11" s="43">
        <f t="shared" si="37"/>
        <v>0.61762240757472309</v>
      </c>
      <c r="AE11" s="244">
        <f t="shared" si="37"/>
        <v>0.64477068422413797</v>
      </c>
      <c r="AF11" s="43">
        <f t="shared" si="37"/>
        <v>0.60542205320117837</v>
      </c>
      <c r="AG11" s="43">
        <f t="shared" si="37"/>
        <v>0.66984959869046889</v>
      </c>
      <c r="AH11" s="43">
        <f t="shared" ref="AH11:BM11" si="38">AH6/AH8</f>
        <v>0.69977284926036454</v>
      </c>
      <c r="AI11" s="43">
        <f t="shared" si="38"/>
        <v>0.68036290716120618</v>
      </c>
      <c r="AJ11" s="244">
        <f t="shared" si="38"/>
        <v>0.66499258056504573</v>
      </c>
      <c r="AK11" s="43">
        <f t="shared" si="38"/>
        <v>0.62115161821074794</v>
      </c>
      <c r="AL11" s="43">
        <f t="shared" si="38"/>
        <v>0.6387733733435107</v>
      </c>
      <c r="AM11" s="43">
        <f t="shared" si="38"/>
        <v>0.65834874532441057</v>
      </c>
      <c r="AN11" s="43">
        <f t="shared" si="38"/>
        <v>0.62991120270982814</v>
      </c>
      <c r="AO11" s="244">
        <f t="shared" si="38"/>
        <v>0.63737386708899357</v>
      </c>
      <c r="AP11" s="43">
        <f t="shared" si="38"/>
        <v>0.6121331400917146</v>
      </c>
      <c r="AQ11" s="43">
        <f t="shared" si="38"/>
        <v>0.70222895174168998</v>
      </c>
      <c r="AR11" s="43">
        <f t="shared" si="38"/>
        <v>0.68921534592934275</v>
      </c>
      <c r="AS11" s="43">
        <f t="shared" si="38"/>
        <v>0.63772667514350989</v>
      </c>
      <c r="AT11" s="244">
        <f t="shared" si="38"/>
        <v>0.66084953962701332</v>
      </c>
      <c r="AU11" s="43">
        <f t="shared" si="38"/>
        <v>0.64927767966666294</v>
      </c>
      <c r="AV11" s="43">
        <f t="shared" si="38"/>
        <v>0.7314758513309001</v>
      </c>
      <c r="AW11" s="43">
        <f t="shared" si="38"/>
        <v>0.70567689828082336</v>
      </c>
      <c r="AX11" s="43">
        <f t="shared" si="38"/>
        <v>0.67295601060147836</v>
      </c>
      <c r="AY11" s="244">
        <f t="shared" si="38"/>
        <v>0.6901712172933786</v>
      </c>
      <c r="AZ11" s="43">
        <f t="shared" si="38"/>
        <v>0.66788387616496547</v>
      </c>
      <c r="BA11" s="43">
        <f t="shared" si="38"/>
        <v>0.74295955399504732</v>
      </c>
      <c r="BB11" s="43">
        <f t="shared" si="38"/>
        <v>0.71638319390258143</v>
      </c>
      <c r="BC11" s="43">
        <f t="shared" si="38"/>
        <v>0.69035048331655091</v>
      </c>
      <c r="BD11" s="244">
        <f t="shared" si="38"/>
        <v>0.70464338103613677</v>
      </c>
      <c r="BE11" s="43">
        <f t="shared" si="38"/>
        <v>0.67257879723577851</v>
      </c>
      <c r="BF11" s="43">
        <f t="shared" si="38"/>
        <v>0.71732519726101251</v>
      </c>
      <c r="BG11" s="43">
        <f t="shared" si="38"/>
        <v>0.69119180672355307</v>
      </c>
      <c r="BH11" s="43">
        <f t="shared" si="38"/>
        <v>0.64539600398858976</v>
      </c>
      <c r="BI11" s="244">
        <f t="shared" si="38"/>
        <v>0.68153049484807371</v>
      </c>
      <c r="BJ11" s="43">
        <f t="shared" si="38"/>
        <v>0.62909304182813552</v>
      </c>
      <c r="BK11" s="43">
        <f t="shared" si="38"/>
        <v>0.69871043724478288</v>
      </c>
      <c r="BL11" s="43">
        <f t="shared" si="38"/>
        <v>0.67672827325305673</v>
      </c>
      <c r="BM11" s="43">
        <f t="shared" si="38"/>
        <v>0.63031108578305495</v>
      </c>
      <c r="BN11" s="244">
        <f t="shared" ref="BN11:CJ11" si="39">BN6/BN8</f>
        <v>0.65893713120701403</v>
      </c>
      <c r="BO11" s="43">
        <f t="shared" si="39"/>
        <v>0.62622014707400342</v>
      </c>
      <c r="BP11" s="43">
        <f t="shared" si="39"/>
        <v>0.70139878331921768</v>
      </c>
      <c r="BQ11" s="43">
        <f t="shared" si="39"/>
        <v>0.70490487524497569</v>
      </c>
      <c r="BR11" s="43">
        <f t="shared" si="39"/>
        <v>0.63763461239169528</v>
      </c>
      <c r="BS11" s="244">
        <f t="shared" si="39"/>
        <v>0.66781957343197218</v>
      </c>
      <c r="BT11" s="43">
        <f t="shared" si="39"/>
        <v>0.64153436764345551</v>
      </c>
      <c r="BU11" s="43">
        <f t="shared" si="39"/>
        <v>0.76308201519139551</v>
      </c>
      <c r="BV11" s="43">
        <f t="shared" si="39"/>
        <v>0.72688217854539727</v>
      </c>
      <c r="BW11" s="43">
        <f t="shared" si="39"/>
        <v>0.64965593355554485</v>
      </c>
      <c r="BX11" s="244">
        <f t="shared" si="39"/>
        <v>0.69499680814637332</v>
      </c>
      <c r="BY11" s="43">
        <f t="shared" si="39"/>
        <v>0.65432341754104562</v>
      </c>
      <c r="BZ11" s="43">
        <f t="shared" si="39"/>
        <v>0.72544923531303918</v>
      </c>
      <c r="CA11" s="43">
        <f t="shared" si="39"/>
        <v>0.74886681032887104</v>
      </c>
      <c r="CB11" s="43">
        <f t="shared" si="39"/>
        <v>0.69610453301346131</v>
      </c>
      <c r="CC11" s="244">
        <f t="shared" si="39"/>
        <v>0.70706965762952834</v>
      </c>
      <c r="CD11" s="43">
        <f t="shared" si="39"/>
        <v>0.69206848284047551</v>
      </c>
      <c r="CE11" s="43">
        <f t="shared" si="39"/>
        <v>0.77975268642033668</v>
      </c>
      <c r="CF11" s="43">
        <f t="shared" si="39"/>
        <v>0.74700086589587422</v>
      </c>
      <c r="CG11" s="43">
        <f t="shared" si="39"/>
        <v>0.70247591972490364</v>
      </c>
      <c r="CH11" s="244">
        <f t="shared" si="39"/>
        <v>0.73050883107064002</v>
      </c>
      <c r="CI11" s="43">
        <f t="shared" si="39"/>
        <v>0.68032837218228137</v>
      </c>
      <c r="CJ11" s="43">
        <f t="shared" si="39"/>
        <v>0.76127829540758563</v>
      </c>
      <c r="CK11" s="43">
        <f t="shared" ref="CK11:CP11" si="40">CK6/CK8</f>
        <v>0.76550485754817521</v>
      </c>
      <c r="CL11" s="43">
        <f t="shared" si="40"/>
        <v>0.69303262628648421</v>
      </c>
      <c r="CM11" s="244">
        <f t="shared" si="40"/>
        <v>0.72583038211492457</v>
      </c>
      <c r="CN11" s="43">
        <f t="shared" si="40"/>
        <v>0.69828340611088513</v>
      </c>
      <c r="CO11" s="43">
        <f t="shared" si="40"/>
        <v>0.7522869586333214</v>
      </c>
      <c r="CP11" s="43">
        <f t="shared" si="40"/>
        <v>0.7160491854634804</v>
      </c>
      <c r="CQ11" s="43">
        <f t="shared" ref="CQ11:CW11" si="41">CQ6/CQ8</f>
        <v>0.67824175611784288</v>
      </c>
      <c r="CR11" s="110">
        <f t="shared" si="41"/>
        <v>0.71163678969489141</v>
      </c>
      <c r="CS11" s="43">
        <f t="shared" si="41"/>
        <v>0.71038840189167263</v>
      </c>
      <c r="CT11" s="43">
        <f t="shared" si="41"/>
        <v>0.777299661133242</v>
      </c>
      <c r="CU11" s="43">
        <f t="shared" si="41"/>
        <v>0.80405050818638257</v>
      </c>
      <c r="CV11" s="43">
        <f t="shared" si="41"/>
        <v>0.77422251502195016</v>
      </c>
      <c r="CW11" s="110">
        <f t="shared" si="41"/>
        <v>0.76709043722814574</v>
      </c>
      <c r="CX11" s="43">
        <f t="shared" ref="CX11:DF11" si="42">CX6/CX8</f>
        <v>0.76146745751118561</v>
      </c>
      <c r="CY11" s="43">
        <f t="shared" si="42"/>
        <v>0.80078020087472579</v>
      </c>
      <c r="CZ11" s="43">
        <f t="shared" si="42"/>
        <v>0.8151718011063086</v>
      </c>
      <c r="DA11" s="43">
        <f t="shared" si="42"/>
        <v>0.80692824129339846</v>
      </c>
      <c r="DB11" s="110">
        <f t="shared" si="42"/>
        <v>0.79697130962818785</v>
      </c>
      <c r="DC11" s="43">
        <f t="shared" si="42"/>
        <v>0.78363039159506498</v>
      </c>
      <c r="DD11" s="43">
        <f t="shared" si="42"/>
        <v>0.82185138948075309</v>
      </c>
      <c r="DE11" s="43">
        <f t="shared" si="42"/>
        <v>0.82004370058558884</v>
      </c>
      <c r="DF11" s="43">
        <f t="shared" si="42"/>
        <v>0.80455170292662737</v>
      </c>
      <c r="DG11" s="110">
        <f t="shared" ref="DG11:DL11" si="43">DG6/DG8</f>
        <v>0.80816686227927259</v>
      </c>
      <c r="DH11" s="43">
        <f t="shared" si="43"/>
        <v>0.77318420431266477</v>
      </c>
      <c r="DI11" s="43">
        <f t="shared" si="43"/>
        <v>0.81871850059594187</v>
      </c>
      <c r="DJ11" s="43">
        <f t="shared" si="43"/>
        <v>0.82109865094887191</v>
      </c>
      <c r="DK11" s="43">
        <f t="shared" si="43"/>
        <v>0.79571357974981571</v>
      </c>
      <c r="DL11" s="110">
        <f t="shared" si="43"/>
        <v>0.80284720145246258</v>
      </c>
      <c r="DM11" s="43">
        <f t="shared" ref="DM11:DR11" si="44">DM6/DM8</f>
        <v>0.77128716516483131</v>
      </c>
      <c r="DN11" s="43">
        <f t="shared" si="44"/>
        <v>0.81590686029134263</v>
      </c>
      <c r="DO11" s="43">
        <f t="shared" si="44"/>
        <v>0.808063835406023</v>
      </c>
      <c r="DP11" s="43">
        <f t="shared" si="44"/>
        <v>0.80449436024567034</v>
      </c>
      <c r="DQ11" s="110">
        <f t="shared" si="44"/>
        <v>0.80055973700131144</v>
      </c>
      <c r="DR11" s="43">
        <f t="shared" si="44"/>
        <v>0.79263817301907535</v>
      </c>
      <c r="DS11" s="43">
        <f t="shared" ref="DS11:DX11" si="45">DS6/DS8</f>
        <v>0.83850948017334004</v>
      </c>
      <c r="DT11" s="43">
        <f t="shared" si="45"/>
        <v>0.8442050725179886</v>
      </c>
      <c r="DU11" s="43">
        <f t="shared" si="45"/>
        <v>0.81990314187331292</v>
      </c>
      <c r="DV11" s="110">
        <f t="shared" si="45"/>
        <v>0.82467076795757233</v>
      </c>
      <c r="DW11" s="43">
        <f t="shared" si="45"/>
        <v>0.80070884820217314</v>
      </c>
      <c r="DX11" s="43">
        <f t="shared" si="45"/>
        <v>0.84599066839236625</v>
      </c>
      <c r="DY11" s="43">
        <f>DY6/DY8</f>
        <v>0.85402556741768654</v>
      </c>
      <c r="DZ11" s="43">
        <f>DZ6/DZ8</f>
        <v>0.84223961756607901</v>
      </c>
      <c r="EA11" s="110">
        <f>EA6/EA8</f>
        <v>0.83671672644934136</v>
      </c>
      <c r="EB11" s="43">
        <f>EB6/EB8</f>
        <v>0.80549064256250036</v>
      </c>
      <c r="EC11" s="43">
        <f t="shared" ref="EC11" si="46">EC6/EC8</f>
        <v>0.85565605506847542</v>
      </c>
      <c r="ED11" s="43">
        <f>ED6/ED8</f>
        <v>0.85307982707130736</v>
      </c>
      <c r="EE11" s="43">
        <f>EE6/EE8</f>
        <v>0.84437731076192235</v>
      </c>
      <c r="EF11" s="110">
        <f>EF6/EF8</f>
        <v>0.84026571138763584</v>
      </c>
      <c r="EG11" s="43">
        <f>EG6/EG8</f>
        <v>0.79947580195788148</v>
      </c>
      <c r="EH11" s="43">
        <f t="shared" ref="EH11" si="47">EH6/EH8</f>
        <v>0.8559035976622571</v>
      </c>
      <c r="EI11" s="43">
        <f>EI6/EI8</f>
        <v>0.84828535275656547</v>
      </c>
      <c r="EJ11" s="43">
        <f>EJ6/EJ8</f>
        <v>0.84963172147438948</v>
      </c>
      <c r="EK11" s="110">
        <f>EK6/EK8</f>
        <v>0.83896053439533602</v>
      </c>
      <c r="EL11" s="800">
        <f>EL6/EL8</f>
        <v>0.79947580195788148</v>
      </c>
      <c r="EM11" s="800">
        <f t="shared" ref="EM11" si="48">EM6/EM8</f>
        <v>0.8559035976622571</v>
      </c>
      <c r="EN11" s="800">
        <f>EN6/EN8</f>
        <v>0.84828535275656547</v>
      </c>
      <c r="EO11" s="800">
        <f>EO6/EO8</f>
        <v>0.84963172147438948</v>
      </c>
      <c r="EP11" s="484">
        <f>EP6/EP8</f>
        <v>0.83896053439533602</v>
      </c>
      <c r="EQ11" s="43">
        <f>(EL11+(EQ12/100))</f>
        <v>0.79947580195788148</v>
      </c>
      <c r="ER11" s="43">
        <f>(EM11+(ER12/100))</f>
        <v>0.8559035976622571</v>
      </c>
      <c r="ES11" s="43">
        <f>(EN11+(ES12/100))</f>
        <v>0.84828535275656547</v>
      </c>
      <c r="ET11" s="43">
        <f>(EO11+(ET12/100))</f>
        <v>0.84963172147438948</v>
      </c>
      <c r="EU11" s="110">
        <f>EU6/EU8</f>
        <v>0.83929018534687361</v>
      </c>
      <c r="EV11" s="43"/>
      <c r="EW11" s="43"/>
      <c r="EX11" s="43"/>
      <c r="EY11" s="43"/>
      <c r="EZ11" s="110">
        <f>(EU11+(EZ12/100))</f>
        <v>0.83929018534687361</v>
      </c>
      <c r="FA11" s="43"/>
      <c r="FB11" s="43"/>
      <c r="FC11" s="43"/>
      <c r="FD11" s="43"/>
      <c r="FE11" s="110">
        <f>(EZ11+(FE12/100))</f>
        <v>0.83929018534687361</v>
      </c>
      <c r="FF11" s="43"/>
      <c r="FG11" s="435"/>
      <c r="FL11" s="408"/>
      <c r="FM11" s="408"/>
      <c r="FN11" s="408"/>
      <c r="FO11" s="369"/>
      <c r="FP11" s="762"/>
      <c r="FQ11" s="762"/>
      <c r="FR11" s="762"/>
      <c r="FS11" s="762"/>
      <c r="FT11" s="190"/>
    </row>
    <row r="12" spans="1:183" ht="12.75" customHeight="1" x14ac:dyDescent="0.2">
      <c r="A12" s="60" t="s">
        <v>63</v>
      </c>
      <c r="B12" s="34"/>
      <c r="C12" s="34"/>
      <c r="D12" s="34"/>
      <c r="E12" s="34"/>
      <c r="F12" s="247"/>
      <c r="G12" s="34">
        <f>(G11-B11)*100</f>
        <v>0.36053663692803273</v>
      </c>
      <c r="H12" s="34">
        <f>(H11-C11)*100</f>
        <v>-2.9640208754594943</v>
      </c>
      <c r="I12" s="34">
        <f>(I11-D11)*100</f>
        <v>4.0329475622669086E-2</v>
      </c>
      <c r="J12" s="34">
        <f>(J11-E11)*100</f>
        <v>4.0713326737432993</v>
      </c>
      <c r="K12" s="247">
        <f t="shared" ref="K12:U12" si="49">(K11-F11)*100</f>
        <v>0.4060426654890148</v>
      </c>
      <c r="L12" s="34">
        <f t="shared" si="49"/>
        <v>2.0354507187042792</v>
      </c>
      <c r="M12" s="34">
        <f t="shared" si="49"/>
        <v>7.2821322606061445</v>
      </c>
      <c r="N12" s="34">
        <f t="shared" si="49"/>
        <v>2.4009601496682076</v>
      </c>
      <c r="O12" s="34">
        <f t="shared" si="49"/>
        <v>2.1214424822586175</v>
      </c>
      <c r="P12" s="247">
        <f t="shared" si="49"/>
        <v>3.4356806435889897</v>
      </c>
      <c r="Q12" s="34">
        <f t="shared" si="49"/>
        <v>1.539572634749975</v>
      </c>
      <c r="R12" s="34">
        <f t="shared" si="49"/>
        <v>3.0986669975660464</v>
      </c>
      <c r="S12" s="34">
        <f t="shared" si="49"/>
        <v>4.4591409293647803</v>
      </c>
      <c r="T12" s="34">
        <f t="shared" si="49"/>
        <v>5.8294752596078192</v>
      </c>
      <c r="U12" s="247">
        <f t="shared" si="49"/>
        <v>3.9096523358568946</v>
      </c>
      <c r="V12" s="34">
        <f t="shared" ref="V12:AX12" si="50">(V11-Q11)*100</f>
        <v>2.558910510872503</v>
      </c>
      <c r="W12" s="34">
        <f t="shared" si="50"/>
        <v>0.31379488659685206</v>
      </c>
      <c r="X12" s="34">
        <f t="shared" si="50"/>
        <v>-0.91271990173796835</v>
      </c>
      <c r="Y12" s="34">
        <f t="shared" si="50"/>
        <v>-5.626433568732903</v>
      </c>
      <c r="Z12" s="247">
        <f t="shared" si="50"/>
        <v>-1.1609162007968354</v>
      </c>
      <c r="AA12" s="34">
        <f t="shared" si="50"/>
        <v>-5.7781515470029854</v>
      </c>
      <c r="AB12" s="34">
        <f t="shared" si="50"/>
        <v>-2.841583557488403</v>
      </c>
      <c r="AC12" s="34">
        <f t="shared" si="50"/>
        <v>-1.0798346730066632</v>
      </c>
      <c r="AD12" s="34">
        <f t="shared" si="50"/>
        <v>-1.7864575579586872</v>
      </c>
      <c r="AE12" s="247">
        <f t="shared" si="50"/>
        <v>-2.7975066348316036</v>
      </c>
      <c r="AF12" s="34">
        <f t="shared" si="50"/>
        <v>-0.54049490836072245</v>
      </c>
      <c r="AG12" s="34">
        <f t="shared" si="50"/>
        <v>-0.16137222786319905</v>
      </c>
      <c r="AH12" s="34">
        <f t="shared" si="50"/>
        <v>2.1425203586649455</v>
      </c>
      <c r="AI12" s="34">
        <f t="shared" si="50"/>
        <v>6.2740499586483089</v>
      </c>
      <c r="AJ12" s="247">
        <f t="shared" si="50"/>
        <v>2.0221896340907763</v>
      </c>
      <c r="AK12" s="34">
        <f t="shared" si="50"/>
        <v>1.5729565009569568</v>
      </c>
      <c r="AL12" s="34">
        <f t="shared" si="50"/>
        <v>-3.1076225346958197</v>
      </c>
      <c r="AM12" s="34">
        <f t="shared" si="50"/>
        <v>-4.1424103935953971</v>
      </c>
      <c r="AN12" s="34">
        <f t="shared" si="50"/>
        <v>-5.0451704451378028</v>
      </c>
      <c r="AO12" s="247">
        <f t="shared" si="50"/>
        <v>-2.7618713476052159</v>
      </c>
      <c r="AP12" s="34">
        <f t="shared" si="50"/>
        <v>-0.90184781190333352</v>
      </c>
      <c r="AQ12" s="34">
        <f t="shared" si="50"/>
        <v>6.3455578398179284</v>
      </c>
      <c r="AR12" s="34">
        <f t="shared" si="50"/>
        <v>3.0866600604932182</v>
      </c>
      <c r="AS12" s="34">
        <f t="shared" si="50"/>
        <v>0.78154724336817472</v>
      </c>
      <c r="AT12" s="247">
        <f t="shared" si="50"/>
        <v>2.3475672538019743</v>
      </c>
      <c r="AU12" s="34">
        <f t="shared" si="50"/>
        <v>3.7144539574948343</v>
      </c>
      <c r="AV12" s="34">
        <f t="shared" si="50"/>
        <v>2.9246899589210118</v>
      </c>
      <c r="AW12" s="34">
        <f t="shared" si="50"/>
        <v>1.6461552351480613</v>
      </c>
      <c r="AX12" s="34">
        <f t="shared" si="50"/>
        <v>3.5229335457968469</v>
      </c>
      <c r="AY12" s="247">
        <f t="shared" ref="AY12:BR12" si="51">(AY11-AT11)*100</f>
        <v>2.9321677666365287</v>
      </c>
      <c r="AZ12" s="34">
        <f t="shared" si="51"/>
        <v>1.860619649830253</v>
      </c>
      <c r="BA12" s="34">
        <f t="shared" si="51"/>
        <v>1.1483702664147222</v>
      </c>
      <c r="BB12" s="34">
        <f t="shared" si="51"/>
        <v>1.0706295621758066</v>
      </c>
      <c r="BC12" s="34">
        <f t="shared" si="51"/>
        <v>1.7394472715072551</v>
      </c>
      <c r="BD12" s="247">
        <f t="shared" si="51"/>
        <v>1.4472163742758171</v>
      </c>
      <c r="BE12" s="34">
        <f t="shared" si="51"/>
        <v>0.46949210708130407</v>
      </c>
      <c r="BF12" s="34">
        <f t="shared" si="51"/>
        <v>-2.5634356734034802</v>
      </c>
      <c r="BG12" s="34">
        <f t="shared" si="51"/>
        <v>-2.5191387179028357</v>
      </c>
      <c r="BH12" s="34">
        <f t="shared" si="51"/>
        <v>-4.4954479327961145</v>
      </c>
      <c r="BI12" s="247">
        <f>(BI11-BD11)*100</f>
        <v>-2.3112886188063064</v>
      </c>
      <c r="BJ12" s="34">
        <f t="shared" si="51"/>
        <v>-4.3485755407642994</v>
      </c>
      <c r="BK12" s="34">
        <f t="shared" si="51"/>
        <v>-1.8614760016229637</v>
      </c>
      <c r="BL12" s="34">
        <f t="shared" si="51"/>
        <v>-1.4463533470496337</v>
      </c>
      <c r="BM12" s="34">
        <f t="shared" si="51"/>
        <v>-1.5084918205534814</v>
      </c>
      <c r="BN12" s="247">
        <f>(BN11-BI11)*100</f>
        <v>-2.2593363641059683</v>
      </c>
      <c r="BO12" s="34">
        <f t="shared" si="51"/>
        <v>-0.28728947541321048</v>
      </c>
      <c r="BP12" s="34">
        <f t="shared" si="51"/>
        <v>0.26883460744347998</v>
      </c>
      <c r="BQ12" s="34">
        <f t="shared" si="51"/>
        <v>2.8176601991918959</v>
      </c>
      <c r="BR12" s="34">
        <f t="shared" si="51"/>
        <v>0.73235266086403294</v>
      </c>
      <c r="BS12" s="247">
        <f t="shared" ref="BS12:DA12" si="52">(BS11-BN11)*100</f>
        <v>0.88824422249581536</v>
      </c>
      <c r="BT12" s="34">
        <f t="shared" si="52"/>
        <v>1.5314220569452086</v>
      </c>
      <c r="BU12" s="34">
        <f t="shared" si="52"/>
        <v>6.1683231872177835</v>
      </c>
      <c r="BV12" s="34">
        <f t="shared" si="52"/>
        <v>2.197730330042158</v>
      </c>
      <c r="BW12" s="34">
        <f t="shared" si="52"/>
        <v>1.2021321163849574</v>
      </c>
      <c r="BX12" s="247">
        <f t="shared" si="52"/>
        <v>2.7177234714401144</v>
      </c>
      <c r="BY12" s="34">
        <f t="shared" si="52"/>
        <v>1.278904989759011</v>
      </c>
      <c r="BZ12" s="34">
        <f t="shared" si="52"/>
        <v>-3.7632779878356337</v>
      </c>
      <c r="CA12" s="34">
        <f t="shared" si="52"/>
        <v>2.1984631783473763</v>
      </c>
      <c r="CB12" s="34">
        <f t="shared" si="52"/>
        <v>4.6448599457916462</v>
      </c>
      <c r="CC12" s="247">
        <f>(CC11-BX11)*100</f>
        <v>1.2072849483155013</v>
      </c>
      <c r="CD12" s="34">
        <f t="shared" si="52"/>
        <v>3.7745065299429892</v>
      </c>
      <c r="CE12" s="34">
        <f t="shared" si="52"/>
        <v>5.4303451107297507</v>
      </c>
      <c r="CF12" s="34">
        <f t="shared" si="52"/>
        <v>-0.18659444329968133</v>
      </c>
      <c r="CG12" s="34">
        <f t="shared" si="52"/>
        <v>0.63713867114423284</v>
      </c>
      <c r="CH12" s="247">
        <f>(CH11-CC11)*100</f>
        <v>2.3439173441111683</v>
      </c>
      <c r="CI12" s="34">
        <f t="shared" si="52"/>
        <v>-1.1740110658194136</v>
      </c>
      <c r="CJ12" s="34">
        <f t="shared" si="52"/>
        <v>-1.8474391012751057</v>
      </c>
      <c r="CK12" s="34">
        <f t="shared" si="52"/>
        <v>1.8503991652300988</v>
      </c>
      <c r="CL12" s="34">
        <f t="shared" si="52"/>
        <v>-0.94432934384194311</v>
      </c>
      <c r="CM12" s="247">
        <f>(CM11-CH11)*100</f>
        <v>-0.46784489557154529</v>
      </c>
      <c r="CN12" s="34">
        <f t="shared" si="52"/>
        <v>1.7955033928603759</v>
      </c>
      <c r="CO12" s="34">
        <f t="shared" si="52"/>
        <v>-0.89913367742642247</v>
      </c>
      <c r="CP12" s="34">
        <f t="shared" si="52"/>
        <v>-4.9455672084694813</v>
      </c>
      <c r="CQ12" s="34">
        <f t="shared" si="52"/>
        <v>-1.4790870168641335</v>
      </c>
      <c r="CR12" s="105">
        <f>(CR11-CM11)*100</f>
        <v>-1.4193592420033152</v>
      </c>
      <c r="CS12" s="34">
        <f t="shared" si="52"/>
        <v>1.2104995780787497</v>
      </c>
      <c r="CT12" s="34">
        <f t="shared" si="52"/>
        <v>2.5012702499920603</v>
      </c>
      <c r="CU12" s="34">
        <f t="shared" si="52"/>
        <v>8.8001322722902167</v>
      </c>
      <c r="CV12" s="34">
        <f t="shared" si="52"/>
        <v>9.5980758904107297</v>
      </c>
      <c r="CW12" s="105">
        <f>(CW11-CR11)*100</f>
        <v>5.5453647533254324</v>
      </c>
      <c r="CX12" s="34">
        <f t="shared" si="52"/>
        <v>5.1079055619512985</v>
      </c>
      <c r="CY12" s="34">
        <f t="shared" si="52"/>
        <v>2.3480539741483786</v>
      </c>
      <c r="CZ12" s="34">
        <f t="shared" si="52"/>
        <v>1.1121292919926029</v>
      </c>
      <c r="DA12" s="34">
        <f t="shared" si="52"/>
        <v>3.2705726271448299</v>
      </c>
      <c r="DB12" s="105">
        <f t="shared" ref="DB12:DT12" si="53">(DB11-CW11)*100</f>
        <v>2.9880872400042113</v>
      </c>
      <c r="DC12" s="34">
        <f t="shared" si="53"/>
        <v>2.2162934083879371</v>
      </c>
      <c r="DD12" s="34">
        <f t="shared" si="53"/>
        <v>2.1071188606027302</v>
      </c>
      <c r="DE12" s="34">
        <f t="shared" si="53"/>
        <v>0.48718994792802395</v>
      </c>
      <c r="DF12" s="34">
        <f t="shared" si="53"/>
        <v>-0.23765383667710971</v>
      </c>
      <c r="DG12" s="105">
        <f t="shared" si="53"/>
        <v>1.1195552651084739</v>
      </c>
      <c r="DH12" s="34">
        <f t="shared" si="53"/>
        <v>-1.044618728240021</v>
      </c>
      <c r="DI12" s="34">
        <f t="shared" si="53"/>
        <v>-0.31328888848112246</v>
      </c>
      <c r="DJ12" s="34">
        <f t="shared" si="53"/>
        <v>0.10549503632830692</v>
      </c>
      <c r="DK12" s="34">
        <f t="shared" si="53"/>
        <v>-0.88381231768116519</v>
      </c>
      <c r="DL12" s="105">
        <f t="shared" si="53"/>
        <v>-0.53196608268100132</v>
      </c>
      <c r="DM12" s="34">
        <f t="shared" si="53"/>
        <v>-0.1897039147833457</v>
      </c>
      <c r="DN12" s="34">
        <f t="shared" si="53"/>
        <v>-0.28116403045992389</v>
      </c>
      <c r="DO12" s="34">
        <f t="shared" si="53"/>
        <v>-1.303481554284891</v>
      </c>
      <c r="DP12" s="34">
        <f t="shared" si="53"/>
        <v>0.87807804958546232</v>
      </c>
      <c r="DQ12" s="105">
        <f>(DQ11-DL11)*100</f>
        <v>-0.22874644511511333</v>
      </c>
      <c r="DR12" s="34">
        <f t="shared" si="53"/>
        <v>2.1351007854244042</v>
      </c>
      <c r="DS12" s="34">
        <f t="shared" si="53"/>
        <v>2.260261988199741</v>
      </c>
      <c r="DT12" s="34">
        <f t="shared" si="53"/>
        <v>3.6141237111965596</v>
      </c>
      <c r="DU12" s="34">
        <f t="shared" ref="DU12:ED12" si="54">(DU11-DP11)*100</f>
        <v>1.5408781627642587</v>
      </c>
      <c r="DV12" s="105">
        <f t="shared" si="54"/>
        <v>2.4111030956260882</v>
      </c>
      <c r="DW12" s="34">
        <f t="shared" si="54"/>
        <v>0.80706751830977863</v>
      </c>
      <c r="DX12" s="34">
        <f t="shared" si="54"/>
        <v>0.74811882190262136</v>
      </c>
      <c r="DY12" s="34">
        <f t="shared" si="54"/>
        <v>0.98204948996979402</v>
      </c>
      <c r="DZ12" s="34">
        <f t="shared" si="54"/>
        <v>2.2336475692766089</v>
      </c>
      <c r="EA12" s="105">
        <f t="shared" si="54"/>
        <v>1.2045958491769038</v>
      </c>
      <c r="EB12" s="34">
        <f t="shared" si="54"/>
        <v>0.47817943603272184</v>
      </c>
      <c r="EC12" s="34">
        <f t="shared" si="54"/>
        <v>0.96653866761091667</v>
      </c>
      <c r="ED12" s="34">
        <f t="shared" si="54"/>
        <v>-9.4574034637917581E-2</v>
      </c>
      <c r="EE12" s="34">
        <f t="shared" ref="EE12" si="55">(EE11-DZ11)*100</f>
        <v>0.21376931958433376</v>
      </c>
      <c r="EF12" s="105">
        <f t="shared" ref="EF12:EJ12" si="56">(EF11-EA11)*100</f>
        <v>0.35489849382944749</v>
      </c>
      <c r="EG12" s="34">
        <f t="shared" si="56"/>
        <v>-0.60148406046188763</v>
      </c>
      <c r="EH12" s="34">
        <f t="shared" si="56"/>
        <v>2.4754259378167998E-2</v>
      </c>
      <c r="EI12" s="34">
        <f t="shared" si="56"/>
        <v>-0.47944743147418922</v>
      </c>
      <c r="EJ12" s="34">
        <f t="shared" si="56"/>
        <v>0.5254410712467128</v>
      </c>
      <c r="EK12" s="105">
        <f>(EK11-EF11)*100</f>
        <v>-0.13051769922998169</v>
      </c>
      <c r="EL12" s="872"/>
      <c r="EM12" s="872"/>
      <c r="EN12" s="872"/>
      <c r="EO12" s="872"/>
      <c r="EP12" s="873"/>
      <c r="EQ12" s="132">
        <v>0</v>
      </c>
      <c r="ER12" s="132">
        <v>0</v>
      </c>
      <c r="ES12" s="132">
        <v>0</v>
      </c>
      <c r="ET12" s="132">
        <v>0</v>
      </c>
      <c r="EU12" s="105">
        <f>(EU11-EK11)*100</f>
        <v>3.2965095153758561E-2</v>
      </c>
      <c r="EV12" s="132"/>
      <c r="EW12" s="132"/>
      <c r="EX12" s="132"/>
      <c r="EY12" s="132"/>
      <c r="EZ12" s="364">
        <v>0</v>
      </c>
      <c r="FA12" s="132"/>
      <c r="FB12" s="132"/>
      <c r="FC12" s="132"/>
      <c r="FD12" s="132"/>
      <c r="FE12" s="364">
        <v>0</v>
      </c>
      <c r="FF12" s="132"/>
      <c r="FG12" s="438"/>
      <c r="FL12" s="408"/>
      <c r="FM12" s="408"/>
      <c r="FN12" s="369"/>
      <c r="FO12" s="369"/>
      <c r="FP12" s="369"/>
      <c r="FQ12" s="369"/>
      <c r="FR12" s="762"/>
      <c r="FS12" s="369"/>
      <c r="FT12" s="190"/>
    </row>
    <row r="13" spans="1:183" ht="12.75" customHeight="1" x14ac:dyDescent="0.2">
      <c r="A13" s="22" t="s">
        <v>242</v>
      </c>
      <c r="B13" s="14">
        <f t="shared" ref="B13:AG13" si="57">B6/B4</f>
        <v>524.98245728110885</v>
      </c>
      <c r="C13" s="14">
        <f t="shared" si="57"/>
        <v>491.65833973866262</v>
      </c>
      <c r="D13" s="14">
        <f t="shared" si="57"/>
        <v>499.45350018875013</v>
      </c>
      <c r="E13" s="14">
        <f t="shared" si="57"/>
        <v>495.68618164302075</v>
      </c>
      <c r="F13" s="245">
        <f t="shared" si="57"/>
        <v>502.19200389936117</v>
      </c>
      <c r="G13" s="14">
        <f t="shared" si="57"/>
        <v>499.59815174638265</v>
      </c>
      <c r="H13" s="14">
        <f t="shared" si="57"/>
        <v>495.07944042563719</v>
      </c>
      <c r="I13" s="14">
        <f t="shared" si="57"/>
        <v>506.60619586459416</v>
      </c>
      <c r="J13" s="14">
        <f t="shared" si="57"/>
        <v>491.64436558019452</v>
      </c>
      <c r="K13" s="245">
        <f t="shared" si="57"/>
        <v>498.28901194365653</v>
      </c>
      <c r="L13" s="14">
        <f t="shared" si="57"/>
        <v>494.25871386908057</v>
      </c>
      <c r="M13" s="14">
        <f t="shared" si="57"/>
        <v>490.13085340933765</v>
      </c>
      <c r="N13" s="14">
        <f t="shared" si="57"/>
        <v>501.99888430587555</v>
      </c>
      <c r="O13" s="14">
        <f t="shared" si="57"/>
        <v>494.10021487946267</v>
      </c>
      <c r="P13" s="245">
        <f t="shared" si="57"/>
        <v>495.23561741027532</v>
      </c>
      <c r="Q13" s="14">
        <f t="shared" si="57"/>
        <v>505.6007190040097</v>
      </c>
      <c r="R13" s="14">
        <f t="shared" si="57"/>
        <v>501.23477178783014</v>
      </c>
      <c r="S13" s="14">
        <f t="shared" si="57"/>
        <v>501.18803188447504</v>
      </c>
      <c r="T13" s="14">
        <f t="shared" si="57"/>
        <v>523.6060077127571</v>
      </c>
      <c r="U13" s="245">
        <f t="shared" si="57"/>
        <v>509.46219480056686</v>
      </c>
      <c r="V13" s="14">
        <f t="shared" si="57"/>
        <v>508.25461819398117</v>
      </c>
      <c r="W13" s="14">
        <f t="shared" si="57"/>
        <v>506.28702096898871</v>
      </c>
      <c r="X13" s="14">
        <f t="shared" si="57"/>
        <v>508.16884933605576</v>
      </c>
      <c r="Y13" s="14">
        <f t="shared" si="57"/>
        <v>499.85317417970214</v>
      </c>
      <c r="Z13" s="245">
        <f t="shared" si="57"/>
        <v>505.61421132012509</v>
      </c>
      <c r="AA13" s="14">
        <f t="shared" si="57"/>
        <v>515.29228765671337</v>
      </c>
      <c r="AB13" s="14">
        <f t="shared" si="57"/>
        <v>520.43382600475479</v>
      </c>
      <c r="AC13" s="14">
        <f t="shared" si="57"/>
        <v>535.17240033322412</v>
      </c>
      <c r="AD13" s="14">
        <f t="shared" si="57"/>
        <v>511.69687326531454</v>
      </c>
      <c r="AE13" s="245">
        <f t="shared" si="57"/>
        <v>520.87764959488186</v>
      </c>
      <c r="AF13" s="14">
        <f t="shared" si="57"/>
        <v>511.79278431478457</v>
      </c>
      <c r="AG13" s="14">
        <f t="shared" si="57"/>
        <v>541.50908885591275</v>
      </c>
      <c r="AH13" s="14">
        <f t="shared" ref="AH13:BM13" si="58">AH6/AH4</f>
        <v>570.85493062866237</v>
      </c>
      <c r="AI13" s="14">
        <f t="shared" si="58"/>
        <v>555.17974935699544</v>
      </c>
      <c r="AJ13" s="245">
        <f t="shared" si="58"/>
        <v>545.80131226977721</v>
      </c>
      <c r="AK13" s="14">
        <f t="shared" si="58"/>
        <v>542.33324013646154</v>
      </c>
      <c r="AL13" s="14">
        <f t="shared" si="58"/>
        <v>551.35226483136785</v>
      </c>
      <c r="AM13" s="14">
        <f t="shared" si="58"/>
        <v>581.12321491321552</v>
      </c>
      <c r="AN13" s="14">
        <f t="shared" si="58"/>
        <v>574.19408090220725</v>
      </c>
      <c r="AO13" s="245">
        <f t="shared" si="58"/>
        <v>562.60298619284617</v>
      </c>
      <c r="AP13" s="14">
        <f t="shared" si="58"/>
        <v>582.24574438043169</v>
      </c>
      <c r="AQ13" s="14">
        <f t="shared" si="58"/>
        <v>597.48213359282624</v>
      </c>
      <c r="AR13" s="14">
        <f t="shared" si="58"/>
        <v>618.64271986990218</v>
      </c>
      <c r="AS13" s="14">
        <f t="shared" si="58"/>
        <v>589.25929927639106</v>
      </c>
      <c r="AT13" s="245">
        <f t="shared" si="58"/>
        <v>597.47596336695426</v>
      </c>
      <c r="AU13" s="14">
        <f t="shared" si="58"/>
        <v>622.13905541065276</v>
      </c>
      <c r="AV13" s="14">
        <f t="shared" si="58"/>
        <v>639.20766173377615</v>
      </c>
      <c r="AW13" s="14">
        <f t="shared" si="58"/>
        <v>643.67203584350466</v>
      </c>
      <c r="AX13" s="14">
        <f t="shared" si="58"/>
        <v>631.03110378659198</v>
      </c>
      <c r="AY13" s="245">
        <f t="shared" si="58"/>
        <v>634.4206411896248</v>
      </c>
      <c r="AZ13" s="14">
        <f t="shared" si="58"/>
        <v>656.96154552876726</v>
      </c>
      <c r="BA13" s="14">
        <f t="shared" si="58"/>
        <v>663.86729498351087</v>
      </c>
      <c r="BB13" s="14">
        <f t="shared" si="58"/>
        <v>664.70521000914994</v>
      </c>
      <c r="BC13" s="14">
        <f t="shared" si="58"/>
        <v>665.51209740452475</v>
      </c>
      <c r="BD13" s="245">
        <f t="shared" si="58"/>
        <v>662.94462720959041</v>
      </c>
      <c r="BE13" s="14">
        <f t="shared" si="58"/>
        <v>678.44091570257604</v>
      </c>
      <c r="BF13" s="14">
        <f t="shared" si="58"/>
        <v>672.593834123183</v>
      </c>
      <c r="BG13" s="14">
        <f t="shared" si="58"/>
        <v>694.73576139862735</v>
      </c>
      <c r="BH13" s="14">
        <f t="shared" si="58"/>
        <v>719.0487428183028</v>
      </c>
      <c r="BI13" s="245">
        <f t="shared" si="58"/>
        <v>690.39788850250125</v>
      </c>
      <c r="BJ13" s="14">
        <f t="shared" si="58"/>
        <v>718.54991142397694</v>
      </c>
      <c r="BK13" s="14">
        <f t="shared" si="58"/>
        <v>715.39275282831898</v>
      </c>
      <c r="BL13" s="14">
        <f t="shared" si="58"/>
        <v>733.14275695975948</v>
      </c>
      <c r="BM13" s="14">
        <f t="shared" si="58"/>
        <v>712.50314301406729</v>
      </c>
      <c r="BN13" s="245">
        <f t="shared" ref="BN13:CJ13" si="59">BN6/BN4</f>
        <v>719.98083367334982</v>
      </c>
      <c r="BO13" s="14">
        <f t="shared" si="59"/>
        <v>722.64560888322512</v>
      </c>
      <c r="BP13" s="14">
        <f t="shared" si="59"/>
        <v>735.52717450163789</v>
      </c>
      <c r="BQ13" s="14">
        <f t="shared" si="59"/>
        <v>744.19497484522935</v>
      </c>
      <c r="BR13" s="14">
        <f t="shared" si="59"/>
        <v>716.04963205672243</v>
      </c>
      <c r="BS13" s="245">
        <f t="shared" si="59"/>
        <v>730.01438709843046</v>
      </c>
      <c r="BT13" s="14">
        <f t="shared" si="59"/>
        <v>737.25401859986664</v>
      </c>
      <c r="BU13" s="14">
        <f t="shared" si="59"/>
        <v>759.42302722517388</v>
      </c>
      <c r="BV13" s="14">
        <f t="shared" si="59"/>
        <v>772.54035681903281</v>
      </c>
      <c r="BW13" s="14">
        <f t="shared" si="59"/>
        <v>741.7628680631957</v>
      </c>
      <c r="BX13" s="245">
        <f t="shared" si="59"/>
        <v>753.40288876994987</v>
      </c>
      <c r="BY13" s="14">
        <f t="shared" si="59"/>
        <v>757.56196604307195</v>
      </c>
      <c r="BZ13" s="14">
        <f t="shared" si="59"/>
        <v>770.2393132548026</v>
      </c>
      <c r="CA13" s="14">
        <f t="shared" si="59"/>
        <v>792.98969551721575</v>
      </c>
      <c r="CB13" s="14">
        <f t="shared" si="59"/>
        <v>776.96156305399029</v>
      </c>
      <c r="CC13" s="245">
        <f t="shared" si="59"/>
        <v>775.11693019243251</v>
      </c>
      <c r="CD13" s="14">
        <f t="shared" si="59"/>
        <v>795.88064949457225</v>
      </c>
      <c r="CE13" s="14">
        <f t="shared" si="59"/>
        <v>811.11143031382528</v>
      </c>
      <c r="CF13" s="14">
        <f t="shared" si="59"/>
        <v>824.1172055341018</v>
      </c>
      <c r="CG13" s="14">
        <f t="shared" si="59"/>
        <v>797.82084871433142</v>
      </c>
      <c r="CH13" s="245">
        <f t="shared" si="59"/>
        <v>807.62883718246565</v>
      </c>
      <c r="CI13" s="14">
        <f t="shared" si="59"/>
        <v>807.02996197622622</v>
      </c>
      <c r="CJ13" s="14">
        <f t="shared" si="59"/>
        <v>811.31104790931192</v>
      </c>
      <c r="CK13" s="14">
        <f t="shared" ref="CK13:CP13" si="60">CK6/CK4</f>
        <v>835.7909438506581</v>
      </c>
      <c r="CL13" s="14">
        <f t="shared" si="60"/>
        <v>804.5759109854165</v>
      </c>
      <c r="CM13" s="245">
        <f t="shared" si="60"/>
        <v>815.1953741591808</v>
      </c>
      <c r="CN13" s="14">
        <f t="shared" si="60"/>
        <v>818.05651858250758</v>
      </c>
      <c r="CO13" s="14">
        <f t="shared" si="60"/>
        <v>825.7099406993824</v>
      </c>
      <c r="CP13" s="14">
        <f t="shared" si="60"/>
        <v>846.23472548435768</v>
      </c>
      <c r="CQ13" s="14">
        <f t="shared" ref="CQ13:CW13" si="61">CQ6/CQ4</f>
        <v>830.5334245267162</v>
      </c>
      <c r="CR13" s="98">
        <f t="shared" si="61"/>
        <v>830.1403240425642</v>
      </c>
      <c r="CS13" s="14">
        <f t="shared" si="61"/>
        <v>835.62373774481455</v>
      </c>
      <c r="CT13" s="14">
        <f t="shared" si="61"/>
        <v>848.27001525140031</v>
      </c>
      <c r="CU13" s="14">
        <f t="shared" si="61"/>
        <v>860.60602931252686</v>
      </c>
      <c r="CV13" s="14">
        <f t="shared" si="61"/>
        <v>827.64794047908435</v>
      </c>
      <c r="CW13" s="98">
        <f t="shared" si="61"/>
        <v>843.50047631235691</v>
      </c>
      <c r="CX13" s="14">
        <f t="shared" ref="CX13:DE13" si="62">CX6/CX4</f>
        <v>845.08915199529702</v>
      </c>
      <c r="CY13" s="14">
        <f t="shared" si="62"/>
        <v>907.33203495582666</v>
      </c>
      <c r="CZ13" s="14">
        <f t="shared" si="62"/>
        <v>927.46668148435162</v>
      </c>
      <c r="DA13" s="14">
        <f t="shared" si="62"/>
        <v>904.22979264855655</v>
      </c>
      <c r="DB13" s="98">
        <f t="shared" si="62"/>
        <v>897.13806472846682</v>
      </c>
      <c r="DC13" s="14">
        <f t="shared" si="62"/>
        <v>887.96690219206425</v>
      </c>
      <c r="DD13" s="14">
        <f t="shared" si="62"/>
        <v>959.07342441009791</v>
      </c>
      <c r="DE13" s="14">
        <f t="shared" si="62"/>
        <v>968.59947994961442</v>
      </c>
      <c r="DF13" s="14">
        <f t="shared" ref="DF13:DL13" si="63">DF6/DF4</f>
        <v>914.45340463263392</v>
      </c>
      <c r="DG13" s="98">
        <f t="shared" si="63"/>
        <v>933.37564800176642</v>
      </c>
      <c r="DH13" s="14">
        <f t="shared" si="63"/>
        <v>926.60826791877025</v>
      </c>
      <c r="DI13" s="14">
        <f t="shared" si="63"/>
        <v>942.7273963361888</v>
      </c>
      <c r="DJ13" s="14">
        <f t="shared" si="63"/>
        <v>959.17292196813992</v>
      </c>
      <c r="DK13" s="14">
        <f t="shared" si="63"/>
        <v>932.85547415847236</v>
      </c>
      <c r="DL13" s="98">
        <f t="shared" si="63"/>
        <v>940.81632729582623</v>
      </c>
      <c r="DM13" s="14">
        <f t="shared" ref="DM13:DR13" si="64">DM6/DM4</f>
        <v>942.58074949728075</v>
      </c>
      <c r="DN13" s="14">
        <f t="shared" si="64"/>
        <v>964.40442208484444</v>
      </c>
      <c r="DO13" s="14">
        <f t="shared" si="64"/>
        <v>999.76821028058112</v>
      </c>
      <c r="DP13" s="14">
        <f t="shared" si="64"/>
        <v>953.76803873049516</v>
      </c>
      <c r="DQ13" s="98">
        <f t="shared" si="64"/>
        <v>965.50796820932715</v>
      </c>
      <c r="DR13" s="14">
        <f t="shared" si="64"/>
        <v>964.06054979106841</v>
      </c>
      <c r="DS13" s="14">
        <f t="shared" ref="DS13:DX13" si="65">DS6/DS4</f>
        <v>980.61688251330452</v>
      </c>
      <c r="DT13" s="14">
        <f t="shared" si="65"/>
        <v>1004.5887060251941</v>
      </c>
      <c r="DU13" s="14">
        <f t="shared" si="65"/>
        <v>959.61684666944154</v>
      </c>
      <c r="DV13" s="98">
        <f t="shared" si="65"/>
        <v>977.72083440666643</v>
      </c>
      <c r="DW13" s="14">
        <f t="shared" si="65"/>
        <v>977.98547486827897</v>
      </c>
      <c r="DX13" s="14">
        <f t="shared" si="65"/>
        <v>1001.8713510213488</v>
      </c>
      <c r="DY13" s="14">
        <f>DY6/DY4</f>
        <v>1016.1536926299892</v>
      </c>
      <c r="DZ13" s="14">
        <f>DZ6/DZ4</f>
        <v>980.88536215903525</v>
      </c>
      <c r="EA13" s="98">
        <f>EA6/EA4</f>
        <v>994.82672645201217</v>
      </c>
      <c r="EB13" s="14">
        <f>EB6/EB4</f>
        <v>993.17163482106491</v>
      </c>
      <c r="EC13" s="14">
        <f t="shared" ref="EC13" si="66">EC6/EC4</f>
        <v>1011.3393324733096</v>
      </c>
      <c r="ED13" s="14">
        <f>ED6/ED4</f>
        <v>1017.2309406630142</v>
      </c>
      <c r="EE13" s="14">
        <f>EE6/EE4</f>
        <v>979.98576363554605</v>
      </c>
      <c r="EF13" s="98">
        <f>EF6/EF4</f>
        <v>1000.6271740489569</v>
      </c>
      <c r="EG13" s="14">
        <f>EG6/EG4</f>
        <v>993.29248083621576</v>
      </c>
      <c r="EH13" s="14">
        <f t="shared" ref="EH13" si="67">EH6/EH4</f>
        <v>1011.4681135115954</v>
      </c>
      <c r="EI13" s="14">
        <f>EI6/EI4</f>
        <v>1002.9879316806652</v>
      </c>
      <c r="EJ13" s="14">
        <f>EJ6/EJ4</f>
        <v>955.32981287046118</v>
      </c>
      <c r="EK13" s="98">
        <f>EK6/EK4</f>
        <v>990.67399407275775</v>
      </c>
      <c r="EL13" s="874">
        <f>EL6/EL4</f>
        <v>993.29248083621576</v>
      </c>
      <c r="EM13" s="874">
        <f t="shared" ref="EM13" si="68">EM6/EM4</f>
        <v>1011.4681135115954</v>
      </c>
      <c r="EN13" s="874">
        <f>EN6/EN4</f>
        <v>1002.9879316806652</v>
      </c>
      <c r="EO13" s="874">
        <f>EO6/EO4</f>
        <v>955.32981287046118</v>
      </c>
      <c r="EP13" s="866">
        <f>EP6/EP4</f>
        <v>990.67399407275775</v>
      </c>
      <c r="EQ13" s="14">
        <f>EL13*(1+EQ14)</f>
        <v>1003.2254056445779</v>
      </c>
      <c r="ER13" s="14">
        <f>EM13*(1+ER14)</f>
        <v>1021.5827946467114</v>
      </c>
      <c r="ES13" s="14">
        <f t="shared" ref="ES13:ET13" si="69">EN13*(1+ES14)</f>
        <v>1013.0178109974718</v>
      </c>
      <c r="ET13" s="14">
        <f t="shared" si="69"/>
        <v>964.88311099916575</v>
      </c>
      <c r="EU13" s="98">
        <f>EU6/EU4</f>
        <v>1000.0421385753648</v>
      </c>
      <c r="EV13" s="14"/>
      <c r="EW13" s="14"/>
      <c r="EX13" s="14"/>
      <c r="EY13" s="14"/>
      <c r="EZ13" s="98">
        <f>EU13*(1+EZ14)</f>
        <v>1010.0425599611184</v>
      </c>
      <c r="FA13" s="14"/>
      <c r="FB13" s="14"/>
      <c r="FC13" s="14"/>
      <c r="FD13" s="14"/>
      <c r="FE13" s="98">
        <f>EZ13*(1+FE14)</f>
        <v>1020.1429855607296</v>
      </c>
      <c r="FF13" s="14"/>
      <c r="FG13" s="436"/>
      <c r="FL13" s="408" t="s">
        <v>587</v>
      </c>
      <c r="FM13" s="408"/>
      <c r="FN13" s="369"/>
      <c r="FO13" s="370"/>
      <c r="FP13" s="370"/>
      <c r="FQ13" s="370"/>
      <c r="FR13" s="369"/>
      <c r="FS13" s="370"/>
      <c r="FT13" s="436"/>
    </row>
    <row r="14" spans="1:183" ht="12.75" customHeight="1" x14ac:dyDescent="0.2">
      <c r="A14" s="60" t="s">
        <v>244</v>
      </c>
      <c r="B14" s="43"/>
      <c r="C14" s="43"/>
      <c r="D14" s="43"/>
      <c r="E14" s="43"/>
      <c r="F14" s="244"/>
      <c r="G14" s="43">
        <f>G13/B13-1</f>
        <v>-4.8352673851602357E-2</v>
      </c>
      <c r="H14" s="43">
        <f>H13/C13-1</f>
        <v>6.9582887352079847E-3</v>
      </c>
      <c r="I14" s="43">
        <f>I13/D13-1</f>
        <v>1.4321044247644465E-2</v>
      </c>
      <c r="J14" s="43">
        <f>J13/E13-1</f>
        <v>-8.1539817176848883E-3</v>
      </c>
      <c r="K14" s="244">
        <f t="shared" ref="K14:U14" si="70">K13/F13-1</f>
        <v>-7.7719117895130863E-3</v>
      </c>
      <c r="L14" s="43">
        <f t="shared" si="70"/>
        <v>-1.0687465233083171E-2</v>
      </c>
      <c r="M14" s="43">
        <f t="shared" si="70"/>
        <v>-9.9955413459404951E-3</v>
      </c>
      <c r="N14" s="43">
        <f t="shared" si="70"/>
        <v>-9.0944635030678622E-3</v>
      </c>
      <c r="O14" s="43">
        <f t="shared" si="70"/>
        <v>4.9951742991500847E-3</v>
      </c>
      <c r="P14" s="244">
        <f t="shared" si="70"/>
        <v>-6.127758108634529E-3</v>
      </c>
      <c r="Q14" s="43">
        <f t="shared" si="70"/>
        <v>2.2947506673465456E-2</v>
      </c>
      <c r="R14" s="43">
        <f t="shared" si="70"/>
        <v>2.2655007945845407E-2</v>
      </c>
      <c r="S14" s="43">
        <f t="shared" si="70"/>
        <v>-1.6152474572163067E-3</v>
      </c>
      <c r="T14" s="43">
        <f t="shared" si="70"/>
        <v>5.9716211296310551E-2</v>
      </c>
      <c r="U14" s="244">
        <f t="shared" si="70"/>
        <v>2.872688653672828E-2</v>
      </c>
      <c r="V14" s="43">
        <f t="shared" ref="V14:AX14" si="71">V13/Q13-1</f>
        <v>5.2490020093314271E-3</v>
      </c>
      <c r="W14" s="43">
        <f t="shared" si="71"/>
        <v>1.0079606335246849E-2</v>
      </c>
      <c r="X14" s="43">
        <f t="shared" si="71"/>
        <v>1.3928539804377804E-2</v>
      </c>
      <c r="Y14" s="43">
        <f t="shared" si="71"/>
        <v>-4.5363943849333066E-2</v>
      </c>
      <c r="Z14" s="244">
        <f t="shared" si="71"/>
        <v>-7.5530304696074246E-3</v>
      </c>
      <c r="AA14" s="43">
        <f t="shared" si="71"/>
        <v>1.3846739824499021E-2</v>
      </c>
      <c r="AB14" s="43">
        <f t="shared" si="71"/>
        <v>2.7942262886159641E-2</v>
      </c>
      <c r="AC14" s="43">
        <f t="shared" si="71"/>
        <v>5.3138934101233604E-2</v>
      </c>
      <c r="AD14" s="43">
        <f t="shared" si="71"/>
        <v>2.3694356057754051E-2</v>
      </c>
      <c r="AE14" s="244">
        <f t="shared" si="71"/>
        <v>3.0187913893687801E-2</v>
      </c>
      <c r="AF14" s="43">
        <f t="shared" si="71"/>
        <v>-6.791297727048784E-3</v>
      </c>
      <c r="AG14" s="43">
        <f t="shared" si="71"/>
        <v>4.0495566963715035E-2</v>
      </c>
      <c r="AH14" s="43">
        <f t="shared" si="71"/>
        <v>6.6674832770188708E-2</v>
      </c>
      <c r="AI14" s="43">
        <f t="shared" si="71"/>
        <v>8.497780299926716E-2</v>
      </c>
      <c r="AJ14" s="244">
        <f t="shared" si="71"/>
        <v>4.7849360966591759E-2</v>
      </c>
      <c r="AK14" s="43">
        <f t="shared" si="71"/>
        <v>5.9673478715738693E-2</v>
      </c>
      <c r="AL14" s="43">
        <f t="shared" si="71"/>
        <v>1.8177305197686566E-2</v>
      </c>
      <c r="AM14" s="43">
        <f t="shared" si="71"/>
        <v>1.7987554689673946E-2</v>
      </c>
      <c r="AN14" s="43">
        <f t="shared" si="71"/>
        <v>3.4248964533079684E-2</v>
      </c>
      <c r="AO14" s="244">
        <f t="shared" si="71"/>
        <v>3.078349858338969E-2</v>
      </c>
      <c r="AP14" s="43">
        <f t="shared" si="71"/>
        <v>7.3594058579052657E-2</v>
      </c>
      <c r="AQ14" s="43">
        <f t="shared" si="71"/>
        <v>8.3666780212768854E-2</v>
      </c>
      <c r="AR14" s="43">
        <f t="shared" si="71"/>
        <v>6.4563768911365615E-2</v>
      </c>
      <c r="AS14" s="43">
        <f t="shared" si="71"/>
        <v>2.623715373469615E-2</v>
      </c>
      <c r="AT14" s="244">
        <f t="shared" si="71"/>
        <v>6.1985055234233144E-2</v>
      </c>
      <c r="AU14" s="43">
        <f t="shared" si="71"/>
        <v>6.8516277560210614E-2</v>
      </c>
      <c r="AV14" s="43">
        <f t="shared" si="71"/>
        <v>6.9835608121104231E-2</v>
      </c>
      <c r="AW14" s="43">
        <f t="shared" si="71"/>
        <v>4.0458434520761921E-2</v>
      </c>
      <c r="AX14" s="43">
        <f t="shared" si="71"/>
        <v>7.0888664059263196E-2</v>
      </c>
      <c r="AY14" s="244">
        <f t="shared" ref="AY14:BR14" si="72">AY13/AT13-1</f>
        <v>6.1834584297711936E-2</v>
      </c>
      <c r="AZ14" s="43">
        <f t="shared" si="72"/>
        <v>5.5972197558195935E-2</v>
      </c>
      <c r="BA14" s="43">
        <f t="shared" si="72"/>
        <v>3.8578438160218997E-2</v>
      </c>
      <c r="BB14" s="43">
        <f t="shared" si="72"/>
        <v>3.2676849380418149E-2</v>
      </c>
      <c r="BC14" s="43">
        <f t="shared" si="72"/>
        <v>5.4642304334960201E-2</v>
      </c>
      <c r="BD14" s="244">
        <f t="shared" si="72"/>
        <v>4.4960684076229329E-2</v>
      </c>
      <c r="BE14" s="43">
        <f t="shared" si="72"/>
        <v>3.2695018939838727E-2</v>
      </c>
      <c r="BF14" s="43">
        <f t="shared" si="72"/>
        <v>1.3145005343106808E-2</v>
      </c>
      <c r="BG14" s="43">
        <f t="shared" si="72"/>
        <v>4.5178751328072142E-2</v>
      </c>
      <c r="BH14" s="43">
        <f t="shared" si="72"/>
        <v>8.044428587033825E-2</v>
      </c>
      <c r="BI14" s="244">
        <f>BI13/BD13-1</f>
        <v>4.1411092519845427E-2</v>
      </c>
      <c r="BJ14" s="43">
        <f t="shared" si="72"/>
        <v>5.9119364403110941E-2</v>
      </c>
      <c r="BK14" s="43">
        <f t="shared" si="72"/>
        <v>6.3632636122705755E-2</v>
      </c>
      <c r="BL14" s="43">
        <f t="shared" si="72"/>
        <v>5.5282882637007091E-2</v>
      </c>
      <c r="BM14" s="43">
        <f t="shared" si="72"/>
        <v>-9.1031378186965384E-3</v>
      </c>
      <c r="BN14" s="244">
        <f>BN13/BI13-1</f>
        <v>4.2849124633064894E-2</v>
      </c>
      <c r="BO14" s="43">
        <f t="shared" si="72"/>
        <v>5.6999484574864479E-3</v>
      </c>
      <c r="BP14" s="43">
        <f t="shared" si="72"/>
        <v>2.8144570368817901E-2</v>
      </c>
      <c r="BQ14" s="43">
        <f t="shared" si="72"/>
        <v>1.5075123883514729E-2</v>
      </c>
      <c r="BR14" s="43">
        <f t="shared" si="72"/>
        <v>4.9775065239048288E-3</v>
      </c>
      <c r="BS14" s="244">
        <f t="shared" ref="BS14:DA14" si="73">BS13/BN13-1</f>
        <v>1.3935861839390107E-2</v>
      </c>
      <c r="BT14" s="43">
        <f t="shared" si="73"/>
        <v>2.0215178141353762E-2</v>
      </c>
      <c r="BU14" s="43">
        <f t="shared" si="73"/>
        <v>3.2488062374754323E-2</v>
      </c>
      <c r="BV14" s="43">
        <f t="shared" si="73"/>
        <v>3.80886500606894E-2</v>
      </c>
      <c r="BW14" s="43">
        <f t="shared" si="73"/>
        <v>3.5909851573579621E-2</v>
      </c>
      <c r="BX14" s="244">
        <f t="shared" si="73"/>
        <v>3.2038411961277991E-2</v>
      </c>
      <c r="BY14" s="43">
        <f t="shared" si="73"/>
        <v>2.7545387248987252E-2</v>
      </c>
      <c r="BZ14" s="43">
        <f t="shared" si="73"/>
        <v>1.4242768051358601E-2</v>
      </c>
      <c r="CA14" s="43">
        <f t="shared" si="73"/>
        <v>2.647025300061201E-2</v>
      </c>
      <c r="CB14" s="43">
        <f t="shared" si="73"/>
        <v>4.7452759508845865E-2</v>
      </c>
      <c r="CC14" s="244">
        <f>CC13/BX13-1</f>
        <v>2.8821287714909438E-2</v>
      </c>
      <c r="CD14" s="43">
        <f t="shared" si="73"/>
        <v>5.0581582984753126E-2</v>
      </c>
      <c r="CE14" s="43">
        <f t="shared" si="73"/>
        <v>5.30641793474671E-2</v>
      </c>
      <c r="CF14" s="43">
        <f t="shared" si="73"/>
        <v>3.9253360028321138E-2</v>
      </c>
      <c r="CG14" s="43">
        <f t="shared" si="73"/>
        <v>2.6847255581537333E-2</v>
      </c>
      <c r="CH14" s="244">
        <f>CH13/CC13-1</f>
        <v>4.1944519237841593E-2</v>
      </c>
      <c r="CI14" s="43">
        <f t="shared" si="73"/>
        <v>1.4008774417036518E-2</v>
      </c>
      <c r="CJ14" s="43">
        <f t="shared" si="73"/>
        <v>2.461037879954997E-4</v>
      </c>
      <c r="CK14" s="43">
        <f t="shared" si="73"/>
        <v>1.4165143305060246E-2</v>
      </c>
      <c r="CL14" s="43">
        <f t="shared" si="73"/>
        <v>8.4668911347336451E-3</v>
      </c>
      <c r="CM14" s="244">
        <f>CM13/CH13-1</f>
        <v>9.3688296261338344E-3</v>
      </c>
      <c r="CN14" s="43">
        <f t="shared" si="73"/>
        <v>1.3663131637987602E-2</v>
      </c>
      <c r="CO14" s="43">
        <f t="shared" si="73"/>
        <v>1.774768484562772E-2</v>
      </c>
      <c r="CP14" s="43">
        <f t="shared" si="73"/>
        <v>1.2495686523693372E-2</v>
      </c>
      <c r="CQ14" s="43">
        <f t="shared" si="73"/>
        <v>3.2262354846676722E-2</v>
      </c>
      <c r="CR14" s="110">
        <f>CR13/CM13-1</f>
        <v>1.8332966988187538E-2</v>
      </c>
      <c r="CS14" s="43">
        <f t="shared" si="73"/>
        <v>2.147433430730028E-2</v>
      </c>
      <c r="CT14" s="43">
        <f t="shared" si="73"/>
        <v>2.7322033367927379E-2</v>
      </c>
      <c r="CU14" s="43">
        <f t="shared" si="73"/>
        <v>1.6982644880170206E-2</v>
      </c>
      <c r="CV14" s="43">
        <f t="shared" si="73"/>
        <v>-3.4742539703036535E-3</v>
      </c>
      <c r="CW14" s="110">
        <f>CW13/CR13-1</f>
        <v>1.6093848091527807E-2</v>
      </c>
      <c r="CX14" s="43">
        <f t="shared" si="73"/>
        <v>1.1327364007188034E-2</v>
      </c>
      <c r="CY14" s="43">
        <f t="shared" si="73"/>
        <v>6.9626438094622767E-2</v>
      </c>
      <c r="CZ14" s="43">
        <f t="shared" si="73"/>
        <v>7.7690197249994597E-2</v>
      </c>
      <c r="DA14" s="43">
        <f t="shared" si="73"/>
        <v>9.2529502490083848E-2</v>
      </c>
      <c r="DB14" s="110">
        <f t="shared" ref="DB14:DS14" si="74">DB13/CW13-1</f>
        <v>6.35892805308238E-2</v>
      </c>
      <c r="DC14" s="43">
        <f t="shared" si="74"/>
        <v>5.0737546560065017E-2</v>
      </c>
      <c r="DD14" s="43">
        <f t="shared" si="74"/>
        <v>5.7025859840593274E-2</v>
      </c>
      <c r="DE14" s="43">
        <f t="shared" si="74"/>
        <v>4.4349623858651599E-2</v>
      </c>
      <c r="DF14" s="43">
        <f t="shared" si="74"/>
        <v>1.1306431249219928E-2</v>
      </c>
      <c r="DG14" s="110">
        <f t="shared" si="74"/>
        <v>4.0392426425767125E-2</v>
      </c>
      <c r="DH14" s="43">
        <f t="shared" si="74"/>
        <v>4.351667346081789E-2</v>
      </c>
      <c r="DI14" s="43">
        <f t="shared" si="74"/>
        <v>-1.7043562732397821E-2</v>
      </c>
      <c r="DJ14" s="43">
        <f t="shared" si="74"/>
        <v>-9.7321526354369192E-3</v>
      </c>
      <c r="DK14" s="43">
        <f t="shared" si="74"/>
        <v>2.012357265292386E-2</v>
      </c>
      <c r="DL14" s="110">
        <f t="shared" si="74"/>
        <v>7.9717949680702116E-3</v>
      </c>
      <c r="DM14" s="43">
        <f t="shared" si="74"/>
        <v>1.7237577228169876E-2</v>
      </c>
      <c r="DN14" s="43">
        <f t="shared" si="74"/>
        <v>2.29939490810398E-2</v>
      </c>
      <c r="DO14" s="43">
        <f t="shared" si="74"/>
        <v>4.2323221791064736E-2</v>
      </c>
      <c r="DP14" s="43">
        <f t="shared" si="74"/>
        <v>2.2417796916385235E-2</v>
      </c>
      <c r="DQ14" s="110">
        <f>DQ13/DL13-1</f>
        <v>2.6244911144847727E-2</v>
      </c>
      <c r="DR14" s="43">
        <f t="shared" si="74"/>
        <v>2.2788286632464905E-2</v>
      </c>
      <c r="DS14" s="43">
        <f t="shared" si="74"/>
        <v>1.6810852436172086E-2</v>
      </c>
      <c r="DT14" s="43">
        <f t="shared" ref="DT14:DY14" si="75">DT13/DO13-1</f>
        <v>4.8216133450174059E-3</v>
      </c>
      <c r="DU14" s="43">
        <f t="shared" si="75"/>
        <v>6.1323169800608923E-3</v>
      </c>
      <c r="DV14" s="110">
        <f t="shared" si="75"/>
        <v>1.2649161477134019E-2</v>
      </c>
      <c r="DW14" s="43">
        <f t="shared" si="75"/>
        <v>1.4444035782014364E-2</v>
      </c>
      <c r="DX14" s="43">
        <f t="shared" si="75"/>
        <v>2.1674589625225948E-2</v>
      </c>
      <c r="DY14" s="43">
        <f t="shared" si="75"/>
        <v>1.1512160683702755E-2</v>
      </c>
      <c r="DZ14" s="43">
        <f>DZ13/DU13-1</f>
        <v>2.2163549507713043E-2</v>
      </c>
      <c r="EA14" s="110">
        <f>EA13/DV13-1</f>
        <v>1.7495681224514836E-2</v>
      </c>
      <c r="EB14" s="43">
        <f>EB13/DW13-1</f>
        <v>1.552800153277456E-2</v>
      </c>
      <c r="EC14" s="43">
        <f t="shared" ref="EC14:ED14" si="76">EC13/DX13-1</f>
        <v>9.4502966297107527E-3</v>
      </c>
      <c r="ED14" s="43">
        <f t="shared" si="76"/>
        <v>1.0601231298357217E-3</v>
      </c>
      <c r="EE14" s="43">
        <f>EE13/DZ13-1</f>
        <v>-9.171291143637017E-4</v>
      </c>
      <c r="EF14" s="110">
        <f>EF13/EA13-1</f>
        <v>5.8306109423011954E-3</v>
      </c>
      <c r="EG14" s="43">
        <f>EG13/EB13-1</f>
        <v>1.2167686924779986E-4</v>
      </c>
      <c r="EH14" s="43">
        <f t="shared" ref="EH14:EI14" si="77">EH13/EC13-1</f>
        <v>1.2733712034207478E-4</v>
      </c>
      <c r="EI14" s="43">
        <f t="shared" si="77"/>
        <v>-1.4001745732454496E-2</v>
      </c>
      <c r="EJ14" s="43">
        <f>EJ13/EE13-1</f>
        <v>-2.5159498923348012E-2</v>
      </c>
      <c r="EK14" s="110">
        <f>EK13/EF13-1</f>
        <v>-9.9469415126159921E-3</v>
      </c>
      <c r="EL14" s="800"/>
      <c r="EM14" s="800"/>
      <c r="EN14" s="800"/>
      <c r="EO14" s="800"/>
      <c r="EP14" s="484"/>
      <c r="EQ14" s="133">
        <v>0.01</v>
      </c>
      <c r="ER14" s="133">
        <v>0.01</v>
      </c>
      <c r="ES14" s="133">
        <v>0.01</v>
      </c>
      <c r="ET14" s="133">
        <v>0.01</v>
      </c>
      <c r="EU14" s="110">
        <f>EU13/EP13-1</f>
        <v>9.456334332643257E-3</v>
      </c>
      <c r="EV14" s="133"/>
      <c r="EW14" s="133"/>
      <c r="EX14" s="133"/>
      <c r="EY14" s="133"/>
      <c r="EZ14" s="709">
        <v>0.01</v>
      </c>
      <c r="FA14" s="133"/>
      <c r="FB14" s="133"/>
      <c r="FC14" s="133"/>
      <c r="FD14" s="133"/>
      <c r="FE14" s="709">
        <v>0.01</v>
      </c>
      <c r="FF14" s="133"/>
      <c r="FG14" s="437"/>
      <c r="FL14" s="408" t="s">
        <v>588</v>
      </c>
      <c r="FM14" s="408"/>
      <c r="FN14" s="408"/>
      <c r="FO14" s="369"/>
      <c r="FP14" s="369"/>
      <c r="FQ14" s="369"/>
      <c r="FR14" s="369"/>
      <c r="FS14" s="369"/>
      <c r="FT14" s="190"/>
    </row>
    <row r="15" spans="1:183" s="131" customFormat="1" ht="12.75" customHeight="1" x14ac:dyDescent="0.2">
      <c r="A15" s="134" t="s">
        <v>111</v>
      </c>
      <c r="B15" s="822">
        <v>96</v>
      </c>
      <c r="C15" s="822">
        <v>100</v>
      </c>
      <c r="D15" s="822">
        <v>101</v>
      </c>
      <c r="E15" s="822">
        <f>F15</f>
        <v>106</v>
      </c>
      <c r="F15" s="248">
        <v>106</v>
      </c>
      <c r="G15" s="822">
        <v>106</v>
      </c>
      <c r="H15" s="822">
        <v>115</v>
      </c>
      <c r="I15" s="822">
        <v>121</v>
      </c>
      <c r="J15" s="822">
        <f>K15</f>
        <v>124</v>
      </c>
      <c r="K15" s="248">
        <v>124</v>
      </c>
      <c r="L15" s="822">
        <v>128</v>
      </c>
      <c r="M15" s="822">
        <v>138</v>
      </c>
      <c r="N15" s="822">
        <v>139</v>
      </c>
      <c r="O15" s="822">
        <f>P15</f>
        <v>141</v>
      </c>
      <c r="P15" s="248">
        <v>141</v>
      </c>
      <c r="Q15" s="822">
        <v>144</v>
      </c>
      <c r="R15" s="822">
        <v>150</v>
      </c>
      <c r="S15" s="822">
        <v>156</v>
      </c>
      <c r="T15" s="822">
        <f>U15</f>
        <v>178</v>
      </c>
      <c r="U15" s="248">
        <v>178</v>
      </c>
      <c r="V15" s="822">
        <v>182</v>
      </c>
      <c r="W15" s="822">
        <v>189</v>
      </c>
      <c r="X15" s="822">
        <v>195</v>
      </c>
      <c r="Y15" s="822">
        <v>199</v>
      </c>
      <c r="Z15" s="248">
        <f>Y15</f>
        <v>199</v>
      </c>
      <c r="AA15" s="822">
        <v>204</v>
      </c>
      <c r="AB15" s="822">
        <v>210</v>
      </c>
      <c r="AC15" s="822">
        <v>219</v>
      </c>
      <c r="AD15" s="822">
        <v>224</v>
      </c>
      <c r="AE15" s="248">
        <f>AD15</f>
        <v>224</v>
      </c>
      <c r="AF15" s="822">
        <v>229</v>
      </c>
      <c r="AG15" s="822">
        <v>237</v>
      </c>
      <c r="AH15" s="822">
        <v>241</v>
      </c>
      <c r="AI15" s="822">
        <v>243</v>
      </c>
      <c r="AJ15" s="248">
        <f>AI15</f>
        <v>243</v>
      </c>
      <c r="AK15" s="822">
        <v>246</v>
      </c>
      <c r="AL15" s="822">
        <v>252</v>
      </c>
      <c r="AM15" s="822">
        <v>258</v>
      </c>
      <c r="AN15" s="822">
        <v>261</v>
      </c>
      <c r="AO15" s="248">
        <f>AN15</f>
        <v>261</v>
      </c>
      <c r="AP15" s="822">
        <v>264</v>
      </c>
      <c r="AQ15" s="822">
        <v>273</v>
      </c>
      <c r="AR15" s="822">
        <v>276</v>
      </c>
      <c r="AS15" s="822">
        <v>280</v>
      </c>
      <c r="AT15" s="248">
        <f>AS15</f>
        <v>280</v>
      </c>
      <c r="AU15" s="822">
        <v>287</v>
      </c>
      <c r="AV15" s="822">
        <v>294</v>
      </c>
      <c r="AW15" s="822">
        <v>306</v>
      </c>
      <c r="AX15" s="822">
        <v>312</v>
      </c>
      <c r="AY15" s="248">
        <f>AX15</f>
        <v>312</v>
      </c>
      <c r="AZ15" s="822">
        <v>315</v>
      </c>
      <c r="BA15" s="822">
        <v>324</v>
      </c>
      <c r="BB15" s="822">
        <v>334</v>
      </c>
      <c r="BC15" s="822">
        <v>344</v>
      </c>
      <c r="BD15" s="248">
        <f>BC15</f>
        <v>344</v>
      </c>
      <c r="BE15" s="822">
        <v>352</v>
      </c>
      <c r="BF15" s="822">
        <v>356</v>
      </c>
      <c r="BG15" s="822">
        <v>358</v>
      </c>
      <c r="BH15" s="822">
        <v>355</v>
      </c>
      <c r="BI15" s="248">
        <f>BH15</f>
        <v>355</v>
      </c>
      <c r="BJ15" s="822">
        <v>359</v>
      </c>
      <c r="BK15" s="822">
        <v>366</v>
      </c>
      <c r="BL15" s="822">
        <v>370</v>
      </c>
      <c r="BM15" s="822">
        <v>375</v>
      </c>
      <c r="BN15" s="248">
        <f>BM15</f>
        <v>375</v>
      </c>
      <c r="BO15" s="822">
        <v>377</v>
      </c>
      <c r="BP15" s="822">
        <v>379</v>
      </c>
      <c r="BQ15" s="822">
        <v>385</v>
      </c>
      <c r="BR15" s="822">
        <v>388</v>
      </c>
      <c r="BS15" s="248">
        <f>BR15</f>
        <v>388</v>
      </c>
      <c r="BT15" s="822">
        <v>393</v>
      </c>
      <c r="BU15" s="822">
        <v>405</v>
      </c>
      <c r="BV15" s="822">
        <v>415</v>
      </c>
      <c r="BW15" s="822">
        <v>417</v>
      </c>
      <c r="BX15" s="248">
        <f>BW15</f>
        <v>417</v>
      </c>
      <c r="BY15" s="822">
        <v>424</v>
      </c>
      <c r="BZ15" s="822">
        <v>434</v>
      </c>
      <c r="CA15" s="822">
        <v>439</v>
      </c>
      <c r="CB15" s="822">
        <v>445</v>
      </c>
      <c r="CC15" s="248">
        <f>CB15</f>
        <v>445</v>
      </c>
      <c r="CD15" s="822">
        <v>451</v>
      </c>
      <c r="CE15" s="822">
        <v>462</v>
      </c>
      <c r="CF15" s="822">
        <v>475</v>
      </c>
      <c r="CG15" s="822">
        <v>481</v>
      </c>
      <c r="CH15" s="248">
        <f>CG15</f>
        <v>481</v>
      </c>
      <c r="CI15" s="822">
        <v>489</v>
      </c>
      <c r="CJ15" s="822">
        <v>500</v>
      </c>
      <c r="CK15" s="822">
        <v>511</v>
      </c>
      <c r="CL15" s="822">
        <v>520</v>
      </c>
      <c r="CM15" s="248">
        <f>CL15</f>
        <v>520</v>
      </c>
      <c r="CN15" s="822">
        <v>527</v>
      </c>
      <c r="CO15" s="822">
        <v>535</v>
      </c>
      <c r="CP15" s="822">
        <v>538</v>
      </c>
      <c r="CQ15" s="822">
        <v>537</v>
      </c>
      <c r="CR15" s="304">
        <f>CQ15</f>
        <v>537</v>
      </c>
      <c r="CS15" s="822">
        <v>675</v>
      </c>
      <c r="CT15" s="822">
        <v>679</v>
      </c>
      <c r="CU15" s="822">
        <v>681</v>
      </c>
      <c r="CV15" s="822">
        <v>675</v>
      </c>
      <c r="CW15" s="304">
        <f>CV15</f>
        <v>675</v>
      </c>
      <c r="CX15" s="822">
        <v>679</v>
      </c>
      <c r="CY15" s="822">
        <v>682</v>
      </c>
      <c r="CZ15" s="822">
        <v>682</v>
      </c>
      <c r="DA15" s="822">
        <v>686</v>
      </c>
      <c r="DB15" s="304">
        <f>DA15</f>
        <v>686</v>
      </c>
      <c r="DC15" s="822">
        <v>690</v>
      </c>
      <c r="DD15" s="822">
        <v>694</v>
      </c>
      <c r="DE15" s="822">
        <v>699</v>
      </c>
      <c r="DF15" s="822">
        <v>698</v>
      </c>
      <c r="DG15" s="304">
        <f>DF15</f>
        <v>698</v>
      </c>
      <c r="DH15" s="822">
        <v>694</v>
      </c>
      <c r="DI15" s="822">
        <v>695</v>
      </c>
      <c r="DJ15" s="822">
        <v>692</v>
      </c>
      <c r="DK15" s="822">
        <v>694</v>
      </c>
      <c r="DL15" s="304">
        <f>DK15</f>
        <v>694</v>
      </c>
      <c r="DM15" s="822">
        <v>696</v>
      </c>
      <c r="DN15" s="822">
        <v>696</v>
      </c>
      <c r="DO15" s="822">
        <v>683</v>
      </c>
      <c r="DP15" s="822">
        <v>680</v>
      </c>
      <c r="DQ15" s="304">
        <f>DP15</f>
        <v>680</v>
      </c>
      <c r="DR15" s="822">
        <v>676</v>
      </c>
      <c r="DS15" s="822">
        <v>683</v>
      </c>
      <c r="DT15" s="822">
        <v>685</v>
      </c>
      <c r="DU15" s="822">
        <v>665</v>
      </c>
      <c r="DV15" s="304">
        <f>DU15</f>
        <v>665</v>
      </c>
      <c r="DW15" s="822">
        <v>679</v>
      </c>
      <c r="DX15" s="822">
        <v>689</v>
      </c>
      <c r="DY15" s="822">
        <v>692</v>
      </c>
      <c r="DZ15" s="822">
        <v>704</v>
      </c>
      <c r="EA15" s="304">
        <f>DZ15</f>
        <v>704</v>
      </c>
      <c r="EB15" s="822">
        <v>714</v>
      </c>
      <c r="EC15" s="822">
        <v>719</v>
      </c>
      <c r="ED15" s="822">
        <v>714</v>
      </c>
      <c r="EE15" s="822">
        <v>723</v>
      </c>
      <c r="EF15" s="304">
        <f>EE15</f>
        <v>723</v>
      </c>
      <c r="EG15" s="822">
        <v>727</v>
      </c>
      <c r="EH15" s="822">
        <v>735</v>
      </c>
      <c r="EI15" s="822">
        <v>687</v>
      </c>
      <c r="EJ15" s="822">
        <v>706</v>
      </c>
      <c r="EK15" s="304">
        <f>EJ15</f>
        <v>706</v>
      </c>
      <c r="EL15" s="875">
        <v>727</v>
      </c>
      <c r="EM15" s="875">
        <v>735</v>
      </c>
      <c r="EN15" s="875">
        <v>687</v>
      </c>
      <c r="EO15" s="875">
        <v>706</v>
      </c>
      <c r="EP15" s="876">
        <f>EO15</f>
        <v>706</v>
      </c>
      <c r="EQ15" s="135">
        <f>+EO15+22</f>
        <v>728</v>
      </c>
      <c r="ER15" s="135">
        <f>+EQ15+20</f>
        <v>748</v>
      </c>
      <c r="ES15" s="135">
        <f>+ER15</f>
        <v>748</v>
      </c>
      <c r="ET15" s="135">
        <f>+ES15</f>
        <v>748</v>
      </c>
      <c r="EU15" s="304">
        <f>ET15</f>
        <v>748</v>
      </c>
      <c r="EV15" s="135"/>
      <c r="EW15" s="135"/>
      <c r="EX15" s="135"/>
      <c r="EY15" s="135"/>
      <c r="EZ15" s="614">
        <f>+EU15+22</f>
        <v>770</v>
      </c>
      <c r="FA15" s="135"/>
      <c r="FB15" s="135"/>
      <c r="FC15" s="135"/>
      <c r="FD15" s="135"/>
      <c r="FE15" s="614">
        <f>+EZ15+25</f>
        <v>795</v>
      </c>
      <c r="FF15" s="339"/>
      <c r="FG15" s="439"/>
      <c r="FH15" s="239"/>
      <c r="FI15" s="231"/>
      <c r="FJ15" s="231"/>
      <c r="FK15" s="231"/>
      <c r="FL15" s="388"/>
      <c r="FM15" s="408"/>
      <c r="FN15" s="408"/>
      <c r="FO15" s="369"/>
      <c r="FP15" s="369"/>
      <c r="FQ15" s="369"/>
      <c r="FR15" s="370"/>
      <c r="FS15" s="370"/>
      <c r="FT15" s="436"/>
      <c r="FU15"/>
      <c r="FV15"/>
      <c r="FW15"/>
      <c r="FX15"/>
      <c r="FY15"/>
      <c r="FZ15"/>
      <c r="GA15" s="240"/>
    </row>
    <row r="16" spans="1:183" ht="12.75" customHeight="1" x14ac:dyDescent="0.2">
      <c r="A16" s="70" t="s">
        <v>110</v>
      </c>
      <c r="B16" s="490"/>
      <c r="C16" s="490">
        <f>AVERAGE(B15,C15)</f>
        <v>98</v>
      </c>
      <c r="D16" s="490">
        <f>AVERAGE(C15,D15)</f>
        <v>100.5</v>
      </c>
      <c r="E16" s="490">
        <f>AVERAGE(D15,E15)</f>
        <v>103.5</v>
      </c>
      <c r="F16" s="249"/>
      <c r="G16" s="490">
        <f>AVERAGE(E15,G15)</f>
        <v>106</v>
      </c>
      <c r="H16" s="490">
        <f>AVERAGE(G15,H15)</f>
        <v>110.5</v>
      </c>
      <c r="I16" s="490">
        <f>AVERAGE(H15,I15)</f>
        <v>118</v>
      </c>
      <c r="J16" s="490">
        <f>AVERAGE(I15,J15)</f>
        <v>122.5</v>
      </c>
      <c r="K16" s="249">
        <f>AVERAGE(F15,K15)</f>
        <v>115</v>
      </c>
      <c r="L16" s="490">
        <f>AVERAGE(J15,L15)</f>
        <v>126</v>
      </c>
      <c r="M16" s="490">
        <f>AVERAGE(L15,M15)</f>
        <v>133</v>
      </c>
      <c r="N16" s="490">
        <f>AVERAGE(M15,N15)</f>
        <v>138.5</v>
      </c>
      <c r="O16" s="490">
        <f>AVERAGE(N15,O15)</f>
        <v>140</v>
      </c>
      <c r="P16" s="249">
        <f>AVERAGE(K15,P15)</f>
        <v>132.5</v>
      </c>
      <c r="Q16" s="490">
        <f>AVERAGE(O15,Q15)</f>
        <v>142.5</v>
      </c>
      <c r="R16" s="490">
        <f>AVERAGE(Q15,R15)</f>
        <v>147</v>
      </c>
      <c r="S16" s="490">
        <f>AVERAGE(R15,S15)</f>
        <v>153</v>
      </c>
      <c r="T16" s="490">
        <f>AVERAGE(S15,T15)</f>
        <v>167</v>
      </c>
      <c r="U16" s="249">
        <f>AVERAGE(P15,U15)</f>
        <v>159.5</v>
      </c>
      <c r="V16" s="490">
        <f>AVERAGE(T15,V15)</f>
        <v>180</v>
      </c>
      <c r="W16" s="490">
        <f>AVERAGE(V15,W15)</f>
        <v>185.5</v>
      </c>
      <c r="X16" s="490">
        <f>AVERAGE(W15,X15)</f>
        <v>192</v>
      </c>
      <c r="Y16" s="490">
        <f>AVERAGE(X15,Y15)</f>
        <v>197</v>
      </c>
      <c r="Z16" s="249">
        <f>AVERAGE(U15,Z15)</f>
        <v>188.5</v>
      </c>
      <c r="AA16" s="490">
        <f>AVERAGE(Y15,AA15)</f>
        <v>201.5</v>
      </c>
      <c r="AB16" s="490">
        <f>AVERAGE(AA15,AB15)</f>
        <v>207</v>
      </c>
      <c r="AC16" s="490">
        <f>AVERAGE(AB15,AC15)</f>
        <v>214.5</v>
      </c>
      <c r="AD16" s="490">
        <f>AVERAGE(AC15,AD15)</f>
        <v>221.5</v>
      </c>
      <c r="AE16" s="249">
        <f>AVERAGE(Z15,AE15)</f>
        <v>211.5</v>
      </c>
      <c r="AF16" s="490">
        <f>AVERAGE(AD15,AF15)</f>
        <v>226.5</v>
      </c>
      <c r="AG16" s="490">
        <f>AVERAGE(AF15,AG15)</f>
        <v>233</v>
      </c>
      <c r="AH16" s="490">
        <f>AVERAGE(AG15,AH15)</f>
        <v>239</v>
      </c>
      <c r="AI16" s="490">
        <f>AVERAGE(AH15,AI15)</f>
        <v>242</v>
      </c>
      <c r="AJ16" s="249">
        <f>AVERAGE(AE15,AJ15)</f>
        <v>233.5</v>
      </c>
      <c r="AK16" s="490">
        <f>AVERAGE(AI15,AK15)</f>
        <v>244.5</v>
      </c>
      <c r="AL16" s="490">
        <f>AVERAGE(AK15,AL15)</f>
        <v>249</v>
      </c>
      <c r="AM16" s="490">
        <f>AVERAGE(AL15,AM15)</f>
        <v>255</v>
      </c>
      <c r="AN16" s="490">
        <f>AVERAGE(AM15,AN15)</f>
        <v>259.5</v>
      </c>
      <c r="AO16" s="249">
        <f>AVERAGE(AJ15,AO15)</f>
        <v>252</v>
      </c>
      <c r="AP16" s="490">
        <f>AVERAGE(AN15,AP15)</f>
        <v>262.5</v>
      </c>
      <c r="AQ16" s="490">
        <f>AVERAGE(AP15,AQ15)</f>
        <v>268.5</v>
      </c>
      <c r="AR16" s="490">
        <f>AVERAGE(AQ15,AR15)</f>
        <v>274.5</v>
      </c>
      <c r="AS16" s="490">
        <f>AVERAGE(AR15,AS15)</f>
        <v>278</v>
      </c>
      <c r="AT16" s="249">
        <f>AVERAGE(AO15,AT15)</f>
        <v>270.5</v>
      </c>
      <c r="AU16" s="490">
        <f>AVERAGE(AS15,AU15)</f>
        <v>283.5</v>
      </c>
      <c r="AV16" s="490">
        <f>AVERAGE(AU15,AV15)</f>
        <v>290.5</v>
      </c>
      <c r="AW16" s="490">
        <f>AVERAGE(AV15,AW15)</f>
        <v>300</v>
      </c>
      <c r="AX16" s="490">
        <f>AVERAGE(AW15,AX15)</f>
        <v>309</v>
      </c>
      <c r="AY16" s="249">
        <f>AVERAGE(AT15,AY15)</f>
        <v>296</v>
      </c>
      <c r="AZ16" s="490">
        <f>AVERAGE(AX15,AZ15)</f>
        <v>313.5</v>
      </c>
      <c r="BA16" s="490">
        <f>AVERAGE(AZ15,BA15)</f>
        <v>319.5</v>
      </c>
      <c r="BB16" s="490">
        <f>AVERAGE(BA15,BB15)</f>
        <v>329</v>
      </c>
      <c r="BC16" s="490">
        <f>AVERAGE(BB15,BC15)</f>
        <v>339</v>
      </c>
      <c r="BD16" s="249">
        <f>AVERAGE(AY15,BD15)</f>
        <v>328</v>
      </c>
      <c r="BE16" s="490">
        <f>AVERAGE(BC15,BE15)</f>
        <v>348</v>
      </c>
      <c r="BF16" s="490">
        <f>AVERAGE(BE15,BF15)</f>
        <v>354</v>
      </c>
      <c r="BG16" s="490">
        <f>AVERAGE(BF15,BG15)</f>
        <v>357</v>
      </c>
      <c r="BH16" s="490">
        <f>AVERAGE(BG15,BH15)</f>
        <v>356.5</v>
      </c>
      <c r="BI16" s="249">
        <f>AVERAGE(BD15,BI15)</f>
        <v>349.5</v>
      </c>
      <c r="BJ16" s="490">
        <f>AVERAGE(BH15,BJ15)</f>
        <v>357</v>
      </c>
      <c r="BK16" s="490">
        <f>AVERAGE(BJ15,BK15)</f>
        <v>362.5</v>
      </c>
      <c r="BL16" s="490">
        <f>AVERAGE(BK15,BL15)</f>
        <v>368</v>
      </c>
      <c r="BM16" s="490">
        <f>AVERAGE(BL15,BM15)</f>
        <v>372.5</v>
      </c>
      <c r="BN16" s="249">
        <f>AVERAGE(BI15,BN15)</f>
        <v>365</v>
      </c>
      <c r="BO16" s="490">
        <f>AVERAGE(BM15,BO15)</f>
        <v>376</v>
      </c>
      <c r="BP16" s="490">
        <f>AVERAGE(BO15,BP15)</f>
        <v>378</v>
      </c>
      <c r="BQ16" s="490">
        <f>AVERAGE(BP15,BQ15)</f>
        <v>382</v>
      </c>
      <c r="BR16" s="490">
        <f>AVERAGE(BQ15,BR15)</f>
        <v>386.5</v>
      </c>
      <c r="BS16" s="249">
        <f>AVERAGE(BN15,BS15)</f>
        <v>381.5</v>
      </c>
      <c r="BT16" s="490">
        <f>AVERAGE(BR15,BT15)</f>
        <v>390.5</v>
      </c>
      <c r="BU16" s="490">
        <f>AVERAGE(BT15,BU15)</f>
        <v>399</v>
      </c>
      <c r="BV16" s="490">
        <f>AVERAGE(BU15,BV15)</f>
        <v>410</v>
      </c>
      <c r="BW16" s="490">
        <f>AVERAGE(BV15,BW15)</f>
        <v>416</v>
      </c>
      <c r="BX16" s="249">
        <f>AVERAGE(BS15,BX15)</f>
        <v>402.5</v>
      </c>
      <c r="BY16" s="490">
        <f>AVERAGE(BW15,BY15)</f>
        <v>420.5</v>
      </c>
      <c r="BZ16" s="490">
        <f>AVERAGE(BY15,BZ15)</f>
        <v>429</v>
      </c>
      <c r="CA16" s="490">
        <f>AVERAGE(BZ15,CA15)</f>
        <v>436.5</v>
      </c>
      <c r="CB16" s="490">
        <f>AVERAGE(CA15,CB15)</f>
        <v>442</v>
      </c>
      <c r="CC16" s="249">
        <f>AVERAGE(BX15,CC15)</f>
        <v>431</v>
      </c>
      <c r="CD16" s="490">
        <f>AVERAGE(CB15,CD15)</f>
        <v>448</v>
      </c>
      <c r="CE16" s="490">
        <f>AVERAGE(CD15,CE15)</f>
        <v>456.5</v>
      </c>
      <c r="CF16" s="490">
        <f>AVERAGE(CE15,CF15)</f>
        <v>468.5</v>
      </c>
      <c r="CG16" s="490">
        <f>AVERAGE(CF15,CG15)</f>
        <v>478</v>
      </c>
      <c r="CH16" s="249">
        <f>AVERAGE(CC15,CH15)</f>
        <v>463</v>
      </c>
      <c r="CI16" s="490">
        <f>AVERAGE(CG15,CI15)</f>
        <v>485</v>
      </c>
      <c r="CJ16" s="490">
        <f>AVERAGE(CI15,CJ15)</f>
        <v>494.5</v>
      </c>
      <c r="CK16" s="490">
        <f>AVERAGE(CJ15,CK15)</f>
        <v>505.5</v>
      </c>
      <c r="CL16" s="490">
        <f>AVERAGE(CK15,CL15)</f>
        <v>515.5</v>
      </c>
      <c r="CM16" s="249">
        <f>AVERAGE(CH15,CM15)</f>
        <v>500.5</v>
      </c>
      <c r="CN16" s="490">
        <f>AVERAGE(CL15,CN15)</f>
        <v>523.5</v>
      </c>
      <c r="CO16" s="490">
        <f>AVERAGE(CN15,CO15)</f>
        <v>531</v>
      </c>
      <c r="CP16" s="490">
        <f>AVERAGE(CO15,CP15)</f>
        <v>536.5</v>
      </c>
      <c r="CQ16" s="490">
        <f>AVERAGE(CP15,CQ15)</f>
        <v>537.5</v>
      </c>
      <c r="CR16" s="305">
        <f>AVERAGE(CM15,CR15)</f>
        <v>528.5</v>
      </c>
      <c r="CS16" s="490">
        <f>AVERAGE(CQ15,CS15)</f>
        <v>606</v>
      </c>
      <c r="CT16" s="490">
        <f>AVERAGE(CS15,CT15)</f>
        <v>677</v>
      </c>
      <c r="CU16" s="490">
        <f>AVERAGE(CT15,CU15)</f>
        <v>680</v>
      </c>
      <c r="CV16" s="490">
        <f>AVERAGE(CU15,CV15)</f>
        <v>678</v>
      </c>
      <c r="CW16" s="305">
        <f>AVERAGE(CR15,CW15)</f>
        <v>606</v>
      </c>
      <c r="CX16" s="490">
        <f>AVERAGE(CW15,CX15)</f>
        <v>677</v>
      </c>
      <c r="CY16" s="490">
        <f>AVERAGE(CX15,CY15)</f>
        <v>680.5</v>
      </c>
      <c r="CZ16" s="490">
        <f>AVERAGE(CY15,CZ15)</f>
        <v>682</v>
      </c>
      <c r="DA16" s="490">
        <f>AVERAGE(CZ15,DA15)</f>
        <v>684</v>
      </c>
      <c r="DB16" s="305">
        <f>AVERAGE(CW15,DB15)</f>
        <v>680.5</v>
      </c>
      <c r="DC16" s="490">
        <f>AVERAGE(DB15,DC15)</f>
        <v>688</v>
      </c>
      <c r="DD16" s="490">
        <f>AVERAGE(DC15,DD15)</f>
        <v>692</v>
      </c>
      <c r="DE16" s="490">
        <f>AVERAGE(DD15,DE15)</f>
        <v>696.5</v>
      </c>
      <c r="DF16" s="490">
        <f>AVERAGE(DE15,DF15)</f>
        <v>698.5</v>
      </c>
      <c r="DG16" s="305">
        <f>AVERAGE(DB15,DG15)</f>
        <v>692</v>
      </c>
      <c r="DH16" s="490">
        <f>AVERAGE(DG15,DH15)</f>
        <v>696</v>
      </c>
      <c r="DI16" s="490">
        <f>AVERAGE(DH15,DI15)</f>
        <v>694.5</v>
      </c>
      <c r="DJ16" s="490">
        <f>AVERAGE(DI15,DJ15)</f>
        <v>693.5</v>
      </c>
      <c r="DK16" s="490">
        <f>AVERAGE(DJ15,DK15)</f>
        <v>693</v>
      </c>
      <c r="DL16" s="305">
        <f>AVERAGE(DG15,DL15)</f>
        <v>696</v>
      </c>
      <c r="DM16" s="490">
        <f>AVERAGE(DL15,DM15)</f>
        <v>695</v>
      </c>
      <c r="DN16" s="490">
        <f>AVERAGE(DM15,DN15)</f>
        <v>696</v>
      </c>
      <c r="DO16" s="490">
        <f>AVERAGE(DN15,DO15)</f>
        <v>689.5</v>
      </c>
      <c r="DP16" s="490">
        <f>AVERAGE(DO15,DP15)</f>
        <v>681.5</v>
      </c>
      <c r="DQ16" s="305">
        <f>AVERAGE(DL15,DQ15)</f>
        <v>687</v>
      </c>
      <c r="DR16" s="490">
        <f>AVERAGE(DQ15,DR15)</f>
        <v>678</v>
      </c>
      <c r="DS16" s="490">
        <f>AVERAGE(DR15,DS15)</f>
        <v>679.5</v>
      </c>
      <c r="DT16" s="490">
        <f>AVERAGE(DS15,DT15)</f>
        <v>684</v>
      </c>
      <c r="DU16" s="490">
        <f>AVERAGE(DT15,DU15)</f>
        <v>675</v>
      </c>
      <c r="DV16" s="305">
        <f>AVERAGE(DQ15,DV15)</f>
        <v>672.5</v>
      </c>
      <c r="DW16" s="490">
        <f>AVERAGE(DV15,DW15)</f>
        <v>672</v>
      </c>
      <c r="DX16" s="490">
        <f>AVERAGE(DW15,DX15)</f>
        <v>684</v>
      </c>
      <c r="DY16" s="490">
        <f>AVERAGE(DX15,DY15)</f>
        <v>690.5</v>
      </c>
      <c r="DZ16" s="490">
        <f>AVERAGE(DY15,DZ15)</f>
        <v>698</v>
      </c>
      <c r="EA16" s="305">
        <f>AVERAGE(DV15,EA15)</f>
        <v>684.5</v>
      </c>
      <c r="EB16" s="490">
        <f>AVERAGE(EA15,EB15)</f>
        <v>709</v>
      </c>
      <c r="EC16" s="490">
        <f>AVERAGE(EB15,EC15)</f>
        <v>716.5</v>
      </c>
      <c r="ED16" s="490">
        <f>AVERAGE(EC15,ED15)</f>
        <v>716.5</v>
      </c>
      <c r="EE16" s="490">
        <f>AVERAGE(ED15,EE15)</f>
        <v>718.5</v>
      </c>
      <c r="EF16" s="305">
        <f>AVERAGE(EA15,EF15)</f>
        <v>713.5</v>
      </c>
      <c r="EG16" s="490">
        <f>AVERAGE(EF15,EG15)</f>
        <v>725</v>
      </c>
      <c r="EH16" s="490">
        <f>AVERAGE(EG15,EH15)</f>
        <v>731</v>
      </c>
      <c r="EI16" s="490">
        <f>AVERAGE(EH15,EI15)</f>
        <v>711</v>
      </c>
      <c r="EJ16" s="490">
        <f>AVERAGE(EI15,EJ15)</f>
        <v>696.5</v>
      </c>
      <c r="EK16" s="305">
        <f>AVERAGE(EF15,EK15)</f>
        <v>714.5</v>
      </c>
      <c r="EL16" s="861">
        <f>AVERAGE(EF15,EL15)</f>
        <v>725</v>
      </c>
      <c r="EM16" s="861">
        <f>AVERAGE(EL15,EM15)</f>
        <v>731</v>
      </c>
      <c r="EN16" s="861">
        <f>AVERAGE(EM15,EN15)</f>
        <v>711</v>
      </c>
      <c r="EO16" s="861">
        <f>AVERAGE(EN15,EO15)</f>
        <v>696.5</v>
      </c>
      <c r="EP16" s="305">
        <f>AVERAGE(EK15,EP15)</f>
        <v>706</v>
      </c>
      <c r="EQ16" s="136">
        <f>AVERAGE(EO15,EQ15)</f>
        <v>717</v>
      </c>
      <c r="ER16" s="136">
        <f>AVERAGE(EQ15,ER15)</f>
        <v>738</v>
      </c>
      <c r="ES16" s="136">
        <f>AVERAGE(ER15,ES15)</f>
        <v>748</v>
      </c>
      <c r="ET16" s="136">
        <f>AVERAGE(ES15,ET15)</f>
        <v>748</v>
      </c>
      <c r="EU16" s="305">
        <f>AVERAGE(EP15,EU15)</f>
        <v>727</v>
      </c>
      <c r="EV16" s="136"/>
      <c r="EW16" s="136"/>
      <c r="EX16" s="136"/>
      <c r="EY16" s="136"/>
      <c r="EZ16" s="305">
        <f>AVERAGE(EU15,EZ15)</f>
        <v>759</v>
      </c>
      <c r="FA16" s="136"/>
      <c r="FB16" s="136"/>
      <c r="FC16" s="136"/>
      <c r="FD16" s="136"/>
      <c r="FE16" s="305">
        <f>AVERAGE(EZ15,FE15)</f>
        <v>782.5</v>
      </c>
      <c r="FF16" s="137"/>
      <c r="FG16" s="440"/>
      <c r="FL16" s="411"/>
      <c r="FM16" s="409"/>
      <c r="FN16" s="372"/>
      <c r="FO16" s="369"/>
      <c r="FP16" s="369"/>
      <c r="FQ16" s="369"/>
      <c r="FR16" s="372"/>
      <c r="FS16" s="372"/>
      <c r="FT16" s="462"/>
    </row>
    <row r="17" spans="1:184" ht="12.75" customHeight="1" x14ac:dyDescent="0.2">
      <c r="A17" s="58" t="s">
        <v>244</v>
      </c>
      <c r="B17" s="43"/>
      <c r="C17" s="43"/>
      <c r="D17" s="43"/>
      <c r="E17" s="43"/>
      <c r="F17" s="244"/>
      <c r="G17" s="43">
        <f t="shared" ref="G17:AL17" si="78">G15/B15-1</f>
        <v>0.10416666666666674</v>
      </c>
      <c r="H17" s="43">
        <f t="shared" si="78"/>
        <v>0.14999999999999991</v>
      </c>
      <c r="I17" s="43">
        <f t="shared" si="78"/>
        <v>0.19801980198019797</v>
      </c>
      <c r="J17" s="43">
        <f t="shared" si="78"/>
        <v>0.16981132075471694</v>
      </c>
      <c r="K17" s="244">
        <f t="shared" si="78"/>
        <v>0.16981132075471694</v>
      </c>
      <c r="L17" s="43">
        <f t="shared" si="78"/>
        <v>0.20754716981132071</v>
      </c>
      <c r="M17" s="43">
        <f t="shared" si="78"/>
        <v>0.19999999999999996</v>
      </c>
      <c r="N17" s="43">
        <f t="shared" si="78"/>
        <v>0.14876033057851235</v>
      </c>
      <c r="O17" s="43">
        <f t="shared" si="78"/>
        <v>0.13709677419354849</v>
      </c>
      <c r="P17" s="244">
        <f t="shared" si="78"/>
        <v>0.13709677419354849</v>
      </c>
      <c r="Q17" s="43">
        <f t="shared" si="78"/>
        <v>0.125</v>
      </c>
      <c r="R17" s="43">
        <f t="shared" si="78"/>
        <v>8.6956521739130377E-2</v>
      </c>
      <c r="S17" s="43">
        <f t="shared" si="78"/>
        <v>0.1223021582733812</v>
      </c>
      <c r="T17" s="43">
        <f t="shared" si="78"/>
        <v>0.26241134751773054</v>
      </c>
      <c r="U17" s="244">
        <f t="shared" si="78"/>
        <v>0.26241134751773054</v>
      </c>
      <c r="V17" s="43">
        <f t="shared" si="78"/>
        <v>0.26388888888888884</v>
      </c>
      <c r="W17" s="43">
        <f t="shared" si="78"/>
        <v>0.26</v>
      </c>
      <c r="X17" s="43">
        <f t="shared" si="78"/>
        <v>0.25</v>
      </c>
      <c r="Y17" s="43">
        <f t="shared" si="78"/>
        <v>0.1179775280898876</v>
      </c>
      <c r="Z17" s="244">
        <f t="shared" si="78"/>
        <v>0.1179775280898876</v>
      </c>
      <c r="AA17" s="43">
        <f t="shared" si="78"/>
        <v>0.12087912087912089</v>
      </c>
      <c r="AB17" s="43">
        <f t="shared" si="78"/>
        <v>0.11111111111111116</v>
      </c>
      <c r="AC17" s="43">
        <f t="shared" si="78"/>
        <v>0.12307692307692308</v>
      </c>
      <c r="AD17" s="43">
        <f t="shared" si="78"/>
        <v>0.12562814070351758</v>
      </c>
      <c r="AE17" s="244">
        <f t="shared" si="78"/>
        <v>0.12562814070351758</v>
      </c>
      <c r="AF17" s="43">
        <f t="shared" si="78"/>
        <v>0.12254901960784315</v>
      </c>
      <c r="AG17" s="43">
        <f t="shared" si="78"/>
        <v>0.12857142857142856</v>
      </c>
      <c r="AH17" s="43">
        <f t="shared" si="78"/>
        <v>0.10045662100456632</v>
      </c>
      <c r="AI17" s="43">
        <f t="shared" si="78"/>
        <v>8.4821428571428603E-2</v>
      </c>
      <c r="AJ17" s="244">
        <f t="shared" si="78"/>
        <v>8.4821428571428603E-2</v>
      </c>
      <c r="AK17" s="43">
        <f t="shared" si="78"/>
        <v>7.4235807860262071E-2</v>
      </c>
      <c r="AL17" s="43">
        <f t="shared" si="78"/>
        <v>6.3291139240506222E-2</v>
      </c>
      <c r="AM17" s="43">
        <f t="shared" ref="AM17:BR17" si="79">AM15/AH15-1</f>
        <v>7.0539419087136901E-2</v>
      </c>
      <c r="AN17" s="43">
        <f t="shared" si="79"/>
        <v>7.4074074074074181E-2</v>
      </c>
      <c r="AO17" s="244">
        <f t="shared" si="79"/>
        <v>7.4074074074074181E-2</v>
      </c>
      <c r="AP17" s="43">
        <f t="shared" si="79"/>
        <v>7.3170731707317138E-2</v>
      </c>
      <c r="AQ17" s="43">
        <f t="shared" si="79"/>
        <v>8.3333333333333259E-2</v>
      </c>
      <c r="AR17" s="43">
        <f t="shared" si="79"/>
        <v>6.9767441860465018E-2</v>
      </c>
      <c r="AS17" s="43">
        <f t="shared" si="79"/>
        <v>7.2796934865900331E-2</v>
      </c>
      <c r="AT17" s="244">
        <f t="shared" si="79"/>
        <v>7.2796934865900331E-2</v>
      </c>
      <c r="AU17" s="43">
        <f t="shared" si="79"/>
        <v>8.7121212121212155E-2</v>
      </c>
      <c r="AV17" s="43">
        <f t="shared" si="79"/>
        <v>7.6923076923076872E-2</v>
      </c>
      <c r="AW17" s="43">
        <f t="shared" si="79"/>
        <v>0.10869565217391308</v>
      </c>
      <c r="AX17" s="43">
        <f t="shared" si="79"/>
        <v>0.11428571428571432</v>
      </c>
      <c r="AY17" s="244">
        <f t="shared" si="79"/>
        <v>0.11428571428571432</v>
      </c>
      <c r="AZ17" s="43">
        <f t="shared" si="79"/>
        <v>9.7560975609756184E-2</v>
      </c>
      <c r="BA17" s="43">
        <f t="shared" si="79"/>
        <v>0.1020408163265305</v>
      </c>
      <c r="BB17" s="43">
        <f t="shared" si="79"/>
        <v>9.1503267973856106E-2</v>
      </c>
      <c r="BC17" s="43">
        <f t="shared" si="79"/>
        <v>0.10256410256410264</v>
      </c>
      <c r="BD17" s="244">
        <f t="shared" si="79"/>
        <v>0.10256410256410264</v>
      </c>
      <c r="BE17" s="43">
        <f t="shared" si="79"/>
        <v>0.11746031746031749</v>
      </c>
      <c r="BF17" s="43">
        <f t="shared" si="79"/>
        <v>9.8765432098765427E-2</v>
      </c>
      <c r="BG17" s="43">
        <f t="shared" si="79"/>
        <v>7.1856287425149601E-2</v>
      </c>
      <c r="BH17" s="43">
        <f t="shared" si="79"/>
        <v>3.1976744186046568E-2</v>
      </c>
      <c r="BI17" s="244">
        <f t="shared" si="79"/>
        <v>3.1976744186046568E-2</v>
      </c>
      <c r="BJ17" s="43">
        <f t="shared" si="79"/>
        <v>1.9886363636363535E-2</v>
      </c>
      <c r="BK17" s="43">
        <f t="shared" si="79"/>
        <v>2.8089887640449396E-2</v>
      </c>
      <c r="BL17" s="43">
        <f t="shared" si="79"/>
        <v>3.3519553072625774E-2</v>
      </c>
      <c r="BM17" s="43">
        <f t="shared" si="79"/>
        <v>5.6338028169014009E-2</v>
      </c>
      <c r="BN17" s="244">
        <f t="shared" si="79"/>
        <v>5.6338028169014009E-2</v>
      </c>
      <c r="BO17" s="43">
        <f t="shared" si="79"/>
        <v>5.0139275766016622E-2</v>
      </c>
      <c r="BP17" s="43">
        <f t="shared" si="79"/>
        <v>3.5519125683060038E-2</v>
      </c>
      <c r="BQ17" s="43">
        <f t="shared" si="79"/>
        <v>4.0540540540540571E-2</v>
      </c>
      <c r="BR17" s="43">
        <f t="shared" si="79"/>
        <v>3.4666666666666623E-2</v>
      </c>
      <c r="BS17" s="244">
        <f t="shared" ref="BS17:CT17" si="80">BS15/BN15-1</f>
        <v>3.4666666666666623E-2</v>
      </c>
      <c r="BT17" s="43">
        <f t="shared" si="80"/>
        <v>4.244031830238737E-2</v>
      </c>
      <c r="BU17" s="43">
        <f t="shared" si="80"/>
        <v>6.8601583113456543E-2</v>
      </c>
      <c r="BV17" s="43">
        <f t="shared" si="80"/>
        <v>7.7922077922077948E-2</v>
      </c>
      <c r="BW17" s="43">
        <f t="shared" si="80"/>
        <v>7.474226804123707E-2</v>
      </c>
      <c r="BX17" s="244">
        <f t="shared" si="80"/>
        <v>7.474226804123707E-2</v>
      </c>
      <c r="BY17" s="43">
        <f t="shared" si="80"/>
        <v>7.8880407124682028E-2</v>
      </c>
      <c r="BZ17" s="43">
        <f t="shared" si="80"/>
        <v>7.1604938271604857E-2</v>
      </c>
      <c r="CA17" s="43">
        <f t="shared" si="80"/>
        <v>5.7831325301204828E-2</v>
      </c>
      <c r="CB17" s="43">
        <f t="shared" si="80"/>
        <v>6.714628297362113E-2</v>
      </c>
      <c r="CC17" s="244">
        <f t="shared" si="80"/>
        <v>6.714628297362113E-2</v>
      </c>
      <c r="CD17" s="43">
        <f t="shared" si="80"/>
        <v>6.3679245283018826E-2</v>
      </c>
      <c r="CE17" s="43">
        <f t="shared" si="80"/>
        <v>6.4516129032258007E-2</v>
      </c>
      <c r="CF17" s="43">
        <f t="shared" si="80"/>
        <v>8.2004555808655955E-2</v>
      </c>
      <c r="CG17" s="43">
        <f t="shared" si="80"/>
        <v>8.0898876404494446E-2</v>
      </c>
      <c r="CH17" s="244">
        <f t="shared" si="80"/>
        <v>8.0898876404494446E-2</v>
      </c>
      <c r="CI17" s="43">
        <f t="shared" si="80"/>
        <v>8.4257206208425695E-2</v>
      </c>
      <c r="CJ17" s="43">
        <f t="shared" si="80"/>
        <v>8.2251082251082241E-2</v>
      </c>
      <c r="CK17" s="43">
        <f t="shared" si="80"/>
        <v>7.5789473684210629E-2</v>
      </c>
      <c r="CL17" s="43">
        <f t="shared" si="80"/>
        <v>8.1081081081081141E-2</v>
      </c>
      <c r="CM17" s="244">
        <f t="shared" si="80"/>
        <v>8.1081081081081141E-2</v>
      </c>
      <c r="CN17" s="43">
        <f t="shared" si="80"/>
        <v>7.7709611451942662E-2</v>
      </c>
      <c r="CO17" s="43">
        <f t="shared" si="80"/>
        <v>7.0000000000000062E-2</v>
      </c>
      <c r="CP17" s="43">
        <f t="shared" si="80"/>
        <v>5.2837573385518644E-2</v>
      </c>
      <c r="CQ17" s="43">
        <f t="shared" si="80"/>
        <v>3.2692307692307798E-2</v>
      </c>
      <c r="CR17" s="110">
        <f t="shared" si="80"/>
        <v>3.2692307692307798E-2</v>
      </c>
      <c r="CS17" s="43">
        <f t="shared" si="80"/>
        <v>0.28083491461100563</v>
      </c>
      <c r="CT17" s="43">
        <f t="shared" si="80"/>
        <v>0.26915887850467279</v>
      </c>
      <c r="CU17" s="43">
        <f t="shared" ref="CU17:DT17" si="81">CU15/CP15-1</f>
        <v>0.26579925650557623</v>
      </c>
      <c r="CV17" s="43">
        <f t="shared" si="81"/>
        <v>0.25698324022346375</v>
      </c>
      <c r="CW17" s="110">
        <f t="shared" si="81"/>
        <v>0.25698324022346375</v>
      </c>
      <c r="CX17" s="43">
        <f t="shared" si="81"/>
        <v>5.9259259259258901E-3</v>
      </c>
      <c r="CY17" s="43">
        <f t="shared" si="81"/>
        <v>4.4182621502208974E-3</v>
      </c>
      <c r="CZ17" s="43">
        <f t="shared" si="81"/>
        <v>1.468428781204123E-3</v>
      </c>
      <c r="DA17" s="43">
        <f t="shared" si="81"/>
        <v>1.6296296296296253E-2</v>
      </c>
      <c r="DB17" s="110">
        <f t="shared" si="81"/>
        <v>1.6296296296296253E-2</v>
      </c>
      <c r="DC17" s="43">
        <f>DC15/CX15-1</f>
        <v>1.6200294550809957E-2</v>
      </c>
      <c r="DD17" s="43">
        <f>DD15/CY15-1</f>
        <v>1.7595307917888547E-2</v>
      </c>
      <c r="DE17" s="43">
        <f>DE15/CZ15-1</f>
        <v>2.4926686217008776E-2</v>
      </c>
      <c r="DF17" s="43">
        <f t="shared" si="81"/>
        <v>1.7492711370262315E-2</v>
      </c>
      <c r="DG17" s="110">
        <f t="shared" si="81"/>
        <v>1.7492711370262315E-2</v>
      </c>
      <c r="DH17" s="43">
        <f t="shared" si="81"/>
        <v>5.7971014492752548E-3</v>
      </c>
      <c r="DI17" s="43">
        <f t="shared" si="81"/>
        <v>1.4409221902016434E-3</v>
      </c>
      <c r="DJ17" s="43">
        <f t="shared" si="81"/>
        <v>-1.0014306151645225E-2</v>
      </c>
      <c r="DK17" s="43">
        <f t="shared" si="81"/>
        <v>-5.7306590257879542E-3</v>
      </c>
      <c r="DL17" s="110">
        <f t="shared" si="81"/>
        <v>-5.7306590257879542E-3</v>
      </c>
      <c r="DM17" s="43">
        <f t="shared" si="81"/>
        <v>2.8818443804035088E-3</v>
      </c>
      <c r="DN17" s="43">
        <f t="shared" si="81"/>
        <v>1.4388489208632116E-3</v>
      </c>
      <c r="DO17" s="43">
        <f t="shared" si="81"/>
        <v>-1.3005780346820761E-2</v>
      </c>
      <c r="DP17" s="43">
        <f t="shared" si="81"/>
        <v>-2.0172910662824228E-2</v>
      </c>
      <c r="DQ17" s="110">
        <f>DQ15/DL15-1</f>
        <v>-2.0172910662824228E-2</v>
      </c>
      <c r="DR17" s="43">
        <f t="shared" si="81"/>
        <v>-2.8735632183908066E-2</v>
      </c>
      <c r="DS17" s="43">
        <f t="shared" si="81"/>
        <v>-1.8678160919540221E-2</v>
      </c>
      <c r="DT17" s="43">
        <f t="shared" si="81"/>
        <v>2.9282576866764831E-3</v>
      </c>
      <c r="DU17" s="43">
        <f>DU15/DP15-1</f>
        <v>-2.2058823529411797E-2</v>
      </c>
      <c r="DV17" s="110">
        <f>DV15/DQ15-1</f>
        <v>-2.2058823529411797E-2</v>
      </c>
      <c r="DW17" s="43">
        <f>DW15/DR15-1</f>
        <v>4.4378698224851743E-3</v>
      </c>
      <c r="DX17" s="43">
        <f>DX15/DS15-1</f>
        <v>8.7847730600292273E-3</v>
      </c>
      <c r="DY17" s="43">
        <f>DY15/DT15-1</f>
        <v>1.0218978102189746E-2</v>
      </c>
      <c r="DZ17" s="43">
        <f t="shared" ref="DZ17:EA17" si="82">DZ15/DU15-1</f>
        <v>5.864661654135328E-2</v>
      </c>
      <c r="EA17" s="110">
        <f t="shared" si="82"/>
        <v>5.864661654135328E-2</v>
      </c>
      <c r="EB17" s="43">
        <f>EB15/DW15-1</f>
        <v>5.1546391752577359E-2</v>
      </c>
      <c r="EC17" s="43">
        <f>EC15/DX15-1</f>
        <v>4.3541364296081353E-2</v>
      </c>
      <c r="ED17" s="43">
        <f>ED15/DY15-1</f>
        <v>3.1791907514450823E-2</v>
      </c>
      <c r="EE17" s="43">
        <f t="shared" ref="EE17" si="83">EE15/DZ15-1</f>
        <v>2.6988636363636465E-2</v>
      </c>
      <c r="EF17" s="110">
        <f t="shared" ref="EF17" si="84">EF15/EA15-1</f>
        <v>2.6988636363636465E-2</v>
      </c>
      <c r="EG17" s="43">
        <f>EG15/EB15-1</f>
        <v>1.8207282913165201E-2</v>
      </c>
      <c r="EH17" s="43">
        <f>EH15/EC15-1</f>
        <v>2.2253129346314404E-2</v>
      </c>
      <c r="EI17" s="43">
        <f>EI15/ED15-1</f>
        <v>-3.7815126050420145E-2</v>
      </c>
      <c r="EJ17" s="43">
        <f t="shared" ref="EJ17" si="85">EJ15/EE15-1</f>
        <v>-2.3513139695712337E-2</v>
      </c>
      <c r="EK17" s="110">
        <f t="shared" ref="EK17" si="86">EK15/EF15-1</f>
        <v>-2.3513139695712337E-2</v>
      </c>
      <c r="EL17" s="800"/>
      <c r="EM17" s="800"/>
      <c r="EN17" s="800"/>
      <c r="EO17" s="800"/>
      <c r="EP17" s="484"/>
      <c r="EQ17" s="43">
        <f>EQ15/EL15-1</f>
        <v>1.3755158184318717E-3</v>
      </c>
      <c r="ER17" s="43">
        <f>ER15/EM15-1</f>
        <v>1.7687074829932037E-2</v>
      </c>
      <c r="ES17" s="43">
        <f>ES15/EN15-1</f>
        <v>8.879184861717615E-2</v>
      </c>
      <c r="ET17" s="43">
        <f>ET15/EO15-1</f>
        <v>5.9490084985835745E-2</v>
      </c>
      <c r="EU17" s="110">
        <f>EU15/EP15-1</f>
        <v>5.9490084985835745E-2</v>
      </c>
      <c r="EV17" s="43"/>
      <c r="EW17" s="43"/>
      <c r="EX17" s="43"/>
      <c r="EY17" s="43"/>
      <c r="EZ17" s="110">
        <f>EZ15/EU15-1</f>
        <v>2.9411764705882248E-2</v>
      </c>
      <c r="FA17" s="43"/>
      <c r="FB17" s="43"/>
      <c r="FC17" s="43"/>
      <c r="FD17" s="43"/>
      <c r="FE17" s="110">
        <f>FE15/EZ15-1</f>
        <v>3.2467532467532534E-2</v>
      </c>
      <c r="FF17" s="43"/>
      <c r="FG17" s="435"/>
      <c r="FL17" s="409" t="s">
        <v>547</v>
      </c>
      <c r="FM17" s="408"/>
      <c r="FN17" s="408"/>
      <c r="FO17" s="369"/>
      <c r="FP17" s="515"/>
      <c r="FQ17" s="728"/>
      <c r="FR17" s="728"/>
      <c r="FS17" s="369"/>
      <c r="FT17" s="190"/>
    </row>
    <row r="18" spans="1:184" ht="12.75" customHeight="1" x14ac:dyDescent="0.2">
      <c r="A18" s="6" t="s">
        <v>363</v>
      </c>
      <c r="B18" s="139"/>
      <c r="C18" s="139"/>
      <c r="D18" s="139"/>
      <c r="E18" s="139"/>
      <c r="F18" s="250"/>
      <c r="G18" s="139"/>
      <c r="H18" s="139"/>
      <c r="I18" s="139"/>
      <c r="J18" s="139"/>
      <c r="K18" s="250"/>
      <c r="L18" s="139"/>
      <c r="M18" s="139"/>
      <c r="N18" s="139"/>
      <c r="O18" s="139"/>
      <c r="P18" s="250"/>
      <c r="Q18" s="139"/>
      <c r="R18" s="139"/>
      <c r="S18" s="139"/>
      <c r="T18" s="139"/>
      <c r="U18" s="250"/>
      <c r="V18" s="139"/>
      <c r="W18" s="139"/>
      <c r="X18" s="139"/>
      <c r="Y18" s="139"/>
      <c r="Z18" s="250"/>
      <c r="AA18" s="139"/>
      <c r="AB18" s="139"/>
      <c r="AC18" s="139"/>
      <c r="AD18" s="139"/>
      <c r="AE18" s="250"/>
      <c r="AF18" s="139"/>
      <c r="AG18" s="139"/>
      <c r="AH18" s="139"/>
      <c r="AI18" s="139"/>
      <c r="AJ18" s="250"/>
      <c r="AK18" s="139"/>
      <c r="AL18" s="139"/>
      <c r="AM18" s="139"/>
      <c r="AN18" s="139"/>
      <c r="AO18" s="250"/>
      <c r="AP18" s="139"/>
      <c r="AQ18" s="139"/>
      <c r="AR18" s="139"/>
      <c r="AS18" s="139"/>
      <c r="AT18" s="250"/>
      <c r="AU18" s="139"/>
      <c r="AV18" s="139"/>
      <c r="AW18" s="139"/>
      <c r="AX18" s="139"/>
      <c r="AY18" s="250"/>
      <c r="AZ18" s="139"/>
      <c r="BA18" s="139"/>
      <c r="BB18" s="139"/>
      <c r="BC18" s="139"/>
      <c r="BD18" s="250"/>
      <c r="BE18" s="139"/>
      <c r="BF18" s="139"/>
      <c r="BG18" s="139"/>
      <c r="BH18" s="139"/>
      <c r="BI18" s="250"/>
      <c r="BJ18" s="139"/>
      <c r="BK18" s="139"/>
      <c r="BL18" s="139"/>
      <c r="BM18" s="139"/>
      <c r="BN18" s="250"/>
      <c r="BO18" s="139"/>
      <c r="BP18" s="139"/>
      <c r="BQ18" s="139"/>
      <c r="BR18" s="139"/>
      <c r="BS18" s="250"/>
      <c r="BT18" s="139"/>
      <c r="BU18" s="139"/>
      <c r="BV18" s="139"/>
      <c r="BW18" s="139"/>
      <c r="BX18" s="250"/>
      <c r="BY18" s="139"/>
      <c r="BZ18" s="139"/>
      <c r="CA18" s="139"/>
      <c r="CB18" s="139"/>
      <c r="CC18" s="250"/>
      <c r="CD18" s="139"/>
      <c r="CE18" s="139"/>
      <c r="CF18" s="139"/>
      <c r="CG18" s="139"/>
      <c r="CH18" s="250"/>
      <c r="CI18" s="139"/>
      <c r="CJ18" s="139"/>
      <c r="CK18" s="139"/>
      <c r="CL18" s="139"/>
      <c r="CM18" s="250"/>
      <c r="CN18" s="139"/>
      <c r="CO18" s="139"/>
      <c r="CP18" s="139"/>
      <c r="CQ18" s="139"/>
      <c r="CR18" s="250"/>
      <c r="CS18" s="139"/>
      <c r="CT18" s="139"/>
      <c r="CU18" s="139"/>
      <c r="CV18" s="139"/>
      <c r="CW18" s="250"/>
      <c r="CX18" s="139"/>
      <c r="CY18" s="139"/>
      <c r="CZ18" s="139"/>
      <c r="DA18" s="139"/>
      <c r="DB18" s="250"/>
      <c r="DC18" s="139"/>
      <c r="DD18" s="139"/>
      <c r="DE18" s="139"/>
      <c r="DF18" s="139"/>
      <c r="DG18" s="250"/>
      <c r="DH18" s="139"/>
      <c r="DI18" s="139"/>
      <c r="DJ18" s="139"/>
      <c r="DK18" s="139"/>
      <c r="DL18" s="250"/>
      <c r="DM18" s="139"/>
      <c r="DN18" s="139"/>
      <c r="DO18" s="139"/>
      <c r="DP18" s="139"/>
      <c r="DQ18" s="250"/>
      <c r="DR18" s="139"/>
      <c r="DS18" s="139"/>
      <c r="DT18" s="139"/>
      <c r="DU18" s="139"/>
      <c r="DV18" s="250"/>
      <c r="DW18" s="139"/>
      <c r="DX18" s="139"/>
      <c r="DY18" s="139"/>
      <c r="DZ18" s="139"/>
      <c r="EA18" s="250"/>
      <c r="EB18" s="139"/>
      <c r="EC18" s="139"/>
      <c r="ED18" s="139"/>
      <c r="EE18" s="139"/>
      <c r="EF18" s="250"/>
      <c r="EG18" s="139"/>
      <c r="EH18" s="139"/>
      <c r="EI18" s="139"/>
      <c r="EJ18" s="139"/>
      <c r="EK18" s="817"/>
      <c r="EL18" s="139"/>
      <c r="EM18" s="139"/>
      <c r="EN18" s="139"/>
      <c r="EO18" s="139"/>
      <c r="EP18" s="817"/>
      <c r="EQ18" s="139"/>
      <c r="ER18" s="139"/>
      <c r="ES18" s="139"/>
      <c r="ET18" s="139"/>
      <c r="EU18" s="250"/>
      <c r="EV18" s="139"/>
      <c r="EW18" s="139"/>
      <c r="EX18" s="139"/>
      <c r="EY18" s="139"/>
      <c r="EZ18" s="250"/>
      <c r="FA18" s="139"/>
      <c r="FB18" s="139"/>
      <c r="FC18" s="139"/>
      <c r="FD18" s="139"/>
      <c r="FE18" s="250"/>
      <c r="FF18" s="335"/>
      <c r="FG18" s="139"/>
      <c r="FL18" s="408"/>
      <c r="FM18" s="408"/>
      <c r="FN18" s="408"/>
      <c r="FO18" s="369"/>
      <c r="FP18" s="515"/>
      <c r="FQ18" s="515"/>
      <c r="FR18" s="515"/>
      <c r="FS18" s="515"/>
      <c r="FT18" s="124"/>
    </row>
    <row r="19" spans="1:184" s="7" customFormat="1" ht="12.75" customHeight="1" x14ac:dyDescent="0.2">
      <c r="A19" s="7" t="s">
        <v>364</v>
      </c>
      <c r="B19" s="810"/>
      <c r="C19" s="810"/>
      <c r="D19" s="810"/>
      <c r="E19" s="810"/>
      <c r="F19" s="99"/>
      <c r="G19" s="810"/>
      <c r="H19" s="810"/>
      <c r="I19" s="810"/>
      <c r="J19" s="810"/>
      <c r="K19" s="99"/>
      <c r="L19" s="810"/>
      <c r="M19" s="810"/>
      <c r="N19" s="810"/>
      <c r="O19" s="810"/>
      <c r="P19" s="99"/>
      <c r="Q19" s="810"/>
      <c r="R19" s="810"/>
      <c r="S19" s="810"/>
      <c r="T19" s="810"/>
      <c r="U19" s="99"/>
      <c r="V19" s="810"/>
      <c r="W19" s="810"/>
      <c r="X19" s="810"/>
      <c r="Y19" s="810"/>
      <c r="Z19" s="99"/>
      <c r="AA19" s="810"/>
      <c r="AB19" s="810"/>
      <c r="AC19" s="810"/>
      <c r="AD19" s="810"/>
      <c r="AE19" s="99"/>
      <c r="AF19" s="810"/>
      <c r="AG19" s="810"/>
      <c r="AH19" s="810"/>
      <c r="AI19" s="810"/>
      <c r="AJ19" s="99"/>
      <c r="AK19" s="810"/>
      <c r="AL19" s="810"/>
      <c r="AM19" s="810"/>
      <c r="AN19" s="810"/>
      <c r="AO19" s="99"/>
      <c r="AP19" s="810"/>
      <c r="AQ19" s="810"/>
      <c r="AR19" s="810"/>
      <c r="AS19" s="810"/>
      <c r="AT19" s="99"/>
      <c r="AU19" s="810"/>
      <c r="AV19" s="810"/>
      <c r="AW19" s="810"/>
      <c r="AX19" s="810"/>
      <c r="AY19" s="99"/>
      <c r="AZ19" s="810"/>
      <c r="BA19" s="810"/>
      <c r="BB19" s="810"/>
      <c r="BC19" s="810"/>
      <c r="BD19" s="99"/>
      <c r="BE19" s="810"/>
      <c r="BF19" s="810"/>
      <c r="BG19" s="810"/>
      <c r="BH19" s="810"/>
      <c r="BI19" s="99"/>
      <c r="BJ19" s="810"/>
      <c r="BK19" s="810"/>
      <c r="BL19" s="810"/>
      <c r="BM19" s="810"/>
      <c r="BN19" s="99"/>
      <c r="BO19" s="810"/>
      <c r="BP19" s="810"/>
      <c r="BQ19" s="810"/>
      <c r="BR19" s="810"/>
      <c r="BS19" s="99"/>
      <c r="BT19" s="810"/>
      <c r="BU19" s="810"/>
      <c r="BV19" s="810"/>
      <c r="BW19" s="810"/>
      <c r="BX19" s="99"/>
      <c r="BY19" s="810"/>
      <c r="BZ19" s="810"/>
      <c r="CA19" s="810"/>
      <c r="CB19" s="810"/>
      <c r="CC19" s="99"/>
      <c r="CD19" s="810"/>
      <c r="CE19" s="810"/>
      <c r="CF19" s="810"/>
      <c r="CG19" s="810"/>
      <c r="CH19" s="99"/>
      <c r="CI19" s="810"/>
      <c r="CJ19" s="810"/>
      <c r="CK19" s="810"/>
      <c r="CL19" s="810"/>
      <c r="CM19" s="99"/>
      <c r="CN19" s="810"/>
      <c r="CO19" s="810"/>
      <c r="CP19" s="810"/>
      <c r="CQ19" s="810"/>
      <c r="CR19" s="99"/>
      <c r="CS19" s="810"/>
      <c r="CT19" s="810"/>
      <c r="CU19" s="810"/>
      <c r="CV19" s="810"/>
      <c r="CW19" s="99"/>
      <c r="CX19" s="810"/>
      <c r="CY19" s="810"/>
      <c r="CZ19" s="810"/>
      <c r="DA19" s="810"/>
      <c r="DB19" s="99"/>
      <c r="DC19" s="810"/>
      <c r="DD19" s="810"/>
      <c r="DE19" s="810"/>
      <c r="DF19" s="810"/>
      <c r="DG19" s="99"/>
      <c r="DH19" s="810"/>
      <c r="DI19" s="810"/>
      <c r="DJ19" s="810"/>
      <c r="DK19" s="810"/>
      <c r="DL19" s="99"/>
      <c r="DM19" s="810"/>
      <c r="DN19" s="810"/>
      <c r="DO19" s="810"/>
      <c r="DP19" s="810"/>
      <c r="DQ19" s="514"/>
      <c r="DR19" s="810"/>
      <c r="DS19" s="810"/>
      <c r="DT19" s="810"/>
      <c r="DU19" s="810"/>
      <c r="DV19" s="514"/>
      <c r="DW19" s="810"/>
      <c r="DX19" s="810"/>
      <c r="DY19" s="810"/>
      <c r="DZ19" s="810"/>
      <c r="EA19" s="99"/>
      <c r="EB19" s="810"/>
      <c r="EC19" s="810"/>
      <c r="ED19" s="810"/>
      <c r="EE19" s="810"/>
      <c r="EF19" s="99"/>
      <c r="EG19" s="810"/>
      <c r="EH19" s="810"/>
      <c r="EI19" s="810"/>
      <c r="EJ19" s="810"/>
      <c r="EK19" s="99"/>
      <c r="EL19" s="810"/>
      <c r="EM19" s="810"/>
      <c r="EN19" s="810"/>
      <c r="EO19" s="810"/>
      <c r="EP19" s="99"/>
      <c r="EU19" s="99"/>
      <c r="EZ19" s="99"/>
      <c r="FE19" s="99"/>
      <c r="FF19" s="336"/>
      <c r="FG19" s="6"/>
      <c r="FH19" s="346"/>
      <c r="FI19" s="336"/>
      <c r="FJ19" s="336"/>
      <c r="FK19" s="336"/>
      <c r="FL19" s="412"/>
      <c r="FM19" s="606"/>
      <c r="FN19" s="704"/>
      <c r="FO19" s="704"/>
      <c r="FP19" s="704"/>
      <c r="FQ19" s="778"/>
      <c r="FR19" s="778"/>
      <c r="FS19" s="704"/>
      <c r="FT19" s="6"/>
      <c r="FU19"/>
      <c r="FV19"/>
      <c r="FW19"/>
      <c r="FX19"/>
      <c r="FY19"/>
      <c r="FZ19"/>
      <c r="GA19" s="341"/>
    </row>
    <row r="20" spans="1:184" ht="12.75" customHeight="1" x14ac:dyDescent="0.2">
      <c r="A20" s="8" t="s">
        <v>60</v>
      </c>
      <c r="B20" s="823">
        <v>250.96</v>
      </c>
      <c r="C20" s="823">
        <v>298.20999999999998</v>
      </c>
      <c r="D20" s="823">
        <v>304.68599999999998</v>
      </c>
      <c r="E20" s="823">
        <f>F20-SUM(B20:D20)</f>
        <v>290.56500000000005</v>
      </c>
      <c r="F20" s="10">
        <v>1144.421</v>
      </c>
      <c r="G20" s="823">
        <v>272.77699999999999</v>
      </c>
      <c r="H20" s="823">
        <v>312.423</v>
      </c>
      <c r="I20" s="823">
        <v>343.84899999999999</v>
      </c>
      <c r="J20" s="823">
        <f>K20-SUM(G20:I20)</f>
        <v>338.84799999999996</v>
      </c>
      <c r="K20" s="10">
        <v>1267.8969999999999</v>
      </c>
      <c r="L20" s="823">
        <v>361.12</v>
      </c>
      <c r="M20" s="823">
        <v>402.58499999999998</v>
      </c>
      <c r="N20" s="823">
        <v>429.94099999999997</v>
      </c>
      <c r="O20" s="823">
        <f>P20-SUM(L20:N20)</f>
        <v>430.18200000000002</v>
      </c>
      <c r="P20" s="10">
        <v>1623.828</v>
      </c>
      <c r="Q20" s="823">
        <v>437.31200000000001</v>
      </c>
      <c r="R20" s="823">
        <v>502.476</v>
      </c>
      <c r="S20" s="823">
        <v>533.81600000000003</v>
      </c>
      <c r="T20" s="823">
        <f>U20-SUM(Q20:S20)</f>
        <v>742.73800000000006</v>
      </c>
      <c r="U20" s="10">
        <v>2216.3420000000001</v>
      </c>
      <c r="V20" s="823">
        <v>597.00199999999995</v>
      </c>
      <c r="W20" s="823">
        <v>637.97900000000004</v>
      </c>
      <c r="X20" s="823">
        <v>661.62300000000005</v>
      </c>
      <c r="Y20" s="823">
        <v>601.16099999999994</v>
      </c>
      <c r="Z20" s="10">
        <f>SUM(V20:Y20)</f>
        <v>2497.7649999999999</v>
      </c>
      <c r="AA20" s="823">
        <v>596.82799999999997</v>
      </c>
      <c r="AB20" s="823">
        <v>710.27499999999998</v>
      </c>
      <c r="AC20" s="823">
        <v>735.27499999999998</v>
      </c>
      <c r="AD20" s="823">
        <f>2760.756-SUM(AA20:AC20)</f>
        <v>718.3779999999997</v>
      </c>
      <c r="AE20" s="10">
        <f>SUM(AA20:AD20)</f>
        <v>2760.7559999999999</v>
      </c>
      <c r="AF20" s="823">
        <v>741.1</v>
      </c>
      <c r="AG20" s="823">
        <v>876.322</v>
      </c>
      <c r="AH20" s="823">
        <v>855.71900000000005</v>
      </c>
      <c r="AI20" s="823">
        <v>796.09699999999998</v>
      </c>
      <c r="AJ20" s="10">
        <f>SUM(AF20:AI20)</f>
        <v>3269.2380000000003</v>
      </c>
      <c r="AK20" s="823">
        <v>849.10599999999999</v>
      </c>
      <c r="AL20" s="823">
        <v>911.68100000000004</v>
      </c>
      <c r="AM20" s="823">
        <v>949.54</v>
      </c>
      <c r="AN20" s="823">
        <v>928.86599999999999</v>
      </c>
      <c r="AO20" s="10">
        <f>SUM(AK20:AN20)</f>
        <v>3639.1930000000002</v>
      </c>
      <c r="AP20" s="823">
        <v>894.78899999999999</v>
      </c>
      <c r="AQ20" s="823">
        <v>1030.2380000000001</v>
      </c>
      <c r="AR20" s="823">
        <v>1042.8130000000001</v>
      </c>
      <c r="AS20" s="823">
        <v>995.94100000000003</v>
      </c>
      <c r="AT20" s="10">
        <f>SUM(AP20:AS20)</f>
        <v>3963.7809999999999</v>
      </c>
      <c r="AU20" s="823">
        <v>1034.3589999999999</v>
      </c>
      <c r="AV20" s="823">
        <v>1177.2819999999999</v>
      </c>
      <c r="AW20" s="823">
        <v>1189.47</v>
      </c>
      <c r="AX20" s="823">
        <v>1161.5060000000001</v>
      </c>
      <c r="AY20" s="10">
        <f>SUM(AU20:AX20)</f>
        <v>4562.6170000000002</v>
      </c>
      <c r="AZ20" s="823">
        <v>1199.885</v>
      </c>
      <c r="BA20" s="823">
        <v>1415.9580000000001</v>
      </c>
      <c r="BB20" s="823">
        <v>1429.838</v>
      </c>
      <c r="BC20" s="823">
        <v>1422.2840000000001</v>
      </c>
      <c r="BD20" s="10">
        <f>SUM(AZ20:BC20)</f>
        <v>5467.9650000000001</v>
      </c>
      <c r="BE20" s="823">
        <v>1381.2760000000001</v>
      </c>
      <c r="BF20" s="823">
        <v>1505.329</v>
      </c>
      <c r="BG20" s="823">
        <f>1292.569</f>
        <v>1292.569</v>
      </c>
      <c r="BH20" s="823">
        <v>1199.528</v>
      </c>
      <c r="BI20" s="10">
        <f>SUM(BE20:BH20)</f>
        <v>5378.7020000000002</v>
      </c>
      <c r="BJ20" s="823">
        <v>1214.7850000000001</v>
      </c>
      <c r="BK20" s="823">
        <f>1425.365-36</f>
        <v>1389.365</v>
      </c>
      <c r="BL20" s="823">
        <v>1344.0809999999999</v>
      </c>
      <c r="BM20" s="823">
        <v>1357.1179999999999</v>
      </c>
      <c r="BN20" s="10">
        <f>SUM(BJ20:BM20)</f>
        <v>5305.3490000000002</v>
      </c>
      <c r="BO20" s="823">
        <v>1306</v>
      </c>
      <c r="BP20" s="823">
        <v>1465</v>
      </c>
      <c r="BQ20" s="823">
        <v>1503</v>
      </c>
      <c r="BR20" s="823">
        <v>1467</v>
      </c>
      <c r="BS20" s="10">
        <f>SUM(BO20:BR20)</f>
        <v>5741</v>
      </c>
      <c r="BT20" s="823">
        <v>1428</v>
      </c>
      <c r="BU20" s="823">
        <v>1654</v>
      </c>
      <c r="BV20" s="823">
        <v>1612</v>
      </c>
      <c r="BW20" s="823">
        <v>1587</v>
      </c>
      <c r="BX20" s="10">
        <f>SUM(BT20:BW20)</f>
        <v>6281</v>
      </c>
      <c r="BY20" s="823">
        <v>1592</v>
      </c>
      <c r="BZ20" s="823">
        <v>1868</v>
      </c>
      <c r="CA20" s="823">
        <v>1912</v>
      </c>
      <c r="CB20" s="823">
        <v>1906</v>
      </c>
      <c r="CC20" s="10">
        <f>SUM(BY20:CB20)</f>
        <v>7278</v>
      </c>
      <c r="CD20" s="823">
        <v>1938.25</v>
      </c>
      <c r="CE20" s="823">
        <v>2362.25</v>
      </c>
      <c r="CF20" s="823">
        <v>2258.25</v>
      </c>
      <c r="CG20" s="823">
        <v>2191.25</v>
      </c>
      <c r="CH20" s="10">
        <f>SUM(CD20:CG20)</f>
        <v>8750</v>
      </c>
      <c r="CI20" s="823">
        <v>2112</v>
      </c>
      <c r="CJ20" s="823">
        <v>2475</v>
      </c>
      <c r="CK20" s="823">
        <v>2482</v>
      </c>
      <c r="CL20" s="823">
        <v>2388</v>
      </c>
      <c r="CM20" s="10">
        <f>SUM(CI20:CL20)</f>
        <v>9457</v>
      </c>
      <c r="CN20" s="823">
        <v>2414</v>
      </c>
      <c r="CO20" s="823">
        <v>2747</v>
      </c>
      <c r="CP20" s="823">
        <v>2767</v>
      </c>
      <c r="CQ20" s="823">
        <v>2622</v>
      </c>
      <c r="CR20" s="10">
        <f>SUM(CN20:CQ20)</f>
        <v>10550</v>
      </c>
      <c r="CS20" s="823">
        <v>2738.1010000000001</v>
      </c>
      <c r="CT20" s="823">
        <v>3042.971</v>
      </c>
      <c r="CU20" s="823">
        <v>3079.4349999999999</v>
      </c>
      <c r="CV20" s="823">
        <v>3120.4580000000001</v>
      </c>
      <c r="CW20" s="10">
        <f>SUM(CS20:CV20)</f>
        <v>11980.965</v>
      </c>
      <c r="CX20" s="823">
        <v>3036.7039999999997</v>
      </c>
      <c r="CY20" s="823">
        <v>3621</v>
      </c>
      <c r="CZ20" s="823">
        <v>3606</v>
      </c>
      <c r="DA20" s="823">
        <v>3492</v>
      </c>
      <c r="DB20" s="10">
        <f>SUM(CX20:DA20)</f>
        <v>13755.704</v>
      </c>
      <c r="DC20" s="823">
        <v>3540.7809999999999</v>
      </c>
      <c r="DD20" s="823">
        <v>4129</v>
      </c>
      <c r="DE20" s="823">
        <v>4014</v>
      </c>
      <c r="DF20" s="823">
        <v>3860</v>
      </c>
      <c r="DG20" s="10">
        <f>SUM(DC20:DF20)</f>
        <v>15543.780999999999</v>
      </c>
      <c r="DH20" s="823">
        <f>3744+7</f>
        <v>3751</v>
      </c>
      <c r="DI20" s="823">
        <f>4338+9</f>
        <v>4347</v>
      </c>
      <c r="DJ20" s="823">
        <f>4046+10</f>
        <v>4056</v>
      </c>
      <c r="DK20" s="823">
        <v>3939</v>
      </c>
      <c r="DL20" s="10">
        <f>SUM(DH20:DK20)</f>
        <v>16093</v>
      </c>
      <c r="DM20" s="823">
        <v>3838</v>
      </c>
      <c r="DN20" s="823">
        <v>4380</v>
      </c>
      <c r="DO20" s="823">
        <v>4306</v>
      </c>
      <c r="DP20" s="823">
        <v>4197</v>
      </c>
      <c r="DQ20" s="10">
        <f>SUM(DM20:DP20)</f>
        <v>16721</v>
      </c>
      <c r="DR20" s="823">
        <v>3933</v>
      </c>
      <c r="DS20" s="823">
        <v>4752</v>
      </c>
      <c r="DT20" s="823">
        <v>4564</v>
      </c>
      <c r="DU20" s="823">
        <v>4409</v>
      </c>
      <c r="DV20" s="10">
        <f>SUM(DR20:DU20)</f>
        <v>17658</v>
      </c>
      <c r="DW20" s="823">
        <v>4178</v>
      </c>
      <c r="DX20" s="823">
        <v>4852</v>
      </c>
      <c r="DY20" s="823">
        <v>4716</v>
      </c>
      <c r="DZ20" s="823">
        <v>4553</v>
      </c>
      <c r="EA20" s="10">
        <f>SUM(DW20:DZ20)</f>
        <v>18299</v>
      </c>
      <c r="EB20" s="823">
        <v>4398</v>
      </c>
      <c r="EC20" s="823">
        <v>4905</v>
      </c>
      <c r="ED20" s="823">
        <v>4669</v>
      </c>
      <c r="EE20" s="823">
        <v>4623</v>
      </c>
      <c r="EF20" s="10">
        <f>SUM(EB20:EE20)</f>
        <v>18595</v>
      </c>
      <c r="EG20" s="823">
        <v>4424</v>
      </c>
      <c r="EH20" s="823">
        <v>5233</v>
      </c>
      <c r="EI20" s="823">
        <v>4745</v>
      </c>
      <c r="EJ20" s="823">
        <v>4738</v>
      </c>
      <c r="EK20" s="10">
        <f>SUM(EG20:EJ20)</f>
        <v>19140</v>
      </c>
      <c r="EL20" s="823">
        <f>4424+122</f>
        <v>4546</v>
      </c>
      <c r="EM20" s="823">
        <f>5233+146</f>
        <v>5379</v>
      </c>
      <c r="EN20" s="823">
        <f>4745+199</f>
        <v>4944</v>
      </c>
      <c r="EO20" s="823">
        <f>4738+157</f>
        <v>4895</v>
      </c>
      <c r="EP20" s="877">
        <f>SUM(EL20:EO20)</f>
        <v>19764</v>
      </c>
      <c r="EQ20" s="9">
        <f t="shared" ref="EQ20" si="87">(EQ$8*EQ22)/100</f>
        <v>4616.05386</v>
      </c>
      <c r="ER20" s="9">
        <f t="shared" ref="ER20:ET20" si="88">(ER$8*ER22)/100</f>
        <v>5510.2476000000015</v>
      </c>
      <c r="ES20" s="9">
        <f t="shared" si="88"/>
        <v>5193.1776000000018</v>
      </c>
      <c r="ET20" s="9">
        <f t="shared" si="88"/>
        <v>5330.6549999999997</v>
      </c>
      <c r="EU20" s="10">
        <f>SUM(EQ20:ET20)</f>
        <v>20650.134060000004</v>
      </c>
      <c r="EV20" s="9"/>
      <c r="EW20" s="9"/>
      <c r="EX20" s="9"/>
      <c r="EY20" s="9"/>
      <c r="EZ20" s="10">
        <f>(EZ$8*EZ22)/100</f>
        <v>21899.467170630003</v>
      </c>
      <c r="FA20" s="9"/>
      <c r="FB20" s="9"/>
      <c r="FC20" s="9"/>
      <c r="FD20" s="9"/>
      <c r="FE20" s="10">
        <f>(FE$8*FE22)/100</f>
        <v>23224.384934453123</v>
      </c>
      <c r="FF20" s="337"/>
      <c r="FG20" s="441"/>
      <c r="FH20" s="347"/>
      <c r="FI20" s="337"/>
      <c r="FJ20" s="337"/>
      <c r="FK20" s="337"/>
      <c r="FL20" s="408" t="s">
        <v>582</v>
      </c>
      <c r="FM20" s="606"/>
      <c r="FN20" s="607"/>
      <c r="FO20" s="759"/>
      <c r="FP20" s="760"/>
      <c r="FQ20" s="760"/>
      <c r="FR20" s="760"/>
      <c r="FS20" s="760"/>
      <c r="FT20" s="441"/>
      <c r="GA20" s="342"/>
    </row>
    <row r="21" spans="1:184" ht="12.75" customHeight="1" x14ac:dyDescent="0.2">
      <c r="A21" s="58" t="s">
        <v>244</v>
      </c>
      <c r="B21" s="128"/>
      <c r="C21" s="128"/>
      <c r="D21" s="128"/>
      <c r="E21" s="128"/>
      <c r="F21" s="244"/>
      <c r="G21" s="128">
        <f>G20/B20-1</f>
        <v>8.6934172776538032E-2</v>
      </c>
      <c r="H21" s="128">
        <f>H20/C20-1</f>
        <v>4.7661044230575822E-2</v>
      </c>
      <c r="I21" s="128">
        <f>I20/D20-1</f>
        <v>0.12853560714965573</v>
      </c>
      <c r="J21" s="128">
        <f>J20/E20-1</f>
        <v>0.16616935969576474</v>
      </c>
      <c r="K21" s="244">
        <f t="shared" ref="K21:U21" si="89">K20/F20-1</f>
        <v>0.1078938607383122</v>
      </c>
      <c r="L21" s="128">
        <f t="shared" si="89"/>
        <v>0.32386528189693431</v>
      </c>
      <c r="M21" s="128">
        <f t="shared" si="89"/>
        <v>0.28858950845488329</v>
      </c>
      <c r="N21" s="128">
        <f t="shared" si="89"/>
        <v>0.25037734586984395</v>
      </c>
      <c r="O21" s="128">
        <f t="shared" si="89"/>
        <v>0.26954268580602525</v>
      </c>
      <c r="P21" s="244">
        <f t="shared" si="89"/>
        <v>0.28072548479884407</v>
      </c>
      <c r="Q21" s="128">
        <f t="shared" si="89"/>
        <v>0.21098803721754544</v>
      </c>
      <c r="R21" s="128">
        <f t="shared" si="89"/>
        <v>0.24812399865866852</v>
      </c>
      <c r="S21" s="128">
        <f t="shared" si="89"/>
        <v>0.24160291760962571</v>
      </c>
      <c r="T21" s="128">
        <f t="shared" si="89"/>
        <v>0.72656689494214088</v>
      </c>
      <c r="U21" s="244">
        <f t="shared" si="89"/>
        <v>0.36488716785275299</v>
      </c>
      <c r="V21" s="128">
        <f t="shared" ref="V21:AS21" si="90">V20/Q20-1</f>
        <v>0.36516262988438442</v>
      </c>
      <c r="W21" s="128">
        <f t="shared" si="90"/>
        <v>0.26967059123221815</v>
      </c>
      <c r="X21" s="128">
        <f t="shared" si="90"/>
        <v>0.23942144858902692</v>
      </c>
      <c r="Y21" s="128">
        <f t="shared" si="90"/>
        <v>-0.19061499478954913</v>
      </c>
      <c r="Z21" s="244">
        <f t="shared" si="90"/>
        <v>0.12697634209882769</v>
      </c>
      <c r="AA21" s="128">
        <f t="shared" si="90"/>
        <v>-2.9145631002902572E-4</v>
      </c>
      <c r="AB21" s="128">
        <f t="shared" si="90"/>
        <v>0.11332034440005079</v>
      </c>
      <c r="AC21" s="128">
        <f t="shared" si="90"/>
        <v>0.11132019291953266</v>
      </c>
      <c r="AD21" s="128">
        <f t="shared" si="90"/>
        <v>0.19498437190702611</v>
      </c>
      <c r="AE21" s="244">
        <f t="shared" si="90"/>
        <v>0.10529052973358177</v>
      </c>
      <c r="AF21" s="128">
        <f t="shared" si="90"/>
        <v>0.24173128606566729</v>
      </c>
      <c r="AG21" s="128">
        <f t="shared" si="90"/>
        <v>0.23377846608707897</v>
      </c>
      <c r="AH21" s="128">
        <f t="shared" si="90"/>
        <v>0.16380809901057436</v>
      </c>
      <c r="AI21" s="128">
        <f t="shared" si="90"/>
        <v>0.10818677632110152</v>
      </c>
      <c r="AJ21" s="244">
        <f t="shared" si="90"/>
        <v>0.18418215879998101</v>
      </c>
      <c r="AK21" s="128">
        <f t="shared" si="90"/>
        <v>0.14573741735258405</v>
      </c>
      <c r="AL21" s="128">
        <f t="shared" si="90"/>
        <v>4.0349323650439084E-2</v>
      </c>
      <c r="AM21" s="128">
        <f t="shared" si="90"/>
        <v>0.10963996358617711</v>
      </c>
      <c r="AN21" s="128">
        <f t="shared" si="90"/>
        <v>0.16677490305829568</v>
      </c>
      <c r="AO21" s="244">
        <f t="shared" si="90"/>
        <v>0.1131624555936277</v>
      </c>
      <c r="AP21" s="128">
        <f t="shared" si="90"/>
        <v>5.3801292182601435E-2</v>
      </c>
      <c r="AQ21" s="128">
        <f t="shared" si="90"/>
        <v>0.13004219677716211</v>
      </c>
      <c r="AR21" s="128">
        <f t="shared" si="90"/>
        <v>9.8229669102934292E-2</v>
      </c>
      <c r="AS21" s="128">
        <f t="shared" si="90"/>
        <v>7.2211707609063147E-2</v>
      </c>
      <c r="AT21" s="244">
        <f t="shared" ref="AT21:BR21" si="91">AT20/AO20-1</f>
        <v>8.9192301699854815E-2</v>
      </c>
      <c r="AU21" s="128">
        <f t="shared" si="91"/>
        <v>0.15598090723064306</v>
      </c>
      <c r="AV21" s="128">
        <f t="shared" si="91"/>
        <v>0.14272818513780305</v>
      </c>
      <c r="AW21" s="128">
        <f t="shared" si="91"/>
        <v>0.14063595294650133</v>
      </c>
      <c r="AX21" s="128">
        <f t="shared" si="91"/>
        <v>0.16623976721512634</v>
      </c>
      <c r="AY21" s="244">
        <f t="shared" si="91"/>
        <v>0.15107696414105631</v>
      </c>
      <c r="AZ21" s="128">
        <f t="shared" si="91"/>
        <v>0.1600276113032324</v>
      </c>
      <c r="BA21" s="128">
        <f t="shared" si="91"/>
        <v>0.20273477382649197</v>
      </c>
      <c r="BB21" s="128">
        <f t="shared" si="91"/>
        <v>0.20207991794664837</v>
      </c>
      <c r="BC21" s="128">
        <f t="shared" si="91"/>
        <v>0.22451713551199903</v>
      </c>
      <c r="BD21" s="244">
        <f t="shared" si="91"/>
        <v>0.19842734991782129</v>
      </c>
      <c r="BE21" s="128">
        <f t="shared" si="91"/>
        <v>0.15117365414185535</v>
      </c>
      <c r="BF21" s="128">
        <f t="shared" si="91"/>
        <v>6.3116985108315316E-2</v>
      </c>
      <c r="BG21" s="128">
        <f t="shared" si="91"/>
        <v>-9.6003183577440199E-2</v>
      </c>
      <c r="BH21" s="128">
        <f t="shared" si="91"/>
        <v>-0.15661850938349875</v>
      </c>
      <c r="BI21" s="244">
        <f>BI20/BD20-1</f>
        <v>-1.6324720439871099E-2</v>
      </c>
      <c r="BJ21" s="128">
        <f t="shared" si="91"/>
        <v>-0.12053420170914431</v>
      </c>
      <c r="BK21" s="128">
        <f t="shared" si="91"/>
        <v>-7.7035651342663214E-2</v>
      </c>
      <c r="BL21" s="128">
        <f t="shared" si="91"/>
        <v>3.9852417936682594E-2</v>
      </c>
      <c r="BM21" s="128">
        <f t="shared" si="91"/>
        <v>0.13137667482543125</v>
      </c>
      <c r="BN21" s="244">
        <f>BN20/BI20-1</f>
        <v>-1.3637676896768092E-2</v>
      </c>
      <c r="BO21" s="128">
        <f t="shared" si="91"/>
        <v>7.5087361137978981E-2</v>
      </c>
      <c r="BP21" s="128">
        <f t="shared" si="91"/>
        <v>5.443853846901292E-2</v>
      </c>
      <c r="BQ21" s="128">
        <f t="shared" si="91"/>
        <v>0.11823617773035999</v>
      </c>
      <c r="BR21" s="128">
        <f t="shared" si="91"/>
        <v>8.0967167188114919E-2</v>
      </c>
      <c r="BS21" s="244">
        <f t="shared" ref="BS21:DA21" si="92">BS20/BN20-1</f>
        <v>8.2115427279147779E-2</v>
      </c>
      <c r="BT21" s="128">
        <f t="shared" si="92"/>
        <v>9.3415007656967752E-2</v>
      </c>
      <c r="BU21" s="128">
        <f t="shared" si="92"/>
        <v>0.12901023890784979</v>
      </c>
      <c r="BV21" s="128">
        <f t="shared" si="92"/>
        <v>7.2521623419826931E-2</v>
      </c>
      <c r="BW21" s="128">
        <f t="shared" si="92"/>
        <v>8.1799591002045036E-2</v>
      </c>
      <c r="BX21" s="244">
        <f t="shared" si="92"/>
        <v>9.4060268245950152E-2</v>
      </c>
      <c r="BY21" s="128">
        <f t="shared" si="92"/>
        <v>0.11484593837535018</v>
      </c>
      <c r="BZ21" s="128">
        <f t="shared" si="92"/>
        <v>0.12938331318016938</v>
      </c>
      <c r="CA21" s="128">
        <f t="shared" si="92"/>
        <v>0.18610421836228297</v>
      </c>
      <c r="CB21" s="128">
        <f t="shared" si="92"/>
        <v>0.20100819155639571</v>
      </c>
      <c r="CC21" s="244">
        <f>CC20/BX20-1</f>
        <v>0.1587326858780449</v>
      </c>
      <c r="CD21" s="128">
        <f t="shared" si="92"/>
        <v>0.21749371859296485</v>
      </c>
      <c r="CE21" s="128">
        <f t="shared" si="92"/>
        <v>0.2645877944325481</v>
      </c>
      <c r="CF21" s="128">
        <f t="shared" si="92"/>
        <v>0.18109309623430958</v>
      </c>
      <c r="CG21" s="128">
        <f t="shared" si="92"/>
        <v>0.14965897166841557</v>
      </c>
      <c r="CH21" s="244">
        <f>CH20/CC20-1</f>
        <v>0.2022533663094257</v>
      </c>
      <c r="CI21" s="128">
        <f t="shared" si="92"/>
        <v>8.9642718947504196E-2</v>
      </c>
      <c r="CJ21" s="128">
        <f t="shared" si="92"/>
        <v>4.7729918509895164E-2</v>
      </c>
      <c r="CK21" s="128">
        <f t="shared" si="92"/>
        <v>9.9081146905789952E-2</v>
      </c>
      <c r="CL21" s="128">
        <f t="shared" si="92"/>
        <v>8.9788933257273218E-2</v>
      </c>
      <c r="CM21" s="244">
        <f>CM20/CH20-1</f>
        <v>8.0799999999999983E-2</v>
      </c>
      <c r="CN21" s="128">
        <f t="shared" si="92"/>
        <v>0.14299242424242431</v>
      </c>
      <c r="CO21" s="128">
        <f t="shared" si="92"/>
        <v>0.10989898989898994</v>
      </c>
      <c r="CP21" s="128">
        <f t="shared" si="92"/>
        <v>0.11482675261885578</v>
      </c>
      <c r="CQ21" s="128">
        <f t="shared" si="92"/>
        <v>9.7989949748743754E-2</v>
      </c>
      <c r="CR21" s="110">
        <f>CR20/CM20-1</f>
        <v>0.11557576398435021</v>
      </c>
      <c r="CS21" s="128">
        <f t="shared" si="92"/>
        <v>0.13425890637945326</v>
      </c>
      <c r="CT21" s="128">
        <f t="shared" si="92"/>
        <v>0.10774335638878774</v>
      </c>
      <c r="CU21" s="128">
        <f t="shared" si="92"/>
        <v>0.11291470907119616</v>
      </c>
      <c r="CV21" s="128">
        <f t="shared" si="92"/>
        <v>0.19010602593440118</v>
      </c>
      <c r="CW21" s="110">
        <f>CW20/CR20-1</f>
        <v>0.13563649289099522</v>
      </c>
      <c r="CX21" s="128">
        <f t="shared" si="92"/>
        <v>0.10905477920646445</v>
      </c>
      <c r="CY21" s="128">
        <f t="shared" si="92"/>
        <v>0.18995547443600347</v>
      </c>
      <c r="CZ21" s="128">
        <f t="shared" si="92"/>
        <v>0.17099402974896361</v>
      </c>
      <c r="DA21" s="128">
        <f t="shared" si="92"/>
        <v>0.11906649600795771</v>
      </c>
      <c r="DB21" s="110">
        <f t="shared" ref="DB21:DT21" si="93">DB20/CW20-1</f>
        <v>0.14812988770103241</v>
      </c>
      <c r="DC21" s="128">
        <f t="shared" si="93"/>
        <v>0.16599477591493939</v>
      </c>
      <c r="DD21" s="128">
        <f t="shared" si="93"/>
        <v>0.14029273681303511</v>
      </c>
      <c r="DE21" s="128">
        <f t="shared" si="93"/>
        <v>0.11314475873544083</v>
      </c>
      <c r="DF21" s="128">
        <f t="shared" si="93"/>
        <v>0.1053837342497137</v>
      </c>
      <c r="DG21" s="110">
        <f t="shared" si="93"/>
        <v>0.12998803987058749</v>
      </c>
      <c r="DH21" s="128">
        <f t="shared" si="93"/>
        <v>5.9370799832014542E-2</v>
      </c>
      <c r="DI21" s="128">
        <f t="shared" si="93"/>
        <v>5.2797287478808519E-2</v>
      </c>
      <c r="DJ21" s="128">
        <f t="shared" si="93"/>
        <v>1.0463378176382765E-2</v>
      </c>
      <c r="DK21" s="128">
        <f t="shared" si="93"/>
        <v>2.0466321243523211E-2</v>
      </c>
      <c r="DL21" s="110">
        <f t="shared" si="93"/>
        <v>3.5333681039381615E-2</v>
      </c>
      <c r="DM21" s="128">
        <f t="shared" si="93"/>
        <v>2.3193814982671368E-2</v>
      </c>
      <c r="DN21" s="128">
        <f t="shared" si="93"/>
        <v>7.5914423740510717E-3</v>
      </c>
      <c r="DO21" s="128">
        <f t="shared" si="93"/>
        <v>6.1637080867850136E-2</v>
      </c>
      <c r="DP21" s="128">
        <f t="shared" si="93"/>
        <v>6.5498857578065506E-2</v>
      </c>
      <c r="DQ21" s="110">
        <f>DQ20/DL20-1</f>
        <v>3.9023177779158535E-2</v>
      </c>
      <c r="DR21" s="128">
        <f t="shared" si="93"/>
        <v>2.4752475247524774E-2</v>
      </c>
      <c r="DS21" s="128">
        <f t="shared" si="93"/>
        <v>8.4931506849315053E-2</v>
      </c>
      <c r="DT21" s="128">
        <f t="shared" si="93"/>
        <v>5.9916395726892668E-2</v>
      </c>
      <c r="DU21" s="128">
        <f>DU20/DP20-1</f>
        <v>5.0512270669525794E-2</v>
      </c>
      <c r="DV21" s="110">
        <f>DV20/DQ20-1</f>
        <v>5.603731834220449E-2</v>
      </c>
      <c r="DW21" s="128">
        <f>DW20/DR20-1</f>
        <v>6.2293414696160676E-2</v>
      </c>
      <c r="DX21" s="128">
        <f>DX20/DS20-1</f>
        <v>2.1043771043770976E-2</v>
      </c>
      <c r="DY21" s="128">
        <f>DY20/DT20-1</f>
        <v>3.3304119193689807E-2</v>
      </c>
      <c r="DZ21" s="128">
        <f t="shared" ref="DZ21:EA21" si="94">DZ20/DU20-1</f>
        <v>3.2660467226128365E-2</v>
      </c>
      <c r="EA21" s="110">
        <f t="shared" si="94"/>
        <v>3.6300826820704568E-2</v>
      </c>
      <c r="EB21" s="128">
        <f>EB20/DW20-1</f>
        <v>5.2656773575873617E-2</v>
      </c>
      <c r="EC21" s="128">
        <f>EC20/DX20-1</f>
        <v>1.0923330585325575E-2</v>
      </c>
      <c r="ED21" s="128">
        <f>ED20/DY20-1</f>
        <v>-9.9660729431721995E-3</v>
      </c>
      <c r="EE21" s="128">
        <f t="shared" ref="EE21" si="95">EE20/DZ20-1</f>
        <v>1.5374478365912658E-2</v>
      </c>
      <c r="EF21" s="110">
        <f t="shared" ref="EF21" si="96">EF20/EA20-1</f>
        <v>1.6175747308596167E-2</v>
      </c>
      <c r="EG21" s="128">
        <f>EG20/EB20-1</f>
        <v>5.9117780809458953E-3</v>
      </c>
      <c r="EH21" s="128">
        <f>EH20/EC20-1</f>
        <v>6.6870540265035583E-2</v>
      </c>
      <c r="EI21" s="128">
        <f>EI20/ED20-1</f>
        <v>1.627757549796538E-2</v>
      </c>
      <c r="EJ21" s="128">
        <f t="shared" ref="EJ21" si="97">EJ20/EE20-1</f>
        <v>2.4875621890547261E-2</v>
      </c>
      <c r="EK21" s="110">
        <f t="shared" ref="EK21" si="98">EK20/EF20-1</f>
        <v>2.9308954019897859E-2</v>
      </c>
      <c r="EL21" s="870"/>
      <c r="EM21" s="870"/>
      <c r="EN21" s="870"/>
      <c r="EO21" s="870"/>
      <c r="EP21" s="484"/>
      <c r="EQ21" s="43">
        <f>EQ20/EL20-1</f>
        <v>1.5409999999999924E-2</v>
      </c>
      <c r="ER21" s="43">
        <f>ER20/EM20-1</f>
        <v>2.4400000000000199E-2</v>
      </c>
      <c r="ES21" s="43">
        <f>ES20/EN20-1</f>
        <v>5.0400000000000444E-2</v>
      </c>
      <c r="ET21" s="43">
        <f>ET20/EO20-1</f>
        <v>8.8999999999999968E-2</v>
      </c>
      <c r="EU21" s="110">
        <f>EU20/EP20-1</f>
        <v>4.4835765027322561E-2</v>
      </c>
      <c r="EV21" s="43"/>
      <c r="EW21" s="43"/>
      <c r="EX21" s="43"/>
      <c r="EY21" s="43"/>
      <c r="EZ21" s="110">
        <f>EZ20/EU20-1</f>
        <v>6.0499999999999998E-2</v>
      </c>
      <c r="FA21" s="43"/>
      <c r="FB21" s="43"/>
      <c r="FC21" s="43"/>
      <c r="FD21" s="43"/>
      <c r="FE21" s="110">
        <f>FE20/EZ20-1</f>
        <v>6.050000000000022E-2</v>
      </c>
      <c r="FF21" s="43"/>
      <c r="FG21" s="435"/>
      <c r="FL21" s="408"/>
      <c r="FM21" s="408" t="s">
        <v>581</v>
      </c>
      <c r="FN21" s="607"/>
      <c r="FO21" s="771"/>
      <c r="FP21" s="771"/>
      <c r="FQ21" s="771"/>
      <c r="FR21" s="771"/>
      <c r="FS21" s="771"/>
      <c r="FT21" s="190"/>
    </row>
    <row r="22" spans="1:184" ht="12.75" customHeight="1" x14ac:dyDescent="0.2">
      <c r="A22" s="214" t="s">
        <v>285</v>
      </c>
      <c r="B22" s="141">
        <f t="shared" ref="B22:AG22" si="99">(B20/B8)*100</f>
        <v>6.5152448577827666</v>
      </c>
      <c r="C22" s="141">
        <f t="shared" si="99"/>
        <v>7.2562474146531368</v>
      </c>
      <c r="D22" s="141">
        <f t="shared" si="99"/>
        <v>7.1527270115063946</v>
      </c>
      <c r="E22" s="141">
        <f t="shared" si="99"/>
        <v>6.9350433241809641</v>
      </c>
      <c r="F22" s="251">
        <f t="shared" si="99"/>
        <v>6.9734506156345866</v>
      </c>
      <c r="G22" s="141">
        <f t="shared" si="99"/>
        <v>6.3341411127850824</v>
      </c>
      <c r="H22" s="141">
        <f t="shared" si="99"/>
        <v>6.8576677744072416</v>
      </c>
      <c r="I22" s="141">
        <f t="shared" si="99"/>
        <v>7.0846524162783666</v>
      </c>
      <c r="J22" s="141">
        <f t="shared" si="99"/>
        <v>7.0958592689200959</v>
      </c>
      <c r="K22" s="251">
        <f t="shared" si="99"/>
        <v>6.8568319414582319</v>
      </c>
      <c r="L22" s="141">
        <f t="shared" si="99"/>
        <v>7.3039988139496828</v>
      </c>
      <c r="M22" s="141">
        <f t="shared" si="99"/>
        <v>7.8218426391017708</v>
      </c>
      <c r="N22" s="141">
        <f t="shared" si="99"/>
        <v>7.5766923763256848</v>
      </c>
      <c r="O22" s="141">
        <f t="shared" si="99"/>
        <v>7.6803854707878747</v>
      </c>
      <c r="P22" s="251">
        <f t="shared" si="99"/>
        <v>7.5998278063534732</v>
      </c>
      <c r="Q22" s="141">
        <f t="shared" si="99"/>
        <v>7.7115218754865866</v>
      </c>
      <c r="R22" s="141">
        <f t="shared" si="99"/>
        <v>8.2511057009735289</v>
      </c>
      <c r="S22" s="141">
        <f t="shared" si="99"/>
        <v>8.194925930099286</v>
      </c>
      <c r="T22" s="141">
        <f t="shared" si="99"/>
        <v>8.0414883625251381</v>
      </c>
      <c r="U22" s="251">
        <f t="shared" si="99"/>
        <v>8.0562029733561129</v>
      </c>
      <c r="V22" s="141">
        <f t="shared" si="99"/>
        <v>7.9170182566890279</v>
      </c>
      <c r="W22" s="141">
        <f t="shared" si="99"/>
        <v>8.1859829289692492</v>
      </c>
      <c r="X22" s="141">
        <f t="shared" si="99"/>
        <v>7.9727033574205217</v>
      </c>
      <c r="Y22" s="141">
        <f t="shared" si="99"/>
        <v>7.0799170988263658</v>
      </c>
      <c r="Z22" s="251">
        <f t="shared" si="99"/>
        <v>7.7753922973539948</v>
      </c>
      <c r="AA22" s="141">
        <f t="shared" si="99"/>
        <v>7.0022800926116044</v>
      </c>
      <c r="AB22" s="141">
        <f t="shared" si="99"/>
        <v>7.9592808447556145</v>
      </c>
      <c r="AC22" s="141">
        <f t="shared" si="99"/>
        <v>7.9777924904861059</v>
      </c>
      <c r="AD22" s="141">
        <f t="shared" si="99"/>
        <v>7.5489356032114197</v>
      </c>
      <c r="AE22" s="251">
        <f t="shared" si="99"/>
        <v>7.6306133877663509</v>
      </c>
      <c r="AF22" s="141">
        <f t="shared" si="99"/>
        <v>7.6866406268880167</v>
      </c>
      <c r="AG22" s="141">
        <f t="shared" si="99"/>
        <v>8.6205753398514791</v>
      </c>
      <c r="AH22" s="141">
        <f t="shared" ref="AH22:BM22" si="100">(AH20/AH8)*100</f>
        <v>8.1653939832010547</v>
      </c>
      <c r="AI22" s="141">
        <f t="shared" si="100"/>
        <v>7.6248681015443545</v>
      </c>
      <c r="AJ22" s="251">
        <f t="shared" si="100"/>
        <v>8.0271030663683103</v>
      </c>
      <c r="AK22" s="141">
        <f t="shared" si="100"/>
        <v>8.0731647371295931</v>
      </c>
      <c r="AL22" s="141">
        <f t="shared" si="100"/>
        <v>8.3021937663313121</v>
      </c>
      <c r="AM22" s="141">
        <f t="shared" si="100"/>
        <v>8.262521129670084</v>
      </c>
      <c r="AN22" s="141">
        <f t="shared" si="100"/>
        <v>8.0795391858511625</v>
      </c>
      <c r="AO22" s="251">
        <f t="shared" si="100"/>
        <v>8.1802601751229105</v>
      </c>
      <c r="AP22" s="141">
        <f t="shared" si="100"/>
        <v>7.9394426385963515</v>
      </c>
      <c r="AQ22" s="141">
        <f t="shared" si="100"/>
        <v>8.7957513528881179</v>
      </c>
      <c r="AR22" s="141">
        <f t="shared" si="100"/>
        <v>8.4920171717717086</v>
      </c>
      <c r="AS22" s="141">
        <f t="shared" si="100"/>
        <v>8.1099286145572886</v>
      </c>
      <c r="AT22" s="251">
        <f t="shared" si="100"/>
        <v>8.3371643850901638</v>
      </c>
      <c r="AU22" s="141">
        <f t="shared" si="100"/>
        <v>8.3463312853456202</v>
      </c>
      <c r="AV22" s="141">
        <f t="shared" si="100"/>
        <v>9.0925148374455453</v>
      </c>
      <c r="AW22" s="141">
        <f t="shared" si="100"/>
        <v>8.7332547822292028</v>
      </c>
      <c r="AX22" s="141">
        <f t="shared" si="100"/>
        <v>8.3593661049499151</v>
      </c>
      <c r="AY22" s="251">
        <f t="shared" si="100"/>
        <v>8.6322517971508983</v>
      </c>
      <c r="AZ22" s="141">
        <f t="shared" si="100"/>
        <v>8.4773807808825783</v>
      </c>
      <c r="BA22" s="141">
        <f t="shared" si="100"/>
        <v>9.603120944112451</v>
      </c>
      <c r="BB22" s="141">
        <f t="shared" si="100"/>
        <v>9.3390300468676486</v>
      </c>
      <c r="BC22" s="141">
        <f t="shared" si="100"/>
        <v>9.0586202438205738</v>
      </c>
      <c r="BD22" s="251">
        <f t="shared" si="100"/>
        <v>9.1269706278918594</v>
      </c>
      <c r="BE22" s="141">
        <f t="shared" si="100"/>
        <v>8.7130264753060302</v>
      </c>
      <c r="BF22" s="141">
        <f t="shared" si="100"/>
        <v>9.1599513442105014</v>
      </c>
      <c r="BG22" s="141">
        <f t="shared" si="100"/>
        <v>7.9343392208409869</v>
      </c>
      <c r="BH22" s="141">
        <f t="shared" si="100"/>
        <v>7.1795092789774282</v>
      </c>
      <c r="BI22" s="251">
        <f t="shared" si="100"/>
        <v>8.2387655779732292</v>
      </c>
      <c r="BJ22" s="141">
        <f t="shared" si="100"/>
        <v>7.3534392371602433</v>
      </c>
      <c r="BK22" s="141">
        <f t="shared" si="100"/>
        <v>8.0904624298493992</v>
      </c>
      <c r="BL22" s="141">
        <f t="shared" si="100"/>
        <v>7.6320087599278272</v>
      </c>
      <c r="BM22" s="141">
        <f t="shared" si="100"/>
        <v>7.7185241554012745</v>
      </c>
      <c r="BN22" s="251">
        <f t="shared" ref="BN22:CS22" si="101">(BN20/BN8)*100</f>
        <v>7.7015749925972488</v>
      </c>
      <c r="BO22" s="141">
        <f t="shared" si="101"/>
        <v>7.5061215697426746</v>
      </c>
      <c r="BP22" s="141">
        <f t="shared" si="101"/>
        <v>8.1872093435897924</v>
      </c>
      <c r="BQ22" s="141">
        <f t="shared" si="101"/>
        <v>8.2562652446334699</v>
      </c>
      <c r="BR22" s="141">
        <f t="shared" si="101"/>
        <v>8.0193860320881498</v>
      </c>
      <c r="BS22" s="251">
        <f t="shared" si="101"/>
        <v>7.9968881644035399</v>
      </c>
      <c r="BT22" s="141">
        <f t="shared" si="101"/>
        <v>7.7686415844721175</v>
      </c>
      <c r="BU22" s="141">
        <f t="shared" si="101"/>
        <v>8.8102807773629266</v>
      </c>
      <c r="BV22" s="141">
        <f t="shared" si="101"/>
        <v>8.272562246027336</v>
      </c>
      <c r="BW22" s="141">
        <f t="shared" si="101"/>
        <v>7.848634799956498</v>
      </c>
      <c r="BX22" s="251">
        <f t="shared" si="101"/>
        <v>8.1718634609508385</v>
      </c>
      <c r="BY22" s="141">
        <f t="shared" si="101"/>
        <v>7.8688787772039177</v>
      </c>
      <c r="BZ22" s="141">
        <f t="shared" si="101"/>
        <v>8.7539542754912514</v>
      </c>
      <c r="CA22" s="141">
        <f t="shared" si="101"/>
        <v>8.7491389854265975</v>
      </c>
      <c r="CB22" s="141">
        <f t="shared" si="101"/>
        <v>8.7637466331878677</v>
      </c>
      <c r="CC22" s="251">
        <f t="shared" si="101"/>
        <v>8.544981998066401</v>
      </c>
      <c r="CD22" s="141">
        <f t="shared" si="101"/>
        <v>8.7785216466817264</v>
      </c>
      <c r="CE22" s="141">
        <f t="shared" si="101"/>
        <v>10.322721777816311</v>
      </c>
      <c r="CF22" s="141">
        <f t="shared" si="101"/>
        <v>9.4945829478425434</v>
      </c>
      <c r="CG22" s="141">
        <f t="shared" si="101"/>
        <v>9.1626161247910467</v>
      </c>
      <c r="CH22" s="251">
        <f t="shared" si="101"/>
        <v>9.442802356103293</v>
      </c>
      <c r="CI22" s="141">
        <f t="shared" si="101"/>
        <v>8.9195306299722574</v>
      </c>
      <c r="CJ22" s="141">
        <f t="shared" si="101"/>
        <v>9.9068650612128177</v>
      </c>
      <c r="CK22" s="141">
        <f t="shared" si="101"/>
        <v>9.6515949221722526</v>
      </c>
      <c r="CL22" s="141">
        <f t="shared" si="101"/>
        <v>9.4540717000281642</v>
      </c>
      <c r="CM22" s="251">
        <f t="shared" si="101"/>
        <v>9.4915523828859918</v>
      </c>
      <c r="CN22" s="141">
        <f t="shared" si="101"/>
        <v>9.5818605456651262</v>
      </c>
      <c r="CO22" s="141">
        <f t="shared" si="101"/>
        <v>10.430951713275276</v>
      </c>
      <c r="CP22" s="141">
        <f t="shared" si="101"/>
        <v>10.526101555386525</v>
      </c>
      <c r="CQ22" s="141">
        <f t="shared" si="101"/>
        <v>10.300212297510672</v>
      </c>
      <c r="CR22" s="306">
        <f t="shared" si="101"/>
        <v>10.21580594725102</v>
      </c>
      <c r="CS22" s="141">
        <f t="shared" si="101"/>
        <v>9.2722509814322418</v>
      </c>
      <c r="CT22" s="141">
        <f t="shared" ref="CT22:DE22" si="102">(CT20/CT8)*100</f>
        <v>9.6535356498507756</v>
      </c>
      <c r="CU22" s="141">
        <f t="shared" si="102"/>
        <v>9.95228361817923</v>
      </c>
      <c r="CV22" s="141">
        <f t="shared" si="102"/>
        <v>10.649377437308603</v>
      </c>
      <c r="CW22" s="306">
        <f t="shared" si="102"/>
        <v>9.8774879577727379</v>
      </c>
      <c r="CX22" s="141">
        <f t="shared" si="102"/>
        <v>10.728916701290846</v>
      </c>
      <c r="CY22" s="141">
        <f t="shared" si="102"/>
        <v>11.414482983499342</v>
      </c>
      <c r="CZ22" s="141">
        <f t="shared" si="102"/>
        <v>11.332798372451759</v>
      </c>
      <c r="DA22" s="141">
        <f t="shared" si="102"/>
        <v>11.401921791958941</v>
      </c>
      <c r="DB22" s="306">
        <f t="shared" si="102"/>
        <v>11.231682098736073</v>
      </c>
      <c r="DC22" s="141">
        <f t="shared" si="102"/>
        <v>11.694449169266237</v>
      </c>
      <c r="DD22" s="141">
        <f t="shared" si="102"/>
        <v>12.274441530003639</v>
      </c>
      <c r="DE22" s="141">
        <f t="shared" si="102"/>
        <v>12.047509687605434</v>
      </c>
      <c r="DF22" s="141">
        <f t="shared" ref="DF22:DL22" si="103">(DF20/DF8)*100</f>
        <v>12.333229416822608</v>
      </c>
      <c r="DG22" s="306">
        <f t="shared" si="103"/>
        <v>12.093306182140251</v>
      </c>
      <c r="DH22" s="141">
        <f t="shared" si="103"/>
        <v>12.245007352064331</v>
      </c>
      <c r="DI22" s="141">
        <f t="shared" si="103"/>
        <v>13.081320947997641</v>
      </c>
      <c r="DJ22" s="141">
        <f t="shared" si="103"/>
        <v>12.260885896767874</v>
      </c>
      <c r="DK22" s="141">
        <f t="shared" si="103"/>
        <v>12.627673262240291</v>
      </c>
      <c r="DL22" s="306">
        <f t="shared" si="103"/>
        <v>12.55914692511533</v>
      </c>
      <c r="DM22" s="141">
        <f t="shared" ref="DM22:DR22" si="104">(DM20/DM8)*100</f>
        <v>12.460462866911607</v>
      </c>
      <c r="DN22" s="141">
        <f t="shared" si="104"/>
        <v>12.795328524880034</v>
      </c>
      <c r="DO22" s="141">
        <f t="shared" si="104"/>
        <v>12.882539393240771</v>
      </c>
      <c r="DP22" s="141">
        <f t="shared" si="104"/>
        <v>13.162385196058072</v>
      </c>
      <c r="DQ22" s="306">
        <f t="shared" si="104"/>
        <v>12.828354787013252</v>
      </c>
      <c r="DR22" s="141">
        <f t="shared" si="104"/>
        <v>12.905837395899312</v>
      </c>
      <c r="DS22" s="141">
        <f t="shared" ref="DS22:DX22" si="105">(DS20/DS8)*100</f>
        <v>13.937032066787946</v>
      </c>
      <c r="DT22" s="141">
        <f t="shared" si="105"/>
        <v>13.508624208780581</v>
      </c>
      <c r="DU22" s="141">
        <f t="shared" si="105"/>
        <v>13.504929559647405</v>
      </c>
      <c r="DV22" s="306">
        <f t="shared" si="105"/>
        <v>13.478982268291196</v>
      </c>
      <c r="DW22" s="141">
        <f t="shared" si="105"/>
        <v>12.935999775833801</v>
      </c>
      <c r="DX22" s="141">
        <f t="shared" si="105"/>
        <v>13.301886197593324</v>
      </c>
      <c r="DY22" s="141">
        <f>(DY20/DY8)*100</f>
        <v>12.970175746431414</v>
      </c>
      <c r="DZ22" s="141">
        <f>(DZ20/DZ8)*100</f>
        <v>12.873373785829925</v>
      </c>
      <c r="EA22" s="306">
        <f>(EA20/EA8)*100</f>
        <v>13.024068676777469</v>
      </c>
      <c r="EB22" s="141">
        <f>(EB20/EB8)*100</f>
        <v>12.470175284787416</v>
      </c>
      <c r="EC22" s="141">
        <f t="shared" ref="EC22" si="106">(EC20/EC8)*100</f>
        <v>12.831821620047174</v>
      </c>
      <c r="ED22" s="141">
        <f>(ED20/ED8)*100</f>
        <v>12.325274256490831</v>
      </c>
      <c r="EE22" s="141">
        <f>(EE20/EE8)*100</f>
        <v>12.445113831065562</v>
      </c>
      <c r="EF22" s="306">
        <f>(EF20/EF8)*100</f>
        <v>12.520026487649478</v>
      </c>
      <c r="EG22" s="141">
        <f>(EG20/EG8)*100</f>
        <v>12.054538612807074</v>
      </c>
      <c r="EH22" s="141">
        <f t="shared" ref="EH22" si="107">(EH20/EH8)*100</f>
        <v>13.026737422122428</v>
      </c>
      <c r="EI22" s="141">
        <f>(EI20/EI8)*100</f>
        <v>12.150103894270897</v>
      </c>
      <c r="EJ22" s="141">
        <f>(EJ20/EJ8)*100</f>
        <v>12.505670178548137</v>
      </c>
      <c r="EK22" s="306">
        <f>(EK20/EK8)*100</f>
        <v>12.443837512270656</v>
      </c>
      <c r="EL22" s="523">
        <f>(EL20/EL8)*100</f>
        <v>12.386964858458626</v>
      </c>
      <c r="EM22" s="523">
        <f t="shared" ref="EM22" si="108">(EM20/EM8)*100</f>
        <v>13.390181653658809</v>
      </c>
      <c r="EN22" s="523">
        <f>(EN20/EN8)*100</f>
        <v>12.659665680353072</v>
      </c>
      <c r="EO22" s="523">
        <f>(EO20/EO8)*100</f>
        <v>12.920062373151778</v>
      </c>
      <c r="EP22" s="524">
        <f>(EP20/EP8)*100</f>
        <v>12.849530020507693</v>
      </c>
      <c r="EQ22" s="140">
        <f>EL22*(1+EQ23)</f>
        <v>12.331223516595562</v>
      </c>
      <c r="ER22" s="140">
        <f>EM22*(1+ER23)</f>
        <v>13.189328928853927</v>
      </c>
      <c r="ES22" s="140">
        <f>EN22*(1+ES23)</f>
        <v>12.786262337156604</v>
      </c>
      <c r="ET22" s="140">
        <f>EO22*(1+ET23)</f>
        <v>12.790861749420261</v>
      </c>
      <c r="EU22" s="306">
        <f>(EU20/EU8)*100</f>
        <v>12.786244788281204</v>
      </c>
      <c r="EV22" s="140"/>
      <c r="EW22" s="140"/>
      <c r="EX22" s="140"/>
      <c r="EY22" s="140"/>
      <c r="EZ22" s="306">
        <f>EU22*(1+EZ23)</f>
        <v>12.914107236164016</v>
      </c>
      <c r="FA22" s="140"/>
      <c r="FB22" s="140"/>
      <c r="FC22" s="140"/>
      <c r="FD22" s="140"/>
      <c r="FE22" s="306">
        <f>EZ22*(1+FE23)</f>
        <v>13.043248308525657</v>
      </c>
      <c r="FF22" s="140"/>
      <c r="FG22" s="442"/>
      <c r="FL22" s="408"/>
      <c r="FM22" s="408"/>
      <c r="FN22" s="607"/>
      <c r="FO22" s="772"/>
      <c r="FP22" s="773"/>
      <c r="FQ22" s="773"/>
      <c r="FR22" s="773"/>
      <c r="FS22" s="773"/>
      <c r="FT22" s="442"/>
    </row>
    <row r="23" spans="1:184" ht="12.75" customHeight="1" x14ac:dyDescent="0.2">
      <c r="A23" s="60" t="s">
        <v>244</v>
      </c>
      <c r="B23" s="128"/>
      <c r="C23" s="128"/>
      <c r="D23" s="128"/>
      <c r="E23" s="128"/>
      <c r="F23" s="244"/>
      <c r="G23" s="128">
        <f t="shared" ref="G23:AL23" si="109">G22/B22-1</f>
        <v>-2.779692075292417E-2</v>
      </c>
      <c r="H23" s="128">
        <f t="shared" si="109"/>
        <v>-5.4929168958739005E-2</v>
      </c>
      <c r="I23" s="128">
        <f t="shared" si="109"/>
        <v>-9.5172925121451701E-3</v>
      </c>
      <c r="J23" s="128">
        <f t="shared" si="109"/>
        <v>2.3188888262370533E-2</v>
      </c>
      <c r="K23" s="244">
        <f t="shared" si="109"/>
        <v>-1.6723237978468419E-2</v>
      </c>
      <c r="L23" s="128">
        <f t="shared" si="109"/>
        <v>0.15311589746666687</v>
      </c>
      <c r="M23" s="128">
        <f t="shared" si="109"/>
        <v>0.14059807159116433</v>
      </c>
      <c r="N23" s="128">
        <f t="shared" si="109"/>
        <v>6.9451531442355607E-2</v>
      </c>
      <c r="O23" s="128">
        <f t="shared" si="109"/>
        <v>8.2375675688497241E-2</v>
      </c>
      <c r="P23" s="244">
        <f t="shared" si="109"/>
        <v>0.10835847680659794</v>
      </c>
      <c r="Q23" s="128">
        <f t="shared" si="109"/>
        <v>5.5794513651698407E-2</v>
      </c>
      <c r="R23" s="128">
        <f t="shared" si="109"/>
        <v>5.4880043191594119E-2</v>
      </c>
      <c r="S23" s="128">
        <f t="shared" si="109"/>
        <v>8.1596760573960925E-2</v>
      </c>
      <c r="T23" s="128">
        <f t="shared" si="109"/>
        <v>4.7016245878635621E-2</v>
      </c>
      <c r="U23" s="244">
        <f t="shared" si="109"/>
        <v>6.0050724652091381E-2</v>
      </c>
      <c r="V23" s="128">
        <f t="shared" si="109"/>
        <v>2.6647967096569358E-2</v>
      </c>
      <c r="W23" s="128">
        <f t="shared" si="109"/>
        <v>-7.8926115316394485E-3</v>
      </c>
      <c r="X23" s="128">
        <f t="shared" si="109"/>
        <v>-2.7117093500816036E-2</v>
      </c>
      <c r="Y23" s="128">
        <f t="shared" si="109"/>
        <v>-0.11957627995581976</v>
      </c>
      <c r="Z23" s="244">
        <f t="shared" si="109"/>
        <v>-3.4856454949165228E-2</v>
      </c>
      <c r="AA23" s="128">
        <f t="shared" si="109"/>
        <v>-0.11554074203435971</v>
      </c>
      <c r="AB23" s="128">
        <f t="shared" si="109"/>
        <v>-2.7693935619064414E-2</v>
      </c>
      <c r="AC23" s="128">
        <f t="shared" si="109"/>
        <v>6.3831963105065448E-4</v>
      </c>
      <c r="AD23" s="128">
        <f t="shared" si="109"/>
        <v>6.6246327158661522E-2</v>
      </c>
      <c r="AE23" s="244">
        <f t="shared" si="109"/>
        <v>-1.862014211641938E-2</v>
      </c>
      <c r="AF23" s="128">
        <f t="shared" si="109"/>
        <v>9.7733955972213904E-2</v>
      </c>
      <c r="AG23" s="128">
        <f t="shared" si="109"/>
        <v>8.3084704258374442E-2</v>
      </c>
      <c r="AH23" s="128">
        <f t="shared" si="109"/>
        <v>2.3515464075892112E-2</v>
      </c>
      <c r="AI23" s="128">
        <f t="shared" si="109"/>
        <v>1.0058702620357796E-2</v>
      </c>
      <c r="AJ23" s="244">
        <f t="shared" si="109"/>
        <v>5.1960394067090965E-2</v>
      </c>
      <c r="AK23" s="128">
        <f t="shared" si="109"/>
        <v>5.0285180354276982E-2</v>
      </c>
      <c r="AL23" s="128">
        <f t="shared" si="109"/>
        <v>-3.6932752277953229E-2</v>
      </c>
      <c r="AM23" s="128">
        <f t="shared" ref="AM23:BR23" si="110">AM22/AH22-1</f>
        <v>1.1894973674124287E-2</v>
      </c>
      <c r="AN23" s="128">
        <f t="shared" si="110"/>
        <v>5.9630026152808879E-2</v>
      </c>
      <c r="AO23" s="244">
        <f t="shared" si="110"/>
        <v>1.9079997788528757E-2</v>
      </c>
      <c r="AP23" s="128">
        <f t="shared" si="110"/>
        <v>-1.6563776769998984E-2</v>
      </c>
      <c r="AQ23" s="128">
        <f t="shared" si="110"/>
        <v>5.9449056532308031E-2</v>
      </c>
      <c r="AR23" s="128">
        <f t="shared" si="110"/>
        <v>2.7775546773190385E-2</v>
      </c>
      <c r="AS23" s="128">
        <f t="shared" si="110"/>
        <v>3.7612824205797146E-3</v>
      </c>
      <c r="AT23" s="244">
        <f t="shared" si="110"/>
        <v>1.9180833690891186E-2</v>
      </c>
      <c r="AU23" s="128">
        <f t="shared" si="110"/>
        <v>5.1249019014413477E-2</v>
      </c>
      <c r="AV23" s="128">
        <f t="shared" si="110"/>
        <v>3.3739412660861889E-2</v>
      </c>
      <c r="AW23" s="128">
        <f t="shared" si="110"/>
        <v>2.8407574499424104E-2</v>
      </c>
      <c r="AX23" s="128">
        <f t="shared" si="110"/>
        <v>3.0757051294494353E-2</v>
      </c>
      <c r="AY23" s="244">
        <f t="shared" si="110"/>
        <v>3.539421779765517E-2</v>
      </c>
      <c r="AZ23" s="128">
        <f t="shared" si="110"/>
        <v>1.5701449062662132E-2</v>
      </c>
      <c r="BA23" s="128">
        <f t="shared" si="110"/>
        <v>5.6156752647142927E-2</v>
      </c>
      <c r="BB23" s="128">
        <f t="shared" si="110"/>
        <v>6.936420380991315E-2</v>
      </c>
      <c r="BC23" s="128">
        <f t="shared" si="110"/>
        <v>8.3649182257564014E-2</v>
      </c>
      <c r="BD23" s="244">
        <f t="shared" si="110"/>
        <v>5.7310519012460315E-2</v>
      </c>
      <c r="BE23" s="128">
        <f t="shared" si="110"/>
        <v>2.7796993023465388E-2</v>
      </c>
      <c r="BF23" s="128">
        <f t="shared" si="110"/>
        <v>-4.6148497189723581E-2</v>
      </c>
      <c r="BG23" s="128">
        <f t="shared" si="110"/>
        <v>-0.15041078345152137</v>
      </c>
      <c r="BH23" s="128">
        <f t="shared" si="110"/>
        <v>-0.2074389823466769</v>
      </c>
      <c r="BI23" s="244">
        <f t="shared" si="110"/>
        <v>-9.7316523316541836E-2</v>
      </c>
      <c r="BJ23" s="128">
        <f t="shared" si="110"/>
        <v>-0.15604075598749212</v>
      </c>
      <c r="BK23" s="128">
        <f t="shared" si="110"/>
        <v>-0.11675705188511365</v>
      </c>
      <c r="BL23" s="128">
        <f t="shared" si="110"/>
        <v>-3.8104050318271465E-2</v>
      </c>
      <c r="BM23" s="128">
        <f t="shared" si="110"/>
        <v>7.507684097604761E-2</v>
      </c>
      <c r="BN23" s="244">
        <f t="shared" si="110"/>
        <v>-6.5202800139402828E-2</v>
      </c>
      <c r="BO23" s="128">
        <f t="shared" si="110"/>
        <v>2.0763390796902037E-2</v>
      </c>
      <c r="BP23" s="128">
        <f t="shared" si="110"/>
        <v>1.1958143873636917E-2</v>
      </c>
      <c r="BQ23" s="128">
        <f t="shared" si="110"/>
        <v>8.1794518893024248E-2</v>
      </c>
      <c r="BR23" s="128">
        <f t="shared" si="110"/>
        <v>3.8979197399588106E-2</v>
      </c>
      <c r="BS23" s="244">
        <f t="shared" ref="BS23:DA23" si="111">BS22/BN22-1</f>
        <v>3.8344516815085994E-2</v>
      </c>
      <c r="BT23" s="128">
        <f t="shared" si="111"/>
        <v>3.4974122426642662E-2</v>
      </c>
      <c r="BU23" s="128">
        <f t="shared" si="111"/>
        <v>7.610302944811953E-2</v>
      </c>
      <c r="BV23" s="128">
        <f t="shared" si="111"/>
        <v>1.9738950858512183E-3</v>
      </c>
      <c r="BW23" s="128">
        <f t="shared" si="111"/>
        <v>-2.1292307347273387E-2</v>
      </c>
      <c r="BX23" s="244">
        <f t="shared" si="111"/>
        <v>2.1880423103347146E-2</v>
      </c>
      <c r="BY23" s="128">
        <f t="shared" si="111"/>
        <v>1.2902795378300524E-2</v>
      </c>
      <c r="BZ23" s="128">
        <f t="shared" si="111"/>
        <v>-6.3932697827746576E-3</v>
      </c>
      <c r="CA23" s="128">
        <f t="shared" si="111"/>
        <v>5.7609326497135127E-2</v>
      </c>
      <c r="CB23" s="128">
        <f t="shared" si="111"/>
        <v>0.11659503296502494</v>
      </c>
      <c r="CC23" s="244">
        <f t="shared" si="111"/>
        <v>4.5658929434945428E-2</v>
      </c>
      <c r="CD23" s="128">
        <f t="shared" si="111"/>
        <v>0.11560006135982648</v>
      </c>
      <c r="CE23" s="128">
        <f t="shared" si="111"/>
        <v>0.17920672794889869</v>
      </c>
      <c r="CF23" s="128">
        <f t="shared" si="111"/>
        <v>8.5201979721390764E-2</v>
      </c>
      <c r="CG23" s="128">
        <f t="shared" si="111"/>
        <v>4.55135809258429E-2</v>
      </c>
      <c r="CH23" s="244">
        <f t="shared" si="111"/>
        <v>0.10506989461651939</v>
      </c>
      <c r="CI23" s="128">
        <f t="shared" si="111"/>
        <v>1.6062953304196936E-2</v>
      </c>
      <c r="CJ23" s="128">
        <f t="shared" si="111"/>
        <v>-4.0285568627566382E-2</v>
      </c>
      <c r="CK23" s="128">
        <f t="shared" si="111"/>
        <v>1.6537005910869151E-2</v>
      </c>
      <c r="CL23" s="128">
        <f t="shared" si="111"/>
        <v>3.1809209429666474E-2</v>
      </c>
      <c r="CM23" s="244">
        <f t="shared" si="111"/>
        <v>5.1626651648797317E-3</v>
      </c>
      <c r="CN23" s="128">
        <f t="shared" si="111"/>
        <v>7.4256140055985131E-2</v>
      </c>
      <c r="CO23" s="128">
        <f t="shared" si="111"/>
        <v>5.2901361714752015E-2</v>
      </c>
      <c r="CP23" s="128">
        <f t="shared" si="111"/>
        <v>9.0607473714556797E-2</v>
      </c>
      <c r="CQ23" s="128">
        <f t="shared" si="111"/>
        <v>8.9500124848850726E-2</v>
      </c>
      <c r="CR23" s="110">
        <f>CR22/CM22-1</f>
        <v>7.6305069513277424E-2</v>
      </c>
      <c r="CS23" s="128">
        <f t="shared" si="111"/>
        <v>-3.2312050750201493E-2</v>
      </c>
      <c r="CT23" s="128">
        <f t="shared" si="111"/>
        <v>-7.4529734658353108E-2</v>
      </c>
      <c r="CU23" s="128">
        <f t="shared" si="111"/>
        <v>-5.4513813512815146E-2</v>
      </c>
      <c r="CV23" s="128">
        <f t="shared" si="111"/>
        <v>3.3898829433089972E-2</v>
      </c>
      <c r="CW23" s="110">
        <f>CW22/CR22-1</f>
        <v>-3.3117111975812463E-2</v>
      </c>
      <c r="CX23" s="128">
        <f t="shared" si="111"/>
        <v>0.15709947053585904</v>
      </c>
      <c r="CY23" s="128">
        <f t="shared" si="111"/>
        <v>0.18241475429531229</v>
      </c>
      <c r="CZ23" s="128">
        <f t="shared" si="111"/>
        <v>0.13871336541804591</v>
      </c>
      <c r="DA23" s="128">
        <f t="shared" si="111"/>
        <v>7.0665572619663664E-2</v>
      </c>
      <c r="DB23" s="110">
        <f t="shared" ref="DB23:DT23" si="112">DB22/CW22-1</f>
        <v>0.13709904246430393</v>
      </c>
      <c r="DC23" s="128">
        <f t="shared" si="112"/>
        <v>8.9993472300817112E-2</v>
      </c>
      <c r="DD23" s="128">
        <f t="shared" si="112"/>
        <v>7.533924644221246E-2</v>
      </c>
      <c r="DE23" s="128">
        <f t="shared" si="112"/>
        <v>6.3065739958016565E-2</v>
      </c>
      <c r="DF23" s="128">
        <f t="shared" si="112"/>
        <v>8.167988185293984E-2</v>
      </c>
      <c r="DG23" s="110">
        <f t="shared" si="112"/>
        <v>7.671371712890096E-2</v>
      </c>
      <c r="DH23" s="128">
        <f t="shared" si="112"/>
        <v>4.7078590434596501E-2</v>
      </c>
      <c r="DI23" s="128">
        <f t="shared" si="112"/>
        <v>6.5736548259378358E-2</v>
      </c>
      <c r="DJ23" s="128">
        <f t="shared" si="112"/>
        <v>1.7711229515089189E-2</v>
      </c>
      <c r="DK23" s="128">
        <f t="shared" si="112"/>
        <v>2.3874026458638564E-2</v>
      </c>
      <c r="DL23" s="110">
        <f t="shared" si="112"/>
        <v>3.8520544833558157E-2</v>
      </c>
      <c r="DM23" s="128">
        <f t="shared" si="112"/>
        <v>1.75953765197987E-2</v>
      </c>
      <c r="DN23" s="128">
        <f t="shared" si="112"/>
        <v>-2.1862656245077772E-2</v>
      </c>
      <c r="DO23" s="128">
        <f t="shared" si="112"/>
        <v>5.0702167992344949E-2</v>
      </c>
      <c r="DP23" s="128">
        <f t="shared" si="112"/>
        <v>4.2344454335597526E-2</v>
      </c>
      <c r="DQ23" s="110">
        <f>DQ22/DL22-1</f>
        <v>2.1435202844834134E-2</v>
      </c>
      <c r="DR23" s="128">
        <f t="shared" si="112"/>
        <v>3.5743016430824781E-2</v>
      </c>
      <c r="DS23" s="128">
        <f t="shared" si="112"/>
        <v>8.9228153828790902E-2</v>
      </c>
      <c r="DT23" s="128">
        <f t="shared" si="112"/>
        <v>4.8599487758469895E-2</v>
      </c>
      <c r="DU23" s="128">
        <f t="shared" ref="DU23:ED23" si="113">DU22/DP22-1</f>
        <v>2.6024490127512845E-2</v>
      </c>
      <c r="DV23" s="110">
        <f t="shared" si="113"/>
        <v>5.0717920737318956E-2</v>
      </c>
      <c r="DW23" s="128">
        <f t="shared" si="113"/>
        <v>2.3371114178203367E-3</v>
      </c>
      <c r="DX23" s="128">
        <f t="shared" si="113"/>
        <v>-4.5572534105606244E-2</v>
      </c>
      <c r="DY23" s="128">
        <f t="shared" si="113"/>
        <v>-3.9859607760735383E-2</v>
      </c>
      <c r="DZ23" s="128">
        <f t="shared" si="113"/>
        <v>-4.6764832872920881E-2</v>
      </c>
      <c r="EA23" s="110">
        <f t="shared" si="113"/>
        <v>-3.3749847166420932E-2</v>
      </c>
      <c r="EB23" s="128">
        <f t="shared" si="113"/>
        <v>-3.6009933450726339E-2</v>
      </c>
      <c r="EC23" s="128">
        <f t="shared" si="113"/>
        <v>-3.5338189679535614E-2</v>
      </c>
      <c r="ED23" s="128">
        <f t="shared" si="113"/>
        <v>-4.9721877524907088E-2</v>
      </c>
      <c r="EE23" s="128">
        <f t="shared" ref="EE23" si="114">EE22/DZ22-1</f>
        <v>-3.3267111006732297E-2</v>
      </c>
      <c r="EF23" s="110">
        <f t="shared" ref="EF23:EJ23" si="115">EF22/EA22-1</f>
        <v>-3.8700823961925424E-2</v>
      </c>
      <c r="EG23" s="128">
        <f t="shared" si="115"/>
        <v>-3.3330459475367946E-2</v>
      </c>
      <c r="EH23" s="128">
        <f t="shared" si="115"/>
        <v>1.519003364033189E-2</v>
      </c>
      <c r="EI23" s="128">
        <f t="shared" si="115"/>
        <v>-1.4212289201409378E-2</v>
      </c>
      <c r="EJ23" s="128">
        <f t="shared" si="115"/>
        <v>4.8658733302553436E-3</v>
      </c>
      <c r="EK23" s="711">
        <f>EK22/EF22-1</f>
        <v>-6.0853685456638829E-3</v>
      </c>
      <c r="EL23" s="870"/>
      <c r="EM23" s="870"/>
      <c r="EN23" s="870"/>
      <c r="EO23" s="870"/>
      <c r="EP23" s="484"/>
      <c r="EQ23" s="710">
        <v>-4.4999999999999997E-3</v>
      </c>
      <c r="ER23" s="710">
        <v>-1.4999999999999999E-2</v>
      </c>
      <c r="ES23" s="710">
        <v>0.01</v>
      </c>
      <c r="ET23" s="710">
        <v>-0.01</v>
      </c>
      <c r="EU23" s="711">
        <f>EU22/EP22-1</f>
        <v>-4.9251009278539204E-3</v>
      </c>
      <c r="EV23" s="710"/>
      <c r="EW23" s="710"/>
      <c r="EX23" s="710"/>
      <c r="EY23" s="710"/>
      <c r="EZ23" s="609">
        <v>0.01</v>
      </c>
      <c r="FA23" s="710"/>
      <c r="FB23" s="710"/>
      <c r="FC23" s="710"/>
      <c r="FD23" s="710"/>
      <c r="FE23" s="609">
        <v>0.01</v>
      </c>
      <c r="FF23" s="133"/>
      <c r="FG23" s="437"/>
      <c r="FL23" s="408"/>
      <c r="FM23" s="590"/>
      <c r="FN23" s="607"/>
      <c r="FO23" s="772"/>
      <c r="FP23" s="773"/>
      <c r="FQ23" s="773"/>
      <c r="FR23" s="773"/>
      <c r="FS23" s="772"/>
      <c r="FT23" s="190"/>
    </row>
    <row r="24" spans="1:184" ht="12.75" customHeight="1" x14ac:dyDescent="0.2">
      <c r="A24" s="60" t="s">
        <v>439</v>
      </c>
      <c r="B24" s="43"/>
      <c r="C24" s="43"/>
      <c r="D24" s="43"/>
      <c r="E24" s="43"/>
      <c r="F24" s="244"/>
      <c r="G24" s="43"/>
      <c r="H24" s="43"/>
      <c r="I24" s="43"/>
      <c r="J24" s="43"/>
      <c r="K24" s="244"/>
      <c r="L24" s="43">
        <f>L22/B22-1</f>
        <v>0.12106282624584908</v>
      </c>
      <c r="M24" s="43">
        <f t="shared" ref="M24:BX24" si="116">M22/C22-1</f>
        <v>7.7945967402721195E-2</v>
      </c>
      <c r="N24" s="43">
        <f t="shared" si="116"/>
        <v>5.927324839005732E-2</v>
      </c>
      <c r="O24" s="43">
        <f t="shared" si="116"/>
        <v>0.10747476428994562</v>
      </c>
      <c r="P24" s="110">
        <f t="shared" si="116"/>
        <v>8.9823134233508295E-2</v>
      </c>
      <c r="Q24" s="43">
        <f t="shared" si="116"/>
        <v>0.21745343814986118</v>
      </c>
      <c r="R24" s="43">
        <f t="shared" si="116"/>
        <v>0.20319414302433625</v>
      </c>
      <c r="S24" s="43">
        <f t="shared" si="116"/>
        <v>0.15671531199891331</v>
      </c>
      <c r="T24" s="43">
        <f t="shared" si="116"/>
        <v>0.13326491658972195</v>
      </c>
      <c r="U24" s="110">
        <f t="shared" si="116"/>
        <v>0.17491620651312223</v>
      </c>
      <c r="V24" s="43">
        <f t="shared" si="116"/>
        <v>8.3929291112227133E-2</v>
      </c>
      <c r="W24" s="43">
        <f t="shared" si="116"/>
        <v>4.6554284798203893E-2</v>
      </c>
      <c r="X24" s="43">
        <f t="shared" si="116"/>
        <v>5.22670000872969E-2</v>
      </c>
      <c r="Y24" s="43">
        <f t="shared" si="116"/>
        <v>-7.8182061856839513E-2</v>
      </c>
      <c r="Z24" s="110">
        <f t="shared" si="116"/>
        <v>2.3101114324425742E-2</v>
      </c>
      <c r="AA24" s="43">
        <f t="shared" si="116"/>
        <v>-9.197170082983519E-2</v>
      </c>
      <c r="AB24" s="43">
        <f t="shared" si="116"/>
        <v>-3.536796967508038E-2</v>
      </c>
      <c r="AC24" s="43">
        <f t="shared" si="116"/>
        <v>-2.6496083242884105E-2</v>
      </c>
      <c r="AD24" s="43">
        <f t="shared" si="116"/>
        <v>-6.1251442159527048E-2</v>
      </c>
      <c r="AE24" s="110">
        <f t="shared" si="116"/>
        <v>-5.2827564920756576E-2</v>
      </c>
      <c r="AF24" s="43">
        <f t="shared" si="116"/>
        <v>-2.9099039857128917E-2</v>
      </c>
      <c r="AG24" s="43">
        <f t="shared" si="116"/>
        <v>5.3089826188649658E-2</v>
      </c>
      <c r="AH24" s="43">
        <f t="shared" si="116"/>
        <v>2.416879408929562E-2</v>
      </c>
      <c r="AI24" s="43">
        <f t="shared" si="116"/>
        <v>7.697138188359931E-2</v>
      </c>
      <c r="AJ24" s="110">
        <f t="shared" si="116"/>
        <v>3.2372742028717205E-2</v>
      </c>
      <c r="AK24" s="43">
        <f t="shared" si="116"/>
        <v>0.15293370592929056</v>
      </c>
      <c r="AL24" s="43">
        <f t="shared" si="116"/>
        <v>4.3083405179959566E-2</v>
      </c>
      <c r="AM24" s="43">
        <f t="shared" si="116"/>
        <v>3.5690153576134032E-2</v>
      </c>
      <c r="AN24" s="43">
        <f t="shared" si="116"/>
        <v>7.0288529473481853E-2</v>
      </c>
      <c r="AO24" s="110">
        <f t="shared" si="116"/>
        <v>7.2031796059510933E-2</v>
      </c>
      <c r="AP24" s="43">
        <f t="shared" si="116"/>
        <v>3.2888491082050608E-2</v>
      </c>
      <c r="AQ24" s="43">
        <f t="shared" si="116"/>
        <v>2.0320686976289082E-2</v>
      </c>
      <c r="AR24" s="43">
        <f t="shared" si="116"/>
        <v>4.000090984496607E-2</v>
      </c>
      <c r="AS24" s="43">
        <f t="shared" si="116"/>
        <v>6.3615593942495829E-2</v>
      </c>
      <c r="AT24" s="110">
        <f t="shared" si="116"/>
        <v>3.862680174382449E-2</v>
      </c>
      <c r="AU24" s="43">
        <f t="shared" si="116"/>
        <v>3.3836364933778285E-2</v>
      </c>
      <c r="AV24" s="43">
        <f t="shared" si="116"/>
        <v>9.5194245443812608E-2</v>
      </c>
      <c r="AW24" s="43">
        <f t="shared" si="116"/>
        <v>5.6972157186836014E-2</v>
      </c>
      <c r="AX24" s="43">
        <f t="shared" si="116"/>
        <v>3.4634019671416771E-2</v>
      </c>
      <c r="AY24" s="110">
        <f t="shared" si="116"/>
        <v>5.5253942093742348E-2</v>
      </c>
      <c r="AZ24" s="43">
        <f t="shared" si="116"/>
        <v>6.7755151938641678E-2</v>
      </c>
      <c r="BA24" s="43">
        <f t="shared" si="116"/>
        <v>9.1790861159260828E-2</v>
      </c>
      <c r="BB24" s="43">
        <f t="shared" si="116"/>
        <v>9.9742247096660686E-2</v>
      </c>
      <c r="BC24" s="43">
        <f t="shared" si="116"/>
        <v>0.11697903574149682</v>
      </c>
      <c r="BD24" s="110">
        <f t="shared" si="116"/>
        <v>9.4733197802139069E-2</v>
      </c>
      <c r="BE24" s="43">
        <f t="shared" si="116"/>
        <v>4.3934895156180653E-2</v>
      </c>
      <c r="BF24" s="43">
        <f t="shared" si="116"/>
        <v>7.4167057156986349E-3</v>
      </c>
      <c r="BG24" s="43">
        <f t="shared" si="116"/>
        <v>-9.1479703880148255E-2</v>
      </c>
      <c r="BH24" s="43">
        <f t="shared" si="116"/>
        <v>-0.14114190133075355</v>
      </c>
      <c r="BI24" s="110">
        <f t="shared" si="116"/>
        <v>-4.558326476384067E-2</v>
      </c>
      <c r="BJ24" s="43">
        <f t="shared" si="116"/>
        <v>-0.13258122676958739</v>
      </c>
      <c r="BK24" s="43">
        <f t="shared" si="116"/>
        <v>-0.15751738659403669</v>
      </c>
      <c r="BL24" s="43">
        <f t="shared" si="116"/>
        <v>-0.18278357370874543</v>
      </c>
      <c r="BM24" s="43">
        <f t="shared" si="116"/>
        <v>-0.14793600486050384</v>
      </c>
      <c r="BN24" s="110">
        <f t="shared" si="116"/>
        <v>-0.15617401363587469</v>
      </c>
      <c r="BO24" s="43">
        <f t="shared" si="116"/>
        <v>-0.1385173003874024</v>
      </c>
      <c r="BP24" s="43">
        <f t="shared" si="116"/>
        <v>-0.10619510563618062</v>
      </c>
      <c r="BQ24" s="43">
        <f t="shared" si="116"/>
        <v>4.0573766111094089E-2</v>
      </c>
      <c r="BR24" s="43">
        <f t="shared" si="116"/>
        <v>0.11698247338017853</v>
      </c>
      <c r="BS24" s="110">
        <f t="shared" si="116"/>
        <v>-2.9358453190652889E-2</v>
      </c>
      <c r="BT24" s="43">
        <f t="shared" si="116"/>
        <v>5.6463694595267677E-2</v>
      </c>
      <c r="BU24" s="43">
        <f t="shared" si="116"/>
        <v>8.8971224297116791E-2</v>
      </c>
      <c r="BV24" s="43">
        <f t="shared" si="116"/>
        <v>8.3929867777767786E-2</v>
      </c>
      <c r="BW24" s="43">
        <f t="shared" si="116"/>
        <v>1.6856933001132779E-2</v>
      </c>
      <c r="BX24" s="110">
        <f t="shared" si="116"/>
        <v>6.1063934170040746E-2</v>
      </c>
      <c r="BY24" s="43">
        <f t="shared" ref="BY24:DT24" si="117">BY22/BO22-1</f>
        <v>4.8328181750149746E-2</v>
      </c>
      <c r="BZ24" s="43">
        <f t="shared" si="117"/>
        <v>6.9223212466796635E-2</v>
      </c>
      <c r="CA24" s="43">
        <f t="shared" si="117"/>
        <v>5.9696936349458163E-2</v>
      </c>
      <c r="CB24" s="43">
        <f t="shared" si="117"/>
        <v>9.2820148340694741E-2</v>
      </c>
      <c r="CC24" s="110">
        <f t="shared" si="117"/>
        <v>6.8538389232774888E-2</v>
      </c>
      <c r="CD24" s="43">
        <f t="shared" si="117"/>
        <v>0.12999442067557188</v>
      </c>
      <c r="CE24" s="43">
        <f t="shared" si="117"/>
        <v>0.17166774120745831</v>
      </c>
      <c r="CF24" s="43">
        <f t="shared" si="117"/>
        <v>0.14771973488649759</v>
      </c>
      <c r="CG24" s="43">
        <f t="shared" si="117"/>
        <v>0.1674152713592727</v>
      </c>
      <c r="CH24" s="110">
        <f t="shared" si="117"/>
        <v>0.15552620295549757</v>
      </c>
      <c r="CI24" s="43">
        <f t="shared" si="117"/>
        <v>0.13351989305160861</v>
      </c>
      <c r="CJ24" s="43">
        <f t="shared" si="117"/>
        <v>0.13170171438402534</v>
      </c>
      <c r="CK24" s="43">
        <f t="shared" si="117"/>
        <v>0.10314797127453024</v>
      </c>
      <c r="CL24" s="43">
        <f t="shared" si="117"/>
        <v>7.8770541383073489E-2</v>
      </c>
      <c r="CM24" s="110">
        <f t="shared" si="117"/>
        <v>0.11077500046621336</v>
      </c>
      <c r="CN24" s="43">
        <f t="shared" si="117"/>
        <v>9.151186627045127E-2</v>
      </c>
      <c r="CO24" s="43">
        <f t="shared" si="117"/>
        <v>1.0484631649334331E-2</v>
      </c>
      <c r="CP24" s="43">
        <f t="shared" si="117"/>
        <v>0.1086428559538124</v>
      </c>
      <c r="CQ24" s="43">
        <f t="shared" si="117"/>
        <v>0.12415626249381573</v>
      </c>
      <c r="CR24" s="110">
        <f t="shared" si="117"/>
        <v>8.1861672202437008E-2</v>
      </c>
      <c r="CS24" s="43">
        <f t="shared" si="117"/>
        <v>3.9544721139780581E-2</v>
      </c>
      <c r="CT24" s="43">
        <f t="shared" si="117"/>
        <v>-2.5571097395267195E-2</v>
      </c>
      <c r="CU24" s="43">
        <f t="shared" si="117"/>
        <v>3.1154301276798968E-2</v>
      </c>
      <c r="CV24" s="43">
        <f t="shared" si="117"/>
        <v>0.12643290374843241</v>
      </c>
      <c r="CW24" s="110">
        <f t="shared" si="117"/>
        <v>4.0660954006071615E-2</v>
      </c>
      <c r="CX24" s="43">
        <f t="shared" si="117"/>
        <v>0.11971121372087312</v>
      </c>
      <c r="CY24" s="43">
        <f t="shared" si="117"/>
        <v>9.4289696401560708E-2</v>
      </c>
      <c r="CZ24" s="43">
        <f t="shared" si="117"/>
        <v>7.6637757371096571E-2</v>
      </c>
      <c r="DA24" s="43">
        <f t="shared" si="117"/>
        <v>0.10695988224577913</v>
      </c>
      <c r="DB24" s="110">
        <f t="shared" si="117"/>
        <v>9.9441606147424366E-2</v>
      </c>
      <c r="DC24" s="43">
        <f t="shared" si="117"/>
        <v>0.26123086968681797</v>
      </c>
      <c r="DD24" s="43">
        <f t="shared" si="117"/>
        <v>0.27149699086607471</v>
      </c>
      <c r="DE24" s="43">
        <f t="shared" si="117"/>
        <v>0.21052716640821822</v>
      </c>
      <c r="DF24" s="43">
        <f t="shared" si="117"/>
        <v>0.15811741009524782</v>
      </c>
      <c r="DG24" s="110">
        <f t="shared" si="117"/>
        <v>0.22433013675545443</v>
      </c>
      <c r="DH24" s="43">
        <f t="shared" si="117"/>
        <v>0.1413088285596511</v>
      </c>
      <c r="DI24" s="43">
        <f t="shared" si="117"/>
        <v>0.14602833671116455</v>
      </c>
      <c r="DJ24" s="43">
        <f t="shared" si="117"/>
        <v>8.1893941268041059E-2</v>
      </c>
      <c r="DK24" s="43">
        <f t="shared" si="117"/>
        <v>0.10750393597207419</v>
      </c>
      <c r="DL24" s="110">
        <f t="shared" si="117"/>
        <v>0.11818931614247163</v>
      </c>
      <c r="DM24" s="43">
        <f t="shared" si="117"/>
        <v>6.5502332479113523E-2</v>
      </c>
      <c r="DN24" s="43">
        <f t="shared" si="117"/>
        <v>4.2436716456967893E-2</v>
      </c>
      <c r="DO24" s="43">
        <f t="shared" si="117"/>
        <v>6.931139524165908E-2</v>
      </c>
      <c r="DP24" s="43">
        <f t="shared" si="117"/>
        <v>6.7229413417420947E-2</v>
      </c>
      <c r="DQ24" s="110">
        <f t="shared" si="117"/>
        <v>6.0781443370593102E-2</v>
      </c>
      <c r="DR24" s="43">
        <f t="shared" si="117"/>
        <v>5.3967304782677417E-2</v>
      </c>
      <c r="DS24" s="43">
        <f t="shared" si="117"/>
        <v>6.5414733129171454E-2</v>
      </c>
      <c r="DT24" s="43">
        <f t="shared" si="117"/>
        <v>0.10176575514348651</v>
      </c>
      <c r="DU24" s="43">
        <f>DU22/DK22-1</f>
        <v>6.9470937296921997E-2</v>
      </c>
      <c r="DV24" s="110">
        <f>DV22/DL22-1</f>
        <v>7.3240272501025716E-2</v>
      </c>
      <c r="DW24" s="43">
        <f>DW22/DM22-1</f>
        <v>3.8163663260453173E-2</v>
      </c>
      <c r="DX24" s="43">
        <f>DX22/DN22-1</f>
        <v>3.9589266639641796E-2</v>
      </c>
      <c r="DY24" s="43">
        <f>DY22/DO22-1</f>
        <v>6.8027234783092361E-3</v>
      </c>
      <c r="DZ24" s="43">
        <f t="shared" ref="DZ24:EA24" si="118">DZ22/DP22-1</f>
        <v>-2.1957373676824266E-2</v>
      </c>
      <c r="EA24" s="110">
        <f t="shared" si="118"/>
        <v>1.5256351497414666E-2</v>
      </c>
      <c r="EB24" s="43">
        <f>EB22/DR22-1</f>
        <v>-3.3756981259528529E-2</v>
      </c>
      <c r="EC24" s="43">
        <f>EC22/DS22-1</f>
        <v>-7.9300272930740934E-2</v>
      </c>
      <c r="ED24" s="43">
        <f>ED22/DT22-1</f>
        <v>-8.7599590750372269E-2</v>
      </c>
      <c r="EE24" s="43">
        <f t="shared" ref="EE24:EF24" si="119">EE22/DU22-1</f>
        <v>-7.8476212993258465E-2</v>
      </c>
      <c r="EF24" s="110">
        <f t="shared" si="119"/>
        <v>-7.1144524234416862E-2</v>
      </c>
      <c r="EG24" s="43">
        <f>EG22/DW22-1</f>
        <v>-6.8140165298504196E-2</v>
      </c>
      <c r="EH24" s="43">
        <f>EH22/DX22-1</f>
        <v>-2.0684944329224408E-2</v>
      </c>
      <c r="EI24" s="43">
        <f>EI22/DY22-1</f>
        <v>-6.3227505023295438E-2</v>
      </c>
      <c r="EJ24" s="43">
        <f t="shared" ref="EJ24" si="120">EJ22/DZ22-1</f>
        <v>-2.8563111224699234E-2</v>
      </c>
      <c r="EK24" s="110">
        <f t="shared" ref="EK24" si="121">EK22/EA22-1</f>
        <v>-4.455068373076021E-2</v>
      </c>
      <c r="EL24" s="800"/>
      <c r="EM24" s="800"/>
      <c r="EN24" s="800"/>
      <c r="EO24" s="800"/>
      <c r="EP24" s="484"/>
      <c r="EQ24" s="43">
        <f>EQ22/EB22-1</f>
        <v>-1.1142727749894887E-2</v>
      </c>
      <c r="ER24" s="43">
        <f>ER22/EC22-1</f>
        <v>2.7860994283790408E-2</v>
      </c>
      <c r="ES24" s="43">
        <f>ES22/ED22-1</f>
        <v>3.7401851761879046E-2</v>
      </c>
      <c r="ET24" s="43">
        <f>ET22/EE22-1</f>
        <v>2.7781820483766095E-2</v>
      </c>
      <c r="EU24" s="110">
        <f>EU22/EF22-1</f>
        <v>2.1263397557053088E-2</v>
      </c>
      <c r="EV24" s="43"/>
      <c r="EW24" s="43"/>
      <c r="EX24" s="43"/>
      <c r="EY24" s="43"/>
      <c r="EZ24" s="110">
        <f t="shared" ref="EZ24" si="122">EZ22/EK22-1</f>
        <v>3.7791374520089516E-2</v>
      </c>
      <c r="FA24" s="43"/>
      <c r="FB24" s="43"/>
      <c r="FC24" s="43"/>
      <c r="FD24" s="43"/>
      <c r="FE24" s="110">
        <f t="shared" ref="FE24" si="123">FE22/EU22-1</f>
        <v>2.0100000000000007E-2</v>
      </c>
      <c r="FF24" s="133"/>
      <c r="FG24" s="437"/>
      <c r="FL24" s="525"/>
      <c r="FM24" s="590"/>
      <c r="FN24" s="607"/>
      <c r="FO24" s="772"/>
      <c r="FP24" s="772"/>
      <c r="FQ24" s="772"/>
      <c r="FR24" s="772"/>
      <c r="FS24" s="772"/>
      <c r="FT24" s="190"/>
    </row>
    <row r="25" spans="1:184" ht="12.75" customHeight="1" x14ac:dyDescent="0.2">
      <c r="A25" s="215" t="s">
        <v>80</v>
      </c>
      <c r="B25" s="128"/>
      <c r="C25" s="128">
        <f>C22/B22-1</f>
        <v>0.11373364670787578</v>
      </c>
      <c r="D25" s="128">
        <f>D22/C22-1</f>
        <v>-1.426638277764547E-2</v>
      </c>
      <c r="E25" s="128">
        <f>E22/D22-1</f>
        <v>-3.043366354891619E-2</v>
      </c>
      <c r="F25" s="244"/>
      <c r="G25" s="128">
        <f>G22/E22-1</f>
        <v>-8.6647218093168665E-2</v>
      </c>
      <c r="H25" s="128">
        <f>H22/G22-1</f>
        <v>8.2651562745492457E-2</v>
      </c>
      <c r="I25" s="128">
        <f>I22/H22-1</f>
        <v>3.3099393166614144E-2</v>
      </c>
      <c r="J25" s="128">
        <f>J22/I22-1</f>
        <v>1.5818493248842547E-3</v>
      </c>
      <c r="K25" s="244"/>
      <c r="L25" s="128">
        <f>L22/J22-1</f>
        <v>2.9332535657977221E-2</v>
      </c>
      <c r="M25" s="128">
        <f>M22/L22-1</f>
        <v>7.0898673225832765E-2</v>
      </c>
      <c r="N25" s="128">
        <f>N22/M22-1</f>
        <v>-3.1341753354966251E-2</v>
      </c>
      <c r="O25" s="128">
        <f>O22/N22-1</f>
        <v>1.3685799727885417E-2</v>
      </c>
      <c r="P25" s="244"/>
      <c r="Q25" s="128">
        <f>Q22/O22-1</f>
        <v>4.0540158846373853E-3</v>
      </c>
      <c r="R25" s="128">
        <f>R22/Q22-1</f>
        <v>6.997112038314679E-2</v>
      </c>
      <c r="S25" s="128">
        <f>S22/R22-1</f>
        <v>-6.8087566576215952E-3</v>
      </c>
      <c r="T25" s="128">
        <f>T22/S22-1</f>
        <v>-1.8723484371052646E-2</v>
      </c>
      <c r="U25" s="244"/>
      <c r="V25" s="128">
        <f>V22/T22-1</f>
        <v>-1.5478491073389389E-2</v>
      </c>
      <c r="W25" s="128">
        <f>W22/V22-1</f>
        <v>3.3972976133151533E-2</v>
      </c>
      <c r="X25" s="128">
        <f>X22/W22-1</f>
        <v>-2.605424093836739E-2</v>
      </c>
      <c r="Y25" s="128">
        <f>Y22/X22-1</f>
        <v>-0.11198036833556624</v>
      </c>
      <c r="Z25" s="244"/>
      <c r="AA25" s="128">
        <f>AA22/Y22-1</f>
        <v>-1.0965807244781356E-2</v>
      </c>
      <c r="AB25" s="128">
        <f>AB22/AA22-1</f>
        <v>0.13666987602420844</v>
      </c>
      <c r="AC25" s="128">
        <f>AC22/AB22-1</f>
        <v>2.3257937609637569E-3</v>
      </c>
      <c r="AD25" s="128">
        <f>AD22/AC22-1</f>
        <v>-5.3756335200009109E-2</v>
      </c>
      <c r="AE25" s="244"/>
      <c r="AF25" s="128">
        <f>AF22/AD22-1</f>
        <v>1.8241647685802942E-2</v>
      </c>
      <c r="AG25" s="128">
        <f>AG22/AF22-1</f>
        <v>0.12150102473849778</v>
      </c>
      <c r="AH25" s="128">
        <f>AH22/AG22-1</f>
        <v>-5.2801737552967798E-2</v>
      </c>
      <c r="AI25" s="128">
        <f>AI22/AH22-1</f>
        <v>-6.6197158737072881E-2</v>
      </c>
      <c r="AJ25" s="244"/>
      <c r="AK25" s="128">
        <f>AK22/AI22-1</f>
        <v>5.8794018416455041E-2</v>
      </c>
      <c r="AL25" s="128">
        <f>AL22/AK22-1</f>
        <v>2.8369175739519248E-2</v>
      </c>
      <c r="AM25" s="128">
        <f>AM22/AL22-1</f>
        <v>-4.7785727215999829E-3</v>
      </c>
      <c r="AN25" s="128">
        <f>AN22/AM22-1</f>
        <v>-2.2146018260921219E-2</v>
      </c>
      <c r="AO25" s="244"/>
      <c r="AP25" s="128">
        <f>AP22/AN22-1</f>
        <v>-1.7339670497563464E-2</v>
      </c>
      <c r="AQ25" s="128">
        <f>AQ22/AP22-1</f>
        <v>0.10785501618576543</v>
      </c>
      <c r="AR25" s="128">
        <f>AR22/AQ22-1</f>
        <v>-3.4531919892969332E-2</v>
      </c>
      <c r="AS25" s="128">
        <f>AS22/AR22-1</f>
        <v>-4.4993851223537273E-2</v>
      </c>
      <c r="AT25" s="244"/>
      <c r="AU25" s="128">
        <f>AU22/AS22-1</f>
        <v>2.9149784421528713E-2</v>
      </c>
      <c r="AV25" s="128">
        <f>AV22/AU22-1</f>
        <v>8.940258019832803E-2</v>
      </c>
      <c r="AW25" s="128">
        <f>AW22/AV22-1</f>
        <v>-3.9511627051386111E-2</v>
      </c>
      <c r="AX25" s="128">
        <f>AX22/AW22-1</f>
        <v>-4.2812065673395017E-2</v>
      </c>
      <c r="AY25" s="244"/>
      <c r="AZ25" s="128">
        <f>AZ22/AX22-1</f>
        <v>1.4117658498385754E-2</v>
      </c>
      <c r="BA25" s="128">
        <f>BA22/AZ22-1</f>
        <v>0.13279339365863341</v>
      </c>
      <c r="BB25" s="128">
        <f>BB22/BA22-1</f>
        <v>-2.7500528086831344E-2</v>
      </c>
      <c r="BC25" s="128">
        <f>BC22/BB22-1</f>
        <v>-3.0025580990728828E-2</v>
      </c>
      <c r="BD25" s="244"/>
      <c r="BE25" s="128">
        <f>BE22/BC22-1</f>
        <v>-3.815081758729133E-2</v>
      </c>
      <c r="BF25" s="128">
        <f>BF22/BE22-1</f>
        <v>5.1293872476012803E-2</v>
      </c>
      <c r="BG25" s="128">
        <f>BG22/BF22-1</f>
        <v>-0.13380116087015637</v>
      </c>
      <c r="BH25" s="128">
        <f>BH22/BG22-1</f>
        <v>-9.5134568973413769E-2</v>
      </c>
      <c r="BI25" s="244"/>
      <c r="BJ25" s="128">
        <f>BJ22/BH22-1</f>
        <v>2.4225883890435895E-2</v>
      </c>
      <c r="BK25" s="128">
        <f>BK22/BJ22-1</f>
        <v>0.10022836511174882</v>
      </c>
      <c r="BL25" s="128">
        <f>BL22/BK22-1</f>
        <v>-5.6665941396641051E-2</v>
      </c>
      <c r="BM25" s="128">
        <f>BM22/BL22-1</f>
        <v>1.1335861657772117E-2</v>
      </c>
      <c r="BN25" s="244"/>
      <c r="BO25" s="128">
        <f>BO22/BM22-1</f>
        <v>-2.7518549062253594E-2</v>
      </c>
      <c r="BP25" s="128">
        <f>BP22/BO22-1</f>
        <v>9.0737642272221697E-2</v>
      </c>
      <c r="BQ25" s="128">
        <f>BQ22/BP22-1</f>
        <v>8.4346079531660845E-3</v>
      </c>
      <c r="BR25" s="128">
        <f>BR22/BQ22-1</f>
        <v>-2.8690843320385073E-2</v>
      </c>
      <c r="BS25" s="244"/>
      <c r="BT25" s="128">
        <f>BT22/BR22-1</f>
        <v>-3.1267287372465091E-2</v>
      </c>
      <c r="BU25" s="128">
        <f>BU22/BT22-1</f>
        <v>0.13408253960033711</v>
      </c>
      <c r="BV25" s="128">
        <f>BV22/BU22-1</f>
        <v>-6.1033075440365181E-2</v>
      </c>
      <c r="BW25" s="128">
        <f>BW22/BV22-1</f>
        <v>-5.1244999247290868E-2</v>
      </c>
      <c r="BX25" s="244"/>
      <c r="BY25" s="128">
        <f>BY22/BW22-1</f>
        <v>2.5792991728359471E-3</v>
      </c>
      <c r="BZ25" s="128">
        <f>BZ22/BY22-1</f>
        <v>0.11247796837986512</v>
      </c>
      <c r="CA25" s="128">
        <f>CA22/BZ22-1</f>
        <v>-5.5007027831244226E-4</v>
      </c>
      <c r="CB25" s="128">
        <f>CB22/CA22-1</f>
        <v>1.6696097508110963E-3</v>
      </c>
      <c r="CC25" s="244"/>
      <c r="CD25" s="128">
        <f>CD22/CB22-1</f>
        <v>1.6859243098044097E-3</v>
      </c>
      <c r="CE25" s="128">
        <f>CE22/CD22-1</f>
        <v>0.17590662679726843</v>
      </c>
      <c r="CF25" s="128">
        <f>CF22/CE22-1</f>
        <v>-8.0224852301400862E-2</v>
      </c>
      <c r="CG25" s="128">
        <f>CG22/CF22-1</f>
        <v>-3.4963813036878011E-2</v>
      </c>
      <c r="CH25" s="244"/>
      <c r="CI25" s="128">
        <f>CI22/CG22-1</f>
        <v>-2.6530140683410197E-2</v>
      </c>
      <c r="CJ25" s="128">
        <f>CJ22/CI22-1</f>
        <v>0.11069354119630748</v>
      </c>
      <c r="CK25" s="128">
        <f>CK22/CJ22-1</f>
        <v>-2.5766994651011732E-2</v>
      </c>
      <c r="CL25" s="128">
        <f>CL22/CK22-1</f>
        <v>-2.0465345234322418E-2</v>
      </c>
      <c r="CM25" s="244"/>
      <c r="CN25" s="128">
        <f>CN22/CL22-1</f>
        <v>1.3516805212782756E-2</v>
      </c>
      <c r="CO25" s="128">
        <f>CO22/CN22-1</f>
        <v>8.861443595046703E-2</v>
      </c>
      <c r="CP25" s="128">
        <f>CP22/CO22-1</f>
        <v>9.1218754267794466E-3</v>
      </c>
      <c r="CQ25" s="128">
        <f>CQ22/CP22-1</f>
        <v>-2.1459916255535116E-2</v>
      </c>
      <c r="CR25" s="110"/>
      <c r="CS25" s="128">
        <f>CS22/CQ22-1</f>
        <v>-9.9800012503321489E-2</v>
      </c>
      <c r="CT25" s="128">
        <f>CT22/CS22-1</f>
        <v>4.1121047001646094E-2</v>
      </c>
      <c r="CU25" s="128">
        <f>CU22/CT22-1</f>
        <v>3.0947000059307062E-2</v>
      </c>
      <c r="CV25" s="128">
        <f>CV22/CU22-1</f>
        <v>7.0043604651301772E-2</v>
      </c>
      <c r="CW25" s="110"/>
      <c r="CX25" s="128">
        <f>CX22/CV22-1</f>
        <v>7.4689120984281487E-3</v>
      </c>
      <c r="CY25" s="128">
        <f>CY22/CX22-1</f>
        <v>6.3898928596026083E-2</v>
      </c>
      <c r="CZ25" s="128">
        <f>CZ22/CY22-1</f>
        <v>-7.1562252241880175E-3</v>
      </c>
      <c r="DA25" s="128">
        <f>DA22/CZ22-1</f>
        <v>6.0994131577607469E-3</v>
      </c>
      <c r="DB25" s="327"/>
      <c r="DC25" s="128">
        <f>DC22/DA22-1</f>
        <v>2.5655971216501205E-2</v>
      </c>
      <c r="DD25" s="128">
        <f>DD22/DC22-1</f>
        <v>4.9595526248611854E-2</v>
      </c>
      <c r="DE25" s="128">
        <f>DE22/DD22-1</f>
        <v>-1.8488160283585464E-2</v>
      </c>
      <c r="DF25" s="128">
        <f>DF22/DE22-1</f>
        <v>2.3716082130328164E-2</v>
      </c>
      <c r="DG25" s="327"/>
      <c r="DH25" s="128">
        <f>DH22/DF22-1</f>
        <v>-7.1532006562645689E-3</v>
      </c>
      <c r="DI25" s="128">
        <f>DI22/DH22-1</f>
        <v>6.8298333507518905E-2</v>
      </c>
      <c r="DJ25" s="128">
        <f>DJ22/DI22-1</f>
        <v>-6.2718058404900634E-2</v>
      </c>
      <c r="DK25" s="128">
        <f>DK22/DJ22-1</f>
        <v>2.9915241733805553E-2</v>
      </c>
      <c r="DL25" s="327"/>
      <c r="DM25" s="128">
        <f>DM22/DK22-1</f>
        <v>-1.3241583928900291E-2</v>
      </c>
      <c r="DN25" s="128">
        <f>DN22/DM22-1</f>
        <v>2.6874255117572909E-2</v>
      </c>
      <c r="DO25" s="128">
        <f>DO22/DN22-1</f>
        <v>6.815836591546498E-3</v>
      </c>
      <c r="DP25" s="128">
        <f>DP22/DO22-1</f>
        <v>2.1722875768121597E-2</v>
      </c>
      <c r="DQ25" s="327"/>
      <c r="DR25" s="128">
        <f>DR22/DP22-1</f>
        <v>-1.9490981029456012E-2</v>
      </c>
      <c r="DS25" s="128">
        <f>DS22/DR22-1</f>
        <v>7.9901415092699546E-2</v>
      </c>
      <c r="DT25" s="128">
        <f>DT22/DS22-1</f>
        <v>-3.0738815549421261E-2</v>
      </c>
      <c r="DU25" s="128">
        <f>DU22/DT22-1</f>
        <v>-2.7350299157591351E-4</v>
      </c>
      <c r="DV25" s="327"/>
      <c r="DW25" s="128">
        <f>DW22/DU22-1</f>
        <v>-4.2127563961056103E-2</v>
      </c>
      <c r="DX25" s="128">
        <f>DX22/DW22-1</f>
        <v>2.8284355913722914E-2</v>
      </c>
      <c r="DY25" s="128">
        <f>DY22/DX22-1</f>
        <v>-2.4937098862109153E-2</v>
      </c>
      <c r="DZ25" s="128">
        <f>DZ22/DY22-1</f>
        <v>-7.4634270571177774E-3</v>
      </c>
      <c r="EA25" s="327"/>
      <c r="EB25" s="128">
        <f>EB22/DZ22-1</f>
        <v>-3.1320344437316017E-2</v>
      </c>
      <c r="EC25" s="128">
        <f>EC22/EB22-1</f>
        <v>2.9000902312972032E-2</v>
      </c>
      <c r="ED25" s="128">
        <f>ED22/EC22-1</f>
        <v>-3.9475873227926117E-2</v>
      </c>
      <c r="EE25" s="128">
        <f>EE22/ED22-1</f>
        <v>9.7230756963984089E-3</v>
      </c>
      <c r="EF25" s="327"/>
      <c r="EG25" s="128">
        <f>EG22/EE22-1</f>
        <v>-3.1383820474468638E-2</v>
      </c>
      <c r="EH25" s="128">
        <f>EH22/EG22-1</f>
        <v>8.0650022414168854E-2</v>
      </c>
      <c r="EI25" s="128">
        <f>EI22/EH22-1</f>
        <v>-6.7294941123385521E-2</v>
      </c>
      <c r="EJ25" s="128">
        <f>EJ22/EI22-1</f>
        <v>2.9264464515805333E-2</v>
      </c>
      <c r="EK25" s="327"/>
      <c r="EL25" s="128"/>
      <c r="EM25" s="128">
        <f>EM22/EL22-1</f>
        <v>8.0989718358256413E-2</v>
      </c>
      <c r="EN25" s="128">
        <f>EN22/EM22-1</f>
        <v>-5.4556091336231183E-2</v>
      </c>
      <c r="EO25" s="128">
        <f>EO22/EN22-1</f>
        <v>2.056900232387826E-2</v>
      </c>
      <c r="EP25" s="327"/>
      <c r="EQ25" s="43">
        <f>EQ22/EO22-1</f>
        <v>-4.5575542868882546E-2</v>
      </c>
      <c r="ER25" s="43">
        <f>ER22/EQ22-1</f>
        <v>6.9588018666883578E-2</v>
      </c>
      <c r="ES25" s="43">
        <f>ES22/ER22-1</f>
        <v>-3.0560053045272539E-2</v>
      </c>
      <c r="ET25" s="43">
        <f>ET22/ES22-1</f>
        <v>3.5971514914812097E-4</v>
      </c>
      <c r="EU25" s="327"/>
      <c r="EV25" s="43"/>
      <c r="EW25" s="43"/>
      <c r="EX25" s="43"/>
      <c r="EY25" s="43"/>
      <c r="EZ25" s="327"/>
      <c r="FA25" s="43"/>
      <c r="FB25" s="43"/>
      <c r="FC25" s="43"/>
      <c r="FD25" s="43"/>
      <c r="FE25" s="327"/>
      <c r="FF25" s="133"/>
      <c r="FG25" s="437"/>
      <c r="FH25" s="238">
        <f>AVERAGE(CD25,CI25,CN25,CS25,CX25,DC25,BT25,DH25,DM25,DR25,DW25)</f>
        <v>-1.7389377936123385E-2</v>
      </c>
      <c r="FI25" s="238">
        <f>AVERAGE(CE25,CJ25,CO25,CT25,CY25,DD25,BU25,DI25,DN25,DS25,DX25)</f>
        <v>7.8842818638379844E-2</v>
      </c>
      <c r="FJ25" s="238">
        <f>AVERAGE(CF25,CK25,CP25,CU25,CZ25,DE25,BV25,DJ25,DO25,DT25,DY25)</f>
        <v>-2.4016233512668118E-2</v>
      </c>
      <c r="FK25" s="238">
        <f>AVERAGE(CG25,CL25,CQ25,CV25,DA25,DF25,BW25,DK25,DP25,DU25,DZ25)</f>
        <v>1.4205648744179753E-3</v>
      </c>
      <c r="FL25" s="525"/>
      <c r="FM25" s="588"/>
      <c r="FN25" s="607"/>
      <c r="FO25" s="770"/>
      <c r="FP25" s="771"/>
      <c r="FQ25" s="771"/>
      <c r="FR25" s="771"/>
      <c r="FS25" s="771"/>
      <c r="FT25" s="190"/>
    </row>
    <row r="26" spans="1:184" ht="12.75" customHeight="1" x14ac:dyDescent="0.2">
      <c r="A26" s="8" t="s">
        <v>201</v>
      </c>
      <c r="B26" s="9">
        <f>B28+B30</f>
        <v>9.6189999999999998</v>
      </c>
      <c r="C26" s="9">
        <f t="shared" ref="C26:BN26" si="124">C28+C30</f>
        <v>10</v>
      </c>
      <c r="D26" s="9">
        <f t="shared" si="124"/>
        <v>11.693000000000001</v>
      </c>
      <c r="E26" s="9">
        <f t="shared" si="124"/>
        <v>11.026000000000002</v>
      </c>
      <c r="F26" s="10">
        <f t="shared" si="124"/>
        <v>42.338000000000001</v>
      </c>
      <c r="G26" s="9">
        <f t="shared" si="124"/>
        <v>10.032</v>
      </c>
      <c r="H26" s="9">
        <f t="shared" si="124"/>
        <v>12.231000000000002</v>
      </c>
      <c r="I26" s="9">
        <f t="shared" si="124"/>
        <v>11.407</v>
      </c>
      <c r="J26" s="9">
        <f t="shared" si="124"/>
        <v>77.719700000000003</v>
      </c>
      <c r="K26" s="10">
        <f t="shared" si="124"/>
        <v>111.3897</v>
      </c>
      <c r="L26" s="9">
        <f t="shared" si="124"/>
        <v>12.757999999999999</v>
      </c>
      <c r="M26" s="9">
        <f t="shared" si="124"/>
        <v>14.242999999999999</v>
      </c>
      <c r="N26" s="9">
        <f t="shared" si="124"/>
        <v>17.350000000000001</v>
      </c>
      <c r="O26" s="9">
        <f t="shared" si="124"/>
        <v>134.79999999999998</v>
      </c>
      <c r="P26" s="10">
        <f t="shared" si="124"/>
        <v>179.15099999999998</v>
      </c>
      <c r="Q26" s="9">
        <f t="shared" si="124"/>
        <v>16.491</v>
      </c>
      <c r="R26" s="9">
        <f t="shared" si="124"/>
        <v>17.978000000000002</v>
      </c>
      <c r="S26" s="9">
        <f t="shared" si="124"/>
        <v>20.558999999999997</v>
      </c>
      <c r="T26" s="9">
        <f t="shared" si="124"/>
        <v>25.303000000000001</v>
      </c>
      <c r="U26" s="10">
        <f t="shared" si="124"/>
        <v>80.330999999999989</v>
      </c>
      <c r="V26" s="9">
        <f t="shared" si="124"/>
        <v>22.41</v>
      </c>
      <c r="W26" s="9">
        <f t="shared" si="124"/>
        <v>23.076999999999998</v>
      </c>
      <c r="X26" s="9">
        <f t="shared" si="124"/>
        <v>23.666</v>
      </c>
      <c r="Y26" s="9">
        <f t="shared" si="124"/>
        <v>25.015000000000001</v>
      </c>
      <c r="Z26" s="10">
        <f t="shared" si="124"/>
        <v>94.168000000000006</v>
      </c>
      <c r="AA26" s="9">
        <f t="shared" si="124"/>
        <v>24.170999999999999</v>
      </c>
      <c r="AB26" s="9">
        <f t="shared" si="124"/>
        <v>27.93</v>
      </c>
      <c r="AC26" s="9">
        <f t="shared" si="124"/>
        <v>29.7</v>
      </c>
      <c r="AD26" s="9">
        <f t="shared" si="124"/>
        <v>30.194000000000003</v>
      </c>
      <c r="AE26" s="10">
        <f t="shared" si="124"/>
        <v>111.995</v>
      </c>
      <c r="AF26" s="9">
        <f t="shared" si="124"/>
        <v>31.429000000000002</v>
      </c>
      <c r="AG26" s="9">
        <f t="shared" si="124"/>
        <v>33.985999999999997</v>
      </c>
      <c r="AH26" s="9">
        <f t="shared" si="124"/>
        <v>35.772999999999996</v>
      </c>
      <c r="AI26" s="9">
        <f t="shared" si="124"/>
        <v>35.744</v>
      </c>
      <c r="AJ26" s="10">
        <f t="shared" si="124"/>
        <v>136.93199999999999</v>
      </c>
      <c r="AK26" s="9">
        <f t="shared" si="124"/>
        <v>37.989000000000004</v>
      </c>
      <c r="AL26" s="9">
        <f t="shared" si="124"/>
        <v>45.210999999999999</v>
      </c>
      <c r="AM26" s="9">
        <f t="shared" si="124"/>
        <v>47.701000000000001</v>
      </c>
      <c r="AN26" s="9">
        <f t="shared" si="124"/>
        <v>46.727000000000004</v>
      </c>
      <c r="AO26" s="10">
        <f t="shared" si="124"/>
        <v>177.62799999999999</v>
      </c>
      <c r="AP26" s="9">
        <f t="shared" si="124"/>
        <v>47.864000000000004</v>
      </c>
      <c r="AQ26" s="9">
        <f t="shared" si="124"/>
        <v>48.603000000000002</v>
      </c>
      <c r="AR26" s="9">
        <f t="shared" si="124"/>
        <v>52.016999999999996</v>
      </c>
      <c r="AS26" s="9">
        <f t="shared" si="124"/>
        <v>51.715000000000003</v>
      </c>
      <c r="AT26" s="10">
        <f t="shared" si="124"/>
        <v>200.19900000000001</v>
      </c>
      <c r="AU26" s="9">
        <f t="shared" si="124"/>
        <v>41.212000000000003</v>
      </c>
      <c r="AV26" s="9">
        <f t="shared" si="124"/>
        <v>43.15</v>
      </c>
      <c r="AW26" s="9">
        <f t="shared" si="124"/>
        <v>45.695999999999998</v>
      </c>
      <c r="AX26" s="9">
        <f t="shared" si="124"/>
        <v>42.911999999999999</v>
      </c>
      <c r="AY26" s="10">
        <f t="shared" si="124"/>
        <v>172.97</v>
      </c>
      <c r="AZ26" s="9">
        <f t="shared" si="124"/>
        <v>42.762</v>
      </c>
      <c r="BA26" s="9">
        <f t="shared" si="124"/>
        <v>44.716999999999999</v>
      </c>
      <c r="BB26" s="9">
        <f t="shared" si="124"/>
        <v>48.996000000000002</v>
      </c>
      <c r="BC26" s="9">
        <f t="shared" si="124"/>
        <v>45.120000000000005</v>
      </c>
      <c r="BD26" s="10">
        <f t="shared" si="124"/>
        <v>181.59500000000003</v>
      </c>
      <c r="BE26" s="9">
        <f t="shared" si="124"/>
        <v>47.340999999999994</v>
      </c>
      <c r="BF26" s="9">
        <f t="shared" si="124"/>
        <v>48.456000000000003</v>
      </c>
      <c r="BG26" s="9">
        <f t="shared" si="124"/>
        <v>42.555999999999997</v>
      </c>
      <c r="BH26" s="9">
        <f t="shared" si="124"/>
        <v>38.119</v>
      </c>
      <c r="BI26" s="10">
        <f t="shared" si="124"/>
        <v>176.47199999999998</v>
      </c>
      <c r="BJ26" s="9">
        <f t="shared" si="124"/>
        <v>42.457999999999998</v>
      </c>
      <c r="BK26" s="9">
        <f t="shared" si="124"/>
        <v>47.433</v>
      </c>
      <c r="BL26" s="9">
        <f t="shared" si="124"/>
        <v>47.11</v>
      </c>
      <c r="BM26" s="9">
        <f t="shared" si="124"/>
        <v>43.420999999999999</v>
      </c>
      <c r="BN26" s="10">
        <f t="shared" si="124"/>
        <v>180.42200000000003</v>
      </c>
      <c r="BO26" s="9">
        <f t="shared" ref="BO26:DG26" si="125">BO28+BO30</f>
        <v>45</v>
      </c>
      <c r="BP26" s="9">
        <f t="shared" si="125"/>
        <v>50</v>
      </c>
      <c r="BQ26" s="9">
        <f t="shared" si="125"/>
        <v>50</v>
      </c>
      <c r="BR26" s="9">
        <f t="shared" si="125"/>
        <v>50</v>
      </c>
      <c r="BS26" s="10">
        <f t="shared" si="125"/>
        <v>195</v>
      </c>
      <c r="BT26" s="9">
        <f t="shared" si="125"/>
        <v>56</v>
      </c>
      <c r="BU26" s="9">
        <f t="shared" si="125"/>
        <v>62</v>
      </c>
      <c r="BV26" s="9">
        <f t="shared" si="125"/>
        <v>62</v>
      </c>
      <c r="BW26" s="9">
        <f t="shared" si="125"/>
        <v>68</v>
      </c>
      <c r="BX26" s="10">
        <f t="shared" si="125"/>
        <v>248</v>
      </c>
      <c r="BY26" s="9">
        <f t="shared" si="125"/>
        <v>71</v>
      </c>
      <c r="BZ26" s="9">
        <f t="shared" si="125"/>
        <v>76</v>
      </c>
      <c r="CA26" s="9">
        <f t="shared" si="125"/>
        <v>77</v>
      </c>
      <c r="CB26" s="9">
        <f t="shared" si="125"/>
        <v>81</v>
      </c>
      <c r="CC26" s="10">
        <f t="shared" si="125"/>
        <v>305</v>
      </c>
      <c r="CD26" s="9">
        <f t="shared" si="125"/>
        <v>80.75</v>
      </c>
      <c r="CE26" s="9">
        <f t="shared" si="125"/>
        <v>86.75</v>
      </c>
      <c r="CF26" s="9">
        <f t="shared" si="125"/>
        <v>83.75</v>
      </c>
      <c r="CG26" s="9">
        <f t="shared" si="125"/>
        <v>84.75</v>
      </c>
      <c r="CH26" s="10">
        <f t="shared" si="125"/>
        <v>336</v>
      </c>
      <c r="CI26" s="9">
        <f t="shared" si="125"/>
        <v>86</v>
      </c>
      <c r="CJ26" s="9">
        <f t="shared" si="125"/>
        <v>108</v>
      </c>
      <c r="CK26" s="9">
        <f t="shared" si="125"/>
        <v>106</v>
      </c>
      <c r="CL26" s="9">
        <f t="shared" si="125"/>
        <v>104</v>
      </c>
      <c r="CM26" s="10">
        <f t="shared" si="125"/>
        <v>404</v>
      </c>
      <c r="CN26" s="9">
        <f t="shared" si="125"/>
        <v>116</v>
      </c>
      <c r="CO26" s="9">
        <f t="shared" si="125"/>
        <v>122</v>
      </c>
      <c r="CP26" s="9">
        <f t="shared" si="125"/>
        <v>124</v>
      </c>
      <c r="CQ26" s="9">
        <f t="shared" si="125"/>
        <v>112</v>
      </c>
      <c r="CR26" s="10">
        <f t="shared" si="125"/>
        <v>474</v>
      </c>
      <c r="CS26" s="9">
        <f t="shared" si="125"/>
        <v>160.85399999999998</v>
      </c>
      <c r="CT26" s="9">
        <f t="shared" si="125"/>
        <v>176.68200000000002</v>
      </c>
      <c r="CU26" s="9">
        <f t="shared" si="125"/>
        <v>183.96699999999998</v>
      </c>
      <c r="CV26" s="9">
        <f t="shared" si="125"/>
        <v>189.97399999999999</v>
      </c>
      <c r="CW26" s="10">
        <f t="shared" si="125"/>
        <v>711.47699999999998</v>
      </c>
      <c r="CX26" s="9">
        <f t="shared" si="125"/>
        <v>198.43700000000001</v>
      </c>
      <c r="CY26" s="9">
        <f t="shared" si="125"/>
        <v>248</v>
      </c>
      <c r="CZ26" s="9">
        <f t="shared" si="125"/>
        <v>254</v>
      </c>
      <c r="DA26" s="9">
        <f t="shared" si="125"/>
        <v>268</v>
      </c>
      <c r="DB26" s="10">
        <f t="shared" si="125"/>
        <v>968.43700000000001</v>
      </c>
      <c r="DC26" s="9">
        <f t="shared" si="125"/>
        <v>228.25</v>
      </c>
      <c r="DD26" s="9">
        <f t="shared" si="125"/>
        <v>278</v>
      </c>
      <c r="DE26" s="9">
        <f>DE28+DE30</f>
        <v>297</v>
      </c>
      <c r="DF26" s="9">
        <f>DF28+DF30</f>
        <v>248</v>
      </c>
      <c r="DG26" s="10">
        <f t="shared" si="125"/>
        <v>1051.25</v>
      </c>
      <c r="DH26" s="9">
        <f t="shared" ref="DH26:DU26" si="126">DH28+DH30</f>
        <v>240</v>
      </c>
      <c r="DI26" s="9">
        <f t="shared" si="126"/>
        <v>269</v>
      </c>
      <c r="DJ26" s="9">
        <f t="shared" si="126"/>
        <v>253</v>
      </c>
      <c r="DK26" s="9">
        <f t="shared" ref="DK26:DP26" si="127">DK28+DK30</f>
        <v>234</v>
      </c>
      <c r="DL26" s="10">
        <f t="shared" si="127"/>
        <v>996</v>
      </c>
      <c r="DM26" s="9">
        <f t="shared" si="127"/>
        <v>246</v>
      </c>
      <c r="DN26" s="9">
        <f t="shared" si="127"/>
        <v>263</v>
      </c>
      <c r="DO26" s="9">
        <f t="shared" si="127"/>
        <v>239</v>
      </c>
      <c r="DP26" s="9">
        <f t="shared" si="127"/>
        <v>231</v>
      </c>
      <c r="DQ26" s="10">
        <f t="shared" si="126"/>
        <v>979</v>
      </c>
      <c r="DR26" s="9">
        <f t="shared" si="126"/>
        <v>233</v>
      </c>
      <c r="DS26" s="9">
        <f t="shared" si="126"/>
        <v>259</v>
      </c>
      <c r="DT26" s="9">
        <f t="shared" si="126"/>
        <v>236</v>
      </c>
      <c r="DU26" s="9">
        <f t="shared" si="126"/>
        <v>219</v>
      </c>
      <c r="DV26" s="10">
        <f t="shared" ref="DV26:DZ26" si="128">DV28+DV30</f>
        <v>947</v>
      </c>
      <c r="DW26" s="9">
        <f t="shared" si="128"/>
        <v>236</v>
      </c>
      <c r="DX26" s="9">
        <f t="shared" si="128"/>
        <v>259</v>
      </c>
      <c r="DY26" s="9">
        <f t="shared" si="128"/>
        <v>430</v>
      </c>
      <c r="DZ26" s="9">
        <f t="shared" si="128"/>
        <v>424</v>
      </c>
      <c r="EA26" s="10">
        <f>EA28+EA30</f>
        <v>1349</v>
      </c>
      <c r="EB26" s="9">
        <f>EB28+EB30</f>
        <v>428</v>
      </c>
      <c r="EC26" s="9">
        <f t="shared" ref="EC26:EE26" si="129">EC28+EC30</f>
        <v>479</v>
      </c>
      <c r="ED26" s="9">
        <f t="shared" si="129"/>
        <v>470</v>
      </c>
      <c r="EE26" s="9">
        <f t="shared" si="129"/>
        <v>453</v>
      </c>
      <c r="EF26" s="10">
        <f>EF28+EF30</f>
        <v>1830</v>
      </c>
      <c r="EG26" s="9">
        <f>EG28+EG30</f>
        <v>459</v>
      </c>
      <c r="EH26" s="9">
        <f t="shared" ref="EH26:EJ26" si="130">EH28+EH30</f>
        <v>511</v>
      </c>
      <c r="EI26" s="9">
        <f t="shared" si="130"/>
        <v>526</v>
      </c>
      <c r="EJ26" s="9">
        <f t="shared" si="130"/>
        <v>536</v>
      </c>
      <c r="EK26" s="10">
        <f>EK28+EK30</f>
        <v>2032</v>
      </c>
      <c r="EL26" s="9">
        <f>EL28+EL30</f>
        <v>308</v>
      </c>
      <c r="EM26" s="9">
        <f t="shared" ref="EM26:EO26" si="131">EM28+EM30</f>
        <v>352</v>
      </c>
      <c r="EN26" s="9">
        <f t="shared" si="131"/>
        <v>359</v>
      </c>
      <c r="EO26" s="9">
        <f t="shared" si="131"/>
        <v>363</v>
      </c>
      <c r="EP26" s="10">
        <f>EP28+EP30</f>
        <v>1382</v>
      </c>
      <c r="EQ26" s="9">
        <f t="shared" ref="EQ26" si="132">EQ28+EQ30</f>
        <v>335.23</v>
      </c>
      <c r="ER26" s="9">
        <f t="shared" ref="ER26:ET26" si="133">ER28+ER30</f>
        <v>398.86</v>
      </c>
      <c r="ES26" s="9">
        <f t="shared" si="133"/>
        <v>407.17999999999995</v>
      </c>
      <c r="ET26" s="9">
        <f t="shared" si="133"/>
        <v>411.375</v>
      </c>
      <c r="EU26" s="10">
        <f>EU28+EU30</f>
        <v>1552.645</v>
      </c>
      <c r="EV26" s="9"/>
      <c r="EW26" s="9"/>
      <c r="EX26" s="9"/>
      <c r="EY26" s="9"/>
      <c r="EZ26" s="10">
        <f>EZ28+EZ30</f>
        <v>1666.3208999999999</v>
      </c>
      <c r="FA26" s="9"/>
      <c r="FB26" s="9"/>
      <c r="FC26" s="9"/>
      <c r="FD26" s="9"/>
      <c r="FE26" s="10">
        <f>FE28+FE30</f>
        <v>1760.0314125</v>
      </c>
      <c r="FF26" s="337"/>
      <c r="FG26" s="441"/>
      <c r="FH26" s="347"/>
      <c r="FI26" s="337"/>
      <c r="FJ26" s="337"/>
      <c r="FK26" s="337"/>
      <c r="FL26" s="525"/>
      <c r="FM26" s="588"/>
      <c r="FN26" s="515"/>
      <c r="FO26" s="369"/>
      <c r="FP26" s="515"/>
      <c r="FQ26" s="515"/>
      <c r="FR26" s="515"/>
      <c r="FS26" s="515"/>
      <c r="FT26" s="441"/>
      <c r="GA26" s="342"/>
    </row>
    <row r="27" spans="1:184" ht="12.75" customHeight="1" x14ac:dyDescent="0.2">
      <c r="A27" s="58" t="s">
        <v>244</v>
      </c>
      <c r="B27" s="128"/>
      <c r="C27" s="128"/>
      <c r="D27" s="128"/>
      <c r="E27" s="128"/>
      <c r="F27" s="244"/>
      <c r="G27" s="128">
        <f t="shared" ref="G27:AL27" si="134">G26/B26-1</f>
        <v>4.2935856118099691E-2</v>
      </c>
      <c r="H27" s="128">
        <f t="shared" si="134"/>
        <v>0.22310000000000008</v>
      </c>
      <c r="I27" s="128">
        <f t="shared" si="134"/>
        <v>-2.4459078080903196E-2</v>
      </c>
      <c r="J27" s="128">
        <f t="shared" si="134"/>
        <v>6.0487665517866853</v>
      </c>
      <c r="K27" s="244">
        <f t="shared" si="134"/>
        <v>1.6309627285181163</v>
      </c>
      <c r="L27" s="128">
        <f t="shared" si="134"/>
        <v>0.27173046251993616</v>
      </c>
      <c r="M27" s="128">
        <f t="shared" si="134"/>
        <v>0.16450004087973147</v>
      </c>
      <c r="N27" s="128">
        <f t="shared" si="134"/>
        <v>0.52099587972297723</v>
      </c>
      <c r="O27" s="128">
        <f t="shared" si="134"/>
        <v>0.73443798676525995</v>
      </c>
      <c r="P27" s="244">
        <f t="shared" si="134"/>
        <v>0.60832644310919215</v>
      </c>
      <c r="Q27" s="128">
        <f t="shared" si="134"/>
        <v>0.29260072111616253</v>
      </c>
      <c r="R27" s="128">
        <f t="shared" si="134"/>
        <v>0.26223407989889802</v>
      </c>
      <c r="S27" s="128">
        <f t="shared" si="134"/>
        <v>0.18495677233429375</v>
      </c>
      <c r="T27" s="128">
        <f t="shared" si="134"/>
        <v>-0.81229228486646887</v>
      </c>
      <c r="U27" s="244">
        <f t="shared" si="134"/>
        <v>-0.55160172145285258</v>
      </c>
      <c r="V27" s="128">
        <f t="shared" si="134"/>
        <v>0.35892304893578308</v>
      </c>
      <c r="W27" s="128">
        <f t="shared" si="134"/>
        <v>0.28362442985871605</v>
      </c>
      <c r="X27" s="128">
        <f t="shared" si="134"/>
        <v>0.15112602753052218</v>
      </c>
      <c r="Y27" s="128">
        <f t="shared" si="134"/>
        <v>-1.1382049559340746E-2</v>
      </c>
      <c r="Z27" s="244">
        <f t="shared" si="134"/>
        <v>0.1722498163847086</v>
      </c>
      <c r="AA27" s="128">
        <f t="shared" si="134"/>
        <v>7.8580990629183445E-2</v>
      </c>
      <c r="AB27" s="128">
        <f t="shared" si="134"/>
        <v>0.21029596568011444</v>
      </c>
      <c r="AC27" s="128">
        <f t="shared" si="134"/>
        <v>0.25496492858953768</v>
      </c>
      <c r="AD27" s="128">
        <f t="shared" si="134"/>
        <v>0.20703577853288024</v>
      </c>
      <c r="AE27" s="244">
        <f t="shared" si="134"/>
        <v>0.18931059383229965</v>
      </c>
      <c r="AF27" s="128">
        <f t="shared" si="134"/>
        <v>0.30027719167597544</v>
      </c>
      <c r="AG27" s="128">
        <f t="shared" si="134"/>
        <v>0.21682778374507694</v>
      </c>
      <c r="AH27" s="128">
        <f t="shared" si="134"/>
        <v>0.20447811447811448</v>
      </c>
      <c r="AI27" s="128">
        <f t="shared" si="134"/>
        <v>0.18381135324898978</v>
      </c>
      <c r="AJ27" s="244">
        <f t="shared" si="134"/>
        <v>0.2226617259699093</v>
      </c>
      <c r="AK27" s="128">
        <f t="shared" si="134"/>
        <v>0.20872442648509337</v>
      </c>
      <c r="AL27" s="128">
        <f t="shared" si="134"/>
        <v>0.33028305772965338</v>
      </c>
      <c r="AM27" s="128">
        <f t="shared" ref="AM27:BR27" si="135">AM26/AH26-1</f>
        <v>0.33343583149302569</v>
      </c>
      <c r="AN27" s="128">
        <f t="shared" si="135"/>
        <v>0.30726835273052822</v>
      </c>
      <c r="AO27" s="244">
        <f t="shared" si="135"/>
        <v>0.29719860952881727</v>
      </c>
      <c r="AP27" s="128">
        <f t="shared" si="135"/>
        <v>0.25994366790386692</v>
      </c>
      <c r="AQ27" s="128">
        <f t="shared" si="135"/>
        <v>7.5025989250403713E-2</v>
      </c>
      <c r="AR27" s="128">
        <f t="shared" si="135"/>
        <v>9.0480283432213149E-2</v>
      </c>
      <c r="AS27" s="128">
        <f t="shared" si="135"/>
        <v>0.10674770475314066</v>
      </c>
      <c r="AT27" s="244">
        <f t="shared" si="135"/>
        <v>0.1270689305740087</v>
      </c>
      <c r="AU27" s="128">
        <f t="shared" si="135"/>
        <v>-0.1389771017884005</v>
      </c>
      <c r="AV27" s="128">
        <f t="shared" si="135"/>
        <v>-0.11219472049050472</v>
      </c>
      <c r="AW27" s="128">
        <f t="shared" si="135"/>
        <v>-0.12151796528058134</v>
      </c>
      <c r="AX27" s="128">
        <f t="shared" si="135"/>
        <v>-0.17022140578168821</v>
      </c>
      <c r="AY27" s="244">
        <f t="shared" si="135"/>
        <v>-0.13600967037797396</v>
      </c>
      <c r="AZ27" s="128">
        <f t="shared" si="135"/>
        <v>3.7610404736484471E-2</v>
      </c>
      <c r="BA27" s="128">
        <f t="shared" si="135"/>
        <v>3.6315179606025483E-2</v>
      </c>
      <c r="BB27" s="128">
        <f t="shared" si="135"/>
        <v>7.2216386554621925E-2</v>
      </c>
      <c r="BC27" s="128">
        <f t="shared" si="135"/>
        <v>5.1454138702460961E-2</v>
      </c>
      <c r="BD27" s="244">
        <f t="shared" si="135"/>
        <v>4.9864138289877014E-2</v>
      </c>
      <c r="BE27" s="128">
        <f t="shared" si="135"/>
        <v>0.10708105327159623</v>
      </c>
      <c r="BF27" s="128">
        <f t="shared" si="135"/>
        <v>8.3614732652011581E-2</v>
      </c>
      <c r="BG27" s="128">
        <f t="shared" si="135"/>
        <v>-0.13143930116744229</v>
      </c>
      <c r="BH27" s="128">
        <f t="shared" si="135"/>
        <v>-0.15516400709219869</v>
      </c>
      <c r="BI27" s="244">
        <f t="shared" si="135"/>
        <v>-2.8211129161045401E-2</v>
      </c>
      <c r="BJ27" s="128">
        <f t="shared" si="135"/>
        <v>-0.1031452652035233</v>
      </c>
      <c r="BK27" s="128">
        <f t="shared" si="135"/>
        <v>-2.1111936602278392E-2</v>
      </c>
      <c r="BL27" s="128">
        <f t="shared" si="135"/>
        <v>0.10701193721214408</v>
      </c>
      <c r="BM27" s="128">
        <f t="shared" si="135"/>
        <v>0.13909074214958417</v>
      </c>
      <c r="BN27" s="244">
        <f t="shared" si="135"/>
        <v>2.2383154268099448E-2</v>
      </c>
      <c r="BO27" s="128">
        <f t="shared" si="135"/>
        <v>5.9870931273258376E-2</v>
      </c>
      <c r="BP27" s="128">
        <f t="shared" si="135"/>
        <v>5.4118440748002428E-2</v>
      </c>
      <c r="BQ27" s="128">
        <f t="shared" si="135"/>
        <v>6.1345786457227769E-2</v>
      </c>
      <c r="BR27" s="128">
        <f t="shared" si="135"/>
        <v>0.15151654729278463</v>
      </c>
      <c r="BS27" s="244">
        <f t="shared" ref="BS27:CX27" si="136">BS26/BN26-1</f>
        <v>8.0799459046014155E-2</v>
      </c>
      <c r="BT27" s="128">
        <f t="shared" si="136"/>
        <v>0.24444444444444446</v>
      </c>
      <c r="BU27" s="128">
        <f t="shared" si="136"/>
        <v>0.24</v>
      </c>
      <c r="BV27" s="128">
        <f t="shared" si="136"/>
        <v>0.24</v>
      </c>
      <c r="BW27" s="128">
        <f t="shared" si="136"/>
        <v>0.3600000000000001</v>
      </c>
      <c r="BX27" s="244">
        <f t="shared" si="136"/>
        <v>0.27179487179487172</v>
      </c>
      <c r="BY27" s="128">
        <f t="shared" si="136"/>
        <v>0.26785714285714279</v>
      </c>
      <c r="BZ27" s="128">
        <f t="shared" si="136"/>
        <v>0.22580645161290325</v>
      </c>
      <c r="CA27" s="128">
        <f t="shared" si="136"/>
        <v>0.24193548387096775</v>
      </c>
      <c r="CB27" s="128">
        <f t="shared" si="136"/>
        <v>0.19117647058823528</v>
      </c>
      <c r="CC27" s="244">
        <f t="shared" si="136"/>
        <v>0.22983870967741926</v>
      </c>
      <c r="CD27" s="128">
        <f t="shared" si="136"/>
        <v>0.13732394366197176</v>
      </c>
      <c r="CE27" s="128">
        <f t="shared" si="136"/>
        <v>0.14144736842105265</v>
      </c>
      <c r="CF27" s="128">
        <f t="shared" si="136"/>
        <v>8.7662337662337553E-2</v>
      </c>
      <c r="CG27" s="128">
        <f t="shared" si="136"/>
        <v>4.629629629629628E-2</v>
      </c>
      <c r="CH27" s="244">
        <f t="shared" si="136"/>
        <v>0.10163934426229515</v>
      </c>
      <c r="CI27" s="128">
        <f t="shared" si="136"/>
        <v>6.5015479876161075E-2</v>
      </c>
      <c r="CJ27" s="128">
        <f t="shared" si="136"/>
        <v>0.24495677233429403</v>
      </c>
      <c r="CK27" s="128">
        <f t="shared" si="136"/>
        <v>0.26567164179104474</v>
      </c>
      <c r="CL27" s="128">
        <f t="shared" si="136"/>
        <v>0.22713864306784659</v>
      </c>
      <c r="CM27" s="244">
        <f t="shared" si="136"/>
        <v>0.20238095238095233</v>
      </c>
      <c r="CN27" s="128">
        <f t="shared" si="136"/>
        <v>0.34883720930232553</v>
      </c>
      <c r="CO27" s="128">
        <f t="shared" si="136"/>
        <v>0.12962962962962954</v>
      </c>
      <c r="CP27" s="128">
        <f t="shared" si="136"/>
        <v>0.16981132075471694</v>
      </c>
      <c r="CQ27" s="128">
        <f t="shared" si="136"/>
        <v>7.6923076923076872E-2</v>
      </c>
      <c r="CR27" s="110">
        <f t="shared" si="136"/>
        <v>0.1732673267326732</v>
      </c>
      <c r="CS27" s="128">
        <f t="shared" si="136"/>
        <v>0.38667241379310324</v>
      </c>
      <c r="CT27" s="128">
        <f t="shared" si="136"/>
        <v>0.44821311475409842</v>
      </c>
      <c r="CU27" s="128">
        <f t="shared" si="136"/>
        <v>0.48360483870967719</v>
      </c>
      <c r="CV27" s="128">
        <f t="shared" si="136"/>
        <v>0.69619642857142838</v>
      </c>
      <c r="CW27" s="110">
        <f t="shared" si="136"/>
        <v>0.50100632911392395</v>
      </c>
      <c r="CX27" s="128">
        <f t="shared" si="136"/>
        <v>0.23364666094719455</v>
      </c>
      <c r="CY27" s="128">
        <f t="shared" ref="CY27:DT27" si="137">CY26/CT26-1</f>
        <v>0.40365175852661839</v>
      </c>
      <c r="CZ27" s="128">
        <f t="shared" si="137"/>
        <v>0.38068240499654848</v>
      </c>
      <c r="DA27" s="128">
        <f t="shared" si="137"/>
        <v>0.41071936159685007</v>
      </c>
      <c r="DB27" s="110">
        <f t="shared" si="137"/>
        <v>0.36116416974828436</v>
      </c>
      <c r="DC27" s="128">
        <f t="shared" si="137"/>
        <v>0.15023911871274009</v>
      </c>
      <c r="DD27" s="128">
        <f t="shared" si="137"/>
        <v>0.12096774193548376</v>
      </c>
      <c r="DE27" s="128">
        <f t="shared" si="137"/>
        <v>0.16929133858267709</v>
      </c>
      <c r="DF27" s="128">
        <f t="shared" si="137"/>
        <v>-7.4626865671641784E-2</v>
      </c>
      <c r="DG27" s="110">
        <f t="shared" si="137"/>
        <v>8.5512015753218762E-2</v>
      </c>
      <c r="DH27" s="128">
        <f t="shared" si="137"/>
        <v>5.1478641840087658E-2</v>
      </c>
      <c r="DI27" s="128">
        <f t="shared" si="137"/>
        <v>-3.2374100719424481E-2</v>
      </c>
      <c r="DJ27" s="128">
        <f t="shared" si="137"/>
        <v>-0.14814814814814814</v>
      </c>
      <c r="DK27" s="128">
        <f t="shared" si="137"/>
        <v>-5.6451612903225756E-2</v>
      </c>
      <c r="DL27" s="110">
        <f t="shared" si="137"/>
        <v>-5.2556480380499426E-2</v>
      </c>
      <c r="DM27" s="128">
        <f t="shared" si="137"/>
        <v>2.4999999999999911E-2</v>
      </c>
      <c r="DN27" s="128">
        <f t="shared" si="137"/>
        <v>-2.2304832713754608E-2</v>
      </c>
      <c r="DO27" s="128">
        <f t="shared" si="137"/>
        <v>-5.5335968379446654E-2</v>
      </c>
      <c r="DP27" s="128">
        <f t="shared" si="137"/>
        <v>-1.2820512820512775E-2</v>
      </c>
      <c r="DQ27" s="110">
        <f>DQ26/DL26-1</f>
        <v>-1.7068273092369468E-2</v>
      </c>
      <c r="DR27" s="128">
        <f t="shared" si="137"/>
        <v>-5.2845528455284563E-2</v>
      </c>
      <c r="DS27" s="128">
        <f t="shared" si="137"/>
        <v>-1.520912547528519E-2</v>
      </c>
      <c r="DT27" s="128">
        <f t="shared" si="137"/>
        <v>-1.2552301255230103E-2</v>
      </c>
      <c r="DU27" s="128">
        <f>DU26/DP26-1</f>
        <v>-5.1948051948051965E-2</v>
      </c>
      <c r="DV27" s="110">
        <f>DV26/DQ26-1</f>
        <v>-3.2686414708886669E-2</v>
      </c>
      <c r="DW27" s="128">
        <f>DW26/DR26-1</f>
        <v>1.2875536480686733E-2</v>
      </c>
      <c r="DX27" s="128">
        <f>DX26/DS26-1</f>
        <v>0</v>
      </c>
      <c r="DY27" s="128">
        <f>DY26/DT26-1</f>
        <v>0.82203389830508478</v>
      </c>
      <c r="DZ27" s="128">
        <f t="shared" ref="DZ27:EA27" si="138">DZ26/DU26-1</f>
        <v>0.93607305936073049</v>
      </c>
      <c r="EA27" s="110">
        <f t="shared" si="138"/>
        <v>0.42449841605068639</v>
      </c>
      <c r="EB27" s="128">
        <f>EB26/DW26-1</f>
        <v>0.81355932203389836</v>
      </c>
      <c r="EC27" s="128">
        <f>EC26/DX26-1</f>
        <v>0.8494208494208495</v>
      </c>
      <c r="ED27" s="128">
        <f>ED26/DY26-1</f>
        <v>9.3023255813953432E-2</v>
      </c>
      <c r="EE27" s="128">
        <f t="shared" ref="EE27" si="139">EE26/DZ26-1</f>
        <v>6.8396226415094352E-2</v>
      </c>
      <c r="EF27" s="110">
        <f t="shared" ref="EF27" si="140">EF26/EA26-1</f>
        <v>0.35656041512231273</v>
      </c>
      <c r="EG27" s="128">
        <f>EG26/EB26-1</f>
        <v>7.2429906542056166E-2</v>
      </c>
      <c r="EH27" s="128">
        <f>EH26/EC26-1</f>
        <v>6.6805845511482165E-2</v>
      </c>
      <c r="EI27" s="128">
        <f>EI26/ED26-1</f>
        <v>0.11914893617021272</v>
      </c>
      <c r="EJ27" s="128">
        <f t="shared" ref="EJ27" si="141">EJ26/EE26-1</f>
        <v>0.18322295805739519</v>
      </c>
      <c r="EK27" s="110">
        <f>EK26/EF26-1</f>
        <v>0.11038251366120222</v>
      </c>
      <c r="EL27" s="870"/>
      <c r="EM27" s="870"/>
      <c r="EN27" s="870"/>
      <c r="EO27" s="870"/>
      <c r="EP27" s="484"/>
      <c r="EQ27" s="43">
        <f>EQ26/EL26-1</f>
        <v>8.8409090909090882E-2</v>
      </c>
      <c r="ER27" s="43">
        <f>ER26/EM26-1</f>
        <v>0.13312499999999994</v>
      </c>
      <c r="ES27" s="43">
        <f>ES26/EN26-1</f>
        <v>0.13420612813370458</v>
      </c>
      <c r="ET27" s="43">
        <f>ET26/EO26-1</f>
        <v>0.13326446280991733</v>
      </c>
      <c r="EU27" s="110">
        <f>EU26/EP26-1</f>
        <v>0.12347684515195367</v>
      </c>
      <c r="EV27" s="43"/>
      <c r="EW27" s="43"/>
      <c r="EX27" s="43"/>
      <c r="EY27" s="43"/>
      <c r="EZ27" s="110">
        <f>EZ26/EU26-1</f>
        <v>7.321435357084205E-2</v>
      </c>
      <c r="FA27" s="43"/>
      <c r="FB27" s="43"/>
      <c r="FC27" s="43"/>
      <c r="FD27" s="43"/>
      <c r="FE27" s="110">
        <f>FE26/EZ26-1</f>
        <v>5.6237974630216847E-2</v>
      </c>
      <c r="FF27" s="133"/>
      <c r="FG27" s="437"/>
      <c r="FH27" s="347"/>
      <c r="FI27" s="337"/>
      <c r="FJ27" s="337"/>
      <c r="FK27" s="337"/>
      <c r="FL27" s="525"/>
      <c r="FM27" s="588"/>
      <c r="FN27" s="515"/>
      <c r="FO27" s="515"/>
      <c r="FP27" s="515"/>
      <c r="FQ27" s="515"/>
      <c r="FR27" s="515"/>
      <c r="FS27" s="515"/>
      <c r="FT27" s="190"/>
    </row>
    <row r="28" spans="1:184" ht="12.75" customHeight="1" x14ac:dyDescent="0.2">
      <c r="A28" s="74" t="s">
        <v>293</v>
      </c>
      <c r="B28" s="824">
        <v>5.1890000000000001</v>
      </c>
      <c r="C28" s="824">
        <v>5.3739999999999997</v>
      </c>
      <c r="D28" s="824">
        <v>5.3890000000000002</v>
      </c>
      <c r="E28" s="824">
        <f>F28-SUM(B28:D28)</f>
        <v>6.2440000000000033</v>
      </c>
      <c r="F28" s="398">
        <v>22.196000000000002</v>
      </c>
      <c r="G28" s="824">
        <v>5.9139999999999997</v>
      </c>
      <c r="H28" s="824">
        <v>6.5730000000000004</v>
      </c>
      <c r="I28" s="824">
        <v>6.6360000000000001</v>
      </c>
      <c r="J28" s="824">
        <f>K28-SUM(G28:I28)</f>
        <v>7.3056999999999981</v>
      </c>
      <c r="K28" s="398">
        <v>26.428699999999999</v>
      </c>
      <c r="L28" s="824">
        <v>7.3419999999999996</v>
      </c>
      <c r="M28" s="824">
        <v>7.8559999999999999</v>
      </c>
      <c r="N28" s="824">
        <v>8.2739999999999991</v>
      </c>
      <c r="O28" s="824">
        <f>P28-SUM(L28:N28)</f>
        <v>9.6159999999999997</v>
      </c>
      <c r="P28" s="398">
        <v>33.088000000000001</v>
      </c>
      <c r="Q28" s="824">
        <v>9.3469999999999995</v>
      </c>
      <c r="R28" s="824">
        <v>9.7579999999999991</v>
      </c>
      <c r="S28" s="824">
        <v>10.625999999999999</v>
      </c>
      <c r="T28" s="824">
        <f>U28-SUM(Q28:S28)</f>
        <v>13.166000000000004</v>
      </c>
      <c r="U28" s="398">
        <v>42.896999999999998</v>
      </c>
      <c r="V28" s="824">
        <v>12.798999999999999</v>
      </c>
      <c r="W28" s="824">
        <v>13.22</v>
      </c>
      <c r="X28" s="824">
        <v>13.052</v>
      </c>
      <c r="Y28" s="824">
        <v>15.348000000000001</v>
      </c>
      <c r="Z28" s="398">
        <f>SUM(V28:Y28)</f>
        <v>54.418999999999997</v>
      </c>
      <c r="AA28" s="824">
        <v>14.885</v>
      </c>
      <c r="AB28" s="824">
        <v>16.12</v>
      </c>
      <c r="AC28" s="824">
        <v>16.16</v>
      </c>
      <c r="AD28" s="824">
        <f>65.825-SUM(AA28:AC28)</f>
        <v>18.659999999999997</v>
      </c>
      <c r="AE28" s="398">
        <f>SUM(AA28:AD28)</f>
        <v>65.825000000000003</v>
      </c>
      <c r="AF28" s="824">
        <v>18.98</v>
      </c>
      <c r="AG28" s="824">
        <v>20.010999999999999</v>
      </c>
      <c r="AH28" s="824">
        <v>19.677</v>
      </c>
      <c r="AI28" s="824">
        <v>21.337</v>
      </c>
      <c r="AJ28" s="398">
        <f>SUM(AF28:AI28)</f>
        <v>80.004999999999995</v>
      </c>
      <c r="AK28" s="824">
        <v>21.353999999999999</v>
      </c>
      <c r="AL28" s="824">
        <v>22.382999999999999</v>
      </c>
      <c r="AM28" s="824">
        <v>25.613</v>
      </c>
      <c r="AN28" s="824">
        <v>25.408000000000001</v>
      </c>
      <c r="AO28" s="398">
        <f>SUM(AK28:AN28)</f>
        <v>94.757999999999996</v>
      </c>
      <c r="AP28" s="824">
        <v>25.141999999999999</v>
      </c>
      <c r="AQ28" s="824">
        <v>24.283000000000001</v>
      </c>
      <c r="AR28" s="824">
        <v>23.36</v>
      </c>
      <c r="AS28" s="824">
        <v>25.715</v>
      </c>
      <c r="AT28" s="398">
        <f>SUM(AP28:AS28)</f>
        <v>98.5</v>
      </c>
      <c r="AU28" s="824">
        <v>25.093</v>
      </c>
      <c r="AV28" s="824">
        <v>25.186</v>
      </c>
      <c r="AW28" s="824">
        <v>25.273</v>
      </c>
      <c r="AX28" s="824">
        <v>27.437999999999999</v>
      </c>
      <c r="AY28" s="398">
        <f>SUM(AU28:AX28)</f>
        <v>102.99</v>
      </c>
      <c r="AZ28" s="824">
        <v>27.065999999999999</v>
      </c>
      <c r="BA28" s="824">
        <v>27.968</v>
      </c>
      <c r="BB28" s="824">
        <v>27.925000000000001</v>
      </c>
      <c r="BC28" s="824">
        <v>27.783000000000001</v>
      </c>
      <c r="BD28" s="398">
        <f>SUM(AZ28:BC28)</f>
        <v>110.742</v>
      </c>
      <c r="BE28" s="824">
        <v>25.780999999999999</v>
      </c>
      <c r="BF28" s="824">
        <v>24.869</v>
      </c>
      <c r="BG28" s="824">
        <v>20.800999999999998</v>
      </c>
      <c r="BH28" s="824">
        <v>19.818999999999999</v>
      </c>
      <c r="BI28" s="398">
        <f>SUM(BE28:BH28)</f>
        <v>91.27</v>
      </c>
      <c r="BJ28" s="824">
        <v>20.789000000000001</v>
      </c>
      <c r="BK28" s="824">
        <v>22.113</v>
      </c>
      <c r="BL28" s="824">
        <v>20.43</v>
      </c>
      <c r="BM28" s="824">
        <v>21.343</v>
      </c>
      <c r="BN28" s="398">
        <f>SUM(BJ28:BM28)</f>
        <v>84.674999999999997</v>
      </c>
      <c r="BO28" s="824">
        <v>22</v>
      </c>
      <c r="BP28" s="824">
        <v>25</v>
      </c>
      <c r="BQ28" s="824">
        <v>23</v>
      </c>
      <c r="BR28" s="824">
        <v>24</v>
      </c>
      <c r="BS28" s="398">
        <f>SUM(BO28:BR28)</f>
        <v>94</v>
      </c>
      <c r="BT28" s="824">
        <v>25</v>
      </c>
      <c r="BU28" s="824">
        <v>28</v>
      </c>
      <c r="BV28" s="824">
        <v>28</v>
      </c>
      <c r="BW28" s="824">
        <v>34</v>
      </c>
      <c r="BX28" s="398">
        <f>SUM(BT28:BW28)</f>
        <v>115</v>
      </c>
      <c r="BY28" s="824">
        <v>34</v>
      </c>
      <c r="BZ28" s="824">
        <v>33</v>
      </c>
      <c r="CA28" s="824">
        <v>32</v>
      </c>
      <c r="CB28" s="824">
        <v>35</v>
      </c>
      <c r="CC28" s="398">
        <f>SUM(BY28:CB28)</f>
        <v>134</v>
      </c>
      <c r="CD28" s="824">
        <v>34.75</v>
      </c>
      <c r="CE28" s="824">
        <v>37.75</v>
      </c>
      <c r="CF28" s="824">
        <v>29.75</v>
      </c>
      <c r="CG28" s="824">
        <v>31.75</v>
      </c>
      <c r="CH28" s="398">
        <f>SUM(CD28:CG28)</f>
        <v>134</v>
      </c>
      <c r="CI28" s="824">
        <v>30</v>
      </c>
      <c r="CJ28" s="824">
        <v>33</v>
      </c>
      <c r="CK28" s="824">
        <v>32</v>
      </c>
      <c r="CL28" s="824">
        <v>35</v>
      </c>
      <c r="CM28" s="398">
        <f>SUM(CI28:CL28)</f>
        <v>130</v>
      </c>
      <c r="CN28" s="824">
        <v>34</v>
      </c>
      <c r="CO28" s="824">
        <v>37</v>
      </c>
      <c r="CP28" s="824">
        <v>37</v>
      </c>
      <c r="CQ28" s="824">
        <v>37</v>
      </c>
      <c r="CR28" s="398">
        <f>SUM(CN28:CQ28)</f>
        <v>145</v>
      </c>
      <c r="CS28" s="824">
        <v>30</v>
      </c>
      <c r="CT28" s="824">
        <v>29</v>
      </c>
      <c r="CU28" s="824">
        <v>28</v>
      </c>
      <c r="CV28" s="824">
        <v>31</v>
      </c>
      <c r="CW28" s="398">
        <f>SUM(CS28:CV28)</f>
        <v>118</v>
      </c>
      <c r="CX28" s="824">
        <v>30</v>
      </c>
      <c r="CY28" s="824">
        <v>33</v>
      </c>
      <c r="CZ28" s="824">
        <v>31</v>
      </c>
      <c r="DA28" s="824">
        <v>32</v>
      </c>
      <c r="DB28" s="398">
        <f>SUM(CX28:DA28)</f>
        <v>126</v>
      </c>
      <c r="DC28" s="824">
        <v>30</v>
      </c>
      <c r="DD28" s="824">
        <v>36</v>
      </c>
      <c r="DE28" s="824">
        <v>35</v>
      </c>
      <c r="DF28" s="824">
        <v>36</v>
      </c>
      <c r="DG28" s="398">
        <f>SUM(DC28:DF28)</f>
        <v>137</v>
      </c>
      <c r="DH28" s="824">
        <v>37</v>
      </c>
      <c r="DI28" s="824">
        <v>42</v>
      </c>
      <c r="DJ28" s="824">
        <v>39</v>
      </c>
      <c r="DK28" s="824">
        <v>42</v>
      </c>
      <c r="DL28" s="398">
        <f>SUM(DH28:DK28)</f>
        <v>160</v>
      </c>
      <c r="DM28" s="824">
        <v>39</v>
      </c>
      <c r="DN28" s="824">
        <v>43</v>
      </c>
      <c r="DO28" s="824">
        <v>41</v>
      </c>
      <c r="DP28" s="824">
        <v>41</v>
      </c>
      <c r="DQ28" s="398">
        <f>SUM(DM28:DP28)</f>
        <v>164</v>
      </c>
      <c r="DR28" s="824">
        <v>40</v>
      </c>
      <c r="DS28" s="824">
        <v>44</v>
      </c>
      <c r="DT28" s="824">
        <v>45</v>
      </c>
      <c r="DU28" s="824">
        <v>46</v>
      </c>
      <c r="DV28" s="398">
        <f>SUM(DR28:DU28)</f>
        <v>175</v>
      </c>
      <c r="DW28" s="824">
        <v>44</v>
      </c>
      <c r="DX28" s="824">
        <v>46</v>
      </c>
      <c r="DY28" s="824">
        <v>44</v>
      </c>
      <c r="DZ28" s="824">
        <v>45</v>
      </c>
      <c r="EA28" s="398">
        <f>SUM(DW28:DZ28)</f>
        <v>179</v>
      </c>
      <c r="EB28" s="824">
        <v>42</v>
      </c>
      <c r="EC28" s="824">
        <v>45</v>
      </c>
      <c r="ED28" s="824">
        <v>42</v>
      </c>
      <c r="EE28" s="824">
        <v>42</v>
      </c>
      <c r="EF28" s="398">
        <f>SUM(EB28:EE28)</f>
        <v>171</v>
      </c>
      <c r="EG28" s="824">
        <v>42</v>
      </c>
      <c r="EH28" s="824">
        <v>44</v>
      </c>
      <c r="EI28" s="824">
        <v>42</v>
      </c>
      <c r="EJ28" s="824">
        <v>45</v>
      </c>
      <c r="EK28" s="398">
        <f>SUM(EG28:EJ28)</f>
        <v>173</v>
      </c>
      <c r="EL28" s="824">
        <v>42</v>
      </c>
      <c r="EM28" s="824">
        <v>44</v>
      </c>
      <c r="EN28" s="824">
        <v>42</v>
      </c>
      <c r="EO28" s="824">
        <v>45</v>
      </c>
      <c r="EP28" s="398">
        <f>SUM(EL28:EO28)</f>
        <v>173</v>
      </c>
      <c r="EQ28" s="397">
        <f>EL28*(1+EQ29)</f>
        <v>42.629999999999995</v>
      </c>
      <c r="ER28" s="397">
        <f>EM28*(1+ER29)</f>
        <v>44.66</v>
      </c>
      <c r="ES28" s="397">
        <f>EN28*(1+ES29)</f>
        <v>42.629999999999995</v>
      </c>
      <c r="ET28" s="397">
        <f>EO28*(1+ET29)</f>
        <v>45.674999999999997</v>
      </c>
      <c r="EU28" s="398">
        <f>SUM(EQ28:ET28)</f>
        <v>175.59499999999997</v>
      </c>
      <c r="EV28" s="397"/>
      <c r="EW28" s="397"/>
      <c r="EX28" s="397"/>
      <c r="EY28" s="397"/>
      <c r="EZ28" s="398">
        <f>EU28*(1+EZ29)</f>
        <v>179.10689999999997</v>
      </c>
      <c r="FA28" s="397"/>
      <c r="FB28" s="397"/>
      <c r="FC28" s="397"/>
      <c r="FD28" s="397"/>
      <c r="FE28" s="398">
        <f>EZ28*(1+FE29)</f>
        <v>183.58457249999995</v>
      </c>
      <c r="FF28" s="395"/>
      <c r="FG28" s="441"/>
      <c r="FH28" s="347"/>
      <c r="FI28" s="337"/>
      <c r="FJ28" s="337"/>
      <c r="FK28" s="337"/>
      <c r="FL28" s="714"/>
      <c r="FM28" s="714"/>
      <c r="FN28" s="714"/>
      <c r="FO28" s="760"/>
      <c r="FP28" s="760"/>
      <c r="FQ28" s="760"/>
      <c r="FR28" s="760"/>
      <c r="FS28" s="796"/>
      <c r="FT28" s="441"/>
      <c r="GA28" s="396"/>
      <c r="GB28" s="5"/>
    </row>
    <row r="29" spans="1:184" ht="12.75" customHeight="1" x14ac:dyDescent="0.2">
      <c r="A29" s="58" t="s">
        <v>244</v>
      </c>
      <c r="B29" s="128"/>
      <c r="C29" s="128"/>
      <c r="D29" s="128"/>
      <c r="E29" s="128"/>
      <c r="F29" s="244"/>
      <c r="G29" s="128">
        <f>G28/B28-1</f>
        <v>0.13971863557525532</v>
      </c>
      <c r="H29" s="128">
        <f>H28/C28-1</f>
        <v>0.22311127651656126</v>
      </c>
      <c r="I29" s="128">
        <f>I28/D28-1</f>
        <v>0.2313972907775097</v>
      </c>
      <c r="J29" s="128">
        <f>J28/E28-1</f>
        <v>0.17003523382447061</v>
      </c>
      <c r="K29" s="244">
        <f t="shared" ref="K29:U29" si="142">K28/F28-1</f>
        <v>0.19069652189583697</v>
      </c>
      <c r="L29" s="128">
        <f t="shared" si="142"/>
        <v>0.24146094014203578</v>
      </c>
      <c r="M29" s="128">
        <f t="shared" si="142"/>
        <v>0.19519245397839646</v>
      </c>
      <c r="N29" s="128">
        <f t="shared" si="142"/>
        <v>0.24683544303797444</v>
      </c>
      <c r="O29" s="128">
        <f t="shared" si="142"/>
        <v>0.31623253076365065</v>
      </c>
      <c r="P29" s="244">
        <f t="shared" si="142"/>
        <v>0.25197228770238422</v>
      </c>
      <c r="Q29" s="128">
        <f t="shared" si="142"/>
        <v>0.2730863524925089</v>
      </c>
      <c r="R29" s="128">
        <f t="shared" si="142"/>
        <v>0.24210794297352334</v>
      </c>
      <c r="S29" s="128">
        <f t="shared" si="142"/>
        <v>0.28426395939086291</v>
      </c>
      <c r="T29" s="128">
        <f t="shared" si="142"/>
        <v>0.36917637271214687</v>
      </c>
      <c r="U29" s="244">
        <f t="shared" si="142"/>
        <v>0.29645188588007731</v>
      </c>
      <c r="V29" s="128">
        <f t="shared" ref="V29:BR29" si="143">V28/Q28-1</f>
        <v>0.36931635818979358</v>
      </c>
      <c r="W29" s="128">
        <f t="shared" si="143"/>
        <v>0.35478581676573095</v>
      </c>
      <c r="X29" s="128">
        <f t="shared" si="143"/>
        <v>0.2283079239600978</v>
      </c>
      <c r="Y29" s="128">
        <f t="shared" si="143"/>
        <v>0.16572991037520857</v>
      </c>
      <c r="Z29" s="244">
        <f t="shared" si="143"/>
        <v>0.2685968715761009</v>
      </c>
      <c r="AA29" s="128">
        <f t="shared" si="143"/>
        <v>0.16298148292835379</v>
      </c>
      <c r="AB29" s="128">
        <f t="shared" si="143"/>
        <v>0.21936459909228434</v>
      </c>
      <c r="AC29" s="128">
        <f t="shared" si="143"/>
        <v>0.23812442537542133</v>
      </c>
      <c r="AD29" s="128">
        <f t="shared" si="143"/>
        <v>0.21579358874120369</v>
      </c>
      <c r="AE29" s="244">
        <f t="shared" si="143"/>
        <v>0.2095959131920837</v>
      </c>
      <c r="AF29" s="128">
        <f t="shared" si="143"/>
        <v>0.27510917030567694</v>
      </c>
      <c r="AG29" s="128">
        <f t="shared" si="143"/>
        <v>0.24137717121588076</v>
      </c>
      <c r="AH29" s="128">
        <f t="shared" si="143"/>
        <v>0.21763613861386144</v>
      </c>
      <c r="AI29" s="128">
        <f t="shared" si="143"/>
        <v>0.14346195069667766</v>
      </c>
      <c r="AJ29" s="244">
        <f t="shared" si="143"/>
        <v>0.21541967337637669</v>
      </c>
      <c r="AK29" s="128">
        <f t="shared" si="143"/>
        <v>0.12507903055848257</v>
      </c>
      <c r="AL29" s="128">
        <f t="shared" si="143"/>
        <v>0.11853480585677878</v>
      </c>
      <c r="AM29" s="128">
        <f t="shared" si="143"/>
        <v>0.30167200284596229</v>
      </c>
      <c r="AN29" s="128">
        <f t="shared" si="143"/>
        <v>0.19079533205230348</v>
      </c>
      <c r="AO29" s="244">
        <f t="shared" si="143"/>
        <v>0.18440097493906626</v>
      </c>
      <c r="AP29" s="128">
        <f t="shared" si="143"/>
        <v>0.17739065280509503</v>
      </c>
      <c r="AQ29" s="128">
        <f t="shared" si="143"/>
        <v>8.4885850868963164E-2</v>
      </c>
      <c r="AR29" s="128">
        <f t="shared" si="143"/>
        <v>-8.7963143716081715E-2</v>
      </c>
      <c r="AS29" s="128">
        <f t="shared" si="143"/>
        <v>1.2082808564231717E-2</v>
      </c>
      <c r="AT29" s="244">
        <f t="shared" si="143"/>
        <v>3.9490069440047293E-2</v>
      </c>
      <c r="AU29" s="128">
        <f t="shared" si="143"/>
        <v>-1.9489300771616813E-3</v>
      </c>
      <c r="AV29" s="128">
        <f t="shared" si="143"/>
        <v>3.7186509080426644E-2</v>
      </c>
      <c r="AW29" s="128">
        <f t="shared" si="143"/>
        <v>8.1892123287671259E-2</v>
      </c>
      <c r="AX29" s="128">
        <f t="shared" si="143"/>
        <v>6.7003694341823739E-2</v>
      </c>
      <c r="AY29" s="244">
        <f t="shared" si="143"/>
        <v>4.5583756345177529E-2</v>
      </c>
      <c r="AZ29" s="128">
        <f t="shared" si="143"/>
        <v>7.8627505678874554E-2</v>
      </c>
      <c r="BA29" s="128">
        <f t="shared" si="143"/>
        <v>0.1104581910585245</v>
      </c>
      <c r="BB29" s="128">
        <f t="shared" si="143"/>
        <v>0.10493411941597763</v>
      </c>
      <c r="BC29" s="128">
        <f t="shared" si="143"/>
        <v>1.2573802755302843E-2</v>
      </c>
      <c r="BD29" s="244">
        <f t="shared" si="143"/>
        <v>7.5269443635304523E-2</v>
      </c>
      <c r="BE29" s="128">
        <f t="shared" si="143"/>
        <v>-4.7476538831005666E-2</v>
      </c>
      <c r="BF29" s="128">
        <f t="shared" si="143"/>
        <v>-0.1108052059496567</v>
      </c>
      <c r="BG29" s="128">
        <f t="shared" si="143"/>
        <v>-0.25511190689346475</v>
      </c>
      <c r="BH29" s="128">
        <f t="shared" si="143"/>
        <v>-0.28665010977936156</v>
      </c>
      <c r="BI29" s="244">
        <f t="shared" si="143"/>
        <v>-0.17583211428365031</v>
      </c>
      <c r="BJ29" s="128">
        <f t="shared" si="143"/>
        <v>-0.19363096854272521</v>
      </c>
      <c r="BK29" s="128">
        <f t="shared" si="143"/>
        <v>-0.11082070047046522</v>
      </c>
      <c r="BL29" s="128">
        <f t="shared" si="143"/>
        <v>-1.7835680976876045E-2</v>
      </c>
      <c r="BM29" s="128">
        <f t="shared" si="143"/>
        <v>7.6895907967102328E-2</v>
      </c>
      <c r="BN29" s="244">
        <f t="shared" si="143"/>
        <v>-7.225813520324309E-2</v>
      </c>
      <c r="BO29" s="128">
        <f t="shared" si="143"/>
        <v>5.8251960171244344E-2</v>
      </c>
      <c r="BP29" s="128">
        <f t="shared" si="143"/>
        <v>0.13055668611224158</v>
      </c>
      <c r="BQ29" s="128">
        <f t="shared" si="143"/>
        <v>0.12579539892315217</v>
      </c>
      <c r="BR29" s="128">
        <f t="shared" si="143"/>
        <v>0.12449046525792995</v>
      </c>
      <c r="BS29" s="244">
        <f t="shared" ref="BS29:DA29" si="144">BS28/BN28-1</f>
        <v>0.11012695600826694</v>
      </c>
      <c r="BT29" s="128">
        <f t="shared" si="144"/>
        <v>0.13636363636363646</v>
      </c>
      <c r="BU29" s="128">
        <f t="shared" si="144"/>
        <v>0.12000000000000011</v>
      </c>
      <c r="BV29" s="128">
        <f t="shared" si="144"/>
        <v>0.21739130434782616</v>
      </c>
      <c r="BW29" s="128">
        <f t="shared" si="144"/>
        <v>0.41666666666666674</v>
      </c>
      <c r="BX29" s="244">
        <f t="shared" si="144"/>
        <v>0.22340425531914887</v>
      </c>
      <c r="BY29" s="128">
        <f t="shared" si="144"/>
        <v>0.3600000000000001</v>
      </c>
      <c r="BZ29" s="128">
        <f t="shared" si="144"/>
        <v>0.1785714285714286</v>
      </c>
      <c r="CA29" s="128">
        <f t="shared" si="144"/>
        <v>0.14285714285714279</v>
      </c>
      <c r="CB29" s="128">
        <f t="shared" si="144"/>
        <v>2.9411764705882248E-2</v>
      </c>
      <c r="CC29" s="244">
        <f>CC28/BX28-1</f>
        <v>0.16521739130434776</v>
      </c>
      <c r="CD29" s="128">
        <f t="shared" si="144"/>
        <v>2.2058823529411686E-2</v>
      </c>
      <c r="CE29" s="128">
        <f t="shared" si="144"/>
        <v>0.14393939393939403</v>
      </c>
      <c r="CF29" s="128">
        <f t="shared" si="144"/>
        <v>-7.03125E-2</v>
      </c>
      <c r="CG29" s="128">
        <f t="shared" si="144"/>
        <v>-9.285714285714286E-2</v>
      </c>
      <c r="CH29" s="244">
        <f>CH28/CC28-1</f>
        <v>0</v>
      </c>
      <c r="CI29" s="128">
        <f t="shared" si="144"/>
        <v>-0.13669064748201443</v>
      </c>
      <c r="CJ29" s="128">
        <f t="shared" si="144"/>
        <v>-0.1258278145695364</v>
      </c>
      <c r="CK29" s="128">
        <f t="shared" si="144"/>
        <v>7.5630252100840289E-2</v>
      </c>
      <c r="CL29" s="128">
        <f t="shared" si="144"/>
        <v>0.10236220472440949</v>
      </c>
      <c r="CM29" s="244">
        <f>CM28/CH28-1</f>
        <v>-2.9850746268656692E-2</v>
      </c>
      <c r="CN29" s="128">
        <f t="shared" si="144"/>
        <v>0.1333333333333333</v>
      </c>
      <c r="CO29" s="128">
        <f t="shared" si="144"/>
        <v>0.1212121212121211</v>
      </c>
      <c r="CP29" s="128">
        <f t="shared" si="144"/>
        <v>0.15625</v>
      </c>
      <c r="CQ29" s="128">
        <f t="shared" si="144"/>
        <v>5.7142857142857162E-2</v>
      </c>
      <c r="CR29" s="110">
        <f>CR28/CM28-1</f>
        <v>0.11538461538461542</v>
      </c>
      <c r="CS29" s="128">
        <f t="shared" si="144"/>
        <v>-0.11764705882352944</v>
      </c>
      <c r="CT29" s="128">
        <f t="shared" si="144"/>
        <v>-0.21621621621621623</v>
      </c>
      <c r="CU29" s="128">
        <f t="shared" si="144"/>
        <v>-0.2432432432432432</v>
      </c>
      <c r="CV29" s="128">
        <f t="shared" si="144"/>
        <v>-0.16216216216216217</v>
      </c>
      <c r="CW29" s="110">
        <f>CW28/CR28-1</f>
        <v>-0.18620689655172418</v>
      </c>
      <c r="CX29" s="128">
        <f t="shared" si="144"/>
        <v>0</v>
      </c>
      <c r="CY29" s="128">
        <f t="shared" si="144"/>
        <v>0.13793103448275867</v>
      </c>
      <c r="CZ29" s="128">
        <f t="shared" si="144"/>
        <v>0.10714285714285721</v>
      </c>
      <c r="DA29" s="128">
        <f t="shared" si="144"/>
        <v>3.2258064516129004E-2</v>
      </c>
      <c r="DB29" s="110">
        <f t="shared" ref="DB29:DT29" si="145">DB28/CW28-1</f>
        <v>6.7796610169491567E-2</v>
      </c>
      <c r="DC29" s="128">
        <f t="shared" si="145"/>
        <v>0</v>
      </c>
      <c r="DD29" s="128">
        <f t="shared" si="145"/>
        <v>9.0909090909090828E-2</v>
      </c>
      <c r="DE29" s="128">
        <f t="shared" si="145"/>
        <v>0.12903225806451624</v>
      </c>
      <c r="DF29" s="128">
        <f t="shared" si="145"/>
        <v>0.125</v>
      </c>
      <c r="DG29" s="110">
        <f t="shared" si="145"/>
        <v>8.7301587301587213E-2</v>
      </c>
      <c r="DH29" s="128">
        <f t="shared" si="145"/>
        <v>0.23333333333333339</v>
      </c>
      <c r="DI29" s="128">
        <f t="shared" si="145"/>
        <v>0.16666666666666674</v>
      </c>
      <c r="DJ29" s="128">
        <f t="shared" si="145"/>
        <v>0.11428571428571432</v>
      </c>
      <c r="DK29" s="128">
        <f t="shared" si="145"/>
        <v>0.16666666666666674</v>
      </c>
      <c r="DL29" s="110">
        <f t="shared" si="145"/>
        <v>0.16788321167883202</v>
      </c>
      <c r="DM29" s="128">
        <f t="shared" si="145"/>
        <v>5.4054054054053946E-2</v>
      </c>
      <c r="DN29" s="128">
        <f t="shared" si="145"/>
        <v>2.3809523809523725E-2</v>
      </c>
      <c r="DO29" s="128">
        <f t="shared" si="145"/>
        <v>5.1282051282051322E-2</v>
      </c>
      <c r="DP29" s="128">
        <f t="shared" si="145"/>
        <v>-2.3809523809523836E-2</v>
      </c>
      <c r="DQ29" s="110">
        <f>DQ28/DL28-1</f>
        <v>2.4999999999999911E-2</v>
      </c>
      <c r="DR29" s="128">
        <f t="shared" si="145"/>
        <v>2.564102564102555E-2</v>
      </c>
      <c r="DS29" s="128">
        <f t="shared" si="145"/>
        <v>2.3255813953488413E-2</v>
      </c>
      <c r="DT29" s="128">
        <f t="shared" si="145"/>
        <v>9.7560975609756184E-2</v>
      </c>
      <c r="DU29" s="128">
        <f t="shared" ref="DU29:ED29" si="146">DU28/DP28-1</f>
        <v>0.12195121951219523</v>
      </c>
      <c r="DV29" s="110">
        <f t="shared" si="146"/>
        <v>6.7073170731707377E-2</v>
      </c>
      <c r="DW29" s="128">
        <f t="shared" si="146"/>
        <v>0.10000000000000009</v>
      </c>
      <c r="DX29" s="128">
        <f t="shared" si="146"/>
        <v>4.5454545454545414E-2</v>
      </c>
      <c r="DY29" s="128">
        <f t="shared" si="146"/>
        <v>-2.2222222222222254E-2</v>
      </c>
      <c r="DZ29" s="128">
        <f t="shared" si="146"/>
        <v>-2.1739130434782594E-2</v>
      </c>
      <c r="EA29" s="110">
        <f t="shared" si="146"/>
        <v>2.2857142857142909E-2</v>
      </c>
      <c r="EB29" s="128">
        <f t="shared" si="146"/>
        <v>-4.5454545454545414E-2</v>
      </c>
      <c r="EC29" s="128">
        <f t="shared" si="146"/>
        <v>-2.1739130434782594E-2</v>
      </c>
      <c r="ED29" s="128">
        <f t="shared" si="146"/>
        <v>-4.5454545454545414E-2</v>
      </c>
      <c r="EE29" s="128">
        <f t="shared" ref="EE29" si="147">EE28/DZ28-1</f>
        <v>-6.6666666666666652E-2</v>
      </c>
      <c r="EF29" s="110">
        <f t="shared" ref="EF29:EJ29" si="148">EF28/EA28-1</f>
        <v>-4.4692737430167551E-2</v>
      </c>
      <c r="EG29" s="128">
        <f t="shared" si="148"/>
        <v>0</v>
      </c>
      <c r="EH29" s="128">
        <f t="shared" si="148"/>
        <v>-2.2222222222222254E-2</v>
      </c>
      <c r="EI29" s="128">
        <f t="shared" si="148"/>
        <v>0</v>
      </c>
      <c r="EJ29" s="128">
        <f t="shared" si="148"/>
        <v>7.1428571428571397E-2</v>
      </c>
      <c r="EK29" s="110">
        <f>EK28/EF28-1</f>
        <v>1.1695906432748648E-2</v>
      </c>
      <c r="EL29" s="870"/>
      <c r="EM29" s="870"/>
      <c r="EN29" s="870"/>
      <c r="EO29" s="870"/>
      <c r="EP29" s="484"/>
      <c r="EQ29" s="133">
        <v>1.4999999999999999E-2</v>
      </c>
      <c r="ER29" s="133">
        <v>1.4999999999999999E-2</v>
      </c>
      <c r="ES29" s="133">
        <v>1.4999999999999999E-2</v>
      </c>
      <c r="ET29" s="133">
        <v>1.4999999999999999E-2</v>
      </c>
      <c r="EU29" s="110">
        <f>EU28/EP28-1</f>
        <v>1.4999999999999902E-2</v>
      </c>
      <c r="EV29" s="133"/>
      <c r="EW29" s="133"/>
      <c r="EX29" s="133"/>
      <c r="EY29" s="133"/>
      <c r="EZ29" s="609">
        <v>0.02</v>
      </c>
      <c r="FA29" s="133"/>
      <c r="FB29" s="133"/>
      <c r="FC29" s="133"/>
      <c r="FD29" s="133"/>
      <c r="FE29" s="609">
        <v>2.5000000000000001E-2</v>
      </c>
      <c r="FF29" s="43"/>
      <c r="FG29" s="435"/>
      <c r="FH29" s="347"/>
      <c r="FI29" s="337"/>
      <c r="FJ29" s="337"/>
      <c r="FK29" s="337"/>
      <c r="FL29" s="813" t="s">
        <v>579</v>
      </c>
      <c r="FM29" s="734"/>
      <c r="FN29" s="590"/>
      <c r="FO29" s="775"/>
      <c r="FP29" s="775"/>
      <c r="FQ29" s="775"/>
      <c r="FR29" s="775"/>
      <c r="FS29" s="714"/>
      <c r="FT29" s="190"/>
    </row>
    <row r="30" spans="1:184" ht="12.75" customHeight="1" x14ac:dyDescent="0.2">
      <c r="A30" s="74" t="s">
        <v>277</v>
      </c>
      <c r="B30" s="824">
        <v>4.43</v>
      </c>
      <c r="C30" s="824">
        <v>4.6260000000000003</v>
      </c>
      <c r="D30" s="824">
        <v>6.3040000000000003</v>
      </c>
      <c r="E30" s="824">
        <f>F30-SUM(B30:D30)</f>
        <v>4.7819999999999983</v>
      </c>
      <c r="F30" s="398">
        <v>20.141999999999999</v>
      </c>
      <c r="G30" s="824">
        <v>4.1180000000000003</v>
      </c>
      <c r="H30" s="824">
        <v>5.6580000000000004</v>
      </c>
      <c r="I30" s="824">
        <v>4.7709999999999999</v>
      </c>
      <c r="J30" s="824">
        <f>K30-SUM(G30:I30)</f>
        <v>70.414000000000001</v>
      </c>
      <c r="K30" s="398">
        <v>84.960999999999999</v>
      </c>
      <c r="L30" s="824">
        <v>5.4160000000000004</v>
      </c>
      <c r="M30" s="824">
        <v>6.3869999999999996</v>
      </c>
      <c r="N30" s="824">
        <v>9.0760000000000005</v>
      </c>
      <c r="O30" s="824">
        <f>P30-SUM(L30:N30)</f>
        <v>125.18399999999998</v>
      </c>
      <c r="P30" s="398">
        <v>146.06299999999999</v>
      </c>
      <c r="Q30" s="824">
        <v>7.1440000000000001</v>
      </c>
      <c r="R30" s="824">
        <v>8.2200000000000006</v>
      </c>
      <c r="S30" s="824">
        <v>9.9329999999999998</v>
      </c>
      <c r="T30" s="824">
        <f>U30-SUM(Q30:S30)</f>
        <v>12.136999999999997</v>
      </c>
      <c r="U30" s="398">
        <v>37.433999999999997</v>
      </c>
      <c r="V30" s="824">
        <v>9.6110000000000007</v>
      </c>
      <c r="W30" s="824">
        <v>9.8569999999999993</v>
      </c>
      <c r="X30" s="824">
        <v>10.614000000000001</v>
      </c>
      <c r="Y30" s="824">
        <v>9.6669999999999998</v>
      </c>
      <c r="Z30" s="398">
        <f>SUM(V30:Y30)</f>
        <v>39.749000000000002</v>
      </c>
      <c r="AA30" s="824">
        <v>9.2859999999999996</v>
      </c>
      <c r="AB30" s="824">
        <v>11.81</v>
      </c>
      <c r="AC30" s="824">
        <v>13.54</v>
      </c>
      <c r="AD30" s="824">
        <f>46.17-SUM(AA30:AC30)</f>
        <v>11.534000000000006</v>
      </c>
      <c r="AE30" s="398">
        <f>SUM(AA30:AD30)</f>
        <v>46.17</v>
      </c>
      <c r="AF30" s="824">
        <v>12.449</v>
      </c>
      <c r="AG30" s="824">
        <v>13.975</v>
      </c>
      <c r="AH30" s="824">
        <v>16.096</v>
      </c>
      <c r="AI30" s="824">
        <v>14.407</v>
      </c>
      <c r="AJ30" s="398">
        <f>SUM(AF30:AI30)</f>
        <v>56.926999999999992</v>
      </c>
      <c r="AK30" s="824">
        <v>16.635000000000002</v>
      </c>
      <c r="AL30" s="824">
        <v>22.827999999999999</v>
      </c>
      <c r="AM30" s="824">
        <v>22.088000000000001</v>
      </c>
      <c r="AN30" s="824">
        <v>21.318999999999999</v>
      </c>
      <c r="AO30" s="398">
        <f>SUM(AK30:AN30)</f>
        <v>82.87</v>
      </c>
      <c r="AP30" s="824">
        <v>22.722000000000001</v>
      </c>
      <c r="AQ30" s="824">
        <v>24.32</v>
      </c>
      <c r="AR30" s="824">
        <v>28.657</v>
      </c>
      <c r="AS30" s="824">
        <v>26</v>
      </c>
      <c r="AT30" s="398">
        <f>SUM(AP30:AS30)</f>
        <v>101.699</v>
      </c>
      <c r="AU30" s="824">
        <v>16.119</v>
      </c>
      <c r="AV30" s="824">
        <v>17.963999999999999</v>
      </c>
      <c r="AW30" s="824">
        <v>20.422999999999998</v>
      </c>
      <c r="AX30" s="824">
        <v>15.474</v>
      </c>
      <c r="AY30" s="398">
        <f>SUM(AU30:AX30)</f>
        <v>69.98</v>
      </c>
      <c r="AZ30" s="824">
        <v>15.696</v>
      </c>
      <c r="BA30" s="824">
        <v>16.748999999999999</v>
      </c>
      <c r="BB30" s="824">
        <v>21.071000000000002</v>
      </c>
      <c r="BC30" s="824">
        <v>17.337</v>
      </c>
      <c r="BD30" s="398">
        <f>SUM(AZ30:BC30)</f>
        <v>70.853000000000009</v>
      </c>
      <c r="BE30" s="824">
        <v>21.56</v>
      </c>
      <c r="BF30" s="824">
        <v>23.587</v>
      </c>
      <c r="BG30" s="824">
        <v>21.754999999999999</v>
      </c>
      <c r="BH30" s="824">
        <v>18.3</v>
      </c>
      <c r="BI30" s="398">
        <f>SUM(BE30:BH30)</f>
        <v>85.201999999999998</v>
      </c>
      <c r="BJ30" s="824">
        <v>21.669</v>
      </c>
      <c r="BK30" s="824">
        <f>25.32</f>
        <v>25.32</v>
      </c>
      <c r="BL30" s="824">
        <v>26.68</v>
      </c>
      <c r="BM30" s="824">
        <v>22.077999999999999</v>
      </c>
      <c r="BN30" s="398">
        <f>SUM(BJ30:BM30)</f>
        <v>95.747000000000014</v>
      </c>
      <c r="BO30" s="824">
        <v>23</v>
      </c>
      <c r="BP30" s="824">
        <v>25</v>
      </c>
      <c r="BQ30" s="824">
        <v>27</v>
      </c>
      <c r="BR30" s="824">
        <v>26</v>
      </c>
      <c r="BS30" s="398">
        <f>SUM(BO30:BR30)</f>
        <v>101</v>
      </c>
      <c r="BT30" s="824">
        <v>31</v>
      </c>
      <c r="BU30" s="824">
        <v>34</v>
      </c>
      <c r="BV30" s="824">
        <v>34</v>
      </c>
      <c r="BW30" s="824">
        <v>34</v>
      </c>
      <c r="BX30" s="398">
        <f>SUM(BT30:BW30)</f>
        <v>133</v>
      </c>
      <c r="BY30" s="824">
        <v>37</v>
      </c>
      <c r="BZ30" s="824">
        <v>43</v>
      </c>
      <c r="CA30" s="824">
        <v>45</v>
      </c>
      <c r="CB30" s="824">
        <v>46</v>
      </c>
      <c r="CC30" s="398">
        <f>SUM(BY30:CB30)</f>
        <v>171</v>
      </c>
      <c r="CD30" s="824">
        <v>46</v>
      </c>
      <c r="CE30" s="824">
        <v>49</v>
      </c>
      <c r="CF30" s="824">
        <v>54</v>
      </c>
      <c r="CG30" s="824">
        <v>53</v>
      </c>
      <c r="CH30" s="398">
        <f>SUM(CD30:CG30)</f>
        <v>202</v>
      </c>
      <c r="CI30" s="824">
        <v>56</v>
      </c>
      <c r="CJ30" s="824">
        <v>75</v>
      </c>
      <c r="CK30" s="824">
        <v>74</v>
      </c>
      <c r="CL30" s="824">
        <v>69</v>
      </c>
      <c r="CM30" s="398">
        <f>SUM(CI30:CL30)</f>
        <v>274</v>
      </c>
      <c r="CN30" s="824">
        <v>82</v>
      </c>
      <c r="CO30" s="824">
        <v>85</v>
      </c>
      <c r="CP30" s="824">
        <v>87</v>
      </c>
      <c r="CQ30" s="824">
        <v>75</v>
      </c>
      <c r="CR30" s="398">
        <f>SUM(CN30:CQ30)</f>
        <v>329</v>
      </c>
      <c r="CS30" s="824">
        <v>130.85399999999998</v>
      </c>
      <c r="CT30" s="824">
        <v>147.68200000000002</v>
      </c>
      <c r="CU30" s="824">
        <v>155.96699999999998</v>
      </c>
      <c r="CV30" s="824">
        <v>158.97399999999999</v>
      </c>
      <c r="CW30" s="398">
        <f>SUM(CS30:CV30)</f>
        <v>593.47699999999998</v>
      </c>
      <c r="CX30" s="824">
        <v>168.43700000000001</v>
      </c>
      <c r="CY30" s="824">
        <v>215</v>
      </c>
      <c r="CZ30" s="824">
        <v>223</v>
      </c>
      <c r="DA30" s="824">
        <v>236</v>
      </c>
      <c r="DB30" s="398">
        <f>SUM(CX30:DA30)</f>
        <v>842.43700000000001</v>
      </c>
      <c r="DC30" s="824">
        <v>198.25</v>
      </c>
      <c r="DD30" s="824">
        <v>242</v>
      </c>
      <c r="DE30" s="824">
        <v>262</v>
      </c>
      <c r="DF30" s="824">
        <v>212</v>
      </c>
      <c r="DG30" s="398">
        <f>SUM(DC30:DF30)</f>
        <v>914.25</v>
      </c>
      <c r="DH30" s="824">
        <f>201+2</f>
        <v>203</v>
      </c>
      <c r="DI30" s="824">
        <f>236-9</f>
        <v>227</v>
      </c>
      <c r="DJ30" s="824">
        <f>224-10</f>
        <v>214</v>
      </c>
      <c r="DK30" s="824">
        <v>192</v>
      </c>
      <c r="DL30" s="398">
        <f>SUM(DH30:DK30)</f>
        <v>836</v>
      </c>
      <c r="DM30" s="824">
        <v>207</v>
      </c>
      <c r="DN30" s="824">
        <v>220</v>
      </c>
      <c r="DO30" s="824">
        <v>198</v>
      </c>
      <c r="DP30" s="824">
        <v>190</v>
      </c>
      <c r="DQ30" s="398">
        <f>SUM(DM30:DP30)</f>
        <v>815</v>
      </c>
      <c r="DR30" s="824">
        <v>193</v>
      </c>
      <c r="DS30" s="824">
        <v>215</v>
      </c>
      <c r="DT30" s="824">
        <v>191</v>
      </c>
      <c r="DU30" s="824">
        <v>173</v>
      </c>
      <c r="DV30" s="398">
        <f>SUM(DR30:DU30)</f>
        <v>772</v>
      </c>
      <c r="DW30" s="824">
        <v>192</v>
      </c>
      <c r="DX30" s="824">
        <v>213</v>
      </c>
      <c r="DY30" s="824">
        <f>386</f>
        <v>386</v>
      </c>
      <c r="DZ30" s="824">
        <v>379</v>
      </c>
      <c r="EA30" s="398">
        <f>SUM(DW30:DZ30)</f>
        <v>1170</v>
      </c>
      <c r="EB30" s="824">
        <v>386</v>
      </c>
      <c r="EC30" s="824">
        <v>434</v>
      </c>
      <c r="ED30" s="824">
        <v>428</v>
      </c>
      <c r="EE30" s="824">
        <v>411</v>
      </c>
      <c r="EF30" s="398">
        <f>SUM(EB30:EE30)</f>
        <v>1659</v>
      </c>
      <c r="EG30" s="824">
        <v>417</v>
      </c>
      <c r="EH30" s="824">
        <v>467</v>
      </c>
      <c r="EI30" s="824">
        <v>484</v>
      </c>
      <c r="EJ30" s="824">
        <v>491</v>
      </c>
      <c r="EK30" s="398">
        <f>SUM(EG30:EJ30)</f>
        <v>1859</v>
      </c>
      <c r="EL30" s="824">
        <f>417-151</f>
        <v>266</v>
      </c>
      <c r="EM30" s="824">
        <f>467-159</f>
        <v>308</v>
      </c>
      <c r="EN30" s="824">
        <f>484-167</f>
        <v>317</v>
      </c>
      <c r="EO30" s="824">
        <f>491-173</f>
        <v>318</v>
      </c>
      <c r="EP30" s="398">
        <f>SUM(EL30:EO30)</f>
        <v>1209</v>
      </c>
      <c r="EQ30" s="397">
        <f>EL30*(1+EQ31)</f>
        <v>292.60000000000002</v>
      </c>
      <c r="ER30" s="397">
        <f>EM30*(1+ER31)</f>
        <v>354.2</v>
      </c>
      <c r="ES30" s="397">
        <f>EN30*(1+ES31)</f>
        <v>364.54999999999995</v>
      </c>
      <c r="ET30" s="397">
        <f>EO30*(1+ET31)</f>
        <v>365.7</v>
      </c>
      <c r="EU30" s="398">
        <f>SUM(EQ30:ET30)</f>
        <v>1377.05</v>
      </c>
      <c r="EV30" s="397"/>
      <c r="EW30" s="397"/>
      <c r="EX30" s="397"/>
      <c r="EY30" s="397"/>
      <c r="EZ30" s="398">
        <f>EU30*(1+EZ31)</f>
        <v>1487.2139999999999</v>
      </c>
      <c r="FA30" s="397"/>
      <c r="FB30" s="397"/>
      <c r="FC30" s="397"/>
      <c r="FD30" s="397"/>
      <c r="FE30" s="398">
        <f>EZ30*(1+FE31)</f>
        <v>1576.4468400000001</v>
      </c>
      <c r="FF30" s="337"/>
      <c r="FG30" s="441"/>
      <c r="FH30" s="347"/>
      <c r="FI30" s="337"/>
      <c r="FJ30" s="337"/>
      <c r="FK30" s="337"/>
      <c r="FL30" s="708"/>
      <c r="FM30" s="715"/>
      <c r="FN30" s="590"/>
      <c r="FO30" s="775"/>
      <c r="FP30" s="775"/>
      <c r="FQ30" s="775"/>
      <c r="FR30" s="775"/>
      <c r="FS30" s="714"/>
      <c r="FT30" s="441"/>
      <c r="GA30" s="342"/>
    </row>
    <row r="31" spans="1:184" ht="12.75" customHeight="1" x14ac:dyDescent="0.2">
      <c r="A31" s="58" t="s">
        <v>244</v>
      </c>
      <c r="B31" s="128"/>
      <c r="C31" s="128"/>
      <c r="D31" s="128"/>
      <c r="E31" s="128"/>
      <c r="F31" s="244"/>
      <c r="G31" s="128">
        <f>G30/B30-1</f>
        <v>-7.0428893905191692E-2</v>
      </c>
      <c r="H31" s="128">
        <f>H30/C30-1</f>
        <v>0.22308690012970178</v>
      </c>
      <c r="I31" s="128">
        <f>I30/D30-1</f>
        <v>-0.24317893401015234</v>
      </c>
      <c r="J31" s="128">
        <f>J30/E30-1</f>
        <v>13.72480133835216</v>
      </c>
      <c r="K31" s="244">
        <f t="shared" ref="K31:U31" si="149">K30/F30-1</f>
        <v>3.2181014794955818</v>
      </c>
      <c r="L31" s="128">
        <f t="shared" si="149"/>
        <v>0.31520155415250128</v>
      </c>
      <c r="M31" s="128">
        <f t="shared" si="149"/>
        <v>0.12884411452810163</v>
      </c>
      <c r="N31" s="128">
        <f t="shared" si="149"/>
        <v>0.90232655627751002</v>
      </c>
      <c r="O31" s="128">
        <f t="shared" si="149"/>
        <v>0.77782827278666145</v>
      </c>
      <c r="P31" s="244">
        <f t="shared" si="149"/>
        <v>0.71917703416861833</v>
      </c>
      <c r="Q31" s="128">
        <f t="shared" si="149"/>
        <v>0.31905465288035439</v>
      </c>
      <c r="R31" s="128">
        <f t="shared" si="149"/>
        <v>0.28698919680601231</v>
      </c>
      <c r="S31" s="128">
        <f t="shared" si="149"/>
        <v>9.4424856765094711E-2</v>
      </c>
      <c r="T31" s="128">
        <f t="shared" si="149"/>
        <v>-0.90304671523517388</v>
      </c>
      <c r="U31" s="244">
        <f t="shared" si="149"/>
        <v>-0.74371332917987443</v>
      </c>
      <c r="V31" s="128">
        <f t="shared" ref="V31:BR31" si="150">V30/Q30-1</f>
        <v>0.34532474804031366</v>
      </c>
      <c r="W31" s="128">
        <f t="shared" si="150"/>
        <v>0.19914841849148401</v>
      </c>
      <c r="X31" s="128">
        <f t="shared" si="150"/>
        <v>6.8559347629115086E-2</v>
      </c>
      <c r="Y31" s="128">
        <f t="shared" si="150"/>
        <v>-0.20350992831836512</v>
      </c>
      <c r="Z31" s="244">
        <f t="shared" si="150"/>
        <v>6.1842175562323076E-2</v>
      </c>
      <c r="AA31" s="128">
        <f t="shared" si="150"/>
        <v>-3.3815419831443205E-2</v>
      </c>
      <c r="AB31" s="128">
        <f t="shared" si="150"/>
        <v>0.19813330627980119</v>
      </c>
      <c r="AC31" s="128">
        <f t="shared" si="150"/>
        <v>0.27567363859054073</v>
      </c>
      <c r="AD31" s="128">
        <f t="shared" si="150"/>
        <v>0.19313127133547181</v>
      </c>
      <c r="AE31" s="244">
        <f t="shared" si="150"/>
        <v>0.16153865506050469</v>
      </c>
      <c r="AF31" s="128">
        <f t="shared" si="150"/>
        <v>0.3406202886065044</v>
      </c>
      <c r="AG31" s="128">
        <f t="shared" si="150"/>
        <v>0.18331922099915321</v>
      </c>
      <c r="AH31" s="128">
        <f t="shared" si="150"/>
        <v>0.18877400295420976</v>
      </c>
      <c r="AI31" s="128">
        <f t="shared" si="150"/>
        <v>0.24908964799722488</v>
      </c>
      <c r="AJ31" s="244">
        <f t="shared" si="150"/>
        <v>0.23298678795754801</v>
      </c>
      <c r="AK31" s="128">
        <f t="shared" si="150"/>
        <v>0.3362519077837578</v>
      </c>
      <c r="AL31" s="128">
        <f t="shared" si="150"/>
        <v>0.63348837209302333</v>
      </c>
      <c r="AM31" s="128">
        <f t="shared" si="150"/>
        <v>0.37226640159045732</v>
      </c>
      <c r="AN31" s="128">
        <f t="shared" si="150"/>
        <v>0.47976678003748163</v>
      </c>
      <c r="AO31" s="244">
        <f t="shared" si="150"/>
        <v>0.45572399740017944</v>
      </c>
      <c r="AP31" s="128">
        <f t="shared" si="150"/>
        <v>0.36591523895401257</v>
      </c>
      <c r="AQ31" s="128">
        <f t="shared" si="150"/>
        <v>6.5358331873138331E-2</v>
      </c>
      <c r="AR31" s="128">
        <f t="shared" si="150"/>
        <v>0.29740130387540731</v>
      </c>
      <c r="AS31" s="128">
        <f t="shared" si="150"/>
        <v>0.21956939818940846</v>
      </c>
      <c r="AT31" s="244">
        <f t="shared" si="150"/>
        <v>0.22721129479908275</v>
      </c>
      <c r="AU31" s="128">
        <f t="shared" si="150"/>
        <v>-0.29059941906522313</v>
      </c>
      <c r="AV31" s="128">
        <f t="shared" si="150"/>
        <v>-0.26134868421052637</v>
      </c>
      <c r="AW31" s="128">
        <f t="shared" si="150"/>
        <v>-0.28732944830233453</v>
      </c>
      <c r="AX31" s="128">
        <f t="shared" si="150"/>
        <v>-0.40484615384615386</v>
      </c>
      <c r="AY31" s="244">
        <f t="shared" si="150"/>
        <v>-0.3118909723792761</v>
      </c>
      <c r="AZ31" s="128">
        <f t="shared" si="150"/>
        <v>-2.6242322724734812E-2</v>
      </c>
      <c r="BA31" s="128">
        <f t="shared" si="150"/>
        <v>-6.7635270541082204E-2</v>
      </c>
      <c r="BB31" s="128">
        <f t="shared" si="150"/>
        <v>3.172893306566138E-2</v>
      </c>
      <c r="BC31" s="128">
        <f t="shared" si="150"/>
        <v>0.12039550213260952</v>
      </c>
      <c r="BD31" s="244">
        <f t="shared" si="150"/>
        <v>1.2474992855101563E-2</v>
      </c>
      <c r="BE31" s="128">
        <f t="shared" si="150"/>
        <v>0.37359836901121302</v>
      </c>
      <c r="BF31" s="128">
        <f t="shared" si="150"/>
        <v>0.40826317989133698</v>
      </c>
      <c r="BG31" s="128">
        <f t="shared" si="150"/>
        <v>3.2461677186654603E-2</v>
      </c>
      <c r="BH31" s="128">
        <f t="shared" si="150"/>
        <v>5.5545942204533683E-2</v>
      </c>
      <c r="BI31" s="244">
        <f>BI30/BD30-1</f>
        <v>0.20251788915077684</v>
      </c>
      <c r="BJ31" s="128">
        <f t="shared" si="150"/>
        <v>5.0556586270873449E-3</v>
      </c>
      <c r="BK31" s="128">
        <f t="shared" si="150"/>
        <v>7.347267562640436E-2</v>
      </c>
      <c r="BL31" s="128">
        <f t="shared" si="150"/>
        <v>0.22638473914042745</v>
      </c>
      <c r="BM31" s="128">
        <f t="shared" si="150"/>
        <v>0.20644808743169385</v>
      </c>
      <c r="BN31" s="244">
        <f>BN30/BI30-1</f>
        <v>0.12376470035914666</v>
      </c>
      <c r="BO31" s="128">
        <f t="shared" si="150"/>
        <v>6.1424154321842339E-2</v>
      </c>
      <c r="BP31" s="128">
        <f t="shared" si="150"/>
        <v>-1.2638230647709303E-2</v>
      </c>
      <c r="BQ31" s="128">
        <f t="shared" si="150"/>
        <v>1.1994002998500841E-2</v>
      </c>
      <c r="BR31" s="128">
        <f t="shared" si="150"/>
        <v>0.17764290243681491</v>
      </c>
      <c r="BS31" s="244">
        <f t="shared" ref="BS31:DA31" si="151">BS30/BN30-1</f>
        <v>5.4863337754707642E-2</v>
      </c>
      <c r="BT31" s="128">
        <f t="shared" si="151"/>
        <v>0.34782608695652173</v>
      </c>
      <c r="BU31" s="128">
        <f t="shared" si="151"/>
        <v>0.3600000000000001</v>
      </c>
      <c r="BV31" s="128">
        <f t="shared" si="151"/>
        <v>0.2592592592592593</v>
      </c>
      <c r="BW31" s="128">
        <f t="shared" si="151"/>
        <v>0.30769230769230771</v>
      </c>
      <c r="BX31" s="244">
        <f t="shared" si="151"/>
        <v>0.31683168316831689</v>
      </c>
      <c r="BY31" s="128">
        <f t="shared" si="151"/>
        <v>0.19354838709677424</v>
      </c>
      <c r="BZ31" s="128">
        <f t="shared" si="151"/>
        <v>0.26470588235294112</v>
      </c>
      <c r="CA31" s="128">
        <f t="shared" si="151"/>
        <v>0.32352941176470584</v>
      </c>
      <c r="CB31" s="128">
        <f t="shared" si="151"/>
        <v>0.35294117647058831</v>
      </c>
      <c r="CC31" s="244">
        <f>CC30/BX30-1</f>
        <v>0.28571428571428581</v>
      </c>
      <c r="CD31" s="128">
        <f t="shared" si="151"/>
        <v>0.2432432432432432</v>
      </c>
      <c r="CE31" s="128">
        <f t="shared" si="151"/>
        <v>0.13953488372093026</v>
      </c>
      <c r="CF31" s="128">
        <f t="shared" si="151"/>
        <v>0.19999999999999996</v>
      </c>
      <c r="CG31" s="128">
        <f t="shared" si="151"/>
        <v>0.15217391304347827</v>
      </c>
      <c r="CH31" s="244">
        <f>CH30/CC30-1</f>
        <v>0.18128654970760238</v>
      </c>
      <c r="CI31" s="128">
        <f t="shared" si="151"/>
        <v>0.21739130434782616</v>
      </c>
      <c r="CJ31" s="128">
        <f t="shared" si="151"/>
        <v>0.53061224489795911</v>
      </c>
      <c r="CK31" s="128">
        <f t="shared" si="151"/>
        <v>0.37037037037037046</v>
      </c>
      <c r="CL31" s="128">
        <f t="shared" si="151"/>
        <v>0.30188679245283012</v>
      </c>
      <c r="CM31" s="244">
        <f>CM30/CH30-1</f>
        <v>0.35643564356435653</v>
      </c>
      <c r="CN31" s="128">
        <f t="shared" si="151"/>
        <v>0.46428571428571419</v>
      </c>
      <c r="CO31" s="128">
        <f t="shared" si="151"/>
        <v>0.1333333333333333</v>
      </c>
      <c r="CP31" s="128">
        <f t="shared" si="151"/>
        <v>0.17567567567567566</v>
      </c>
      <c r="CQ31" s="128">
        <f t="shared" si="151"/>
        <v>8.6956521739130377E-2</v>
      </c>
      <c r="CR31" s="110">
        <f>CR30/CM30-1</f>
        <v>0.2007299270072993</v>
      </c>
      <c r="CS31" s="128">
        <f t="shared" si="151"/>
        <v>0.5957804878048778</v>
      </c>
      <c r="CT31" s="128">
        <f t="shared" si="151"/>
        <v>0.73743529411764719</v>
      </c>
      <c r="CU31" s="128">
        <f t="shared" si="151"/>
        <v>0.79272413793103436</v>
      </c>
      <c r="CV31" s="128">
        <f t="shared" si="151"/>
        <v>1.1196533333333334</v>
      </c>
      <c r="CW31" s="110">
        <f>CW30/CR30-1</f>
        <v>0.80388145896656527</v>
      </c>
      <c r="CX31" s="128">
        <f t="shared" si="151"/>
        <v>0.28721323001207466</v>
      </c>
      <c r="CY31" s="128">
        <f t="shared" si="151"/>
        <v>0.45583077152259577</v>
      </c>
      <c r="CZ31" s="128">
        <f t="shared" si="151"/>
        <v>0.42978963498688838</v>
      </c>
      <c r="DA31" s="128">
        <f t="shared" si="151"/>
        <v>0.48451948117302202</v>
      </c>
      <c r="DB31" s="110">
        <f t="shared" ref="DB31:DT31" si="152">DB30/CW30-1</f>
        <v>0.4194939315255688</v>
      </c>
      <c r="DC31" s="128">
        <f t="shared" si="152"/>
        <v>0.17699792800869152</v>
      </c>
      <c r="DD31" s="128">
        <f t="shared" si="152"/>
        <v>0.12558139534883717</v>
      </c>
      <c r="DE31" s="128">
        <f t="shared" si="152"/>
        <v>0.17488789237668168</v>
      </c>
      <c r="DF31" s="128">
        <f t="shared" si="152"/>
        <v>-0.10169491525423724</v>
      </c>
      <c r="DG31" s="110">
        <f t="shared" si="152"/>
        <v>8.5244356551291034E-2</v>
      </c>
      <c r="DH31" s="128">
        <f t="shared" si="152"/>
        <v>2.3959646910466592E-2</v>
      </c>
      <c r="DI31" s="128">
        <f t="shared" si="152"/>
        <v>-6.1983471074380181E-2</v>
      </c>
      <c r="DJ31" s="128">
        <f t="shared" si="152"/>
        <v>-0.18320610687022898</v>
      </c>
      <c r="DK31" s="128">
        <f t="shared" si="152"/>
        <v>-9.4339622641509413E-2</v>
      </c>
      <c r="DL31" s="110">
        <f t="shared" si="152"/>
        <v>-8.5589280831282477E-2</v>
      </c>
      <c r="DM31" s="128">
        <f t="shared" si="152"/>
        <v>1.9704433497536922E-2</v>
      </c>
      <c r="DN31" s="128">
        <f t="shared" si="152"/>
        <v>-3.0837004405286361E-2</v>
      </c>
      <c r="DO31" s="128">
        <f t="shared" si="152"/>
        <v>-7.4766355140186924E-2</v>
      </c>
      <c r="DP31" s="128">
        <f t="shared" si="152"/>
        <v>-1.041666666666663E-2</v>
      </c>
      <c r="DQ31" s="110">
        <f>DQ30/DL30-1</f>
        <v>-2.5119617224880431E-2</v>
      </c>
      <c r="DR31" s="128">
        <f t="shared" si="152"/>
        <v>-6.7632850241545861E-2</v>
      </c>
      <c r="DS31" s="128">
        <f t="shared" si="152"/>
        <v>-2.2727272727272707E-2</v>
      </c>
      <c r="DT31" s="128">
        <f t="shared" si="152"/>
        <v>-3.5353535353535359E-2</v>
      </c>
      <c r="DU31" s="128">
        <f t="shared" ref="DU31:ED31" si="153">DU30/DP30-1</f>
        <v>-8.9473684210526261E-2</v>
      </c>
      <c r="DV31" s="110">
        <f t="shared" si="153"/>
        <v>-5.2760736196319047E-2</v>
      </c>
      <c r="DW31" s="128">
        <f t="shared" si="153"/>
        <v>-5.1813471502590858E-3</v>
      </c>
      <c r="DX31" s="128">
        <f t="shared" si="153"/>
        <v>-9.302325581395321E-3</v>
      </c>
      <c r="DY31" s="128">
        <f t="shared" si="153"/>
        <v>1.0209424083769632</v>
      </c>
      <c r="DZ31" s="128">
        <f t="shared" si="153"/>
        <v>1.1907514450867054</v>
      </c>
      <c r="EA31" s="110">
        <f t="shared" si="153"/>
        <v>0.51554404145077726</v>
      </c>
      <c r="EB31" s="128">
        <f t="shared" si="153"/>
        <v>1.0104166666666665</v>
      </c>
      <c r="EC31" s="128">
        <f t="shared" si="153"/>
        <v>1.0375586854460095</v>
      </c>
      <c r="ED31" s="128">
        <f t="shared" si="153"/>
        <v>0.10880829015544036</v>
      </c>
      <c r="EE31" s="128">
        <f t="shared" ref="EE31" si="154">EE30/DZ30-1</f>
        <v>8.4432717678100344E-2</v>
      </c>
      <c r="EF31" s="110">
        <f t="shared" ref="EF31:EJ31" si="155">EF30/EA30-1</f>
        <v>0.41794871794871802</v>
      </c>
      <c r="EG31" s="128">
        <f t="shared" si="155"/>
        <v>8.0310880829015607E-2</v>
      </c>
      <c r="EH31" s="128">
        <f t="shared" si="155"/>
        <v>7.6036866359447064E-2</v>
      </c>
      <c r="EI31" s="128">
        <f t="shared" si="155"/>
        <v>0.13084112149532712</v>
      </c>
      <c r="EJ31" s="128">
        <f t="shared" si="155"/>
        <v>0.194647201946472</v>
      </c>
      <c r="EK31" s="110">
        <f>EK30/EF30-1</f>
        <v>0.12055455093429779</v>
      </c>
      <c r="EL31" s="870"/>
      <c r="EM31" s="870"/>
      <c r="EN31" s="870"/>
      <c r="EO31" s="870"/>
      <c r="EP31" s="484"/>
      <c r="EQ31" s="133">
        <v>0.1</v>
      </c>
      <c r="ER31" s="133">
        <v>0.15</v>
      </c>
      <c r="ES31" s="133">
        <v>0.15</v>
      </c>
      <c r="ET31" s="133">
        <v>0.15</v>
      </c>
      <c r="EU31" s="110">
        <f>EU30/EP30-1</f>
        <v>0.13899917287014052</v>
      </c>
      <c r="EV31" s="133"/>
      <c r="EW31" s="133"/>
      <c r="EX31" s="133"/>
      <c r="EY31" s="133"/>
      <c r="EZ31" s="609">
        <v>0.08</v>
      </c>
      <c r="FA31" s="133"/>
      <c r="FB31" s="133"/>
      <c r="FC31" s="133"/>
      <c r="FD31" s="133"/>
      <c r="FE31" s="609">
        <v>0.06</v>
      </c>
      <c r="FF31" s="133"/>
      <c r="FG31" s="437"/>
      <c r="FH31" s="347"/>
      <c r="FI31" s="337"/>
      <c r="FJ31" s="337"/>
      <c r="FK31" s="337"/>
      <c r="FL31" s="813" t="s">
        <v>580</v>
      </c>
      <c r="FM31" s="525"/>
      <c r="FN31" s="769"/>
      <c r="FO31" s="771"/>
      <c r="FP31" s="771"/>
      <c r="FQ31" s="771"/>
      <c r="FR31" s="771"/>
      <c r="FS31" s="597"/>
      <c r="FT31" s="190"/>
    </row>
    <row r="32" spans="1:184" ht="12.75" customHeight="1" x14ac:dyDescent="0.2">
      <c r="A32" s="214" t="s">
        <v>285</v>
      </c>
      <c r="B32" s="141">
        <f t="shared" ref="B32:G32" si="156">(B30/B8)*100</f>
        <v>0.115008506216041</v>
      </c>
      <c r="C32" s="141">
        <f t="shared" si="156"/>
        <v>0.11256296080005841</v>
      </c>
      <c r="D32" s="141">
        <f t="shared" si="156"/>
        <v>0.14799101724574257</v>
      </c>
      <c r="E32" s="141">
        <f t="shared" si="156"/>
        <v>0.11413410829326778</v>
      </c>
      <c r="F32" s="251">
        <f t="shared" si="156"/>
        <v>0.12273389102446725</v>
      </c>
      <c r="G32" s="141">
        <f t="shared" si="156"/>
        <v>9.562387262287135E-2</v>
      </c>
      <c r="H32" s="141">
        <f t="shared" ref="H32:BS32" si="157">(H30/H8)*100</f>
        <v>0.12419279075995102</v>
      </c>
      <c r="I32" s="141">
        <f t="shared" si="157"/>
        <v>9.8301512227937524E-2</v>
      </c>
      <c r="J32" s="141">
        <f t="shared" si="157"/>
        <v>1.4745485721082603</v>
      </c>
      <c r="K32" s="251">
        <f t="shared" si="157"/>
        <v>0.45947210110776576</v>
      </c>
      <c r="L32" s="141">
        <f t="shared" si="157"/>
        <v>0.10954380144093789</v>
      </c>
      <c r="M32" s="141">
        <f t="shared" si="157"/>
        <v>0.12409331926411321</v>
      </c>
      <c r="N32" s="141">
        <f t="shared" si="157"/>
        <v>0.15994301545452033</v>
      </c>
      <c r="O32" s="141">
        <f t="shared" si="157"/>
        <v>2.2350107042486878</v>
      </c>
      <c r="P32" s="251">
        <f t="shared" si="157"/>
        <v>0.68360297327020314</v>
      </c>
      <c r="Q32" s="141">
        <f t="shared" si="157"/>
        <v>0.12597667632828774</v>
      </c>
      <c r="R32" s="141">
        <f t="shared" si="157"/>
        <v>0.13497975796257417</v>
      </c>
      <c r="S32" s="141">
        <f t="shared" si="157"/>
        <v>0.1524873725472376</v>
      </c>
      <c r="T32" s="141">
        <f t="shared" si="157"/>
        <v>0.1314050772358053</v>
      </c>
      <c r="U32" s="251">
        <f t="shared" si="157"/>
        <v>0.13606920868016428</v>
      </c>
      <c r="V32" s="141">
        <f t="shared" si="157"/>
        <v>0.12745428401418799</v>
      </c>
      <c r="W32" s="141">
        <f t="shared" si="157"/>
        <v>0.12647631619669278</v>
      </c>
      <c r="X32" s="141">
        <f t="shared" si="157"/>
        <v>0.12790104551332315</v>
      </c>
      <c r="Y32" s="141">
        <f t="shared" si="157"/>
        <v>0.11384896657360422</v>
      </c>
      <c r="Z32" s="251">
        <f t="shared" si="157"/>
        <v>0.12373624757634283</v>
      </c>
      <c r="AA32" s="141">
        <f t="shared" si="157"/>
        <v>0.10894792627020071</v>
      </c>
      <c r="AB32" s="141">
        <f t="shared" si="157"/>
        <v>0.13234184896915113</v>
      </c>
      <c r="AC32" s="141">
        <f t="shared" si="157"/>
        <v>0.14691008169893152</v>
      </c>
      <c r="AD32" s="141">
        <f t="shared" si="157"/>
        <v>0.12120279747909958</v>
      </c>
      <c r="AE32" s="251">
        <f t="shared" si="157"/>
        <v>0.12761193677136715</v>
      </c>
      <c r="AF32" s="141">
        <f t="shared" si="157"/>
        <v>0.12912021206872071</v>
      </c>
      <c r="AG32" s="141">
        <f t="shared" si="157"/>
        <v>0.13747519790034302</v>
      </c>
      <c r="AH32" s="141">
        <f t="shared" si="157"/>
        <v>0.15359035098391433</v>
      </c>
      <c r="AI32" s="141">
        <f t="shared" si="157"/>
        <v>0.13798755018414782</v>
      </c>
      <c r="AJ32" s="251">
        <f t="shared" si="157"/>
        <v>0.13977535323495832</v>
      </c>
      <c r="AK32" s="141">
        <f t="shared" si="157"/>
        <v>0.15816293301678563</v>
      </c>
      <c r="AL32" s="141">
        <f t="shared" si="157"/>
        <v>0.20788244934117436</v>
      </c>
      <c r="AM32" s="141">
        <f t="shared" si="157"/>
        <v>0.19220103072240544</v>
      </c>
      <c r="AN32" s="141">
        <f t="shared" si="157"/>
        <v>0.18543869180609576</v>
      </c>
      <c r="AO32" s="251">
        <f t="shared" si="157"/>
        <v>0.18627705667504738</v>
      </c>
      <c r="AP32" s="141">
        <f t="shared" si="157"/>
        <v>0.20161179410362254</v>
      </c>
      <c r="AQ32" s="141">
        <f t="shared" si="157"/>
        <v>0.2076342290832206</v>
      </c>
      <c r="AR32" s="141">
        <f t="shared" si="157"/>
        <v>0.23336469346993358</v>
      </c>
      <c r="AS32" s="141">
        <f t="shared" si="157"/>
        <v>0.21171750533263467</v>
      </c>
      <c r="AT32" s="251">
        <f t="shared" si="157"/>
        <v>0.21390719638630001</v>
      </c>
      <c r="AU32" s="141">
        <f t="shared" si="157"/>
        <v>0.13006559036899767</v>
      </c>
      <c r="AV32" s="141">
        <f t="shared" si="157"/>
        <v>0.13874155600771249</v>
      </c>
      <c r="AW32" s="141">
        <f t="shared" si="157"/>
        <v>0.14994851691717068</v>
      </c>
      <c r="AX32" s="141">
        <f t="shared" si="157"/>
        <v>0.11136647689120416</v>
      </c>
      <c r="AY32" s="251">
        <f t="shared" si="157"/>
        <v>0.13239879235198132</v>
      </c>
      <c r="AZ32" s="141">
        <f t="shared" si="157"/>
        <v>0.11089476802921358</v>
      </c>
      <c r="BA32" s="141">
        <f t="shared" si="157"/>
        <v>0.11359282739526132</v>
      </c>
      <c r="BB32" s="141">
        <f t="shared" si="157"/>
        <v>0.13762587238382826</v>
      </c>
      <c r="BC32" s="141">
        <f t="shared" si="157"/>
        <v>0.11042049208675432</v>
      </c>
      <c r="BD32" s="251">
        <f t="shared" si="157"/>
        <v>0.11826579904919325</v>
      </c>
      <c r="BE32" s="141">
        <f t="shared" si="157"/>
        <v>0.13599950394244015</v>
      </c>
      <c r="BF32" s="141">
        <f t="shared" si="157"/>
        <v>0.14352727699784773</v>
      </c>
      <c r="BG32" s="141">
        <f t="shared" si="157"/>
        <v>0.13354145871469583</v>
      </c>
      <c r="BH32" s="141">
        <f t="shared" si="157"/>
        <v>0.10953059853983144</v>
      </c>
      <c r="BI32" s="251">
        <f t="shared" si="157"/>
        <v>0.13050719388701496</v>
      </c>
      <c r="BJ32" s="141">
        <f t="shared" si="157"/>
        <v>0.13116862229120815</v>
      </c>
      <c r="BK32" s="141">
        <f t="shared" si="157"/>
        <v>0.14744182322412527</v>
      </c>
      <c r="BL32" s="141">
        <f t="shared" si="157"/>
        <v>0.15149532931041687</v>
      </c>
      <c r="BM32" s="141">
        <f t="shared" si="157"/>
        <v>0.12556725082339878</v>
      </c>
      <c r="BN32" s="251">
        <f t="shared" si="157"/>
        <v>0.13899230772871093</v>
      </c>
      <c r="BO32" s="141">
        <f t="shared" si="157"/>
        <v>0.13219050237678523</v>
      </c>
      <c r="BP32" s="141">
        <f t="shared" si="157"/>
        <v>0.13971347002712955</v>
      </c>
      <c r="BQ32" s="141">
        <f t="shared" si="157"/>
        <v>0.14831614211916411</v>
      </c>
      <c r="BR32" s="141">
        <f t="shared" si="157"/>
        <v>0.14212954112767001</v>
      </c>
      <c r="BS32" s="251">
        <f t="shared" si="157"/>
        <v>0.14068728524730142</v>
      </c>
      <c r="BT32" s="141">
        <f t="shared" ref="BT32:DQ32" si="158">(BT30/BT8)*100</f>
        <v>0.16864698117551516</v>
      </c>
      <c r="BU32" s="141">
        <f t="shared" si="158"/>
        <v>0.18110613448025362</v>
      </c>
      <c r="BV32" s="141">
        <f t="shared" si="158"/>
        <v>0.17448332280702816</v>
      </c>
      <c r="BW32" s="141">
        <f t="shared" si="158"/>
        <v>0.16814970585918146</v>
      </c>
      <c r="BX32" s="251">
        <f t="shared" si="158"/>
        <v>0.17303898110276414</v>
      </c>
      <c r="BY32" s="141">
        <f t="shared" si="158"/>
        <v>0.18288223288727698</v>
      </c>
      <c r="BZ32" s="141">
        <f t="shared" si="158"/>
        <v>0.20150965409321409</v>
      </c>
      <c r="CA32" s="141">
        <f t="shared" si="158"/>
        <v>0.20591592800428704</v>
      </c>
      <c r="CB32" s="141">
        <f t="shared" si="158"/>
        <v>0.21150700164042072</v>
      </c>
      <c r="CC32" s="251">
        <f t="shared" si="158"/>
        <v>0.20076833218869947</v>
      </c>
      <c r="CD32" s="141">
        <f t="shared" si="158"/>
        <v>0.2083384474383384</v>
      </c>
      <c r="CE32" s="141">
        <f t="shared" si="158"/>
        <v>0.2141235547097044</v>
      </c>
      <c r="CF32" s="141">
        <f t="shared" si="158"/>
        <v>0.22703751984213322</v>
      </c>
      <c r="CG32" s="141">
        <f t="shared" si="158"/>
        <v>0.22161718407937275</v>
      </c>
      <c r="CH32" s="251">
        <f t="shared" si="158"/>
        <v>0.21799383724947033</v>
      </c>
      <c r="CI32" s="141">
        <f t="shared" si="158"/>
        <v>0.23650270609774926</v>
      </c>
      <c r="CJ32" s="141">
        <f t="shared" si="158"/>
        <v>0.30020803215796421</v>
      </c>
      <c r="CK32" s="141">
        <f t="shared" si="158"/>
        <v>0.28775907503656195</v>
      </c>
      <c r="CL32" s="141">
        <f t="shared" si="158"/>
        <v>0.2731704134430249</v>
      </c>
      <c r="CM32" s="251">
        <f t="shared" si="158"/>
        <v>0.2750010947351974</v>
      </c>
      <c r="CN32" s="141">
        <f t="shared" si="158"/>
        <v>0.32548159268622218</v>
      </c>
      <c r="CO32" s="141">
        <f t="shared" si="158"/>
        <v>0.32276334023603875</v>
      </c>
      <c r="CP32" s="141">
        <f t="shared" si="158"/>
        <v>0.33096163184626948</v>
      </c>
      <c r="CQ32" s="141">
        <f t="shared" si="158"/>
        <v>0.29462849821254783</v>
      </c>
      <c r="CR32" s="306">
        <f t="shared" si="158"/>
        <v>0.31857821390005553</v>
      </c>
      <c r="CS32" s="141">
        <f t="shared" si="158"/>
        <v>0.44312139322995542</v>
      </c>
      <c r="CT32" s="141">
        <f t="shared" si="158"/>
        <v>0.46850707806326858</v>
      </c>
      <c r="CU32" s="141">
        <f t="shared" si="158"/>
        <v>0.50406253714611926</v>
      </c>
      <c r="CV32" s="141">
        <f t="shared" si="158"/>
        <v>0.54254027092135126</v>
      </c>
      <c r="CW32" s="306">
        <f t="shared" si="158"/>
        <v>0.48928128249394692</v>
      </c>
      <c r="CX32" s="141">
        <f t="shared" si="158"/>
        <v>0.59510131458822668</v>
      </c>
      <c r="CY32" s="141">
        <f t="shared" si="158"/>
        <v>0.67774477808681532</v>
      </c>
      <c r="CZ32" s="141">
        <f t="shared" si="158"/>
        <v>0.70083583945001171</v>
      </c>
      <c r="DA32" s="141">
        <f t="shared" si="158"/>
        <v>0.77057661595140614</v>
      </c>
      <c r="DB32" s="306">
        <f t="shared" si="158"/>
        <v>0.68785898360512276</v>
      </c>
      <c r="DC32" s="141">
        <f t="shared" si="158"/>
        <v>0.65477773062130407</v>
      </c>
      <c r="DD32" s="141">
        <f t="shared" si="158"/>
        <v>0.71940296688323579</v>
      </c>
      <c r="DE32" s="141">
        <f t="shared" si="158"/>
        <v>0.78635962584768893</v>
      </c>
      <c r="DF32" s="141">
        <f t="shared" si="158"/>
        <v>0.67736907677885827</v>
      </c>
      <c r="DG32" s="306">
        <f t="shared" si="158"/>
        <v>0.71130088470892161</v>
      </c>
      <c r="DH32" s="141">
        <f t="shared" si="158"/>
        <v>0.66268634829886941</v>
      </c>
      <c r="DI32" s="141">
        <f t="shared" si="158"/>
        <v>0.68310555675073947</v>
      </c>
      <c r="DJ32" s="141">
        <f t="shared" si="158"/>
        <v>0.64690078449416299</v>
      </c>
      <c r="DK32" s="141">
        <f t="shared" si="158"/>
        <v>0.61551491910386802</v>
      </c>
      <c r="DL32" s="306">
        <f t="shared" si="158"/>
        <v>0.65242321688910809</v>
      </c>
      <c r="DM32" s="141">
        <f t="shared" si="158"/>
        <v>0.67204685082092308</v>
      </c>
      <c r="DN32" s="141">
        <f t="shared" si="158"/>
        <v>0.64268773412639435</v>
      </c>
      <c r="DO32" s="141">
        <f t="shared" si="158"/>
        <v>0.59236943796137309</v>
      </c>
      <c r="DP32" s="141">
        <f>(DP30/DP8)*100</f>
        <v>0.59586685424137087</v>
      </c>
      <c r="DQ32" s="306">
        <f t="shared" si="158"/>
        <v>0.62526817483498598</v>
      </c>
      <c r="DR32" s="141">
        <f t="shared" ref="DR32:DW32" si="159">(DR30/DR8)*100</f>
        <v>0.63331467516108997</v>
      </c>
      <c r="DS32" s="141">
        <f t="shared" si="159"/>
        <v>0.63056858046283848</v>
      </c>
      <c r="DT32" s="141">
        <f t="shared" si="159"/>
        <v>0.56532585974519967</v>
      </c>
      <c r="DU32" s="141">
        <f t="shared" si="159"/>
        <v>0.52990537850283537</v>
      </c>
      <c r="DV32" s="306">
        <f t="shared" si="159"/>
        <v>0.58929518128444913</v>
      </c>
      <c r="DW32" s="141">
        <f t="shared" si="159"/>
        <v>0.59447390066062455</v>
      </c>
      <c r="DX32" s="141">
        <f t="shared" ref="DX32:EB32" si="160">(DX30/DX8)*100</f>
        <v>0.58394512780036645</v>
      </c>
      <c r="DY32" s="141">
        <f t="shared" si="160"/>
        <v>1.0615962336985849</v>
      </c>
      <c r="DZ32" s="141">
        <f t="shared" si="160"/>
        <v>1.0716030452074548</v>
      </c>
      <c r="EA32" s="306">
        <f t="shared" si="160"/>
        <v>0.83273186249683806</v>
      </c>
      <c r="EB32" s="141">
        <f t="shared" si="160"/>
        <v>1.0944719554179041</v>
      </c>
      <c r="EC32" s="141">
        <f t="shared" ref="EC32:EG32" si="161">(EC30/EC8)*100</f>
        <v>1.1353742269317988</v>
      </c>
      <c r="ED32" s="141">
        <f t="shared" si="161"/>
        <v>1.1298388052640984</v>
      </c>
      <c r="EE32" s="141">
        <f t="shared" si="161"/>
        <v>1.1064118071745503</v>
      </c>
      <c r="EF32" s="306">
        <f t="shared" si="161"/>
        <v>1.1170058587260276</v>
      </c>
      <c r="EG32" s="141">
        <f t="shared" si="161"/>
        <v>1.1362438068581715</v>
      </c>
      <c r="EH32" s="141">
        <f t="shared" ref="EH32:EJ32" si="162">(EH30/EH8)*100</f>
        <v>1.162523672106091</v>
      </c>
      <c r="EI32" s="141">
        <f t="shared" si="162"/>
        <v>1.2393362033355353</v>
      </c>
      <c r="EJ32" s="141">
        <f t="shared" si="162"/>
        <v>1.2959653984101169</v>
      </c>
      <c r="EK32" s="306">
        <f>(EK30/EK8)*100</f>
        <v>1.2086255974561728</v>
      </c>
      <c r="EL32" s="523">
        <f t="shared" ref="EL32:EO32" si="163">(EL30/EL8)*100</f>
        <v>0.72479820773207093</v>
      </c>
      <c r="EM32" s="523">
        <f t="shared" si="163"/>
        <v>0.76671796789866387</v>
      </c>
      <c r="EN32" s="523">
        <f t="shared" si="163"/>
        <v>0.81171400094496826</v>
      </c>
      <c r="EO32" s="523">
        <f t="shared" si="163"/>
        <v>0.83934215212712271</v>
      </c>
      <c r="EP32" s="524">
        <f>(EP30/EP8)*100</f>
        <v>0.78602923470925934</v>
      </c>
      <c r="EQ32" s="140">
        <f t="shared" ref="EQ32" si="164">(EQ30/EQ8)*100</f>
        <v>0.78164512598556668</v>
      </c>
      <c r="ER32" s="140">
        <f t="shared" ref="ER32:ET32" si="165">(ER30/ER8)*100</f>
        <v>0.84781313758025312</v>
      </c>
      <c r="ES32" s="140">
        <f t="shared" si="165"/>
        <v>0.89756836642953197</v>
      </c>
      <c r="ET32" s="140">
        <f t="shared" si="165"/>
        <v>0.87749406813290087</v>
      </c>
      <c r="EU32" s="306">
        <f>(EU30/EU8)*100</f>
        <v>0.85264813945244811</v>
      </c>
      <c r="EV32" s="140"/>
      <c r="EW32" s="140"/>
      <c r="EX32" s="140"/>
      <c r="EY32" s="140"/>
      <c r="EZ32" s="306">
        <f>(EZ30/EZ8)*100</f>
        <v>0.87700951486537515</v>
      </c>
      <c r="FA32" s="140"/>
      <c r="FB32" s="140"/>
      <c r="FC32" s="140"/>
      <c r="FD32" s="140"/>
      <c r="FE32" s="306">
        <f>(FE30/FE8)*100</f>
        <v>0.88536198643552155</v>
      </c>
      <c r="FF32" s="140"/>
      <c r="FG32" s="442"/>
      <c r="FL32" s="408"/>
      <c r="FM32" s="408"/>
      <c r="FP32" s="408"/>
      <c r="FQ32" s="408"/>
      <c r="FR32" s="408"/>
      <c r="FS32" s="408"/>
      <c r="FT32" s="442"/>
    </row>
    <row r="33" spans="1:183" ht="12.75" customHeight="1" x14ac:dyDescent="0.2">
      <c r="A33" s="60" t="s">
        <v>244</v>
      </c>
      <c r="B33" s="128"/>
      <c r="C33" s="128"/>
      <c r="D33" s="128"/>
      <c r="E33" s="128"/>
      <c r="F33" s="244"/>
      <c r="G33" s="128">
        <f t="shared" ref="G33:AL33" si="166">G32/B32-1</f>
        <v>-0.1685495641231618</v>
      </c>
      <c r="H33" s="128">
        <f t="shared" si="166"/>
        <v>0.10331844398221057</v>
      </c>
      <c r="I33" s="128">
        <f t="shared" si="166"/>
        <v>-0.33576027749910287</v>
      </c>
      <c r="J33" s="128">
        <f t="shared" si="166"/>
        <v>11.919438318293119</v>
      </c>
      <c r="K33" s="244">
        <f t="shared" si="166"/>
        <v>2.7436448667317905</v>
      </c>
      <c r="L33" s="128">
        <f t="shared" si="166"/>
        <v>0.14556959926696345</v>
      </c>
      <c r="M33" s="128">
        <f t="shared" si="166"/>
        <v>-8.0094420319509751E-4</v>
      </c>
      <c r="N33" s="128">
        <f t="shared" si="166"/>
        <v>0.62706566592435542</v>
      </c>
      <c r="O33" s="128">
        <f t="shared" si="166"/>
        <v>0.51572538641649768</v>
      </c>
      <c r="P33" s="244">
        <f t="shared" si="166"/>
        <v>0.48780082973932104</v>
      </c>
      <c r="Q33" s="128">
        <f t="shared" si="166"/>
        <v>0.15001191004138992</v>
      </c>
      <c r="R33" s="128">
        <f t="shared" si="166"/>
        <v>8.7727838718624884E-2</v>
      </c>
      <c r="S33" s="128">
        <f t="shared" si="166"/>
        <v>-4.6614370037325825E-2</v>
      </c>
      <c r="T33" s="128">
        <f t="shared" si="166"/>
        <v>-0.94120606358349501</v>
      </c>
      <c r="U33" s="244">
        <f t="shared" si="166"/>
        <v>-0.80095287176818475</v>
      </c>
      <c r="V33" s="128">
        <f t="shared" si="166"/>
        <v>1.1729216303894896E-2</v>
      </c>
      <c r="W33" s="128">
        <f t="shared" si="166"/>
        <v>-6.2997903494827256E-2</v>
      </c>
      <c r="X33" s="128">
        <f t="shared" si="166"/>
        <v>-0.16123516736638688</v>
      </c>
      <c r="Y33" s="128">
        <f t="shared" si="166"/>
        <v>-0.13360298575599783</v>
      </c>
      <c r="Z33" s="244">
        <f t="shared" si="166"/>
        <v>-9.0637413294660463E-2</v>
      </c>
      <c r="AA33" s="128">
        <f t="shared" si="166"/>
        <v>-0.14519996630264054</v>
      </c>
      <c r="AB33" s="128">
        <f t="shared" si="166"/>
        <v>4.6376530791238713E-2</v>
      </c>
      <c r="AC33" s="128">
        <f t="shared" si="166"/>
        <v>0.14862299294987569</v>
      </c>
      <c r="AD33" s="128">
        <f t="shared" si="166"/>
        <v>6.4592864799884353E-2</v>
      </c>
      <c r="AE33" s="244">
        <f t="shared" si="166"/>
        <v>3.1322181421681528E-2</v>
      </c>
      <c r="AF33" s="128">
        <f t="shared" si="166"/>
        <v>0.18515529839908007</v>
      </c>
      <c r="AG33" s="128">
        <f t="shared" si="166"/>
        <v>3.878855381859192E-2</v>
      </c>
      <c r="AH33" s="128">
        <f t="shared" si="166"/>
        <v>4.5471823361128649E-2</v>
      </c>
      <c r="AI33" s="128">
        <f t="shared" si="166"/>
        <v>0.13848486218267886</v>
      </c>
      <c r="AJ33" s="244">
        <f t="shared" si="166"/>
        <v>9.5315663811164297E-2</v>
      </c>
      <c r="AK33" s="128">
        <f t="shared" si="166"/>
        <v>0.22492776678997184</v>
      </c>
      <c r="AL33" s="128">
        <f t="shared" si="166"/>
        <v>0.51214511792789108</v>
      </c>
      <c r="AM33" s="128">
        <f t="shared" ref="AM33:BR33" si="167">AM32/AH32-1</f>
        <v>0.25138740481512967</v>
      </c>
      <c r="AN33" s="128">
        <f t="shared" si="167"/>
        <v>0.34387987581939972</v>
      </c>
      <c r="AO33" s="244">
        <f t="shared" si="167"/>
        <v>0.3326888636934513</v>
      </c>
      <c r="AP33" s="128">
        <f t="shared" si="167"/>
        <v>0.27470950530631422</v>
      </c>
      <c r="AQ33" s="128">
        <f t="shared" si="167"/>
        <v>-1.1940414341875538E-3</v>
      </c>
      <c r="AR33" s="128">
        <f t="shared" si="167"/>
        <v>0.21416983349574492</v>
      </c>
      <c r="AS33" s="128">
        <f t="shared" si="167"/>
        <v>0.14171159896887864</v>
      </c>
      <c r="AT33" s="244">
        <f t="shared" si="167"/>
        <v>0.14832819566959476</v>
      </c>
      <c r="AU33" s="128">
        <f t="shared" si="167"/>
        <v>-0.35487112275709531</v>
      </c>
      <c r="AV33" s="128">
        <f t="shared" si="167"/>
        <v>-0.33179824627034715</v>
      </c>
      <c r="AW33" s="128">
        <f t="shared" si="167"/>
        <v>-0.35744985804165852</v>
      </c>
      <c r="AX33" s="128">
        <f t="shared" si="167"/>
        <v>-0.47398550386169769</v>
      </c>
      <c r="AY33" s="244">
        <f t="shared" si="167"/>
        <v>-0.38104563760033938</v>
      </c>
      <c r="AZ33" s="128">
        <f t="shared" si="167"/>
        <v>-0.14739349804507274</v>
      </c>
      <c r="BA33" s="128">
        <f t="shared" si="167"/>
        <v>-0.18126312934715239</v>
      </c>
      <c r="BB33" s="128">
        <f t="shared" si="167"/>
        <v>-8.2179169135425778E-2</v>
      </c>
      <c r="BC33" s="128">
        <f t="shared" si="167"/>
        <v>-8.4943407644473279E-3</v>
      </c>
      <c r="BD33" s="244">
        <f t="shared" si="167"/>
        <v>-0.10674563605697851</v>
      </c>
      <c r="BE33" s="128">
        <f t="shared" si="167"/>
        <v>0.22638341158361142</v>
      </c>
      <c r="BF33" s="128">
        <f t="shared" si="167"/>
        <v>0.26352411757852923</v>
      </c>
      <c r="BG33" s="128">
        <f t="shared" si="167"/>
        <v>-2.9677658701710574E-2</v>
      </c>
      <c r="BH33" s="128">
        <f t="shared" si="167"/>
        <v>-8.0591340439211123E-3</v>
      </c>
      <c r="BI33" s="244">
        <f t="shared" si="167"/>
        <v>0.10350748006809507</v>
      </c>
      <c r="BJ33" s="128">
        <f t="shared" si="167"/>
        <v>-3.5521318175370631E-2</v>
      </c>
      <c r="BK33" s="128">
        <f t="shared" si="167"/>
        <v>2.7273883460746218E-2</v>
      </c>
      <c r="BL33" s="128">
        <f t="shared" si="167"/>
        <v>0.13444417013654553</v>
      </c>
      <c r="BM33" s="128">
        <f t="shared" si="167"/>
        <v>0.14641253218145733</v>
      </c>
      <c r="BN33" s="244">
        <f t="shared" si="167"/>
        <v>6.5016445369608267E-2</v>
      </c>
      <c r="BO33" s="128">
        <f t="shared" si="167"/>
        <v>7.7905833554339221E-3</v>
      </c>
      <c r="BP33" s="128">
        <f t="shared" si="167"/>
        <v>-5.241628886566263E-2</v>
      </c>
      <c r="BQ33" s="128">
        <f t="shared" si="167"/>
        <v>-2.0985380907278972E-2</v>
      </c>
      <c r="BR33" s="128">
        <f t="shared" si="167"/>
        <v>0.13189976045238816</v>
      </c>
      <c r="BS33" s="244">
        <f t="shared" ref="BS33:CX33" si="168">BS32/BN32-1</f>
        <v>1.2194757726440519E-2</v>
      </c>
      <c r="BT33" s="128">
        <f t="shared" si="168"/>
        <v>0.27578742907578424</v>
      </c>
      <c r="BU33" s="128">
        <f t="shared" si="168"/>
        <v>0.29626824417922215</v>
      </c>
      <c r="BV33" s="128">
        <f t="shared" si="168"/>
        <v>0.1764284070094011</v>
      </c>
      <c r="BW33" s="128">
        <f t="shared" si="168"/>
        <v>0.18307358572373378</v>
      </c>
      <c r="BX33" s="244">
        <f t="shared" si="168"/>
        <v>0.22995465296380257</v>
      </c>
      <c r="BY33" s="128">
        <f t="shared" si="168"/>
        <v>8.4408577091260373E-2</v>
      </c>
      <c r="BZ33" s="128">
        <f t="shared" si="168"/>
        <v>0.11266056597980723</v>
      </c>
      <c r="CA33" s="128">
        <f t="shared" si="168"/>
        <v>0.18014675953885928</v>
      </c>
      <c r="CB33" s="128">
        <f t="shared" si="168"/>
        <v>0.25784937035542144</v>
      </c>
      <c r="CC33" s="244">
        <f t="shared" si="168"/>
        <v>0.16024915836430798</v>
      </c>
      <c r="CD33" s="128">
        <f t="shared" si="168"/>
        <v>0.13919457428514592</v>
      </c>
      <c r="CE33" s="128">
        <f t="shared" si="168"/>
        <v>6.2597003966149423E-2</v>
      </c>
      <c r="CF33" s="128">
        <f t="shared" si="168"/>
        <v>0.10257386129647261</v>
      </c>
      <c r="CG33" s="128">
        <f t="shared" si="168"/>
        <v>4.78006986082673E-2</v>
      </c>
      <c r="CH33" s="244">
        <f t="shared" si="168"/>
        <v>8.5797918790204708E-2</v>
      </c>
      <c r="CI33" s="128">
        <f t="shared" si="168"/>
        <v>0.13518512308078212</v>
      </c>
      <c r="CJ33" s="128">
        <f t="shared" si="168"/>
        <v>0.40203179685190582</v>
      </c>
      <c r="CK33" s="128">
        <f t="shared" si="168"/>
        <v>0.26745163194458099</v>
      </c>
      <c r="CL33" s="128">
        <f t="shared" si="168"/>
        <v>0.23262288787672802</v>
      </c>
      <c r="CM33" s="244">
        <f t="shared" si="168"/>
        <v>0.26150857384325255</v>
      </c>
      <c r="CN33" s="128">
        <f t="shared" si="168"/>
        <v>0.37622777369700344</v>
      </c>
      <c r="CO33" s="128">
        <f t="shared" si="168"/>
        <v>7.5132260505962556E-2</v>
      </c>
      <c r="CP33" s="128">
        <f t="shared" si="168"/>
        <v>0.15013447205520225</v>
      </c>
      <c r="CQ33" s="128">
        <f t="shared" si="168"/>
        <v>7.8552008978814314E-2</v>
      </c>
      <c r="CR33" s="110">
        <f t="shared" si="168"/>
        <v>0.15846162069579828</v>
      </c>
      <c r="CS33" s="128">
        <f t="shared" si="168"/>
        <v>0.36143303703550123</v>
      </c>
      <c r="CT33" s="128">
        <f t="shared" si="168"/>
        <v>0.45154984987033098</v>
      </c>
      <c r="CU33" s="128">
        <f t="shared" si="168"/>
        <v>0.52302408691365931</v>
      </c>
      <c r="CV33" s="128">
        <f t="shared" si="168"/>
        <v>0.84143853772745869</v>
      </c>
      <c r="CW33" s="110">
        <f t="shared" si="168"/>
        <v>0.53582781604596619</v>
      </c>
      <c r="CX33" s="128">
        <f t="shared" si="168"/>
        <v>0.34297581583790082</v>
      </c>
      <c r="CY33" s="128">
        <f t="shared" ref="CY33:DY33" si="169">CY32/CT32-1</f>
        <v>0.44660520581354102</v>
      </c>
      <c r="CZ33" s="128">
        <f t="shared" si="169"/>
        <v>0.39037478051429009</v>
      </c>
      <c r="DA33" s="128">
        <f t="shared" si="169"/>
        <v>0.42031229247333024</v>
      </c>
      <c r="DB33" s="110">
        <f t="shared" si="169"/>
        <v>0.4058559119592573</v>
      </c>
      <c r="DC33" s="128">
        <f t="shared" si="169"/>
        <v>0.10027942229361364</v>
      </c>
      <c r="DD33" s="128">
        <f t="shared" si="169"/>
        <v>6.146589415858883E-2</v>
      </c>
      <c r="DE33" s="128">
        <f t="shared" si="169"/>
        <v>0.12203112566959029</v>
      </c>
      <c r="DF33" s="128">
        <f t="shared" si="169"/>
        <v>-0.12095817241672657</v>
      </c>
      <c r="DG33" s="110">
        <f t="shared" si="169"/>
        <v>3.4079515805605975E-2</v>
      </c>
      <c r="DH33" s="128">
        <f t="shared" si="169"/>
        <v>1.2078324151404862E-2</v>
      </c>
      <c r="DI33" s="128">
        <f t="shared" si="169"/>
        <v>-5.0454907476615518E-2</v>
      </c>
      <c r="DJ33" s="128">
        <f t="shared" si="169"/>
        <v>-0.17734740794097925</v>
      </c>
      <c r="DK33" s="128">
        <f t="shared" si="169"/>
        <v>-9.1315295893237058E-2</v>
      </c>
      <c r="DL33" s="110">
        <f t="shared" si="169"/>
        <v>-8.2774630378686265E-2</v>
      </c>
      <c r="DM33" s="128">
        <f t="shared" si="169"/>
        <v>1.4125087299719175E-2</v>
      </c>
      <c r="DN33" s="128">
        <f t="shared" si="169"/>
        <v>-5.9167755590507243E-2</v>
      </c>
      <c r="DO33" s="128">
        <f t="shared" si="169"/>
        <v>-8.4296306079502004E-2</v>
      </c>
      <c r="DP33" s="128">
        <f t="shared" si="169"/>
        <v>-3.192134626257781E-2</v>
      </c>
      <c r="DQ33" s="110">
        <f t="shared" si="169"/>
        <v>-4.162182054710295E-2</v>
      </c>
      <c r="DR33" s="128">
        <f t="shared" si="169"/>
        <v>-5.7633148064782591E-2</v>
      </c>
      <c r="DS33" s="128">
        <f t="shared" si="169"/>
        <v>-1.8856986091432826E-2</v>
      </c>
      <c r="DT33" s="128">
        <f t="shared" si="169"/>
        <v>-4.5653230033681935E-2</v>
      </c>
      <c r="DU33" s="128">
        <f t="shared" si="169"/>
        <v>-0.11069834690253832</v>
      </c>
      <c r="DV33" s="110">
        <f t="shared" si="169"/>
        <v>-5.7532103820941205E-2</v>
      </c>
      <c r="DW33" s="128">
        <f t="shared" si="169"/>
        <v>-6.1329345464142038E-2</v>
      </c>
      <c r="DX33" s="128">
        <f t="shared" si="169"/>
        <v>-7.3938750053563318E-2</v>
      </c>
      <c r="DY33" s="128">
        <f t="shared" si="169"/>
        <v>0.87784835135095585</v>
      </c>
      <c r="DZ33" s="128">
        <f t="shared" ref="DZ33:ED33" si="170">DZ32/DU32-1</f>
        <v>1.0222535733362461</v>
      </c>
      <c r="EA33" s="110">
        <f t="shared" si="170"/>
        <v>0.41309803464162997</v>
      </c>
      <c r="EB33" s="128">
        <f t="shared" si="170"/>
        <v>0.84107654549954791</v>
      </c>
      <c r="EC33" s="128">
        <f t="shared" si="170"/>
        <v>0.94431663675075583</v>
      </c>
      <c r="ED33" s="128">
        <f t="shared" si="170"/>
        <v>6.4282981984362664E-2</v>
      </c>
      <c r="EE33" s="128">
        <f t="shared" ref="EE33" si="171">EE32/DZ32-1</f>
        <v>3.2482888251177844E-2</v>
      </c>
      <c r="EF33" s="110">
        <f t="shared" ref="EF33:EJ33" si="172">EF32/EA32-1</f>
        <v>0.34137518813898993</v>
      </c>
      <c r="EG33" s="128">
        <f t="shared" si="172"/>
        <v>3.8166214523347453E-2</v>
      </c>
      <c r="EH33" s="128">
        <f t="shared" si="172"/>
        <v>2.3912331749558868E-2</v>
      </c>
      <c r="EI33" s="128">
        <f t="shared" si="172"/>
        <v>9.6914177103203603E-2</v>
      </c>
      <c r="EJ33" s="128">
        <f t="shared" si="172"/>
        <v>0.17132282031554835</v>
      </c>
      <c r="EK33" s="110">
        <f t="shared" ref="EK33" si="173">EK32/EF32-1</f>
        <v>8.2022612517574256E-2</v>
      </c>
      <c r="EL33" s="870"/>
      <c r="EM33" s="870"/>
      <c r="EN33" s="870"/>
      <c r="EO33" s="870"/>
      <c r="EP33" s="484"/>
      <c r="EQ33" s="128">
        <f>EQ32/EL32-1</f>
        <v>7.8431372549019551E-2</v>
      </c>
      <c r="ER33" s="128">
        <f>ER32/EM32-1</f>
        <v>0.10576923076923062</v>
      </c>
      <c r="ES33" s="128">
        <f>ES32/EN32-1</f>
        <v>0.10576923076923039</v>
      </c>
      <c r="ET33" s="128">
        <f>ET32/EO32-1</f>
        <v>4.5454545454545192E-2</v>
      </c>
      <c r="EU33" s="110">
        <f>EU32/EP32-1</f>
        <v>8.4753723909302359E-2</v>
      </c>
      <c r="EV33" s="128"/>
      <c r="EW33" s="128"/>
      <c r="EX33" s="128"/>
      <c r="EY33" s="128"/>
      <c r="EZ33" s="110">
        <f>EZ32/EU32-1</f>
        <v>2.857142857142847E-2</v>
      </c>
      <c r="FA33" s="128"/>
      <c r="FB33" s="128"/>
      <c r="FC33" s="128"/>
      <c r="FD33" s="128"/>
      <c r="FE33" s="110">
        <f>FE32/EZ32-1</f>
        <v>9.52380952380949E-3</v>
      </c>
      <c r="FF33" s="133"/>
      <c r="FG33" s="437"/>
      <c r="FH33" s="745"/>
      <c r="FI33" s="746"/>
      <c r="FL33" s="525"/>
      <c r="FM33" s="525"/>
      <c r="FN33" s="776"/>
      <c r="FO33" s="584"/>
      <c r="FP33" s="584"/>
      <c r="FQ33" s="584"/>
      <c r="FR33" s="369"/>
      <c r="FS33" s="369"/>
      <c r="FT33" s="190"/>
    </row>
    <row r="34" spans="1:183" ht="12.75" customHeight="1" x14ac:dyDescent="0.2">
      <c r="A34" s="8" t="s">
        <v>278</v>
      </c>
      <c r="B34" s="9">
        <f>B20+B28+B30</f>
        <v>260.57900000000001</v>
      </c>
      <c r="C34" s="9">
        <f>C20+C28+C30</f>
        <v>308.20999999999998</v>
      </c>
      <c r="D34" s="9">
        <f>D20+D28+D30</f>
        <v>316.37899999999996</v>
      </c>
      <c r="E34" s="9">
        <f>E20+E28+E30</f>
        <v>301.59100000000007</v>
      </c>
      <c r="F34" s="10">
        <f>SUM(B34:E34)</f>
        <v>1186.759</v>
      </c>
      <c r="G34" s="9">
        <f t="shared" ref="G34:Y34" si="174">G20+G28+G30</f>
        <v>282.80899999999997</v>
      </c>
      <c r="H34" s="9">
        <f t="shared" si="174"/>
        <v>324.654</v>
      </c>
      <c r="I34" s="9">
        <f t="shared" si="174"/>
        <v>355.25600000000003</v>
      </c>
      <c r="J34" s="9">
        <f t="shared" si="174"/>
        <v>416.56769999999995</v>
      </c>
      <c r="K34" s="10">
        <f t="shared" si="174"/>
        <v>1379.2866999999999</v>
      </c>
      <c r="L34" s="9">
        <f t="shared" si="174"/>
        <v>373.87799999999999</v>
      </c>
      <c r="M34" s="9">
        <f t="shared" si="174"/>
        <v>416.82799999999997</v>
      </c>
      <c r="N34" s="9">
        <f t="shared" si="174"/>
        <v>447.291</v>
      </c>
      <c r="O34" s="9">
        <f t="shared" si="174"/>
        <v>564.98199999999997</v>
      </c>
      <c r="P34" s="10">
        <f t="shared" si="174"/>
        <v>1802.9789999999998</v>
      </c>
      <c r="Q34" s="9">
        <f t="shared" si="174"/>
        <v>453.803</v>
      </c>
      <c r="R34" s="9">
        <f t="shared" si="174"/>
        <v>520.45400000000006</v>
      </c>
      <c r="S34" s="9">
        <f t="shared" si="174"/>
        <v>554.375</v>
      </c>
      <c r="T34" s="9">
        <f t="shared" si="174"/>
        <v>768.04100000000005</v>
      </c>
      <c r="U34" s="10">
        <f t="shared" si="174"/>
        <v>2296.6730000000002</v>
      </c>
      <c r="V34" s="9">
        <f t="shared" si="174"/>
        <v>619.41199999999992</v>
      </c>
      <c r="W34" s="9">
        <f t="shared" si="174"/>
        <v>661.05600000000004</v>
      </c>
      <c r="X34" s="9">
        <f t="shared" si="174"/>
        <v>685.2890000000001</v>
      </c>
      <c r="Y34" s="9">
        <f t="shared" si="174"/>
        <v>626.17599999999993</v>
      </c>
      <c r="Z34" s="10">
        <f>SUM(V34:Y34)</f>
        <v>2591.933</v>
      </c>
      <c r="AA34" s="9">
        <f>AA20+AA28+AA30</f>
        <v>620.99899999999991</v>
      </c>
      <c r="AB34" s="9">
        <f>AB20+AB28+AB30</f>
        <v>738.20499999999993</v>
      </c>
      <c r="AC34" s="9">
        <f>AC20+AC28+AC30</f>
        <v>764.97499999999991</v>
      </c>
      <c r="AD34" s="9">
        <f>AD20+AD28+AD30</f>
        <v>748.57199999999966</v>
      </c>
      <c r="AE34" s="10">
        <f>SUM(AA34:AD34)</f>
        <v>2872.7509999999993</v>
      </c>
      <c r="AF34" s="9">
        <f>AF20+AF28+AF30</f>
        <v>772.529</v>
      </c>
      <c r="AG34" s="9">
        <f>AG20+AG28+AG30</f>
        <v>910.30799999999999</v>
      </c>
      <c r="AH34" s="9">
        <f>AH20+AH28+AH30</f>
        <v>891.49200000000008</v>
      </c>
      <c r="AI34" s="9">
        <f>AI20+AI28+AI30</f>
        <v>831.84100000000001</v>
      </c>
      <c r="AJ34" s="10">
        <f>SUM(AF34:AI34)</f>
        <v>3406.17</v>
      </c>
      <c r="AK34" s="9">
        <f>AK20+AK28+AK30</f>
        <v>887.09500000000003</v>
      </c>
      <c r="AL34" s="9">
        <f>AL20+AL28+AL30</f>
        <v>956.89200000000005</v>
      </c>
      <c r="AM34" s="9">
        <f>AM20+AM28+AM30</f>
        <v>997.24099999999999</v>
      </c>
      <c r="AN34" s="9">
        <f>AN20+AN28+AN30</f>
        <v>975.59299999999996</v>
      </c>
      <c r="AO34" s="10">
        <f>SUM(AK34:AN34)</f>
        <v>3816.8209999999999</v>
      </c>
      <c r="AP34" s="9">
        <f>AP20+AP28+AP30</f>
        <v>942.65300000000002</v>
      </c>
      <c r="AQ34" s="9">
        <f>AQ20+AQ28+AQ30</f>
        <v>1078.8409999999999</v>
      </c>
      <c r="AR34" s="9">
        <f>AR20+AR28+AR30</f>
        <v>1094.83</v>
      </c>
      <c r="AS34" s="9">
        <f>AS20+AS28+AS30</f>
        <v>1047.6559999999999</v>
      </c>
      <c r="AT34" s="10">
        <f>SUM(AP34:AS34)</f>
        <v>4163.9799999999996</v>
      </c>
      <c r="AU34" s="9">
        <f>AU20+AU28+AU30</f>
        <v>1075.5709999999999</v>
      </c>
      <c r="AV34" s="9">
        <f>AV20+AV28+AV30</f>
        <v>1220.4319999999998</v>
      </c>
      <c r="AW34" s="9">
        <f>AW20+AW28+AW30</f>
        <v>1235.1659999999999</v>
      </c>
      <c r="AX34" s="9">
        <f>AX20+AX28+AX30</f>
        <v>1204.4180000000001</v>
      </c>
      <c r="AY34" s="10">
        <f>SUM(AU34:AX34)</f>
        <v>4735.5869999999995</v>
      </c>
      <c r="AZ34" s="9">
        <f>AZ20+AZ28+AZ30</f>
        <v>1242.6469999999999</v>
      </c>
      <c r="BA34" s="9">
        <f>BA20+BA28+BA30</f>
        <v>1460.6750000000002</v>
      </c>
      <c r="BB34" s="9">
        <f>BB20+BB28+BB30</f>
        <v>1478.8339999999998</v>
      </c>
      <c r="BC34" s="9">
        <f>BC20+BC28+BC30</f>
        <v>1467.404</v>
      </c>
      <c r="BD34" s="10">
        <f>SUM(AZ34:BC34)</f>
        <v>5649.5599999999995</v>
      </c>
      <c r="BE34" s="9">
        <f>BE20+BE28+BE30</f>
        <v>1428.617</v>
      </c>
      <c r="BF34" s="9">
        <f>BF20+BF28+BF30</f>
        <v>1553.7849999999999</v>
      </c>
      <c r="BG34" s="9">
        <f>BG20+BG28+BG30</f>
        <v>1335.125</v>
      </c>
      <c r="BH34" s="9">
        <f>BH20+BH28+BH30</f>
        <v>1237.6469999999999</v>
      </c>
      <c r="BI34" s="10">
        <f>SUM(BE34:BH34)</f>
        <v>5555.174</v>
      </c>
      <c r="BJ34" s="9">
        <f>BJ20+BJ28+BJ30</f>
        <v>1257.2430000000002</v>
      </c>
      <c r="BK34" s="9">
        <f>BK20+BK28+BK30</f>
        <v>1436.798</v>
      </c>
      <c r="BL34" s="9">
        <f>BL20+BL28+BL30</f>
        <v>1391.191</v>
      </c>
      <c r="BM34" s="9">
        <f>BM20+BM28+BM30</f>
        <v>1400.539</v>
      </c>
      <c r="BN34" s="10">
        <f>SUM(BJ34:BM34)</f>
        <v>5485.7709999999997</v>
      </c>
      <c r="BO34" s="9">
        <f>BO20+BO28+BO30</f>
        <v>1351</v>
      </c>
      <c r="BP34" s="9">
        <f>BP20+BP28+BP30</f>
        <v>1515</v>
      </c>
      <c r="BQ34" s="9">
        <f>BQ20+BQ28+BQ30</f>
        <v>1553</v>
      </c>
      <c r="BR34" s="9">
        <f>BR20+BR28+BR30</f>
        <v>1517</v>
      </c>
      <c r="BS34" s="10">
        <f>SUM(BO34:BR34)</f>
        <v>5936</v>
      </c>
      <c r="BT34" s="9">
        <f>BT20+BT28+BT30</f>
        <v>1484</v>
      </c>
      <c r="BU34" s="9">
        <f>BU20+BU28+BU30</f>
        <v>1716</v>
      </c>
      <c r="BV34" s="9">
        <f>BV20+BV28+BV30</f>
        <v>1674</v>
      </c>
      <c r="BW34" s="9">
        <f>BW20+BW28+BW30</f>
        <v>1655</v>
      </c>
      <c r="BX34" s="10">
        <f>SUM(BT34:BW34)</f>
        <v>6529</v>
      </c>
      <c r="BY34" s="9">
        <f>BY20+BY28+BY30</f>
        <v>1663</v>
      </c>
      <c r="BZ34" s="9">
        <f>BZ20+BZ28+BZ30</f>
        <v>1944</v>
      </c>
      <c r="CA34" s="9">
        <f>CA20+CA28+CA30</f>
        <v>1989</v>
      </c>
      <c r="CB34" s="9">
        <f>CB20+CB28+CB30</f>
        <v>1987</v>
      </c>
      <c r="CC34" s="10">
        <f>SUM(BY34:CB34)</f>
        <v>7583</v>
      </c>
      <c r="CD34" s="9">
        <f>CD20+CD28+CD30</f>
        <v>2019</v>
      </c>
      <c r="CE34" s="9">
        <f>CE20+CE28+CE30</f>
        <v>2449</v>
      </c>
      <c r="CF34" s="9">
        <f>CF20+CF28+CF30</f>
        <v>2342</v>
      </c>
      <c r="CG34" s="9">
        <f>CG20+CG28+CG30</f>
        <v>2276</v>
      </c>
      <c r="CH34" s="10">
        <f>SUM(CD34:CG34)</f>
        <v>9086</v>
      </c>
      <c r="CI34" s="9">
        <f>CI20+CI28+CI30</f>
        <v>2198</v>
      </c>
      <c r="CJ34" s="9">
        <f>CJ20+CJ28+CJ30</f>
        <v>2583</v>
      </c>
      <c r="CK34" s="9">
        <f>CK20+CK28+CK30</f>
        <v>2588</v>
      </c>
      <c r="CL34" s="9">
        <f>CL20+CL28+CL30</f>
        <v>2492</v>
      </c>
      <c r="CM34" s="10">
        <f>SUM(CI34:CL34)</f>
        <v>9861</v>
      </c>
      <c r="CN34" s="9">
        <f>CN20+CN28+CN30</f>
        <v>2530</v>
      </c>
      <c r="CO34" s="9">
        <f>CO20+CO28+CO30</f>
        <v>2869</v>
      </c>
      <c r="CP34" s="9">
        <f>CP20+CP28+CP30</f>
        <v>2891</v>
      </c>
      <c r="CQ34" s="9">
        <f>CQ20+CQ28+CQ30</f>
        <v>2734</v>
      </c>
      <c r="CR34" s="10">
        <f>SUM(CN34:CQ34)</f>
        <v>11024</v>
      </c>
      <c r="CS34" s="9">
        <f>CS20+CS28+CS30</f>
        <v>2898.9549999999999</v>
      </c>
      <c r="CT34" s="9">
        <f>CT20+CT28+CT30</f>
        <v>3219.6530000000002</v>
      </c>
      <c r="CU34" s="9">
        <f>CU20+CU28+CU30</f>
        <v>3263.402</v>
      </c>
      <c r="CV34" s="9">
        <f>CV20+CV28+CV30</f>
        <v>3310.4320000000002</v>
      </c>
      <c r="CW34" s="10">
        <f>SUM(CS34:CV34)</f>
        <v>12692.442000000001</v>
      </c>
      <c r="CX34" s="9">
        <f>CX20+CX28+CX30</f>
        <v>3235.1409999999996</v>
      </c>
      <c r="CY34" s="9">
        <f>CY20+CY28+CY30</f>
        <v>3869</v>
      </c>
      <c r="CZ34" s="9">
        <f>CZ20+CZ28+CZ30</f>
        <v>3860</v>
      </c>
      <c r="DA34" s="9">
        <f>DA20+DA28+DA30</f>
        <v>3760</v>
      </c>
      <c r="DB34" s="10">
        <f>SUM(CX34:DA34)</f>
        <v>14724.141</v>
      </c>
      <c r="DC34" s="9">
        <f>DC20+DC28+DC30</f>
        <v>3769.0309999999999</v>
      </c>
      <c r="DD34" s="9">
        <f>DD20+DD28+DD30</f>
        <v>4407</v>
      </c>
      <c r="DE34" s="9">
        <f>DE20+DE28+DE30</f>
        <v>4311</v>
      </c>
      <c r="DF34" s="9">
        <f>DF20+DF28+DF30</f>
        <v>4108</v>
      </c>
      <c r="DG34" s="10">
        <f>SUM(DC34:DF34)</f>
        <v>16595.030999999999</v>
      </c>
      <c r="DH34" s="9">
        <f>DH20+DH28+DH30</f>
        <v>3991</v>
      </c>
      <c r="DI34" s="9">
        <f>DI20+DI28+DI30</f>
        <v>4616</v>
      </c>
      <c r="DJ34" s="9">
        <f>DJ20+DJ28+DJ30</f>
        <v>4309</v>
      </c>
      <c r="DK34" s="9">
        <f>DK20+DK28+DK30</f>
        <v>4173</v>
      </c>
      <c r="DL34" s="10">
        <f>SUM(DH34:DK34)</f>
        <v>17089</v>
      </c>
      <c r="DM34" s="9">
        <f>DM20+DM28+DM30</f>
        <v>4084</v>
      </c>
      <c r="DN34" s="9">
        <f>DN20+DN28+DN30</f>
        <v>4643</v>
      </c>
      <c r="DO34" s="9">
        <f>DO20+DO28+DO30</f>
        <v>4545</v>
      </c>
      <c r="DP34" s="9">
        <f>DP20+DP28+DP30</f>
        <v>4428</v>
      </c>
      <c r="DQ34" s="10">
        <f>SUM(DM34:DP34)</f>
        <v>17700</v>
      </c>
      <c r="DR34" s="9">
        <f>DR20+DR28+DR30</f>
        <v>4166</v>
      </c>
      <c r="DS34" s="9">
        <f>DS20+DS28+DS30</f>
        <v>5011</v>
      </c>
      <c r="DT34" s="9">
        <f>DT20+DT28+DT30</f>
        <v>4800</v>
      </c>
      <c r="DU34" s="9">
        <f>DU20+DU28+DU30</f>
        <v>4628</v>
      </c>
      <c r="DV34" s="10">
        <f>SUM(DR34:DU34)</f>
        <v>18605</v>
      </c>
      <c r="DW34" s="9">
        <f>DW20+DW28+DW30</f>
        <v>4414</v>
      </c>
      <c r="DX34" s="9">
        <f>DX20+DX28+DX30</f>
        <v>5111</v>
      </c>
      <c r="DY34" s="9">
        <f>DY20+DY28+DY30</f>
        <v>5146</v>
      </c>
      <c r="DZ34" s="9">
        <f>DZ20+DZ28+DZ30</f>
        <v>4977</v>
      </c>
      <c r="EA34" s="10">
        <f>SUM(DW34:DZ34)</f>
        <v>19648</v>
      </c>
      <c r="EB34" s="9">
        <f t="shared" ref="EB34:EL34" si="175">EB20+EB28+EB30</f>
        <v>4826</v>
      </c>
      <c r="EC34" s="9">
        <f>EC20+EC28+EC30</f>
        <v>5384</v>
      </c>
      <c r="ED34" s="9">
        <f>ED20+ED28+ED30</f>
        <v>5139</v>
      </c>
      <c r="EE34" s="9">
        <f>EE20+EE28+EE30</f>
        <v>5076</v>
      </c>
      <c r="EF34" s="10">
        <f>SUM(EB34:EE34)</f>
        <v>20425</v>
      </c>
      <c r="EG34" s="9">
        <f t="shared" ref="EG34" si="176">EG20+EG28+EG30</f>
        <v>4883</v>
      </c>
      <c r="EH34" s="9">
        <f>EH20+EH28+EH30</f>
        <v>5744</v>
      </c>
      <c r="EI34" s="9">
        <f>EI20+EI28+EI30</f>
        <v>5271</v>
      </c>
      <c r="EJ34" s="9">
        <f>EJ20+EJ28+EJ30</f>
        <v>5274</v>
      </c>
      <c r="EK34" s="10">
        <f t="shared" si="175"/>
        <v>21172</v>
      </c>
      <c r="EL34" s="9">
        <f t="shared" si="175"/>
        <v>4854</v>
      </c>
      <c r="EM34" s="9">
        <f>EM20+EM28+EM30</f>
        <v>5731</v>
      </c>
      <c r="EN34" s="9">
        <f>EN20+EN28+EN30</f>
        <v>5303</v>
      </c>
      <c r="EO34" s="9">
        <f>EO20+EO28+EO30</f>
        <v>5258</v>
      </c>
      <c r="EP34" s="10">
        <f t="shared" ref="EP34" si="177">EP20+EP28+EP30</f>
        <v>21146</v>
      </c>
      <c r="EQ34" s="9">
        <f t="shared" ref="EQ34" si="178">EQ20+EQ28+EQ30</f>
        <v>4951.2838600000005</v>
      </c>
      <c r="ER34" s="9">
        <f t="shared" ref="ER34:EU34" si="179">ER20+ER28+ER30</f>
        <v>5909.1076000000012</v>
      </c>
      <c r="ES34" s="9">
        <f t="shared" si="179"/>
        <v>5600.3576000000021</v>
      </c>
      <c r="ET34" s="9">
        <f t="shared" si="179"/>
        <v>5742.03</v>
      </c>
      <c r="EU34" s="10">
        <f t="shared" si="179"/>
        <v>22202.779060000004</v>
      </c>
      <c r="EV34" s="9"/>
      <c r="EW34" s="9"/>
      <c r="EX34" s="9"/>
      <c r="EY34" s="9"/>
      <c r="EZ34" s="10">
        <f t="shared" ref="EZ34" si="180">EZ20+EZ28+EZ30</f>
        <v>23565.788070630002</v>
      </c>
      <c r="FA34" s="9"/>
      <c r="FB34" s="9"/>
      <c r="FC34" s="9"/>
      <c r="FD34" s="9"/>
      <c r="FE34" s="10">
        <f t="shared" ref="FE34" si="181">FE20+FE28+FE30</f>
        <v>24984.416346953123</v>
      </c>
      <c r="FF34" s="337"/>
      <c r="FG34" s="441"/>
      <c r="FH34" s="347"/>
      <c r="FI34" s="747"/>
      <c r="FJ34" s="337"/>
      <c r="FK34" s="337"/>
      <c r="FL34" s="408"/>
      <c r="FM34" s="814"/>
      <c r="FN34" s="590"/>
      <c r="FO34" s="814"/>
      <c r="FP34" s="815"/>
      <c r="FQ34" s="777"/>
      <c r="FR34" s="777"/>
      <c r="FS34" s="718"/>
      <c r="FT34" s="441"/>
      <c r="GA34" s="342"/>
    </row>
    <row r="35" spans="1:183" ht="12.75" customHeight="1" x14ac:dyDescent="0.2">
      <c r="A35" s="58" t="s">
        <v>244</v>
      </c>
      <c r="B35" s="43"/>
      <c r="C35" s="43"/>
      <c r="D35" s="43"/>
      <c r="E35" s="43"/>
      <c r="F35" s="244"/>
      <c r="G35" s="43">
        <f>G34/B34-1</f>
        <v>8.5310021145218684E-2</v>
      </c>
      <c r="H35" s="43">
        <f>H34/C34-1</f>
        <v>5.3353233185166049E-2</v>
      </c>
      <c r="I35" s="43">
        <f>I34/D34-1</f>
        <v>0.12288110146375097</v>
      </c>
      <c r="J35" s="43">
        <f>J34/E34-1</f>
        <v>0.38123385644797048</v>
      </c>
      <c r="K35" s="244">
        <f t="shared" ref="K35:U35" si="182">K34/F34-1</f>
        <v>0.1622298208819144</v>
      </c>
      <c r="L35" s="43">
        <f t="shared" si="182"/>
        <v>0.32201591887104031</v>
      </c>
      <c r="M35" s="43">
        <f t="shared" si="182"/>
        <v>0.28391456750879396</v>
      </c>
      <c r="N35" s="43">
        <f t="shared" si="182"/>
        <v>0.25906670119575725</v>
      </c>
      <c r="O35" s="43">
        <f t="shared" si="182"/>
        <v>0.35627894337463051</v>
      </c>
      <c r="P35" s="244">
        <f t="shared" si="182"/>
        <v>0.30718218337057834</v>
      </c>
      <c r="Q35" s="43">
        <f t="shared" si="182"/>
        <v>0.21377294197572483</v>
      </c>
      <c r="R35" s="43">
        <f t="shared" si="182"/>
        <v>0.24860613970270729</v>
      </c>
      <c r="S35" s="43">
        <f t="shared" si="182"/>
        <v>0.23940566655711826</v>
      </c>
      <c r="T35" s="43">
        <f t="shared" si="182"/>
        <v>0.35940791034050656</v>
      </c>
      <c r="U35" s="244">
        <f t="shared" si="182"/>
        <v>0.27382127024219383</v>
      </c>
      <c r="V35" s="43">
        <f t="shared" ref="V35:BR35" si="183">V34/Q34-1</f>
        <v>0.36493588627664408</v>
      </c>
      <c r="W35" s="43">
        <f t="shared" si="183"/>
        <v>0.27015259753984022</v>
      </c>
      <c r="X35" s="43">
        <f t="shared" si="183"/>
        <v>0.23614701240135316</v>
      </c>
      <c r="Y35" s="43">
        <f t="shared" si="183"/>
        <v>-0.18471019125281085</v>
      </c>
      <c r="Z35" s="244">
        <f t="shared" si="183"/>
        <v>0.12855987770135302</v>
      </c>
      <c r="AA35" s="43">
        <f t="shared" si="183"/>
        <v>2.5621072888482033E-3</v>
      </c>
      <c r="AB35" s="43">
        <f t="shared" si="183"/>
        <v>0.11670569513021567</v>
      </c>
      <c r="AC35" s="43">
        <f t="shared" si="183"/>
        <v>0.1162808683635661</v>
      </c>
      <c r="AD35" s="43">
        <f t="shared" si="183"/>
        <v>0.19546581152902665</v>
      </c>
      <c r="AE35" s="244">
        <f t="shared" si="183"/>
        <v>0.10834307831259493</v>
      </c>
      <c r="AF35" s="43">
        <f t="shared" si="183"/>
        <v>0.24401005476659399</v>
      </c>
      <c r="AG35" s="43">
        <f t="shared" si="183"/>
        <v>0.23313713670321934</v>
      </c>
      <c r="AH35" s="43">
        <f t="shared" si="183"/>
        <v>0.1653871041537307</v>
      </c>
      <c r="AI35" s="43">
        <f t="shared" si="183"/>
        <v>0.11123712882661962</v>
      </c>
      <c r="AJ35" s="244">
        <f t="shared" si="183"/>
        <v>0.18568229547218018</v>
      </c>
      <c r="AK35" s="43">
        <f t="shared" si="183"/>
        <v>0.14829993437139577</v>
      </c>
      <c r="AL35" s="43">
        <f t="shared" si="183"/>
        <v>5.1173888398212464E-2</v>
      </c>
      <c r="AM35" s="43">
        <f t="shared" si="183"/>
        <v>0.11862024561072881</v>
      </c>
      <c r="AN35" s="43">
        <f t="shared" si="183"/>
        <v>0.1728118714994813</v>
      </c>
      <c r="AO35" s="244">
        <f t="shared" si="183"/>
        <v>0.12056092326572077</v>
      </c>
      <c r="AP35" s="43">
        <f t="shared" si="183"/>
        <v>6.2629143440104951E-2</v>
      </c>
      <c r="AQ35" s="43">
        <f t="shared" si="183"/>
        <v>0.12744280441261902</v>
      </c>
      <c r="AR35" s="43">
        <f t="shared" si="183"/>
        <v>9.785899296158096E-2</v>
      </c>
      <c r="AS35" s="43">
        <f t="shared" si="183"/>
        <v>7.3865843645864571E-2</v>
      </c>
      <c r="AT35" s="244">
        <f t="shared" si="183"/>
        <v>9.0955012037504446E-2</v>
      </c>
      <c r="AU35" s="43">
        <f t="shared" si="183"/>
        <v>0.14100416590198073</v>
      </c>
      <c r="AV35" s="43">
        <f t="shared" si="183"/>
        <v>0.1312436216272832</v>
      </c>
      <c r="AW35" s="43">
        <f t="shared" si="183"/>
        <v>0.12818063078286124</v>
      </c>
      <c r="AX35" s="43">
        <f t="shared" si="183"/>
        <v>0.14963117664576941</v>
      </c>
      <c r="AY35" s="244">
        <f t="shared" si="183"/>
        <v>0.13727419440054955</v>
      </c>
      <c r="AZ35" s="43">
        <f t="shared" si="183"/>
        <v>0.15533702563568563</v>
      </c>
      <c r="BA35" s="43">
        <f t="shared" si="183"/>
        <v>0.19685078726221561</v>
      </c>
      <c r="BB35" s="43">
        <f t="shared" si="183"/>
        <v>0.19727550790743908</v>
      </c>
      <c r="BC35" s="43">
        <f t="shared" si="183"/>
        <v>0.21835110401870428</v>
      </c>
      <c r="BD35" s="244">
        <f t="shared" si="183"/>
        <v>0.1930009943857014</v>
      </c>
      <c r="BE35" s="43">
        <f t="shared" si="183"/>
        <v>0.14965633844527049</v>
      </c>
      <c r="BF35" s="43">
        <f t="shared" si="183"/>
        <v>6.3744501685864208E-2</v>
      </c>
      <c r="BG35" s="43">
        <f t="shared" si="183"/>
        <v>-9.7177235578841059E-2</v>
      </c>
      <c r="BH35" s="43">
        <f t="shared" si="183"/>
        <v>-0.15657378608753969</v>
      </c>
      <c r="BI35" s="244">
        <f t="shared" si="183"/>
        <v>-1.6706787785243371E-2</v>
      </c>
      <c r="BJ35" s="43">
        <f t="shared" si="183"/>
        <v>-0.11995797334065028</v>
      </c>
      <c r="BK35" s="43">
        <f t="shared" si="183"/>
        <v>-7.5291626576392434E-2</v>
      </c>
      <c r="BL35" s="43">
        <f t="shared" si="183"/>
        <v>4.1993071809755644E-2</v>
      </c>
      <c r="BM35" s="43">
        <f t="shared" si="183"/>
        <v>0.13161426481056404</v>
      </c>
      <c r="BN35" s="244">
        <f t="shared" si="183"/>
        <v>-1.2493398046577897E-2</v>
      </c>
      <c r="BO35" s="43">
        <f t="shared" si="183"/>
        <v>7.457349136165381E-2</v>
      </c>
      <c r="BP35" s="43">
        <f t="shared" si="183"/>
        <v>5.4427971085705851E-2</v>
      </c>
      <c r="BQ35" s="43">
        <f t="shared" si="183"/>
        <v>0.11630969435541205</v>
      </c>
      <c r="BR35" s="43">
        <f t="shared" si="183"/>
        <v>8.3154414121991538E-2</v>
      </c>
      <c r="BS35" s="244">
        <f t="shared" ref="BS35:CT35" si="184">BS34/BN34-1</f>
        <v>8.2072146285362635E-2</v>
      </c>
      <c r="BT35" s="43">
        <f t="shared" si="184"/>
        <v>9.8445595854922185E-2</v>
      </c>
      <c r="BU35" s="43">
        <f t="shared" si="184"/>
        <v>0.13267326732673257</v>
      </c>
      <c r="BV35" s="43">
        <f t="shared" si="184"/>
        <v>7.7913715389568594E-2</v>
      </c>
      <c r="BW35" s="43">
        <f t="shared" si="184"/>
        <v>9.0969017798286034E-2</v>
      </c>
      <c r="BX35" s="244">
        <f t="shared" si="184"/>
        <v>9.9898921832884069E-2</v>
      </c>
      <c r="BY35" s="43">
        <f t="shared" si="184"/>
        <v>0.12061994609164417</v>
      </c>
      <c r="BZ35" s="43">
        <f t="shared" si="184"/>
        <v>0.13286713286713292</v>
      </c>
      <c r="CA35" s="43">
        <f t="shared" si="184"/>
        <v>0.18817204301075274</v>
      </c>
      <c r="CB35" s="43">
        <f t="shared" si="184"/>
        <v>0.20060422960725077</v>
      </c>
      <c r="CC35" s="244">
        <f>CC34/BX34-1</f>
        <v>0.16143360392096806</v>
      </c>
      <c r="CD35" s="43">
        <f t="shared" si="184"/>
        <v>0.21407095610342752</v>
      </c>
      <c r="CE35" s="43">
        <f t="shared" si="184"/>
        <v>0.25977366255144041</v>
      </c>
      <c r="CF35" s="43">
        <f t="shared" si="184"/>
        <v>0.17747611865258928</v>
      </c>
      <c r="CG35" s="43">
        <f t="shared" si="184"/>
        <v>0.14544539506794152</v>
      </c>
      <c r="CH35" s="244">
        <f>CH34/CC34-1</f>
        <v>0.19820651457206906</v>
      </c>
      <c r="CI35" s="43">
        <f t="shared" si="184"/>
        <v>8.8657751362060333E-2</v>
      </c>
      <c r="CJ35" s="43">
        <f t="shared" si="184"/>
        <v>5.4716210698244172E-2</v>
      </c>
      <c r="CK35" s="43">
        <f t="shared" si="184"/>
        <v>0.1050384286934245</v>
      </c>
      <c r="CL35" s="43">
        <f t="shared" si="184"/>
        <v>9.4903339191564129E-2</v>
      </c>
      <c r="CM35" s="244">
        <f>CM34/CH34-1</f>
        <v>8.5296059872331131E-2</v>
      </c>
      <c r="CN35" s="43">
        <f t="shared" si="184"/>
        <v>0.15104640582347595</v>
      </c>
      <c r="CO35" s="43">
        <f t="shared" si="184"/>
        <v>0.11072396438250087</v>
      </c>
      <c r="CP35" s="43">
        <f t="shared" si="184"/>
        <v>0.11707882534775882</v>
      </c>
      <c r="CQ35" s="43">
        <f t="shared" si="184"/>
        <v>9.71107544141252E-2</v>
      </c>
      <c r="CR35" s="110">
        <f t="shared" ref="CR35:CW35" si="185">CR34/CM34-1</f>
        <v>0.11793935706317815</v>
      </c>
      <c r="CS35" s="43">
        <f t="shared" si="184"/>
        <v>0.14583201581027661</v>
      </c>
      <c r="CT35" s="43">
        <f t="shared" si="184"/>
        <v>0.12222133147438141</v>
      </c>
      <c r="CU35" s="43">
        <f t="shared" si="185"/>
        <v>0.12881425112417855</v>
      </c>
      <c r="CV35" s="43">
        <f t="shared" si="185"/>
        <v>0.21083833211411851</v>
      </c>
      <c r="CW35" s="110">
        <f t="shared" si="185"/>
        <v>0.15134633526850516</v>
      </c>
      <c r="CX35" s="43">
        <f t="shared" ref="CX35:DT35" si="186">CX34/CS34-1</f>
        <v>0.11596799536384661</v>
      </c>
      <c r="CY35" s="43">
        <f t="shared" si="186"/>
        <v>0.20168229309183316</v>
      </c>
      <c r="CZ35" s="43">
        <f t="shared" si="186"/>
        <v>0.18281474363256511</v>
      </c>
      <c r="DA35" s="43">
        <f t="shared" si="186"/>
        <v>0.13580342384317201</v>
      </c>
      <c r="DB35" s="110">
        <f t="shared" si="186"/>
        <v>0.16007156069730311</v>
      </c>
      <c r="DC35" s="43">
        <f>DC34/CX34-1</f>
        <v>0.16502835579654818</v>
      </c>
      <c r="DD35" s="43">
        <f t="shared" si="186"/>
        <v>0.13905401912638915</v>
      </c>
      <c r="DE35" s="43">
        <f t="shared" si="186"/>
        <v>0.1168393782383419</v>
      </c>
      <c r="DF35" s="43">
        <f t="shared" si="186"/>
        <v>9.2553191489361808E-2</v>
      </c>
      <c r="DG35" s="110">
        <f t="shared" si="186"/>
        <v>0.12706276040143871</v>
      </c>
      <c r="DH35" s="43">
        <f t="shared" si="186"/>
        <v>5.8892856015246409E-2</v>
      </c>
      <c r="DI35" s="43">
        <f t="shared" si="186"/>
        <v>4.7424551849330587E-2</v>
      </c>
      <c r="DJ35" s="43">
        <f t="shared" si="186"/>
        <v>-4.639294827186724E-4</v>
      </c>
      <c r="DK35" s="43">
        <f t="shared" si="186"/>
        <v>1.5822784810126667E-2</v>
      </c>
      <c r="DL35" s="110">
        <f t="shared" si="186"/>
        <v>2.9766078773820981E-2</v>
      </c>
      <c r="DM35" s="43">
        <f t="shared" si="186"/>
        <v>2.3302430468554292E-2</v>
      </c>
      <c r="DN35" s="43">
        <f t="shared" si="186"/>
        <v>5.8492201039861413E-3</v>
      </c>
      <c r="DO35" s="43">
        <f t="shared" si="186"/>
        <v>5.4769087955442108E-2</v>
      </c>
      <c r="DP35" s="43">
        <f t="shared" si="186"/>
        <v>6.1107117181883552E-2</v>
      </c>
      <c r="DQ35" s="110">
        <f>DQ34/DL34-1</f>
        <v>3.5753993797179362E-2</v>
      </c>
      <c r="DR35" s="43">
        <f t="shared" si="186"/>
        <v>2.007835455435858E-2</v>
      </c>
      <c r="DS35" s="43">
        <f t="shared" si="186"/>
        <v>7.9259099720008663E-2</v>
      </c>
      <c r="DT35" s="43">
        <f t="shared" si="186"/>
        <v>5.6105610561056007E-2</v>
      </c>
      <c r="DU35" s="43">
        <f>DU34/DP34-1</f>
        <v>4.5167118337850143E-2</v>
      </c>
      <c r="DV35" s="110">
        <f>DV34/DQ34-1</f>
        <v>5.1129943502824959E-2</v>
      </c>
      <c r="DW35" s="43">
        <f>DW34/DR34-1</f>
        <v>5.9529524723955785E-2</v>
      </c>
      <c r="DX35" s="43">
        <f>DX34/DS34-1</f>
        <v>1.995609658750741E-2</v>
      </c>
      <c r="DY35" s="43">
        <f>DY34/DT34-1</f>
        <v>7.2083333333333277E-2</v>
      </c>
      <c r="DZ35" s="43">
        <f t="shared" ref="DZ35:EA35" si="187">DZ34/DU34-1</f>
        <v>7.5410544511668176E-2</v>
      </c>
      <c r="EA35" s="110">
        <f t="shared" si="187"/>
        <v>5.6060198871271227E-2</v>
      </c>
      <c r="EB35" s="43">
        <f>EB34/DW34-1</f>
        <v>9.3339374716810086E-2</v>
      </c>
      <c r="EC35" s="43">
        <f>EC34/DX34-1</f>
        <v>5.3414204656623054E-2</v>
      </c>
      <c r="ED35" s="43">
        <f>ED34/DY34-1</f>
        <v>-1.3602798289933382E-3</v>
      </c>
      <c r="EE35" s="43">
        <f t="shared" ref="EE35" si="188">EE34/DZ34-1</f>
        <v>1.9891500904159143E-2</v>
      </c>
      <c r="EF35" s="110">
        <f t="shared" ref="EF35" si="189">EF34/EA34-1</f>
        <v>3.9546009771987078E-2</v>
      </c>
      <c r="EG35" s="43">
        <f>EG34/EB34-1</f>
        <v>1.1811023622047223E-2</v>
      </c>
      <c r="EH35" s="43">
        <f>EH34/EC34-1</f>
        <v>6.6864784546805334E-2</v>
      </c>
      <c r="EI35" s="43">
        <f>EI34/ED34-1</f>
        <v>2.5685931115002836E-2</v>
      </c>
      <c r="EJ35" s="43">
        <f t="shared" ref="EJ35" si="190">EJ34/EE34-1</f>
        <v>3.900709219858145E-2</v>
      </c>
      <c r="EK35" s="110">
        <f>EK34/EF34-1</f>
        <v>3.657282741738066E-2</v>
      </c>
      <c r="EL35" s="800"/>
      <c r="EM35" s="800"/>
      <c r="EN35" s="800"/>
      <c r="EO35" s="800"/>
      <c r="EP35" s="484"/>
      <c r="EQ35" s="43">
        <f>EQ34/EL34-1</f>
        <v>2.0041998351874923E-2</v>
      </c>
      <c r="ER35" s="43">
        <f>ER34/EM34-1</f>
        <v>3.1077927063339894E-2</v>
      </c>
      <c r="ES35" s="43">
        <f>ES34/EN34-1</f>
        <v>5.607346784838807E-2</v>
      </c>
      <c r="ET35" s="43">
        <f t="shared" ref="ET35" si="191">ET34/EO34-1</f>
        <v>9.2055914796500549E-2</v>
      </c>
      <c r="EU35" s="110">
        <f>EU34/EP34-1</f>
        <v>4.9975364607963924E-2</v>
      </c>
      <c r="EV35" s="43"/>
      <c r="EW35" s="43"/>
      <c r="EX35" s="43"/>
      <c r="EY35" s="43"/>
      <c r="EZ35" s="110">
        <f>EZ34/EU34-1</f>
        <v>6.1389117413934935E-2</v>
      </c>
      <c r="FA35" s="43"/>
      <c r="FB35" s="43"/>
      <c r="FC35" s="43"/>
      <c r="FD35" s="43"/>
      <c r="FE35" s="110">
        <f>FE34/EZ34-1</f>
        <v>6.0198635075189966E-2</v>
      </c>
      <c r="FF35" s="43"/>
      <c r="FG35" s="435"/>
      <c r="FL35" s="408"/>
      <c r="FM35" s="408"/>
      <c r="FN35" s="590"/>
      <c r="FO35" s="777"/>
      <c r="FP35" s="777"/>
      <c r="FQ35" s="777"/>
      <c r="FR35" s="777"/>
      <c r="FS35" s="380"/>
      <c r="FT35" s="190"/>
    </row>
    <row r="36" spans="1:183" ht="12.75" customHeight="1" x14ac:dyDescent="0.2">
      <c r="A36" s="216" t="s">
        <v>314</v>
      </c>
      <c r="B36" s="142">
        <f>B34/B$8*100</f>
        <v>6.7649664878712752</v>
      </c>
      <c r="C36" s="142">
        <f>C34/C$8*100</f>
        <v>7.4995741781638561</v>
      </c>
      <c r="D36" s="142">
        <f>D34/D$8*100</f>
        <v>7.4272287508234118</v>
      </c>
      <c r="E36" s="142">
        <f>E34/E$8*100</f>
        <v>7.1982057411700007</v>
      </c>
      <c r="F36" s="252">
        <f>F34/F$8*100</f>
        <v>7.23143430534732</v>
      </c>
      <c r="G36" s="142">
        <f t="shared" ref="G36:BN36" si="192">G34/G$8*100</f>
        <v>6.5670936844588672</v>
      </c>
      <c r="H36" s="142">
        <f t="shared" si="192"/>
        <v>7.1261375559174862</v>
      </c>
      <c r="I36" s="142">
        <f t="shared" si="192"/>
        <v>7.3196818335879641</v>
      </c>
      <c r="J36" s="142">
        <f t="shared" si="192"/>
        <v>8.7233974383137163</v>
      </c>
      <c r="K36" s="252">
        <f t="shared" si="192"/>
        <v>7.4592313894492364</v>
      </c>
      <c r="L36" s="142">
        <f t="shared" si="192"/>
        <v>7.5620416165315678</v>
      </c>
      <c r="M36" s="142">
        <f t="shared" si="192"/>
        <v>8.0985705467702793</v>
      </c>
      <c r="N36" s="142">
        <f t="shared" si="192"/>
        <v>7.8824450557148342</v>
      </c>
      <c r="O36" s="142">
        <f t="shared" si="192"/>
        <v>10.087078362313335</v>
      </c>
      <c r="P36" s="252">
        <f t="shared" si="192"/>
        <v>8.4382889927205227</v>
      </c>
      <c r="Q36" s="142">
        <f t="shared" si="192"/>
        <v>8.0023227390545859</v>
      </c>
      <c r="R36" s="142">
        <f t="shared" si="192"/>
        <v>8.546320553607492</v>
      </c>
      <c r="S36" s="142">
        <f t="shared" si="192"/>
        <v>8.5105393290924045</v>
      </c>
      <c r="T36" s="142">
        <f t="shared" si="192"/>
        <v>8.3154393116309784</v>
      </c>
      <c r="U36" s="252">
        <f t="shared" si="192"/>
        <v>8.3481989022572805</v>
      </c>
      <c r="V36" s="142">
        <f t="shared" si="192"/>
        <v>8.2142038258033701</v>
      </c>
      <c r="W36" s="142">
        <f t="shared" si="192"/>
        <v>8.4820866064442484</v>
      </c>
      <c r="X36" s="142">
        <f t="shared" si="192"/>
        <v>8.2578838872036684</v>
      </c>
      <c r="Y36" s="142">
        <f t="shared" si="192"/>
        <v>7.3745205847929238</v>
      </c>
      <c r="Z36" s="252">
        <f t="shared" si="192"/>
        <v>8.0685316206519158</v>
      </c>
      <c r="AA36" s="142">
        <f t="shared" si="192"/>
        <v>7.2858661712113246</v>
      </c>
      <c r="AB36" s="142">
        <f t="shared" si="192"/>
        <v>8.272262033723301</v>
      </c>
      <c r="AC36" s="142">
        <f t="shared" si="192"/>
        <v>8.3000398631935113</v>
      </c>
      <c r="AD36" s="142">
        <f t="shared" si="192"/>
        <v>7.8662233843007145</v>
      </c>
      <c r="AE36" s="252">
        <f t="shared" si="192"/>
        <v>7.9401628540585145</v>
      </c>
      <c r="AF36" s="142">
        <f t="shared" si="192"/>
        <v>8.0126201549712217</v>
      </c>
      <c r="AG36" s="142">
        <f t="shared" si="192"/>
        <v>8.9549032164769553</v>
      </c>
      <c r="AH36" s="142">
        <f t="shared" si="192"/>
        <v>8.5067451030909389</v>
      </c>
      <c r="AI36" s="142">
        <f t="shared" si="192"/>
        <v>7.9672174451816273</v>
      </c>
      <c r="AJ36" s="252">
        <f t="shared" si="192"/>
        <v>8.3633181957299367</v>
      </c>
      <c r="AK36" s="142">
        <f t="shared" si="192"/>
        <v>8.4343581042696396</v>
      </c>
      <c r="AL36" s="142">
        <f t="shared" si="192"/>
        <v>8.7139062867958224</v>
      </c>
      <c r="AM36" s="142">
        <f t="shared" si="192"/>
        <v>8.6775963454655152</v>
      </c>
      <c r="AN36" s="142">
        <f t="shared" si="192"/>
        <v>8.4859838479846328</v>
      </c>
      <c r="AO36" s="252">
        <f t="shared" si="192"/>
        <v>8.5795364032280794</v>
      </c>
      <c r="AP36" s="142">
        <f t="shared" si="192"/>
        <v>8.3641388322842225</v>
      </c>
      <c r="AQ36" s="142">
        <f t="shared" si="192"/>
        <v>9.2107039201632706</v>
      </c>
      <c r="AR36" s="142">
        <f t="shared" si="192"/>
        <v>8.9156111020583921</v>
      </c>
      <c r="AS36" s="142">
        <f t="shared" si="192"/>
        <v>8.5310428756448733</v>
      </c>
      <c r="AT36" s="252">
        <f t="shared" si="192"/>
        <v>8.7582502051015787</v>
      </c>
      <c r="AU36" s="142">
        <f t="shared" si="192"/>
        <v>8.6788744400256341</v>
      </c>
      <c r="AV36" s="142">
        <f t="shared" si="192"/>
        <v>9.4257757003787876</v>
      </c>
      <c r="AW36" s="142">
        <f t="shared" si="192"/>
        <v>9.0687611930918095</v>
      </c>
      <c r="AX36" s="142">
        <f t="shared" si="192"/>
        <v>8.6682040431918281</v>
      </c>
      <c r="AY36" s="252">
        <f t="shared" si="192"/>
        <v>8.9595027133144036</v>
      </c>
      <c r="AZ36" s="142">
        <f t="shared" si="192"/>
        <v>8.7795011982159892</v>
      </c>
      <c r="BA36" s="142">
        <f t="shared" si="192"/>
        <v>9.9063946000103495</v>
      </c>
      <c r="BB36" s="142">
        <f t="shared" si="192"/>
        <v>9.6590488994763533</v>
      </c>
      <c r="BC36" s="142">
        <f t="shared" si="192"/>
        <v>9.3459924883239101</v>
      </c>
      <c r="BD36" s="252">
        <f t="shared" si="192"/>
        <v>9.4300838027516161</v>
      </c>
      <c r="BE36" s="142">
        <f t="shared" si="192"/>
        <v>9.0116513600991208</v>
      </c>
      <c r="BF36" s="142">
        <f t="shared" si="192"/>
        <v>9.4548068889685339</v>
      </c>
      <c r="BG36" s="142">
        <f t="shared" si="192"/>
        <v>8.1955660798188141</v>
      </c>
      <c r="BH36" s="142">
        <f t="shared" si="192"/>
        <v>7.407662114263756</v>
      </c>
      <c r="BI36" s="252">
        <f t="shared" si="192"/>
        <v>8.5090745556924077</v>
      </c>
      <c r="BJ36" s="142">
        <f t="shared" si="192"/>
        <v>7.6104495913639507</v>
      </c>
      <c r="BK36" s="142">
        <f t="shared" si="192"/>
        <v>8.3666712766499494</v>
      </c>
      <c r="BL36" s="142">
        <f>BL34/BL$8*100</f>
        <v>7.8995104452281932</v>
      </c>
      <c r="BM36" s="142">
        <f>BM34/BM$8*100</f>
        <v>7.9654783902958659</v>
      </c>
      <c r="BN36" s="252">
        <f t="shared" si="192"/>
        <v>7.9634868033592499</v>
      </c>
      <c r="BO36" s="142">
        <f t="shared" ref="BO36:BX36" si="193">BO34/BO$8*100</f>
        <v>7.7647551613494281</v>
      </c>
      <c r="BP36" s="142">
        <f t="shared" si="193"/>
        <v>8.4666362836440516</v>
      </c>
      <c r="BQ36" s="142">
        <f t="shared" si="193"/>
        <v>8.5309247670763657</v>
      </c>
      <c r="BR36" s="142">
        <f>BR34/BR$8*100</f>
        <v>8.2927120727182846</v>
      </c>
      <c r="BS36" s="252">
        <f t="shared" si="193"/>
        <v>8.2685121309701106</v>
      </c>
      <c r="BT36" s="142">
        <f>BT34/BT$8*100</f>
        <v>8.0732941956278861</v>
      </c>
      <c r="BU36" s="142">
        <f>BU34/BU$8*100</f>
        <v>9.1405331402386825</v>
      </c>
      <c r="BV36" s="142">
        <f>BV34/BV$8*100</f>
        <v>8.5907377170283876</v>
      </c>
      <c r="BW36" s="142">
        <f>BW34/BW$8*100</f>
        <v>8.1849342116748609</v>
      </c>
      <c r="BX36" s="252">
        <f t="shared" si="193"/>
        <v>8.494522613683813</v>
      </c>
      <c r="BY36" s="142">
        <f t="shared" ref="BY36:CH36" si="194">BY34/BY$8*100</f>
        <v>8.2198149538254501</v>
      </c>
      <c r="BZ36" s="142">
        <f t="shared" si="194"/>
        <v>9.1101108734234444</v>
      </c>
      <c r="CA36" s="142">
        <f t="shared" si="194"/>
        <v>9.1014840177894882</v>
      </c>
      <c r="CB36" s="142">
        <f t="shared" si="194"/>
        <v>9.1361828752068686</v>
      </c>
      <c r="CC36" s="252">
        <f t="shared" si="194"/>
        <v>8.9030775613269473</v>
      </c>
      <c r="CD36" s="142">
        <f>CD34/CD$8*100</f>
        <v>9.1442462038696792</v>
      </c>
      <c r="CE36" s="142">
        <f>CE34/CE$8*100</f>
        <v>10.701807867021756</v>
      </c>
      <c r="CF36" s="142">
        <f>CF34/CF$8*100</f>
        <v>9.8467013235236287</v>
      </c>
      <c r="CG36" s="142">
        <f>CG34/CG$8*100</f>
        <v>9.5169945465028736</v>
      </c>
      <c r="CH36" s="252">
        <f t="shared" si="194"/>
        <v>9.8054059665776592</v>
      </c>
      <c r="CI36" s="142">
        <f t="shared" ref="CI36:CR36" si="195">CI34/CI$8*100</f>
        <v>9.2827312143366587</v>
      </c>
      <c r="CJ36" s="142">
        <f t="shared" si="195"/>
        <v>10.339164627520287</v>
      </c>
      <c r="CK36" s="142">
        <f t="shared" si="195"/>
        <v>10.063790353981384</v>
      </c>
      <c r="CL36" s="142">
        <f t="shared" si="195"/>
        <v>9.8658068159422889</v>
      </c>
      <c r="CM36" s="252">
        <f t="shared" si="195"/>
        <v>9.8970284495758456</v>
      </c>
      <c r="CN36" s="142">
        <f>CN34/CN$8*100</f>
        <v>10.042297920684661</v>
      </c>
      <c r="CO36" s="142">
        <f>CO34/CO$8*100</f>
        <v>10.894212036908177</v>
      </c>
      <c r="CP36" s="142">
        <f>CP34/CP$8*100</f>
        <v>10.997816984684656</v>
      </c>
      <c r="CQ36" s="142">
        <f>CQ34/CQ$8*100</f>
        <v>10.74019085484141</v>
      </c>
      <c r="CR36" s="307">
        <f t="shared" si="195"/>
        <v>10.674790972748365</v>
      </c>
      <c r="CS36" s="142">
        <f t="shared" ref="CS36:DB36" si="196">CS34/CS$8*100</f>
        <v>9.8169637803272778</v>
      </c>
      <c r="CT36" s="142">
        <f t="shared" si="196"/>
        <v>10.21404246561962</v>
      </c>
      <c r="CU36" s="142">
        <f t="shared" si="196"/>
        <v>10.546838060921349</v>
      </c>
      <c r="CV36" s="142">
        <f t="shared" si="196"/>
        <v>11.297713299952891</v>
      </c>
      <c r="CW36" s="307">
        <f t="shared" si="196"/>
        <v>10.464052186925588</v>
      </c>
      <c r="CX36" s="142">
        <f t="shared" si="196"/>
        <v>11.430010401386097</v>
      </c>
      <c r="CY36" s="142">
        <f t="shared" si="196"/>
        <v>12.19625370426925</v>
      </c>
      <c r="CZ36" s="142">
        <f>CZ34/CZ$8*100</f>
        <v>12.131059821870158</v>
      </c>
      <c r="DA36" s="142">
        <f>DA34/DA$8*100</f>
        <v>12.276983372785114</v>
      </c>
      <c r="DB36" s="307">
        <f t="shared" si="196"/>
        <v>12.022421454326574</v>
      </c>
      <c r="DC36" s="142">
        <f t="shared" ref="DC36:DH36" si="197">DC34/DC$8*100</f>
        <v>12.448310541343476</v>
      </c>
      <c r="DD36" s="142">
        <f t="shared" si="197"/>
        <v>13.100863120059586</v>
      </c>
      <c r="DE36" s="142">
        <f t="shared" si="197"/>
        <v>12.938917355073995</v>
      </c>
      <c r="DF36" s="142">
        <f t="shared" si="197"/>
        <v>13.125623431167687</v>
      </c>
      <c r="DG36" s="307">
        <f t="shared" si="197"/>
        <v>12.911195222392102</v>
      </c>
      <c r="DH36" s="142">
        <f t="shared" si="197"/>
        <v>13.028478896851173</v>
      </c>
      <c r="DI36" s="142">
        <f t="shared" ref="DI36:DQ36" si="198">DI34/DI$8*100</f>
        <v>13.890816079125171</v>
      </c>
      <c r="DJ36" s="142">
        <f t="shared" si="198"/>
        <v>13.025679814884805</v>
      </c>
      <c r="DK36" s="142">
        <f t="shared" si="198"/>
        <v>13.37783206989813</v>
      </c>
      <c r="DL36" s="307">
        <f t="shared" si="198"/>
        <v>13.33643582944733</v>
      </c>
      <c r="DM36" s="142">
        <f t="shared" si="198"/>
        <v>13.259127240350965</v>
      </c>
      <c r="DN36" s="142">
        <f>DN34/DN$8*100</f>
        <v>13.563632497949312</v>
      </c>
      <c r="DO36" s="142">
        <f>DO34/DO$8*100</f>
        <v>13.597571189567883</v>
      </c>
      <c r="DP36" s="142">
        <f>DP34/DP$8*100</f>
        <v>13.886833845162053</v>
      </c>
      <c r="DQ36" s="307">
        <f t="shared" si="198"/>
        <v>13.579443797029755</v>
      </c>
      <c r="DR36" s="142">
        <f>DR34/DR$8*100</f>
        <v>13.670408998554928</v>
      </c>
      <c r="DS36" s="142">
        <f>DS34/DS$8*100</f>
        <v>14.696647240461786</v>
      </c>
      <c r="DT36" s="142">
        <f>DT34/DT$8*100</f>
        <v>14.207142025010253</v>
      </c>
      <c r="DU36" s="142">
        <f t="shared" ref="DU36:EA36" si="199">DU34/DU$8*100</f>
        <v>14.175734634168336</v>
      </c>
      <c r="DV36" s="307">
        <f t="shared" si="199"/>
        <v>14.201861201809814</v>
      </c>
      <c r="DW36" s="142">
        <f t="shared" si="199"/>
        <v>13.666707278729151</v>
      </c>
      <c r="DX36" s="142">
        <f t="shared" si="199"/>
        <v>14.011941540787195</v>
      </c>
      <c r="DY36" s="142">
        <f t="shared" si="199"/>
        <v>14.152782949774398</v>
      </c>
      <c r="DZ36" s="142">
        <f t="shared" si="199"/>
        <v>14.072212021101588</v>
      </c>
      <c r="EA36" s="307">
        <f t="shared" si="199"/>
        <v>13.984201396869977</v>
      </c>
      <c r="EB36" s="142">
        <f t="shared" ref="EB36:EK36" si="200">EB34/EB$8*100</f>
        <v>13.683734862297426</v>
      </c>
      <c r="EC36" s="142">
        <f t="shared" si="200"/>
        <v>14.084918981107844</v>
      </c>
      <c r="ED36" s="142">
        <f t="shared" si="200"/>
        <v>13.5659850940472</v>
      </c>
      <c r="EE36" s="142">
        <f t="shared" si="200"/>
        <v>13.664589618535322</v>
      </c>
      <c r="EF36" s="307">
        <f t="shared" si="200"/>
        <v>13.752166765810195</v>
      </c>
      <c r="EG36" s="142">
        <f t="shared" si="200"/>
        <v>13.305224241938731</v>
      </c>
      <c r="EH36" s="142">
        <f t="shared" ref="EH36:EJ36" si="201">EH34/EH$8*100</f>
        <v>14.298792232499757</v>
      </c>
      <c r="EI36" s="142">
        <f t="shared" si="201"/>
        <v>13.496985801201667</v>
      </c>
      <c r="EJ36" s="142">
        <f t="shared" si="201"/>
        <v>13.920410409806431</v>
      </c>
      <c r="EK36" s="307">
        <f t="shared" si="200"/>
        <v>13.764938757042547</v>
      </c>
      <c r="EL36" s="878">
        <f t="shared" ref="EL36:EP36" si="202">EL34/EL$8*100</f>
        <v>13.226204888464183</v>
      </c>
      <c r="EM36" s="878">
        <f t="shared" si="202"/>
        <v>14.266430759828708</v>
      </c>
      <c r="EN36" s="878">
        <f t="shared" si="202"/>
        <v>13.578925384893271</v>
      </c>
      <c r="EO36" s="878">
        <f t="shared" si="202"/>
        <v>13.878179358127079</v>
      </c>
      <c r="EP36" s="879">
        <f t="shared" si="202"/>
        <v>13.74803490253267</v>
      </c>
      <c r="EQ36" s="142">
        <f t="shared" ref="EQ36" si="203">EQ34/EQ$8*100</f>
        <v>13.226749475529745</v>
      </c>
      <c r="ER36" s="142">
        <f t="shared" ref="ER36:EU36" si="204">ER34/ER$8*100</f>
        <v>14.144040244650821</v>
      </c>
      <c r="ES36" s="142">
        <f t="shared" si="204"/>
        <v>13.788791173921869</v>
      </c>
      <c r="ET36" s="142">
        <f t="shared" si="204"/>
        <v>13.777952595135798</v>
      </c>
      <c r="EU36" s="307">
        <f t="shared" si="204"/>
        <v>13.7476186457883</v>
      </c>
      <c r="EV36" s="142"/>
      <c r="EW36" s="142"/>
      <c r="EX36" s="142"/>
      <c r="EY36" s="142"/>
      <c r="EZ36" s="307">
        <f t="shared" ref="EZ36" si="205">EZ34/EZ$8*100</f>
        <v>13.89673601999676</v>
      </c>
      <c r="FA36" s="142"/>
      <c r="FB36" s="142"/>
      <c r="FC36" s="142"/>
      <c r="FD36" s="142"/>
      <c r="FE36" s="307">
        <f t="shared" ref="FE36" si="206">FE34/FE$8*100</f>
        <v>14.031714819429327</v>
      </c>
      <c r="FF36" s="142"/>
      <c r="FG36" s="443"/>
      <c r="FL36" s="408"/>
      <c r="FM36" s="415"/>
      <c r="FO36" s="728"/>
      <c r="FP36" s="728"/>
      <c r="FQ36" s="728"/>
      <c r="FR36" s="728"/>
      <c r="FS36" s="375"/>
      <c r="FT36" s="476"/>
    </row>
    <row r="37" spans="1:183" ht="12.75" customHeight="1" x14ac:dyDescent="0.2">
      <c r="A37" s="60" t="s">
        <v>244</v>
      </c>
      <c r="B37" s="43"/>
      <c r="C37" s="43"/>
      <c r="D37" s="43"/>
      <c r="E37" s="43"/>
      <c r="F37" s="244"/>
      <c r="G37" s="43">
        <f>G36/B36-1</f>
        <v>-2.9249635422018527E-2</v>
      </c>
      <c r="H37" s="43">
        <f t="shared" ref="H37:BR37" si="207">H36/C36-1</f>
        <v>-4.979437677057541E-2</v>
      </c>
      <c r="I37" s="43">
        <f t="shared" si="207"/>
        <v>-1.4480086832322825E-2</v>
      </c>
      <c r="J37" s="43">
        <f t="shared" si="207"/>
        <v>0.21188498245061416</v>
      </c>
      <c r="K37" s="244">
        <f t="shared" si="207"/>
        <v>3.1500954649269275E-2</v>
      </c>
      <c r="L37" s="43">
        <f t="shared" si="207"/>
        <v>0.15150506142881137</v>
      </c>
      <c r="M37" s="43">
        <f t="shared" si="207"/>
        <v>0.13646003648151472</v>
      </c>
      <c r="N37" s="43">
        <f t="shared" si="207"/>
        <v>7.6883563373548292E-2</v>
      </c>
      <c r="O37" s="43">
        <f t="shared" si="207"/>
        <v>0.1563245207664441</v>
      </c>
      <c r="P37" s="244">
        <f t="shared" si="207"/>
        <v>0.13125448885472579</v>
      </c>
      <c r="Q37" s="43">
        <f t="shared" si="207"/>
        <v>5.8222520431586711E-2</v>
      </c>
      <c r="R37" s="43">
        <f t="shared" si="207"/>
        <v>5.5287535528819376E-2</v>
      </c>
      <c r="S37" s="43">
        <f t="shared" si="207"/>
        <v>7.9682670660951471E-2</v>
      </c>
      <c r="T37" s="43">
        <f t="shared" si="207"/>
        <v>-0.17563450853137375</v>
      </c>
      <c r="U37" s="244">
        <f t="shared" si="207"/>
        <v>-1.0676345707164137E-2</v>
      </c>
      <c r="V37" s="43">
        <f t="shared" si="207"/>
        <v>2.6477448318188657E-2</v>
      </c>
      <c r="W37" s="43">
        <f t="shared" si="207"/>
        <v>-7.5159768183665765E-3</v>
      </c>
      <c r="X37" s="43">
        <f t="shared" si="207"/>
        <v>-2.9687359651233813E-2</v>
      </c>
      <c r="Y37" s="43">
        <f t="shared" si="207"/>
        <v>-0.11315321915968668</v>
      </c>
      <c r="Z37" s="244">
        <f t="shared" si="207"/>
        <v>-3.3500313646066204E-2</v>
      </c>
      <c r="AA37" s="43">
        <f t="shared" si="207"/>
        <v>-0.1130161454815436</v>
      </c>
      <c r="AB37" s="43">
        <f t="shared" si="207"/>
        <v>-2.4737376833848135E-2</v>
      </c>
      <c r="AC37" s="43">
        <f t="shared" si="207"/>
        <v>5.1049368779776394E-3</v>
      </c>
      <c r="AD37" s="43">
        <f t="shared" si="207"/>
        <v>6.6675900331980342E-2</v>
      </c>
      <c r="AE37" s="244">
        <f t="shared" si="207"/>
        <v>-1.5909805232073859E-2</v>
      </c>
      <c r="AF37" s="43">
        <f t="shared" si="207"/>
        <v>9.9748467331382429E-2</v>
      </c>
      <c r="AG37" s="43">
        <f t="shared" si="207"/>
        <v>8.2521706876637735E-2</v>
      </c>
      <c r="AH37" s="43">
        <f t="shared" si="207"/>
        <v>2.4904126161376716E-2</v>
      </c>
      <c r="AI37" s="43">
        <f t="shared" si="207"/>
        <v>1.283895154598258E-2</v>
      </c>
      <c r="AJ37" s="244">
        <f t="shared" si="207"/>
        <v>5.3293030564874666E-2</v>
      </c>
      <c r="AK37" s="43">
        <f t="shared" si="207"/>
        <v>5.2634212173000794E-2</v>
      </c>
      <c r="AL37" s="43">
        <f t="shared" si="207"/>
        <v>-2.6912287475949537E-2</v>
      </c>
      <c r="AM37" s="43">
        <f t="shared" si="207"/>
        <v>2.0084208507963552E-2</v>
      </c>
      <c r="AN37" s="43">
        <f t="shared" si="207"/>
        <v>6.5112620105121088E-2</v>
      </c>
      <c r="AO37" s="244">
        <f t="shared" si="207"/>
        <v>2.5853160484619275E-2</v>
      </c>
      <c r="AP37" s="43">
        <f t="shared" si="207"/>
        <v>-8.3253842340261786E-3</v>
      </c>
      <c r="AQ37" s="43">
        <f t="shared" si="207"/>
        <v>5.7012046838310182E-2</v>
      </c>
      <c r="AR37" s="43">
        <f t="shared" si="207"/>
        <v>2.7428650413919176E-2</v>
      </c>
      <c r="AS37" s="43">
        <f t="shared" si="207"/>
        <v>5.3098177497641341E-3</v>
      </c>
      <c r="AT37" s="244">
        <f t="shared" si="207"/>
        <v>2.0830239942365436E-2</v>
      </c>
      <c r="AU37" s="43">
        <f t="shared" si="207"/>
        <v>3.7629170683607382E-2</v>
      </c>
      <c r="AV37" s="43">
        <f t="shared" si="207"/>
        <v>2.335020016707956E-2</v>
      </c>
      <c r="AW37" s="43">
        <f t="shared" si="207"/>
        <v>1.717774466385813E-2</v>
      </c>
      <c r="AX37" s="43">
        <f t="shared" si="207"/>
        <v>1.6077889836720205E-2</v>
      </c>
      <c r="AY37" s="244">
        <f t="shared" si="207"/>
        <v>2.2978620557745355E-2</v>
      </c>
      <c r="AZ37" s="43">
        <f t="shared" si="207"/>
        <v>1.1594447976603917E-2</v>
      </c>
      <c r="BA37" s="43">
        <f t="shared" si="207"/>
        <v>5.098985111774379E-2</v>
      </c>
      <c r="BB37" s="43">
        <f t="shared" si="207"/>
        <v>6.5090224984003298E-2</v>
      </c>
      <c r="BC37" s="43">
        <f t="shared" si="207"/>
        <v>7.8192488519513992E-2</v>
      </c>
      <c r="BD37" s="244">
        <f t="shared" si="207"/>
        <v>5.2523125947369742E-2</v>
      </c>
      <c r="BE37" s="43">
        <f t="shared" si="207"/>
        <v>2.6442295142041106E-2</v>
      </c>
      <c r="BF37" s="43">
        <f t="shared" si="207"/>
        <v>-4.5585475773531559E-2</v>
      </c>
      <c r="BG37" s="43">
        <f t="shared" si="207"/>
        <v>-0.15151417441699455</v>
      </c>
      <c r="BH37" s="43">
        <f t="shared" si="207"/>
        <v>-0.20739695398661395</v>
      </c>
      <c r="BI37" s="244">
        <f t="shared" si="207"/>
        <v>-9.7667132797957357E-2</v>
      </c>
      <c r="BJ37" s="43">
        <f t="shared" si="207"/>
        <v>-0.15548779160934589</v>
      </c>
      <c r="BK37" s="43">
        <f t="shared" si="207"/>
        <v>-0.11508808430431028</v>
      </c>
      <c r="BL37" s="43">
        <f t="shared" si="207"/>
        <v>-3.6123878656734165E-2</v>
      </c>
      <c r="BM37" s="43">
        <f t="shared" si="207"/>
        <v>7.5302607952111078E-2</v>
      </c>
      <c r="BN37" s="244">
        <f t="shared" si="207"/>
        <v>-6.4118341984460536E-2</v>
      </c>
      <c r="BO37" s="43">
        <f t="shared" si="207"/>
        <v>2.027548676763824E-2</v>
      </c>
      <c r="BP37" s="43">
        <f t="shared" si="207"/>
        <v>1.1948002220798282E-2</v>
      </c>
      <c r="BQ37" s="43">
        <f t="shared" si="207"/>
        <v>7.9930816754548051E-2</v>
      </c>
      <c r="BR37" s="43">
        <f t="shared" si="207"/>
        <v>4.1081485177472787E-2</v>
      </c>
      <c r="BS37" s="244">
        <f t="shared" ref="BS37:CT37" si="208">BS36/BN36-1</f>
        <v>3.8302986511158821E-2</v>
      </c>
      <c r="BT37" s="43">
        <f t="shared" si="208"/>
        <v>3.9735835563015742E-2</v>
      </c>
      <c r="BU37" s="43">
        <f t="shared" si="208"/>
        <v>7.9594402548798904E-2</v>
      </c>
      <c r="BV37" s="43">
        <f t="shared" si="208"/>
        <v>7.0113090415309109E-3</v>
      </c>
      <c r="BW37" s="43">
        <f t="shared" si="208"/>
        <v>-1.2996696388144935E-2</v>
      </c>
      <c r="BX37" s="244">
        <f t="shared" si="208"/>
        <v>2.7333875688126508E-2</v>
      </c>
      <c r="BY37" s="43">
        <f t="shared" si="208"/>
        <v>1.8148819384893988E-2</v>
      </c>
      <c r="BZ37" s="43">
        <f t="shared" si="208"/>
        <v>-3.3282814414087314E-3</v>
      </c>
      <c r="CA37" s="43">
        <f t="shared" si="208"/>
        <v>5.9453136341097945E-2</v>
      </c>
      <c r="CB37" s="43">
        <f t="shared" si="208"/>
        <v>0.11621946358165736</v>
      </c>
      <c r="CC37" s="244">
        <f>CC36/BX36-1</f>
        <v>4.809628112414388E-2</v>
      </c>
      <c r="CD37" s="43">
        <f t="shared" si="208"/>
        <v>0.11246375438342504</v>
      </c>
      <c r="CE37" s="43">
        <f t="shared" si="208"/>
        <v>0.17471763140026142</v>
      </c>
      <c r="CF37" s="43">
        <f t="shared" si="208"/>
        <v>8.1878658939307236E-2</v>
      </c>
      <c r="CG37" s="43">
        <f t="shared" si="208"/>
        <v>4.1681704109647999E-2</v>
      </c>
      <c r="CH37" s="244">
        <f>CH36/CC36-1</f>
        <v>0.10135016785321871</v>
      </c>
      <c r="CI37" s="43">
        <f t="shared" si="208"/>
        <v>1.5144497138361634E-2</v>
      </c>
      <c r="CJ37" s="43">
        <f t="shared" si="208"/>
        <v>-3.3886166151326225E-2</v>
      </c>
      <c r="CK37" s="43">
        <f t="shared" si="208"/>
        <v>2.2046878779508949E-2</v>
      </c>
      <c r="CL37" s="43">
        <f t="shared" si="208"/>
        <v>3.6651515111731481E-2</v>
      </c>
      <c r="CM37" s="244">
        <f>CM36/CH36-1</f>
        <v>9.3440784920570952E-3</v>
      </c>
      <c r="CN37" s="43">
        <f t="shared" si="208"/>
        <v>8.182577829840576E-2</v>
      </c>
      <c r="CO37" s="43">
        <f t="shared" si="208"/>
        <v>5.3683970551207993E-2</v>
      </c>
      <c r="CP37" s="43">
        <f t="shared" si="208"/>
        <v>9.2810620834699487E-2</v>
      </c>
      <c r="CQ37" s="43">
        <f t="shared" si="208"/>
        <v>8.8627727585968152E-2</v>
      </c>
      <c r="CR37" s="110">
        <f t="shared" ref="CR37:CW37" si="209">CR36/CM36-1</f>
        <v>7.8585458972369793E-2</v>
      </c>
      <c r="CS37" s="43">
        <f t="shared" si="208"/>
        <v>-2.2438503830209067E-2</v>
      </c>
      <c r="CT37" s="43">
        <f t="shared" si="208"/>
        <v>-6.2434030931675544E-2</v>
      </c>
      <c r="CU37" s="43">
        <f t="shared" si="209"/>
        <v>-4.1006221906704887E-2</v>
      </c>
      <c r="CV37" s="43">
        <f t="shared" si="209"/>
        <v>5.1909919725510623E-2</v>
      </c>
      <c r="CW37" s="110">
        <f t="shared" si="209"/>
        <v>-1.9741724813232553E-2</v>
      </c>
      <c r="CX37" s="43">
        <f t="shared" ref="CX37:DT37" si="210">CX36/CS36-1</f>
        <v>0.16431216994925535</v>
      </c>
      <c r="CY37" s="43">
        <f t="shared" si="210"/>
        <v>0.19406726037430677</v>
      </c>
      <c r="CZ37" s="43">
        <f t="shared" si="210"/>
        <v>0.15020821897500669</v>
      </c>
      <c r="DA37" s="43">
        <f t="shared" si="210"/>
        <v>8.6678608921356481E-2</v>
      </c>
      <c r="DB37" s="110">
        <f t="shared" si="210"/>
        <v>0.14892598388873712</v>
      </c>
      <c r="DC37" s="43">
        <f>DC36/CX36-1</f>
        <v>8.9090044907911059E-2</v>
      </c>
      <c r="DD37" s="43">
        <f t="shared" si="210"/>
        <v>7.4171088739625191E-2</v>
      </c>
      <c r="DE37" s="43">
        <f t="shared" si="210"/>
        <v>6.6594143056438737E-2</v>
      </c>
      <c r="DF37" s="43">
        <f t="shared" si="210"/>
        <v>6.9124477293321718E-2</v>
      </c>
      <c r="DG37" s="110">
        <f t="shared" si="210"/>
        <v>7.3926352643849391E-2</v>
      </c>
      <c r="DH37" s="43">
        <f t="shared" si="210"/>
        <v>4.6606192348819908E-2</v>
      </c>
      <c r="DI37" s="43">
        <f t="shared" si="210"/>
        <v>6.0297779758956338E-2</v>
      </c>
      <c r="DJ37" s="43">
        <f t="shared" si="210"/>
        <v>6.7055424677231468E-3</v>
      </c>
      <c r="DK37" s="43">
        <f t="shared" si="210"/>
        <v>1.9214983581774536E-2</v>
      </c>
      <c r="DL37" s="110">
        <f t="shared" si="210"/>
        <v>3.2935804914306255E-2</v>
      </c>
      <c r="DM37" s="43">
        <f t="shared" si="210"/>
        <v>1.7703397712494073E-2</v>
      </c>
      <c r="DN37" s="43">
        <f t="shared" si="210"/>
        <v>-2.3553949552866382E-2</v>
      </c>
      <c r="DO37" s="43">
        <f t="shared" si="210"/>
        <v>4.3904915736494798E-2</v>
      </c>
      <c r="DP37" s="43">
        <f t="shared" si="210"/>
        <v>3.8048151046031098E-2</v>
      </c>
      <c r="DQ37" s="110">
        <f>DQ36/DL36-1</f>
        <v>1.8221357691824647E-2</v>
      </c>
      <c r="DR37" s="43">
        <f t="shared" si="210"/>
        <v>3.101876546989657E-2</v>
      </c>
      <c r="DS37" s="43">
        <f t="shared" si="210"/>
        <v>8.3533282303525525E-2</v>
      </c>
      <c r="DT37" s="43">
        <f t="shared" si="210"/>
        <v>4.4829390995211993E-2</v>
      </c>
      <c r="DU37" s="43">
        <f>DU36/DP36-1</f>
        <v>2.0803935024176212E-2</v>
      </c>
      <c r="DV37" s="110">
        <f>DV36/DQ36-1</f>
        <v>4.5835264984579238E-2</v>
      </c>
      <c r="DW37" s="43">
        <f>DW36/DR36-1</f>
        <v>-2.7078339983599431E-4</v>
      </c>
      <c r="DX37" s="43">
        <f>DX36/DS36-1</f>
        <v>-4.6589245048320072E-2</v>
      </c>
      <c r="DY37" s="43">
        <f t="shared" ref="DY37:ED37" si="211">DY36/DT36-1</f>
        <v>-3.8261794765027668E-3</v>
      </c>
      <c r="DZ37" s="43">
        <f t="shared" si="211"/>
        <v>-7.3028041042206837E-3</v>
      </c>
      <c r="EA37" s="110">
        <f t="shared" si="211"/>
        <v>-1.5326146471006163E-2</v>
      </c>
      <c r="EB37" s="43">
        <f>EB36/DW36-1</f>
        <v>1.245917046513334E-3</v>
      </c>
      <c r="EC37" s="43">
        <f>EC36/DX36-1</f>
        <v>5.2082318576780473E-3</v>
      </c>
      <c r="ED37" s="43">
        <f t="shared" si="211"/>
        <v>-4.146165865820417E-2</v>
      </c>
      <c r="EE37" s="43">
        <f t="shared" ref="EE37" si="212">EE36/DZ36-1</f>
        <v>-2.8966476766767557E-2</v>
      </c>
      <c r="EF37" s="110">
        <f t="shared" ref="EF37" si="213">EF36/EA36-1</f>
        <v>-1.6592626527226484E-2</v>
      </c>
      <c r="EG37" s="43">
        <f>EG36/EB36-1</f>
        <v>-2.7661352998120337E-2</v>
      </c>
      <c r="EH37" s="43">
        <f>EH36/EC36-1</f>
        <v>1.5184556736093535E-2</v>
      </c>
      <c r="EI37" s="43">
        <f t="shared" ref="EI37:EJ37" si="214">EI36/ED36-1</f>
        <v>-5.0861984859329468E-3</v>
      </c>
      <c r="EJ37" s="43">
        <f t="shared" si="214"/>
        <v>1.8721439751406832E-2</v>
      </c>
      <c r="EK37" s="110">
        <f>EK36/EF36-1</f>
        <v>9.2872573826729976E-4</v>
      </c>
      <c r="EL37" s="800"/>
      <c r="EM37" s="800"/>
      <c r="EN37" s="800"/>
      <c r="EO37" s="800"/>
      <c r="EP37" s="484"/>
      <c r="EQ37" s="43">
        <f>EQ36/EL36-1</f>
        <v>4.1174854779058023E-5</v>
      </c>
      <c r="ER37" s="43">
        <f>ER36/EM36-1</f>
        <v>-8.5789162852500933E-3</v>
      </c>
      <c r="ES37" s="43">
        <f t="shared" ref="ES37" si="215">ES36/EN36-1</f>
        <v>1.545525754652699E-2</v>
      </c>
      <c r="ET37" s="43">
        <f t="shared" ref="ET37" si="216">ET36/EO36-1</f>
        <v>-7.2218956395450062E-3</v>
      </c>
      <c r="EU37" s="110">
        <f>EU36/EP36-1</f>
        <v>-3.0277544923351662E-5</v>
      </c>
      <c r="EV37" s="43"/>
      <c r="EW37" s="43"/>
      <c r="EX37" s="43"/>
      <c r="EY37" s="43"/>
      <c r="EZ37" s="110">
        <f>EZ36/EU36-1</f>
        <v>1.0846778489461695E-2</v>
      </c>
      <c r="FA37" s="43"/>
      <c r="FB37" s="43"/>
      <c r="FC37" s="43"/>
      <c r="FD37" s="43"/>
      <c r="FE37" s="110">
        <f>FE36/EZ36-1</f>
        <v>9.7129857858953006E-3</v>
      </c>
      <c r="FF37" s="43"/>
      <c r="FG37" s="435"/>
      <c r="FL37" s="408" t="s">
        <v>608</v>
      </c>
      <c r="FM37" s="408"/>
      <c r="FN37" s="515"/>
      <c r="FO37" s="369"/>
      <c r="FP37" s="369"/>
      <c r="FQ37" s="369"/>
      <c r="FR37" s="369"/>
      <c r="FS37" s="369"/>
      <c r="FT37" s="190"/>
    </row>
    <row r="38" spans="1:183" s="7" customFormat="1" ht="12.75" customHeight="1" x14ac:dyDescent="0.2">
      <c r="A38" s="7" t="s">
        <v>365</v>
      </c>
      <c r="F38" s="99"/>
      <c r="K38" s="99"/>
      <c r="P38" s="99"/>
      <c r="U38" s="99"/>
      <c r="Z38" s="99"/>
      <c r="AE38" s="99"/>
      <c r="AJ38" s="99"/>
      <c r="AO38" s="99"/>
      <c r="AT38" s="99"/>
      <c r="AY38" s="99"/>
      <c r="BD38" s="99"/>
      <c r="BI38" s="99"/>
      <c r="BN38" s="99"/>
      <c r="BS38" s="99"/>
      <c r="BX38" s="99"/>
      <c r="CC38" s="99"/>
      <c r="CH38" s="99"/>
      <c r="CM38" s="99"/>
      <c r="CR38" s="99"/>
      <c r="CW38" s="99"/>
      <c r="DB38" s="99"/>
      <c r="DG38" s="99"/>
      <c r="DL38" s="99"/>
      <c r="DQ38" s="99"/>
      <c r="DV38" s="99"/>
      <c r="EA38" s="99"/>
      <c r="EF38" s="99"/>
      <c r="EH38" s="893"/>
      <c r="EK38" s="99"/>
      <c r="EP38" s="99"/>
      <c r="EU38" s="99"/>
      <c r="EZ38" s="99"/>
      <c r="FE38" s="99"/>
      <c r="FF38" s="336"/>
      <c r="FG38" s="6"/>
      <c r="FH38" s="346"/>
      <c r="FI38" s="336"/>
      <c r="FJ38" s="336"/>
      <c r="FK38" s="336"/>
      <c r="FL38" s="412"/>
      <c r="FM38" s="412"/>
      <c r="FN38" s="774"/>
      <c r="FO38" s="373"/>
      <c r="FP38" s="373"/>
      <c r="FQ38" s="373"/>
      <c r="FR38" s="373"/>
      <c r="FS38" s="373"/>
      <c r="FT38" s="6"/>
      <c r="FU38"/>
      <c r="FV38"/>
      <c r="FW38"/>
      <c r="FX38"/>
      <c r="FY38"/>
      <c r="FZ38"/>
      <c r="GA38" s="341"/>
    </row>
    <row r="39" spans="1:183" ht="12.75" customHeight="1" x14ac:dyDescent="0.2">
      <c r="A39" s="8" t="s">
        <v>279</v>
      </c>
      <c r="B39" s="823">
        <v>83.9</v>
      </c>
      <c r="C39" s="823">
        <v>92.271000000000001</v>
      </c>
      <c r="D39" s="823">
        <v>92.905000000000001</v>
      </c>
      <c r="E39" s="823">
        <f>F39-SUM(B39:D39)</f>
        <v>88.281000000000006</v>
      </c>
      <c r="F39" s="10">
        <v>357.35700000000003</v>
      </c>
      <c r="G39" s="823">
        <v>94.531000000000006</v>
      </c>
      <c r="H39" s="823">
        <v>98.308000000000007</v>
      </c>
      <c r="I39" s="823">
        <v>107.693</v>
      </c>
      <c r="J39" s="823">
        <f>K39-SUM(G39:I39)</f>
        <v>113.91500000000002</v>
      </c>
      <c r="K39" s="10">
        <v>414.447</v>
      </c>
      <c r="L39" s="823">
        <v>117.60599999999999</v>
      </c>
      <c r="M39" s="823">
        <v>122.315</v>
      </c>
      <c r="N39" s="823">
        <v>129.178</v>
      </c>
      <c r="O39" s="823">
        <f>P39-SUM(L39:N39)</f>
        <v>143.88399999999996</v>
      </c>
      <c r="P39" s="10">
        <v>512.98299999999995</v>
      </c>
      <c r="Q39" s="823">
        <v>137.59899999999999</v>
      </c>
      <c r="R39" s="823">
        <v>150.114</v>
      </c>
      <c r="S39" s="823">
        <v>157.31899999999999</v>
      </c>
      <c r="T39" s="823">
        <f>U39-SUM(Q39:S39)</f>
        <v>196.71500000000003</v>
      </c>
      <c r="U39" s="10">
        <v>641.74699999999996</v>
      </c>
      <c r="V39" s="823">
        <v>177.91499999999999</v>
      </c>
      <c r="W39" s="823">
        <v>189.923</v>
      </c>
      <c r="X39" s="823">
        <v>195.79900000000001</v>
      </c>
      <c r="Y39" s="823">
        <v>192.386</v>
      </c>
      <c r="Z39" s="10">
        <f>SUM(V39:Y39)</f>
        <v>756.02299999999991</v>
      </c>
      <c r="AA39" s="823">
        <v>203.572</v>
      </c>
      <c r="AB39" s="823">
        <v>217.25800000000001</v>
      </c>
      <c r="AC39" s="823">
        <v>223.58500000000001</v>
      </c>
      <c r="AD39" s="823">
        <v>223.56899999999996</v>
      </c>
      <c r="AE39" s="10">
        <f>SUM(AA39:AD39)</f>
        <v>867.98400000000004</v>
      </c>
      <c r="AF39" s="823">
        <v>237.36500000000001</v>
      </c>
      <c r="AG39" s="823">
        <v>258.07799999999997</v>
      </c>
      <c r="AH39" s="823">
        <v>254.798</v>
      </c>
      <c r="AI39" s="823">
        <v>249.47800000000001</v>
      </c>
      <c r="AJ39" s="10">
        <f>SUM(AF39:AI39)</f>
        <v>999.71900000000005</v>
      </c>
      <c r="AK39" s="823">
        <v>265.79399999999998</v>
      </c>
      <c r="AL39" s="823">
        <v>282.637</v>
      </c>
      <c r="AM39" s="823">
        <v>293.03199999999998</v>
      </c>
      <c r="AN39" s="823">
        <v>295.07900000000001</v>
      </c>
      <c r="AO39" s="10">
        <f>SUM(AK39:AN39)</f>
        <v>1136.5419999999999</v>
      </c>
      <c r="AP39" s="823">
        <v>298.23200000000003</v>
      </c>
      <c r="AQ39" s="823">
        <v>320.53899999999999</v>
      </c>
      <c r="AR39" s="823">
        <v>335.654</v>
      </c>
      <c r="AS39" s="823">
        <v>331.517</v>
      </c>
      <c r="AT39" s="10">
        <f>SUM(AP39:AS39)</f>
        <v>1285.942</v>
      </c>
      <c r="AU39" s="823">
        <v>344.012</v>
      </c>
      <c r="AV39" s="823">
        <v>368.57299999999998</v>
      </c>
      <c r="AW39" s="823">
        <v>375.524</v>
      </c>
      <c r="AX39" s="823">
        <v>367.12799999999999</v>
      </c>
      <c r="AY39" s="10">
        <f>SUM(AU39:AX39)</f>
        <v>1455.2369999999999</v>
      </c>
      <c r="AZ39" s="823">
        <v>381.48899999999998</v>
      </c>
      <c r="BA39" s="823">
        <v>422.24700000000001</v>
      </c>
      <c r="BB39" s="823">
        <v>436.77600000000001</v>
      </c>
      <c r="BC39" s="823">
        <v>443.17700000000002</v>
      </c>
      <c r="BD39" s="10">
        <f>SUM(AZ39:BC39)</f>
        <v>1683.6889999999999</v>
      </c>
      <c r="BE39" s="823">
        <v>447.43099999999998</v>
      </c>
      <c r="BF39" s="823">
        <v>473.04199999999997</v>
      </c>
      <c r="BG39" s="823">
        <v>463.74700000000001</v>
      </c>
      <c r="BH39" s="823">
        <f>472.068</f>
        <v>472.06799999999998</v>
      </c>
      <c r="BI39" s="10">
        <f>SUM(BE39:BH39)</f>
        <v>1856.288</v>
      </c>
      <c r="BJ39" s="823">
        <v>461.65</v>
      </c>
      <c r="BK39" s="823">
        <f>501.252-6</f>
        <v>495.25200000000001</v>
      </c>
      <c r="BL39" s="823">
        <v>510.10599999999999</v>
      </c>
      <c r="BM39" s="823">
        <v>519.47699999999998</v>
      </c>
      <c r="BN39" s="10">
        <f>SUM(BJ39:BM39)</f>
        <v>1986.4850000000001</v>
      </c>
      <c r="BO39" s="823">
        <v>516</v>
      </c>
      <c r="BP39" s="823">
        <f>587-41</f>
        <v>546</v>
      </c>
      <c r="BQ39" s="823">
        <v>554</v>
      </c>
      <c r="BR39" s="823">
        <v>566</v>
      </c>
      <c r="BS39" s="10">
        <f>SUM(BO39:BR39)</f>
        <v>2182</v>
      </c>
      <c r="BT39" s="823">
        <f>589-15.3</f>
        <v>573.70000000000005</v>
      </c>
      <c r="BU39" s="823">
        <f>622-12-8</f>
        <v>602</v>
      </c>
      <c r="BV39" s="823">
        <v>612</v>
      </c>
      <c r="BW39" s="823">
        <v>619</v>
      </c>
      <c r="BX39" s="10">
        <f>SUM(BT39:BW39)</f>
        <v>2406.6999999999998</v>
      </c>
      <c r="BY39" s="823">
        <f>640+20</f>
        <v>660</v>
      </c>
      <c r="BZ39" s="823">
        <v>684</v>
      </c>
      <c r="CA39" s="823">
        <f>693+19</f>
        <v>712</v>
      </c>
      <c r="CB39" s="823">
        <f>702+23</f>
        <v>725</v>
      </c>
      <c r="CC39" s="10">
        <f>SUM(BY39:CB39)</f>
        <v>2781</v>
      </c>
      <c r="CD39" s="823">
        <v>716</v>
      </c>
      <c r="CE39" s="823">
        <v>786</v>
      </c>
      <c r="CF39" s="823">
        <v>771</v>
      </c>
      <c r="CG39" s="823">
        <v>779</v>
      </c>
      <c r="CH39" s="10">
        <f>SUM(CD39:CG39)</f>
        <v>3052</v>
      </c>
      <c r="CI39" s="823">
        <v>767</v>
      </c>
      <c r="CJ39" s="823">
        <v>814</v>
      </c>
      <c r="CK39" s="823">
        <f>832-25</f>
        <v>807</v>
      </c>
      <c r="CL39" s="823">
        <v>800</v>
      </c>
      <c r="CM39" s="10">
        <f>SUM(CI39:CL39)</f>
        <v>3188</v>
      </c>
      <c r="CN39" s="823">
        <v>800</v>
      </c>
      <c r="CO39" s="823">
        <v>839</v>
      </c>
      <c r="CP39" s="823">
        <v>856</v>
      </c>
      <c r="CQ39" s="823">
        <v>846</v>
      </c>
      <c r="CR39" s="10">
        <f>SUM(CN39:CQ39)</f>
        <v>3341</v>
      </c>
      <c r="CS39" s="823">
        <v>953.94799999999998</v>
      </c>
      <c r="CT39" s="823">
        <v>985.78399999999999</v>
      </c>
      <c r="CU39" s="823">
        <v>975.89499999999998</v>
      </c>
      <c r="CV39" s="823">
        <v>985.73900000000003</v>
      </c>
      <c r="CW39" s="10">
        <f>SUM(CS39:CV39)</f>
        <v>3901.366</v>
      </c>
      <c r="CX39" s="823">
        <v>994.101</v>
      </c>
      <c r="CY39" s="823">
        <v>1077</v>
      </c>
      <c r="CZ39" s="823">
        <v>1069</v>
      </c>
      <c r="DA39" s="823">
        <v>1091</v>
      </c>
      <c r="DB39" s="10">
        <f>SUM(CX39:DA39)</f>
        <v>4231.1010000000006</v>
      </c>
      <c r="DC39" s="823">
        <v>1100.1590000000001</v>
      </c>
      <c r="DD39" s="823">
        <v>1173</v>
      </c>
      <c r="DE39" s="823">
        <v>1146</v>
      </c>
      <c r="DF39" s="823">
        <v>1145</v>
      </c>
      <c r="DG39" s="10">
        <f>SUM(DC39:DF39)</f>
        <v>4564.1589999999997</v>
      </c>
      <c r="DH39" s="823">
        <v>1141</v>
      </c>
      <c r="DI39" s="823">
        <v>1222</v>
      </c>
      <c r="DJ39" s="823">
        <v>1189</v>
      </c>
      <c r="DK39" s="823">
        <v>1197</v>
      </c>
      <c r="DL39" s="10">
        <f>SUM(DH39:DK39)</f>
        <v>4749</v>
      </c>
      <c r="DM39" s="823">
        <v>1183</v>
      </c>
      <c r="DN39" s="823">
        <v>1298</v>
      </c>
      <c r="DO39" s="823">
        <v>1271</v>
      </c>
      <c r="DP39" s="823">
        <v>1284</v>
      </c>
      <c r="DQ39" s="10">
        <f>SUM(DM39:DP39)</f>
        <v>5036</v>
      </c>
      <c r="DR39" s="823">
        <v>1275</v>
      </c>
      <c r="DS39" s="823">
        <v>1406</v>
      </c>
      <c r="DT39" s="823">
        <v>1363</v>
      </c>
      <c r="DU39" s="823">
        <v>1390</v>
      </c>
      <c r="DV39" s="10">
        <f>SUM(DR39:DU39)</f>
        <v>5434</v>
      </c>
      <c r="DW39" s="823">
        <v>1419</v>
      </c>
      <c r="DX39" s="823">
        <v>1552</v>
      </c>
      <c r="DY39" s="823">
        <v>1559</v>
      </c>
      <c r="DZ39" s="823">
        <v>1520</v>
      </c>
      <c r="EA39" s="10">
        <f>SUM(DW39:DZ39)</f>
        <v>6050</v>
      </c>
      <c r="EB39" s="823">
        <v>1539</v>
      </c>
      <c r="EC39" s="823">
        <v>1639</v>
      </c>
      <c r="ED39" s="823">
        <v>1553</v>
      </c>
      <c r="EE39" s="823">
        <v>1709</v>
      </c>
      <c r="EF39" s="10">
        <f>SUM(EB39:EE39)</f>
        <v>6440</v>
      </c>
      <c r="EG39" s="823">
        <v>1733</v>
      </c>
      <c r="EH39" s="823">
        <v>1867</v>
      </c>
      <c r="EI39" s="823">
        <v>1795</v>
      </c>
      <c r="EJ39" s="823">
        <v>1924</v>
      </c>
      <c r="EK39" s="10">
        <f>SUM(EG39:EJ39)</f>
        <v>7319</v>
      </c>
      <c r="EL39" s="823">
        <f>1733-3</f>
        <v>1730</v>
      </c>
      <c r="EM39" s="823">
        <f>1867-4</f>
        <v>1863</v>
      </c>
      <c r="EN39" s="823">
        <f>1795-4</f>
        <v>1791</v>
      </c>
      <c r="EO39" s="823">
        <f>1924-3</f>
        <v>1921</v>
      </c>
      <c r="EP39" s="877">
        <f>SUM(EL39:EO39)</f>
        <v>7305</v>
      </c>
      <c r="EQ39" s="9">
        <f t="shared" ref="EQ39" si="217">EQ41+EQ43</f>
        <v>1812.1013494732003</v>
      </c>
      <c r="ER39" s="9">
        <f t="shared" ref="ER39:ET39" si="218">ER41+ER43</f>
        <v>1994.2694922079543</v>
      </c>
      <c r="ES39" s="9">
        <f t="shared" si="218"/>
        <v>1964.3583684950772</v>
      </c>
      <c r="ET39" s="9">
        <f t="shared" si="218"/>
        <v>2072.7588577572092</v>
      </c>
      <c r="EU39" s="10">
        <f>SUM(EQ39:ET39)</f>
        <v>7843.4880679334419</v>
      </c>
      <c r="EV39" s="9"/>
      <c r="EW39" s="9"/>
      <c r="EX39" s="9"/>
      <c r="EY39" s="9"/>
      <c r="EZ39" s="10">
        <f>EZ41+EZ43</f>
        <v>8430.5218055202622</v>
      </c>
      <c r="FA39" s="9"/>
      <c r="FB39" s="9"/>
      <c r="FC39" s="9"/>
      <c r="FD39" s="9"/>
      <c r="FE39" s="10">
        <f>FE41+FE43</f>
        <v>9133.6131144759638</v>
      </c>
      <c r="FF39" s="337"/>
      <c r="FG39" s="441"/>
      <c r="FH39" s="347"/>
      <c r="FI39" s="337"/>
      <c r="FJ39" s="337"/>
      <c r="FK39" s="337"/>
      <c r="FL39" s="408" t="s">
        <v>604</v>
      </c>
      <c r="FM39" s="408"/>
      <c r="FN39" s="408"/>
      <c r="FO39" s="408"/>
      <c r="FP39" s="408"/>
      <c r="FQ39" s="408"/>
      <c r="FR39" s="408"/>
      <c r="FS39" s="408"/>
      <c r="FT39" s="441"/>
      <c r="GA39" s="342"/>
    </row>
    <row r="40" spans="1:183" ht="12.75" customHeight="1" x14ac:dyDescent="0.2">
      <c r="A40" s="58" t="s">
        <v>244</v>
      </c>
      <c r="B40" s="43"/>
      <c r="C40" s="43"/>
      <c r="D40" s="43"/>
      <c r="E40" s="43"/>
      <c r="F40" s="244"/>
      <c r="G40" s="43">
        <f>G39/B39-1</f>
        <v>0.12671036948748515</v>
      </c>
      <c r="H40" s="43">
        <f>H39/C39-1</f>
        <v>6.5426840502433192E-2</v>
      </c>
      <c r="I40" s="43">
        <f>I39/D39-1</f>
        <v>0.15917334912006886</v>
      </c>
      <c r="J40" s="43">
        <f>J39/E39-1</f>
        <v>0.29036825591010529</v>
      </c>
      <c r="K40" s="244">
        <f t="shared" ref="K40:U40" si="219">K39/F39-1</f>
        <v>0.15975621017637809</v>
      </c>
      <c r="L40" s="43">
        <f t="shared" si="219"/>
        <v>0.24409981910695944</v>
      </c>
      <c r="M40" s="43">
        <f t="shared" si="219"/>
        <v>0.24420189608170229</v>
      </c>
      <c r="N40" s="43">
        <f t="shared" si="219"/>
        <v>0.19950228891385691</v>
      </c>
      <c r="O40" s="43">
        <f t="shared" si="219"/>
        <v>0.26308212263529773</v>
      </c>
      <c r="P40" s="244">
        <f t="shared" si="219"/>
        <v>0.23775295755548953</v>
      </c>
      <c r="Q40" s="43">
        <f t="shared" si="219"/>
        <v>0.16999982994064933</v>
      </c>
      <c r="R40" s="43">
        <f t="shared" si="219"/>
        <v>0.22727384212892954</v>
      </c>
      <c r="S40" s="43">
        <f t="shared" si="219"/>
        <v>0.21784669216120389</v>
      </c>
      <c r="T40" s="43">
        <f t="shared" si="219"/>
        <v>0.36717772650190494</v>
      </c>
      <c r="U40" s="244">
        <f t="shared" si="219"/>
        <v>0.25101026739677534</v>
      </c>
      <c r="V40" s="43">
        <f t="shared" ref="V40:BR40" si="220">V39/Q39-1</f>
        <v>0.2929963153801991</v>
      </c>
      <c r="W40" s="43">
        <f t="shared" si="220"/>
        <v>0.26519178757477646</v>
      </c>
      <c r="X40" s="43">
        <f t="shared" si="220"/>
        <v>0.24459855452933232</v>
      </c>
      <c r="Y40" s="43">
        <f t="shared" si="220"/>
        <v>-2.2006456040464806E-2</v>
      </c>
      <c r="Z40" s="244">
        <f t="shared" si="220"/>
        <v>0.17807017407171366</v>
      </c>
      <c r="AA40" s="43">
        <f t="shared" si="220"/>
        <v>0.14420931343619148</v>
      </c>
      <c r="AB40" s="43">
        <f t="shared" si="220"/>
        <v>0.14392674926154281</v>
      </c>
      <c r="AC40" s="43">
        <f t="shared" si="220"/>
        <v>0.14191083713399966</v>
      </c>
      <c r="AD40" s="43">
        <f t="shared" si="220"/>
        <v>0.16208559874419115</v>
      </c>
      <c r="AE40" s="244">
        <f t="shared" si="220"/>
        <v>0.14809205540043102</v>
      </c>
      <c r="AF40" s="43">
        <f t="shared" si="220"/>
        <v>0.16600023578881196</v>
      </c>
      <c r="AG40" s="43">
        <f t="shared" si="220"/>
        <v>0.18788721243866724</v>
      </c>
      <c r="AH40" s="43">
        <f t="shared" si="220"/>
        <v>0.13960238835342254</v>
      </c>
      <c r="AI40" s="43">
        <f t="shared" si="220"/>
        <v>0.11588815980748701</v>
      </c>
      <c r="AJ40" s="244">
        <f t="shared" si="220"/>
        <v>0.15177123080609789</v>
      </c>
      <c r="AK40" s="43">
        <f t="shared" si="220"/>
        <v>0.11976913192762195</v>
      </c>
      <c r="AL40" s="43">
        <f t="shared" si="220"/>
        <v>9.5161152829764672E-2</v>
      </c>
      <c r="AM40" s="43">
        <f t="shared" si="220"/>
        <v>0.15005612288950454</v>
      </c>
      <c r="AN40" s="43">
        <f t="shared" si="220"/>
        <v>0.18278565645066891</v>
      </c>
      <c r="AO40" s="244">
        <f t="shared" si="220"/>
        <v>0.13686145806971739</v>
      </c>
      <c r="AP40" s="43">
        <f t="shared" si="220"/>
        <v>0.12204188205903832</v>
      </c>
      <c r="AQ40" s="43">
        <f t="shared" si="220"/>
        <v>0.13410133846594752</v>
      </c>
      <c r="AR40" s="43">
        <f t="shared" si="220"/>
        <v>0.14545169128286339</v>
      </c>
      <c r="AS40" s="43">
        <f t="shared" si="220"/>
        <v>0.1234855750493935</v>
      </c>
      <c r="AT40" s="244">
        <f t="shared" si="220"/>
        <v>0.13145136739337393</v>
      </c>
      <c r="AU40" s="43">
        <f t="shared" si="220"/>
        <v>0.15350465409479863</v>
      </c>
      <c r="AV40" s="43">
        <f t="shared" si="220"/>
        <v>0.14985383993835377</v>
      </c>
      <c r="AW40" s="43">
        <f t="shared" si="220"/>
        <v>0.11878303252754319</v>
      </c>
      <c r="AX40" s="43">
        <f t="shared" si="220"/>
        <v>0.10741832243896998</v>
      </c>
      <c r="AY40" s="244">
        <f t="shared" si="220"/>
        <v>0.13165057210978404</v>
      </c>
      <c r="AZ40" s="43">
        <f t="shared" si="220"/>
        <v>0.10894096717556367</v>
      </c>
      <c r="BA40" s="43">
        <f t="shared" si="220"/>
        <v>0.14562651089472101</v>
      </c>
      <c r="BB40" s="43">
        <f t="shared" si="220"/>
        <v>0.16311074658344071</v>
      </c>
      <c r="BC40" s="43">
        <f t="shared" si="220"/>
        <v>0.20714573663681346</v>
      </c>
      <c r="BD40" s="244">
        <f t="shared" si="220"/>
        <v>0.15698611291494102</v>
      </c>
      <c r="BE40" s="43">
        <f t="shared" si="220"/>
        <v>0.17285426316355124</v>
      </c>
      <c r="BF40" s="43">
        <f t="shared" si="220"/>
        <v>0.12029688784052928</v>
      </c>
      <c r="BG40" s="43">
        <f t="shared" si="220"/>
        <v>6.1750187739253004E-2</v>
      </c>
      <c r="BH40" s="43">
        <f t="shared" si="220"/>
        <v>6.5190657457404155E-2</v>
      </c>
      <c r="BI40" s="244">
        <f t="shared" si="220"/>
        <v>0.1025123998553179</v>
      </c>
      <c r="BJ40" s="43">
        <f t="shared" si="220"/>
        <v>3.177920170931392E-2</v>
      </c>
      <c r="BK40" s="43">
        <f t="shared" si="220"/>
        <v>4.6951433487935512E-2</v>
      </c>
      <c r="BL40" s="43">
        <f t="shared" si="220"/>
        <v>9.9966145333554746E-2</v>
      </c>
      <c r="BM40" s="43">
        <f t="shared" si="220"/>
        <v>0.10042832812221958</v>
      </c>
      <c r="BN40" s="244">
        <f t="shared" si="220"/>
        <v>7.0138362150700795E-2</v>
      </c>
      <c r="BO40" s="43">
        <f t="shared" si="220"/>
        <v>0.11772988194519662</v>
      </c>
      <c r="BP40" s="43">
        <f t="shared" si="220"/>
        <v>0.10246904606139906</v>
      </c>
      <c r="BQ40" s="43">
        <f t="shared" si="220"/>
        <v>8.6048782017855041E-2</v>
      </c>
      <c r="BR40" s="43">
        <f t="shared" si="220"/>
        <v>8.9557381751261378E-2</v>
      </c>
      <c r="BS40" s="244">
        <f t="shared" ref="BS40:CT40" si="221">BS39/BN39-1</f>
        <v>9.8422590656360276E-2</v>
      </c>
      <c r="BT40" s="43">
        <f t="shared" si="221"/>
        <v>0.11182170542635661</v>
      </c>
      <c r="BU40" s="43">
        <f t="shared" si="221"/>
        <v>0.10256410256410264</v>
      </c>
      <c r="BV40" s="43">
        <f t="shared" si="221"/>
        <v>0.10469314079422376</v>
      </c>
      <c r="BW40" s="43">
        <f t="shared" si="221"/>
        <v>9.3639575971731448E-2</v>
      </c>
      <c r="BX40" s="244">
        <f t="shared" si="221"/>
        <v>0.10297891842346463</v>
      </c>
      <c r="BY40" s="43">
        <f t="shared" si="221"/>
        <v>0.15042705246644572</v>
      </c>
      <c r="BZ40" s="43">
        <f t="shared" si="221"/>
        <v>0.1362126245847175</v>
      </c>
      <c r="CA40" s="43">
        <f t="shared" si="221"/>
        <v>0.1633986928104576</v>
      </c>
      <c r="CB40" s="43">
        <f t="shared" si="221"/>
        <v>0.17124394184168024</v>
      </c>
      <c r="CC40" s="244">
        <f>CC39/BX39-1</f>
        <v>0.15552416171521188</v>
      </c>
      <c r="CD40" s="43">
        <f t="shared" si="221"/>
        <v>8.4848484848484951E-2</v>
      </c>
      <c r="CE40" s="43">
        <f t="shared" si="221"/>
        <v>0.14912280701754388</v>
      </c>
      <c r="CF40" s="43">
        <f t="shared" si="221"/>
        <v>8.2865168539325795E-2</v>
      </c>
      <c r="CG40" s="43">
        <f t="shared" si="221"/>
        <v>7.448275862068976E-2</v>
      </c>
      <c r="CH40" s="244">
        <f>CH39/CC39-1</f>
        <v>9.7446961524631392E-2</v>
      </c>
      <c r="CI40" s="43">
        <f t="shared" si="221"/>
        <v>7.1229050279329575E-2</v>
      </c>
      <c r="CJ40" s="43">
        <f t="shared" si="221"/>
        <v>3.5623409669211181E-2</v>
      </c>
      <c r="CK40" s="43">
        <f t="shared" si="221"/>
        <v>4.6692607003891107E-2</v>
      </c>
      <c r="CL40" s="43">
        <f t="shared" si="221"/>
        <v>2.695763799743256E-2</v>
      </c>
      <c r="CM40" s="244">
        <f>CM39/CH39-1</f>
        <v>4.4560943643512374E-2</v>
      </c>
      <c r="CN40" s="43">
        <f t="shared" si="221"/>
        <v>4.3024771838331199E-2</v>
      </c>
      <c r="CO40" s="43">
        <f t="shared" si="221"/>
        <v>3.0712530712530661E-2</v>
      </c>
      <c r="CP40" s="43">
        <f t="shared" si="221"/>
        <v>6.0718711276332105E-2</v>
      </c>
      <c r="CQ40" s="43">
        <f t="shared" si="221"/>
        <v>5.7500000000000107E-2</v>
      </c>
      <c r="CR40" s="110">
        <f t="shared" ref="CR40:CW40" si="222">CR39/CM39-1</f>
        <v>4.7992471769134237E-2</v>
      </c>
      <c r="CS40" s="43">
        <f t="shared" si="221"/>
        <v>0.19243499999999991</v>
      </c>
      <c r="CT40" s="43">
        <f t="shared" si="221"/>
        <v>0.17495113230035764</v>
      </c>
      <c r="CU40" s="43">
        <f t="shared" si="222"/>
        <v>0.14006425233644859</v>
      </c>
      <c r="CV40" s="43">
        <f t="shared" si="222"/>
        <v>0.16517612293144213</v>
      </c>
      <c r="CW40" s="110">
        <f t="shared" si="222"/>
        <v>0.16772403472014363</v>
      </c>
      <c r="CX40" s="43">
        <f t="shared" ref="CX40:DT40" si="223">CX39/CS39-1</f>
        <v>4.2091392822250384E-2</v>
      </c>
      <c r="CY40" s="43">
        <f t="shared" si="223"/>
        <v>9.2531426762860747E-2</v>
      </c>
      <c r="CZ40" s="43">
        <f t="shared" si="223"/>
        <v>9.5404731041761615E-2</v>
      </c>
      <c r="DA40" s="43">
        <f t="shared" si="223"/>
        <v>0.10678384440506061</v>
      </c>
      <c r="DB40" s="110">
        <f t="shared" si="223"/>
        <v>8.4517832984652097E-2</v>
      </c>
      <c r="DC40" s="43">
        <f>DC39/CX39-1</f>
        <v>0.10668734866980323</v>
      </c>
      <c r="DD40" s="43">
        <f t="shared" si="223"/>
        <v>8.9136490250696365E-2</v>
      </c>
      <c r="DE40" s="43">
        <f t="shared" si="223"/>
        <v>7.2029934518241356E-2</v>
      </c>
      <c r="DF40" s="43">
        <f t="shared" si="223"/>
        <v>4.9495875343721352E-2</v>
      </c>
      <c r="DG40" s="110">
        <f t="shared" si="223"/>
        <v>7.8716627185217103E-2</v>
      </c>
      <c r="DH40" s="43">
        <f t="shared" si="223"/>
        <v>3.7122815883885885E-2</v>
      </c>
      <c r="DI40" s="43">
        <f t="shared" si="223"/>
        <v>4.1773231031543068E-2</v>
      </c>
      <c r="DJ40" s="43">
        <f t="shared" si="223"/>
        <v>3.7521815008725978E-2</v>
      </c>
      <c r="DK40" s="43">
        <f t="shared" si="223"/>
        <v>4.5414847161572069E-2</v>
      </c>
      <c r="DL40" s="110">
        <f t="shared" si="223"/>
        <v>4.0498370017346019E-2</v>
      </c>
      <c r="DM40" s="43">
        <f t="shared" si="223"/>
        <v>3.6809815950920255E-2</v>
      </c>
      <c r="DN40" s="43">
        <f t="shared" si="223"/>
        <v>6.2193126022913159E-2</v>
      </c>
      <c r="DO40" s="43">
        <f t="shared" si="223"/>
        <v>6.8965517241379226E-2</v>
      </c>
      <c r="DP40" s="43">
        <f t="shared" si="223"/>
        <v>7.268170426065157E-2</v>
      </c>
      <c r="DQ40" s="110">
        <f>DQ39/DL39-1</f>
        <v>6.0433775531690825E-2</v>
      </c>
      <c r="DR40" s="43">
        <f t="shared" si="223"/>
        <v>7.7768385460693201E-2</v>
      </c>
      <c r="DS40" s="43">
        <f t="shared" si="223"/>
        <v>8.3204930662557741E-2</v>
      </c>
      <c r="DT40" s="43">
        <f t="shared" si="223"/>
        <v>7.2383949645947965E-2</v>
      </c>
      <c r="DU40" s="43">
        <f>DU39/DP39-1</f>
        <v>8.255451713395634E-2</v>
      </c>
      <c r="DV40" s="110">
        <f>DV39/DQ39-1</f>
        <v>7.9030976965845934E-2</v>
      </c>
      <c r="DW40" s="43">
        <f>DW39/DR39-1</f>
        <v>0.11294117647058832</v>
      </c>
      <c r="DX40" s="43">
        <f>DX39/DS39-1</f>
        <v>0.10384068278805114</v>
      </c>
      <c r="DY40" s="43">
        <f>DY39/DT39-1</f>
        <v>0.14380044020542915</v>
      </c>
      <c r="DZ40" s="43">
        <f t="shared" ref="DZ40:EA40" si="224">DZ39/DU39-1</f>
        <v>9.3525179856115193E-2</v>
      </c>
      <c r="EA40" s="110">
        <f t="shared" si="224"/>
        <v>0.11336032388663964</v>
      </c>
      <c r="EB40" s="43">
        <f>EB39/DW39-1</f>
        <v>8.4566596194503241E-2</v>
      </c>
      <c r="EC40" s="43">
        <f>EC39/DX39-1</f>
        <v>5.6056701030927858E-2</v>
      </c>
      <c r="ED40" s="43">
        <f>ED39/DY39-1</f>
        <v>-3.8486209108402614E-3</v>
      </c>
      <c r="EE40" s="43">
        <f t="shared" ref="EE40:EF40" si="225">EE39/DZ39-1</f>
        <v>0.12434210526315792</v>
      </c>
      <c r="EF40" s="110">
        <f t="shared" si="225"/>
        <v>6.4462809917355424E-2</v>
      </c>
      <c r="EG40" s="43">
        <f>EG39/EB39-1</f>
        <v>0.12605588044184546</v>
      </c>
      <c r="EH40" s="43">
        <f>EH39/EC39-1</f>
        <v>0.13910921293471623</v>
      </c>
      <c r="EI40" s="43">
        <f>EI39/ED39-1</f>
        <v>0.15582743077913719</v>
      </c>
      <c r="EJ40" s="43">
        <f t="shared" ref="EJ40" si="226">EJ39/EE39-1</f>
        <v>0.12580456407255713</v>
      </c>
      <c r="EK40" s="110">
        <f t="shared" ref="EK40" si="227">EK39/EF39-1</f>
        <v>0.13649068322981361</v>
      </c>
      <c r="EL40" s="800"/>
      <c r="EM40" s="800"/>
      <c r="EN40" s="800"/>
      <c r="EO40" s="800"/>
      <c r="EP40" s="484"/>
      <c r="EQ40" s="43">
        <f>EQ39/EL39-1</f>
        <v>4.745742744115633E-2</v>
      </c>
      <c r="ER40" s="43">
        <f>ER39/EM39-1</f>
        <v>7.0461348474478935E-2</v>
      </c>
      <c r="ES40" s="43">
        <f>ES39/EN39-1</f>
        <v>9.679417559747483E-2</v>
      </c>
      <c r="ET40" s="43">
        <f t="shared" ref="ET40" si="228">ET39/EO39-1</f>
        <v>7.8999925953778805E-2</v>
      </c>
      <c r="EU40" s="110">
        <f t="shared" ref="EU40" si="229">EU39/EP39-1</f>
        <v>7.3714999032640893E-2</v>
      </c>
      <c r="EV40" s="43"/>
      <c r="EW40" s="43"/>
      <c r="EX40" s="43"/>
      <c r="EY40" s="43"/>
      <c r="EZ40" s="110">
        <f>EZ39/EU39-1</f>
        <v>7.4843453894803735E-2</v>
      </c>
      <c r="FA40" s="43"/>
      <c r="FB40" s="43"/>
      <c r="FC40" s="43"/>
      <c r="FD40" s="43"/>
      <c r="FE40" s="110">
        <f>FE39/EZ39-1</f>
        <v>8.3398314502350468E-2</v>
      </c>
      <c r="FF40" s="43"/>
      <c r="FG40" s="435"/>
      <c r="FL40" s="408"/>
      <c r="FM40" s="408"/>
      <c r="FN40" s="408"/>
      <c r="FO40" s="726"/>
      <c r="FP40" s="726"/>
      <c r="FQ40" s="727"/>
      <c r="FR40" s="727"/>
      <c r="FS40" s="369"/>
      <c r="FT40" s="190"/>
    </row>
    <row r="41" spans="1:183" ht="12.75" customHeight="1" x14ac:dyDescent="0.2">
      <c r="A41" s="517" t="s">
        <v>116</v>
      </c>
      <c r="B41" s="825"/>
      <c r="C41" s="825"/>
      <c r="D41" s="825"/>
      <c r="E41" s="825"/>
      <c r="F41" s="264"/>
      <c r="G41" s="825"/>
      <c r="H41" s="825"/>
      <c r="I41" s="825"/>
      <c r="J41" s="825"/>
      <c r="K41" s="264"/>
      <c r="L41" s="825"/>
      <c r="M41" s="825"/>
      <c r="N41" s="825"/>
      <c r="O41" s="825"/>
      <c r="P41" s="264"/>
      <c r="Q41" s="825"/>
      <c r="R41" s="825"/>
      <c r="S41" s="825"/>
      <c r="T41" s="825"/>
      <c r="U41" s="264"/>
      <c r="V41" s="825"/>
      <c r="W41" s="825"/>
      <c r="X41" s="825"/>
      <c r="Y41" s="825"/>
      <c r="Z41" s="264"/>
      <c r="AA41" s="825"/>
      <c r="AB41" s="825"/>
      <c r="AC41" s="825"/>
      <c r="AD41" s="825"/>
      <c r="AE41" s="264"/>
      <c r="AF41" s="825"/>
      <c r="AG41" s="825"/>
      <c r="AH41" s="825"/>
      <c r="AI41" s="825"/>
      <c r="AJ41" s="264"/>
      <c r="AK41" s="825"/>
      <c r="AL41" s="825"/>
      <c r="AM41" s="825"/>
      <c r="AN41" s="825"/>
      <c r="AO41" s="264"/>
      <c r="AP41" s="825"/>
      <c r="AQ41" s="825"/>
      <c r="AR41" s="825"/>
      <c r="AS41" s="825"/>
      <c r="AT41" s="264"/>
      <c r="AU41" s="825"/>
      <c r="AV41" s="825"/>
      <c r="AW41" s="825"/>
      <c r="AX41" s="825"/>
      <c r="AY41" s="264"/>
      <c r="AZ41" s="825"/>
      <c r="BA41" s="825"/>
      <c r="BB41" s="825"/>
      <c r="BC41" s="825"/>
      <c r="BD41" s="264"/>
      <c r="BE41" s="825"/>
      <c r="BF41" s="825"/>
      <c r="BG41" s="825"/>
      <c r="BH41" s="825"/>
      <c r="BI41" s="264"/>
      <c r="BJ41" s="825"/>
      <c r="BK41" s="825"/>
      <c r="BL41" s="825"/>
      <c r="BM41" s="825"/>
      <c r="BN41" s="264"/>
      <c r="BO41" s="825"/>
      <c r="BP41" s="825"/>
      <c r="BQ41" s="825"/>
      <c r="BR41" s="825"/>
      <c r="BS41" s="264"/>
      <c r="BT41" s="825"/>
      <c r="BU41" s="825"/>
      <c r="BV41" s="825"/>
      <c r="BW41" s="825"/>
      <c r="BX41" s="264"/>
      <c r="BY41" s="825"/>
      <c r="BZ41" s="825"/>
      <c r="CA41" s="825"/>
      <c r="CB41" s="825"/>
      <c r="CC41" s="264"/>
      <c r="CD41" s="825"/>
      <c r="CE41" s="825"/>
      <c r="CF41" s="825"/>
      <c r="CG41" s="825"/>
      <c r="CH41" s="264"/>
      <c r="CI41" s="825"/>
      <c r="CJ41" s="825"/>
      <c r="CK41" s="825"/>
      <c r="CL41" s="825"/>
      <c r="CM41" s="264"/>
      <c r="CN41" s="825"/>
      <c r="CO41" s="825"/>
      <c r="CP41" s="825"/>
      <c r="CQ41" s="825"/>
      <c r="CR41" s="267"/>
      <c r="CS41" s="825"/>
      <c r="CT41" s="825"/>
      <c r="CU41" s="825"/>
      <c r="CV41" s="825"/>
      <c r="CW41" s="267"/>
      <c r="CX41" s="825"/>
      <c r="CY41" s="825"/>
      <c r="CZ41" s="825"/>
      <c r="DA41" s="825"/>
      <c r="DB41" s="267"/>
      <c r="DC41" s="825">
        <v>5</v>
      </c>
      <c r="DD41" s="825">
        <v>33</v>
      </c>
      <c r="DE41" s="825">
        <v>36</v>
      </c>
      <c r="DF41" s="825">
        <v>19</v>
      </c>
      <c r="DG41" s="267">
        <f>SUM(DC41:DF41)</f>
        <v>93</v>
      </c>
      <c r="DH41" s="825">
        <v>0</v>
      </c>
      <c r="DI41" s="825">
        <v>73</v>
      </c>
      <c r="DJ41" s="825">
        <v>29</v>
      </c>
      <c r="DK41" s="825">
        <v>19</v>
      </c>
      <c r="DL41" s="267">
        <f>SUM(DH41:DK41)</f>
        <v>121</v>
      </c>
      <c r="DM41" s="825">
        <v>15</v>
      </c>
      <c r="DN41" s="825">
        <v>78</v>
      </c>
      <c r="DO41" s="825">
        <v>69</v>
      </c>
      <c r="DP41" s="825">
        <v>66</v>
      </c>
      <c r="DQ41" s="267">
        <f>SUM(DM41:DP41)</f>
        <v>228</v>
      </c>
      <c r="DR41" s="825">
        <v>29</v>
      </c>
      <c r="DS41" s="825">
        <v>127</v>
      </c>
      <c r="DT41" s="825">
        <v>100</v>
      </c>
      <c r="DU41" s="825">
        <v>100</v>
      </c>
      <c r="DV41" s="267">
        <f>SUM(DR41:DU41)</f>
        <v>356</v>
      </c>
      <c r="DW41" s="825">
        <v>126</v>
      </c>
      <c r="DX41" s="825">
        <v>182</v>
      </c>
      <c r="DY41" s="825">
        <v>177</v>
      </c>
      <c r="DZ41" s="825">
        <v>136</v>
      </c>
      <c r="EA41" s="267">
        <f>SUM(DW41:DZ41)</f>
        <v>621</v>
      </c>
      <c r="EB41" s="825">
        <v>155</v>
      </c>
      <c r="EC41" s="825">
        <v>206</v>
      </c>
      <c r="ED41" s="825">
        <v>101</v>
      </c>
      <c r="EE41" s="825">
        <v>123</v>
      </c>
      <c r="EF41" s="267">
        <f>SUM(EB41:EE41)</f>
        <v>585</v>
      </c>
      <c r="EG41" s="825">
        <v>99</v>
      </c>
      <c r="EH41" s="825">
        <v>202</v>
      </c>
      <c r="EI41" s="825">
        <v>127</v>
      </c>
      <c r="EJ41" s="825">
        <v>115</v>
      </c>
      <c r="EK41" s="267">
        <f>SUM(EG41:EJ41)</f>
        <v>543</v>
      </c>
      <c r="EL41" s="825">
        <v>99</v>
      </c>
      <c r="EM41" s="825">
        <v>202</v>
      </c>
      <c r="EN41" s="825">
        <v>127</v>
      </c>
      <c r="EO41" s="825">
        <v>115</v>
      </c>
      <c r="EP41" s="267">
        <f>SUM(EL41:EO41)</f>
        <v>543</v>
      </c>
      <c r="EQ41" s="167">
        <v>100</v>
      </c>
      <c r="ER41" s="167">
        <v>204</v>
      </c>
      <c r="ES41" s="167">
        <v>170</v>
      </c>
      <c r="ET41" s="167">
        <v>159</v>
      </c>
      <c r="EU41" s="267">
        <f>SUM(EQ41:ET41)</f>
        <v>633</v>
      </c>
      <c r="EV41" s="167"/>
      <c r="EW41" s="167"/>
      <c r="EX41" s="167"/>
      <c r="EY41" s="167"/>
      <c r="EZ41" s="521">
        <v>732</v>
      </c>
      <c r="FA41" s="167"/>
      <c r="FB41" s="167"/>
      <c r="FC41" s="167"/>
      <c r="FD41" s="167"/>
      <c r="FE41" s="521">
        <v>836</v>
      </c>
      <c r="FF41" s="43"/>
      <c r="FG41" s="435"/>
      <c r="FL41" s="408"/>
      <c r="FM41" s="780" t="s">
        <v>548</v>
      </c>
      <c r="FN41" s="584"/>
      <c r="FO41" s="584"/>
      <c r="FP41" s="584"/>
      <c r="FQ41" s="584"/>
      <c r="FS41" s="781"/>
      <c r="FT41" s="190"/>
    </row>
    <row r="42" spans="1:183" ht="12.75" customHeight="1" x14ac:dyDescent="0.2">
      <c r="A42" s="518" t="s">
        <v>276</v>
      </c>
      <c r="B42" s="528"/>
      <c r="C42" s="528"/>
      <c r="D42" s="528"/>
      <c r="E42" s="528"/>
      <c r="F42" s="264"/>
      <c r="G42" s="528"/>
      <c r="H42" s="528"/>
      <c r="I42" s="528"/>
      <c r="J42" s="528"/>
      <c r="K42" s="264"/>
      <c r="L42" s="528"/>
      <c r="M42" s="528"/>
      <c r="N42" s="528"/>
      <c r="O42" s="528"/>
      <c r="P42" s="264"/>
      <c r="Q42" s="528"/>
      <c r="R42" s="528"/>
      <c r="S42" s="528"/>
      <c r="T42" s="528"/>
      <c r="U42" s="264"/>
      <c r="V42" s="528"/>
      <c r="W42" s="528"/>
      <c r="X42" s="528"/>
      <c r="Y42" s="528"/>
      <c r="Z42" s="264"/>
      <c r="AA42" s="528"/>
      <c r="AB42" s="528"/>
      <c r="AC42" s="528"/>
      <c r="AD42" s="528"/>
      <c r="AE42" s="264"/>
      <c r="AF42" s="528"/>
      <c r="AG42" s="528"/>
      <c r="AH42" s="528"/>
      <c r="AI42" s="528"/>
      <c r="AJ42" s="264"/>
      <c r="AK42" s="528"/>
      <c r="AL42" s="528"/>
      <c r="AM42" s="528"/>
      <c r="AN42" s="528"/>
      <c r="AO42" s="264"/>
      <c r="AP42" s="528"/>
      <c r="AQ42" s="528"/>
      <c r="AR42" s="528"/>
      <c r="AS42" s="528"/>
      <c r="AT42" s="264"/>
      <c r="AU42" s="528"/>
      <c r="AV42" s="528"/>
      <c r="AW42" s="528"/>
      <c r="AX42" s="528"/>
      <c r="AY42" s="264"/>
      <c r="AZ42" s="528"/>
      <c r="BA42" s="528"/>
      <c r="BB42" s="528"/>
      <c r="BC42" s="528"/>
      <c r="BD42" s="264"/>
      <c r="BE42" s="528"/>
      <c r="BF42" s="528"/>
      <c r="BG42" s="528"/>
      <c r="BH42" s="528"/>
      <c r="BI42" s="264"/>
      <c r="BJ42" s="528"/>
      <c r="BK42" s="528"/>
      <c r="BL42" s="528"/>
      <c r="BM42" s="528"/>
      <c r="BN42" s="264"/>
      <c r="BO42" s="528"/>
      <c r="BP42" s="528"/>
      <c r="BQ42" s="528"/>
      <c r="BR42" s="528"/>
      <c r="BS42" s="264"/>
      <c r="BT42" s="528"/>
      <c r="BU42" s="528"/>
      <c r="BV42" s="528"/>
      <c r="BW42" s="528"/>
      <c r="BX42" s="264"/>
      <c r="BY42" s="528"/>
      <c r="BZ42" s="528"/>
      <c r="CA42" s="528"/>
      <c r="CB42" s="528"/>
      <c r="CC42" s="264"/>
      <c r="CD42" s="528"/>
      <c r="CE42" s="528"/>
      <c r="CF42" s="528"/>
      <c r="CG42" s="528"/>
      <c r="CH42" s="264"/>
      <c r="CI42" s="528"/>
      <c r="CJ42" s="528"/>
      <c r="CK42" s="528"/>
      <c r="CL42" s="528"/>
      <c r="CM42" s="264"/>
      <c r="CN42" s="528"/>
      <c r="CO42" s="528"/>
      <c r="CP42" s="528"/>
      <c r="CQ42" s="528"/>
      <c r="CR42" s="267"/>
      <c r="CS42" s="528"/>
      <c r="CT42" s="528"/>
      <c r="CU42" s="528"/>
      <c r="CV42" s="528"/>
      <c r="CW42" s="267"/>
      <c r="CX42" s="528"/>
      <c r="CY42" s="528"/>
      <c r="CZ42" s="528"/>
      <c r="DA42" s="528"/>
      <c r="DB42" s="267"/>
      <c r="DC42" s="528">
        <f>IF(DC140&gt;0,DC140*0.15,0)</f>
        <v>0</v>
      </c>
      <c r="DD42" s="528">
        <f>IF((SUM(DC140:DD140)+SUM(DC41:DD41))&gt;0,(SUM(DC140:DD140)+SUM(DC41:DD41))*0.15-SUM(DC42),IF((SUM(DC140:DD140)+SUM(DC41:DD41))&lt;0,-SUM(DC42),0))</f>
        <v>36.451049999999988</v>
      </c>
      <c r="DE42" s="528">
        <f>IF((SUM(DC140:DE140)+SUM(DC41:DE41))&gt;0,(SUM(DC140:DE140)+SUM(DC41:DE41))*0.15-SUM(DC42:DD42),IF((SUM(DC140:DE140)+SUM(DC41:DE41))&lt;0,-SUM(DC42:DD42),0))</f>
        <v>35.85</v>
      </c>
      <c r="DF42" s="528">
        <f>IF((SUM(DC140:DF140)+SUM(DC41:DF41))&gt;0,(SUM(DC140:DF140)+SUM(DC41:DF41))*0.15-SUM(DC42:DE42),IF((SUM(DC140:DF140)+SUM(DC41:DF41))&lt;0,-SUM(DC42:DE42),0))</f>
        <v>18.900000000000006</v>
      </c>
      <c r="DG42" s="520">
        <f>SUM(DC42:DF42)</f>
        <v>91.201049999999995</v>
      </c>
      <c r="DH42" s="528">
        <v>0</v>
      </c>
      <c r="DI42" s="528">
        <v>73</v>
      </c>
      <c r="DJ42" s="528">
        <v>29</v>
      </c>
      <c r="DK42" s="528">
        <v>19</v>
      </c>
      <c r="DL42" s="520">
        <f>SUM(DH42:DK42)</f>
        <v>121</v>
      </c>
      <c r="DM42" s="528">
        <v>15</v>
      </c>
      <c r="DN42" s="528">
        <v>78</v>
      </c>
      <c r="DO42" s="528">
        <v>69</v>
      </c>
      <c r="DP42" s="528">
        <f>DP41</f>
        <v>66</v>
      </c>
      <c r="DQ42" s="520">
        <f>SUM(DM42:DP42)</f>
        <v>228</v>
      </c>
      <c r="DR42" s="528">
        <f>DR41</f>
        <v>29</v>
      </c>
      <c r="DS42" s="528">
        <f>DS41</f>
        <v>127</v>
      </c>
      <c r="DT42" s="528">
        <f>DT41</f>
        <v>100</v>
      </c>
      <c r="DU42" s="528">
        <f>DU41</f>
        <v>100</v>
      </c>
      <c r="DV42" s="520">
        <f>SUM(DR42:DU42)</f>
        <v>356</v>
      </c>
      <c r="DW42" s="528">
        <f>DW41</f>
        <v>126</v>
      </c>
      <c r="DX42" s="528">
        <f>DX41</f>
        <v>182</v>
      </c>
      <c r="DY42" s="528">
        <f>DY41</f>
        <v>177</v>
      </c>
      <c r="DZ42" s="528">
        <f>DZ41</f>
        <v>136</v>
      </c>
      <c r="EA42" s="520">
        <f>SUM(DW42:DZ42)</f>
        <v>621</v>
      </c>
      <c r="EB42" s="528">
        <f>EB41</f>
        <v>155</v>
      </c>
      <c r="EC42" s="528">
        <f>EC41</f>
        <v>206</v>
      </c>
      <c r="ED42" s="528">
        <f>ED41</f>
        <v>101</v>
      </c>
      <c r="EE42" s="528">
        <f>EE41</f>
        <v>123</v>
      </c>
      <c r="EF42" s="520">
        <f>SUM(EB42:EE42)</f>
        <v>585</v>
      </c>
      <c r="EG42" s="528">
        <f>EG41</f>
        <v>99</v>
      </c>
      <c r="EH42" s="528">
        <f>EH41</f>
        <v>202</v>
      </c>
      <c r="EI42" s="528">
        <f>EI41</f>
        <v>127</v>
      </c>
      <c r="EJ42" s="528">
        <f>EJ41</f>
        <v>115</v>
      </c>
      <c r="EK42" s="520">
        <f>SUM(EG42:EJ42)</f>
        <v>543</v>
      </c>
      <c r="EL42" s="528">
        <f>EL41</f>
        <v>99</v>
      </c>
      <c r="EM42" s="528">
        <f>EM41</f>
        <v>202</v>
      </c>
      <c r="EN42" s="528">
        <f>EN41</f>
        <v>127</v>
      </c>
      <c r="EO42" s="528">
        <f>EO41</f>
        <v>115</v>
      </c>
      <c r="EP42" s="520">
        <f>SUM(EL42:EO42)</f>
        <v>543</v>
      </c>
      <c r="EQ42" s="519">
        <f>IF((EQ140+EQ41)&gt;0,(EQ140+EQ41)*0.15,0)</f>
        <v>99.722863372123442</v>
      </c>
      <c r="ER42" s="519">
        <f>IF((ER140+ER41)&gt;0,(ER140+ER41)*0.15,0)</f>
        <v>203.61880123830079</v>
      </c>
      <c r="ES42" s="519">
        <f>IF((ES140+ES41)&gt;0,(ES140+ES41)*0.15,0)</f>
        <v>169.97962956244768</v>
      </c>
      <c r="ET42" s="519">
        <f>IF((ET140+ET41)&gt;0,(ET140+ET41)*0.15,0)</f>
        <v>158.76564844761737</v>
      </c>
      <c r="EU42" s="520">
        <f>SUM(EQ42:ET42)</f>
        <v>632.08694262048925</v>
      </c>
      <c r="EV42" s="519"/>
      <c r="EW42" s="519"/>
      <c r="EX42" s="519"/>
      <c r="EY42" s="519"/>
      <c r="EZ42" s="520">
        <f>IF((EZ140+EZ41)&gt;0,(EZ140+EZ41)*0.15,0)</f>
        <v>731.73444096618368</v>
      </c>
      <c r="FA42" s="519"/>
      <c r="FB42" s="519"/>
      <c r="FC42" s="519"/>
      <c r="FD42" s="519"/>
      <c r="FE42" s="520">
        <f>IF((FE140+FE41)&gt;0,(FE140+FE41)*0.15,0)</f>
        <v>836.27544601877105</v>
      </c>
      <c r="FF42" s="43"/>
      <c r="FG42" s="435"/>
      <c r="FL42" s="408"/>
      <c r="FM42" s="406"/>
      <c r="FN42" s="760">
        <v>2017</v>
      </c>
      <c r="FO42" s="760">
        <v>2018</v>
      </c>
      <c r="FP42" s="760">
        <v>2019</v>
      </c>
      <c r="FQ42" s="760">
        <v>2020</v>
      </c>
      <c r="FR42" s="760">
        <v>2021</v>
      </c>
      <c r="FS42" s="781"/>
      <c r="FT42" s="190"/>
    </row>
    <row r="43" spans="1:183" ht="12.75" customHeight="1" x14ac:dyDescent="0.2">
      <c r="A43" s="517" t="s">
        <v>117</v>
      </c>
      <c r="B43" s="166"/>
      <c r="C43" s="166"/>
      <c r="D43" s="166"/>
      <c r="E43" s="166"/>
      <c r="F43" s="264"/>
      <c r="G43" s="166"/>
      <c r="H43" s="166"/>
      <c r="I43" s="166"/>
      <c r="J43" s="166"/>
      <c r="K43" s="264"/>
      <c r="L43" s="166"/>
      <c r="M43" s="166"/>
      <c r="N43" s="166"/>
      <c r="O43" s="166"/>
      <c r="P43" s="264"/>
      <c r="Q43" s="166"/>
      <c r="R43" s="166"/>
      <c r="S43" s="166"/>
      <c r="T43" s="166"/>
      <c r="U43" s="264"/>
      <c r="V43" s="166"/>
      <c r="W43" s="166"/>
      <c r="X43" s="166"/>
      <c r="Y43" s="166"/>
      <c r="Z43" s="264"/>
      <c r="AA43" s="166"/>
      <c r="AB43" s="166"/>
      <c r="AC43" s="166"/>
      <c r="AD43" s="166"/>
      <c r="AE43" s="264"/>
      <c r="AF43" s="166"/>
      <c r="AG43" s="166"/>
      <c r="AH43" s="166"/>
      <c r="AI43" s="166"/>
      <c r="AJ43" s="264"/>
      <c r="AK43" s="166"/>
      <c r="AL43" s="166"/>
      <c r="AM43" s="166"/>
      <c r="AN43" s="166"/>
      <c r="AO43" s="264"/>
      <c r="AP43" s="166"/>
      <c r="AQ43" s="166"/>
      <c r="AR43" s="166"/>
      <c r="AS43" s="166"/>
      <c r="AT43" s="264"/>
      <c r="AU43" s="166"/>
      <c r="AV43" s="166"/>
      <c r="AW43" s="166"/>
      <c r="AX43" s="166"/>
      <c r="AY43" s="264"/>
      <c r="AZ43" s="166"/>
      <c r="BA43" s="166"/>
      <c r="BB43" s="166"/>
      <c r="BC43" s="166"/>
      <c r="BD43" s="264"/>
      <c r="BE43" s="166"/>
      <c r="BF43" s="166"/>
      <c r="BG43" s="166"/>
      <c r="BH43" s="166"/>
      <c r="BI43" s="264"/>
      <c r="BJ43" s="166"/>
      <c r="BK43" s="166"/>
      <c r="BL43" s="166"/>
      <c r="BM43" s="166"/>
      <c r="BN43" s="264"/>
      <c r="BO43" s="166"/>
      <c r="BP43" s="166"/>
      <c r="BQ43" s="166"/>
      <c r="BR43" s="166"/>
      <c r="BS43" s="264"/>
      <c r="BT43" s="166"/>
      <c r="BU43" s="166"/>
      <c r="BV43" s="166"/>
      <c r="BW43" s="166"/>
      <c r="BX43" s="264"/>
      <c r="BY43" s="166"/>
      <c r="BZ43" s="166"/>
      <c r="CA43" s="166"/>
      <c r="CB43" s="166"/>
      <c r="CC43" s="264"/>
      <c r="CD43" s="166"/>
      <c r="CE43" s="166"/>
      <c r="CF43" s="166"/>
      <c r="CG43" s="166"/>
      <c r="CH43" s="264"/>
      <c r="CI43" s="166"/>
      <c r="CJ43" s="166"/>
      <c r="CK43" s="166"/>
      <c r="CL43" s="166"/>
      <c r="CM43" s="264"/>
      <c r="CN43" s="166"/>
      <c r="CO43" s="166"/>
      <c r="CP43" s="166"/>
      <c r="CQ43" s="166"/>
      <c r="CR43" s="267"/>
      <c r="CS43" s="166"/>
      <c r="CT43" s="166"/>
      <c r="CU43" s="166"/>
      <c r="CV43" s="166"/>
      <c r="CW43" s="267"/>
      <c r="CX43" s="166"/>
      <c r="CY43" s="166"/>
      <c r="CZ43" s="166"/>
      <c r="DA43" s="166"/>
      <c r="DB43" s="267"/>
      <c r="DC43" s="166">
        <f>DC39-DC41</f>
        <v>1095.1590000000001</v>
      </c>
      <c r="DD43" s="166">
        <f>DD39-DD41</f>
        <v>1140</v>
      </c>
      <c r="DE43" s="166">
        <f>DE39-DE41</f>
        <v>1110</v>
      </c>
      <c r="DF43" s="166">
        <f>DF39-DF41</f>
        <v>1126</v>
      </c>
      <c r="DG43" s="267">
        <f>SUM(DC43:DF43)</f>
        <v>4471.1589999999997</v>
      </c>
      <c r="DH43" s="166">
        <f>DH39-DH41</f>
        <v>1141</v>
      </c>
      <c r="DI43" s="166">
        <f>DI39-DI41</f>
        <v>1149</v>
      </c>
      <c r="DJ43" s="166">
        <f>DJ39-DJ41</f>
        <v>1160</v>
      </c>
      <c r="DK43" s="166">
        <f>DK39-DK41</f>
        <v>1178</v>
      </c>
      <c r="DL43" s="267">
        <f>SUM(DH43:DK43)</f>
        <v>4628</v>
      </c>
      <c r="DM43" s="166">
        <f>DM39-DM41</f>
        <v>1168</v>
      </c>
      <c r="DN43" s="166">
        <f>DN39-DN41</f>
        <v>1220</v>
      </c>
      <c r="DO43" s="166">
        <f>DO39-DO41</f>
        <v>1202</v>
      </c>
      <c r="DP43" s="166">
        <f>DP39-DP41</f>
        <v>1218</v>
      </c>
      <c r="DQ43" s="267">
        <f>SUM(DM43:DP43)</f>
        <v>4808</v>
      </c>
      <c r="DR43" s="166">
        <f>DR39-DR41</f>
        <v>1246</v>
      </c>
      <c r="DS43" s="166">
        <f>DS39-DS41</f>
        <v>1279</v>
      </c>
      <c r="DT43" s="166">
        <f>DT39-DT41</f>
        <v>1263</v>
      </c>
      <c r="DU43" s="166">
        <f>DU39-DU41</f>
        <v>1290</v>
      </c>
      <c r="DV43" s="267">
        <f>SUM(DR43:DU43)</f>
        <v>5078</v>
      </c>
      <c r="DW43" s="166">
        <f>DW39-DW41</f>
        <v>1293</v>
      </c>
      <c r="DX43" s="166">
        <f>DX39-DX41</f>
        <v>1370</v>
      </c>
      <c r="DY43" s="166">
        <f>DY39-DY41</f>
        <v>1382</v>
      </c>
      <c r="DZ43" s="166">
        <f>DZ39-DZ41</f>
        <v>1384</v>
      </c>
      <c r="EA43" s="267">
        <f>SUM(DW43:DZ43)</f>
        <v>5429</v>
      </c>
      <c r="EB43" s="166">
        <f>EB39-EB41</f>
        <v>1384</v>
      </c>
      <c r="EC43" s="166">
        <f>EC39-EC41</f>
        <v>1433</v>
      </c>
      <c r="ED43" s="166">
        <f>ED39-ED41</f>
        <v>1452</v>
      </c>
      <c r="EE43" s="166">
        <f>EE39-EE41</f>
        <v>1586</v>
      </c>
      <c r="EF43" s="267">
        <f>SUM(EB43:EE43)</f>
        <v>5855</v>
      </c>
      <c r="EG43" s="166">
        <f>EG39-EG41</f>
        <v>1634</v>
      </c>
      <c r="EH43" s="166">
        <f>EH39-EH41</f>
        <v>1665</v>
      </c>
      <c r="EI43" s="166">
        <f>EI39-EI41</f>
        <v>1668</v>
      </c>
      <c r="EJ43" s="166">
        <f>EJ39-EJ41</f>
        <v>1809</v>
      </c>
      <c r="EK43" s="267">
        <f>SUM(EG43:EJ43)</f>
        <v>6776</v>
      </c>
      <c r="EL43" s="166">
        <f>EL39-EL41</f>
        <v>1631</v>
      </c>
      <c r="EM43" s="166">
        <f>EM39-EM41</f>
        <v>1661</v>
      </c>
      <c r="EN43" s="166">
        <f>EN39-EN41</f>
        <v>1664</v>
      </c>
      <c r="EO43" s="166">
        <f>EO39-EO41</f>
        <v>1806</v>
      </c>
      <c r="EP43" s="267">
        <f>SUM(EL43:EO43)</f>
        <v>6762</v>
      </c>
      <c r="EQ43" s="166">
        <f t="shared" ref="EQ43" si="230">(EQ48*(EQ52/4))/1000000</f>
        <v>1712.1013494732003</v>
      </c>
      <c r="ER43" s="166">
        <f t="shared" ref="ER43:ET43" si="231">(ER48*(ER52/4))/1000000</f>
        <v>1790.2694922079543</v>
      </c>
      <c r="ES43" s="166">
        <f t="shared" si="231"/>
        <v>1794.3583684950772</v>
      </c>
      <c r="ET43" s="166">
        <f t="shared" si="231"/>
        <v>1913.7588577572092</v>
      </c>
      <c r="EU43" s="267">
        <f>SUM(EQ43:ET43)</f>
        <v>7210.4880679334419</v>
      </c>
      <c r="EV43" s="166"/>
      <c r="EW43" s="166"/>
      <c r="EX43" s="166"/>
      <c r="EY43" s="166"/>
      <c r="EZ43" s="267">
        <f>(EZ48*(EZ52))/1000000</f>
        <v>7698.5218055202622</v>
      </c>
      <c r="FA43" s="166"/>
      <c r="FB43" s="166"/>
      <c r="FC43" s="166"/>
      <c r="FD43" s="166"/>
      <c r="FE43" s="267">
        <f>(FE48*(FE52))/1000000</f>
        <v>8297.6131144759638</v>
      </c>
      <c r="FF43" s="43"/>
      <c r="FG43" s="435"/>
      <c r="FL43" s="408"/>
      <c r="FM43" s="406"/>
      <c r="FN43" s="584"/>
      <c r="FO43" s="584" t="s">
        <v>550</v>
      </c>
      <c r="FP43" s="584"/>
      <c r="FQ43" s="584" t="s">
        <v>542</v>
      </c>
      <c r="FR43" s="584" t="s">
        <v>557</v>
      </c>
      <c r="FS43" s="781"/>
      <c r="FT43" s="190"/>
    </row>
    <row r="44" spans="1:183" ht="12.75" customHeight="1" x14ac:dyDescent="0.2">
      <c r="A44" s="58" t="s">
        <v>244</v>
      </c>
      <c r="B44" s="43"/>
      <c r="C44" s="43"/>
      <c r="D44" s="43"/>
      <c r="E44" s="43"/>
      <c r="F44" s="244"/>
      <c r="G44" s="43"/>
      <c r="H44" s="43"/>
      <c r="I44" s="43"/>
      <c r="J44" s="43"/>
      <c r="K44" s="244"/>
      <c r="L44" s="43"/>
      <c r="M44" s="43"/>
      <c r="N44" s="43"/>
      <c r="O44" s="43"/>
      <c r="P44" s="244"/>
      <c r="Q44" s="43"/>
      <c r="R44" s="43"/>
      <c r="S44" s="43"/>
      <c r="T44" s="43"/>
      <c r="U44" s="244"/>
      <c r="V44" s="43"/>
      <c r="W44" s="43"/>
      <c r="X44" s="43"/>
      <c r="Y44" s="43"/>
      <c r="Z44" s="244"/>
      <c r="AA44" s="43"/>
      <c r="AB44" s="43"/>
      <c r="AC44" s="43"/>
      <c r="AD44" s="43"/>
      <c r="AE44" s="244"/>
      <c r="AF44" s="43"/>
      <c r="AG44" s="43"/>
      <c r="AH44" s="43"/>
      <c r="AI44" s="43"/>
      <c r="AJ44" s="244"/>
      <c r="AK44" s="43"/>
      <c r="AL44" s="43"/>
      <c r="AM44" s="43"/>
      <c r="AN44" s="43"/>
      <c r="AO44" s="244"/>
      <c r="AP44" s="43"/>
      <c r="AQ44" s="43"/>
      <c r="AR44" s="43"/>
      <c r="AS44" s="43"/>
      <c r="AT44" s="244"/>
      <c r="AU44" s="43"/>
      <c r="AV44" s="43"/>
      <c r="AW44" s="43"/>
      <c r="AX44" s="43"/>
      <c r="AY44" s="244"/>
      <c r="AZ44" s="43"/>
      <c r="BA44" s="43"/>
      <c r="BB44" s="43"/>
      <c r="BC44" s="43"/>
      <c r="BD44" s="244"/>
      <c r="BE44" s="43"/>
      <c r="BF44" s="43"/>
      <c r="BG44" s="43"/>
      <c r="BH44" s="43"/>
      <c r="BI44" s="244"/>
      <c r="BJ44" s="43"/>
      <c r="BK44" s="43"/>
      <c r="BL44" s="43"/>
      <c r="BM44" s="43"/>
      <c r="BN44" s="244"/>
      <c r="BO44" s="43"/>
      <c r="BP44" s="43"/>
      <c r="BQ44" s="43"/>
      <c r="BR44" s="43"/>
      <c r="BS44" s="244"/>
      <c r="BT44" s="43"/>
      <c r="BU44" s="43"/>
      <c r="BV44" s="43"/>
      <c r="BW44" s="43"/>
      <c r="BX44" s="244"/>
      <c r="BY44" s="43"/>
      <c r="BZ44" s="43"/>
      <c r="CA44" s="43"/>
      <c r="CB44" s="43"/>
      <c r="CC44" s="244"/>
      <c r="CD44" s="43"/>
      <c r="CE44" s="43"/>
      <c r="CF44" s="43"/>
      <c r="CG44" s="43"/>
      <c r="CH44" s="244"/>
      <c r="CI44" s="43"/>
      <c r="CJ44" s="43"/>
      <c r="CK44" s="43"/>
      <c r="CL44" s="43"/>
      <c r="CM44" s="244"/>
      <c r="CN44" s="43"/>
      <c r="CO44" s="43"/>
      <c r="CP44" s="43"/>
      <c r="CQ44" s="43"/>
      <c r="CR44" s="110"/>
      <c r="CS44" s="43"/>
      <c r="CT44" s="43"/>
      <c r="CU44" s="43"/>
      <c r="CV44" s="43"/>
      <c r="CW44" s="110"/>
      <c r="CX44" s="43"/>
      <c r="CY44" s="43"/>
      <c r="CZ44" s="43"/>
      <c r="DA44" s="43"/>
      <c r="DB44" s="110"/>
      <c r="DC44" s="43"/>
      <c r="DD44" s="43"/>
      <c r="DE44" s="43"/>
      <c r="DF44" s="43"/>
      <c r="DG44" s="110"/>
      <c r="DH44" s="43">
        <f t="shared" ref="DH44:DT44" si="232">DH43/DC43-1</f>
        <v>4.1857848951613263E-2</v>
      </c>
      <c r="DI44" s="43">
        <f t="shared" si="232"/>
        <v>7.8947368421051767E-3</v>
      </c>
      <c r="DJ44" s="43">
        <f t="shared" si="232"/>
        <v>4.5045045045045029E-2</v>
      </c>
      <c r="DK44" s="43">
        <f t="shared" si="232"/>
        <v>4.6181172291296591E-2</v>
      </c>
      <c r="DL44" s="110"/>
      <c r="DM44" s="43">
        <f t="shared" si="232"/>
        <v>2.3663453111305799E-2</v>
      </c>
      <c r="DN44" s="43">
        <f t="shared" si="232"/>
        <v>6.1792863359442896E-2</v>
      </c>
      <c r="DO44" s="43">
        <f t="shared" si="232"/>
        <v>3.6206896551724155E-2</v>
      </c>
      <c r="DP44" s="43">
        <f t="shared" si="232"/>
        <v>3.395585738539908E-2</v>
      </c>
      <c r="DQ44" s="110">
        <f t="shared" si="232"/>
        <v>3.8893690579083762E-2</v>
      </c>
      <c r="DR44" s="43">
        <f t="shared" si="232"/>
        <v>6.678082191780832E-2</v>
      </c>
      <c r="DS44" s="43">
        <f t="shared" si="232"/>
        <v>4.8360655737704983E-2</v>
      </c>
      <c r="DT44" s="43">
        <f t="shared" si="232"/>
        <v>5.0748752079866843E-2</v>
      </c>
      <c r="DU44" s="43">
        <f>DU43/DP43-1</f>
        <v>5.9113300492610765E-2</v>
      </c>
      <c r="DV44" s="110">
        <f>DV43/DQ43-1</f>
        <v>5.6156405990016589E-2</v>
      </c>
      <c r="DW44" s="43">
        <f>DW43/DR43-1</f>
        <v>3.7720706260032211E-2</v>
      </c>
      <c r="DX44" s="43">
        <f>DX43/DS43-1</f>
        <v>7.114933541829549E-2</v>
      </c>
      <c r="DY44" s="43">
        <f>DY43/DT43-1</f>
        <v>9.4220110847189176E-2</v>
      </c>
      <c r="DZ44" s="43">
        <f t="shared" ref="DZ44:EA44" si="233">DZ43/DU43-1</f>
        <v>7.2868217054263607E-2</v>
      </c>
      <c r="EA44" s="110">
        <f t="shared" si="233"/>
        <v>6.9121701457266704E-2</v>
      </c>
      <c r="EB44" s="43">
        <f>EB43/DW43-1</f>
        <v>7.0378963650425286E-2</v>
      </c>
      <c r="EC44" s="43">
        <f>EC43/DX43-1</f>
        <v>4.598540145985397E-2</v>
      </c>
      <c r="ED44" s="43">
        <f>ED43/DY43-1</f>
        <v>5.0651230101302458E-2</v>
      </c>
      <c r="EE44" s="43">
        <f t="shared" ref="EE44:EF44" si="234">EE43/DZ43-1</f>
        <v>0.14595375722543347</v>
      </c>
      <c r="EF44" s="110">
        <f t="shared" si="234"/>
        <v>7.8467489408730939E-2</v>
      </c>
      <c r="EG44" s="43">
        <f>EG43/EB43-1</f>
        <v>0.18063583815028905</v>
      </c>
      <c r="EH44" s="43">
        <f>EH43/EC43-1</f>
        <v>0.1618981158408932</v>
      </c>
      <c r="EI44" s="43">
        <f>EI43/ED43-1</f>
        <v>0.14876033057851235</v>
      </c>
      <c r="EJ44" s="43">
        <f t="shared" ref="EJ44" si="235">EJ43/EE43-1</f>
        <v>0.14060529634300134</v>
      </c>
      <c r="EK44" s="110">
        <f t="shared" ref="EK44" si="236">EK43/EF43-1</f>
        <v>0.15730145175064059</v>
      </c>
      <c r="EL44" s="800"/>
      <c r="EM44" s="800"/>
      <c r="EN44" s="800"/>
      <c r="EO44" s="800"/>
      <c r="EP44" s="484"/>
      <c r="EQ44" s="43">
        <f>EQ43/EL43-1</f>
        <v>4.9724923036910118E-2</v>
      </c>
      <c r="ER44" s="43">
        <f>ER43/EM43-1</f>
        <v>7.7826304760959752E-2</v>
      </c>
      <c r="ES44" s="43">
        <f>ES43/EN43-1</f>
        <v>7.8340365682137758E-2</v>
      </c>
      <c r="ET44" s="43">
        <f t="shared" ref="ET44" si="237">ET43/EO43-1</f>
        <v>5.9667141615287411E-2</v>
      </c>
      <c r="EU44" s="110">
        <f t="shared" ref="EU44" si="238">EU43/EP43-1</f>
        <v>6.6324766035705807E-2</v>
      </c>
      <c r="EV44" s="43"/>
      <c r="EW44" s="43"/>
      <c r="EX44" s="43"/>
      <c r="EY44" s="43"/>
      <c r="EZ44" s="110">
        <f>EZ43/EU43-1</f>
        <v>6.7683870077700936E-2</v>
      </c>
      <c r="FA44" s="43"/>
      <c r="FB44" s="43"/>
      <c r="FC44" s="43"/>
      <c r="FD44" s="43"/>
      <c r="FE44" s="110">
        <f>FE43/EZ43-1</f>
        <v>7.7819005270092223E-2</v>
      </c>
      <c r="FF44" s="43"/>
      <c r="FG44" s="435"/>
      <c r="FL44" s="408"/>
      <c r="FM44" s="406"/>
      <c r="FN44" s="726"/>
      <c r="FO44" s="584" t="s">
        <v>560</v>
      </c>
      <c r="FP44" s="584"/>
      <c r="FQ44" s="584"/>
      <c r="FR44" s="584" t="s">
        <v>561</v>
      </c>
      <c r="FS44" s="781"/>
      <c r="FT44" s="190"/>
    </row>
    <row r="45" spans="1:183" ht="12.75" customHeight="1" x14ac:dyDescent="0.2">
      <c r="A45" s="81" t="s">
        <v>85</v>
      </c>
      <c r="B45" s="523">
        <f t="shared" ref="B45:AG45" si="239">(B39/B$8)*100</f>
        <v>2.1781520703218602</v>
      </c>
      <c r="C45" s="523">
        <f t="shared" si="239"/>
        <v>2.2452003795897513</v>
      </c>
      <c r="D45" s="523">
        <f t="shared" si="239"/>
        <v>2.1810129215126448</v>
      </c>
      <c r="E45" s="523">
        <f t="shared" si="239"/>
        <v>2.1070416591882011</v>
      </c>
      <c r="F45" s="251">
        <f t="shared" si="239"/>
        <v>2.1775302896847655</v>
      </c>
      <c r="G45" s="523">
        <f t="shared" si="239"/>
        <v>2.195099636452805</v>
      </c>
      <c r="H45" s="523">
        <f t="shared" si="239"/>
        <v>2.1578552269404851</v>
      </c>
      <c r="I45" s="523">
        <f t="shared" si="239"/>
        <v>2.2189026946894308</v>
      </c>
      <c r="J45" s="523">
        <f t="shared" si="239"/>
        <v>2.3855085720412488</v>
      </c>
      <c r="K45" s="251">
        <f t="shared" si="239"/>
        <v>2.2413440741965158</v>
      </c>
      <c r="L45" s="523">
        <f t="shared" si="239"/>
        <v>2.3786942969466285</v>
      </c>
      <c r="M45" s="523">
        <f t="shared" si="239"/>
        <v>2.3764638086409904</v>
      </c>
      <c r="N45" s="523">
        <f t="shared" si="239"/>
        <v>2.2764564621401524</v>
      </c>
      <c r="O45" s="523">
        <f t="shared" si="239"/>
        <v>2.5688768546309286</v>
      </c>
      <c r="P45" s="251">
        <f t="shared" si="239"/>
        <v>2.4008592459217502</v>
      </c>
      <c r="Q45" s="523">
        <f t="shared" si="239"/>
        <v>2.4264088306405465</v>
      </c>
      <c r="R45" s="523">
        <f t="shared" si="239"/>
        <v>2.4650062514347759</v>
      </c>
      <c r="S45" s="523">
        <f t="shared" si="239"/>
        <v>2.4150972477357167</v>
      </c>
      <c r="T45" s="523">
        <f t="shared" si="239"/>
        <v>2.1297972949197872</v>
      </c>
      <c r="U45" s="251">
        <f t="shared" si="239"/>
        <v>2.3326923775944164</v>
      </c>
      <c r="V45" s="523">
        <f t="shared" si="239"/>
        <v>2.3593828883970716</v>
      </c>
      <c r="W45" s="523">
        <f t="shared" si="239"/>
        <v>2.4369241555264773</v>
      </c>
      <c r="X45" s="523">
        <f t="shared" si="239"/>
        <v>2.3594212182460113</v>
      </c>
      <c r="Y45" s="523">
        <f t="shared" si="239"/>
        <v>2.2657440036442975</v>
      </c>
      <c r="Z45" s="251">
        <f t="shared" si="239"/>
        <v>2.3534541523411763</v>
      </c>
      <c r="AA45" s="523">
        <f t="shared" si="239"/>
        <v>2.3884069832734545</v>
      </c>
      <c r="AB45" s="523">
        <f t="shared" si="239"/>
        <v>2.4345745489703501</v>
      </c>
      <c r="AC45" s="523">
        <f t="shared" si="239"/>
        <v>2.4259151120129698</v>
      </c>
      <c r="AD45" s="523">
        <f t="shared" si="239"/>
        <v>2.3493313880357891</v>
      </c>
      <c r="AE45" s="251">
        <f t="shared" si="239"/>
        <v>2.3990712438067647</v>
      </c>
      <c r="AF45" s="523">
        <f t="shared" si="239"/>
        <v>2.461934222643738</v>
      </c>
      <c r="AG45" s="523">
        <f t="shared" si="239"/>
        <v>2.5387709569749357</v>
      </c>
      <c r="AH45" s="523">
        <f t="shared" ref="AH45:BM45" si="240">(AH39/AH$8)*100</f>
        <v>2.4313192252733229</v>
      </c>
      <c r="AI45" s="523">
        <f t="shared" si="240"/>
        <v>2.3894536020573907</v>
      </c>
      <c r="AJ45" s="251">
        <f t="shared" si="240"/>
        <v>2.4546537910077699</v>
      </c>
      <c r="AK45" s="523">
        <f t="shared" si="240"/>
        <v>2.5271270585069741</v>
      </c>
      <c r="AL45" s="523">
        <f t="shared" si="240"/>
        <v>2.5738247693377212</v>
      </c>
      <c r="AM45" s="523">
        <f t="shared" si="240"/>
        <v>2.5498484441618934</v>
      </c>
      <c r="AN45" s="523">
        <f t="shared" si="240"/>
        <v>2.5666806013157717</v>
      </c>
      <c r="AO45" s="251">
        <f t="shared" si="240"/>
        <v>2.5547447634556733</v>
      </c>
      <c r="AP45" s="523">
        <f t="shared" si="240"/>
        <v>2.6462058172305061</v>
      </c>
      <c r="AQ45" s="523">
        <f t="shared" si="240"/>
        <v>2.7366310919451662</v>
      </c>
      <c r="AR45" s="523">
        <f t="shared" si="240"/>
        <v>2.733356346510698</v>
      </c>
      <c r="AS45" s="523">
        <f t="shared" si="240"/>
        <v>2.6995366236676555</v>
      </c>
      <c r="AT45" s="251">
        <f t="shared" si="240"/>
        <v>2.7047684631647448</v>
      </c>
      <c r="AU45" s="523">
        <f t="shared" si="240"/>
        <v>2.7758622665189918</v>
      </c>
      <c r="AV45" s="523">
        <f t="shared" si="240"/>
        <v>2.8466038478306954</v>
      </c>
      <c r="AW45" s="523">
        <f t="shared" si="240"/>
        <v>2.7571496286933166</v>
      </c>
      <c r="AX45" s="523">
        <f t="shared" si="240"/>
        <v>2.6422225622407907</v>
      </c>
      <c r="AY45" s="251">
        <f t="shared" si="240"/>
        <v>2.7532383736198942</v>
      </c>
      <c r="AZ45" s="523">
        <f t="shared" si="240"/>
        <v>2.6952812283828149</v>
      </c>
      <c r="BA45" s="523">
        <f t="shared" si="240"/>
        <v>2.8637071221665122</v>
      </c>
      <c r="BB45" s="523">
        <f t="shared" si="240"/>
        <v>2.8528156250922581</v>
      </c>
      <c r="BC45" s="523">
        <f t="shared" si="240"/>
        <v>2.8226234309010509</v>
      </c>
      <c r="BD45" s="251">
        <f t="shared" si="240"/>
        <v>2.8103654740848958</v>
      </c>
      <c r="BE45" s="523">
        <f t="shared" si="240"/>
        <v>2.8223744920440605</v>
      </c>
      <c r="BF45" s="523">
        <f t="shared" si="240"/>
        <v>2.8784682310431964</v>
      </c>
      <c r="BG45" s="523">
        <f t="shared" si="240"/>
        <v>2.846676665344245</v>
      </c>
      <c r="BH45" s="523">
        <f t="shared" si="240"/>
        <v>2.8254585022678218</v>
      </c>
      <c r="BI45" s="251">
        <f t="shared" si="240"/>
        <v>2.8433480191326401</v>
      </c>
      <c r="BJ45" s="523">
        <f t="shared" si="240"/>
        <v>2.7944987992402162</v>
      </c>
      <c r="BK45" s="523">
        <f t="shared" si="240"/>
        <v>2.8839201356790869</v>
      </c>
      <c r="BL45" s="523">
        <f t="shared" si="240"/>
        <v>2.8965021159377629</v>
      </c>
      <c r="BM45" s="523">
        <f t="shared" si="240"/>
        <v>2.9544931042660898</v>
      </c>
      <c r="BN45" s="251">
        <f t="shared" ref="BN45:CS45" si="241">(BN39/BN$8)*100</f>
        <v>2.8837053319526285</v>
      </c>
      <c r="BO45" s="523">
        <f t="shared" si="241"/>
        <v>2.9656651837574421</v>
      </c>
      <c r="BP45" s="523">
        <f t="shared" si="241"/>
        <v>3.0513421853925098</v>
      </c>
      <c r="BQ45" s="523">
        <f t="shared" si="241"/>
        <v>3.0432275086672931</v>
      </c>
      <c r="BR45" s="523">
        <f t="shared" si="241"/>
        <v>3.0940507799331241</v>
      </c>
      <c r="BS45" s="251">
        <f t="shared" si="241"/>
        <v>3.0394025387090267</v>
      </c>
      <c r="BT45" s="523">
        <f t="shared" si="241"/>
        <v>3.1210571967868725</v>
      </c>
      <c r="BU45" s="523">
        <f t="shared" si="241"/>
        <v>3.2066439105033138</v>
      </c>
      <c r="BV45" s="523">
        <f t="shared" si="241"/>
        <v>3.1406998105265074</v>
      </c>
      <c r="BW45" s="523">
        <f t="shared" si="241"/>
        <v>3.0613137625539211</v>
      </c>
      <c r="BX45" s="251">
        <f t="shared" si="241"/>
        <v>3.1312249309776123</v>
      </c>
      <c r="BY45" s="523">
        <f t="shared" si="241"/>
        <v>3.2622236136649407</v>
      </c>
      <c r="BZ45" s="523">
        <f t="shared" si="241"/>
        <v>3.2054093813897304</v>
      </c>
      <c r="CA45" s="523">
        <f t="shared" si="241"/>
        <v>3.2580475719789419</v>
      </c>
      <c r="CB45" s="523">
        <f t="shared" si="241"/>
        <v>3.333534264984892</v>
      </c>
      <c r="CC45" s="251">
        <f t="shared" si="241"/>
        <v>3.2651270866477962</v>
      </c>
      <c r="CD45" s="523">
        <f t="shared" si="241"/>
        <v>3.2428332253445715</v>
      </c>
      <c r="CE45" s="523">
        <f t="shared" si="241"/>
        <v>3.4347166122821968</v>
      </c>
      <c r="CF45" s="523">
        <f t="shared" si="241"/>
        <v>3.2415912555237911</v>
      </c>
      <c r="CG45" s="523">
        <f t="shared" si="241"/>
        <v>3.2573544603364408</v>
      </c>
      <c r="CH45" s="251">
        <f t="shared" si="241"/>
        <v>3.2936494618088288</v>
      </c>
      <c r="CI45" s="523">
        <f t="shared" si="241"/>
        <v>3.2392424210173876</v>
      </c>
      <c r="CJ45" s="523">
        <f t="shared" si="241"/>
        <v>3.2582578423544382</v>
      </c>
      <c r="CK45" s="523">
        <f t="shared" si="241"/>
        <v>3.1381293723581822</v>
      </c>
      <c r="CL45" s="523">
        <f t="shared" si="241"/>
        <v>3.1671931993394189</v>
      </c>
      <c r="CM45" s="251">
        <f t="shared" si="241"/>
        <v>3.1996477737803257</v>
      </c>
      <c r="CN45" s="523">
        <f t="shared" si="241"/>
        <v>3.1754301725485092</v>
      </c>
      <c r="CO45" s="523">
        <f t="shared" si="241"/>
        <v>3.1858640289180764</v>
      </c>
      <c r="CP45" s="523">
        <f t="shared" si="241"/>
        <v>3.2563581248322606</v>
      </c>
      <c r="CQ45" s="523">
        <f t="shared" si="241"/>
        <v>3.3234094598375394</v>
      </c>
      <c r="CR45" s="306">
        <f t="shared" si="241"/>
        <v>3.2351666037692564</v>
      </c>
      <c r="CS45" s="523">
        <f t="shared" si="241"/>
        <v>3.2304306083797938</v>
      </c>
      <c r="CT45" s="523">
        <f t="shared" ref="CT45:DB45" si="242">(CT39/CT$8)*100</f>
        <v>3.1273058425638949</v>
      </c>
      <c r="CU45" s="523">
        <f t="shared" si="242"/>
        <v>3.1539499361288739</v>
      </c>
      <c r="CV45" s="523">
        <f t="shared" si="242"/>
        <v>3.3640916383669146</v>
      </c>
      <c r="CW45" s="306">
        <f t="shared" si="242"/>
        <v>3.2164100040242158</v>
      </c>
      <c r="CX45" s="523">
        <f t="shared" si="242"/>
        <v>3.5122378808306411</v>
      </c>
      <c r="CY45" s="523">
        <f t="shared" si="242"/>
        <v>3.3950284930209311</v>
      </c>
      <c r="CZ45" s="523">
        <f t="shared" si="242"/>
        <v>3.359612163103419</v>
      </c>
      <c r="DA45" s="523">
        <f t="shared" si="242"/>
        <v>3.562284271199085</v>
      </c>
      <c r="DB45" s="306">
        <f t="shared" si="242"/>
        <v>3.4547400379976412</v>
      </c>
      <c r="DC45" s="523">
        <f t="shared" ref="DC45:DU45" si="243">(DC43/DC$8)*100</f>
        <v>3.6170780564413461</v>
      </c>
      <c r="DD45" s="523">
        <f t="shared" si="243"/>
        <v>3.3889230671359036</v>
      </c>
      <c r="DE45" s="523">
        <f t="shared" si="243"/>
        <v>3.3315236056905904</v>
      </c>
      <c r="DF45" s="523">
        <f t="shared" si="243"/>
        <v>3.5977244360990297</v>
      </c>
      <c r="DG45" s="524">
        <f t="shared" si="243"/>
        <v>3.4786320507238249</v>
      </c>
      <c r="DH45" s="523">
        <f t="shared" si="243"/>
        <v>3.724754302507439</v>
      </c>
      <c r="DI45" s="523">
        <f t="shared" si="243"/>
        <v>3.4576576418792935</v>
      </c>
      <c r="DJ45" s="523">
        <f t="shared" si="243"/>
        <v>3.5065650000618183</v>
      </c>
      <c r="DK45" s="523">
        <f t="shared" ref="DK45:DP45" si="244">(DK43/DK$8)*100</f>
        <v>3.7764404932518563</v>
      </c>
      <c r="DL45" s="524">
        <f t="shared" si="244"/>
        <v>3.6117400092856369</v>
      </c>
      <c r="DM45" s="523">
        <f t="shared" si="244"/>
        <v>3.792032472264919</v>
      </c>
      <c r="DN45" s="523">
        <f t="shared" si="244"/>
        <v>3.563995616519096</v>
      </c>
      <c r="DO45" s="523">
        <f t="shared" si="244"/>
        <v>3.596101335502881</v>
      </c>
      <c r="DP45" s="523">
        <f t="shared" si="244"/>
        <v>3.8198201498209987</v>
      </c>
      <c r="DQ45" s="306">
        <f t="shared" si="243"/>
        <v>3.6886986314191565</v>
      </c>
      <c r="DR45" s="523">
        <f t="shared" si="243"/>
        <v>4.0886532914544986</v>
      </c>
      <c r="DS45" s="523">
        <f t="shared" si="243"/>
        <v>3.7511498344742815</v>
      </c>
      <c r="DT45" s="523">
        <f t="shared" si="243"/>
        <v>3.7382542453308227</v>
      </c>
      <c r="DU45" s="523">
        <f t="shared" si="243"/>
        <v>3.9513175622465759</v>
      </c>
      <c r="DV45" s="306">
        <f t="shared" ref="DV45:DZ45" si="245">(DV43/DV$8)*100</f>
        <v>3.8762188219720635</v>
      </c>
      <c r="DW45" s="523">
        <f t="shared" si="245"/>
        <v>4.0034101747613935</v>
      </c>
      <c r="DX45" s="523">
        <f t="shared" si="245"/>
        <v>3.7558911975892117</v>
      </c>
      <c r="DY45" s="523">
        <f t="shared" si="245"/>
        <v>3.8008445465581455</v>
      </c>
      <c r="DZ45" s="523">
        <f t="shared" si="245"/>
        <v>3.9131889566414704</v>
      </c>
      <c r="EA45" s="306">
        <f>(EA43/EA$8)*100</f>
        <v>3.8640181893122518</v>
      </c>
      <c r="EB45" s="523">
        <f>(EB43/EB$8)*100</f>
        <v>3.9242206898921745</v>
      </c>
      <c r="EC45" s="523">
        <f t="shared" ref="EC45:EE45" si="246">(EC43/EC$8)*100</f>
        <v>3.7488278045927825</v>
      </c>
      <c r="ED45" s="523">
        <f t="shared" si="246"/>
        <v>3.8330045449613803</v>
      </c>
      <c r="EE45" s="523">
        <f t="shared" si="246"/>
        <v>4.2695112559095785</v>
      </c>
      <c r="EF45" s="306">
        <f>(EF43/EF$8)*100</f>
        <v>3.9421755894158479</v>
      </c>
      <c r="EG45" s="523">
        <f>(EG43/EG$8)*100</f>
        <v>4.4523318474970068</v>
      </c>
      <c r="EH45" s="523">
        <f t="shared" ref="EH45:EJ45" si="247">(EH43/EH$8)*100</f>
        <v>4.1447578459456986</v>
      </c>
      <c r="EI45" s="523">
        <f t="shared" si="247"/>
        <v>4.2711007999249437</v>
      </c>
      <c r="EJ45" s="523">
        <f t="shared" si="247"/>
        <v>4.7747482804967447</v>
      </c>
      <c r="EK45" s="306">
        <f>(EK43/EK$8)*100</f>
        <v>4.4054045445739796</v>
      </c>
      <c r="EL45" s="523">
        <f>(EL43/EL$8)*100</f>
        <v>4.4441574316203294</v>
      </c>
      <c r="EM45" s="523">
        <f t="shared" ref="EM45:EO45" si="248">(EM43/EM$8)*100</f>
        <v>4.1348004697392229</v>
      </c>
      <c r="EN45" s="523">
        <f t="shared" si="248"/>
        <v>4.2608583519634928</v>
      </c>
      <c r="EO45" s="523">
        <f t="shared" si="248"/>
        <v>4.7668299583068663</v>
      </c>
      <c r="EP45" s="306">
        <f>(EP43/EP$8)*100</f>
        <v>4.3963024690686616</v>
      </c>
      <c r="EQ45" s="140">
        <f t="shared" ref="EQ45" si="249">(EQ43/EQ$8)*100</f>
        <v>4.5736694292858457</v>
      </c>
      <c r="ER45" s="140">
        <f t="shared" ref="ER45:ET45" si="250">(ER43/ER$8)*100</f>
        <v>4.2851891454066413</v>
      </c>
      <c r="ES45" s="140">
        <f t="shared" si="250"/>
        <v>4.4179380320924073</v>
      </c>
      <c r="ET45" s="140">
        <f t="shared" si="250"/>
        <v>4.5920482513501426</v>
      </c>
      <c r="EU45" s="306">
        <f>(EU43/EU$8)*100</f>
        <v>4.464623096959099</v>
      </c>
      <c r="EV45" s="140"/>
      <c r="EW45" s="140"/>
      <c r="EX45" s="140"/>
      <c r="EY45" s="140"/>
      <c r="EZ45" s="306">
        <f>(EZ43/EZ$8)*100</f>
        <v>4.5398153015234106</v>
      </c>
      <c r="FA45" s="140"/>
      <c r="FB45" s="140"/>
      <c r="FC45" s="140"/>
      <c r="FD45" s="140"/>
      <c r="FE45" s="306">
        <f>(FE43/FE$8)*100</f>
        <v>4.6600944879980055</v>
      </c>
      <c r="FF45" s="140"/>
      <c r="FG45" s="442"/>
      <c r="FI45" s="754"/>
      <c r="FL45" s="409"/>
      <c r="FM45" s="406"/>
      <c r="FN45" s="584"/>
      <c r="FO45" s="705"/>
      <c r="FP45" s="781"/>
      <c r="FQ45" s="781"/>
      <c r="FR45" s="781"/>
      <c r="FS45" s="781"/>
      <c r="FT45" s="190"/>
    </row>
    <row r="46" spans="1:183" ht="12.75" customHeight="1" x14ac:dyDescent="0.2">
      <c r="A46" s="60" t="s">
        <v>244</v>
      </c>
      <c r="B46" s="128"/>
      <c r="C46" s="128"/>
      <c r="D46" s="128"/>
      <c r="E46" s="128"/>
      <c r="F46" s="244"/>
      <c r="G46" s="128">
        <f>G45/B45-1</f>
        <v>7.7807084096017665E-3</v>
      </c>
      <c r="H46" s="128">
        <f>H45/C45-1</f>
        <v>-3.8903054463773956E-2</v>
      </c>
      <c r="I46" s="128">
        <f>I45/D45-1</f>
        <v>1.7372557862017413E-2</v>
      </c>
      <c r="J46" s="128">
        <f>J45/E45-1</f>
        <v>0.13216013629286061</v>
      </c>
      <c r="K46" s="244">
        <f t="shared" ref="K46:U46" si="251">K45/F45-1</f>
        <v>2.9305578349033468E-2</v>
      </c>
      <c r="L46" s="128">
        <f t="shared" si="251"/>
        <v>8.3638417794330788E-2</v>
      </c>
      <c r="M46" s="128">
        <f t="shared" si="251"/>
        <v>0.1013082708103914</v>
      </c>
      <c r="N46" s="128">
        <f t="shared" si="251"/>
        <v>2.593794112218939E-2</v>
      </c>
      <c r="O46" s="128">
        <f t="shared" si="251"/>
        <v>7.6867584857502225E-2</v>
      </c>
      <c r="P46" s="244">
        <f t="shared" si="251"/>
        <v>7.1169426221370236E-2</v>
      </c>
      <c r="Q46" s="128">
        <f t="shared" si="251"/>
        <v>2.0059128133937065E-2</v>
      </c>
      <c r="R46" s="128">
        <f t="shared" si="251"/>
        <v>3.7258064891137366E-2</v>
      </c>
      <c r="S46" s="128">
        <f t="shared" si="251"/>
        <v>6.0902014996247589E-2</v>
      </c>
      <c r="T46" s="128">
        <f t="shared" si="251"/>
        <v>-0.17092277464356076</v>
      </c>
      <c r="U46" s="244">
        <f t="shared" si="251"/>
        <v>-2.8392696674378715E-2</v>
      </c>
      <c r="V46" s="128">
        <f t="shared" ref="V46:BR46" si="252">V45/Q45-1</f>
        <v>-2.7623515624026429E-2</v>
      </c>
      <c r="W46" s="128">
        <f t="shared" si="252"/>
        <v>-1.1392302105503016E-2</v>
      </c>
      <c r="X46" s="128">
        <f t="shared" si="252"/>
        <v>-2.3053328201133372E-2</v>
      </c>
      <c r="Y46" s="128">
        <f t="shared" si="252"/>
        <v>6.3830820448868231E-2</v>
      </c>
      <c r="Z46" s="244">
        <f t="shared" si="252"/>
        <v>8.900348346904785E-3</v>
      </c>
      <c r="AA46" s="128">
        <f t="shared" si="252"/>
        <v>1.2301561997044574E-2</v>
      </c>
      <c r="AB46" s="128">
        <f t="shared" si="252"/>
        <v>-9.6416893024708905E-4</v>
      </c>
      <c r="AC46" s="128">
        <f t="shared" si="252"/>
        <v>2.8182290323043757E-2</v>
      </c>
      <c r="AD46" s="128">
        <f t="shared" si="252"/>
        <v>3.6891804306685483E-2</v>
      </c>
      <c r="AE46" s="244">
        <f t="shared" si="252"/>
        <v>1.938303808476971E-2</v>
      </c>
      <c r="AF46" s="128">
        <f t="shared" si="252"/>
        <v>3.0785054592961325E-2</v>
      </c>
      <c r="AG46" s="128">
        <f t="shared" si="252"/>
        <v>4.2798610561608497E-2</v>
      </c>
      <c r="AH46" s="128">
        <f t="shared" si="252"/>
        <v>2.2276596710215646E-3</v>
      </c>
      <c r="AI46" s="128">
        <f t="shared" si="252"/>
        <v>1.7078141562287819E-2</v>
      </c>
      <c r="AJ46" s="244">
        <f t="shared" si="252"/>
        <v>2.3168360399672183E-2</v>
      </c>
      <c r="AK46" s="128">
        <f t="shared" si="252"/>
        <v>2.6480332115952798E-2</v>
      </c>
      <c r="AL46" s="128">
        <f t="shared" si="252"/>
        <v>1.3807394584564481E-2</v>
      </c>
      <c r="AM46" s="128">
        <f t="shared" si="252"/>
        <v>4.8750989856235716E-2</v>
      </c>
      <c r="AN46" s="128">
        <f t="shared" si="252"/>
        <v>7.4170512918009024E-2</v>
      </c>
      <c r="AO46" s="244">
        <f t="shared" si="252"/>
        <v>4.0776003856254794E-2</v>
      </c>
      <c r="AP46" s="128">
        <f t="shared" si="252"/>
        <v>4.7120210407577856E-2</v>
      </c>
      <c r="AQ46" s="128">
        <f t="shared" si="252"/>
        <v>6.3254625779880502E-2</v>
      </c>
      <c r="AR46" s="128">
        <f t="shared" si="252"/>
        <v>7.1968160605373477E-2</v>
      </c>
      <c r="AS46" s="128">
        <f t="shared" si="252"/>
        <v>5.1761805611409972E-2</v>
      </c>
      <c r="AT46" s="244">
        <f t="shared" si="252"/>
        <v>5.8723556988973691E-2</v>
      </c>
      <c r="AU46" s="128">
        <f t="shared" si="252"/>
        <v>4.8997114451279966E-2</v>
      </c>
      <c r="AV46" s="128">
        <f t="shared" si="252"/>
        <v>4.01854514513178E-2</v>
      </c>
      <c r="AW46" s="128">
        <f t="shared" si="252"/>
        <v>8.7047860455486958E-3</v>
      </c>
      <c r="AX46" s="128">
        <f t="shared" si="252"/>
        <v>-2.1231073853332894E-2</v>
      </c>
      <c r="AY46" s="244">
        <f t="shared" si="252"/>
        <v>1.7920169920362383E-2</v>
      </c>
      <c r="AZ46" s="128">
        <f t="shared" si="252"/>
        <v>-2.9029191796762888E-2</v>
      </c>
      <c r="BA46" s="128">
        <f t="shared" si="252"/>
        <v>6.0083085845790141E-3</v>
      </c>
      <c r="BB46" s="128">
        <f t="shared" si="252"/>
        <v>3.4697426430309486E-2</v>
      </c>
      <c r="BC46" s="128">
        <f t="shared" si="252"/>
        <v>6.8276182043978784E-2</v>
      </c>
      <c r="BD46" s="244">
        <f t="shared" si="252"/>
        <v>2.0749057187479325E-2</v>
      </c>
      <c r="BE46" s="128">
        <f t="shared" si="252"/>
        <v>4.7153989840793775E-2</v>
      </c>
      <c r="BF46" s="128">
        <f t="shared" si="252"/>
        <v>5.1545455757069369E-3</v>
      </c>
      <c r="BG46" s="128">
        <f t="shared" si="252"/>
        <v>-2.1518950239955981E-3</v>
      </c>
      <c r="BH46" s="128">
        <f t="shared" si="252"/>
        <v>1.004410059001648E-3</v>
      </c>
      <c r="BI46" s="244">
        <f t="shared" si="252"/>
        <v>1.173603410370827E-2</v>
      </c>
      <c r="BJ46" s="128">
        <f t="shared" si="252"/>
        <v>-9.8766811004077359E-3</v>
      </c>
      <c r="BK46" s="128">
        <f t="shared" si="252"/>
        <v>1.8940298097069874E-3</v>
      </c>
      <c r="BL46" s="128">
        <f t="shared" si="252"/>
        <v>1.7503024210686835E-2</v>
      </c>
      <c r="BM46" s="128">
        <f t="shared" si="252"/>
        <v>4.5668553225856945E-2</v>
      </c>
      <c r="BN46" s="244">
        <f t="shared" si="252"/>
        <v>1.4193588877769336E-2</v>
      </c>
      <c r="BO46" s="128">
        <f t="shared" si="252"/>
        <v>6.1251192723275949E-2</v>
      </c>
      <c r="BP46" s="128">
        <f t="shared" si="252"/>
        <v>5.8053635966586636E-2</v>
      </c>
      <c r="BQ46" s="128">
        <f t="shared" si="252"/>
        <v>5.0656062677180813E-2</v>
      </c>
      <c r="BR46" s="128">
        <f t="shared" si="252"/>
        <v>4.7235742559534888E-2</v>
      </c>
      <c r="BS46" s="244">
        <f t="shared" ref="BS46:DA46" si="253">BS45/BN45-1</f>
        <v>5.3992065358138275E-2</v>
      </c>
      <c r="BT46" s="128">
        <f t="shared" si="253"/>
        <v>5.2397018341953094E-2</v>
      </c>
      <c r="BU46" s="128">
        <f t="shared" si="253"/>
        <v>5.0896200974859473E-2</v>
      </c>
      <c r="BV46" s="128">
        <f t="shared" si="253"/>
        <v>3.2029252358427795E-2</v>
      </c>
      <c r="BW46" s="128">
        <f t="shared" si="253"/>
        <v>-1.0580633514977622E-2</v>
      </c>
      <c r="BX46" s="244">
        <f t="shared" si="253"/>
        <v>3.0210671702467939E-2</v>
      </c>
      <c r="BY46" s="128">
        <f t="shared" si="253"/>
        <v>4.5230320361766774E-2</v>
      </c>
      <c r="BZ46" s="128">
        <f t="shared" si="253"/>
        <v>-3.8499102115441275E-4</v>
      </c>
      <c r="CA46" s="128">
        <f t="shared" si="253"/>
        <v>3.7363571347738045E-2</v>
      </c>
      <c r="CB46" s="128">
        <f t="shared" si="253"/>
        <v>8.8922770922987393E-2</v>
      </c>
      <c r="CC46" s="244">
        <f>CC45/BX45-1</f>
        <v>4.2763505855319517E-2</v>
      </c>
      <c r="CD46" s="128">
        <f t="shared" si="253"/>
        <v>-5.9439175901817576E-3</v>
      </c>
      <c r="CE46" s="128">
        <f t="shared" si="253"/>
        <v>7.1537580261604061E-2</v>
      </c>
      <c r="CF46" s="128">
        <f t="shared" si="253"/>
        <v>-5.0509748834499657E-3</v>
      </c>
      <c r="CG46" s="128">
        <f t="shared" si="253"/>
        <v>-2.2852563853516084E-2</v>
      </c>
      <c r="CH46" s="244">
        <f>CH45/CC45-1</f>
        <v>8.7354563556407694E-3</v>
      </c>
      <c r="CI46" s="128">
        <f t="shared" si="253"/>
        <v>-1.1073046554228583E-3</v>
      </c>
      <c r="CJ46" s="128">
        <f t="shared" si="253"/>
        <v>-5.1375059385324606E-2</v>
      </c>
      <c r="CK46" s="128">
        <f t="shared" si="253"/>
        <v>-3.1917004646809244E-2</v>
      </c>
      <c r="CL46" s="128">
        <f t="shared" si="253"/>
        <v>-2.7679290692763425E-2</v>
      </c>
      <c r="CM46" s="244">
        <f>CM45/CH45-1</f>
        <v>-2.8540283086737062E-2</v>
      </c>
      <c r="CN46" s="128">
        <f t="shared" si="253"/>
        <v>-1.9699744623879134E-2</v>
      </c>
      <c r="CO46" s="128">
        <f t="shared" si="253"/>
        <v>-2.2218564932249052E-2</v>
      </c>
      <c r="CP46" s="128">
        <f t="shared" si="253"/>
        <v>3.7674913442218516E-2</v>
      </c>
      <c r="CQ46" s="128">
        <f t="shared" si="253"/>
        <v>4.93232495354885E-2</v>
      </c>
      <c r="CR46" s="110">
        <f>CR45/CM45-1</f>
        <v>1.11008562504884E-2</v>
      </c>
      <c r="CS46" s="128">
        <f t="shared" si="253"/>
        <v>1.7320625188600225E-2</v>
      </c>
      <c r="CT46" s="128">
        <f t="shared" si="253"/>
        <v>-1.8380629500395873E-2</v>
      </c>
      <c r="CU46" s="128">
        <f t="shared" si="253"/>
        <v>-3.1448687391735231E-2</v>
      </c>
      <c r="CV46" s="128">
        <f t="shared" si="253"/>
        <v>1.2241097289096503E-2</v>
      </c>
      <c r="CW46" s="110">
        <f>CW45/CR45-1</f>
        <v>-5.7977229745099779E-3</v>
      </c>
      <c r="CX46" s="128">
        <f t="shared" si="253"/>
        <v>8.7235203789808757E-2</v>
      </c>
      <c r="CY46" s="128">
        <f t="shared" si="253"/>
        <v>8.5608080544353093E-2</v>
      </c>
      <c r="CZ46" s="128">
        <f t="shared" si="253"/>
        <v>6.5207828640099663E-2</v>
      </c>
      <c r="DA46" s="128">
        <f t="shared" si="253"/>
        <v>5.8914159938990851E-2</v>
      </c>
      <c r="DB46" s="110">
        <f t="shared" ref="DB46:DT46" si="254">DB45/CW45-1</f>
        <v>7.4098150943206376E-2</v>
      </c>
      <c r="DC46" s="128">
        <f t="shared" si="254"/>
        <v>2.9849964372547166E-2</v>
      </c>
      <c r="DD46" s="128">
        <f t="shared" si="254"/>
        <v>-1.798343047069606E-3</v>
      </c>
      <c r="DE46" s="128">
        <f t="shared" si="254"/>
        <v>-8.3606547569116119E-3</v>
      </c>
      <c r="DF46" s="128">
        <f t="shared" si="254"/>
        <v>9.9487189123217412E-3</v>
      </c>
      <c r="DG46" s="110">
        <f t="shared" si="254"/>
        <v>6.9157194067868133E-3</v>
      </c>
      <c r="DH46" s="128">
        <f t="shared" si="254"/>
        <v>2.9768847778759211E-2</v>
      </c>
      <c r="DI46" s="128">
        <f t="shared" si="254"/>
        <v>2.0282128977769931E-2</v>
      </c>
      <c r="DJ46" s="128">
        <f t="shared" si="254"/>
        <v>5.2540943750852831E-2</v>
      </c>
      <c r="DK46" s="128">
        <f t="shared" si="254"/>
        <v>4.9674748671581392E-2</v>
      </c>
      <c r="DL46" s="110">
        <f t="shared" si="254"/>
        <v>3.8264454711189E-2</v>
      </c>
      <c r="DM46" s="128">
        <f t="shared" si="254"/>
        <v>1.8062445008034445E-2</v>
      </c>
      <c r="DN46" s="128">
        <f t="shared" si="254"/>
        <v>3.0754338819388272E-2</v>
      </c>
      <c r="DO46" s="128">
        <f t="shared" si="254"/>
        <v>2.5533915794940132E-2</v>
      </c>
      <c r="DP46" s="128">
        <f t="shared" si="254"/>
        <v>1.1486916488332888E-2</v>
      </c>
      <c r="DQ46" s="110">
        <f>DQ45/DL45-1</f>
        <v>2.130790752813394E-2</v>
      </c>
      <c r="DR46" s="128">
        <f t="shared" si="254"/>
        <v>7.8222120026417707E-2</v>
      </c>
      <c r="DS46" s="128">
        <f t="shared" si="254"/>
        <v>5.2512471420482987E-2</v>
      </c>
      <c r="DT46" s="128">
        <f t="shared" si="254"/>
        <v>3.9529728604842829E-2</v>
      </c>
      <c r="DU46" s="128">
        <f>DU45/DP45-1</f>
        <v>3.4425027165674082E-2</v>
      </c>
      <c r="DV46" s="110">
        <f>DV45/DQ45-1</f>
        <v>5.0836408525128496E-2</v>
      </c>
      <c r="DW46" s="128">
        <f>DW45/DR45-1</f>
        <v>-2.0848702645261619E-2</v>
      </c>
      <c r="DX46" s="128">
        <f>DX45/DS45-1</f>
        <v>1.2639759338204382E-3</v>
      </c>
      <c r="DY46" s="128">
        <f>DY45/DT45-1</f>
        <v>1.6743190034626432E-2</v>
      </c>
      <c r="DZ46" s="128">
        <f t="shared" ref="DZ46:EA46" si="255">DZ45/DU45-1</f>
        <v>-9.6495928268106601E-3</v>
      </c>
      <c r="EA46" s="110">
        <f t="shared" si="255"/>
        <v>-3.1475603468651414E-3</v>
      </c>
      <c r="EB46" s="128">
        <f>EB45/DW45-1</f>
        <v>-1.9780507470468889E-2</v>
      </c>
      <c r="EC46" s="128">
        <f>EC45/DX45-1</f>
        <v>-1.8806170426244329E-3</v>
      </c>
      <c r="ED46" s="128">
        <f>ED45/DY45-1</f>
        <v>8.4612769633942708E-3</v>
      </c>
      <c r="EE46" s="128">
        <f t="shared" ref="EE46:EF46" si="256">EE45/DZ45-1</f>
        <v>9.1056757855599413E-2</v>
      </c>
      <c r="EF46" s="110">
        <f t="shared" si="256"/>
        <v>2.0226975204148179E-2</v>
      </c>
      <c r="EG46" s="128">
        <f>EG45/EB45-1</f>
        <v>0.13457733377868286</v>
      </c>
      <c r="EH46" s="128">
        <f>EH45/EC45-1</f>
        <v>0.10561435787150653</v>
      </c>
      <c r="EI46" s="128">
        <f>EI45/ED45-1</f>
        <v>0.11429578280554265</v>
      </c>
      <c r="EJ46" s="128">
        <f t="shared" ref="EJ46" si="257">EJ45/EE45-1</f>
        <v>0.11833603293300854</v>
      </c>
      <c r="EK46" s="110">
        <f t="shared" ref="EK46" si="258">EK45/EF45-1</f>
        <v>0.11750591637821306</v>
      </c>
      <c r="EL46" s="870"/>
      <c r="EM46" s="870"/>
      <c r="EN46" s="870"/>
      <c r="EO46" s="870"/>
      <c r="EP46" s="484"/>
      <c r="EQ46" s="128">
        <f>EQ45/EL45-1</f>
        <v>2.9142081408735532E-2</v>
      </c>
      <c r="ER46" s="128">
        <f>ER45/EM45-1</f>
        <v>3.6371446885538061E-2</v>
      </c>
      <c r="ES46" s="128">
        <f>ES45/EN45-1</f>
        <v>3.6865736232824853E-2</v>
      </c>
      <c r="ET46" s="128">
        <f t="shared" ref="ET46" si="259">ET45/EO45-1</f>
        <v>-3.6666234895193273E-2</v>
      </c>
      <c r="EU46" s="110">
        <f t="shared" ref="EU46" si="260">EU45/EP45-1</f>
        <v>1.5540474835643137E-2</v>
      </c>
      <c r="EV46" s="43"/>
      <c r="EW46" s="43"/>
      <c r="EX46" s="43"/>
      <c r="EY46" s="43"/>
      <c r="EZ46" s="110">
        <f>EZ45/EU45-1</f>
        <v>1.6841781026381675E-2</v>
      </c>
      <c r="FA46" s="43"/>
      <c r="FB46" s="43"/>
      <c r="FC46" s="43"/>
      <c r="FD46" s="43"/>
      <c r="FE46" s="110">
        <f>FE45/EZ45-1</f>
        <v>2.6494290733421133E-2</v>
      </c>
      <c r="FF46" s="43"/>
      <c r="FG46" s="435"/>
      <c r="FL46" s="409"/>
      <c r="FM46" s="780" t="s">
        <v>551</v>
      </c>
      <c r="FN46" s="781"/>
      <c r="FO46" s="781"/>
      <c r="FP46" s="781"/>
      <c r="FQ46" s="781"/>
      <c r="FR46" s="781"/>
      <c r="FS46" s="781"/>
      <c r="FT46" s="190"/>
    </row>
    <row r="47" spans="1:183" ht="12.75" customHeight="1" x14ac:dyDescent="0.2">
      <c r="A47" s="14" t="s">
        <v>81</v>
      </c>
      <c r="B47" s="821">
        <v>7923</v>
      </c>
      <c r="C47" s="821">
        <v>8380</v>
      </c>
      <c r="D47" s="821">
        <v>11440</v>
      </c>
      <c r="E47" s="821">
        <v>8620</v>
      </c>
      <c r="F47" s="245">
        <f>E47</f>
        <v>8620</v>
      </c>
      <c r="G47" s="821">
        <v>8806</v>
      </c>
      <c r="H47" s="821">
        <v>9301</v>
      </c>
      <c r="I47" s="821">
        <v>11440</v>
      </c>
      <c r="J47" s="821">
        <v>9778</v>
      </c>
      <c r="K47" s="245">
        <f>J47</f>
        <v>9778</v>
      </c>
      <c r="L47" s="821">
        <v>10238</v>
      </c>
      <c r="M47" s="821">
        <v>11124</v>
      </c>
      <c r="N47" s="821">
        <v>11440</v>
      </c>
      <c r="O47" s="821">
        <v>11397</v>
      </c>
      <c r="P47" s="245">
        <f>O47</f>
        <v>11397</v>
      </c>
      <c r="Q47" s="821">
        <v>11890</v>
      </c>
      <c r="R47" s="821">
        <v>12595</v>
      </c>
      <c r="S47" s="821">
        <v>12998</v>
      </c>
      <c r="T47" s="821">
        <v>15175</v>
      </c>
      <c r="U47" s="245">
        <f>T47</f>
        <v>15175</v>
      </c>
      <c r="V47" s="821">
        <v>15446</v>
      </c>
      <c r="W47" s="821">
        <v>15796</v>
      </c>
      <c r="X47" s="821">
        <v>16417</v>
      </c>
      <c r="Y47" s="821">
        <v>16818</v>
      </c>
      <c r="Z47" s="245">
        <f>Y47</f>
        <v>16818</v>
      </c>
      <c r="AA47" s="821">
        <v>18015</v>
      </c>
      <c r="AB47" s="821">
        <v>18985</v>
      </c>
      <c r="AC47" s="821">
        <v>19748</v>
      </c>
      <c r="AD47" s="821">
        <v>19933</v>
      </c>
      <c r="AE47" s="245">
        <f>AD47</f>
        <v>19933</v>
      </c>
      <c r="AF47" s="821">
        <v>20804</v>
      </c>
      <c r="AG47" s="821">
        <v>21907</v>
      </c>
      <c r="AH47" s="821">
        <v>23066</v>
      </c>
      <c r="AI47" s="821">
        <v>22944</v>
      </c>
      <c r="AJ47" s="245">
        <f>AI47</f>
        <v>22944</v>
      </c>
      <c r="AK47" s="821">
        <v>23544</v>
      </c>
      <c r="AL47" s="821">
        <v>23777</v>
      </c>
      <c r="AM47" s="821">
        <v>23840</v>
      </c>
      <c r="AN47" s="821">
        <v>23974</v>
      </c>
      <c r="AO47" s="245">
        <f>AN47</f>
        <v>23974</v>
      </c>
      <c r="AP47" s="821">
        <v>24151</v>
      </c>
      <c r="AQ47" s="821">
        <v>24387</v>
      </c>
      <c r="AR47" s="821">
        <v>25019</v>
      </c>
      <c r="AS47" s="821">
        <v>25844</v>
      </c>
      <c r="AT47" s="245">
        <f>AS47</f>
        <v>25844</v>
      </c>
      <c r="AU47" s="821">
        <v>26532</v>
      </c>
      <c r="AV47" s="821">
        <v>26818</v>
      </c>
      <c r="AW47" s="821">
        <v>27164</v>
      </c>
      <c r="AX47" s="821">
        <v>27653</v>
      </c>
      <c r="AY47" s="245">
        <f>AX47</f>
        <v>27653</v>
      </c>
      <c r="AZ47" s="821">
        <v>27911</v>
      </c>
      <c r="BA47" s="821">
        <v>27828</v>
      </c>
      <c r="BB47" s="821">
        <v>28321</v>
      </c>
      <c r="BC47" s="821">
        <v>29274</v>
      </c>
      <c r="BD47" s="245">
        <f>BC47</f>
        <v>29274</v>
      </c>
      <c r="BE47" s="821">
        <v>29563</v>
      </c>
      <c r="BF47" s="821">
        <v>30369</v>
      </c>
      <c r="BG47" s="821">
        <v>30946</v>
      </c>
      <c r="BH47" s="821">
        <v>31580</v>
      </c>
      <c r="BI47" s="245">
        <f>BH47</f>
        <v>31580</v>
      </c>
      <c r="BJ47" s="821">
        <v>32244</v>
      </c>
      <c r="BK47" s="821">
        <v>33149</v>
      </c>
      <c r="BL47" s="821">
        <v>33609</v>
      </c>
      <c r="BM47" s="821">
        <v>33705</v>
      </c>
      <c r="BN47" s="245">
        <f>BM47</f>
        <v>33705</v>
      </c>
      <c r="BO47" s="821">
        <v>33140</v>
      </c>
      <c r="BP47" s="821">
        <v>32902</v>
      </c>
      <c r="BQ47" s="821">
        <v>32563</v>
      </c>
      <c r="BR47" s="821">
        <v>32847</v>
      </c>
      <c r="BS47" s="245">
        <f>BR47</f>
        <v>32847</v>
      </c>
      <c r="BT47" s="821">
        <v>31522</v>
      </c>
      <c r="BU47" s="821">
        <v>31408</v>
      </c>
      <c r="BV47" s="821">
        <v>30657</v>
      </c>
      <c r="BW47" s="821">
        <v>31011</v>
      </c>
      <c r="BX47" s="245">
        <f>BW47</f>
        <v>31011</v>
      </c>
      <c r="BY47" s="821">
        <v>30974</v>
      </c>
      <c r="BZ47" s="821">
        <v>31366</v>
      </c>
      <c r="CA47" s="821">
        <v>31382</v>
      </c>
      <c r="CB47" s="821">
        <v>31729</v>
      </c>
      <c r="CC47" s="245">
        <f>CB47</f>
        <v>31729</v>
      </c>
      <c r="CD47" s="821">
        <v>31396</v>
      </c>
      <c r="CE47" s="821">
        <v>31734</v>
      </c>
      <c r="CF47" s="821">
        <v>32144</v>
      </c>
      <c r="CG47" s="821">
        <v>32664</v>
      </c>
      <c r="CH47" s="245">
        <f>CG47</f>
        <v>32664</v>
      </c>
      <c r="CI47" s="821">
        <v>32962</v>
      </c>
      <c r="CJ47" s="821">
        <v>33261</v>
      </c>
      <c r="CK47" s="821">
        <v>33787</v>
      </c>
      <c r="CL47" s="821">
        <v>34378</v>
      </c>
      <c r="CM47" s="245">
        <f>CL47</f>
        <v>34378</v>
      </c>
      <c r="CN47" s="821">
        <v>34793</v>
      </c>
      <c r="CO47" s="821">
        <v>34027</v>
      </c>
      <c r="CP47" s="821">
        <v>34545</v>
      </c>
      <c r="CQ47" s="821">
        <v>35499</v>
      </c>
      <c r="CR47" s="98">
        <f>CQ47</f>
        <v>35499</v>
      </c>
      <c r="CS47" s="821">
        <v>43362</v>
      </c>
      <c r="CT47" s="821">
        <v>43496</v>
      </c>
      <c r="CU47" s="821">
        <v>42523</v>
      </c>
      <c r="CV47" s="821">
        <v>42879</v>
      </c>
      <c r="CW47" s="98">
        <f>CV47</f>
        <v>42879</v>
      </c>
      <c r="CX47" s="821">
        <v>42439</v>
      </c>
      <c r="CY47" s="821">
        <v>42719</v>
      </c>
      <c r="CZ47" s="821">
        <v>42544</v>
      </c>
      <c r="DA47" s="821">
        <v>43029</v>
      </c>
      <c r="DB47" s="98">
        <f>DA47</f>
        <v>43029</v>
      </c>
      <c r="DC47" s="821">
        <v>43423</v>
      </c>
      <c r="DD47" s="821">
        <v>43805</v>
      </c>
      <c r="DE47" s="821">
        <v>45112</v>
      </c>
      <c r="DF47" s="821">
        <v>45392</v>
      </c>
      <c r="DG47" s="98">
        <f>DF47</f>
        <v>45392</v>
      </c>
      <c r="DH47" s="821">
        <v>46227</v>
      </c>
      <c r="DI47" s="821">
        <v>46128</v>
      </c>
      <c r="DJ47" s="821">
        <v>46048</v>
      </c>
      <c r="DK47" s="821">
        <v>45861</v>
      </c>
      <c r="DL47" s="98">
        <f>DK47</f>
        <v>45861</v>
      </c>
      <c r="DM47" s="821">
        <v>45791</v>
      </c>
      <c r="DN47" s="821">
        <v>45216</v>
      </c>
      <c r="DO47" s="821">
        <v>45148</v>
      </c>
      <c r="DP47" s="821">
        <v>44831</v>
      </c>
      <c r="DQ47" s="98">
        <f>DP47</f>
        <v>44831</v>
      </c>
      <c r="DR47" s="821">
        <v>45163</v>
      </c>
      <c r="DS47" s="821">
        <v>45508</v>
      </c>
      <c r="DT47" s="821">
        <v>45750</v>
      </c>
      <c r="DU47" s="821">
        <v>46278</v>
      </c>
      <c r="DV47" s="98">
        <f>DU47</f>
        <v>46278</v>
      </c>
      <c r="DW47" s="821">
        <v>47005</v>
      </c>
      <c r="DX47" s="821">
        <v>47645</v>
      </c>
      <c r="DY47" s="821">
        <v>48642</v>
      </c>
      <c r="DZ47" s="821">
        <v>49583</v>
      </c>
      <c r="EA47" s="98">
        <f>DZ47</f>
        <v>49583</v>
      </c>
      <c r="EB47" s="821">
        <v>50911</v>
      </c>
      <c r="EC47" s="821">
        <v>52301</v>
      </c>
      <c r="ED47" s="821">
        <v>53072</v>
      </c>
      <c r="EE47" s="821">
        <v>53536</v>
      </c>
      <c r="EF47" s="98">
        <f>EE47</f>
        <v>53536</v>
      </c>
      <c r="EG47" s="821">
        <v>54652</v>
      </c>
      <c r="EH47" s="821">
        <v>55347</v>
      </c>
      <c r="EI47" s="821">
        <v>55347</v>
      </c>
      <c r="EJ47" s="821">
        <v>56110</v>
      </c>
      <c r="EK47" s="98">
        <f>EJ47</f>
        <v>56110</v>
      </c>
      <c r="EL47" s="821">
        <v>54652</v>
      </c>
      <c r="EM47" s="821">
        <v>55347</v>
      </c>
      <c r="EN47" s="821">
        <v>55347</v>
      </c>
      <c r="EO47" s="821">
        <v>56110</v>
      </c>
      <c r="EP47" s="98">
        <f>EO47</f>
        <v>56110</v>
      </c>
      <c r="EQ47" s="14">
        <f>EQ48*2-EL47</f>
        <v>56688.823503448264</v>
      </c>
      <c r="ER47" s="14">
        <f t="shared" ref="ER47:ET47" si="261">ER48*2-EQ47</f>
        <v>58417.793678494272</v>
      </c>
      <c r="ES47" s="14">
        <f t="shared" si="261"/>
        <v>58036.653578889687</v>
      </c>
      <c r="ET47" s="14">
        <f t="shared" si="261"/>
        <v>62481.020505819586</v>
      </c>
      <c r="EU47" s="98">
        <f>ET47</f>
        <v>62481.020505819586</v>
      </c>
      <c r="EV47" s="14"/>
      <c r="EW47" s="14"/>
      <c r="EX47" s="14"/>
      <c r="EY47" s="14"/>
      <c r="EZ47" s="98">
        <f>EU47*(1+EZ49)</f>
        <v>64766.968718502569</v>
      </c>
      <c r="FA47" s="14"/>
      <c r="FB47" s="14"/>
      <c r="FC47" s="14"/>
      <c r="FD47" s="14"/>
      <c r="FE47" s="98">
        <f>EZ47*(1+FE49)</f>
        <v>67773.854173335552</v>
      </c>
      <c r="FF47" s="14"/>
      <c r="FG47" s="436"/>
      <c r="FL47" s="409"/>
      <c r="FM47" s="760"/>
      <c r="FN47" s="760" t="s">
        <v>552</v>
      </c>
      <c r="FO47" s="760">
        <v>2016</v>
      </c>
      <c r="FP47" s="760">
        <v>2017</v>
      </c>
      <c r="FQ47" s="760">
        <v>2018</v>
      </c>
      <c r="FR47" s="760">
        <v>2019</v>
      </c>
      <c r="FS47" s="782" t="s">
        <v>553</v>
      </c>
      <c r="FT47" s="436"/>
    </row>
    <row r="48" spans="1:183" ht="12.75" customHeight="1" x14ac:dyDescent="0.2">
      <c r="A48" s="14" t="s">
        <v>82</v>
      </c>
      <c r="B48" s="143"/>
      <c r="C48" s="143"/>
      <c r="D48" s="143"/>
      <c r="E48" s="143"/>
      <c r="F48" s="245"/>
      <c r="G48" s="143">
        <f>AVERAGE(E47,G47)</f>
        <v>8713</v>
      </c>
      <c r="H48" s="143">
        <f>AVERAGE(G47:H47)</f>
        <v>9053.5</v>
      </c>
      <c r="I48" s="143">
        <f>AVERAGE(H47:I47)</f>
        <v>10370.5</v>
      </c>
      <c r="J48" s="143">
        <f>AVERAGE(I47:J47)</f>
        <v>10609</v>
      </c>
      <c r="K48" s="98">
        <f>AVERAGE(F47:J47)</f>
        <v>9589</v>
      </c>
      <c r="L48" s="143">
        <f>AVERAGE(J47,L47)</f>
        <v>10008</v>
      </c>
      <c r="M48" s="143">
        <f>AVERAGE(L47:M47)</f>
        <v>10681</v>
      </c>
      <c r="N48" s="143">
        <f>AVERAGE(M47:N47)</f>
        <v>11282</v>
      </c>
      <c r="O48" s="143">
        <f>AVERAGE(N47:O47)</f>
        <v>11418.5</v>
      </c>
      <c r="P48" s="98">
        <f>AVERAGE(K47:O47)</f>
        <v>10795.4</v>
      </c>
      <c r="Q48" s="143">
        <f>AVERAGE(O47,Q47)</f>
        <v>11643.5</v>
      </c>
      <c r="R48" s="143">
        <f>AVERAGE(Q47:R47)</f>
        <v>12242.5</v>
      </c>
      <c r="S48" s="143">
        <f>AVERAGE(R47:S47)</f>
        <v>12796.5</v>
      </c>
      <c r="T48" s="143">
        <f>AVERAGE(S47:T47)</f>
        <v>14086.5</v>
      </c>
      <c r="U48" s="98">
        <f>AVERAGE(P47:T47)</f>
        <v>12811</v>
      </c>
      <c r="V48" s="143">
        <f>AVERAGE(T47,V47)</f>
        <v>15310.5</v>
      </c>
      <c r="W48" s="143">
        <f>AVERAGE(V47:W47)</f>
        <v>15621</v>
      </c>
      <c r="X48" s="143">
        <f>AVERAGE(W47:X47)</f>
        <v>16106.5</v>
      </c>
      <c r="Y48" s="143">
        <f>AVERAGE(X47:Y47)</f>
        <v>16617.5</v>
      </c>
      <c r="Z48" s="98">
        <f>AVERAGE(U47:Y47)</f>
        <v>15930.4</v>
      </c>
      <c r="AA48" s="143">
        <f>AVERAGE(Y47,AA47)</f>
        <v>17416.5</v>
      </c>
      <c r="AB48" s="143">
        <f>AVERAGE(AA47:AB47)</f>
        <v>18500</v>
      </c>
      <c r="AC48" s="143">
        <f>AVERAGE(AB47:AC47)</f>
        <v>19366.5</v>
      </c>
      <c r="AD48" s="143">
        <f>AVERAGE(AC47:AD47)</f>
        <v>19840.5</v>
      </c>
      <c r="AE48" s="98">
        <f>AVERAGE(Z47:AD47)</f>
        <v>18699.8</v>
      </c>
      <c r="AF48" s="143">
        <f>AVERAGE(AD47,AF47)</f>
        <v>20368.5</v>
      </c>
      <c r="AG48" s="143">
        <f>AVERAGE(AF47:AG47)</f>
        <v>21355.5</v>
      </c>
      <c r="AH48" s="143">
        <f>AVERAGE(AG47:AH47)</f>
        <v>22486.5</v>
      </c>
      <c r="AI48" s="143">
        <f>AVERAGE(AH47:AI47)</f>
        <v>23005</v>
      </c>
      <c r="AJ48" s="98">
        <f>AVERAGE(AE47:AI47)</f>
        <v>21730.799999999999</v>
      </c>
      <c r="AK48" s="143">
        <f>AVERAGE(AI47,AK47)</f>
        <v>23244</v>
      </c>
      <c r="AL48" s="143">
        <f>AVERAGE(AK47:AL47)</f>
        <v>23660.5</v>
      </c>
      <c r="AM48" s="143">
        <f>AVERAGE(AL47:AM47)</f>
        <v>23808.5</v>
      </c>
      <c r="AN48" s="143">
        <f>AVERAGE(AM47:AN47)</f>
        <v>23907</v>
      </c>
      <c r="AO48" s="98">
        <f>AVERAGE(AJ47:AN47)</f>
        <v>23615.8</v>
      </c>
      <c r="AP48" s="143">
        <f>AVERAGE(AN47,AP47)</f>
        <v>24062.5</v>
      </c>
      <c r="AQ48" s="143">
        <f>AVERAGE(AP47:AQ47)</f>
        <v>24269</v>
      </c>
      <c r="AR48" s="143">
        <f>AVERAGE(AQ47:AR47)</f>
        <v>24703</v>
      </c>
      <c r="AS48" s="143">
        <f>AVERAGE(AR47:AS47)</f>
        <v>25431.5</v>
      </c>
      <c r="AT48" s="98">
        <f>AVERAGE(AO47:AS47)</f>
        <v>24675</v>
      </c>
      <c r="AU48" s="143">
        <f>AVERAGE(AS47,AU47)</f>
        <v>26188</v>
      </c>
      <c r="AV48" s="143">
        <f>AVERAGE(AU47:AV47)</f>
        <v>26675</v>
      </c>
      <c r="AW48" s="143">
        <f>AVERAGE(AV47:AW47)</f>
        <v>26991</v>
      </c>
      <c r="AX48" s="143">
        <f>AVERAGE(AW47:AX47)</f>
        <v>27408.5</v>
      </c>
      <c r="AY48" s="98">
        <f>AVERAGE(AT47:AX47)</f>
        <v>26802.2</v>
      </c>
      <c r="AZ48" s="143">
        <f>AVERAGE(AX47,AZ47)</f>
        <v>27782</v>
      </c>
      <c r="BA48" s="143">
        <f>AVERAGE(AZ47:BA47)</f>
        <v>27869.5</v>
      </c>
      <c r="BB48" s="143">
        <f>AVERAGE(BA47:BB47)</f>
        <v>28074.5</v>
      </c>
      <c r="BC48" s="143">
        <f>AVERAGE(BB47:BC47)</f>
        <v>28797.5</v>
      </c>
      <c r="BD48" s="98">
        <f>AVERAGE(AY47:BC47)</f>
        <v>28197.4</v>
      </c>
      <c r="BE48" s="143">
        <f>AVERAGE(BC47,BE47)</f>
        <v>29418.5</v>
      </c>
      <c r="BF48" s="143">
        <f>AVERAGE(BE47:BF47)</f>
        <v>29966</v>
      </c>
      <c r="BG48" s="143">
        <f>AVERAGE(BF47:BG47)</f>
        <v>30657.5</v>
      </c>
      <c r="BH48" s="143">
        <f>AVERAGE(BG47:BH47)</f>
        <v>31263</v>
      </c>
      <c r="BI48" s="98">
        <f>AVERAGE(BD47:BH47)</f>
        <v>30346.400000000001</v>
      </c>
      <c r="BJ48" s="143">
        <f>AVERAGE(BH47,BJ47)</f>
        <v>31912</v>
      </c>
      <c r="BK48" s="143">
        <f>AVERAGE(BJ47:BK47)</f>
        <v>32696.5</v>
      </c>
      <c r="BL48" s="143">
        <f>AVERAGE(BK47:BL47)</f>
        <v>33379</v>
      </c>
      <c r="BM48" s="143">
        <f>AVERAGE(BL47:BM47)</f>
        <v>33657</v>
      </c>
      <c r="BN48" s="98">
        <f>AVERAGE(BI47:BM47)</f>
        <v>32857.4</v>
      </c>
      <c r="BO48" s="143">
        <f>AVERAGE(BM47,BO47)</f>
        <v>33422.5</v>
      </c>
      <c r="BP48" s="143">
        <f>AVERAGE(BO47:BP47)</f>
        <v>33021</v>
      </c>
      <c r="BQ48" s="143">
        <f>AVERAGE(BP47:BQ47)</f>
        <v>32732.5</v>
      </c>
      <c r="BR48" s="143">
        <f>AVERAGE(BQ47:BR47)</f>
        <v>32705</v>
      </c>
      <c r="BS48" s="98">
        <f>AVERAGE(BN47:BR47)</f>
        <v>33031.4</v>
      </c>
      <c r="BT48" s="143">
        <f>AVERAGE(BR47,BT47)</f>
        <v>32184.5</v>
      </c>
      <c r="BU48" s="143">
        <f>AVERAGE(BT47:BU47)</f>
        <v>31465</v>
      </c>
      <c r="BV48" s="143">
        <f>AVERAGE(BU47:BV47)</f>
        <v>31032.5</v>
      </c>
      <c r="BW48" s="143">
        <f>AVERAGE(BV47:BW47)</f>
        <v>30834</v>
      </c>
      <c r="BX48" s="98">
        <f>AVERAGE(BS47:BW47)</f>
        <v>31489</v>
      </c>
      <c r="BY48" s="143">
        <f>AVERAGE(BW47,BY47)</f>
        <v>30992.5</v>
      </c>
      <c r="BZ48" s="143">
        <v>4</v>
      </c>
      <c r="CA48" s="143">
        <f>AVERAGE(BZ47:CA47)</f>
        <v>31374</v>
      </c>
      <c r="CB48" s="143">
        <f>AVERAGE(CA47:CB47)</f>
        <v>31555.5</v>
      </c>
      <c r="CC48" s="98">
        <f>AVERAGE(BX47:CB47)</f>
        <v>31292.400000000001</v>
      </c>
      <c r="CD48" s="143">
        <f>AVERAGE(CB47,CD47)</f>
        <v>31562.5</v>
      </c>
      <c r="CE48" s="143">
        <f>AVERAGE(CD47:CE47)</f>
        <v>31565</v>
      </c>
      <c r="CF48" s="143">
        <f>AVERAGE(CE47:CF47)</f>
        <v>31939</v>
      </c>
      <c r="CG48" s="143">
        <f>AVERAGE(CF47:CG47)</f>
        <v>32404</v>
      </c>
      <c r="CH48" s="98">
        <f>AVERAGE(CC47:CG47)</f>
        <v>31933.4</v>
      </c>
      <c r="CI48" s="143">
        <f>AVERAGE(CG47,CI47)</f>
        <v>32813</v>
      </c>
      <c r="CJ48" s="143">
        <f>AVERAGE(CI47:CJ47)</f>
        <v>33111.5</v>
      </c>
      <c r="CK48" s="143">
        <f>AVERAGE(CJ47:CK47)</f>
        <v>33524</v>
      </c>
      <c r="CL48" s="143">
        <f>AVERAGE(CK47:CL47)</f>
        <v>34082.5</v>
      </c>
      <c r="CM48" s="98">
        <f>AVERAGE(CH47:CL47)</f>
        <v>33410.400000000001</v>
      </c>
      <c r="CN48" s="143">
        <f>AVERAGE(CL47,CN47)</f>
        <v>34585.5</v>
      </c>
      <c r="CO48" s="143">
        <f>AVERAGE(CN47:CO47)</f>
        <v>34410</v>
      </c>
      <c r="CP48" s="143">
        <f>AVERAGE(CO47:CP47)</f>
        <v>34286</v>
      </c>
      <c r="CQ48" s="143">
        <f>AVERAGE(CP47:CQ47)</f>
        <v>35022</v>
      </c>
      <c r="CR48" s="98">
        <f>AVERAGE(CM47:CQ47)</f>
        <v>34648.400000000001</v>
      </c>
      <c r="CS48" s="143">
        <f>AVERAGE(CQ47,CS47)</f>
        <v>39430.5</v>
      </c>
      <c r="CT48" s="143">
        <f>AVERAGE(CS47:CT47)</f>
        <v>43429</v>
      </c>
      <c r="CU48" s="143">
        <f>AVERAGE(CT47:CU47)</f>
        <v>43009.5</v>
      </c>
      <c r="CV48" s="143">
        <f>AVERAGE(CU47:CV47)</f>
        <v>42701</v>
      </c>
      <c r="CW48" s="98">
        <f>AVERAGE(CR47:CV47)</f>
        <v>41551.800000000003</v>
      </c>
      <c r="CX48" s="143">
        <f>AVERAGE(CV47,CX47)</f>
        <v>42659</v>
      </c>
      <c r="CY48" s="143">
        <f>AVERAGE(CX47:CY47)</f>
        <v>42579</v>
      </c>
      <c r="CZ48" s="143">
        <f>AVERAGE(CY47:CZ47)</f>
        <v>42631.5</v>
      </c>
      <c r="DA48" s="143">
        <f>AVERAGE(CZ47:DA47)</f>
        <v>42786.5</v>
      </c>
      <c r="DB48" s="98">
        <f>AVERAGE(CW47:DA47)</f>
        <v>42722</v>
      </c>
      <c r="DC48" s="143">
        <f>AVERAGE(DB47:DC47)</f>
        <v>43226</v>
      </c>
      <c r="DD48" s="143">
        <f>AVERAGE(DC47:DD47)</f>
        <v>43614</v>
      </c>
      <c r="DE48" s="143">
        <f>AVERAGE(DD47:DE47)</f>
        <v>44458.5</v>
      </c>
      <c r="DF48" s="143">
        <f>AVERAGE(DE47:DF47)</f>
        <v>45252</v>
      </c>
      <c r="DG48" s="98">
        <f>AVERAGE(DB47:DF47)</f>
        <v>44152.2</v>
      </c>
      <c r="DH48" s="143">
        <f>AVERAGE(DG47:DH47)</f>
        <v>45809.5</v>
      </c>
      <c r="DI48" s="143">
        <f>AVERAGE(DH47:DI47)</f>
        <v>46177.5</v>
      </c>
      <c r="DJ48" s="143">
        <f>AVERAGE(DI47:DJ47)</f>
        <v>46088</v>
      </c>
      <c r="DK48" s="143">
        <f>AVERAGE(DJ47:DK47)</f>
        <v>45954.5</v>
      </c>
      <c r="DL48" s="98">
        <f>AVERAGE(DG47:DK47)</f>
        <v>45931.199999999997</v>
      </c>
      <c r="DM48" s="143">
        <f>AVERAGE(DL47:DM47)</f>
        <v>45826</v>
      </c>
      <c r="DN48" s="143">
        <f>AVERAGE(DM47:DN47)</f>
        <v>45503.5</v>
      </c>
      <c r="DO48" s="143">
        <f>AVERAGE(DN47:DO47)</f>
        <v>45182</v>
      </c>
      <c r="DP48" s="143">
        <f>AVERAGE(DO47:DP47)</f>
        <v>44989.5</v>
      </c>
      <c r="DQ48" s="98">
        <f>AVERAGE(DL47:DP47)</f>
        <v>45369.4</v>
      </c>
      <c r="DR48" s="143">
        <f>AVERAGE(DQ47:DR47)</f>
        <v>44997</v>
      </c>
      <c r="DS48" s="143">
        <f>AVERAGE(DR47:DS47)</f>
        <v>45335.5</v>
      </c>
      <c r="DT48" s="143">
        <f>AVERAGE(DS47:DT47)</f>
        <v>45629</v>
      </c>
      <c r="DU48" s="143">
        <f>AVERAGE(DT47:DU47)</f>
        <v>46014</v>
      </c>
      <c r="DV48" s="98">
        <f>AVERAGE(DQ47:DU47)</f>
        <v>45506</v>
      </c>
      <c r="DW48" s="143">
        <f>AVERAGE(DV47:DW47)</f>
        <v>46641.5</v>
      </c>
      <c r="DX48" s="143">
        <f>AVERAGE(DW47:DX47)</f>
        <v>47325</v>
      </c>
      <c r="DY48" s="143">
        <f>AVERAGE(DX47:DY47)</f>
        <v>48143.5</v>
      </c>
      <c r="DZ48" s="143">
        <f>AVERAGE(DY47:DZ47)</f>
        <v>49112.5</v>
      </c>
      <c r="EA48" s="98">
        <f>AVERAGE(DV47:DZ47)</f>
        <v>47830.6</v>
      </c>
      <c r="EB48" s="143">
        <f>AVERAGE(EA47:EB47)</f>
        <v>50247</v>
      </c>
      <c r="EC48" s="143">
        <f>AVERAGE(EB47:EC47)</f>
        <v>51606</v>
      </c>
      <c r="ED48" s="143">
        <f>AVERAGE(EC47:ED47)</f>
        <v>52686.5</v>
      </c>
      <c r="EE48" s="143">
        <f>AVERAGE(ED47:EE47)</f>
        <v>53304</v>
      </c>
      <c r="EF48" s="98">
        <f>AVERAGE(EA47:EE47)</f>
        <v>51880.6</v>
      </c>
      <c r="EG48" s="143">
        <f>AVERAGE(EF47:EG47)</f>
        <v>54094</v>
      </c>
      <c r="EH48" s="143">
        <f>AVERAGE(EG47:EH47)</f>
        <v>54999.5</v>
      </c>
      <c r="EI48" s="143">
        <f>AVERAGE(EH47:EI47)</f>
        <v>55347</v>
      </c>
      <c r="EJ48" s="143">
        <f>AVERAGE(EI47:EJ47)</f>
        <v>55728.5</v>
      </c>
      <c r="EK48" s="98">
        <f>AVERAGE(EF47:EJ47)</f>
        <v>54998.400000000001</v>
      </c>
      <c r="EL48" s="143">
        <f>AVERAGE(EF47,EL47)</f>
        <v>54094</v>
      </c>
      <c r="EM48" s="143">
        <f>AVERAGE(EL47:EM47)</f>
        <v>54999.5</v>
      </c>
      <c r="EN48" s="143">
        <f>AVERAGE(EM47:EN47)</f>
        <v>55347</v>
      </c>
      <c r="EO48" s="143">
        <f>AVERAGE(EN47:EO47)</f>
        <v>55728.5</v>
      </c>
      <c r="EP48" s="866">
        <f>AVERAGE(EF47,EL47:EO47)</f>
        <v>54998.400000000001</v>
      </c>
      <c r="EQ48" s="144">
        <f>EQ50*EQ16</f>
        <v>55670.411751724132</v>
      </c>
      <c r="ER48" s="144">
        <f t="shared" ref="ER48:ET48" si="262">ER50*ER16</f>
        <v>57553.308590971268</v>
      </c>
      <c r="ES48" s="144">
        <f t="shared" si="262"/>
        <v>58227.22362869198</v>
      </c>
      <c r="ET48" s="144">
        <f t="shared" si="262"/>
        <v>60258.837042354637</v>
      </c>
      <c r="EU48" s="98">
        <f>AVERAGE(EP47:ET47)</f>
        <v>58346.858253330363</v>
      </c>
      <c r="EV48" s="144"/>
      <c r="EW48" s="144"/>
      <c r="EX48" s="144"/>
      <c r="EY48" s="144"/>
      <c r="EZ48" s="98">
        <f>EZ50*EZ16</f>
        <v>60481.552841544471</v>
      </c>
      <c r="FA48" s="144"/>
      <c r="FB48" s="144"/>
      <c r="FC48" s="144"/>
      <c r="FD48" s="144"/>
      <c r="FE48" s="98">
        <f>FE50*FE16</f>
        <v>63289.482641615519</v>
      </c>
      <c r="FF48" s="14"/>
      <c r="FG48" s="436"/>
      <c r="FL48" s="406" t="s">
        <v>554</v>
      </c>
      <c r="FM48" s="760"/>
      <c r="FN48" s="783">
        <v>0.4</v>
      </c>
      <c r="FO48" s="784">
        <v>0</v>
      </c>
      <c r="FP48" s="783">
        <f>+FS48</f>
        <v>0.18</v>
      </c>
      <c r="FQ48" s="784">
        <v>0.03</v>
      </c>
      <c r="FR48" s="784">
        <v>0.03</v>
      </c>
      <c r="FS48" s="784">
        <v>0.18</v>
      </c>
      <c r="FT48" s="436"/>
    </row>
    <row r="49" spans="1:183" ht="12.75" customHeight="1" x14ac:dyDescent="0.2">
      <c r="A49" s="58" t="s">
        <v>244</v>
      </c>
      <c r="B49" s="128"/>
      <c r="C49" s="128"/>
      <c r="D49" s="128"/>
      <c r="E49" s="128"/>
      <c r="F49" s="244"/>
      <c r="G49" s="128"/>
      <c r="H49" s="128"/>
      <c r="I49" s="128"/>
      <c r="J49" s="128"/>
      <c r="K49" s="244"/>
      <c r="L49" s="128">
        <f t="shared" ref="L49:AQ49" si="263">L48/G48-1</f>
        <v>0.14862848617009061</v>
      </c>
      <c r="M49" s="128">
        <f t="shared" si="263"/>
        <v>0.17976473187165176</v>
      </c>
      <c r="N49" s="128">
        <f t="shared" si="263"/>
        <v>8.7893544187840567E-2</v>
      </c>
      <c r="O49" s="128">
        <f t="shared" si="263"/>
        <v>7.6303138844377338E-2</v>
      </c>
      <c r="P49" s="244">
        <f t="shared" si="263"/>
        <v>0.12581082490353523</v>
      </c>
      <c r="Q49" s="128">
        <f t="shared" si="263"/>
        <v>0.16341926458832923</v>
      </c>
      <c r="R49" s="128">
        <f t="shared" si="263"/>
        <v>0.14619417657522704</v>
      </c>
      <c r="S49" s="128">
        <f t="shared" si="263"/>
        <v>0.1342403829108314</v>
      </c>
      <c r="T49" s="128">
        <f t="shared" si="263"/>
        <v>0.23365590927004432</v>
      </c>
      <c r="U49" s="244">
        <f t="shared" si="263"/>
        <v>0.18670915389888298</v>
      </c>
      <c r="V49" s="128">
        <f t="shared" si="263"/>
        <v>0.31493966590801725</v>
      </c>
      <c r="W49" s="128">
        <f t="shared" si="263"/>
        <v>0.27596487645497247</v>
      </c>
      <c r="X49" s="128">
        <f t="shared" si="263"/>
        <v>0.2586644785683585</v>
      </c>
      <c r="Y49" s="128">
        <f t="shared" si="263"/>
        <v>0.17967557590600935</v>
      </c>
      <c r="Z49" s="244">
        <f t="shared" si="263"/>
        <v>0.2434938724533604</v>
      </c>
      <c r="AA49" s="128">
        <f t="shared" si="263"/>
        <v>0.13755265993925736</v>
      </c>
      <c r="AB49" s="128">
        <f t="shared" si="263"/>
        <v>0.18430318161449333</v>
      </c>
      <c r="AC49" s="128">
        <f t="shared" si="263"/>
        <v>0.20240275665104157</v>
      </c>
      <c r="AD49" s="128">
        <f t="shared" si="263"/>
        <v>0.19395215886866257</v>
      </c>
      <c r="AE49" s="244">
        <f t="shared" si="263"/>
        <v>0.17384372018279515</v>
      </c>
      <c r="AF49" s="128">
        <f t="shared" si="263"/>
        <v>0.16949444492291788</v>
      </c>
      <c r="AG49" s="128">
        <f t="shared" si="263"/>
        <v>0.15435135135135125</v>
      </c>
      <c r="AH49" s="128">
        <f t="shared" si="263"/>
        <v>0.16110293548137244</v>
      </c>
      <c r="AI49" s="128">
        <f t="shared" si="263"/>
        <v>0.15949698848315319</v>
      </c>
      <c r="AJ49" s="244">
        <f t="shared" si="263"/>
        <v>0.16208729505128394</v>
      </c>
      <c r="AK49" s="128">
        <f t="shared" si="263"/>
        <v>0.14117387141910309</v>
      </c>
      <c r="AL49" s="128">
        <f t="shared" si="263"/>
        <v>0.1079347240757651</v>
      </c>
      <c r="AM49" s="128">
        <f t="shared" si="263"/>
        <v>5.8790830053587761E-2</v>
      </c>
      <c r="AN49" s="128">
        <f t="shared" si="263"/>
        <v>3.9208867637470224E-2</v>
      </c>
      <c r="AO49" s="244">
        <f t="shared" si="263"/>
        <v>8.6743240009571565E-2</v>
      </c>
      <c r="AP49" s="128">
        <f t="shared" si="263"/>
        <v>3.5213388401307943E-2</v>
      </c>
      <c r="AQ49" s="128">
        <f t="shared" si="263"/>
        <v>2.5717968766509669E-2</v>
      </c>
      <c r="AR49" s="128">
        <f t="shared" ref="AR49:BW49" si="264">AR48/AM48-1</f>
        <v>3.7570615536468122E-2</v>
      </c>
      <c r="AS49" s="128">
        <f t="shared" si="264"/>
        <v>6.3767934077885169E-2</v>
      </c>
      <c r="AT49" s="244">
        <f t="shared" si="264"/>
        <v>4.4851328347970565E-2</v>
      </c>
      <c r="AU49" s="128">
        <f t="shared" si="264"/>
        <v>8.8332467532467485E-2</v>
      </c>
      <c r="AV49" s="128">
        <f t="shared" si="264"/>
        <v>9.9138819069594986E-2</v>
      </c>
      <c r="AW49" s="128">
        <f t="shared" si="264"/>
        <v>9.2620329514633948E-2</v>
      </c>
      <c r="AX49" s="128">
        <f t="shared" si="264"/>
        <v>7.7738238011914262E-2</v>
      </c>
      <c r="AY49" s="244">
        <f t="shared" si="264"/>
        <v>8.6208713272543092E-2</v>
      </c>
      <c r="AZ49" s="128">
        <f t="shared" si="264"/>
        <v>6.0867572934168335E-2</v>
      </c>
      <c r="BA49" s="128">
        <f t="shared" si="264"/>
        <v>4.4779756326148057E-2</v>
      </c>
      <c r="BB49" s="128">
        <f t="shared" si="264"/>
        <v>4.0143010633173937E-2</v>
      </c>
      <c r="BC49" s="128">
        <f t="shared" si="264"/>
        <v>5.0677709469689969E-2</v>
      </c>
      <c r="BD49" s="244">
        <f t="shared" si="264"/>
        <v>5.2055428285737726E-2</v>
      </c>
      <c r="BE49" s="128">
        <f t="shared" si="264"/>
        <v>5.8905046432942143E-2</v>
      </c>
      <c r="BF49" s="128">
        <f t="shared" si="264"/>
        <v>7.5225605052117839E-2</v>
      </c>
      <c r="BG49" s="128">
        <f t="shared" si="264"/>
        <v>9.2005200448805891E-2</v>
      </c>
      <c r="BH49" s="128">
        <f t="shared" si="264"/>
        <v>8.5615070752669498E-2</v>
      </c>
      <c r="BI49" s="244">
        <f t="shared" si="264"/>
        <v>7.6212700461744776E-2</v>
      </c>
      <c r="BJ49" s="128">
        <f t="shared" si="264"/>
        <v>8.4759590053877565E-2</v>
      </c>
      <c r="BK49" s="128">
        <f t="shared" si="264"/>
        <v>9.1119935927384432E-2</v>
      </c>
      <c r="BL49" s="128">
        <f t="shared" si="264"/>
        <v>8.8771100057082331E-2</v>
      </c>
      <c r="BM49" s="128">
        <f t="shared" si="264"/>
        <v>7.6576144323961204E-2</v>
      </c>
      <c r="BN49" s="244">
        <f t="shared" si="264"/>
        <v>8.2744575962881983E-2</v>
      </c>
      <c r="BO49" s="128">
        <f t="shared" si="264"/>
        <v>4.7333291551767465E-2</v>
      </c>
      <c r="BP49" s="128">
        <f t="shared" si="264"/>
        <v>9.9246096677014783E-3</v>
      </c>
      <c r="BQ49" s="128">
        <f t="shared" si="264"/>
        <v>-1.9368465202672325E-2</v>
      </c>
      <c r="BR49" s="128">
        <f t="shared" si="264"/>
        <v>-2.8285349258698078E-2</v>
      </c>
      <c r="BS49" s="244">
        <f t="shared" si="264"/>
        <v>5.2956107300030641E-3</v>
      </c>
      <c r="BT49" s="128">
        <f t="shared" si="264"/>
        <v>-3.7040915550901388E-2</v>
      </c>
      <c r="BU49" s="128">
        <f t="shared" si="264"/>
        <v>-4.7121528724145212E-2</v>
      </c>
      <c r="BV49" s="128">
        <f t="shared" si="264"/>
        <v>-5.19361490872986E-2</v>
      </c>
      <c r="BW49" s="128">
        <f t="shared" si="264"/>
        <v>-5.7208377923864906E-2</v>
      </c>
      <c r="BX49" s="244">
        <f t="shared" ref="BX49:DA49" si="265">BX48/BS48-1</f>
        <v>-4.6694962974624166E-2</v>
      </c>
      <c r="BY49" s="128">
        <f t="shared" si="265"/>
        <v>-3.7036461650794661E-2</v>
      </c>
      <c r="BZ49" s="128">
        <f t="shared" si="265"/>
        <v>-0.99987287462259655</v>
      </c>
      <c r="CA49" s="128">
        <f t="shared" si="265"/>
        <v>1.1004591960041887E-2</v>
      </c>
      <c r="CB49" s="128">
        <f t="shared" si="265"/>
        <v>2.3399494064993087E-2</v>
      </c>
      <c r="CC49" s="244">
        <f t="shared" si="265"/>
        <v>-6.2434500936834336E-3</v>
      </c>
      <c r="CD49" s="128">
        <f t="shared" si="265"/>
        <v>1.8391546341856913E-2</v>
      </c>
      <c r="CE49" s="128">
        <f t="shared" si="265"/>
        <v>7890.25</v>
      </c>
      <c r="CF49" s="128">
        <f t="shared" si="265"/>
        <v>1.8008542104927638E-2</v>
      </c>
      <c r="CG49" s="128">
        <f t="shared" si="265"/>
        <v>2.6889131847063208E-2</v>
      </c>
      <c r="CH49" s="244">
        <f t="shared" si="265"/>
        <v>2.0484207027904544E-2</v>
      </c>
      <c r="CI49" s="128">
        <f t="shared" si="265"/>
        <v>3.9619801980198099E-2</v>
      </c>
      <c r="CJ49" s="128">
        <f t="shared" si="265"/>
        <v>4.8994139078092802E-2</v>
      </c>
      <c r="CK49" s="128">
        <f t="shared" si="265"/>
        <v>4.9625849275180878E-2</v>
      </c>
      <c r="CL49" s="128">
        <f t="shared" si="265"/>
        <v>5.1799160597457039E-2</v>
      </c>
      <c r="CM49" s="244">
        <f t="shared" si="265"/>
        <v>4.6252513042770227E-2</v>
      </c>
      <c r="CN49" s="128">
        <f t="shared" si="265"/>
        <v>5.4018224484198241E-2</v>
      </c>
      <c r="CO49" s="128">
        <f t="shared" si="265"/>
        <v>3.9215982362623247E-2</v>
      </c>
      <c r="CP49" s="128">
        <f t="shared" si="265"/>
        <v>2.2729984488724542E-2</v>
      </c>
      <c r="CQ49" s="128">
        <f t="shared" si="265"/>
        <v>2.7565466148316675E-2</v>
      </c>
      <c r="CR49" s="110">
        <f t="shared" si="265"/>
        <v>3.7054330388142542E-2</v>
      </c>
      <c r="CS49" s="128">
        <f t="shared" si="265"/>
        <v>0.14008760896907657</v>
      </c>
      <c r="CT49" s="128">
        <f t="shared" si="265"/>
        <v>0.26210403952339445</v>
      </c>
      <c r="CU49" s="128">
        <f t="shared" si="265"/>
        <v>0.25443329638919665</v>
      </c>
      <c r="CV49" s="128">
        <f t="shared" si="265"/>
        <v>0.21926217805950543</v>
      </c>
      <c r="CW49" s="110">
        <f>CW48/CR48-1</f>
        <v>0.19924152341810886</v>
      </c>
      <c r="CX49" s="128">
        <f t="shared" si="265"/>
        <v>8.1878241462826962E-2</v>
      </c>
      <c r="CY49" s="128">
        <f t="shared" si="265"/>
        <v>-1.9572175274586101E-2</v>
      </c>
      <c r="CZ49" s="128">
        <f t="shared" si="265"/>
        <v>-8.7887559725177145E-3</v>
      </c>
      <c r="DA49" s="128">
        <f t="shared" si="265"/>
        <v>2.0022950282194696E-3</v>
      </c>
      <c r="DB49" s="110">
        <f t="shared" ref="DB49:DT49" si="266">DB48/CW48-1</f>
        <v>2.816243820965636E-2</v>
      </c>
      <c r="DC49" s="128">
        <f t="shared" si="266"/>
        <v>1.3291450807566996E-2</v>
      </c>
      <c r="DD49" s="128">
        <f t="shared" si="266"/>
        <v>2.4307757345170211E-2</v>
      </c>
      <c r="DE49" s="128">
        <f t="shared" si="266"/>
        <v>4.2855634917842389E-2</v>
      </c>
      <c r="DF49" s="128">
        <f t="shared" si="266"/>
        <v>5.7623315765486849E-2</v>
      </c>
      <c r="DG49" s="110">
        <f t="shared" si="266"/>
        <v>3.347689714900981E-2</v>
      </c>
      <c r="DH49" s="128">
        <f t="shared" si="266"/>
        <v>5.9767269698792314E-2</v>
      </c>
      <c r="DI49" s="128">
        <f t="shared" si="266"/>
        <v>5.8776998211583331E-2</v>
      </c>
      <c r="DJ49" s="128">
        <f t="shared" si="266"/>
        <v>3.6652158754793884E-2</v>
      </c>
      <c r="DK49" s="128">
        <f t="shared" si="266"/>
        <v>1.552417572703968E-2</v>
      </c>
      <c r="DL49" s="110">
        <f t="shared" si="266"/>
        <v>4.0292442958674846E-2</v>
      </c>
      <c r="DM49" s="128">
        <f t="shared" si="266"/>
        <v>3.6018729739462074E-4</v>
      </c>
      <c r="DN49" s="128">
        <f t="shared" si="266"/>
        <v>-1.4595852958692035E-2</v>
      </c>
      <c r="DO49" s="128">
        <f t="shared" si="266"/>
        <v>-1.9658045478215591E-2</v>
      </c>
      <c r="DP49" s="128">
        <f t="shared" si="266"/>
        <v>-2.0999031650872024E-2</v>
      </c>
      <c r="DQ49" s="110">
        <f>DQ48/DL48-1</f>
        <v>-1.2231337304490109E-2</v>
      </c>
      <c r="DR49" s="128">
        <f t="shared" si="266"/>
        <v>-1.8090167154017345E-2</v>
      </c>
      <c r="DS49" s="128">
        <f t="shared" si="266"/>
        <v>-3.6920236904853798E-3</v>
      </c>
      <c r="DT49" s="128">
        <f t="shared" si="266"/>
        <v>9.8933203488114074E-3</v>
      </c>
      <c r="DU49" s="128">
        <f>DU48/DP48-1</f>
        <v>2.2771980128696745E-2</v>
      </c>
      <c r="DV49" s="110">
        <f>DV48/DQ48-1</f>
        <v>3.0108399053105916E-3</v>
      </c>
      <c r="DW49" s="128">
        <f>DW48/DR48-1</f>
        <v>3.6546880903171264E-2</v>
      </c>
      <c r="DX49" s="128">
        <f>DX48/DS48-1</f>
        <v>4.388393201795493E-2</v>
      </c>
      <c r="DY49" s="128">
        <f>DY48/DT48-1</f>
        <v>5.51074974248833E-2</v>
      </c>
      <c r="DZ49" s="128">
        <f t="shared" ref="DZ49:EA49" si="267">DZ48/DU48-1</f>
        <v>6.733820141696012E-2</v>
      </c>
      <c r="EA49" s="110">
        <f t="shared" si="267"/>
        <v>5.1083373621060968E-2</v>
      </c>
      <c r="EB49" s="128">
        <f>EB48/DW48-1</f>
        <v>7.7302402366990819E-2</v>
      </c>
      <c r="EC49" s="128">
        <f>EC48/DX48-1</f>
        <v>9.0459587955626031E-2</v>
      </c>
      <c r="ED49" s="128">
        <f>ED48/DY48-1</f>
        <v>9.4363725113462804E-2</v>
      </c>
      <c r="EE49" s="128">
        <f t="shared" ref="EE49:EF49" si="268">EE48/DZ48-1</f>
        <v>8.5344871468567174E-2</v>
      </c>
      <c r="EF49" s="110">
        <f t="shared" si="268"/>
        <v>8.4673828051498479E-2</v>
      </c>
      <c r="EG49" s="128">
        <f>EG48/EB48-1</f>
        <v>7.6561784783171216E-2</v>
      </c>
      <c r="EH49" s="128">
        <f>EH48/EC48-1</f>
        <v>6.5757857613455872E-2</v>
      </c>
      <c r="EI49" s="128">
        <f>EI48/ED48-1</f>
        <v>5.0496806582331244E-2</v>
      </c>
      <c r="EJ49" s="128">
        <f t="shared" ref="EJ49" si="269">EJ48/EE48-1</f>
        <v>4.5484391415278491E-2</v>
      </c>
      <c r="EK49" s="110">
        <f t="shared" ref="EK49" si="270">EK48/EF48-1</f>
        <v>6.0095681237302578E-2</v>
      </c>
      <c r="EL49" s="870"/>
      <c r="EM49" s="870"/>
      <c r="EN49" s="870"/>
      <c r="EO49" s="870"/>
      <c r="EP49" s="484"/>
      <c r="EQ49" s="128">
        <f>EQ48/EL48-1</f>
        <v>2.914208140873531E-2</v>
      </c>
      <c r="ER49" s="128">
        <f>ER48/EM48-1</f>
        <v>4.643330559316472E-2</v>
      </c>
      <c r="ES49" s="128">
        <f>ES48/EN48-1</f>
        <v>5.2039381153305087E-2</v>
      </c>
      <c r="ET49" s="128">
        <f t="shared" ref="ET49" si="271">ET48/EO48-1</f>
        <v>8.1293001648252483E-2</v>
      </c>
      <c r="EU49" s="110">
        <f t="shared" ref="EU49" si="272">EU48/EP48-1</f>
        <v>6.0882830288342182E-2</v>
      </c>
      <c r="EV49" s="43"/>
      <c r="EW49" s="43"/>
      <c r="EX49" s="43"/>
      <c r="EY49" s="43"/>
      <c r="EZ49" s="110">
        <f>EZ48/EU48-1</f>
        <v>3.6586281628835815E-2</v>
      </c>
      <c r="FA49" s="43"/>
      <c r="FB49" s="43"/>
      <c r="FC49" s="43"/>
      <c r="FD49" s="43"/>
      <c r="FE49" s="110">
        <f>FE48/EZ48-1</f>
        <v>4.6426218708827349E-2</v>
      </c>
      <c r="FF49" s="133"/>
      <c r="FG49" s="437"/>
      <c r="FL49" s="406" t="s">
        <v>555</v>
      </c>
      <c r="FM49" s="760"/>
      <c r="FN49" s="783">
        <v>0.15</v>
      </c>
      <c r="FO49" s="783">
        <f>+FS49*0.166666666666667+0%*0.833333333333333</f>
        <v>1.0000000000000019E-2</v>
      </c>
      <c r="FP49" s="783">
        <f>+FS49*0.833333333333333+3%*0.166666666666667</f>
        <v>5.4999999999999993E-2</v>
      </c>
      <c r="FQ49" s="784">
        <v>0.03</v>
      </c>
      <c r="FR49" s="784">
        <v>0.03</v>
      </c>
      <c r="FS49" s="784">
        <v>0.06</v>
      </c>
      <c r="FT49" s="190"/>
    </row>
    <row r="50" spans="1:183" ht="12.75" customHeight="1" x14ac:dyDescent="0.2">
      <c r="A50" s="217" t="s">
        <v>83</v>
      </c>
      <c r="B50" s="145"/>
      <c r="C50" s="145"/>
      <c r="D50" s="145"/>
      <c r="E50" s="145"/>
      <c r="F50" s="243"/>
      <c r="G50" s="145">
        <f t="shared" ref="G50:AL50" si="273">G47/G16</f>
        <v>83.075471698113205</v>
      </c>
      <c r="H50" s="145">
        <f t="shared" si="273"/>
        <v>84.171945701357473</v>
      </c>
      <c r="I50" s="145">
        <f t="shared" si="273"/>
        <v>96.949152542372886</v>
      </c>
      <c r="J50" s="145">
        <f t="shared" si="273"/>
        <v>79.820408163265313</v>
      </c>
      <c r="K50" s="243">
        <f t="shared" si="273"/>
        <v>85.026086956521738</v>
      </c>
      <c r="L50" s="145">
        <f t="shared" si="273"/>
        <v>81.253968253968253</v>
      </c>
      <c r="M50" s="145">
        <f t="shared" si="273"/>
        <v>83.639097744360896</v>
      </c>
      <c r="N50" s="145">
        <f t="shared" si="273"/>
        <v>82.599277978339344</v>
      </c>
      <c r="O50" s="145">
        <f t="shared" si="273"/>
        <v>81.407142857142858</v>
      </c>
      <c r="P50" s="243">
        <f t="shared" si="273"/>
        <v>86.015094339622635</v>
      </c>
      <c r="Q50" s="145">
        <f t="shared" si="273"/>
        <v>83.438596491228068</v>
      </c>
      <c r="R50" s="145">
        <f t="shared" si="273"/>
        <v>85.680272108843539</v>
      </c>
      <c r="S50" s="145">
        <f t="shared" si="273"/>
        <v>84.954248366013076</v>
      </c>
      <c r="T50" s="145">
        <f t="shared" si="273"/>
        <v>90.868263473053887</v>
      </c>
      <c r="U50" s="243">
        <f t="shared" si="273"/>
        <v>95.141065830721004</v>
      </c>
      <c r="V50" s="145">
        <f t="shared" si="273"/>
        <v>85.811111111111117</v>
      </c>
      <c r="W50" s="145">
        <f t="shared" si="273"/>
        <v>85.153638814016176</v>
      </c>
      <c r="X50" s="145">
        <f t="shared" si="273"/>
        <v>85.505208333333329</v>
      </c>
      <c r="Y50" s="145">
        <f t="shared" si="273"/>
        <v>85.370558375634516</v>
      </c>
      <c r="Z50" s="243">
        <f t="shared" si="273"/>
        <v>89.220159151193627</v>
      </c>
      <c r="AA50" s="145">
        <f t="shared" si="273"/>
        <v>89.404466501240691</v>
      </c>
      <c r="AB50" s="145">
        <f t="shared" si="273"/>
        <v>91.714975845410635</v>
      </c>
      <c r="AC50" s="145">
        <f t="shared" si="273"/>
        <v>92.065268065268071</v>
      </c>
      <c r="AD50" s="145">
        <f t="shared" si="273"/>
        <v>89.990970654627546</v>
      </c>
      <c r="AE50" s="243">
        <f t="shared" si="273"/>
        <v>94.245862884160758</v>
      </c>
      <c r="AF50" s="145">
        <f t="shared" si="273"/>
        <v>91.849889624724057</v>
      </c>
      <c r="AG50" s="145">
        <f t="shared" si="273"/>
        <v>94.021459227467815</v>
      </c>
      <c r="AH50" s="145">
        <f t="shared" si="273"/>
        <v>96.510460251046027</v>
      </c>
      <c r="AI50" s="145">
        <f t="shared" si="273"/>
        <v>94.809917355371894</v>
      </c>
      <c r="AJ50" s="243">
        <f t="shared" si="273"/>
        <v>98.261241970021416</v>
      </c>
      <c r="AK50" s="145">
        <f t="shared" si="273"/>
        <v>96.294478527607367</v>
      </c>
      <c r="AL50" s="145">
        <f t="shared" si="273"/>
        <v>95.489959839357425</v>
      </c>
      <c r="AM50" s="145">
        <f t="shared" ref="AM50:BM50" si="274">AM47/AM16</f>
        <v>93.490196078431367</v>
      </c>
      <c r="AN50" s="145">
        <f t="shared" si="274"/>
        <v>92.385356454720622</v>
      </c>
      <c r="AO50" s="243">
        <f t="shared" si="274"/>
        <v>95.134920634920633</v>
      </c>
      <c r="AP50" s="145">
        <f t="shared" si="274"/>
        <v>92.003809523809522</v>
      </c>
      <c r="AQ50" s="145">
        <f t="shared" si="274"/>
        <v>90.826815642458101</v>
      </c>
      <c r="AR50" s="145">
        <f t="shared" si="274"/>
        <v>91.143897996357012</v>
      </c>
      <c r="AS50" s="145">
        <f t="shared" si="274"/>
        <v>92.964028776978424</v>
      </c>
      <c r="AT50" s="243">
        <f t="shared" si="274"/>
        <v>95.541589648798521</v>
      </c>
      <c r="AU50" s="145">
        <f t="shared" si="274"/>
        <v>93.587301587301582</v>
      </c>
      <c r="AV50" s="145">
        <f t="shared" si="274"/>
        <v>92.316695352839929</v>
      </c>
      <c r="AW50" s="145">
        <f t="shared" si="274"/>
        <v>90.546666666666667</v>
      </c>
      <c r="AX50" s="145">
        <f t="shared" si="274"/>
        <v>89.491909385113274</v>
      </c>
      <c r="AY50" s="243">
        <f t="shared" si="274"/>
        <v>93.422297297297291</v>
      </c>
      <c r="AZ50" s="145">
        <f t="shared" si="274"/>
        <v>89.030303030303031</v>
      </c>
      <c r="BA50" s="145">
        <f t="shared" si="274"/>
        <v>87.098591549295776</v>
      </c>
      <c r="BB50" s="145">
        <f t="shared" si="274"/>
        <v>86.082066869300917</v>
      </c>
      <c r="BC50" s="145">
        <f t="shared" si="274"/>
        <v>86.353982300884951</v>
      </c>
      <c r="BD50" s="243">
        <f t="shared" si="274"/>
        <v>89.25</v>
      </c>
      <c r="BE50" s="145">
        <f t="shared" si="274"/>
        <v>84.951149425287355</v>
      </c>
      <c r="BF50" s="145">
        <f t="shared" si="274"/>
        <v>85.788135593220332</v>
      </c>
      <c r="BG50" s="145">
        <f t="shared" si="274"/>
        <v>86.68347338935574</v>
      </c>
      <c r="BH50" s="145">
        <f t="shared" si="274"/>
        <v>88.583450210378686</v>
      </c>
      <c r="BI50" s="243">
        <f t="shared" si="274"/>
        <v>90.35765379113019</v>
      </c>
      <c r="BJ50" s="145">
        <f t="shared" si="274"/>
        <v>90.319327731092443</v>
      </c>
      <c r="BK50" s="145">
        <f t="shared" si="274"/>
        <v>91.445517241379306</v>
      </c>
      <c r="BL50" s="145">
        <f t="shared" si="274"/>
        <v>91.328804347826093</v>
      </c>
      <c r="BM50" s="145">
        <f t="shared" si="274"/>
        <v>90.483221476510067</v>
      </c>
      <c r="BN50" s="243">
        <f>AVERAGE(BJ50:BM50)</f>
        <v>90.89421769920196</v>
      </c>
      <c r="BO50" s="145">
        <f>BO47/BO16</f>
        <v>88.138297872340431</v>
      </c>
      <c r="BP50" s="145">
        <f>BP47/BP16</f>
        <v>87.042328042328037</v>
      </c>
      <c r="BQ50" s="145">
        <f>BQ47/BQ16</f>
        <v>85.2434554973822</v>
      </c>
      <c r="BR50" s="145">
        <f>BR47/BR16</f>
        <v>84.985769728331178</v>
      </c>
      <c r="BS50" s="243">
        <f>AVERAGE(BO50:BR50)</f>
        <v>86.352462785095469</v>
      </c>
      <c r="BT50" s="145">
        <f>BT47/BT16</f>
        <v>80.722151088348269</v>
      </c>
      <c r="BU50" s="145">
        <f>BU47/BU16</f>
        <v>78.716791979949875</v>
      </c>
      <c r="BV50" s="145">
        <f>BV47/BV16</f>
        <v>74.77317073170731</v>
      </c>
      <c r="BW50" s="145">
        <f>BW47/BW16</f>
        <v>74.54567307692308</v>
      </c>
      <c r="BX50" s="243">
        <f>AVERAGE(BT50:BW50)</f>
        <v>77.189446719232137</v>
      </c>
      <c r="BY50" s="145">
        <f>BY47/BY16</f>
        <v>73.659928656361473</v>
      </c>
      <c r="BZ50" s="145">
        <f>BZ47/BZ16</f>
        <v>73.114219114219111</v>
      </c>
      <c r="CA50" s="145">
        <f>CA47/CA16</f>
        <v>71.894616265750287</v>
      </c>
      <c r="CB50" s="145">
        <f>CB47/CB16</f>
        <v>71.785067873303163</v>
      </c>
      <c r="CC50" s="243">
        <f>AVERAGE(BY50:CB50)</f>
        <v>72.613457977408501</v>
      </c>
      <c r="CD50" s="145">
        <f>CD47/CD16</f>
        <v>70.080357142857139</v>
      </c>
      <c r="CE50" s="145">
        <f>CE47/CE16</f>
        <v>69.515881708652799</v>
      </c>
      <c r="CF50" s="145">
        <f>CF47/CF16</f>
        <v>68.610458911419428</v>
      </c>
      <c r="CG50" s="145">
        <f>CG47/CG16</f>
        <v>68.3347280334728</v>
      </c>
      <c r="CH50" s="243">
        <f>AVERAGE(CD50:CG50)</f>
        <v>69.135356449100541</v>
      </c>
      <c r="CI50" s="145">
        <f>CI47/CI16</f>
        <v>67.962886597938137</v>
      </c>
      <c r="CJ50" s="145">
        <f>CJ47/CJ16</f>
        <v>67.261880687563192</v>
      </c>
      <c r="CK50" s="145">
        <f>CK47/CK16</f>
        <v>66.838773491592477</v>
      </c>
      <c r="CL50" s="145">
        <f>CL47/CL16</f>
        <v>66.688651794374394</v>
      </c>
      <c r="CM50" s="243">
        <f>AVERAGE(CI50:CL50)</f>
        <v>67.188048142867046</v>
      </c>
      <c r="CN50" s="145">
        <f>CN47/CN16</f>
        <v>66.462273161413563</v>
      </c>
      <c r="CO50" s="145">
        <f>CO47/CO16</f>
        <v>64.080979284369121</v>
      </c>
      <c r="CP50" s="145">
        <f>CP47/CP16</f>
        <v>64.389561975768871</v>
      </c>
      <c r="CQ50" s="145">
        <f>CQ47/CQ16</f>
        <v>66.0446511627907</v>
      </c>
      <c r="CR50" s="97">
        <f>AVERAGE(CN50:CQ50)</f>
        <v>65.244366396085553</v>
      </c>
      <c r="CS50" s="145">
        <f>CS47/CS16</f>
        <v>71.554455445544548</v>
      </c>
      <c r="CT50" s="145">
        <f>CT47/CT16</f>
        <v>64.24815361890694</v>
      </c>
      <c r="CU50" s="145">
        <f>CU47/CU16</f>
        <v>62.533823529411762</v>
      </c>
      <c r="CV50" s="145">
        <f>CV47/CV16</f>
        <v>63.243362831858406</v>
      </c>
      <c r="CW50" s="97">
        <f>AVERAGE(CS50:CV50)</f>
        <v>65.394948856430403</v>
      </c>
      <c r="CX50" s="145">
        <f>CX47/CX16</f>
        <v>62.686853766617432</v>
      </c>
      <c r="CY50" s="145">
        <f>CY47/CY16</f>
        <v>62.775900073475384</v>
      </c>
      <c r="CZ50" s="145">
        <f>CZ47/CZ16</f>
        <v>62.381231671554254</v>
      </c>
      <c r="DA50" s="145">
        <f>DA47/DA16</f>
        <v>62.907894736842103</v>
      </c>
      <c r="DB50" s="97">
        <f>AVERAGE(CX50:DA50)</f>
        <v>62.687970062122297</v>
      </c>
      <c r="DC50" s="145">
        <f>DC47/DC16</f>
        <v>63.114825581395351</v>
      </c>
      <c r="DD50" s="145">
        <f>DD47/DD16</f>
        <v>63.302023121387286</v>
      </c>
      <c r="DE50" s="145">
        <f>DE47/DE16</f>
        <v>64.769562096195259</v>
      </c>
      <c r="DF50" s="145">
        <f>DF47/DF16</f>
        <v>64.984967788117387</v>
      </c>
      <c r="DG50" s="97">
        <f>AVERAGE(DC50:DF50)</f>
        <v>64.042844646773815</v>
      </c>
      <c r="DH50" s="145">
        <f>DH47/DH16</f>
        <v>66.418103448275858</v>
      </c>
      <c r="DI50" s="145">
        <f>DI47/DI16</f>
        <v>66.419006479481638</v>
      </c>
      <c r="DJ50" s="145">
        <f>DJ47/DJ16</f>
        <v>66.399423215573179</v>
      </c>
      <c r="DK50" s="145">
        <f>DK47/DK16</f>
        <v>66.177489177489178</v>
      </c>
      <c r="DL50" s="97">
        <f>AVERAGE(DH50:DK50)</f>
        <v>66.353505580204967</v>
      </c>
      <c r="DM50" s="145">
        <f>DM47/DM16</f>
        <v>65.886330935251792</v>
      </c>
      <c r="DN50" s="145">
        <f>DN47/DN16</f>
        <v>64.965517241379317</v>
      </c>
      <c r="DO50" s="145">
        <f>DO47/DO16</f>
        <v>65.479332849891222</v>
      </c>
      <c r="DP50" s="145">
        <f>DP47/DP16</f>
        <v>65.782831988261194</v>
      </c>
      <c r="DQ50" s="97">
        <f>AVERAGE(DM50:DP50)</f>
        <v>65.528503253695874</v>
      </c>
      <c r="DR50" s="145">
        <f>DR47/DR16</f>
        <v>66.612094395280238</v>
      </c>
      <c r="DS50" s="145">
        <f>DS47/DS16</f>
        <v>66.972774098601917</v>
      </c>
      <c r="DT50" s="145">
        <f>DT47/DT16</f>
        <v>66.885964912280699</v>
      </c>
      <c r="DU50" s="145">
        <f>DU47/DU16</f>
        <v>68.56</v>
      </c>
      <c r="DV50" s="97">
        <f>AVERAGE(DR50:DU50)</f>
        <v>67.257708351540714</v>
      </c>
      <c r="DW50" s="145">
        <f>DW47/DW16</f>
        <v>69.947916666666671</v>
      </c>
      <c r="DX50" s="145">
        <f>DX47/DX16</f>
        <v>69.656432748538009</v>
      </c>
      <c r="DY50" s="145">
        <f>DY47/DY16</f>
        <v>70.444605358435922</v>
      </c>
      <c r="DZ50" s="145">
        <f>DZ47/DZ16</f>
        <v>71.03581661891117</v>
      </c>
      <c r="EA50" s="97">
        <f>AVERAGE(DW50:DZ50)</f>
        <v>70.271192848137943</v>
      </c>
      <c r="EB50" s="145">
        <f>EB47/EB16</f>
        <v>71.80677009873061</v>
      </c>
      <c r="EC50" s="145">
        <f>EC47/EC16</f>
        <v>72.995115143056523</v>
      </c>
      <c r="ED50" s="145">
        <f>ED47/ED16</f>
        <v>74.071179344033496</v>
      </c>
      <c r="EE50" s="145">
        <f>EE47/EE16</f>
        <v>74.510786360473205</v>
      </c>
      <c r="EF50" s="97">
        <f>AVERAGE(EB50:EE50)</f>
        <v>73.345962736573469</v>
      </c>
      <c r="EG50" s="145">
        <f>EG47/EG16</f>
        <v>75.382068965517234</v>
      </c>
      <c r="EH50" s="145">
        <f>EH47/EH16</f>
        <v>75.714090287277699</v>
      </c>
      <c r="EI50" s="145">
        <f>EI47/EI16</f>
        <v>77.843881856540079</v>
      </c>
      <c r="EJ50" s="145">
        <f>EJ47/EJ16</f>
        <v>80.559942569992828</v>
      </c>
      <c r="EK50" s="97">
        <f>AVERAGE(EG50:EJ50)</f>
        <v>77.37499591983196</v>
      </c>
      <c r="EL50" s="880">
        <f>EL47/EL16</f>
        <v>75.382068965517234</v>
      </c>
      <c r="EM50" s="880">
        <f>EM47/EM16</f>
        <v>75.714090287277699</v>
      </c>
      <c r="EN50" s="880">
        <f>EN47/EN16</f>
        <v>77.843881856540079</v>
      </c>
      <c r="EO50" s="880">
        <f>EO47/EO16</f>
        <v>80.559942569992828</v>
      </c>
      <c r="EP50" s="881">
        <f>AVERAGE(EL50:EO50)</f>
        <v>77.37499591983196</v>
      </c>
      <c r="EQ50" s="12">
        <f>EL50*(1+EQ51)</f>
        <v>77.643531034482749</v>
      </c>
      <c r="ER50" s="12">
        <f>EM50*(1+ER51)</f>
        <v>77.98551299589603</v>
      </c>
      <c r="ES50" s="12">
        <f>EN50*(1+ES51)</f>
        <v>77.843881856540079</v>
      </c>
      <c r="ET50" s="12">
        <f>EO50*(1+ET51)</f>
        <v>80.559942569992828</v>
      </c>
      <c r="EU50" s="97">
        <f>AVERAGE(EQ50:ET50)</f>
        <v>78.508217114227918</v>
      </c>
      <c r="EV50" s="12"/>
      <c r="EW50" s="12"/>
      <c r="EX50" s="12"/>
      <c r="EY50" s="12"/>
      <c r="EZ50" s="97">
        <f>EU50*(1+EZ51)</f>
        <v>79.685840370941335</v>
      </c>
      <c r="FA50" s="12"/>
      <c r="FB50" s="12"/>
      <c r="FC50" s="12"/>
      <c r="FD50" s="12"/>
      <c r="FE50" s="97">
        <f>EZ50*(1+FE51)</f>
        <v>80.881127976505454</v>
      </c>
      <c r="FF50" s="12"/>
      <c r="FG50" s="434"/>
      <c r="FH50" s="748"/>
      <c r="FI50" s="749"/>
      <c r="FJ50" s="749"/>
      <c r="FK50" s="749"/>
      <c r="FL50" s="785" t="s">
        <v>556</v>
      </c>
      <c r="FM50" s="760"/>
      <c r="FN50" s="783">
        <v>0.25</v>
      </c>
      <c r="FO50" s="784">
        <v>0.04</v>
      </c>
      <c r="FP50" s="784">
        <v>0.04</v>
      </c>
      <c r="FQ50" s="784">
        <v>0.04</v>
      </c>
      <c r="FR50" s="784">
        <v>0.04</v>
      </c>
      <c r="FS50" s="784">
        <v>0.2</v>
      </c>
      <c r="FT50" s="436"/>
    </row>
    <row r="51" spans="1:183" ht="12.75" customHeight="1" x14ac:dyDescent="0.2">
      <c r="A51" s="60" t="s">
        <v>244</v>
      </c>
      <c r="B51" s="128"/>
      <c r="C51" s="128"/>
      <c r="D51" s="128"/>
      <c r="E51" s="128"/>
      <c r="F51" s="244"/>
      <c r="G51" s="128"/>
      <c r="H51" s="128"/>
      <c r="I51" s="128"/>
      <c r="J51" s="128"/>
      <c r="K51" s="244"/>
      <c r="L51" s="128">
        <f t="shared" ref="L51:AL51" si="275">L50/G50-1</f>
        <v>-2.1925887472105887E-2</v>
      </c>
      <c r="M51" s="128">
        <f t="shared" si="275"/>
        <v>-6.3304697611140659E-3</v>
      </c>
      <c r="N51" s="128">
        <f t="shared" si="275"/>
        <v>-0.1480144404332131</v>
      </c>
      <c r="O51" s="128">
        <f t="shared" si="275"/>
        <v>1.9878809572509537E-2</v>
      </c>
      <c r="P51" s="244">
        <f t="shared" si="275"/>
        <v>1.1631811112354562E-2</v>
      </c>
      <c r="Q51" s="128">
        <f t="shared" si="275"/>
        <v>2.6886419016872054E-2</v>
      </c>
      <c r="R51" s="128">
        <f t="shared" si="275"/>
        <v>2.440454786733115E-2</v>
      </c>
      <c r="S51" s="128">
        <f t="shared" si="275"/>
        <v>2.8510786599021953E-2</v>
      </c>
      <c r="T51" s="128">
        <f t="shared" si="275"/>
        <v>0.11621978470014427</v>
      </c>
      <c r="U51" s="244">
        <f t="shared" si="275"/>
        <v>0.10609732583754794</v>
      </c>
      <c r="V51" s="128">
        <f t="shared" si="275"/>
        <v>2.843425848051595E-2</v>
      </c>
      <c r="W51" s="128">
        <f t="shared" si="275"/>
        <v>-6.1464941913157434E-3</v>
      </c>
      <c r="X51" s="128">
        <f t="shared" si="275"/>
        <v>6.4853727496536617E-3</v>
      </c>
      <c r="Y51" s="128">
        <f t="shared" si="275"/>
        <v>-6.0501927595982496E-2</v>
      </c>
      <c r="Z51" s="244">
        <f t="shared" si="275"/>
        <v>-6.2232923583829813E-2</v>
      </c>
      <c r="AA51" s="128">
        <f t="shared" si="275"/>
        <v>4.1875176111829893E-2</v>
      </c>
      <c r="AB51" s="128">
        <f t="shared" si="275"/>
        <v>7.705292601441327E-2</v>
      </c>
      <c r="AC51" s="128">
        <f t="shared" si="275"/>
        <v>7.6721171257323029E-2</v>
      </c>
      <c r="AD51" s="128">
        <f t="shared" si="275"/>
        <v>5.4121846769034754E-2</v>
      </c>
      <c r="AE51" s="244">
        <f t="shared" si="275"/>
        <v>5.6329239723171831E-2</v>
      </c>
      <c r="AF51" s="128">
        <f t="shared" si="275"/>
        <v>2.7352359665939296E-2</v>
      </c>
      <c r="AG51" s="128">
        <f t="shared" si="275"/>
        <v>2.5148383465148028E-2</v>
      </c>
      <c r="AH51" s="128">
        <f t="shared" si="275"/>
        <v>4.8283052655933245E-2</v>
      </c>
      <c r="AI51" s="128">
        <f t="shared" si="275"/>
        <v>5.3549224613197888E-2</v>
      </c>
      <c r="AJ51" s="244">
        <f t="shared" si="275"/>
        <v>4.2605361794989749E-2</v>
      </c>
      <c r="AK51" s="128">
        <f t="shared" si="275"/>
        <v>4.8389703254329453E-2</v>
      </c>
      <c r="AL51" s="128">
        <f t="shared" si="275"/>
        <v>1.5618781328811782E-2</v>
      </c>
      <c r="AM51" s="128">
        <f t="shared" ref="AM51:BR51" si="276">AM50/AH50-1</f>
        <v>-3.1294682097238513E-2</v>
      </c>
      <c r="AN51" s="128">
        <f t="shared" si="276"/>
        <v>-2.5572861661332325E-2</v>
      </c>
      <c r="AO51" s="244">
        <f t="shared" si="276"/>
        <v>-3.18164239777734E-2</v>
      </c>
      <c r="AP51" s="128">
        <f t="shared" si="276"/>
        <v>-4.4557788456871084E-2</v>
      </c>
      <c r="AQ51" s="128">
        <f t="shared" si="276"/>
        <v>-4.883386907633136E-2</v>
      </c>
      <c r="AR51" s="128">
        <f t="shared" si="276"/>
        <v>-2.5096728646349042E-2</v>
      </c>
      <c r="AS51" s="128">
        <f t="shared" si="276"/>
        <v>6.2636801378952445E-3</v>
      </c>
      <c r="AT51" s="244">
        <f t="shared" si="276"/>
        <v>4.2746555225339211E-3</v>
      </c>
      <c r="AU51" s="128">
        <f t="shared" si="276"/>
        <v>1.7211157578016056E-2</v>
      </c>
      <c r="AV51" s="128">
        <f t="shared" si="276"/>
        <v>1.6403522460225473E-2</v>
      </c>
      <c r="AW51" s="128">
        <f t="shared" si="276"/>
        <v>-6.5526200087933084E-3</v>
      </c>
      <c r="AX51" s="128">
        <f t="shared" si="276"/>
        <v>-3.7349063261821414E-2</v>
      </c>
      <c r="AY51" s="244">
        <f t="shared" si="276"/>
        <v>-2.2181882877305492E-2</v>
      </c>
      <c r="AZ51" s="128">
        <f t="shared" si="276"/>
        <v>-4.8692487973356346E-2</v>
      </c>
      <c r="BA51" s="128">
        <f t="shared" si="276"/>
        <v>-5.6523944922424407E-2</v>
      </c>
      <c r="BB51" s="128">
        <f t="shared" si="276"/>
        <v>-4.9307169018175667E-2</v>
      </c>
      <c r="BC51" s="128">
        <f t="shared" si="276"/>
        <v>-3.5063807508283085E-2</v>
      </c>
      <c r="BD51" s="244">
        <f t="shared" si="276"/>
        <v>-4.4660615484757415E-2</v>
      </c>
      <c r="BE51" s="128">
        <f t="shared" si="276"/>
        <v>-4.5817586441632807E-2</v>
      </c>
      <c r="BF51" s="128">
        <f t="shared" si="276"/>
        <v>-1.5045661850154657E-2</v>
      </c>
      <c r="BG51" s="128">
        <f t="shared" si="276"/>
        <v>6.9864321562811416E-3</v>
      </c>
      <c r="BH51" s="128">
        <f t="shared" si="276"/>
        <v>2.5817777595080083E-2</v>
      </c>
      <c r="BI51" s="244">
        <f t="shared" si="276"/>
        <v>1.2410686735352172E-2</v>
      </c>
      <c r="BJ51" s="128">
        <f t="shared" si="276"/>
        <v>6.319135576295265E-2</v>
      </c>
      <c r="BK51" s="128">
        <f t="shared" si="276"/>
        <v>6.5945968041366987E-2</v>
      </c>
      <c r="BL51" s="128">
        <f t="shared" si="276"/>
        <v>5.3589580306789841E-2</v>
      </c>
      <c r="BM51" s="128">
        <f t="shared" si="276"/>
        <v>2.1446119581248757E-2</v>
      </c>
      <c r="BN51" s="244">
        <f t="shared" si="276"/>
        <v>5.9382231118139117E-3</v>
      </c>
      <c r="BO51" s="128">
        <f t="shared" si="276"/>
        <v>-2.4147985968690833E-2</v>
      </c>
      <c r="BP51" s="128">
        <f t="shared" si="276"/>
        <v>-4.8150957333738087E-2</v>
      </c>
      <c r="BQ51" s="128">
        <f t="shared" si="276"/>
        <v>-6.6631211192339945E-2</v>
      </c>
      <c r="BR51" s="128">
        <f t="shared" si="276"/>
        <v>-6.0756587337090551E-2</v>
      </c>
      <c r="BS51" s="244">
        <f t="shared" ref="BS51:DA51" si="277">BS50/BN50-1</f>
        <v>-4.9967479000002091E-2</v>
      </c>
      <c r="BT51" s="128">
        <f t="shared" si="277"/>
        <v>-8.4142160252898335E-2</v>
      </c>
      <c r="BU51" s="128">
        <f t="shared" si="277"/>
        <v>-9.5649280638834933E-2</v>
      </c>
      <c r="BV51" s="128">
        <f t="shared" si="277"/>
        <v>-0.12282801893215634</v>
      </c>
      <c r="BW51" s="128">
        <f t="shared" si="277"/>
        <v>-0.12284523261695834</v>
      </c>
      <c r="BX51" s="244">
        <f t="shared" si="277"/>
        <v>-0.10611180932577735</v>
      </c>
      <c r="BY51" s="128">
        <f t="shared" si="277"/>
        <v>-8.7488035647828366E-2</v>
      </c>
      <c r="BZ51" s="128">
        <f t="shared" si="277"/>
        <v>-7.1173795638900139E-2</v>
      </c>
      <c r="CA51" s="128">
        <f t="shared" si="277"/>
        <v>-3.8497156637713359E-2</v>
      </c>
      <c r="CB51" s="128">
        <f t="shared" si="277"/>
        <v>-3.7032400267836718E-2</v>
      </c>
      <c r="CC51" s="244">
        <f>CC50/BX50-1</f>
        <v>-5.9282569526223905E-2</v>
      </c>
      <c r="CD51" s="128">
        <f t="shared" si="277"/>
        <v>-4.8595913392799561E-2</v>
      </c>
      <c r="CE51" s="128">
        <f t="shared" si="277"/>
        <v>-4.9215288751767727E-2</v>
      </c>
      <c r="CF51" s="128">
        <f t="shared" si="277"/>
        <v>-4.5680156942368821E-2</v>
      </c>
      <c r="CG51" s="128">
        <f t="shared" si="277"/>
        <v>-4.8064868391850424E-2</v>
      </c>
      <c r="CH51" s="244">
        <f>CH50/CC50-1</f>
        <v>-4.7898855462716883E-2</v>
      </c>
      <c r="CI51" s="128">
        <f t="shared" si="277"/>
        <v>-3.0214893748366389E-2</v>
      </c>
      <c r="CJ51" s="128">
        <f t="shared" si="277"/>
        <v>-3.2424259977544723E-2</v>
      </c>
      <c r="CK51" s="128">
        <f t="shared" si="277"/>
        <v>-2.5822381134548489E-2</v>
      </c>
      <c r="CL51" s="128">
        <f t="shared" si="277"/>
        <v>-2.4088428921413163E-2</v>
      </c>
      <c r="CM51" s="244">
        <f>CM50/CH50-1</f>
        <v>-2.8166605428109115E-2</v>
      </c>
      <c r="CN51" s="128">
        <f t="shared" si="277"/>
        <v>-2.2079895537722827E-2</v>
      </c>
      <c r="CO51" s="128">
        <f t="shared" si="277"/>
        <v>-4.7291294425286901E-2</v>
      </c>
      <c r="CP51" s="128">
        <f t="shared" si="277"/>
        <v>-3.664357360075865E-2</v>
      </c>
      <c r="CQ51" s="128">
        <f t="shared" si="277"/>
        <v>-9.656824875833192E-3</v>
      </c>
      <c r="CR51" s="110">
        <f>CR50/CM50-1</f>
        <v>-2.8928980681928618E-2</v>
      </c>
      <c r="CS51" s="128">
        <f t="shared" si="277"/>
        <v>7.6617636471203232E-2</v>
      </c>
      <c r="CT51" s="128">
        <f t="shared" si="277"/>
        <v>2.608798061527029E-3</v>
      </c>
      <c r="CU51" s="128">
        <f t="shared" si="277"/>
        <v>-2.8820485641064986E-2</v>
      </c>
      <c r="CV51" s="128">
        <f t="shared" si="277"/>
        <v>-4.241506740685963E-2</v>
      </c>
      <c r="CW51" s="110">
        <f>CW50/CR50-1</f>
        <v>2.3079764378535206E-3</v>
      </c>
      <c r="CX51" s="128">
        <f t="shared" si="277"/>
        <v>-0.12392801571490786</v>
      </c>
      <c r="CY51" s="128">
        <f t="shared" si="277"/>
        <v>-2.2915110590793764E-2</v>
      </c>
      <c r="CZ51" s="128">
        <f t="shared" si="277"/>
        <v>-2.440149174402273E-3</v>
      </c>
      <c r="DA51" s="128">
        <f t="shared" si="277"/>
        <v>-5.3044000191481144E-3</v>
      </c>
      <c r="DB51" s="110">
        <f t="shared" ref="DB51:DT51" si="278">DB50/CW50-1</f>
        <v>-4.1394310136262491E-2</v>
      </c>
      <c r="DC51" s="128">
        <f t="shared" si="278"/>
        <v>6.8271382126028346E-3</v>
      </c>
      <c r="DD51" s="128">
        <f t="shared" si="278"/>
        <v>8.3809717948466478E-3</v>
      </c>
      <c r="DE51" s="128">
        <f t="shared" si="278"/>
        <v>3.8286041500685597E-2</v>
      </c>
      <c r="DF51" s="128">
        <f t="shared" si="278"/>
        <v>3.3017684981577533E-2</v>
      </c>
      <c r="DG51" s="110">
        <f t="shared" si="278"/>
        <v>2.1612991827760109E-2</v>
      </c>
      <c r="DH51" s="128">
        <f t="shared" si="278"/>
        <v>5.2337590042461191E-2</v>
      </c>
      <c r="DI51" s="128">
        <f t="shared" si="278"/>
        <v>4.9239869508076461E-2</v>
      </c>
      <c r="DJ51" s="128">
        <f t="shared" si="278"/>
        <v>2.5163997819797945E-2</v>
      </c>
      <c r="DK51" s="128">
        <f t="shared" si="278"/>
        <v>1.8350726790540062E-2</v>
      </c>
      <c r="DL51" s="110">
        <f t="shared" si="278"/>
        <v>3.6079923466478148E-2</v>
      </c>
      <c r="DM51" s="128">
        <f t="shared" si="278"/>
        <v>-8.006439290128009E-3</v>
      </c>
      <c r="DN51" s="128">
        <f t="shared" si="278"/>
        <v>-2.1883634145466124E-2</v>
      </c>
      <c r="DO51" s="128">
        <f t="shared" si="278"/>
        <v>-1.3856902983852448E-2</v>
      </c>
      <c r="DP51" s="128">
        <f t="shared" si="278"/>
        <v>-5.9636168451405736E-3</v>
      </c>
      <c r="DQ51" s="110">
        <f>DQ50/DL50-1</f>
        <v>-1.243343994104229E-2</v>
      </c>
      <c r="DR51" s="128">
        <f t="shared" si="278"/>
        <v>1.1015387406253963E-2</v>
      </c>
      <c r="DS51" s="128">
        <f t="shared" si="278"/>
        <v>3.0897265848967903E-2</v>
      </c>
      <c r="DT51" s="128">
        <f t="shared" si="278"/>
        <v>2.148207688087056E-2</v>
      </c>
      <c r="DU51" s="128">
        <f t="shared" ref="DU51:EF51" si="279">DU50/DP50-1</f>
        <v>4.2217215765876226E-2</v>
      </c>
      <c r="DV51" s="110">
        <f t="shared" si="279"/>
        <v>2.6388594458661263E-2</v>
      </c>
      <c r="DW51" s="128">
        <f t="shared" si="279"/>
        <v>5.0078327391891664E-2</v>
      </c>
      <c r="DX51" s="128">
        <f t="shared" si="279"/>
        <v>4.0070889791499864E-2</v>
      </c>
      <c r="DY51" s="128">
        <f t="shared" si="279"/>
        <v>5.320459158841917E-2</v>
      </c>
      <c r="DZ51" s="128">
        <f t="shared" si="279"/>
        <v>3.611167763872758E-2</v>
      </c>
      <c r="EA51" s="110">
        <f t="shared" si="279"/>
        <v>4.4805042729770594E-2</v>
      </c>
      <c r="EB51" s="128">
        <f t="shared" si="279"/>
        <v>2.6574821962492612E-2</v>
      </c>
      <c r="EC51" s="128">
        <f t="shared" si="279"/>
        <v>4.7930711677000026E-2</v>
      </c>
      <c r="ED51" s="128">
        <f t="shared" si="279"/>
        <v>5.148121658351057E-2</v>
      </c>
      <c r="EE51" s="128">
        <f t="shared" ref="EE51" si="280">EE50/DZ50-1</f>
        <v>4.8918558369003495E-2</v>
      </c>
      <c r="EF51" s="110">
        <f t="shared" si="279"/>
        <v>4.3755766250906936E-2</v>
      </c>
      <c r="EG51" s="128">
        <f t="shared" ref="EG51:EJ51" si="281">EG50/EB50-1</f>
        <v>4.9790554036489576E-2</v>
      </c>
      <c r="EH51" s="128">
        <f t="shared" si="281"/>
        <v>3.7248727382544811E-2</v>
      </c>
      <c r="EI51" s="128">
        <f t="shared" si="281"/>
        <v>5.093347434072526E-2</v>
      </c>
      <c r="EJ51" s="128">
        <f t="shared" si="281"/>
        <v>8.1184973411159822E-2</v>
      </c>
      <c r="EK51" s="110">
        <f t="shared" ref="EK51" si="282">EK50/EF50-1</f>
        <v>5.4931901265363514E-2</v>
      </c>
      <c r="EL51" s="870"/>
      <c r="EM51" s="870"/>
      <c r="EN51" s="870"/>
      <c r="EO51" s="870"/>
      <c r="EP51" s="484"/>
      <c r="EQ51" s="133">
        <v>0.03</v>
      </c>
      <c r="ER51" s="133">
        <v>0.03</v>
      </c>
      <c r="ES51" s="133">
        <v>0</v>
      </c>
      <c r="ET51" s="133">
        <v>0</v>
      </c>
      <c r="EU51" s="110">
        <f>EU50/EP50-1</f>
        <v>1.464583204075498E-2</v>
      </c>
      <c r="EV51" s="133"/>
      <c r="EW51" s="133"/>
      <c r="EX51" s="133"/>
      <c r="EY51" s="133"/>
      <c r="EZ51" s="609">
        <v>1.4999999999999999E-2</v>
      </c>
      <c r="FA51" s="133"/>
      <c r="FB51" s="133"/>
      <c r="FC51" s="133"/>
      <c r="FD51" s="133"/>
      <c r="FE51" s="609">
        <v>1.4999999999999999E-2</v>
      </c>
      <c r="FF51" s="43"/>
      <c r="FG51" s="435"/>
      <c r="FH51" s="750" t="e">
        <f>+FH50/FK50-1</f>
        <v>#DIV/0!</v>
      </c>
      <c r="FI51" s="751" t="e">
        <f>+FI50/FH50-1</f>
        <v>#DIV/0!</v>
      </c>
      <c r="FJ51" s="751" t="e">
        <f>+FJ50/FI50-1</f>
        <v>#DIV/0!</v>
      </c>
      <c r="FK51" s="751" t="e">
        <f>+FK50/FJ50-1</f>
        <v>#DIV/0!</v>
      </c>
      <c r="FL51" s="785" t="s">
        <v>559</v>
      </c>
      <c r="FM51" s="760"/>
      <c r="FN51" s="783">
        <v>0.1</v>
      </c>
      <c r="FO51" s="784">
        <v>0.03</v>
      </c>
      <c r="FP51" s="784">
        <v>0.03</v>
      </c>
      <c r="FQ51" s="784">
        <v>0.03</v>
      </c>
      <c r="FR51" s="784">
        <v>0</v>
      </c>
      <c r="FS51" s="783" t="s">
        <v>549</v>
      </c>
      <c r="FT51" s="190"/>
    </row>
    <row r="52" spans="1:183" ht="12.75" customHeight="1" x14ac:dyDescent="0.2">
      <c r="A52" s="68" t="s">
        <v>84</v>
      </c>
      <c r="B52" s="522"/>
      <c r="C52" s="522"/>
      <c r="D52" s="522"/>
      <c r="E52" s="522"/>
      <c r="F52" s="114"/>
      <c r="G52" s="522">
        <f>(G39*1000000)/G$48*4</f>
        <v>43397.681625157813</v>
      </c>
      <c r="H52" s="522">
        <f>(H39*1000000)/H$48*4</f>
        <v>43434.251946760924</v>
      </c>
      <c r="I52" s="522">
        <f>(I39*1000000)/I$48*4</f>
        <v>41538.209343811774</v>
      </c>
      <c r="J52" s="522">
        <f>(J39*1000000)/J$48*4</f>
        <v>42950.325195588659</v>
      </c>
      <c r="K52" s="114">
        <f>(K39*1000000)/K$48</f>
        <v>43221.086661799978</v>
      </c>
      <c r="L52" s="522">
        <f>(L39*1000000)/L$48*4</f>
        <v>47004.796163069543</v>
      </c>
      <c r="M52" s="522">
        <f>(M39*1000000)/M$48*4</f>
        <v>45806.572418312891</v>
      </c>
      <c r="N52" s="522">
        <f>(N39*1000000)/N$48*4</f>
        <v>45799.68090764049</v>
      </c>
      <c r="O52" s="522">
        <f>(O39*1000000)/O$48*4</f>
        <v>50403.818364934086</v>
      </c>
      <c r="P52" s="114">
        <f>(P39*1000000)/P$48</f>
        <v>47518.665357467064</v>
      </c>
      <c r="Q52" s="522">
        <f>(Q39*1000000)/Q$48*4</f>
        <v>47270.666036844588</v>
      </c>
      <c r="R52" s="522">
        <f>(R39*1000000)/R$48*4</f>
        <v>49046.845007147233</v>
      </c>
      <c r="S52" s="522">
        <f>(S39*1000000)/S$48*4</f>
        <v>49175.633962411594</v>
      </c>
      <c r="T52" s="522">
        <f>(T39*1000000)/T$48*4</f>
        <v>55859.15592943599</v>
      </c>
      <c r="U52" s="114">
        <f>(U39*1000000)/U$48</f>
        <v>50093.43532901413</v>
      </c>
      <c r="V52" s="522">
        <f>(V39*1000000)/V$48*4</f>
        <v>46481.826197707458</v>
      </c>
      <c r="W52" s="522">
        <f>(W39*1000000)/W$48*4</f>
        <v>48632.737980923113</v>
      </c>
      <c r="X52" s="522">
        <f>(X39*1000000)/X$48*4</f>
        <v>48626.08263744451</v>
      </c>
      <c r="Y52" s="522">
        <f>(Y39*1000000)/Y$48*4</f>
        <v>46309.252294268088</v>
      </c>
      <c r="Z52" s="114">
        <f>(Z39*1000000)/Z$48</f>
        <v>47457.879274845574</v>
      </c>
      <c r="AA52" s="522">
        <f>(AA39*1000000)/AA$48*4</f>
        <v>46753.825395458327</v>
      </c>
      <c r="AB52" s="522">
        <f>(AB39*1000000)/AB$48*4</f>
        <v>46974.7027027027</v>
      </c>
      <c r="AC52" s="522">
        <f>(AC39*1000000)/AC$48*4</f>
        <v>46179.743371285469</v>
      </c>
      <c r="AD52" s="522">
        <f>(AD39*1000000)/AD$48*4</f>
        <v>45073.259242458604</v>
      </c>
      <c r="AE52" s="114">
        <f>(AE39*1000000)/AE$48</f>
        <v>46416.753120354231</v>
      </c>
      <c r="AF52" s="522">
        <f>(AF39*1000000)/AF$48*4</f>
        <v>46614.134570537841</v>
      </c>
      <c r="AG52" s="522">
        <f>(AG39*1000000)/AG$48*4</f>
        <v>48339.397344946265</v>
      </c>
      <c r="AH52" s="522">
        <f>(AH39*1000000)/AH$48*4</f>
        <v>45324.616992417672</v>
      </c>
      <c r="AI52" s="522">
        <f>(AI39*1000000)/AI$48*4</f>
        <v>43378.048250380351</v>
      </c>
      <c r="AJ52" s="114">
        <f>(AJ39*1000000)/AJ$48</f>
        <v>46004.703002190443</v>
      </c>
      <c r="AK52" s="522">
        <f>(AK39*1000000)/AK$48*4</f>
        <v>45739.803820340727</v>
      </c>
      <c r="AL52" s="522">
        <f>(AL39*1000000)/AL$48*4</f>
        <v>47782.084064157563</v>
      </c>
      <c r="AM52" s="522">
        <f>(AM39*1000000)/AM$48*4</f>
        <v>49231.492954197027</v>
      </c>
      <c r="AN52" s="522">
        <f>(AN39*1000000)/AN$48*4</f>
        <v>49371.146526122058</v>
      </c>
      <c r="AO52" s="114">
        <f>(AO39*1000000)/AO$48</f>
        <v>48126.339145826103</v>
      </c>
      <c r="AP52" s="522">
        <f>(AP39*1000000)/AP$48*4</f>
        <v>49576.228571428568</v>
      </c>
      <c r="AQ52" s="522">
        <f>(AQ39*1000000)/AQ$48*4</f>
        <v>52831.018995426261</v>
      </c>
      <c r="AR52" s="522">
        <f>(AR39*1000000)/AR$48*4</f>
        <v>54350.321823260332</v>
      </c>
      <c r="AS52" s="522">
        <f>(AS39*1000000)/AS$48*4</f>
        <v>52142.736370249491</v>
      </c>
      <c r="AT52" s="114">
        <f>(AT39*1000000)/AT$48</f>
        <v>52115.177304964542</v>
      </c>
      <c r="AU52" s="522">
        <f>(AU39*1000000)/AU$48*4</f>
        <v>52544.982434702921</v>
      </c>
      <c r="AV52" s="522">
        <f>(AV39*1000000)/AV$48*4</f>
        <v>55268.67853795689</v>
      </c>
      <c r="AW52" s="522">
        <f>(AW39*1000000)/AW$48*4</f>
        <v>55651.735763773111</v>
      </c>
      <c r="AX52" s="522">
        <f>(AX39*1000000)/AX$48*4</f>
        <v>53578.707335315688</v>
      </c>
      <c r="AY52" s="114">
        <f>(AY39*1000000)/AY$48</f>
        <v>54295.430972084374</v>
      </c>
      <c r="AZ52" s="522">
        <f>(AZ39*1000000)/AZ$48*4</f>
        <v>54926.067237779855</v>
      </c>
      <c r="BA52" s="522">
        <f>(BA39*1000000)/BA$48*4</f>
        <v>60603.455390301227</v>
      </c>
      <c r="BB52" s="522">
        <f>(BB39*1000000)/BB$48*4</f>
        <v>62230.992537712162</v>
      </c>
      <c r="BC52" s="522">
        <f>(BC39*1000000)/BC$48*4</f>
        <v>61557.704661863012</v>
      </c>
      <c r="BD52" s="114">
        <f>(BD39*1000000)/BD$48</f>
        <v>59710.788937987178</v>
      </c>
      <c r="BE52" s="522">
        <f>(BE39*1000000)/BE$48*4</f>
        <v>60836.68439927257</v>
      </c>
      <c r="BF52" s="522">
        <f>(BF39*1000000)/BF$48*4</f>
        <v>63143.829673630113</v>
      </c>
      <c r="BG52" s="522">
        <f>(BG39*1000000)/BG$48*4</f>
        <v>60506.825409769226</v>
      </c>
      <c r="BH52" s="522">
        <f>(BH39*1000000)/BH$48*4</f>
        <v>60399.577775645332</v>
      </c>
      <c r="BI52" s="114">
        <f>(BI39*1000000)/BI$48</f>
        <v>61169.957556744783</v>
      </c>
      <c r="BJ52" s="522">
        <f>(BJ39*1000000)/BJ$48*4</f>
        <v>57865.379794434695</v>
      </c>
      <c r="BK52" s="522">
        <f>(BK39*1000000)/BK$48*4</f>
        <v>60587.769333109049</v>
      </c>
      <c r="BL52" s="522">
        <f>(BL39*1000000)/BL$48*4</f>
        <v>61128.973306569998</v>
      </c>
      <c r="BM52" s="522">
        <f>(BM39*1000000)/BM$48*4</f>
        <v>61737.766289330597</v>
      </c>
      <c r="BN52" s="114">
        <f>(BN39*1000000)/BN$48</f>
        <v>60457.765982701007</v>
      </c>
      <c r="BO52" s="522">
        <f>(BO39*1000000)/BO$48*4</f>
        <v>61754.80589423293</v>
      </c>
      <c r="BP52" s="522">
        <f>(BP39*1000000)/BP$48*4</f>
        <v>66139.729263196146</v>
      </c>
      <c r="BQ52" s="522">
        <f>(BQ39*1000000)/BQ$48*4</f>
        <v>67700.297869090355</v>
      </c>
      <c r="BR52" s="522">
        <f>(BR39*1000000)/BR$48*4</f>
        <v>69224.889160678795</v>
      </c>
      <c r="BS52" s="114">
        <f>(BS39*1000000)/BS$48</f>
        <v>66058.356594028708</v>
      </c>
      <c r="BT52" s="522">
        <f>(BT39*1000000)/BT$48*4</f>
        <v>71301.402849197591</v>
      </c>
      <c r="BU52" s="522">
        <f>(BU39*1000000)/BU$48*4</f>
        <v>76529.477196885433</v>
      </c>
      <c r="BV52" s="522">
        <f>(BV39*1000000)/BV$48*4</f>
        <v>78885.039877547737</v>
      </c>
      <c r="BW52" s="522">
        <f>(BW39*1000000)/BW$48*4</f>
        <v>80300.96646558994</v>
      </c>
      <c r="BX52" s="114">
        <f>(BX39*1000000)/BX$48</f>
        <v>76429.864397091049</v>
      </c>
      <c r="BY52" s="522">
        <f>(BY39*1000000)/BY$48*4</f>
        <v>85181.898846495125</v>
      </c>
      <c r="BZ52" s="522">
        <f>(BZ39*1000000)/BZ$48*4</f>
        <v>684000000</v>
      </c>
      <c r="CA52" s="522">
        <f>(CA39*1000000)/CA$48*4</f>
        <v>90775.801619175108</v>
      </c>
      <c r="CB52" s="522">
        <f>(CB39*1000000)/CB$48*4</f>
        <v>91901.570249243392</v>
      </c>
      <c r="CC52" s="114">
        <f>(CC39*1000000)/CC$48</f>
        <v>88871.419258350259</v>
      </c>
      <c r="CD52" s="522">
        <f>(CD39*1000000)/CD$48*4</f>
        <v>90740.594059405936</v>
      </c>
      <c r="CE52" s="522">
        <f>(CE39*1000000)/CE$48*4</f>
        <v>99603.991763028665</v>
      </c>
      <c r="CF52" s="522">
        <f>(CF39*1000000)/CF$48*4</f>
        <v>96559.065719026898</v>
      </c>
      <c r="CG52" s="522">
        <f>(CG39*1000000)/CG$48*4</f>
        <v>96160.967781755346</v>
      </c>
      <c r="CH52" s="114">
        <f>(CH39*1000000)/CH$48</f>
        <v>95573.913206861776</v>
      </c>
      <c r="CI52" s="522">
        <f>(CI39*1000000)/CI$48*4</f>
        <v>93499.52762624569</v>
      </c>
      <c r="CJ52" s="522">
        <f>(CJ39*1000000)/CJ$48*4</f>
        <v>98334.415535388005</v>
      </c>
      <c r="CK52" s="522">
        <f>(CK39*1000000)/CK$48*4</f>
        <v>96289.225629399836</v>
      </c>
      <c r="CL52" s="522">
        <f>(CL39*1000000)/CL$48*4</f>
        <v>93889.826157118761</v>
      </c>
      <c r="CM52" s="114">
        <f>(CM39*1000000)/CM$48</f>
        <v>95419.390369465793</v>
      </c>
      <c r="CN52" s="522">
        <f>(CN39*1000000)/CN$48*4</f>
        <v>92524.323777305515</v>
      </c>
      <c r="CO52" s="522">
        <f>(CO39*1000000)/CO$48*4</f>
        <v>97529.787852368492</v>
      </c>
      <c r="CP52" s="522">
        <f>(CP39*1000000)/CP$48*4</f>
        <v>99865.834451379575</v>
      </c>
      <c r="CQ52" s="522">
        <f>(CQ39*1000000)/CQ$48*4</f>
        <v>96624.978584889497</v>
      </c>
      <c r="CR52" s="120">
        <f>(CR39*1000000)/CR$48</f>
        <v>96425.808983964627</v>
      </c>
      <c r="CS52" s="522">
        <f>(CS39*1000000)/CS$48*4</f>
        <v>96772.599890947356</v>
      </c>
      <c r="CT52" s="522">
        <f>(CT39*1000000)/CT$48*4</f>
        <v>90794.998733565124</v>
      </c>
      <c r="CU52" s="522">
        <f>(CU39*1000000)/CU$48*4</f>
        <v>90760.878410583711</v>
      </c>
      <c r="CV52" s="522">
        <f>(CV39*1000000)/CV$48*4</f>
        <v>92338.727430270956</v>
      </c>
      <c r="CW52" s="120">
        <f>(CW39*1000000)/CW$48</f>
        <v>93891.624430229247</v>
      </c>
      <c r="CX52" s="522">
        <f>(CX39*1000000)/CX$48*4</f>
        <v>93213.71808996929</v>
      </c>
      <c r="CY52" s="522">
        <f>(CY39*1000000)/CY$48*4</f>
        <v>101176.63637004157</v>
      </c>
      <c r="CZ52" s="522">
        <f>(CZ39*1000000)/CZ$48*4</f>
        <v>100301.42031127219</v>
      </c>
      <c r="DA52" s="522">
        <f>(DA39*1000000)/DA$48*4</f>
        <v>101994.78807567808</v>
      </c>
      <c r="DB52" s="120">
        <f>(DB39*1000000)/DB$48</f>
        <v>99037.989794485286</v>
      </c>
      <c r="DC52" s="522">
        <f>(DC43*1000000)/DC$48*4</f>
        <v>101342.61786887521</v>
      </c>
      <c r="DD52" s="522">
        <f>(DD43*1000000)/DD$48*4</f>
        <v>104553.58371165222</v>
      </c>
      <c r="DE52" s="522">
        <f>(DE43*1000000)/DE$48*4</f>
        <v>99868.416613246067</v>
      </c>
      <c r="DF52" s="522">
        <f>(DF43*1000000)/DF$48*4</f>
        <v>99531.512419340579</v>
      </c>
      <c r="DG52" s="296">
        <f>(DG43*1000000)/DG$48</f>
        <v>101266.95838485965</v>
      </c>
      <c r="DH52" s="522">
        <f>(DH43*1000000)/DH$48*4</f>
        <v>99629.989412676412</v>
      </c>
      <c r="DI52" s="522">
        <f>(DI43*1000000)/DI$48*4</f>
        <v>99528.991391911652</v>
      </c>
      <c r="DJ52" s="522">
        <f>(DJ43*1000000)/DJ$48*4</f>
        <v>100676.96580454783</v>
      </c>
      <c r="DK52" s="522">
        <f>(DK43*1000000)/DK$48*4</f>
        <v>102536.20428902502</v>
      </c>
      <c r="DL52" s="296">
        <f>(DL43*1000000)/DL$48</f>
        <v>100759.39666283486</v>
      </c>
      <c r="DM52" s="522">
        <f>(DM43*1000000)/DM$48*4</f>
        <v>101950.85759176014</v>
      </c>
      <c r="DN52" s="522">
        <f>(DN43*1000000)/DN$48*4</f>
        <v>107244.49767600294</v>
      </c>
      <c r="DO52" s="522">
        <f>(DO43*1000000)/DO$48*4</f>
        <v>106414.05869594087</v>
      </c>
      <c r="DP52" s="522">
        <f>(DP43*1000000)/DP$48*4</f>
        <v>108291.93478478312</v>
      </c>
      <c r="DQ52" s="120">
        <f>(DQ43*1000000)/DQ$48</f>
        <v>105974.51145485723</v>
      </c>
      <c r="DR52" s="522">
        <f>(DR43*1000000)/DR$48*4</f>
        <v>110762.93975153899</v>
      </c>
      <c r="DS52" s="522">
        <f>(DS43*1000000)/DS$48*4</f>
        <v>112847.54772749831</v>
      </c>
      <c r="DT52" s="522">
        <f>(DT43*1000000)/DT$48*4</f>
        <v>110719.06024677289</v>
      </c>
      <c r="DU52" s="522">
        <f>(DU43*1000000)/DU$48*4</f>
        <v>112139.78354413874</v>
      </c>
      <c r="DV52" s="120">
        <f>(DV43*1000000)/DV$48</f>
        <v>111589.68048169473</v>
      </c>
      <c r="DW52" s="522">
        <f>(DW43*1000000)/DW$48*4</f>
        <v>110888.37194344093</v>
      </c>
      <c r="DX52" s="522">
        <f>(DX43*1000000)/DX$48*4</f>
        <v>115795.03433703116</v>
      </c>
      <c r="DY52" s="522">
        <f>(DY43*1000000)/DY$48*4</f>
        <v>114823.39256597465</v>
      </c>
      <c r="DZ52" s="522">
        <f>(DZ43*1000000)/DZ$48*4</f>
        <v>112720.79409518962</v>
      </c>
      <c r="EA52" s="120">
        <f>(EA43*1000000)/EA$48</f>
        <v>113504.7438250827</v>
      </c>
      <c r="EB52" s="522">
        <f>(EB43*1000000)/EB$48*4</f>
        <v>110175.73188449061</v>
      </c>
      <c r="EC52" s="522">
        <f>(EC43*1000000)/EC$48*4</f>
        <v>111072.35592760531</v>
      </c>
      <c r="ED52" s="522">
        <f>(ED43*1000000)/ED$48*4</f>
        <v>110236.96772417982</v>
      </c>
      <c r="EE52" s="522">
        <f>(EE43*1000000)/EE$48*4</f>
        <v>119015.4585021762</v>
      </c>
      <c r="EF52" s="120">
        <f>(EF43*1000000)/EF$48</f>
        <v>112855.28694733678</v>
      </c>
      <c r="EG52" s="522">
        <f>(EG43*1000000)/EG$48*4</f>
        <v>120826.70906200318</v>
      </c>
      <c r="EH52" s="522">
        <f>(EH43*1000000)/EH$48*4</f>
        <v>121092.00992736297</v>
      </c>
      <c r="EI52" s="522">
        <f>(EI43*1000000)/EI$48*4</f>
        <v>120548.53921621769</v>
      </c>
      <c r="EJ52" s="522">
        <f>(EJ43*1000000)/EJ$48*4</f>
        <v>129843.79626223566</v>
      </c>
      <c r="EK52" s="120">
        <f>(EK43*1000000)/EK$48</f>
        <v>123203.58410426485</v>
      </c>
      <c r="EL52" s="522">
        <f>(EL43*1000000)/EL$48*4</f>
        <v>120604.87299885384</v>
      </c>
      <c r="EM52" s="522">
        <f>(EM43*1000000)/EM$48*4</f>
        <v>120801.09819180175</v>
      </c>
      <c r="EN52" s="522">
        <f>(EN43*1000000)/EN$48*4</f>
        <v>120259.45399027951</v>
      </c>
      <c r="EO52" s="522">
        <f>(EO43*1000000)/EO$48*4</f>
        <v>129628.46658352549</v>
      </c>
      <c r="EP52" s="120">
        <f>(EP43*1000000)/EP$48</f>
        <v>122949.03124454529</v>
      </c>
      <c r="EQ52" s="23">
        <f>EL52*(1+EQ53)</f>
        <v>123016.97045883093</v>
      </c>
      <c r="ER52" s="23">
        <f>EM52*(1+ER53)</f>
        <v>124425.1311375558</v>
      </c>
      <c r="ES52" s="23">
        <f>EN52*(1+ES53)</f>
        <v>123265.94034003648</v>
      </c>
      <c r="ET52" s="23">
        <f>EO52*(1+ET53)</f>
        <v>127035.89725185497</v>
      </c>
      <c r="EU52" s="120">
        <f>(EU43*1000000)/EU$48</f>
        <v>123579.71420889447</v>
      </c>
      <c r="EV52" s="23"/>
      <c r="EW52" s="23"/>
      <c r="EX52" s="23"/>
      <c r="EY52" s="23"/>
      <c r="EZ52" s="720">
        <f>EU52*(1+EZ53)</f>
        <v>127287.10563516131</v>
      </c>
      <c r="FA52" s="23"/>
      <c r="FB52" s="23"/>
      <c r="FC52" s="23"/>
      <c r="FD52" s="23"/>
      <c r="FE52" s="720">
        <f>EZ52*(1+FE53)</f>
        <v>131105.71880421616</v>
      </c>
      <c r="FF52" s="23"/>
      <c r="FG52" s="444"/>
      <c r="FH52" s="752">
        <f>AVERAGE(CD52,CI52,CN52,CS52,CX52,DC52,BT52,DH52,DM52,DR52,DW52)</f>
        <v>96602.449351033007</v>
      </c>
      <c r="FI52" s="753">
        <f>AVERAGE(CE52,CJ52,CO52,CT52,CY52,DD52,BU52,DI52,DN52,DS52,DX52)</f>
        <v>100358.08748139758</v>
      </c>
      <c r="FJ52" s="753">
        <f>AVERAGE(CF52,CK52,CP52,CU52,CZ52,DE52,BV52,DJ52,DO52,DT52,DY52)</f>
        <v>99560.305302335662</v>
      </c>
      <c r="FK52" s="753">
        <f>AVERAGE(CG52,CL52,CQ52,CV52,DA52,DF52,BW52,DK52,DP52,DU52,DZ52)</f>
        <v>99684.589420707242</v>
      </c>
      <c r="FL52" s="406" t="s">
        <v>558</v>
      </c>
      <c r="FM52" s="760"/>
      <c r="FN52" s="783">
        <v>0.05</v>
      </c>
      <c r="FO52" s="784">
        <v>0</v>
      </c>
      <c r="FP52" s="783">
        <f>+FS52*0.416666666666667+3%*0.583333333333333</f>
        <v>3.4166666666666672E-2</v>
      </c>
      <c r="FQ52" s="783">
        <f>+FS52*0.583333333333333+3%*0.416666666666667</f>
        <v>3.5833333333333328E-2</v>
      </c>
      <c r="FR52" s="784">
        <v>0.03</v>
      </c>
      <c r="FS52" s="784">
        <v>0.04</v>
      </c>
      <c r="FT52" s="444"/>
    </row>
    <row r="53" spans="1:183" ht="12.75" customHeight="1" x14ac:dyDescent="0.2">
      <c r="A53" s="60" t="s">
        <v>244</v>
      </c>
      <c r="B53" s="128"/>
      <c r="C53" s="128"/>
      <c r="D53" s="128"/>
      <c r="E53" s="128"/>
      <c r="F53" s="244"/>
      <c r="G53" s="128"/>
      <c r="H53" s="128"/>
      <c r="I53" s="128"/>
      <c r="J53" s="128"/>
      <c r="K53" s="244"/>
      <c r="L53" s="128">
        <f t="shared" ref="L53:U53" si="283">L52/G52-1</f>
        <v>8.3117678245297588E-2</v>
      </c>
      <c r="M53" s="128">
        <f t="shared" si="283"/>
        <v>5.4618656134789889E-2</v>
      </c>
      <c r="N53" s="128">
        <f t="shared" si="283"/>
        <v>0.10259160496198838</v>
      </c>
      <c r="O53" s="128">
        <f t="shared" si="283"/>
        <v>0.17353752586047855</v>
      </c>
      <c r="P53" s="244">
        <f t="shared" si="283"/>
        <v>9.943245363762232E-2</v>
      </c>
      <c r="Q53" s="128">
        <f t="shared" si="283"/>
        <v>5.656228629365545E-3</v>
      </c>
      <c r="R53" s="128">
        <f t="shared" si="283"/>
        <v>7.073815869136979E-2</v>
      </c>
      <c r="S53" s="128">
        <f t="shared" si="283"/>
        <v>7.3711278940546299E-2</v>
      </c>
      <c r="T53" s="128">
        <f t="shared" si="283"/>
        <v>0.10823262485798457</v>
      </c>
      <c r="U53" s="244">
        <f t="shared" si="283"/>
        <v>5.4184391589661152E-2</v>
      </c>
      <c r="V53" s="128">
        <f t="shared" ref="V53:BR53" si="284">V52/Q52-1</f>
        <v>-1.6687724233085177E-2</v>
      </c>
      <c r="W53" s="128">
        <f t="shared" si="284"/>
        <v>-8.4430920309710444E-3</v>
      </c>
      <c r="X53" s="128">
        <f t="shared" si="284"/>
        <v>-1.1175276873647277E-2</v>
      </c>
      <c r="Y53" s="128">
        <f t="shared" si="284"/>
        <v>-0.1709639803227927</v>
      </c>
      <c r="Z53" s="244">
        <f t="shared" si="284"/>
        <v>-5.2612803191839363E-2</v>
      </c>
      <c r="AA53" s="128">
        <f t="shared" si="284"/>
        <v>5.8517321714930404E-3</v>
      </c>
      <c r="AB53" s="128">
        <f t="shared" si="284"/>
        <v>-3.4092986474888565E-2</v>
      </c>
      <c r="AC53" s="128">
        <f t="shared" si="284"/>
        <v>-5.0309198962188995E-2</v>
      </c>
      <c r="AD53" s="128">
        <f t="shared" si="284"/>
        <v>-2.6689980739820096E-2</v>
      </c>
      <c r="AE53" s="244">
        <f t="shared" si="284"/>
        <v>-2.1937898835761471E-2</v>
      </c>
      <c r="AF53" s="128">
        <f t="shared" si="284"/>
        <v>-2.9877945545404572E-3</v>
      </c>
      <c r="AG53" s="128">
        <f t="shared" si="284"/>
        <v>2.9051693011886703E-2</v>
      </c>
      <c r="AH53" s="128">
        <f t="shared" si="284"/>
        <v>-1.8517348006734768E-2</v>
      </c>
      <c r="AI53" s="128">
        <f t="shared" si="284"/>
        <v>-3.7610126726344673E-2</v>
      </c>
      <c r="AJ53" s="244">
        <f t="shared" si="284"/>
        <v>-8.8771852933224871E-3</v>
      </c>
      <c r="AK53" s="128">
        <f t="shared" si="284"/>
        <v>-1.8756773203073229E-2</v>
      </c>
      <c r="AL53" s="128">
        <f t="shared" si="284"/>
        <v>-1.1529173125840897E-2</v>
      </c>
      <c r="AM53" s="128">
        <f t="shared" si="284"/>
        <v>8.6197660808318144E-2</v>
      </c>
      <c r="AN53" s="128">
        <f t="shared" si="284"/>
        <v>0.13815970329391569</v>
      </c>
      <c r="AO53" s="244">
        <f t="shared" si="284"/>
        <v>4.6117809814675725E-2</v>
      </c>
      <c r="AP53" s="128">
        <f t="shared" si="284"/>
        <v>8.3874971702037948E-2</v>
      </c>
      <c r="AQ53" s="128">
        <f t="shared" si="284"/>
        <v>0.10566585845208087</v>
      </c>
      <c r="AR53" s="128">
        <f t="shared" si="284"/>
        <v>0.10397468290928447</v>
      </c>
      <c r="AS53" s="128">
        <f t="shared" si="284"/>
        <v>5.6137846478023334E-2</v>
      </c>
      <c r="AT53" s="244">
        <f t="shared" si="284"/>
        <v>8.2882642435195164E-2</v>
      </c>
      <c r="AU53" s="128">
        <f t="shared" si="284"/>
        <v>5.9882608032537643E-2</v>
      </c>
      <c r="AV53" s="128">
        <f t="shared" si="284"/>
        <v>4.6140687590024765E-2</v>
      </c>
      <c r="AW53" s="128">
        <f t="shared" si="284"/>
        <v>2.3944916917783665E-2</v>
      </c>
      <c r="AX53" s="128">
        <f t="shared" si="284"/>
        <v>2.7539232979063577E-2</v>
      </c>
      <c r="AY53" s="244">
        <f t="shared" si="284"/>
        <v>4.1835292133068025E-2</v>
      </c>
      <c r="AZ53" s="128">
        <f t="shared" si="284"/>
        <v>4.5315169836356528E-2</v>
      </c>
      <c r="BA53" s="128">
        <f t="shared" si="284"/>
        <v>9.6524414794548985E-2</v>
      </c>
      <c r="BB53" s="128">
        <f t="shared" si="284"/>
        <v>0.11822195091751064</v>
      </c>
      <c r="BC53" s="128">
        <f t="shared" si="284"/>
        <v>0.14892104948728524</v>
      </c>
      <c r="BD53" s="244">
        <f t="shared" si="284"/>
        <v>9.973874171266961E-2</v>
      </c>
      <c r="BE53" s="128">
        <f t="shared" si="284"/>
        <v>0.10761041994696474</v>
      </c>
      <c r="BF53" s="128">
        <f t="shared" si="284"/>
        <v>4.1917977563626474E-2</v>
      </c>
      <c r="BG53" s="128">
        <f t="shared" si="284"/>
        <v>-2.7705923650471864E-2</v>
      </c>
      <c r="BH53" s="128">
        <f t="shared" si="284"/>
        <v>-1.8813678849451621E-2</v>
      </c>
      <c r="BI53" s="244">
        <f t="shared" si="284"/>
        <v>2.4437269121883931E-2</v>
      </c>
      <c r="BJ53" s="128">
        <f t="shared" si="284"/>
        <v>-4.8840672929134854E-2</v>
      </c>
      <c r="BK53" s="128">
        <f t="shared" si="284"/>
        <v>-4.0479970152784595E-2</v>
      </c>
      <c r="BL53" s="128">
        <f t="shared" si="284"/>
        <v>1.0282276298374748E-2</v>
      </c>
      <c r="BM53" s="128">
        <f t="shared" si="284"/>
        <v>2.2155593846300947E-2</v>
      </c>
      <c r="BN53" s="244">
        <f t="shared" si="284"/>
        <v>-1.1642832568309447E-2</v>
      </c>
      <c r="BO53" s="128">
        <f t="shared" si="284"/>
        <v>6.7215079441547365E-2</v>
      </c>
      <c r="BP53" s="128">
        <f t="shared" si="284"/>
        <v>9.1634994838028394E-2</v>
      </c>
      <c r="BQ53" s="128">
        <f t="shared" si="284"/>
        <v>0.1074993445344532</v>
      </c>
      <c r="BR53" s="128">
        <f t="shared" si="284"/>
        <v>0.12127297959340178</v>
      </c>
      <c r="BS53" s="244">
        <f t="shared" ref="BS53:DA53" si="285">BS52/BN52-1</f>
        <v>9.2636413540821527E-2</v>
      </c>
      <c r="BT53" s="128">
        <f t="shared" si="285"/>
        <v>0.15458872903454757</v>
      </c>
      <c r="BU53" s="128">
        <f t="shared" si="285"/>
        <v>0.15708785096994227</v>
      </c>
      <c r="BV53" s="128">
        <f t="shared" si="285"/>
        <v>0.16520964250533909</v>
      </c>
      <c r="BW53" s="128">
        <f t="shared" si="285"/>
        <v>0.16000137290508798</v>
      </c>
      <c r="BX53" s="244">
        <f t="shared" si="285"/>
        <v>0.15700523503486408</v>
      </c>
      <c r="BY53" s="128">
        <f t="shared" si="285"/>
        <v>0.19467353295495138</v>
      </c>
      <c r="BZ53" s="128">
        <f t="shared" si="285"/>
        <v>8936.7325581395344</v>
      </c>
      <c r="CA53" s="128">
        <f t="shared" si="285"/>
        <v>0.1507353201581092</v>
      </c>
      <c r="CB53" s="128">
        <f t="shared" si="285"/>
        <v>0.14446406181953586</v>
      </c>
      <c r="CC53" s="244">
        <f>CC52/BX52-1</f>
        <v>0.16278394524709827</v>
      </c>
      <c r="CD53" s="128">
        <f t="shared" si="285"/>
        <v>6.5256765676567463E-2</v>
      </c>
      <c r="CE53" s="128">
        <f t="shared" si="285"/>
        <v>-0.99985438012900141</v>
      </c>
      <c r="CF53" s="128">
        <f t="shared" si="285"/>
        <v>6.3709314560656649E-2</v>
      </c>
      <c r="CG53" s="128">
        <f t="shared" si="285"/>
        <v>4.6347385805924457E-2</v>
      </c>
      <c r="CH53" s="244">
        <f>CH52/CC52-1</f>
        <v>7.541787904868813E-2</v>
      </c>
      <c r="CI53" s="128">
        <f t="shared" si="285"/>
        <v>3.0404623150621424E-2</v>
      </c>
      <c r="CJ53" s="128">
        <f t="shared" si="285"/>
        <v>-1.2746238430495382E-2</v>
      </c>
      <c r="CK53" s="128">
        <f t="shared" si="285"/>
        <v>-2.7945598646558212E-3</v>
      </c>
      <c r="CL53" s="128">
        <f t="shared" si="285"/>
        <v>-2.3618123621541698E-2</v>
      </c>
      <c r="CM53" s="244">
        <f>CM52/CH52-1</f>
        <v>-1.6167888518023865E-3</v>
      </c>
      <c r="CN53" s="128">
        <f t="shared" si="285"/>
        <v>-1.0430040383074934E-2</v>
      </c>
      <c r="CO53" s="128">
        <f t="shared" si="285"/>
        <v>-8.1825643508294243E-3</v>
      </c>
      <c r="CP53" s="128">
        <f t="shared" si="285"/>
        <v>3.7144434370523172E-2</v>
      </c>
      <c r="CQ53" s="128">
        <f t="shared" si="285"/>
        <v>2.9131510193592502E-2</v>
      </c>
      <c r="CR53" s="110">
        <f>CR52/CM52-1</f>
        <v>1.0547317590292371E-2</v>
      </c>
      <c r="CS53" s="128">
        <f t="shared" si="285"/>
        <v>4.5915235477612448E-2</v>
      </c>
      <c r="CT53" s="128">
        <f t="shared" si="285"/>
        <v>-6.905366316389272E-2</v>
      </c>
      <c r="CU53" s="128">
        <f t="shared" si="285"/>
        <v>-9.1171881663179577E-2</v>
      </c>
      <c r="CV53" s="128">
        <f t="shared" si="285"/>
        <v>-4.435965955586596E-2</v>
      </c>
      <c r="CW53" s="110">
        <f>CW52/CR52-1</f>
        <v>-2.6281185301300525E-2</v>
      </c>
      <c r="CX53" s="128">
        <f t="shared" si="285"/>
        <v>-3.6775717558364174E-2</v>
      </c>
      <c r="CY53" s="128">
        <f t="shared" si="285"/>
        <v>0.11434151419442173</v>
      </c>
      <c r="CZ53" s="128">
        <f t="shared" si="285"/>
        <v>0.10511733764330722</v>
      </c>
      <c r="DA53" s="128">
        <f t="shared" si="285"/>
        <v>0.10457216505066991</v>
      </c>
      <c r="DB53" s="110">
        <f t="shared" ref="DB53:DT53" si="286">DB52/CW52-1</f>
        <v>5.4811761916850221E-2</v>
      </c>
      <c r="DC53" s="128">
        <f t="shared" si="286"/>
        <v>8.7207118710359355E-2</v>
      </c>
      <c r="DD53" s="128">
        <f t="shared" si="286"/>
        <v>3.3376750431392654E-2</v>
      </c>
      <c r="DE53" s="128">
        <f t="shared" si="286"/>
        <v>-4.3170245913004557E-3</v>
      </c>
      <c r="DF53" s="128">
        <f t="shared" si="286"/>
        <v>-2.4150995387232865E-2</v>
      </c>
      <c r="DG53" s="110">
        <f t="shared" si="286"/>
        <v>2.2506197823680907E-2</v>
      </c>
      <c r="DH53" s="128">
        <f t="shared" si="286"/>
        <v>-1.6899390327717145E-2</v>
      </c>
      <c r="DI53" s="128">
        <f t="shared" si="286"/>
        <v>-4.8057581016044959E-2</v>
      </c>
      <c r="DJ53" s="128">
        <f t="shared" si="286"/>
        <v>8.0961450949299518E-3</v>
      </c>
      <c r="DK53" s="128">
        <f t="shared" si="286"/>
        <v>3.018834735500886E-2</v>
      </c>
      <c r="DL53" s="110">
        <f t="shared" si="286"/>
        <v>-5.0121157988751719E-3</v>
      </c>
      <c r="DM53" s="128">
        <f t="shared" si="286"/>
        <v>2.3294875295735373E-2</v>
      </c>
      <c r="DN53" s="128">
        <f t="shared" si="286"/>
        <v>7.752018960696816E-2</v>
      </c>
      <c r="DO53" s="128">
        <f t="shared" si="286"/>
        <v>5.6985158874681474E-2</v>
      </c>
      <c r="DP53" s="128">
        <f t="shared" si="286"/>
        <v>5.6133641143318425E-2</v>
      </c>
      <c r="DQ53" s="110">
        <f>DQ52/DL52-1</f>
        <v>5.175809864635661E-2</v>
      </c>
      <c r="DR53" s="128">
        <f t="shared" si="286"/>
        <v>8.6434605533823872E-2</v>
      </c>
      <c r="DS53" s="128">
        <f t="shared" si="286"/>
        <v>5.2245571315209016E-2</v>
      </c>
      <c r="DT53" s="128">
        <f t="shared" si="286"/>
        <v>4.0455195521982512E-2</v>
      </c>
      <c r="DU53" s="128">
        <f t="shared" ref="DU53:EF53" si="287">DU52/DP52-1</f>
        <v>3.5532182216549524E-2</v>
      </c>
      <c r="DV53" s="110">
        <f t="shared" si="287"/>
        <v>5.2986033620258111E-2</v>
      </c>
      <c r="DW53" s="128">
        <f t="shared" si="287"/>
        <v>1.1324382702670999E-3</v>
      </c>
      <c r="DX53" s="128">
        <f t="shared" si="287"/>
        <v>2.6119190615026655E-2</v>
      </c>
      <c r="DY53" s="128">
        <f t="shared" si="287"/>
        <v>3.7069790061927232E-2</v>
      </c>
      <c r="DZ53" s="128">
        <f t="shared" si="287"/>
        <v>5.1811278093130131E-3</v>
      </c>
      <c r="EA53" s="110">
        <f t="shared" si="287"/>
        <v>1.7161652718435061E-2</v>
      </c>
      <c r="EB53" s="128">
        <f t="shared" si="287"/>
        <v>-6.4266437180068303E-3</v>
      </c>
      <c r="EC53" s="128">
        <f t="shared" si="287"/>
        <v>-4.0784809439065373E-2</v>
      </c>
      <c r="ED53" s="128">
        <f t="shared" si="287"/>
        <v>-3.9943296738594314E-2</v>
      </c>
      <c r="EE53" s="128">
        <f t="shared" ref="EE53" si="288">EE52/DZ52-1</f>
        <v>5.5842974293375924E-2</v>
      </c>
      <c r="EF53" s="110">
        <f t="shared" si="287"/>
        <v>-5.7218478792989691E-3</v>
      </c>
      <c r="EG53" s="128">
        <f t="shared" ref="EG53:EJ53" si="289">EG52/EB52-1</f>
        <v>9.6672624681805264E-2</v>
      </c>
      <c r="EH53" s="128">
        <f t="shared" si="289"/>
        <v>9.0208350368369494E-2</v>
      </c>
      <c r="EI53" s="128">
        <f t="shared" si="289"/>
        <v>9.3540050174802492E-2</v>
      </c>
      <c r="EJ53" s="128">
        <f t="shared" si="289"/>
        <v>9.0982616009175565E-2</v>
      </c>
      <c r="EK53" s="110">
        <f t="shared" ref="EK53" si="290">EK52/EF52-1</f>
        <v>9.1695280184410421E-2</v>
      </c>
      <c r="EL53" s="870"/>
      <c r="EM53" s="870"/>
      <c r="EN53" s="870"/>
      <c r="EO53" s="870"/>
      <c r="EP53" s="484"/>
      <c r="EQ53" s="133">
        <v>0.02</v>
      </c>
      <c r="ER53" s="133">
        <v>0.03</v>
      </c>
      <c r="ES53" s="133">
        <v>2.5000000000000001E-2</v>
      </c>
      <c r="ET53" s="133">
        <v>-0.02</v>
      </c>
      <c r="EU53" s="110">
        <f>EU52/EP52-1</f>
        <v>5.1296293916684998E-3</v>
      </c>
      <c r="EV53" s="133"/>
      <c r="EW53" s="133"/>
      <c r="EX53" s="133"/>
      <c r="EY53" s="133"/>
      <c r="EZ53" s="609">
        <v>0.03</v>
      </c>
      <c r="FA53" s="133"/>
      <c r="FB53" s="133"/>
      <c r="FC53" s="133"/>
      <c r="FD53" s="133"/>
      <c r="FE53" s="609">
        <v>0.03</v>
      </c>
      <c r="FF53" s="133"/>
      <c r="FG53" s="437"/>
      <c r="FH53" s="750">
        <f>+FH52/FK52-1</f>
        <v>-3.0918922248517444E-2</v>
      </c>
      <c r="FI53" s="751">
        <f>+FI52/FH52-1</f>
        <v>3.8877255758985818E-2</v>
      </c>
      <c r="FJ53" s="751">
        <f>+FJ52/FI52-1</f>
        <v>-7.9493561414250014E-3</v>
      </c>
      <c r="FK53" s="751">
        <f>+FK52/FJ52-1</f>
        <v>1.2483300246435292E-3</v>
      </c>
      <c r="FL53" s="406" t="s">
        <v>432</v>
      </c>
      <c r="FM53" s="760"/>
      <c r="FN53" s="783">
        <f>1-SUM(FN48:FN52)</f>
        <v>4.9999999999999933E-2</v>
      </c>
      <c r="FO53" s="784">
        <v>0.03</v>
      </c>
      <c r="FP53" s="784">
        <v>0.03</v>
      </c>
      <c r="FQ53" s="784">
        <v>0.03</v>
      </c>
      <c r="FR53" s="784">
        <v>0.03</v>
      </c>
      <c r="FS53" s="783" t="s">
        <v>549</v>
      </c>
      <c r="FT53" s="190"/>
    </row>
    <row r="54" spans="1:183" ht="12.75" customHeight="1" x14ac:dyDescent="0.2">
      <c r="A54" s="8" t="s">
        <v>349</v>
      </c>
      <c r="B54" s="823">
        <v>52.658999999999999</v>
      </c>
      <c r="C54" s="823">
        <v>46.918999999999997</v>
      </c>
      <c r="D54" s="823">
        <v>59.901000000000003</v>
      </c>
      <c r="E54" s="823">
        <f>F54-SUM(B54:D54)</f>
        <v>82.521999999999991</v>
      </c>
      <c r="F54" s="10">
        <v>242.001</v>
      </c>
      <c r="G54" s="823">
        <v>59.651000000000003</v>
      </c>
      <c r="H54" s="823">
        <v>51.225000000000001</v>
      </c>
      <c r="I54" s="823">
        <v>56.741</v>
      </c>
      <c r="J54" s="823">
        <f>K54-SUM(G54:I54)</f>
        <v>62.627999999999986</v>
      </c>
      <c r="K54" s="10">
        <v>230.245</v>
      </c>
      <c r="L54" s="823">
        <v>50.761000000000003</v>
      </c>
      <c r="M54" s="823">
        <v>59.06</v>
      </c>
      <c r="N54" s="823">
        <v>68.326999999999998</v>
      </c>
      <c r="O54" s="823">
        <f>P54-SUM(L54:N54)</f>
        <v>79.332999999999998</v>
      </c>
      <c r="P54" s="10">
        <v>257.48099999999999</v>
      </c>
      <c r="Q54" s="823">
        <v>64.316000000000003</v>
      </c>
      <c r="R54" s="823">
        <v>68.661000000000001</v>
      </c>
      <c r="S54" s="823">
        <v>69.5</v>
      </c>
      <c r="T54" s="823">
        <f>U54-SUM(Q54:S54)</f>
        <v>101.94699999999997</v>
      </c>
      <c r="U54" s="10">
        <v>304.42399999999998</v>
      </c>
      <c r="V54" s="823">
        <v>74.97</v>
      </c>
      <c r="W54" s="823">
        <v>73.516999999999996</v>
      </c>
      <c r="X54" s="823">
        <v>82.652000000000001</v>
      </c>
      <c r="Y54" s="823">
        <v>88.412999999999997</v>
      </c>
      <c r="Z54" s="10">
        <f>SUM(V54:Y54)</f>
        <v>319.55200000000002</v>
      </c>
      <c r="AA54" s="823">
        <v>83.176000000000002</v>
      </c>
      <c r="AB54" s="823">
        <v>88.88</v>
      </c>
      <c r="AC54" s="823">
        <v>92.034000000000006</v>
      </c>
      <c r="AD54" s="823">
        <f>365.67-SUM(AA54:AC54)</f>
        <v>101.58000000000004</v>
      </c>
      <c r="AE54" s="10">
        <f>SUM(AA54:AD54)</f>
        <v>365.67</v>
      </c>
      <c r="AF54" s="823">
        <v>103.867</v>
      </c>
      <c r="AG54" s="823">
        <v>115.652</v>
      </c>
      <c r="AH54" s="823">
        <v>126.239</v>
      </c>
      <c r="AI54" s="823">
        <v>138.91499999999999</v>
      </c>
      <c r="AJ54" s="10">
        <f>SUM(AF54:AI54)</f>
        <v>484.673</v>
      </c>
      <c r="AK54" s="823">
        <v>134.07499999999999</v>
      </c>
      <c r="AL54" s="823">
        <v>117.56100000000001</v>
      </c>
      <c r="AM54" s="823">
        <v>119.062</v>
      </c>
      <c r="AN54" s="823">
        <v>124.254</v>
      </c>
      <c r="AO54" s="10">
        <f>SUM(AK54:AN54)</f>
        <v>494.952</v>
      </c>
      <c r="AP54" s="823">
        <v>101.476</v>
      </c>
      <c r="AQ54" s="823">
        <v>96.043000000000006</v>
      </c>
      <c r="AR54" s="823">
        <v>96.619</v>
      </c>
      <c r="AS54" s="823">
        <v>94.21</v>
      </c>
      <c r="AT54" s="10">
        <f>SUM(AP54:AS54)</f>
        <v>388.34800000000001</v>
      </c>
      <c r="AU54" s="823">
        <v>85.668000000000006</v>
      </c>
      <c r="AV54" s="823">
        <v>102.982</v>
      </c>
      <c r="AW54" s="823">
        <v>142.624</v>
      </c>
      <c r="AX54" s="823">
        <v>161.14099999999999</v>
      </c>
      <c r="AY54" s="10">
        <f>SUM(AU54:AX54)</f>
        <v>492.41499999999996</v>
      </c>
      <c r="AZ54" s="823">
        <v>197.071</v>
      </c>
      <c r="BA54" s="823">
        <v>197.608</v>
      </c>
      <c r="BB54" s="823">
        <v>194.53100000000001</v>
      </c>
      <c r="BC54" s="823">
        <v>215.21600000000001</v>
      </c>
      <c r="BD54" s="10">
        <f>SUM(AZ54:BC54)</f>
        <v>804.42600000000004</v>
      </c>
      <c r="BE54" s="823">
        <v>209.584</v>
      </c>
      <c r="BF54" s="823">
        <v>208.029</v>
      </c>
      <c r="BG54" s="823">
        <v>192.36699999999999</v>
      </c>
      <c r="BH54" s="823">
        <v>160.535</v>
      </c>
      <c r="BI54" s="10">
        <f>SUM(BE54:BH54)</f>
        <v>770.51499999999999</v>
      </c>
      <c r="BJ54" s="823">
        <v>170.369</v>
      </c>
      <c r="BK54" s="823">
        <v>189</v>
      </c>
      <c r="BL54" s="823">
        <v>202.96899999999999</v>
      </c>
      <c r="BM54" s="823">
        <v>200.428</v>
      </c>
      <c r="BN54" s="10">
        <f>SUM(BJ54:BM54)</f>
        <v>762.76599999999996</v>
      </c>
      <c r="BO54" s="823">
        <v>208</v>
      </c>
      <c r="BP54" s="823">
        <v>194</v>
      </c>
      <c r="BQ54" s="823">
        <v>214</v>
      </c>
      <c r="BR54" s="823">
        <v>214</v>
      </c>
      <c r="BS54" s="10">
        <f>SUM(BO54:BR54)</f>
        <v>830</v>
      </c>
      <c r="BT54" s="823">
        <v>230</v>
      </c>
      <c r="BU54" s="823">
        <v>246</v>
      </c>
      <c r="BV54" s="823">
        <v>247</v>
      </c>
      <c r="BW54" s="823">
        <v>277</v>
      </c>
      <c r="BX54" s="10">
        <f>SUM(BT54:BW54)</f>
        <v>1000</v>
      </c>
      <c r="BY54" s="823">
        <f>279-4+2</f>
        <v>277</v>
      </c>
      <c r="BZ54" s="823">
        <f>330-2</f>
        <v>328</v>
      </c>
      <c r="CA54" s="823">
        <f>337-22+3</f>
        <v>318</v>
      </c>
      <c r="CB54" s="823">
        <f>395+5+2</f>
        <v>402</v>
      </c>
      <c r="CC54" s="10">
        <f>SUM(BY54:CB54)</f>
        <v>1325</v>
      </c>
      <c r="CD54" s="823">
        <f>501+10-27</f>
        <v>484</v>
      </c>
      <c r="CE54" s="823">
        <f>518-28+1</f>
        <v>491</v>
      </c>
      <c r="CF54" s="823">
        <f>764-201+32-31</f>
        <v>564</v>
      </c>
      <c r="CG54" s="823">
        <v>558</v>
      </c>
      <c r="CH54" s="10">
        <f>SUM(CD54:CG54)</f>
        <v>2097</v>
      </c>
      <c r="CI54" s="823">
        <f>564-4+18</f>
        <v>578</v>
      </c>
      <c r="CJ54" s="823">
        <f>607-9+9</f>
        <v>607</v>
      </c>
      <c r="CK54" s="823">
        <f>660+7-8</f>
        <v>659</v>
      </c>
      <c r="CL54" s="823">
        <f>705-11-43</f>
        <v>651</v>
      </c>
      <c r="CM54" s="10">
        <f>SUM(CI54:CL54)</f>
        <v>2495</v>
      </c>
      <c r="CN54" s="823">
        <f>753+16-27</f>
        <v>742</v>
      </c>
      <c r="CO54" s="823">
        <f>894-6-31</f>
        <v>857</v>
      </c>
      <c r="CP54" s="823">
        <f>1000+9-70</f>
        <v>939</v>
      </c>
      <c r="CQ54" s="823">
        <f>918-3-77</f>
        <v>838</v>
      </c>
      <c r="CR54" s="10">
        <f>SUM(CN54:CQ54)</f>
        <v>3376</v>
      </c>
      <c r="CS54" s="823">
        <v>751.74299999999994</v>
      </c>
      <c r="CT54" s="823">
        <v>829.52800000000002</v>
      </c>
      <c r="CU54" s="823">
        <v>969.25599999999997</v>
      </c>
      <c r="CV54" s="823">
        <v>953.23099999999999</v>
      </c>
      <c r="CW54" s="10">
        <f>SUM(CS54:CV54)</f>
        <v>3503.7579999999998</v>
      </c>
      <c r="CX54" s="823">
        <v>970.45100000000002</v>
      </c>
      <c r="CY54" s="823">
        <f>1152-51</f>
        <v>1101</v>
      </c>
      <c r="CZ54" s="823">
        <f>1132-33</f>
        <v>1099</v>
      </c>
      <c r="DA54" s="823">
        <f>1156-40</f>
        <v>1116</v>
      </c>
      <c r="DB54" s="10">
        <f>SUM(CX54:DA54)</f>
        <v>4286.451</v>
      </c>
      <c r="DC54" s="823">
        <v>1327.085</v>
      </c>
      <c r="DD54" s="823">
        <f>1631-11</f>
        <v>1620</v>
      </c>
      <c r="DE54" s="823">
        <v>1562</v>
      </c>
      <c r="DF54" s="823">
        <v>1511</v>
      </c>
      <c r="DG54" s="10">
        <f>SUM(DC54:DF54)</f>
        <v>6020.085</v>
      </c>
      <c r="DH54" s="823">
        <v>1535</v>
      </c>
      <c r="DI54" s="823">
        <v>1563</v>
      </c>
      <c r="DJ54" s="823">
        <v>1516</v>
      </c>
      <c r="DK54" s="823">
        <v>1474</v>
      </c>
      <c r="DL54" s="10">
        <f>SUM(DH54:DK54)</f>
        <v>6088</v>
      </c>
      <c r="DM54" s="823">
        <v>1428</v>
      </c>
      <c r="DN54" s="823">
        <v>1469</v>
      </c>
      <c r="DO54" s="823">
        <v>1429</v>
      </c>
      <c r="DP54" s="823">
        <v>1354</v>
      </c>
      <c r="DQ54" s="10">
        <f>SUM(DM54:DP54)</f>
        <v>5680</v>
      </c>
      <c r="DR54" s="823">
        <v>1305</v>
      </c>
      <c r="DS54" s="823">
        <v>1419</v>
      </c>
      <c r="DT54" s="823">
        <v>1374</v>
      </c>
      <c r="DU54" s="823">
        <v>1166</v>
      </c>
      <c r="DV54" s="10">
        <f>SUM(DR54:DU54)</f>
        <v>5264</v>
      </c>
      <c r="DW54" s="823">
        <v>873</v>
      </c>
      <c r="DX54" s="823">
        <v>1000</v>
      </c>
      <c r="DY54" s="823">
        <v>1088</v>
      </c>
      <c r="DZ54" s="823">
        <v>977</v>
      </c>
      <c r="EA54" s="10">
        <f>SUM(DW54:DZ54)</f>
        <v>3938</v>
      </c>
      <c r="EB54" s="823">
        <v>844</v>
      </c>
      <c r="EC54" s="823">
        <v>933</v>
      </c>
      <c r="ED54" s="823">
        <v>1038</v>
      </c>
      <c r="EE54" s="823">
        <v>1034</v>
      </c>
      <c r="EF54" s="10">
        <f>SUM(EB54:EE54)</f>
        <v>3849</v>
      </c>
      <c r="EG54" s="823">
        <v>959</v>
      </c>
      <c r="EH54" s="823">
        <v>1036</v>
      </c>
      <c r="EI54" s="823">
        <v>1049</v>
      </c>
      <c r="EJ54" s="823">
        <v>1052</v>
      </c>
      <c r="EK54" s="10">
        <f>SUM(EG54:EJ54)</f>
        <v>4096</v>
      </c>
      <c r="EL54" s="823">
        <f>922+34+37</f>
        <v>993</v>
      </c>
      <c r="EM54" s="823">
        <f>990+34+46</f>
        <v>1070</v>
      </c>
      <c r="EN54" s="823">
        <f>1003+34+46</f>
        <v>1083</v>
      </c>
      <c r="EO54" s="823">
        <f>1025+34+27</f>
        <v>1086</v>
      </c>
      <c r="EP54" s="877">
        <f>SUM(EL54:EO54)</f>
        <v>4232</v>
      </c>
      <c r="EQ54" s="9">
        <f t="shared" ref="EQ54" si="291">EQ56*EQ66</f>
        <v>1011.8593800000001</v>
      </c>
      <c r="ER54" s="9">
        <f t="shared" ref="ER54:ET54" si="292">ER56*ER66</f>
        <v>1112.3381879999999</v>
      </c>
      <c r="ES54" s="9">
        <f t="shared" si="292"/>
        <v>1088.813934</v>
      </c>
      <c r="ET54" s="9">
        <f t="shared" si="292"/>
        <v>1113.1007579999998</v>
      </c>
      <c r="EU54" s="10">
        <f>SUM(EQ54:ET54)</f>
        <v>4326.1122599999999</v>
      </c>
      <c r="EV54" s="9"/>
      <c r="EW54" s="9"/>
      <c r="EX54" s="9"/>
      <c r="EY54" s="9"/>
      <c r="EZ54" s="10">
        <f>EZ56*EZ66</f>
        <v>4254.9077985335252</v>
      </c>
      <c r="FA54" s="9"/>
      <c r="FB54" s="9"/>
      <c r="FC54" s="9"/>
      <c r="FD54" s="9"/>
      <c r="FE54" s="10">
        <f>FE56*FE66</f>
        <v>4234.2390192109315</v>
      </c>
      <c r="FF54" s="337"/>
      <c r="FG54" s="441"/>
      <c r="FH54" s="347"/>
      <c r="FI54" s="337"/>
      <c r="FJ54" s="337"/>
      <c r="FK54" s="337"/>
      <c r="FL54" s="786" t="s">
        <v>151</v>
      </c>
      <c r="FM54" s="786"/>
      <c r="FN54" s="729">
        <f>+SUM(FN48:FN53)</f>
        <v>1</v>
      </c>
      <c r="FO54" s="729">
        <f>+SUMPRODUCT(FO48:FO53,$FN$48:$FN$53)</f>
        <v>1.6E-2</v>
      </c>
      <c r="FP54" s="729">
        <f>+SUMPRODUCT(FP48:FP53,$FN$48:$FN$53)</f>
        <v>9.6458333333333326E-2</v>
      </c>
      <c r="FQ54" s="729">
        <f>+SUMPRODUCT(FQ48:FQ53,$FN$48:$FN$53)</f>
        <v>3.2791666666666663E-2</v>
      </c>
      <c r="FR54" s="729">
        <f>+SUMPRODUCT(FR48:FR53,$FN$48:$FN$53)</f>
        <v>2.9500000000000002E-2</v>
      </c>
      <c r="FS54" s="729"/>
      <c r="FT54" s="441"/>
      <c r="GA54" s="342"/>
    </row>
    <row r="55" spans="1:183" ht="12.75" customHeight="1" x14ac:dyDescent="0.2">
      <c r="A55" s="58" t="s">
        <v>244</v>
      </c>
      <c r="B55" s="128"/>
      <c r="C55" s="128"/>
      <c r="D55" s="128"/>
      <c r="E55" s="128"/>
      <c r="F55" s="244"/>
      <c r="G55" s="128">
        <f>G54/B54-1</f>
        <v>0.13277882223361637</v>
      </c>
      <c r="H55" s="128">
        <f>H54/C54-1</f>
        <v>9.1775187024446536E-2</v>
      </c>
      <c r="I55" s="128">
        <f>I54/D54-1</f>
        <v>-5.2753710288642952E-2</v>
      </c>
      <c r="J55" s="128">
        <f>J54/E54-1</f>
        <v>-0.24107510724412895</v>
      </c>
      <c r="K55" s="244">
        <f t="shared" ref="K55:U55" si="293">K54/F54-1</f>
        <v>-4.8578311659869144E-2</v>
      </c>
      <c r="L55" s="128">
        <f t="shared" si="293"/>
        <v>-0.14903354512078593</v>
      </c>
      <c r="M55" s="128">
        <f t="shared" si="293"/>
        <v>0.15295265983406536</v>
      </c>
      <c r="N55" s="128">
        <f t="shared" si="293"/>
        <v>0.20419097301774736</v>
      </c>
      <c r="O55" s="128">
        <f t="shared" si="293"/>
        <v>0.26673372932234818</v>
      </c>
      <c r="P55" s="244">
        <f t="shared" si="293"/>
        <v>0.11829138526352367</v>
      </c>
      <c r="Q55" s="128">
        <f t="shared" si="293"/>
        <v>0.26703571639644608</v>
      </c>
      <c r="R55" s="128">
        <f t="shared" si="293"/>
        <v>0.16256349475110055</v>
      </c>
      <c r="S55" s="128">
        <f t="shared" si="293"/>
        <v>1.71674447875656E-2</v>
      </c>
      <c r="T55" s="128">
        <f t="shared" si="293"/>
        <v>0.2850516178639404</v>
      </c>
      <c r="U55" s="244">
        <f t="shared" si="293"/>
        <v>0.18231636509101645</v>
      </c>
      <c r="V55" s="128">
        <f t="shared" ref="V55:DA55" si="294">V54/Q54-1</f>
        <v>0.16565084893339121</v>
      </c>
      <c r="W55" s="128">
        <f t="shared" si="294"/>
        <v>7.0724283071903926E-2</v>
      </c>
      <c r="X55" s="128">
        <f t="shared" si="294"/>
        <v>0.1892374100719425</v>
      </c>
      <c r="Y55" s="128">
        <f t="shared" si="294"/>
        <v>-0.1327552551816138</v>
      </c>
      <c r="Z55" s="244">
        <f t="shared" si="294"/>
        <v>4.9693848054030099E-2</v>
      </c>
      <c r="AA55" s="128">
        <f t="shared" si="294"/>
        <v>0.10945711617980525</v>
      </c>
      <c r="AB55" s="128">
        <f t="shared" si="294"/>
        <v>0.20897207448617316</v>
      </c>
      <c r="AC55" s="128">
        <f t="shared" si="294"/>
        <v>0.11351207472293479</v>
      </c>
      <c r="AD55" s="128">
        <f t="shared" si="294"/>
        <v>0.14892606290930122</v>
      </c>
      <c r="AE55" s="244">
        <f t="shared" si="294"/>
        <v>0.14432079911876627</v>
      </c>
      <c r="AF55" s="128">
        <f t="shared" si="294"/>
        <v>0.24876166201788985</v>
      </c>
      <c r="AG55" s="128">
        <f t="shared" si="294"/>
        <v>0.30121512151215124</v>
      </c>
      <c r="AH55" s="128">
        <f t="shared" si="294"/>
        <v>0.37165612708346907</v>
      </c>
      <c r="AI55" s="128">
        <f t="shared" si="294"/>
        <v>0.36754282339043054</v>
      </c>
      <c r="AJ55" s="244">
        <f t="shared" si="294"/>
        <v>0.32543823666147076</v>
      </c>
      <c r="AK55" s="128">
        <f t="shared" si="294"/>
        <v>0.29083346972570667</v>
      </c>
      <c r="AL55" s="128">
        <f t="shared" si="294"/>
        <v>1.6506415799121488E-2</v>
      </c>
      <c r="AM55" s="128">
        <f t="shared" si="294"/>
        <v>-5.6852478235727477E-2</v>
      </c>
      <c r="AN55" s="128">
        <f t="shared" si="294"/>
        <v>-0.10553935860058306</v>
      </c>
      <c r="AO55" s="244">
        <f t="shared" si="294"/>
        <v>2.1208113511584026E-2</v>
      </c>
      <c r="AP55" s="128">
        <f t="shared" si="294"/>
        <v>-0.24314003356330405</v>
      </c>
      <c r="AQ55" s="128">
        <f t="shared" si="294"/>
        <v>-0.18303689148612212</v>
      </c>
      <c r="AR55" s="128">
        <f t="shared" si="294"/>
        <v>-0.18849842938972972</v>
      </c>
      <c r="AS55" s="128">
        <f t="shared" si="294"/>
        <v>-0.24179503275548486</v>
      </c>
      <c r="AT55" s="244">
        <f t="shared" si="294"/>
        <v>-0.21538250173754214</v>
      </c>
      <c r="AU55" s="128">
        <f t="shared" si="294"/>
        <v>-0.15578067720446209</v>
      </c>
      <c r="AV55" s="128">
        <f t="shared" si="294"/>
        <v>7.2248888518684273E-2</v>
      </c>
      <c r="AW55" s="128">
        <f t="shared" si="294"/>
        <v>0.47614858361191903</v>
      </c>
      <c r="AX55" s="128">
        <f t="shared" si="294"/>
        <v>0.71044475108799499</v>
      </c>
      <c r="AY55" s="244">
        <f t="shared" si="294"/>
        <v>0.26797357009692324</v>
      </c>
      <c r="AZ55" s="128">
        <f t="shared" si="294"/>
        <v>1.3004038847644392</v>
      </c>
      <c r="BA55" s="128">
        <f t="shared" si="294"/>
        <v>0.91885960653318066</v>
      </c>
      <c r="BB55" s="128">
        <f t="shared" si="294"/>
        <v>0.36394295490240069</v>
      </c>
      <c r="BC55" s="128">
        <f t="shared" si="294"/>
        <v>0.33557567596080462</v>
      </c>
      <c r="BD55" s="244">
        <f t="shared" si="294"/>
        <v>0.63363423128864893</v>
      </c>
      <c r="BE55" s="128">
        <f t="shared" si="294"/>
        <v>6.3494882555018339E-2</v>
      </c>
      <c r="BF55" s="128">
        <f t="shared" si="294"/>
        <v>5.2735719201651765E-2</v>
      </c>
      <c r="BG55" s="128">
        <f t="shared" si="294"/>
        <v>-1.1124191002976458E-2</v>
      </c>
      <c r="BH55" s="128">
        <f t="shared" si="294"/>
        <v>-0.25407497583822769</v>
      </c>
      <c r="BI55" s="244">
        <f t="shared" si="294"/>
        <v>-4.2155524560369861E-2</v>
      </c>
      <c r="BJ55" s="128">
        <f t="shared" si="294"/>
        <v>-0.18710874875944727</v>
      </c>
      <c r="BK55" s="128">
        <f t="shared" si="294"/>
        <v>-9.1472823500569622E-2</v>
      </c>
      <c r="BL55" s="128">
        <f t="shared" si="294"/>
        <v>5.511340302650658E-2</v>
      </c>
      <c r="BM55" s="128">
        <f t="shared" si="294"/>
        <v>0.2485003270314885</v>
      </c>
      <c r="BN55" s="244">
        <f t="shared" si="294"/>
        <v>-1.0056909988773732E-2</v>
      </c>
      <c r="BO55" s="128">
        <f t="shared" si="294"/>
        <v>0.22087938533418638</v>
      </c>
      <c r="BP55" s="128">
        <f t="shared" si="294"/>
        <v>2.6455026455026509E-2</v>
      </c>
      <c r="BQ55" s="128">
        <f t="shared" si="294"/>
        <v>5.4348200956796378E-2</v>
      </c>
      <c r="BR55" s="128">
        <f t="shared" si="294"/>
        <v>6.7715089708024756E-2</v>
      </c>
      <c r="BS55" s="244">
        <f t="shared" si="294"/>
        <v>8.8144988109066347E-2</v>
      </c>
      <c r="BT55" s="128">
        <f t="shared" si="294"/>
        <v>0.10576923076923084</v>
      </c>
      <c r="BU55" s="128">
        <f t="shared" si="294"/>
        <v>0.268041237113402</v>
      </c>
      <c r="BV55" s="128">
        <f t="shared" si="294"/>
        <v>0.15420560747663559</v>
      </c>
      <c r="BW55" s="128">
        <f t="shared" si="294"/>
        <v>0.29439252336448596</v>
      </c>
      <c r="BX55" s="244">
        <f>BX54/BS54-1</f>
        <v>0.20481927710843384</v>
      </c>
      <c r="BY55" s="128">
        <f t="shared" si="294"/>
        <v>0.20434782608695645</v>
      </c>
      <c r="BZ55" s="128">
        <f t="shared" si="294"/>
        <v>0.33333333333333326</v>
      </c>
      <c r="CA55" s="128">
        <f t="shared" si="294"/>
        <v>0.28744939271255054</v>
      </c>
      <c r="CB55" s="128">
        <f t="shared" si="294"/>
        <v>0.45126353790613716</v>
      </c>
      <c r="CC55" s="244">
        <f>CC54/BX54-1</f>
        <v>0.32499999999999996</v>
      </c>
      <c r="CD55" s="128">
        <f t="shared" si="294"/>
        <v>0.74729241877256314</v>
      </c>
      <c r="CE55" s="128">
        <f t="shared" si="294"/>
        <v>0.49695121951219523</v>
      </c>
      <c r="CF55" s="128">
        <f t="shared" si="294"/>
        <v>0.77358490566037741</v>
      </c>
      <c r="CG55" s="128">
        <f t="shared" si="294"/>
        <v>0.38805970149253732</v>
      </c>
      <c r="CH55" s="244">
        <f>CH54/CC54-1</f>
        <v>0.58264150943396231</v>
      </c>
      <c r="CI55" s="128">
        <f t="shared" si="294"/>
        <v>0.19421487603305776</v>
      </c>
      <c r="CJ55" s="128">
        <f t="shared" si="294"/>
        <v>0.23625254582484723</v>
      </c>
      <c r="CK55" s="128">
        <f t="shared" si="294"/>
        <v>0.16843971631205679</v>
      </c>
      <c r="CL55" s="128">
        <f t="shared" si="294"/>
        <v>0.16666666666666674</v>
      </c>
      <c r="CM55" s="244">
        <f>CM54/CH54-1</f>
        <v>0.18979494515975204</v>
      </c>
      <c r="CN55" s="128">
        <f t="shared" si="294"/>
        <v>0.28373702422145319</v>
      </c>
      <c r="CO55" s="128">
        <f t="shared" si="294"/>
        <v>0.41186161449752889</v>
      </c>
      <c r="CP55" s="128">
        <f t="shared" si="294"/>
        <v>0.42488619119878601</v>
      </c>
      <c r="CQ55" s="128">
        <f t="shared" si="294"/>
        <v>0.28725038402457748</v>
      </c>
      <c r="CR55" s="110">
        <f>CR54/CM54-1</f>
        <v>0.35310621242484963</v>
      </c>
      <c r="CS55" s="128">
        <f t="shared" si="294"/>
        <v>1.3130727762803218E-2</v>
      </c>
      <c r="CT55" s="128">
        <f t="shared" si="294"/>
        <v>-3.2056009334889168E-2</v>
      </c>
      <c r="CU55" s="128">
        <f t="shared" si="294"/>
        <v>3.222151224707126E-2</v>
      </c>
      <c r="CV55" s="128">
        <f t="shared" si="294"/>
        <v>0.13750715990453455</v>
      </c>
      <c r="CW55" s="110">
        <f t="shared" ref="CW55:DT55" si="295">CW54/CR54-1</f>
        <v>3.7843009478673029E-2</v>
      </c>
      <c r="CX55" s="128">
        <f t="shared" si="294"/>
        <v>0.29093453480777343</v>
      </c>
      <c r="CY55" s="128">
        <f t="shared" si="294"/>
        <v>0.32726080373417177</v>
      </c>
      <c r="CZ55" s="128">
        <f t="shared" si="294"/>
        <v>0.13385937254966707</v>
      </c>
      <c r="DA55" s="128">
        <f t="shared" si="294"/>
        <v>0.17075504258673924</v>
      </c>
      <c r="DB55" s="110">
        <f t="shared" si="295"/>
        <v>0.22338671791830378</v>
      </c>
      <c r="DC55" s="128">
        <f>DC54/CX54-1</f>
        <v>0.36749305219944128</v>
      </c>
      <c r="DD55" s="128">
        <f t="shared" si="295"/>
        <v>0.47138964577656672</v>
      </c>
      <c r="DE55" s="128">
        <f t="shared" si="295"/>
        <v>0.42129208371246585</v>
      </c>
      <c r="DF55" s="128">
        <f t="shared" si="295"/>
        <v>0.35394265232974909</v>
      </c>
      <c r="DG55" s="110">
        <f t="shared" si="295"/>
        <v>0.40444507589145418</v>
      </c>
      <c r="DH55" s="128">
        <f t="shared" si="295"/>
        <v>0.15667044688169929</v>
      </c>
      <c r="DI55" s="128">
        <f t="shared" si="295"/>
        <v>-3.5185185185185208E-2</v>
      </c>
      <c r="DJ55" s="128">
        <f t="shared" si="295"/>
        <v>-2.944942381562099E-2</v>
      </c>
      <c r="DK55" s="128">
        <f t="shared" si="295"/>
        <v>-2.4487094639311757E-2</v>
      </c>
      <c r="DL55" s="110">
        <f t="shared" si="295"/>
        <v>1.1281402172892863E-2</v>
      </c>
      <c r="DM55" s="128">
        <f t="shared" si="295"/>
        <v>-6.9706840390879488E-2</v>
      </c>
      <c r="DN55" s="128">
        <f t="shared" si="295"/>
        <v>-6.0140754958413312E-2</v>
      </c>
      <c r="DO55" s="128">
        <f t="shared" si="295"/>
        <v>-5.7387862796833722E-2</v>
      </c>
      <c r="DP55" s="128">
        <f t="shared" si="295"/>
        <v>-8.1411126187245553E-2</v>
      </c>
      <c r="DQ55" s="110">
        <f>DQ54/DL54-1</f>
        <v>-6.7017082785808202E-2</v>
      </c>
      <c r="DR55" s="128">
        <f t="shared" si="295"/>
        <v>-8.6134453781512632E-2</v>
      </c>
      <c r="DS55" s="128">
        <f t="shared" si="295"/>
        <v>-3.4036759700476482E-2</v>
      </c>
      <c r="DT55" s="128">
        <f t="shared" si="295"/>
        <v>-3.8488453463960792E-2</v>
      </c>
      <c r="DU55" s="128">
        <f>DU54/DP54-1</f>
        <v>-0.13884785819793211</v>
      </c>
      <c r="DV55" s="110">
        <f>DV54/DQ54-1</f>
        <v>-7.3239436619718323E-2</v>
      </c>
      <c r="DW55" s="128">
        <f>DW54/DR54-1</f>
        <v>-0.33103448275862069</v>
      </c>
      <c r="DX55" s="128">
        <f>DX54/DS54-1</f>
        <v>-0.29527836504580696</v>
      </c>
      <c r="DY55" s="128">
        <f>DY54/DT54-1</f>
        <v>-0.20815138282387191</v>
      </c>
      <c r="DZ55" s="128">
        <f t="shared" ref="DZ55:EA55" si="296">DZ54/DU54-1</f>
        <v>-0.16209262435677529</v>
      </c>
      <c r="EA55" s="110">
        <f t="shared" si="296"/>
        <v>-0.25189969604863227</v>
      </c>
      <c r="EB55" s="128">
        <f>EB54/DW54-1</f>
        <v>-3.3218785796105377E-2</v>
      </c>
      <c r="EC55" s="128">
        <f>EC54/DX54-1</f>
        <v>-6.6999999999999948E-2</v>
      </c>
      <c r="ED55" s="128">
        <f>ED54/DY54-1</f>
        <v>-4.5955882352941124E-2</v>
      </c>
      <c r="EE55" s="128">
        <f t="shared" ref="EE55" si="297">EE54/DZ54-1</f>
        <v>5.8341862845445291E-2</v>
      </c>
      <c r="EF55" s="110">
        <f t="shared" ref="EF55" si="298">EF54/EA54-1</f>
        <v>-2.260030472320973E-2</v>
      </c>
      <c r="EG55" s="128">
        <f>EG54/EB54-1</f>
        <v>0.13625592417061605</v>
      </c>
      <c r="EH55" s="128">
        <f>EH54/EC54-1</f>
        <v>0.11039657020364424</v>
      </c>
      <c r="EI55" s="128">
        <f>EI54/ED54-1</f>
        <v>1.0597302504816941E-2</v>
      </c>
      <c r="EJ55" s="128">
        <f t="shared" ref="EJ55" si="299">EJ54/EE54-1</f>
        <v>1.740812379110257E-2</v>
      </c>
      <c r="EK55" s="110">
        <f t="shared" ref="EK55" si="300">EK54/EF54-1</f>
        <v>6.4172512340867849E-2</v>
      </c>
      <c r="EL55" s="870"/>
      <c r="EM55" s="870"/>
      <c r="EN55" s="870"/>
      <c r="EO55" s="870"/>
      <c r="EP55" s="484"/>
      <c r="EQ55" s="128">
        <f>EQ54/EL54-1</f>
        <v>1.8992326283987948E-2</v>
      </c>
      <c r="ER55" s="128">
        <f>ER54/EM54-1</f>
        <v>3.9568400000000059E-2</v>
      </c>
      <c r="ES55" s="128">
        <f>ES54/EN54-1</f>
        <v>5.3683601108034384E-3</v>
      </c>
      <c r="ET55" s="128">
        <f t="shared" ref="ET55" si="301">ET54/EO54-1</f>
        <v>2.495465745856329E-2</v>
      </c>
      <c r="EU55" s="110">
        <f t="shared" ref="EU55" si="302">EU54/EP54-1</f>
        <v>2.2238246691871355E-2</v>
      </c>
      <c r="EV55" s="43"/>
      <c r="EW55" s="43"/>
      <c r="EX55" s="43"/>
      <c r="EY55" s="43"/>
      <c r="EZ55" s="110">
        <f>EZ54/EU54-1</f>
        <v>-1.6459226480284306E-2</v>
      </c>
      <c r="FA55" s="43"/>
      <c r="FB55" s="43"/>
      <c r="FC55" s="43"/>
      <c r="FD55" s="43"/>
      <c r="FE55" s="110">
        <f>FE54/EZ54-1</f>
        <v>-4.8576327152652921E-3</v>
      </c>
      <c r="FF55" s="43"/>
      <c r="FG55" s="435"/>
      <c r="FL55" s="408"/>
      <c r="FO55" s="801"/>
      <c r="FP55" s="801"/>
      <c r="FQ55" s="801"/>
      <c r="FR55" s="801"/>
      <c r="FS55" s="801"/>
      <c r="FT55" s="190"/>
    </row>
    <row r="56" spans="1:183" s="131" customFormat="1" ht="12.75" customHeight="1" x14ac:dyDescent="0.2">
      <c r="A56" s="62" t="s">
        <v>146</v>
      </c>
      <c r="B56" s="146">
        <f t="shared" ref="B56:AG56" si="303">B54/B66</f>
        <v>0.71494455144000857</v>
      </c>
      <c r="C56" s="146">
        <f t="shared" si="303"/>
        <v>0.59987703281557114</v>
      </c>
      <c r="D56" s="146">
        <f t="shared" si="303"/>
        <v>0.74197560278782471</v>
      </c>
      <c r="E56" s="146">
        <f t="shared" si="303"/>
        <v>1.0737524072315758</v>
      </c>
      <c r="F56" s="253">
        <f t="shared" si="303"/>
        <v>0.782024156787957</v>
      </c>
      <c r="G56" s="146">
        <f t="shared" si="303"/>
        <v>0.74654862526971044</v>
      </c>
      <c r="H56" s="146">
        <f t="shared" si="303"/>
        <v>0.60617257994280316</v>
      </c>
      <c r="I56" s="146">
        <f t="shared" si="303"/>
        <v>0.63182337594161209</v>
      </c>
      <c r="J56" s="146">
        <f t="shared" si="303"/>
        <v>0.71447408031597648</v>
      </c>
      <c r="K56" s="253">
        <f t="shared" si="303"/>
        <v>0.67348848337179756</v>
      </c>
      <c r="L56" s="146">
        <f t="shared" si="303"/>
        <v>0.55234167801142808</v>
      </c>
      <c r="M56" s="146">
        <f t="shared" si="303"/>
        <v>0.61017411089929963</v>
      </c>
      <c r="N56" s="146">
        <f t="shared" si="303"/>
        <v>0.64746042090565514</v>
      </c>
      <c r="O56" s="146">
        <f t="shared" si="303"/>
        <v>0.76314739095276185</v>
      </c>
      <c r="P56" s="253">
        <f t="shared" si="303"/>
        <v>0.64664589470042366</v>
      </c>
      <c r="Q56" s="146">
        <f t="shared" si="303"/>
        <v>0.60042450935162384</v>
      </c>
      <c r="R56" s="146">
        <f t="shared" si="303"/>
        <v>0.60171301677958255</v>
      </c>
      <c r="S56" s="146">
        <f t="shared" si="303"/>
        <v>0.57045477171504011</v>
      </c>
      <c r="T56" s="146">
        <f t="shared" si="303"/>
        <v>0.83862251404859478</v>
      </c>
      <c r="U56" s="253">
        <f t="shared" si="303"/>
        <v>0.65520477572705371</v>
      </c>
      <c r="V56" s="146">
        <f t="shared" si="303"/>
        <v>0.61149498501111355</v>
      </c>
      <c r="W56" s="146">
        <f t="shared" si="303"/>
        <v>0.56535904109594304</v>
      </c>
      <c r="X56" s="146">
        <f t="shared" si="303"/>
        <v>0.58461736142249576</v>
      </c>
      <c r="Y56" s="146">
        <f t="shared" si="303"/>
        <v>0.56799891309730333</v>
      </c>
      <c r="Z56" s="253">
        <f t="shared" si="303"/>
        <v>0.5813502796804022</v>
      </c>
      <c r="AA56" s="146">
        <f t="shared" si="303"/>
        <v>0.53308431454330552</v>
      </c>
      <c r="AB56" s="146">
        <f t="shared" si="303"/>
        <v>0.54662996537645303</v>
      </c>
      <c r="AC56" s="146">
        <f t="shared" si="303"/>
        <v>0.5485510798720985</v>
      </c>
      <c r="AD56" s="146">
        <f t="shared" si="303"/>
        <v>0.58893356266453445</v>
      </c>
      <c r="AE56" s="253">
        <f t="shared" si="303"/>
        <v>0.55498563047542337</v>
      </c>
      <c r="AF56" s="146">
        <f t="shared" si="303"/>
        <v>0.59414725682376834</v>
      </c>
      <c r="AG56" s="146">
        <f t="shared" si="303"/>
        <v>0.63142890933917606</v>
      </c>
      <c r="AH56" s="146">
        <f t="shared" ref="AH56:BM56" si="304">AH54/AH66</f>
        <v>0.66498024920848475</v>
      </c>
      <c r="AI56" s="146">
        <f t="shared" si="304"/>
        <v>0.73543942700324139</v>
      </c>
      <c r="AJ56" s="253">
        <f t="shared" si="304"/>
        <v>0.65789568166473933</v>
      </c>
      <c r="AK56" s="146">
        <f t="shared" si="304"/>
        <v>0.71692716722604355</v>
      </c>
      <c r="AL56" s="146">
        <f t="shared" si="304"/>
        <v>0.6047999698734392</v>
      </c>
      <c r="AM56" s="146">
        <f t="shared" si="304"/>
        <v>0.58590850624963331</v>
      </c>
      <c r="AN56" s="146">
        <f t="shared" si="304"/>
        <v>0.60614100243479374</v>
      </c>
      <c r="AO56" s="253">
        <f t="shared" si="304"/>
        <v>0.62684327446623533</v>
      </c>
      <c r="AP56" s="146">
        <f t="shared" si="304"/>
        <v>0.50329889771163128</v>
      </c>
      <c r="AQ56" s="146">
        <f t="shared" si="304"/>
        <v>0.45446174799399314</v>
      </c>
      <c r="AR56" s="146">
        <f t="shared" si="304"/>
        <v>0.44440149714719757</v>
      </c>
      <c r="AS56" s="146">
        <f t="shared" si="304"/>
        <v>0.43559935421806212</v>
      </c>
      <c r="AT56" s="253">
        <f t="shared" si="304"/>
        <v>0.45869007792880417</v>
      </c>
      <c r="AU56" s="146">
        <f t="shared" si="304"/>
        <v>0.39559937669408757</v>
      </c>
      <c r="AV56" s="146">
        <f t="shared" si="304"/>
        <v>0.44786739694569327</v>
      </c>
      <c r="AW56" s="146">
        <f t="shared" si="304"/>
        <v>0.58558370228718293</v>
      </c>
      <c r="AX56" s="146">
        <f t="shared" si="304"/>
        <v>0.67407731022250006</v>
      </c>
      <c r="AY56" s="253">
        <f t="shared" si="304"/>
        <v>0.52998917509635368</v>
      </c>
      <c r="AZ56" s="146">
        <f t="shared" si="304"/>
        <v>0.82692349540025667</v>
      </c>
      <c r="BA56" s="146">
        <f t="shared" si="304"/>
        <v>0.78612449059922285</v>
      </c>
      <c r="BB56" s="146">
        <f t="shared" si="304"/>
        <v>0.74915381157028815</v>
      </c>
      <c r="BC56" s="146">
        <f t="shared" si="304"/>
        <v>0.81504739519387137</v>
      </c>
      <c r="BD56" s="253">
        <f t="shared" si="304"/>
        <v>0.79378205967584392</v>
      </c>
      <c r="BE56" s="146">
        <f t="shared" si="304"/>
        <v>0.79217343950754493</v>
      </c>
      <c r="BF56" s="146">
        <f t="shared" si="304"/>
        <v>0.75593721897954214</v>
      </c>
      <c r="BG56" s="146">
        <f t="shared" si="304"/>
        <v>0.70406714644166235</v>
      </c>
      <c r="BH56" s="146">
        <f t="shared" si="304"/>
        <v>0.58878641915041885</v>
      </c>
      <c r="BI56" s="253">
        <f t="shared" si="304"/>
        <v>0.70973448820038942</v>
      </c>
      <c r="BJ56" s="146">
        <f t="shared" si="304"/>
        <v>0.63634849147469918</v>
      </c>
      <c r="BK56" s="146">
        <f t="shared" si="304"/>
        <v>0.68161630339643264</v>
      </c>
      <c r="BL56" s="146">
        <f t="shared" si="304"/>
        <v>0.70728372079304935</v>
      </c>
      <c r="BM56" s="146">
        <f t="shared" si="304"/>
        <v>0.71022471825744238</v>
      </c>
      <c r="BN56" s="253">
        <f t="shared" ref="BN56:CS56" si="305">BN54/BN66</f>
        <v>0.68459575604105349</v>
      </c>
      <c r="BO56" s="146">
        <f t="shared" si="305"/>
        <v>0.75090252707581229</v>
      </c>
      <c r="BP56" s="146">
        <f t="shared" si="305"/>
        <v>0.67832167832167833</v>
      </c>
      <c r="BQ56" s="146">
        <f t="shared" si="305"/>
        <v>0.73287671232876717</v>
      </c>
      <c r="BR56" s="146">
        <f t="shared" si="305"/>
        <v>0.74305555555555558</v>
      </c>
      <c r="BS56" s="253">
        <f t="shared" si="305"/>
        <v>0.72615923009623795</v>
      </c>
      <c r="BT56" s="146">
        <f t="shared" si="305"/>
        <v>0.80139372822299648</v>
      </c>
      <c r="BU56" s="146">
        <f t="shared" si="305"/>
        <v>0.82550335570469802</v>
      </c>
      <c r="BV56" s="146">
        <f t="shared" si="305"/>
        <v>0.80718954248366015</v>
      </c>
      <c r="BW56" s="146">
        <f t="shared" si="305"/>
        <v>0.8964401294498382</v>
      </c>
      <c r="BX56" s="253">
        <f t="shared" si="305"/>
        <v>0.83333333333333337</v>
      </c>
      <c r="BY56" s="146">
        <f t="shared" si="305"/>
        <v>0.90228013029315957</v>
      </c>
      <c r="BZ56" s="146">
        <f t="shared" si="305"/>
        <v>1.0249999999999999</v>
      </c>
      <c r="CA56" s="146">
        <f t="shared" si="305"/>
        <v>0.95783132530120485</v>
      </c>
      <c r="CB56" s="146">
        <f t="shared" si="305"/>
        <v>1.2293577981651376</v>
      </c>
      <c r="CC56" s="253">
        <f t="shared" si="305"/>
        <v>1.0303265940902022</v>
      </c>
      <c r="CD56" s="146">
        <f t="shared" si="305"/>
        <v>1.4711246200607904</v>
      </c>
      <c r="CE56" s="146">
        <f t="shared" si="305"/>
        <v>1.4256678281068527</v>
      </c>
      <c r="CF56" s="146">
        <f t="shared" si="305"/>
        <v>1.5710306406685237</v>
      </c>
      <c r="CG56" s="146">
        <f t="shared" si="305"/>
        <v>1.5630252100840336</v>
      </c>
      <c r="CH56" s="253">
        <f t="shared" si="305"/>
        <v>1.5092845832733552</v>
      </c>
      <c r="CI56" s="146">
        <f t="shared" si="305"/>
        <v>1.6327683615819208</v>
      </c>
      <c r="CJ56" s="146">
        <f t="shared" si="305"/>
        <v>1.6229946524064172</v>
      </c>
      <c r="CK56" s="146">
        <f t="shared" si="305"/>
        <v>1.6984536082474226</v>
      </c>
      <c r="CL56" s="146">
        <f t="shared" si="305"/>
        <v>1.7313829787234043</v>
      </c>
      <c r="CM56" s="253">
        <f t="shared" si="305"/>
        <v>1.6722520107238605</v>
      </c>
      <c r="CN56" s="146">
        <f t="shared" si="305"/>
        <v>1.9892761394101877</v>
      </c>
      <c r="CO56" s="146">
        <f t="shared" si="305"/>
        <v>2.2087628865979383</v>
      </c>
      <c r="CP56" s="146">
        <f t="shared" si="305"/>
        <v>2.4581151832460733</v>
      </c>
      <c r="CQ56" s="146">
        <f t="shared" si="305"/>
        <v>2.2747014115092292</v>
      </c>
      <c r="CR56" s="253">
        <f t="shared" si="305"/>
        <v>2.2336906179700939</v>
      </c>
      <c r="CS56" s="146">
        <f t="shared" si="305"/>
        <v>1.736759706703501</v>
      </c>
      <c r="CT56" s="146">
        <f t="shared" ref="CT56:DH56" si="306">CT54/CT66</f>
        <v>1.7869555570395488</v>
      </c>
      <c r="CU56" s="146">
        <f t="shared" si="306"/>
        <v>2.1112180841563237</v>
      </c>
      <c r="CV56" s="146">
        <f t="shared" si="306"/>
        <v>2.1865553697548576</v>
      </c>
      <c r="CW56" s="253">
        <f t="shared" si="306"/>
        <v>1.9551083462575904</v>
      </c>
      <c r="CX56" s="146">
        <f t="shared" si="306"/>
        <v>2.3242832200073287</v>
      </c>
      <c r="CY56" s="146">
        <f t="shared" si="306"/>
        <v>2.3469124565416188</v>
      </c>
      <c r="CZ56" s="146">
        <f t="shared" si="306"/>
        <v>2.3283898305084745</v>
      </c>
      <c r="DA56" s="146">
        <f t="shared" si="306"/>
        <v>2.4745011086474502</v>
      </c>
      <c r="DB56" s="253">
        <f t="shared" si="306"/>
        <v>2.3686577655176073</v>
      </c>
      <c r="DC56" s="146">
        <f t="shared" si="306"/>
        <v>2.9810076822858171</v>
      </c>
      <c r="DD56" s="146">
        <f t="shared" si="306"/>
        <v>3.2727272727272729</v>
      </c>
      <c r="DE56" s="146">
        <f t="shared" si="306"/>
        <v>3.1877551020408164</v>
      </c>
      <c r="DF56" s="146">
        <f t="shared" si="306"/>
        <v>3.2991266375545854</v>
      </c>
      <c r="DG56" s="253">
        <f t="shared" si="306"/>
        <v>3.18830037390503</v>
      </c>
      <c r="DH56" s="146">
        <f t="shared" si="306"/>
        <v>3.4650112866817158</v>
      </c>
      <c r="DI56" s="146">
        <f t="shared" ref="DI56:DN56" si="307">DI54/DI66</f>
        <v>3.2360248447204967</v>
      </c>
      <c r="DJ56" s="146">
        <f t="shared" si="307"/>
        <v>3.1715481171548117</v>
      </c>
      <c r="DK56" s="146">
        <f t="shared" si="307"/>
        <v>3.3198198198198199</v>
      </c>
      <c r="DL56" s="253">
        <f t="shared" si="307"/>
        <v>3.2943722943722942</v>
      </c>
      <c r="DM56" s="146">
        <f t="shared" si="307"/>
        <v>3.3055555555555554</v>
      </c>
      <c r="DN56" s="146">
        <f t="shared" si="307"/>
        <v>3.0732217573221758</v>
      </c>
      <c r="DO56" s="146">
        <f t="shared" ref="DO56:DT56" si="308">DO54/DO66</f>
        <v>3.0665236051502145</v>
      </c>
      <c r="DP56" s="146">
        <f t="shared" si="308"/>
        <v>3.063348416289593</v>
      </c>
      <c r="DQ56" s="253">
        <f t="shared" si="308"/>
        <v>3.1243124312431245</v>
      </c>
      <c r="DR56" s="146">
        <f t="shared" si="308"/>
        <v>3.0924170616113744</v>
      </c>
      <c r="DS56" s="146">
        <f t="shared" si="308"/>
        <v>3.0255863539445631</v>
      </c>
      <c r="DT56" s="146">
        <f t="shared" si="308"/>
        <v>2.9484978540772531</v>
      </c>
      <c r="DU56" s="146">
        <f t="shared" ref="DU56:EA56" si="309">DU54/DU66</f>
        <v>2.6320541760722347</v>
      </c>
      <c r="DV56" s="253">
        <f t="shared" si="309"/>
        <v>2.9244444444444446</v>
      </c>
      <c r="DW56" s="146">
        <f t="shared" si="309"/>
        <v>2.0115207373271891</v>
      </c>
      <c r="DX56" s="146">
        <f t="shared" si="309"/>
        <v>2.028397565922921</v>
      </c>
      <c r="DY56" s="146">
        <f t="shared" si="309"/>
        <v>2.2068965517241379</v>
      </c>
      <c r="DZ56" s="146">
        <f t="shared" si="309"/>
        <v>2.0311850311850312</v>
      </c>
      <c r="EA56" s="253">
        <f t="shared" si="309"/>
        <v>2.07154129405576</v>
      </c>
      <c r="EB56" s="146">
        <f>EB54/EB66</f>
        <v>1.7881355932203389</v>
      </c>
      <c r="EC56" s="146">
        <f t="shared" ref="EC56:EG56" si="310">EC54/EC66</f>
        <v>1.8187134502923976</v>
      </c>
      <c r="ED56" s="146">
        <f t="shared" si="310"/>
        <v>2.0233918128654973</v>
      </c>
      <c r="EE56" s="146">
        <f t="shared" si="310"/>
        <v>2.0763052208835342</v>
      </c>
      <c r="EF56" s="253">
        <f t="shared" si="310"/>
        <v>1.9283567134268538</v>
      </c>
      <c r="EG56" s="146">
        <f t="shared" si="310"/>
        <v>1.9691991786447638</v>
      </c>
      <c r="EH56" s="146">
        <f t="shared" ref="EH56:EJ56" si="311">EH54/EH66</f>
        <v>1.936448598130841</v>
      </c>
      <c r="EI56" s="146">
        <f t="shared" si="311"/>
        <v>2.0134357005758159</v>
      </c>
      <c r="EJ56" s="146">
        <f t="shared" si="311"/>
        <v>2.0998003992015968</v>
      </c>
      <c r="EK56" s="253">
        <f>EK54/EK66</f>
        <v>2.0039138943248531</v>
      </c>
      <c r="EL56" s="146">
        <f t="shared" ref="EL56:EO56" si="312">EL54/EL66</f>
        <v>2.0390143737166326</v>
      </c>
      <c r="EM56" s="146">
        <f t="shared" si="312"/>
        <v>2</v>
      </c>
      <c r="EN56" s="146">
        <f t="shared" si="312"/>
        <v>2.0786948176583495</v>
      </c>
      <c r="EO56" s="146">
        <f t="shared" si="312"/>
        <v>2.1676646706586826</v>
      </c>
      <c r="EP56" s="253">
        <f>EP54/EP66</f>
        <v>2.0704500978473583</v>
      </c>
      <c r="EQ56" s="482">
        <v>2.1</v>
      </c>
      <c r="ER56" s="482">
        <f t="shared" ref="ER56:ET56" si="313">ER62+(ER61*ER60)+ER59</f>
        <v>2.0609999999999999</v>
      </c>
      <c r="ES56" s="482">
        <f t="shared" si="313"/>
        <v>2.0609999999999999</v>
      </c>
      <c r="ET56" s="482">
        <f t="shared" si="313"/>
        <v>2.0609999999999999</v>
      </c>
      <c r="EU56" s="253">
        <f>EU54/EU66</f>
        <v>2.0699915853149822</v>
      </c>
      <c r="EV56" s="482"/>
      <c r="EW56" s="482"/>
      <c r="EX56" s="482"/>
      <c r="EY56" s="482"/>
      <c r="EZ56" s="511">
        <f>EZ62+(EZ61*EZ60)+EZ59</f>
        <v>1.9684999999999999</v>
      </c>
      <c r="FA56" s="482"/>
      <c r="FB56" s="482"/>
      <c r="FC56" s="482"/>
      <c r="FD56" s="482"/>
      <c r="FE56" s="511">
        <f>FE62+(FE61*FE60)+FE59</f>
        <v>1.8844999999999998</v>
      </c>
      <c r="FF56" s="30"/>
      <c r="FG56" s="35"/>
      <c r="FH56" s="239"/>
      <c r="FI56" s="231"/>
      <c r="FJ56" s="231"/>
      <c r="FK56" s="231"/>
      <c r="FL56" s="416" t="s">
        <v>586</v>
      </c>
      <c r="FM56" s="416"/>
      <c r="FN56" s="378"/>
      <c r="FO56" s="802"/>
      <c r="FP56" s="806"/>
      <c r="FQ56" s="802"/>
      <c r="FR56" s="802"/>
      <c r="FS56" s="802"/>
      <c r="FT56" s="35"/>
      <c r="FU56"/>
      <c r="FV56"/>
      <c r="FW56"/>
      <c r="FX56"/>
      <c r="FY56"/>
      <c r="FZ56"/>
      <c r="GA56" s="240"/>
    </row>
    <row r="57" spans="1:183" ht="12.75" customHeight="1" x14ac:dyDescent="0.2">
      <c r="A57" s="60" t="s">
        <v>244</v>
      </c>
      <c r="B57" s="128"/>
      <c r="C57" s="128"/>
      <c r="D57" s="128"/>
      <c r="E57" s="128"/>
      <c r="F57" s="244"/>
      <c r="G57" s="128">
        <f t="shared" ref="G57:AL57" si="314">G56/B56-1</f>
        <v>4.4204929971207507E-2</v>
      </c>
      <c r="H57" s="128">
        <f t="shared" si="314"/>
        <v>1.049472939092766E-2</v>
      </c>
      <c r="I57" s="128">
        <f t="shared" si="314"/>
        <v>-0.14845801726140007</v>
      </c>
      <c r="J57" s="128">
        <f t="shared" si="314"/>
        <v>-0.33460071846722661</v>
      </c>
      <c r="K57" s="244">
        <f t="shared" si="314"/>
        <v>-0.13878813393943334</v>
      </c>
      <c r="L57" s="128">
        <f t="shared" si="314"/>
        <v>-0.26013971586662554</v>
      </c>
      <c r="M57" s="128">
        <f t="shared" si="314"/>
        <v>6.6013064412679956E-3</v>
      </c>
      <c r="N57" s="128">
        <f t="shared" si="314"/>
        <v>2.474907633915735E-2</v>
      </c>
      <c r="O57" s="128">
        <f t="shared" si="314"/>
        <v>6.8124669568502272E-2</v>
      </c>
      <c r="P57" s="244">
        <f t="shared" si="314"/>
        <v>-3.9856047035856323E-2</v>
      </c>
      <c r="Q57" s="128">
        <f t="shared" si="314"/>
        <v>8.7052694472208314E-2</v>
      </c>
      <c r="R57" s="128">
        <f t="shared" si="314"/>
        <v>-1.3866688160936169E-2</v>
      </c>
      <c r="S57" s="128">
        <f t="shared" si="314"/>
        <v>-0.11893491355487185</v>
      </c>
      <c r="T57" s="128">
        <f t="shared" si="314"/>
        <v>9.8899798375258863E-2</v>
      </c>
      <c r="U57" s="244">
        <f t="shared" si="314"/>
        <v>1.3235808186171427E-2</v>
      </c>
      <c r="V57" s="128">
        <f t="shared" si="314"/>
        <v>1.8437747771895996E-2</v>
      </c>
      <c r="W57" s="128">
        <f t="shared" si="314"/>
        <v>-6.0417465917903868E-2</v>
      </c>
      <c r="X57" s="128">
        <f t="shared" si="314"/>
        <v>2.4826840636071212E-2</v>
      </c>
      <c r="Y57" s="128">
        <f t="shared" si="314"/>
        <v>-0.32270013792595353</v>
      </c>
      <c r="Z57" s="244">
        <f t="shared" si="314"/>
        <v>-0.11271971570216077</v>
      </c>
      <c r="AA57" s="128">
        <f t="shared" si="314"/>
        <v>-0.12822782261473975</v>
      </c>
      <c r="AB57" s="128">
        <f t="shared" si="314"/>
        <v>-3.3127754856778879E-2</v>
      </c>
      <c r="AC57" s="128">
        <f t="shared" si="314"/>
        <v>-6.1692115100106637E-2</v>
      </c>
      <c r="AD57" s="128">
        <f t="shared" si="314"/>
        <v>3.685684793492694E-2</v>
      </c>
      <c r="AE57" s="244">
        <f t="shared" si="314"/>
        <v>-4.5350712172139707E-2</v>
      </c>
      <c r="AF57" s="128">
        <f t="shared" si="314"/>
        <v>0.11454649970854147</v>
      </c>
      <c r="AG57" s="128">
        <f t="shared" si="314"/>
        <v>0.15513043435941842</v>
      </c>
      <c r="AH57" s="128">
        <f t="shared" si="314"/>
        <v>0.21224854641345914</v>
      </c>
      <c r="AI57" s="128">
        <f t="shared" si="314"/>
        <v>0.24876467164796123</v>
      </c>
      <c r="AJ57" s="244">
        <f t="shared" si="314"/>
        <v>0.18542831658751058</v>
      </c>
      <c r="AK57" s="128">
        <f t="shared" si="314"/>
        <v>0.2066489561167717</v>
      </c>
      <c r="AL57" s="128">
        <f t="shared" si="314"/>
        <v>-4.2172505996922793E-2</v>
      </c>
      <c r="AM57" s="128">
        <f t="shared" ref="AM57:BR57" si="315">AM56/AH56-1</f>
        <v>-0.1189084082617029</v>
      </c>
      <c r="AN57" s="128">
        <f t="shared" si="315"/>
        <v>-0.17581111349348122</v>
      </c>
      <c r="AO57" s="244">
        <f t="shared" si="315"/>
        <v>-4.7199591156958154E-2</v>
      </c>
      <c r="AP57" s="128">
        <f t="shared" si="315"/>
        <v>-0.29797764581999209</v>
      </c>
      <c r="AQ57" s="128">
        <f t="shared" si="315"/>
        <v>-0.24857511469603066</v>
      </c>
      <c r="AR57" s="128">
        <f t="shared" si="315"/>
        <v>-0.24151724645237527</v>
      </c>
      <c r="AS57" s="128">
        <f t="shared" si="315"/>
        <v>-0.28135639650128741</v>
      </c>
      <c r="AT57" s="244">
        <f t="shared" si="315"/>
        <v>-0.26825396935241208</v>
      </c>
      <c r="AU57" s="128">
        <f t="shared" si="315"/>
        <v>-0.21398719827765433</v>
      </c>
      <c r="AV57" s="128">
        <f t="shared" si="315"/>
        <v>-1.4510244431808594E-2</v>
      </c>
      <c r="AW57" s="128">
        <f t="shared" si="315"/>
        <v>0.31769066046422889</v>
      </c>
      <c r="AX57" s="128">
        <f t="shared" si="315"/>
        <v>0.54747086673837275</v>
      </c>
      <c r="AY57" s="244">
        <f t="shared" si="315"/>
        <v>0.15544067900813907</v>
      </c>
      <c r="AZ57" s="128">
        <f t="shared" si="315"/>
        <v>1.0903053546510186</v>
      </c>
      <c r="BA57" s="128">
        <f t="shared" si="315"/>
        <v>0.75526170460348419</v>
      </c>
      <c r="BB57" s="128">
        <f t="shared" si="315"/>
        <v>0.27932831573732364</v>
      </c>
      <c r="BC57" s="128">
        <f t="shared" si="315"/>
        <v>0.20913044072769593</v>
      </c>
      <c r="BD57" s="244">
        <f t="shared" si="315"/>
        <v>0.49773258959776268</v>
      </c>
      <c r="BE57" s="128">
        <f t="shared" si="315"/>
        <v>-4.2023302138599505E-2</v>
      </c>
      <c r="BF57" s="128">
        <f t="shared" si="315"/>
        <v>-3.8400115987571537E-2</v>
      </c>
      <c r="BG57" s="128">
        <f t="shared" si="315"/>
        <v>-6.0183455563177946E-2</v>
      </c>
      <c r="BH57" s="128">
        <f t="shared" si="315"/>
        <v>-0.27760468578595099</v>
      </c>
      <c r="BI57" s="244">
        <f t="shared" si="315"/>
        <v>-0.10588242761467415</v>
      </c>
      <c r="BJ57" s="128">
        <f t="shared" si="315"/>
        <v>-0.19670559534249776</v>
      </c>
      <c r="BK57" s="128">
        <f t="shared" si="315"/>
        <v>-9.8316253938967479E-2</v>
      </c>
      <c r="BL57" s="128">
        <f t="shared" si="315"/>
        <v>4.5685619157824764E-3</v>
      </c>
      <c r="BM57" s="128">
        <f t="shared" si="315"/>
        <v>0.20625186851668764</v>
      </c>
      <c r="BN57" s="244">
        <f>BN56/BI56-1</f>
        <v>-3.5419910652894959E-2</v>
      </c>
      <c r="BO57" s="128">
        <f t="shared" si="315"/>
        <v>0.18001776877892972</v>
      </c>
      <c r="BP57" s="128">
        <f t="shared" si="315"/>
        <v>-4.8335479335478437E-3</v>
      </c>
      <c r="BQ57" s="128">
        <f t="shared" si="315"/>
        <v>3.6184901169535433E-2</v>
      </c>
      <c r="BR57" s="128">
        <f t="shared" si="315"/>
        <v>4.6225985176444828E-2</v>
      </c>
      <c r="BS57" s="244">
        <f t="shared" ref="BS57:DA57" si="316">BS56/BN56-1</f>
        <v>6.0712433123368603E-2</v>
      </c>
      <c r="BT57" s="128">
        <f t="shared" si="316"/>
        <v>6.7240686143125172E-2</v>
      </c>
      <c r="BU57" s="128">
        <f t="shared" si="316"/>
        <v>0.21697917387393617</v>
      </c>
      <c r="BV57" s="128">
        <f t="shared" si="316"/>
        <v>0.10139881497770453</v>
      </c>
      <c r="BW57" s="128">
        <f t="shared" si="316"/>
        <v>0.20642409944651119</v>
      </c>
      <c r="BX57" s="244">
        <f t="shared" si="316"/>
        <v>0.14759036144578319</v>
      </c>
      <c r="BY57" s="128">
        <f t="shared" si="316"/>
        <v>0.12588868432233391</v>
      </c>
      <c r="BZ57" s="128">
        <f t="shared" si="316"/>
        <v>0.24166666666666647</v>
      </c>
      <c r="CA57" s="128">
        <f t="shared" si="316"/>
        <v>0.1866250426808449</v>
      </c>
      <c r="CB57" s="128">
        <f t="shared" si="316"/>
        <v>0.37137747159937717</v>
      </c>
      <c r="CC57" s="244">
        <f>CC56/BX56-1</f>
        <v>0.23639191290824257</v>
      </c>
      <c r="CD57" s="128">
        <f t="shared" si="316"/>
        <v>0.63045219624065951</v>
      </c>
      <c r="CE57" s="128">
        <f t="shared" si="316"/>
        <v>0.39089544205546622</v>
      </c>
      <c r="CF57" s="128">
        <f t="shared" si="316"/>
        <v>0.6401955116413518</v>
      </c>
      <c r="CG57" s="128">
        <f t="shared" si="316"/>
        <v>0.27141602909820639</v>
      </c>
      <c r="CH57" s="244">
        <f>CH56/CC56-1</f>
        <v>0.4648603578034225</v>
      </c>
      <c r="CI57" s="128">
        <f t="shared" si="316"/>
        <v>0.10987766727366099</v>
      </c>
      <c r="CJ57" s="128">
        <f t="shared" si="316"/>
        <v>0.13841009834780049</v>
      </c>
      <c r="CK57" s="128">
        <f t="shared" si="316"/>
        <v>8.1107881845433827E-2</v>
      </c>
      <c r="CL57" s="128">
        <f t="shared" si="316"/>
        <v>0.10771276595744683</v>
      </c>
      <c r="CM57" s="244">
        <f>CM56/CH56-1</f>
        <v>0.1079766064376404</v>
      </c>
      <c r="CN57" s="128">
        <f t="shared" si="316"/>
        <v>0.21834559403322906</v>
      </c>
      <c r="CO57" s="128">
        <f t="shared" si="316"/>
        <v>0.36091815418060769</v>
      </c>
      <c r="CP57" s="128">
        <f t="shared" si="316"/>
        <v>0.44726660257887163</v>
      </c>
      <c r="CQ57" s="128">
        <f t="shared" si="316"/>
        <v>0.31380603798382523</v>
      </c>
      <c r="CR57" s="110">
        <f>CR56/CM56-1</f>
        <v>0.33573803687830872</v>
      </c>
      <c r="CS57" s="128">
        <f t="shared" si="316"/>
        <v>-0.12693885363826707</v>
      </c>
      <c r="CT57" s="128">
        <f t="shared" si="316"/>
        <v>-0.19096994617112617</v>
      </c>
      <c r="CU57" s="128">
        <f t="shared" si="316"/>
        <v>-0.14112320751041996</v>
      </c>
      <c r="CV57" s="128">
        <f t="shared" si="316"/>
        <v>-3.8750598785573409E-2</v>
      </c>
      <c r="CW57" s="110">
        <f>CW56/CR56-1</f>
        <v>-0.12471837839640931</v>
      </c>
      <c r="CX57" s="128">
        <f t="shared" si="316"/>
        <v>0.33828716260293201</v>
      </c>
      <c r="CY57" s="128">
        <f t="shared" si="316"/>
        <v>0.31335804480204943</v>
      </c>
      <c r="CZ57" s="128">
        <f t="shared" si="316"/>
        <v>0.10286561487035395</v>
      </c>
      <c r="DA57" s="128">
        <f t="shared" si="316"/>
        <v>0.13168920525661099</v>
      </c>
      <c r="DB57" s="110">
        <f t="shared" ref="DB57:DT57" si="317">DB56/CW56-1</f>
        <v>0.2115225072061202</v>
      </c>
      <c r="DC57" s="128">
        <f t="shared" si="317"/>
        <v>0.28254924211706767</v>
      </c>
      <c r="DD57" s="128">
        <f t="shared" si="317"/>
        <v>0.39448204111964347</v>
      </c>
      <c r="DE57" s="128">
        <f t="shared" si="317"/>
        <v>0.36908135410670195</v>
      </c>
      <c r="DF57" s="128">
        <f t="shared" si="317"/>
        <v>0.33324920567842109</v>
      </c>
      <c r="DG57" s="110">
        <f t="shared" si="317"/>
        <v>0.34603673874698049</v>
      </c>
      <c r="DH57" s="128">
        <f t="shared" si="317"/>
        <v>0.1623624143178215</v>
      </c>
      <c r="DI57" s="128">
        <f t="shared" si="317"/>
        <v>-1.12146307798483E-2</v>
      </c>
      <c r="DJ57" s="128">
        <f t="shared" si="317"/>
        <v>-5.0841373842139825E-3</v>
      </c>
      <c r="DK57" s="128">
        <f t="shared" si="317"/>
        <v>6.2723212954847174E-3</v>
      </c>
      <c r="DL57" s="110">
        <f t="shared" si="317"/>
        <v>3.3269111447409516E-2</v>
      </c>
      <c r="DM57" s="128">
        <f t="shared" si="317"/>
        <v>-4.6018820123054804E-2</v>
      </c>
      <c r="DN57" s="128">
        <f t="shared" si="317"/>
        <v>-5.0309591307350576E-2</v>
      </c>
      <c r="DO57" s="128">
        <f t="shared" si="317"/>
        <v>-3.31145888774389E-2</v>
      </c>
      <c r="DP57" s="128">
        <f t="shared" si="317"/>
        <v>-7.725461544601131E-2</v>
      </c>
      <c r="DQ57" s="110">
        <f>DQ56/DL56-1</f>
        <v>-5.1621325076002922E-2</v>
      </c>
      <c r="DR57" s="128">
        <f t="shared" si="317"/>
        <v>-6.447887211756731E-2</v>
      </c>
      <c r="DS57" s="128">
        <f t="shared" si="317"/>
        <v>-1.5500151677671159E-2</v>
      </c>
      <c r="DT57" s="128">
        <f t="shared" si="317"/>
        <v>-3.8488453463960792E-2</v>
      </c>
      <c r="DU57" s="128">
        <f>DU56/DP56-1</f>
        <v>-0.1407917682245734</v>
      </c>
      <c r="DV57" s="110">
        <f>DV56/DQ56-1</f>
        <v>-6.3971830985915523E-2</v>
      </c>
      <c r="DW57" s="128">
        <f>DW56/DR56-1</f>
        <v>-0.34953122517082469</v>
      </c>
      <c r="DX57" s="128">
        <f>DX56/DS56-1</f>
        <v>-0.32958530062167024</v>
      </c>
      <c r="DY57" s="128">
        <f>DY56/DT56-1</f>
        <v>-0.2515183456306781</v>
      </c>
      <c r="DZ57" s="128">
        <f t="shared" ref="DZ57:EA57" si="318">DZ56/DU56-1</f>
        <v>-0.22828904904376601</v>
      </c>
      <c r="EA57" s="110">
        <f t="shared" si="318"/>
        <v>-0.29164621403868396</v>
      </c>
      <c r="EB57" s="128">
        <f>EB56/DW56-1</f>
        <v>-0.11105286660065627</v>
      </c>
      <c r="EC57" s="128">
        <f>EC56/DX56-1</f>
        <v>-0.10337426900584801</v>
      </c>
      <c r="ED57" s="128">
        <f>ED56/DY56-1</f>
        <v>-8.3150584795321558E-2</v>
      </c>
      <c r="EE57" s="128">
        <f t="shared" ref="EE57" si="319">EE56/DZ56-1</f>
        <v>2.2213726965178981E-2</v>
      </c>
      <c r="EF57" s="110">
        <f t="shared" ref="EF57" si="320">EF56/EA56-1</f>
        <v>-6.9119829298006863E-2</v>
      </c>
      <c r="EG57" s="128">
        <f>EG56/EB56-1</f>
        <v>0.10125830843640826</v>
      </c>
      <c r="EH57" s="128">
        <f>EH56/EC56-1</f>
        <v>6.473540283078405E-2</v>
      </c>
      <c r="EI57" s="128">
        <f>EI56/ED56-1</f>
        <v>-4.9205063628193768E-3</v>
      </c>
      <c r="EJ57" s="128">
        <f t="shared" ref="EJ57" si="321">EJ56/EE56-1</f>
        <v>1.1315859576784382E-2</v>
      </c>
      <c r="EK57" s="110">
        <f t="shared" ref="EK57" si="322">EK56/EF56-1</f>
        <v>3.9182159800573269E-2</v>
      </c>
      <c r="EL57" s="870"/>
      <c r="EM57" s="870"/>
      <c r="EN57" s="870"/>
      <c r="EO57" s="870"/>
      <c r="EP57" s="484"/>
      <c r="EQ57" s="128">
        <f>EQ56/EL56-1</f>
        <v>2.9909365558912437E-2</v>
      </c>
      <c r="ER57" s="128">
        <f>ER56/EM56-1</f>
        <v>3.0499999999999972E-2</v>
      </c>
      <c r="ES57" s="128">
        <f>ES56/EN56-1</f>
        <v>-8.512465373961331E-3</v>
      </c>
      <c r="ET57" s="128">
        <f t="shared" ref="ET57" si="323">ET56/EO56-1</f>
        <v>-4.9207182320441967E-2</v>
      </c>
      <c r="EU57" s="110">
        <f t="shared" ref="EU57" si="324">EU56/EP56-1</f>
        <v>-2.2145548586405273E-4</v>
      </c>
      <c r="EV57" s="43"/>
      <c r="EW57" s="43"/>
      <c r="EX57" s="43"/>
      <c r="EY57" s="43"/>
      <c r="EZ57" s="110">
        <f>EZ56/EU56-1</f>
        <v>-4.9029950669842282E-2</v>
      </c>
      <c r="FA57" s="43"/>
      <c r="FB57" s="43"/>
      <c r="FC57" s="43"/>
      <c r="FD57" s="43"/>
      <c r="FE57" s="110">
        <f>FE56/EZ56-1</f>
        <v>-4.2672085344170774E-2</v>
      </c>
      <c r="FF57" s="133"/>
      <c r="FG57" s="437"/>
      <c r="FL57" s="408"/>
      <c r="FO57" s="802"/>
      <c r="FP57" s="802"/>
      <c r="FQ57" s="802"/>
      <c r="FR57" s="802"/>
      <c r="FS57" s="802"/>
      <c r="FT57" s="435"/>
    </row>
    <row r="58" spans="1:183" ht="12.75" customHeight="1" x14ac:dyDescent="0.2">
      <c r="A58" s="63" t="s">
        <v>450</v>
      </c>
      <c r="B58" s="147"/>
      <c r="C58" s="147"/>
      <c r="D58" s="147"/>
      <c r="E58" s="147"/>
      <c r="F58" s="244"/>
      <c r="G58" s="147"/>
      <c r="H58" s="147"/>
      <c r="I58" s="147"/>
      <c r="J58" s="147"/>
      <c r="K58" s="244"/>
      <c r="L58" s="147"/>
      <c r="M58" s="147"/>
      <c r="N58" s="147"/>
      <c r="O58" s="147"/>
      <c r="P58" s="244"/>
      <c r="Q58" s="147"/>
      <c r="R58" s="147"/>
      <c r="S58" s="147"/>
      <c r="T58" s="147"/>
      <c r="U58" s="244"/>
      <c r="V58" s="147"/>
      <c r="W58" s="147"/>
      <c r="X58" s="147"/>
      <c r="Y58" s="147"/>
      <c r="Z58" s="244"/>
      <c r="AA58" s="147"/>
      <c r="AB58" s="147"/>
      <c r="AC58" s="147"/>
      <c r="AD58" s="147"/>
      <c r="AE58" s="244"/>
      <c r="AF58" s="147"/>
      <c r="AG58" s="147"/>
      <c r="AH58" s="147"/>
      <c r="AI58" s="147"/>
      <c r="AJ58" s="244"/>
      <c r="AK58" s="147"/>
      <c r="AL58" s="147"/>
      <c r="AM58" s="147"/>
      <c r="AN58" s="147"/>
      <c r="AO58" s="244"/>
      <c r="AP58" s="147"/>
      <c r="AQ58" s="147"/>
      <c r="AR58" s="147"/>
      <c r="AS58" s="147"/>
      <c r="AT58" s="244"/>
      <c r="AU58" s="147"/>
      <c r="AV58" s="147"/>
      <c r="AW58" s="147"/>
      <c r="AX58" s="147"/>
      <c r="AY58" s="244"/>
      <c r="AZ58" s="147"/>
      <c r="BA58" s="147"/>
      <c r="BB58" s="147"/>
      <c r="BC58" s="147"/>
      <c r="BD58" s="244"/>
      <c r="BE58" s="147"/>
      <c r="BF58" s="147"/>
      <c r="BG58" s="147"/>
      <c r="BH58" s="147"/>
      <c r="BI58" s="244"/>
      <c r="BJ58" s="147"/>
      <c r="BK58" s="147"/>
      <c r="BL58" s="147"/>
      <c r="BM58" s="147"/>
      <c r="BN58" s="244"/>
      <c r="BO58" s="147"/>
      <c r="BP58" s="147"/>
      <c r="BQ58" s="147"/>
      <c r="BR58" s="147"/>
      <c r="BS58" s="244"/>
      <c r="BT58" s="147"/>
      <c r="BU58" s="147"/>
      <c r="BV58" s="147"/>
      <c r="BW58" s="147"/>
      <c r="BX58" s="244"/>
      <c r="BY58" s="147"/>
      <c r="BZ58" s="147"/>
      <c r="CA58" s="147"/>
      <c r="CB58" s="147"/>
      <c r="CC58" s="244"/>
      <c r="CD58" s="147"/>
      <c r="CE58" s="147"/>
      <c r="CF58" s="147"/>
      <c r="CG58" s="147"/>
      <c r="CH58" s="244"/>
      <c r="CI58" s="147"/>
      <c r="CJ58" s="147"/>
      <c r="CK58" s="147"/>
      <c r="CL58" s="147"/>
      <c r="CM58" s="244"/>
      <c r="CN58" s="147"/>
      <c r="CO58" s="147"/>
      <c r="CP58" s="147"/>
      <c r="CQ58" s="147"/>
      <c r="CR58" s="110"/>
      <c r="CS58" s="147"/>
      <c r="CT58" s="147"/>
      <c r="CU58" s="147"/>
      <c r="CV58" s="147"/>
      <c r="CW58" s="110"/>
      <c r="CX58" s="147"/>
      <c r="CY58" s="147"/>
      <c r="CZ58" s="147"/>
      <c r="DA58" s="147"/>
      <c r="DB58" s="328"/>
      <c r="DC58" s="147"/>
      <c r="DD58" s="147"/>
      <c r="DE58" s="147"/>
      <c r="DF58" s="147"/>
      <c r="DG58" s="328"/>
      <c r="DH58" s="147"/>
      <c r="DI58" s="147"/>
      <c r="DJ58" s="147"/>
      <c r="DK58" s="147"/>
      <c r="DL58" s="328"/>
      <c r="DM58" s="147"/>
      <c r="DN58" s="147"/>
      <c r="DO58" s="147"/>
      <c r="DP58" s="147"/>
      <c r="DQ58" s="116"/>
      <c r="DR58" s="147"/>
      <c r="DS58" s="147"/>
      <c r="DT58" s="147"/>
      <c r="DU58" s="147"/>
      <c r="DV58" s="116"/>
      <c r="DW58" s="147"/>
      <c r="DX58" s="147"/>
      <c r="DY58" s="147"/>
      <c r="DZ58" s="147"/>
      <c r="EA58" s="116"/>
      <c r="EB58" s="147"/>
      <c r="EC58" s="147"/>
      <c r="ED58" s="147"/>
      <c r="EE58" s="147"/>
      <c r="EF58" s="116"/>
      <c r="EG58" s="147"/>
      <c r="EH58" s="147"/>
      <c r="EI58" s="147"/>
      <c r="EJ58" s="147"/>
      <c r="EK58" s="328"/>
      <c r="EL58" s="147"/>
      <c r="EM58" s="147"/>
      <c r="EN58" s="147"/>
      <c r="EO58" s="147"/>
      <c r="EP58" s="328"/>
      <c r="EQ58" s="147"/>
      <c r="ER58" s="147"/>
      <c r="ES58" s="147"/>
      <c r="ET58" s="147"/>
      <c r="EU58" s="328"/>
      <c r="EV58" s="147"/>
      <c r="EW58" s="147"/>
      <c r="EX58" s="147"/>
      <c r="EY58" s="147"/>
      <c r="EZ58" s="328"/>
      <c r="FA58" s="147"/>
      <c r="FB58" s="147"/>
      <c r="FC58" s="147"/>
      <c r="FD58" s="147"/>
      <c r="FE58" s="328"/>
      <c r="FF58" s="133"/>
      <c r="FG58" s="437"/>
      <c r="FH58" s="231"/>
      <c r="FL58" s="408"/>
      <c r="FN58" s="780" t="s">
        <v>563</v>
      </c>
      <c r="FO58" s="780"/>
      <c r="FP58" s="597"/>
      <c r="FQ58" s="793"/>
      <c r="FR58" s="725"/>
      <c r="FT58" s="435"/>
    </row>
    <row r="59" spans="1:183" ht="12.75" customHeight="1" x14ac:dyDescent="0.2">
      <c r="A59" s="218" t="s">
        <v>471</v>
      </c>
      <c r="B59" s="147"/>
      <c r="C59" s="147"/>
      <c r="D59" s="147"/>
      <c r="E59" s="147"/>
      <c r="F59" s="244"/>
      <c r="G59" s="147"/>
      <c r="H59" s="147"/>
      <c r="I59" s="147"/>
      <c r="J59" s="147"/>
      <c r="K59" s="244"/>
      <c r="L59" s="147"/>
      <c r="M59" s="147"/>
      <c r="N59" s="147"/>
      <c r="O59" s="147"/>
      <c r="P59" s="244"/>
      <c r="Q59" s="147"/>
      <c r="R59" s="147"/>
      <c r="S59" s="147"/>
      <c r="T59" s="147"/>
      <c r="U59" s="244"/>
      <c r="V59" s="147"/>
      <c r="W59" s="147"/>
      <c r="X59" s="147"/>
      <c r="Y59" s="147"/>
      <c r="Z59" s="244"/>
      <c r="AA59" s="147"/>
      <c r="AB59" s="147"/>
      <c r="AC59" s="147"/>
      <c r="AD59" s="147"/>
      <c r="AE59" s="244"/>
      <c r="AF59" s="147"/>
      <c r="AG59" s="147"/>
      <c r="AH59" s="147"/>
      <c r="AI59" s="147"/>
      <c r="AJ59" s="244"/>
      <c r="AK59" s="147"/>
      <c r="AL59" s="147"/>
      <c r="AM59" s="147"/>
      <c r="AN59" s="147"/>
      <c r="AO59" s="244"/>
      <c r="AP59" s="147"/>
      <c r="AQ59" s="147"/>
      <c r="AR59" s="147"/>
      <c r="AS59" s="147"/>
      <c r="AT59" s="244"/>
      <c r="AU59" s="147"/>
      <c r="AV59" s="147"/>
      <c r="AW59" s="147"/>
      <c r="AX59" s="147"/>
      <c r="AY59" s="244"/>
      <c r="AZ59" s="147"/>
      <c r="BA59" s="147"/>
      <c r="BB59" s="147"/>
      <c r="BC59" s="147"/>
      <c r="BD59" s="244"/>
      <c r="BE59" s="147"/>
      <c r="BF59" s="147"/>
      <c r="BG59" s="147"/>
      <c r="BH59" s="147"/>
      <c r="BI59" s="244"/>
      <c r="BJ59" s="147"/>
      <c r="BK59" s="147"/>
      <c r="BL59" s="147"/>
      <c r="BM59" s="147"/>
      <c r="BN59" s="244"/>
      <c r="BO59" s="147"/>
      <c r="BP59" s="147"/>
      <c r="BQ59" s="147"/>
      <c r="BR59" s="147"/>
      <c r="BS59" s="244"/>
      <c r="BT59" s="147"/>
      <c r="BU59" s="147"/>
      <c r="BV59" s="147"/>
      <c r="BW59" s="147"/>
      <c r="BX59" s="244"/>
      <c r="BY59" s="147"/>
      <c r="BZ59" s="147"/>
      <c r="CA59" s="147"/>
      <c r="CB59" s="147"/>
      <c r="CC59" s="244"/>
      <c r="CD59" s="147"/>
      <c r="CE59" s="147"/>
      <c r="CF59" s="147"/>
      <c r="CG59" s="147"/>
      <c r="CH59" s="244"/>
      <c r="CI59" s="147"/>
      <c r="CJ59" s="147"/>
      <c r="CK59" s="147"/>
      <c r="CL59" s="147"/>
      <c r="CM59" s="244"/>
      <c r="CN59" s="147"/>
      <c r="CO59" s="147"/>
      <c r="CP59" s="147"/>
      <c r="CQ59" s="147"/>
      <c r="CR59" s="110"/>
      <c r="CS59" s="147"/>
      <c r="CT59" s="147"/>
      <c r="CU59" s="147"/>
      <c r="CV59" s="147"/>
      <c r="CW59" s="110"/>
      <c r="CX59" s="147"/>
      <c r="CY59" s="147"/>
      <c r="CZ59" s="147"/>
      <c r="DA59" s="147"/>
      <c r="DB59" s="328"/>
      <c r="DC59" s="147"/>
      <c r="DD59" s="147"/>
      <c r="DE59" s="147"/>
      <c r="DF59" s="147"/>
      <c r="DG59" s="328"/>
      <c r="DH59" s="147"/>
      <c r="DI59" s="147"/>
      <c r="DJ59" s="147"/>
      <c r="DK59" s="147"/>
      <c r="DL59" s="328"/>
      <c r="DM59" s="147"/>
      <c r="DN59" s="147"/>
      <c r="DO59" s="147"/>
      <c r="DP59" s="147"/>
      <c r="DQ59" s="116"/>
      <c r="DR59" s="147"/>
      <c r="DS59" s="147"/>
      <c r="DT59" s="147"/>
      <c r="DU59" s="147"/>
      <c r="DV59" s="116"/>
      <c r="DW59" s="147"/>
      <c r="DX59" s="147"/>
      <c r="DY59" s="147"/>
      <c r="DZ59" s="147"/>
      <c r="EA59" s="116"/>
      <c r="EB59" s="147"/>
      <c r="EC59" s="147"/>
      <c r="ED59" s="147"/>
      <c r="EE59" s="147"/>
      <c r="EF59" s="116"/>
      <c r="EG59" s="147"/>
      <c r="EH59" s="147"/>
      <c r="EI59" s="147"/>
      <c r="EJ59" s="147"/>
      <c r="EK59" s="328"/>
      <c r="EL59" s="147"/>
      <c r="EM59" s="147"/>
      <c r="EN59" s="147"/>
      <c r="EO59" s="147"/>
      <c r="EP59" s="328"/>
      <c r="EQ59" s="147"/>
      <c r="ER59" s="147"/>
      <c r="ES59" s="147"/>
      <c r="ET59" s="147"/>
      <c r="EU59" s="328"/>
      <c r="EV59" s="147"/>
      <c r="EW59" s="147"/>
      <c r="EX59" s="147"/>
      <c r="EY59" s="147"/>
      <c r="EZ59" s="328"/>
      <c r="FA59" s="147"/>
      <c r="FB59" s="147"/>
      <c r="FC59" s="147"/>
      <c r="FD59" s="147"/>
      <c r="FE59" s="328"/>
      <c r="FF59" s="133"/>
      <c r="FG59" s="437"/>
      <c r="FH59" s="231"/>
      <c r="FL59" s="584"/>
      <c r="FN59" s="408"/>
      <c r="FO59" s="733"/>
      <c r="FQ59" s="787" t="s">
        <v>573</v>
      </c>
      <c r="FR59" s="787" t="s">
        <v>576</v>
      </c>
      <c r="FT59" s="435"/>
    </row>
    <row r="60" spans="1:183" ht="12.75" customHeight="1" x14ac:dyDescent="0.2">
      <c r="A60" s="218" t="s">
        <v>472</v>
      </c>
      <c r="B60" s="147"/>
      <c r="C60" s="147"/>
      <c r="D60" s="147"/>
      <c r="E60" s="147"/>
      <c r="F60" s="244"/>
      <c r="G60" s="147"/>
      <c r="H60" s="147"/>
      <c r="I60" s="147"/>
      <c r="J60" s="147"/>
      <c r="K60" s="244"/>
      <c r="L60" s="147"/>
      <c r="M60" s="147"/>
      <c r="N60" s="147"/>
      <c r="O60" s="147"/>
      <c r="P60" s="244"/>
      <c r="Q60" s="147"/>
      <c r="R60" s="147"/>
      <c r="S60" s="147"/>
      <c r="T60" s="147"/>
      <c r="U60" s="244"/>
      <c r="V60" s="147"/>
      <c r="W60" s="147"/>
      <c r="X60" s="147"/>
      <c r="Y60" s="147"/>
      <c r="Z60" s="244"/>
      <c r="AA60" s="147"/>
      <c r="AB60" s="147"/>
      <c r="AC60" s="147"/>
      <c r="AD60" s="147"/>
      <c r="AE60" s="244"/>
      <c r="AF60" s="147"/>
      <c r="AG60" s="147"/>
      <c r="AH60" s="147"/>
      <c r="AI60" s="147"/>
      <c r="AJ60" s="244"/>
      <c r="AK60" s="147"/>
      <c r="AL60" s="147"/>
      <c r="AM60" s="147"/>
      <c r="AN60" s="147"/>
      <c r="AO60" s="244"/>
      <c r="AP60" s="147"/>
      <c r="AQ60" s="147"/>
      <c r="AR60" s="147"/>
      <c r="AS60" s="147"/>
      <c r="AT60" s="244"/>
      <c r="AU60" s="147"/>
      <c r="AV60" s="147"/>
      <c r="AW60" s="147"/>
      <c r="AX60" s="147"/>
      <c r="AY60" s="244"/>
      <c r="AZ60" s="147"/>
      <c r="BA60" s="147"/>
      <c r="BB60" s="147"/>
      <c r="BC60" s="147"/>
      <c r="BD60" s="244"/>
      <c r="BE60" s="147"/>
      <c r="BF60" s="147"/>
      <c r="BG60" s="147"/>
      <c r="BH60" s="147"/>
      <c r="BI60" s="244"/>
      <c r="BJ60" s="147"/>
      <c r="BK60" s="147"/>
      <c r="BL60" s="147"/>
      <c r="BM60" s="147"/>
      <c r="BN60" s="244"/>
      <c r="BO60" s="147"/>
      <c r="BP60" s="147"/>
      <c r="BQ60" s="147"/>
      <c r="BR60" s="147"/>
      <c r="BS60" s="244"/>
      <c r="BT60" s="147"/>
      <c r="BU60" s="147"/>
      <c r="BV60" s="147"/>
      <c r="BW60" s="147"/>
      <c r="BX60" s="244"/>
      <c r="BY60" s="147"/>
      <c r="BZ60" s="147"/>
      <c r="CA60" s="147"/>
      <c r="CB60" s="147"/>
      <c r="CC60" s="244"/>
      <c r="CD60" s="147"/>
      <c r="CE60" s="147"/>
      <c r="CF60" s="147"/>
      <c r="CG60" s="147"/>
      <c r="CH60" s="244"/>
      <c r="CI60" s="147"/>
      <c r="CJ60" s="147"/>
      <c r="CK60" s="147"/>
      <c r="CL60" s="147"/>
      <c r="CM60" s="244"/>
      <c r="CN60" s="147"/>
      <c r="CO60" s="147"/>
      <c r="CP60" s="147"/>
      <c r="CQ60" s="147"/>
      <c r="CR60" s="110"/>
      <c r="CS60" s="147"/>
      <c r="CT60" s="147"/>
      <c r="CU60" s="147"/>
      <c r="CV60" s="147"/>
      <c r="CW60" s="110"/>
      <c r="CX60" s="147"/>
      <c r="CY60" s="147"/>
      <c r="CZ60" s="147"/>
      <c r="DA60" s="147"/>
      <c r="DB60" s="328"/>
      <c r="DC60" s="147"/>
      <c r="DD60" s="147"/>
      <c r="DE60" s="147"/>
      <c r="DF60" s="147"/>
      <c r="DG60" s="328"/>
      <c r="DH60" s="147"/>
      <c r="DI60" s="147"/>
      <c r="DJ60" s="147"/>
      <c r="DK60" s="147"/>
      <c r="DL60" s="328"/>
      <c r="DM60" s="147"/>
      <c r="DN60" s="147"/>
      <c r="DO60" s="147"/>
      <c r="DP60" s="147"/>
      <c r="DQ60" s="116"/>
      <c r="DR60" s="147"/>
      <c r="DS60" s="147"/>
      <c r="DT60" s="147"/>
      <c r="DU60" s="147"/>
      <c r="DV60" s="116"/>
      <c r="DW60" s="147"/>
      <c r="DX60" s="147"/>
      <c r="DY60" s="147"/>
      <c r="DZ60" s="147"/>
      <c r="EA60" s="116"/>
      <c r="EB60" s="147"/>
      <c r="EC60" s="147"/>
      <c r="ED60" s="147"/>
      <c r="EE60" s="147"/>
      <c r="EF60" s="116"/>
      <c r="EG60" s="147"/>
      <c r="EH60" s="147"/>
      <c r="EI60" s="147"/>
      <c r="EJ60" s="147"/>
      <c r="EK60" s="609"/>
      <c r="EL60" s="147"/>
      <c r="EM60" s="147"/>
      <c r="EN60" s="147"/>
      <c r="EO60" s="147"/>
      <c r="EP60" s="609"/>
      <c r="EQ60" s="710"/>
      <c r="ER60" s="710">
        <v>0.78</v>
      </c>
      <c r="ES60" s="710">
        <v>0.78</v>
      </c>
      <c r="ET60" s="738">
        <v>0.78</v>
      </c>
      <c r="EU60" s="609"/>
      <c r="EV60" s="735"/>
      <c r="EW60" s="710"/>
      <c r="EX60" s="710"/>
      <c r="EY60" s="738"/>
      <c r="EZ60" s="609">
        <v>0.63</v>
      </c>
      <c r="FA60" s="735"/>
      <c r="FB60" s="710"/>
      <c r="FC60" s="710"/>
      <c r="FD60" s="738"/>
      <c r="FE60" s="609">
        <v>0.31</v>
      </c>
      <c r="FF60" s="133"/>
      <c r="FG60" s="437"/>
      <c r="FH60" s="231"/>
      <c r="FL60" s="408"/>
      <c r="FN60" s="590" t="s">
        <v>562</v>
      </c>
      <c r="FO60" s="590"/>
      <c r="FQ60" s="789">
        <v>75</v>
      </c>
      <c r="FR60" s="789">
        <v>42</v>
      </c>
      <c r="FT60" s="435"/>
    </row>
    <row r="61" spans="1:183" ht="12.75" customHeight="1" x14ac:dyDescent="0.2">
      <c r="A61" s="218" t="s">
        <v>469</v>
      </c>
      <c r="B61" s="152"/>
      <c r="C61" s="152"/>
      <c r="D61" s="152"/>
      <c r="E61" s="152"/>
      <c r="F61" s="255"/>
      <c r="G61" s="152"/>
      <c r="H61" s="152"/>
      <c r="I61" s="152"/>
      <c r="J61" s="152"/>
      <c r="K61" s="255"/>
      <c r="L61" s="152"/>
      <c r="M61" s="152"/>
      <c r="N61" s="152"/>
      <c r="O61" s="152"/>
      <c r="P61" s="255"/>
      <c r="Q61" s="152"/>
      <c r="R61" s="152"/>
      <c r="S61" s="152"/>
      <c r="T61" s="152"/>
      <c r="U61" s="255"/>
      <c r="V61" s="152"/>
      <c r="W61" s="152"/>
      <c r="X61" s="152"/>
      <c r="Y61" s="152"/>
      <c r="Z61" s="255"/>
      <c r="AA61" s="152"/>
      <c r="AB61" s="152"/>
      <c r="AC61" s="152"/>
      <c r="AD61" s="152"/>
      <c r="AE61" s="255"/>
      <c r="AF61" s="152"/>
      <c r="AG61" s="152"/>
      <c r="AH61" s="152"/>
      <c r="AI61" s="152"/>
      <c r="AJ61" s="255"/>
      <c r="AK61" s="152"/>
      <c r="AL61" s="152"/>
      <c r="AM61" s="152"/>
      <c r="AN61" s="152"/>
      <c r="AO61" s="255"/>
      <c r="AP61" s="152"/>
      <c r="AQ61" s="152"/>
      <c r="AR61" s="152"/>
      <c r="AS61" s="152"/>
      <c r="AT61" s="255"/>
      <c r="AU61" s="152"/>
      <c r="AV61" s="152"/>
      <c r="AW61" s="152"/>
      <c r="AX61" s="152"/>
      <c r="AY61" s="255"/>
      <c r="AZ61" s="152"/>
      <c r="BA61" s="152"/>
      <c r="BB61" s="152"/>
      <c r="BC61" s="152"/>
      <c r="BD61" s="255"/>
      <c r="BE61" s="152"/>
      <c r="BF61" s="152"/>
      <c r="BG61" s="152"/>
      <c r="BH61" s="152"/>
      <c r="BI61" s="255"/>
      <c r="BJ61" s="152"/>
      <c r="BK61" s="152"/>
      <c r="BL61" s="152"/>
      <c r="BM61" s="152"/>
      <c r="BN61" s="255"/>
      <c r="BO61" s="152"/>
      <c r="BP61" s="152"/>
      <c r="BQ61" s="152"/>
      <c r="BR61" s="152"/>
      <c r="BS61" s="255"/>
      <c r="BT61" s="152"/>
      <c r="BU61" s="152"/>
      <c r="BV61" s="152"/>
      <c r="BW61" s="152"/>
      <c r="BX61" s="255"/>
      <c r="BY61" s="152"/>
      <c r="BZ61" s="152"/>
      <c r="CA61" s="152"/>
      <c r="CB61" s="152"/>
      <c r="CC61" s="255"/>
      <c r="CD61" s="152"/>
      <c r="CE61" s="152"/>
      <c r="CF61" s="152"/>
      <c r="CG61" s="152"/>
      <c r="CH61" s="255"/>
      <c r="CI61" s="152"/>
      <c r="CJ61" s="152"/>
      <c r="CK61" s="152"/>
      <c r="CL61" s="152"/>
      <c r="CM61" s="255"/>
      <c r="CN61" s="152"/>
      <c r="CO61" s="152"/>
      <c r="CP61" s="152"/>
      <c r="CQ61" s="152"/>
      <c r="CR61" s="115"/>
      <c r="CS61" s="152"/>
      <c r="CT61" s="152"/>
      <c r="CU61" s="152"/>
      <c r="CV61" s="152"/>
      <c r="CW61" s="325"/>
      <c r="CX61" s="152"/>
      <c r="CY61" s="152"/>
      <c r="CZ61" s="152"/>
      <c r="DA61" s="152"/>
      <c r="DB61" s="115"/>
      <c r="DC61" s="152"/>
      <c r="DD61" s="152"/>
      <c r="DE61" s="152"/>
      <c r="DF61" s="152"/>
      <c r="DG61" s="115"/>
      <c r="DH61" s="152"/>
      <c r="DI61" s="152"/>
      <c r="DJ61" s="152"/>
      <c r="DK61" s="152"/>
      <c r="DL61" s="115"/>
      <c r="DM61" s="152"/>
      <c r="DN61" s="152"/>
      <c r="DO61" s="152"/>
      <c r="DP61" s="152"/>
      <c r="DQ61" s="325"/>
      <c r="DR61" s="152"/>
      <c r="DS61" s="152"/>
      <c r="DT61" s="152"/>
      <c r="DU61" s="152"/>
      <c r="DV61" s="325"/>
      <c r="DW61" s="152"/>
      <c r="DX61" s="152"/>
      <c r="DY61" s="152"/>
      <c r="DZ61" s="152"/>
      <c r="EA61" s="325"/>
      <c r="EB61" s="152"/>
      <c r="EC61" s="152"/>
      <c r="ED61" s="152"/>
      <c r="EE61" s="152"/>
      <c r="EF61" s="325"/>
      <c r="EG61" s="152"/>
      <c r="EH61" s="152"/>
      <c r="EI61" s="152"/>
      <c r="EJ61" s="152"/>
      <c r="EK61" s="713"/>
      <c r="EL61" s="152"/>
      <c r="EM61" s="152"/>
      <c r="EN61" s="152"/>
      <c r="EO61" s="152"/>
      <c r="EP61" s="713"/>
      <c r="EQ61" s="712"/>
      <c r="ER61" s="712">
        <v>-0.05</v>
      </c>
      <c r="ES61" s="712">
        <v>-0.05</v>
      </c>
      <c r="ET61" s="712">
        <v>-0.05</v>
      </c>
      <c r="EU61" s="713"/>
      <c r="EV61" s="736"/>
      <c r="EW61" s="712"/>
      <c r="EX61" s="712"/>
      <c r="EY61" s="739"/>
      <c r="EZ61" s="713">
        <v>-0.05</v>
      </c>
      <c r="FA61" s="736"/>
      <c r="FB61" s="712"/>
      <c r="FC61" s="712"/>
      <c r="FD61" s="739"/>
      <c r="FE61" s="713">
        <v>-0.05</v>
      </c>
      <c r="FF61" s="153"/>
      <c r="FG61" s="445"/>
      <c r="FH61" s="231"/>
      <c r="FL61" s="417"/>
      <c r="FN61" s="590" t="s">
        <v>564</v>
      </c>
      <c r="FO61" s="590"/>
      <c r="FQ61" s="775">
        <f>+EZ54</f>
        <v>4254.9077985335252</v>
      </c>
      <c r="FR61" s="775">
        <f>+FE54</f>
        <v>4234.2390192109315</v>
      </c>
      <c r="FT61" s="477"/>
    </row>
    <row r="62" spans="1:183" ht="12.75" customHeight="1" x14ac:dyDescent="0.2">
      <c r="A62" s="154" t="s">
        <v>62</v>
      </c>
      <c r="B62" s="151"/>
      <c r="C62" s="151"/>
      <c r="D62" s="151"/>
      <c r="E62" s="151"/>
      <c r="F62" s="255"/>
      <c r="G62" s="151"/>
      <c r="H62" s="151"/>
      <c r="I62" s="151"/>
      <c r="J62" s="151"/>
      <c r="K62" s="255"/>
      <c r="L62" s="151"/>
      <c r="M62" s="151"/>
      <c r="N62" s="151"/>
      <c r="O62" s="151"/>
      <c r="P62" s="255"/>
      <c r="Q62" s="151"/>
      <c r="R62" s="151"/>
      <c r="S62" s="151"/>
      <c r="T62" s="151"/>
      <c r="U62" s="255"/>
      <c r="V62" s="151"/>
      <c r="W62" s="151"/>
      <c r="X62" s="151"/>
      <c r="Y62" s="151"/>
      <c r="Z62" s="255"/>
      <c r="AA62" s="151"/>
      <c r="AB62" s="151"/>
      <c r="AC62" s="151"/>
      <c r="AD62" s="151"/>
      <c r="AE62" s="255"/>
      <c r="AF62" s="151"/>
      <c r="AG62" s="151"/>
      <c r="AH62" s="151"/>
      <c r="AI62" s="151"/>
      <c r="AJ62" s="255"/>
      <c r="AK62" s="151"/>
      <c r="AL62" s="151"/>
      <c r="AM62" s="151"/>
      <c r="AN62" s="151"/>
      <c r="AO62" s="255"/>
      <c r="AP62" s="151"/>
      <c r="AQ62" s="151"/>
      <c r="AR62" s="151"/>
      <c r="AS62" s="151"/>
      <c r="AT62" s="255"/>
      <c r="AU62" s="151"/>
      <c r="AV62" s="151"/>
      <c r="AW62" s="151"/>
      <c r="AX62" s="151"/>
      <c r="AY62" s="255"/>
      <c r="AZ62" s="151"/>
      <c r="BA62" s="151"/>
      <c r="BB62" s="151"/>
      <c r="BC62" s="151"/>
      <c r="BD62" s="255"/>
      <c r="BE62" s="151"/>
      <c r="BF62" s="151"/>
      <c r="BG62" s="151"/>
      <c r="BH62" s="151"/>
      <c r="BI62" s="255"/>
      <c r="BJ62" s="151"/>
      <c r="BK62" s="151"/>
      <c r="BL62" s="151"/>
      <c r="BM62" s="151"/>
      <c r="BN62" s="255"/>
      <c r="BO62" s="151"/>
      <c r="BP62" s="151"/>
      <c r="BQ62" s="151"/>
      <c r="BR62" s="151"/>
      <c r="BS62" s="255"/>
      <c r="BT62" s="151"/>
      <c r="BU62" s="151"/>
      <c r="BV62" s="151"/>
      <c r="BW62" s="151"/>
      <c r="BX62" s="255"/>
      <c r="BY62" s="151"/>
      <c r="BZ62" s="151"/>
      <c r="CA62" s="151"/>
      <c r="CB62" s="151"/>
      <c r="CC62" s="255"/>
      <c r="CD62" s="151"/>
      <c r="CE62" s="151"/>
      <c r="CF62" s="151"/>
      <c r="CG62" s="151"/>
      <c r="CH62" s="255"/>
      <c r="CI62" s="151"/>
      <c r="CJ62" s="151"/>
      <c r="CK62" s="151"/>
      <c r="CL62" s="151"/>
      <c r="CM62" s="255"/>
      <c r="CN62" s="151"/>
      <c r="CO62" s="151"/>
      <c r="CP62" s="151"/>
      <c r="CQ62" s="151"/>
      <c r="CR62" s="255"/>
      <c r="CS62" s="151"/>
      <c r="CT62" s="151"/>
      <c r="CU62" s="151"/>
      <c r="CV62" s="151"/>
      <c r="CW62" s="255"/>
      <c r="CX62" s="151"/>
      <c r="CY62" s="151"/>
      <c r="CZ62" s="151"/>
      <c r="DA62" s="151"/>
      <c r="DB62" s="255"/>
      <c r="DC62" s="151"/>
      <c r="DD62" s="151"/>
      <c r="DE62" s="151"/>
      <c r="DF62" s="151"/>
      <c r="DG62" s="115"/>
      <c r="DH62" s="151"/>
      <c r="DI62" s="151"/>
      <c r="DJ62" s="151"/>
      <c r="DK62" s="151"/>
      <c r="DL62" s="255"/>
      <c r="DM62" s="151"/>
      <c r="DN62" s="151"/>
      <c r="DO62" s="151"/>
      <c r="DP62" s="151"/>
      <c r="DQ62" s="483"/>
      <c r="DR62" s="151"/>
      <c r="DS62" s="151"/>
      <c r="DT62" s="151"/>
      <c r="DU62" s="151"/>
      <c r="DV62" s="483"/>
      <c r="DW62" s="151"/>
      <c r="DX62" s="151"/>
      <c r="DY62" s="151"/>
      <c r="DZ62" s="151"/>
      <c r="EA62" s="483"/>
      <c r="EB62" s="151"/>
      <c r="EC62" s="151"/>
      <c r="ED62" s="151"/>
      <c r="EE62" s="151"/>
      <c r="EF62" s="483"/>
      <c r="EG62" s="151"/>
      <c r="EH62" s="151"/>
      <c r="EI62" s="151"/>
      <c r="EJ62" s="151"/>
      <c r="EK62" s="483"/>
      <c r="EL62" s="151"/>
      <c r="EM62" s="151"/>
      <c r="EN62" s="151"/>
      <c r="EO62" s="151"/>
      <c r="EP62" s="483"/>
      <c r="EQ62" s="741"/>
      <c r="ER62" s="741">
        <f t="shared" ref="ER62:ET62" si="325">ER63+ER64</f>
        <v>2.1</v>
      </c>
      <c r="ES62" s="741">
        <f t="shared" si="325"/>
        <v>2.1</v>
      </c>
      <c r="ET62" s="740">
        <f t="shared" si="325"/>
        <v>2.1</v>
      </c>
      <c r="EU62" s="483"/>
      <c r="EV62" s="737"/>
      <c r="EW62" s="741"/>
      <c r="EX62" s="741"/>
      <c r="EY62" s="740"/>
      <c r="EZ62" s="483">
        <f>EZ63+EZ64</f>
        <v>2</v>
      </c>
      <c r="FA62" s="737"/>
      <c r="FB62" s="741"/>
      <c r="FC62" s="741"/>
      <c r="FD62" s="740"/>
      <c r="FE62" s="483">
        <f>FE63+FE64</f>
        <v>1.9</v>
      </c>
      <c r="FF62" s="151"/>
      <c r="FG62" s="446"/>
      <c r="FH62" s="231"/>
      <c r="FL62" s="596"/>
      <c r="FN62" s="590" t="s">
        <v>565</v>
      </c>
      <c r="FO62" s="590"/>
      <c r="FQ62" s="775">
        <f>+FQ61+FQ60</f>
        <v>4329.9077985335252</v>
      </c>
      <c r="FR62" s="775">
        <f>+FR61+FR60</f>
        <v>4276.2390192109315</v>
      </c>
      <c r="FT62" s="446"/>
    </row>
    <row r="63" spans="1:183" ht="12.75" customHeight="1" x14ac:dyDescent="0.2">
      <c r="A63" s="150" t="s">
        <v>299</v>
      </c>
      <c r="B63" s="153"/>
      <c r="C63" s="153"/>
      <c r="D63" s="153"/>
      <c r="E63" s="153"/>
      <c r="F63" s="255"/>
      <c r="G63" s="153"/>
      <c r="H63" s="153"/>
      <c r="I63" s="153"/>
      <c r="J63" s="153"/>
      <c r="K63" s="255"/>
      <c r="L63" s="153"/>
      <c r="M63" s="153"/>
      <c r="N63" s="153"/>
      <c r="O63" s="153"/>
      <c r="P63" s="255"/>
      <c r="Q63" s="153"/>
      <c r="R63" s="153"/>
      <c r="S63" s="153"/>
      <c r="T63" s="153"/>
      <c r="U63" s="255"/>
      <c r="V63" s="153"/>
      <c r="W63" s="153"/>
      <c r="X63" s="153"/>
      <c r="Y63" s="153"/>
      <c r="Z63" s="255"/>
      <c r="AA63" s="153"/>
      <c r="AB63" s="153"/>
      <c r="AC63" s="153"/>
      <c r="AD63" s="153"/>
      <c r="AE63" s="255"/>
      <c r="AF63" s="153"/>
      <c r="AG63" s="153"/>
      <c r="AH63" s="153"/>
      <c r="AI63" s="153"/>
      <c r="AJ63" s="255"/>
      <c r="AK63" s="153"/>
      <c r="AL63" s="153"/>
      <c r="AM63" s="153"/>
      <c r="AN63" s="153"/>
      <c r="AO63" s="255"/>
      <c r="AP63" s="153"/>
      <c r="AQ63" s="153"/>
      <c r="AR63" s="153"/>
      <c r="AS63" s="153"/>
      <c r="AT63" s="255"/>
      <c r="AU63" s="153"/>
      <c r="AV63" s="153"/>
      <c r="AW63" s="153"/>
      <c r="AX63" s="153"/>
      <c r="AY63" s="255"/>
      <c r="AZ63" s="153"/>
      <c r="BA63" s="153"/>
      <c r="BB63" s="153"/>
      <c r="BC63" s="153"/>
      <c r="BD63" s="255"/>
      <c r="BE63" s="153"/>
      <c r="BF63" s="153"/>
      <c r="BG63" s="153"/>
      <c r="BH63" s="153"/>
      <c r="BI63" s="255"/>
      <c r="BJ63" s="153"/>
      <c r="BK63" s="153"/>
      <c r="BL63" s="153"/>
      <c r="BM63" s="153"/>
      <c r="BN63" s="255"/>
      <c r="BO63" s="153"/>
      <c r="BP63" s="153"/>
      <c r="BQ63" s="153"/>
      <c r="BR63" s="153"/>
      <c r="BS63" s="255"/>
      <c r="BT63" s="153"/>
      <c r="BU63" s="153"/>
      <c r="BV63" s="153"/>
      <c r="BW63" s="153"/>
      <c r="BX63" s="255"/>
      <c r="BY63" s="153"/>
      <c r="BZ63" s="153"/>
      <c r="CA63" s="153"/>
      <c r="CB63" s="153"/>
      <c r="CC63" s="255"/>
      <c r="CD63" s="153"/>
      <c r="CE63" s="153"/>
      <c r="CF63" s="153"/>
      <c r="CG63" s="153"/>
      <c r="CH63" s="255"/>
      <c r="CI63" s="153"/>
      <c r="CJ63" s="153"/>
      <c r="CK63" s="153"/>
      <c r="CL63" s="153"/>
      <c r="CM63" s="255"/>
      <c r="CN63" s="153"/>
      <c r="CO63" s="153"/>
      <c r="CP63" s="153"/>
      <c r="CQ63" s="153"/>
      <c r="CR63" s="115"/>
      <c r="CS63" s="153"/>
      <c r="CT63" s="153"/>
      <c r="CU63" s="153"/>
      <c r="CV63" s="153"/>
      <c r="CW63" s="115"/>
      <c r="CX63" s="153"/>
      <c r="CY63" s="153"/>
      <c r="CZ63" s="153"/>
      <c r="DA63" s="153"/>
      <c r="DB63" s="115"/>
      <c r="DC63" s="153"/>
      <c r="DD63" s="153"/>
      <c r="DE63" s="153"/>
      <c r="DF63" s="153"/>
      <c r="DG63" s="115"/>
      <c r="DH63" s="153"/>
      <c r="DI63" s="153"/>
      <c r="DJ63" s="153"/>
      <c r="DK63" s="153"/>
      <c r="DL63" s="115"/>
      <c r="DM63" s="153"/>
      <c r="DN63" s="153"/>
      <c r="DO63" s="153"/>
      <c r="DP63" s="153"/>
      <c r="DQ63" s="325"/>
      <c r="DR63" s="153"/>
      <c r="DS63" s="153"/>
      <c r="DT63" s="153"/>
      <c r="DU63" s="153"/>
      <c r="DV63" s="325"/>
      <c r="DW63" s="153"/>
      <c r="DX63" s="153"/>
      <c r="DY63" s="153"/>
      <c r="DZ63" s="153"/>
      <c r="EA63" s="325"/>
      <c r="EB63" s="153"/>
      <c r="EC63" s="153"/>
      <c r="ED63" s="153"/>
      <c r="EE63" s="153"/>
      <c r="EF63" s="325"/>
      <c r="EG63" s="153"/>
      <c r="EH63" s="153"/>
      <c r="EI63" s="153"/>
      <c r="EJ63" s="153"/>
      <c r="EK63" s="713"/>
      <c r="EL63" s="153"/>
      <c r="EM63" s="153"/>
      <c r="EN63" s="153"/>
      <c r="EO63" s="153"/>
      <c r="EP63" s="713"/>
      <c r="EQ63" s="54"/>
      <c r="ER63" s="54">
        <v>1.9</v>
      </c>
      <c r="ES63" s="54">
        <v>1.9</v>
      </c>
      <c r="ET63" s="54">
        <v>1.9</v>
      </c>
      <c r="EU63" s="713"/>
      <c r="EV63" s="712"/>
      <c r="EW63" s="712"/>
      <c r="EX63" s="712"/>
      <c r="EY63" s="712"/>
      <c r="EZ63" s="713">
        <v>1.8</v>
      </c>
      <c r="FA63" s="712"/>
      <c r="FB63" s="712"/>
      <c r="FC63" s="712"/>
      <c r="FD63" s="712"/>
      <c r="FE63" s="713">
        <v>1.7</v>
      </c>
      <c r="FF63" s="153"/>
      <c r="FG63" s="445"/>
      <c r="FH63" s="231"/>
      <c r="FI63" s="231">
        <v>1.55</v>
      </c>
      <c r="FL63" s="418"/>
      <c r="FM63" s="418"/>
      <c r="FN63" s="590" t="s">
        <v>566</v>
      </c>
      <c r="FO63" s="590"/>
      <c r="FQ63" s="807">
        <f>+FQ62/EZ66</f>
        <v>2.0031981666796361</v>
      </c>
      <c r="FR63" s="807">
        <f>+FR62/FE66</f>
        <v>1.9031926150462686</v>
      </c>
      <c r="FT63" s="477"/>
    </row>
    <row r="64" spans="1:183" ht="12.75" customHeight="1" x14ac:dyDescent="0.2">
      <c r="A64" s="150" t="s">
        <v>86</v>
      </c>
      <c r="B64" s="153"/>
      <c r="C64" s="153"/>
      <c r="D64" s="153"/>
      <c r="E64" s="153"/>
      <c r="F64" s="255"/>
      <c r="G64" s="153"/>
      <c r="H64" s="153"/>
      <c r="I64" s="153"/>
      <c r="J64" s="153"/>
      <c r="K64" s="255"/>
      <c r="L64" s="153"/>
      <c r="M64" s="153"/>
      <c r="N64" s="153"/>
      <c r="O64" s="153"/>
      <c r="P64" s="255"/>
      <c r="Q64" s="153"/>
      <c r="R64" s="153"/>
      <c r="S64" s="153"/>
      <c r="T64" s="153"/>
      <c r="U64" s="255"/>
      <c r="V64" s="153"/>
      <c r="W64" s="153"/>
      <c r="X64" s="153"/>
      <c r="Y64" s="153"/>
      <c r="Z64" s="255"/>
      <c r="AA64" s="153"/>
      <c r="AB64" s="153"/>
      <c r="AC64" s="153"/>
      <c r="AD64" s="153"/>
      <c r="AE64" s="255"/>
      <c r="AF64" s="153"/>
      <c r="AG64" s="153"/>
      <c r="AH64" s="153"/>
      <c r="AI64" s="153"/>
      <c r="AJ64" s="255"/>
      <c r="AK64" s="153"/>
      <c r="AL64" s="153"/>
      <c r="AM64" s="153"/>
      <c r="AN64" s="153"/>
      <c r="AO64" s="255"/>
      <c r="AP64" s="153"/>
      <c r="AQ64" s="153"/>
      <c r="AR64" s="153"/>
      <c r="AS64" s="153"/>
      <c r="AT64" s="255"/>
      <c r="AU64" s="153"/>
      <c r="AV64" s="153"/>
      <c r="AW64" s="153"/>
      <c r="AX64" s="153"/>
      <c r="AY64" s="255"/>
      <c r="AZ64" s="153"/>
      <c r="BA64" s="153"/>
      <c r="BB64" s="153"/>
      <c r="BC64" s="153"/>
      <c r="BD64" s="255"/>
      <c r="BE64" s="153"/>
      <c r="BF64" s="153"/>
      <c r="BG64" s="153"/>
      <c r="BH64" s="153"/>
      <c r="BI64" s="255"/>
      <c r="BJ64" s="153"/>
      <c r="BK64" s="153"/>
      <c r="BL64" s="153"/>
      <c r="BM64" s="153"/>
      <c r="BN64" s="255"/>
      <c r="BO64" s="153"/>
      <c r="BP64" s="153"/>
      <c r="BQ64" s="153"/>
      <c r="BR64" s="153"/>
      <c r="BS64" s="255"/>
      <c r="BT64" s="153"/>
      <c r="BU64" s="153"/>
      <c r="BV64" s="153"/>
      <c r="BW64" s="153"/>
      <c r="BX64" s="255"/>
      <c r="BY64" s="153"/>
      <c r="BZ64" s="153"/>
      <c r="CA64" s="153"/>
      <c r="CB64" s="153"/>
      <c r="CC64" s="255"/>
      <c r="CD64" s="153"/>
      <c r="CE64" s="153"/>
      <c r="CF64" s="153"/>
      <c r="CG64" s="153"/>
      <c r="CH64" s="255"/>
      <c r="CI64" s="153"/>
      <c r="CJ64" s="153"/>
      <c r="CK64" s="153"/>
      <c r="CL64" s="153"/>
      <c r="CM64" s="255"/>
      <c r="CN64" s="153"/>
      <c r="CO64" s="153"/>
      <c r="CP64" s="153"/>
      <c r="CQ64" s="153"/>
      <c r="CR64" s="115"/>
      <c r="CS64" s="153"/>
      <c r="CT64" s="153"/>
      <c r="CU64" s="153"/>
      <c r="CV64" s="153"/>
      <c r="CW64" s="115"/>
      <c r="CX64" s="153"/>
      <c r="CY64" s="153"/>
      <c r="CZ64" s="153"/>
      <c r="DA64" s="153"/>
      <c r="DB64" s="115"/>
      <c r="DC64" s="153"/>
      <c r="DD64" s="153"/>
      <c r="DE64" s="153"/>
      <c r="DF64" s="153"/>
      <c r="DG64" s="115"/>
      <c r="DH64" s="153"/>
      <c r="DI64" s="153"/>
      <c r="DJ64" s="153"/>
      <c r="DK64" s="153"/>
      <c r="DL64" s="115"/>
      <c r="DM64" s="153"/>
      <c r="DN64" s="153"/>
      <c r="DO64" s="153"/>
      <c r="DP64" s="153"/>
      <c r="DQ64" s="325"/>
      <c r="DR64" s="153"/>
      <c r="DS64" s="153"/>
      <c r="DT64" s="153"/>
      <c r="DU64" s="153"/>
      <c r="DV64" s="325"/>
      <c r="DW64" s="153"/>
      <c r="DX64" s="153"/>
      <c r="DY64" s="153"/>
      <c r="DZ64" s="153"/>
      <c r="EA64" s="325"/>
      <c r="EB64" s="153"/>
      <c r="EC64" s="153"/>
      <c r="ED64" s="153"/>
      <c r="EE64" s="153"/>
      <c r="EF64" s="325"/>
      <c r="EG64" s="153"/>
      <c r="EH64" s="153"/>
      <c r="EI64" s="153"/>
      <c r="EJ64" s="153"/>
      <c r="EK64" s="325"/>
      <c r="EL64" s="153"/>
      <c r="EM64" s="153"/>
      <c r="EN64" s="153"/>
      <c r="EO64" s="153"/>
      <c r="EP64" s="325"/>
      <c r="EQ64" s="152"/>
      <c r="ER64" s="152">
        <v>0.2</v>
      </c>
      <c r="ES64" s="152">
        <v>0.2</v>
      </c>
      <c r="ET64" s="743">
        <v>0.2</v>
      </c>
      <c r="EU64" s="325"/>
      <c r="EV64" s="742"/>
      <c r="EW64" s="152"/>
      <c r="EX64" s="152"/>
      <c r="EY64" s="743"/>
      <c r="EZ64" s="325">
        <v>0.2</v>
      </c>
      <c r="FA64" s="742"/>
      <c r="FB64" s="152"/>
      <c r="FC64" s="152"/>
      <c r="FD64" s="743"/>
      <c r="FE64" s="325">
        <v>0.2</v>
      </c>
      <c r="FF64" s="153"/>
      <c r="FG64" s="445"/>
      <c r="FL64" s="418" t="s">
        <v>328</v>
      </c>
      <c r="FM64" s="418"/>
      <c r="FN64" s="611"/>
      <c r="FO64" s="610"/>
      <c r="FQ64" s="788">
        <f>+FQ60/EZ66</f>
        <v>3.4698166679636155E-2</v>
      </c>
      <c r="FR64" s="788">
        <f>+FR60/FE66</f>
        <v>1.8692615046268634E-2</v>
      </c>
      <c r="FT64" s="477"/>
    </row>
    <row r="65" spans="1:183" ht="12.75" customHeight="1" x14ac:dyDescent="0.2">
      <c r="A65" s="219" t="s">
        <v>265</v>
      </c>
      <c r="B65" s="43"/>
      <c r="C65" s="43"/>
      <c r="D65" s="43"/>
      <c r="E65" s="43"/>
      <c r="F65" s="244"/>
      <c r="G65" s="43"/>
      <c r="H65" s="43"/>
      <c r="I65" s="43"/>
      <c r="J65" s="43"/>
      <c r="K65" s="244"/>
      <c r="L65" s="43"/>
      <c r="M65" s="43"/>
      <c r="N65" s="43"/>
      <c r="O65" s="43"/>
      <c r="P65" s="244"/>
      <c r="Q65" s="43"/>
      <c r="R65" s="43"/>
      <c r="S65" s="43"/>
      <c r="T65" s="43"/>
      <c r="U65" s="244"/>
      <c r="V65" s="43"/>
      <c r="W65" s="43"/>
      <c r="X65" s="43"/>
      <c r="Y65" s="43"/>
      <c r="Z65" s="244"/>
      <c r="AA65" s="43"/>
      <c r="AB65" s="43"/>
      <c r="AC65" s="43"/>
      <c r="AD65" s="43"/>
      <c r="AE65" s="244"/>
      <c r="AF65" s="43"/>
      <c r="AG65" s="43"/>
      <c r="AH65" s="43"/>
      <c r="AI65" s="43"/>
      <c r="AJ65" s="244"/>
      <c r="AK65" s="43"/>
      <c r="AL65" s="43"/>
      <c r="AM65" s="43"/>
      <c r="AN65" s="43"/>
      <c r="AO65" s="244"/>
      <c r="AP65" s="43"/>
      <c r="AQ65" s="43"/>
      <c r="AR65" s="43"/>
      <c r="AS65" s="43"/>
      <c r="AT65" s="244"/>
      <c r="AU65" s="43"/>
      <c r="AV65" s="43"/>
      <c r="AW65" s="43"/>
      <c r="AX65" s="43"/>
      <c r="AY65" s="244"/>
      <c r="AZ65" s="43"/>
      <c r="BA65" s="43"/>
      <c r="BB65" s="43"/>
      <c r="BC65" s="43"/>
      <c r="BD65" s="244"/>
      <c r="BE65" s="43"/>
      <c r="BF65" s="43"/>
      <c r="BG65" s="43"/>
      <c r="BH65" s="43"/>
      <c r="BI65" s="244"/>
      <c r="BJ65" s="43"/>
      <c r="BK65" s="43"/>
      <c r="BL65" s="43"/>
      <c r="BM65" s="43"/>
      <c r="BN65" s="244"/>
      <c r="BO65" s="43"/>
      <c r="BP65" s="43"/>
      <c r="BQ65" s="43"/>
      <c r="BR65" s="43"/>
      <c r="BS65" s="244"/>
      <c r="BT65" s="43"/>
      <c r="BU65" s="43"/>
      <c r="BV65" s="43"/>
      <c r="BW65" s="43"/>
      <c r="BX65" s="244"/>
      <c r="BY65" s="43"/>
      <c r="BZ65" s="43"/>
      <c r="CA65" s="43"/>
      <c r="CB65" s="43"/>
      <c r="CC65" s="244"/>
      <c r="CD65" s="43"/>
      <c r="CE65" s="43"/>
      <c r="CF65" s="43"/>
      <c r="CG65" s="43"/>
      <c r="CH65" s="244"/>
      <c r="CI65" s="43"/>
      <c r="CJ65" s="43"/>
      <c r="CK65" s="43"/>
      <c r="CL65" s="43"/>
      <c r="CM65" s="244"/>
      <c r="CN65" s="43"/>
      <c r="CO65" s="43"/>
      <c r="CP65" s="43"/>
      <c r="CQ65" s="43"/>
      <c r="CR65" s="110"/>
      <c r="CS65" s="43"/>
      <c r="CT65" s="43"/>
      <c r="CU65" s="43"/>
      <c r="CV65" s="43"/>
      <c r="CW65" s="110"/>
      <c r="CX65" s="43"/>
      <c r="CY65" s="43"/>
      <c r="CZ65" s="43"/>
      <c r="DA65" s="43"/>
      <c r="DB65" s="110"/>
      <c r="DC65" s="43"/>
      <c r="DD65" s="43"/>
      <c r="DE65" s="43"/>
      <c r="DF65" s="43"/>
      <c r="DG65" s="115"/>
      <c r="DH65" s="43"/>
      <c r="DI65" s="43"/>
      <c r="DJ65" s="43"/>
      <c r="DK65" s="43"/>
      <c r="DL65" s="110"/>
      <c r="DM65" s="43"/>
      <c r="DN65" s="43"/>
      <c r="DO65" s="43"/>
      <c r="DP65" s="43"/>
      <c r="DQ65" s="484"/>
      <c r="DR65" s="43"/>
      <c r="DS65" s="43"/>
      <c r="DT65" s="43"/>
      <c r="DU65" s="43"/>
      <c r="DV65" s="484"/>
      <c r="DW65" s="43"/>
      <c r="DX65" s="43"/>
      <c r="DY65" s="43"/>
      <c r="DZ65" s="43"/>
      <c r="EA65" s="484"/>
      <c r="EB65" s="43"/>
      <c r="EC65" s="43"/>
      <c r="ED65" s="43"/>
      <c r="EE65" s="43"/>
      <c r="EF65" s="484"/>
      <c r="EG65" s="43"/>
      <c r="EH65" s="43"/>
      <c r="EI65" s="43"/>
      <c r="EJ65" s="43"/>
      <c r="EK65" s="484"/>
      <c r="EL65" s="43"/>
      <c r="EM65" s="43"/>
      <c r="EN65" s="43"/>
      <c r="EO65" s="43"/>
      <c r="EP65" s="484"/>
      <c r="EQ65" s="43"/>
      <c r="ER65" s="43"/>
      <c r="ES65" s="43"/>
      <c r="ET65" s="43"/>
      <c r="EU65" s="484"/>
      <c r="EV65" s="43"/>
      <c r="EW65" s="43"/>
      <c r="EX65" s="43"/>
      <c r="EY65" s="43"/>
      <c r="EZ65" s="484"/>
      <c r="FA65" s="43"/>
      <c r="FB65" s="43"/>
      <c r="FC65" s="43"/>
      <c r="FD65" s="43"/>
      <c r="FE65" s="484"/>
      <c r="FF65" s="133"/>
      <c r="FG65" s="437"/>
      <c r="FL65" s="408"/>
      <c r="FM65" s="408"/>
      <c r="FN65" s="707"/>
      <c r="FO65" s="416"/>
      <c r="FQ65" s="788">
        <f>+FQ63-FQ64</f>
        <v>1.9684999999999999</v>
      </c>
      <c r="FR65" s="788">
        <f>+FR63-FR64</f>
        <v>1.8844999999999998</v>
      </c>
      <c r="FT65" s="435"/>
    </row>
    <row r="66" spans="1:183" ht="12.75" customHeight="1" x14ac:dyDescent="0.2">
      <c r="A66" s="155" t="s">
        <v>300</v>
      </c>
      <c r="B66" s="826">
        <v>73.654662999999999</v>
      </c>
      <c r="C66" s="826">
        <v>78.214363000000006</v>
      </c>
      <c r="D66" s="826">
        <v>80.731764999999996</v>
      </c>
      <c r="E66" s="826">
        <v>76.853843999999995</v>
      </c>
      <c r="F66" s="256">
        <f>SUM(B66:E66)</f>
        <v>309.454635</v>
      </c>
      <c r="G66" s="826">
        <v>79.902364000000006</v>
      </c>
      <c r="H66" s="826">
        <v>84.505636999999993</v>
      </c>
      <c r="I66" s="826">
        <v>89.805160999999998</v>
      </c>
      <c r="J66" s="826">
        <v>87.656084000000007</v>
      </c>
      <c r="K66" s="256">
        <f>SUM(G66:J66)</f>
        <v>341.86924600000003</v>
      </c>
      <c r="L66" s="826">
        <v>91.901448000000002</v>
      </c>
      <c r="M66" s="826">
        <v>96.792045000000002</v>
      </c>
      <c r="N66" s="826">
        <v>105.53077500000001</v>
      </c>
      <c r="O66" s="826">
        <v>103.955017</v>
      </c>
      <c r="P66" s="256">
        <f>SUM(L66:O66)</f>
        <v>398.17928499999999</v>
      </c>
      <c r="Q66" s="826">
        <v>107.117546</v>
      </c>
      <c r="R66" s="826">
        <v>114.10921500000001</v>
      </c>
      <c r="S66" s="826">
        <v>121.832621</v>
      </c>
      <c r="T66" s="826">
        <v>121.564826</v>
      </c>
      <c r="U66" s="256">
        <f>SUM(Q66:T66)</f>
        <v>464.62420800000001</v>
      </c>
      <c r="V66" s="826">
        <v>122.601169</v>
      </c>
      <c r="W66" s="826">
        <v>130.03595000000001</v>
      </c>
      <c r="X66" s="826">
        <v>141.37794299999999</v>
      </c>
      <c r="Y66" s="826">
        <v>155.65698800000001</v>
      </c>
      <c r="Z66" s="256">
        <f>SUM(V66:Y66)</f>
        <v>549.67205000000001</v>
      </c>
      <c r="AA66" s="826">
        <v>156.027851</v>
      </c>
      <c r="AB66" s="826">
        <v>162.596282</v>
      </c>
      <c r="AC66" s="826">
        <v>167.77653599999999</v>
      </c>
      <c r="AD66" s="826">
        <v>172.481255</v>
      </c>
      <c r="AE66" s="256">
        <f>SUM(AA66:AD66)</f>
        <v>658.88192400000003</v>
      </c>
      <c r="AF66" s="826">
        <v>174.81693100000001</v>
      </c>
      <c r="AG66" s="826">
        <v>183.159178</v>
      </c>
      <c r="AH66" s="826">
        <v>189.83872099999999</v>
      </c>
      <c r="AI66" s="826">
        <v>188.88707199999999</v>
      </c>
      <c r="AJ66" s="256">
        <f>SUM(AF66:AI66)</f>
        <v>736.70190200000002</v>
      </c>
      <c r="AK66" s="826">
        <v>187.013418</v>
      </c>
      <c r="AL66" s="826">
        <v>194.37996999999999</v>
      </c>
      <c r="AM66" s="826">
        <v>203.209202</v>
      </c>
      <c r="AN66" s="826">
        <v>204.991907</v>
      </c>
      <c r="AO66" s="256">
        <f>SUM(AK66:AN66)</f>
        <v>789.59449699999993</v>
      </c>
      <c r="AP66" s="826">
        <v>201.62174099999999</v>
      </c>
      <c r="AQ66" s="826">
        <v>211.333518</v>
      </c>
      <c r="AR66" s="826">
        <v>217.413759</v>
      </c>
      <c r="AS66" s="826">
        <v>216.27672100000001</v>
      </c>
      <c r="AT66" s="256">
        <f>SUM(AP66:AS66)</f>
        <v>846.64573900000005</v>
      </c>
      <c r="AU66" s="826">
        <v>216.552414</v>
      </c>
      <c r="AV66" s="826">
        <v>229.93859499999999</v>
      </c>
      <c r="AW66" s="826">
        <v>243.55869100000001</v>
      </c>
      <c r="AX66" s="826">
        <v>239.054182</v>
      </c>
      <c r="AY66" s="256">
        <f>SUM(AU66:AX66)</f>
        <v>929.103882</v>
      </c>
      <c r="AZ66" s="826">
        <v>238.318298</v>
      </c>
      <c r="BA66" s="826">
        <v>251.369856</v>
      </c>
      <c r="BB66" s="826">
        <v>259.66763700000001</v>
      </c>
      <c r="BC66" s="826">
        <v>264.05335600000001</v>
      </c>
      <c r="BD66" s="256">
        <f>SUM(AZ66:BC66)</f>
        <v>1013.409147</v>
      </c>
      <c r="BE66" s="826">
        <v>264.56832500000002</v>
      </c>
      <c r="BF66" s="826">
        <v>275.193488</v>
      </c>
      <c r="BG66" s="826">
        <v>273.22251999999997</v>
      </c>
      <c r="BH66" s="826">
        <v>272.65404699999999</v>
      </c>
      <c r="BI66" s="256">
        <f>SUM(BE66:BH66)</f>
        <v>1085.6383800000001</v>
      </c>
      <c r="BJ66" s="826">
        <v>267.729086</v>
      </c>
      <c r="BK66" s="826">
        <v>277.28210000000001</v>
      </c>
      <c r="BL66" s="826">
        <v>286.96970399999998</v>
      </c>
      <c r="BM66" s="826">
        <v>282.20363900000001</v>
      </c>
      <c r="BN66" s="256">
        <f>SUM(BJ66:BM66)</f>
        <v>1114.1845289999999</v>
      </c>
      <c r="BO66" s="826">
        <v>277</v>
      </c>
      <c r="BP66" s="826">
        <v>286</v>
      </c>
      <c r="BQ66" s="826">
        <v>292</v>
      </c>
      <c r="BR66" s="826">
        <v>288</v>
      </c>
      <c r="BS66" s="256">
        <f>SUM(BO66:BR66)</f>
        <v>1143</v>
      </c>
      <c r="BT66" s="826">
        <v>287</v>
      </c>
      <c r="BU66" s="826">
        <v>298</v>
      </c>
      <c r="BV66" s="826">
        <v>306</v>
      </c>
      <c r="BW66" s="826">
        <v>309</v>
      </c>
      <c r="BX66" s="256">
        <f>SUM(BT66:BW66)</f>
        <v>1200</v>
      </c>
      <c r="BY66" s="826">
        <v>307</v>
      </c>
      <c r="BZ66" s="826">
        <v>320</v>
      </c>
      <c r="CA66" s="826">
        <v>332</v>
      </c>
      <c r="CB66" s="826">
        <v>327</v>
      </c>
      <c r="CC66" s="256">
        <f>SUM(BY66:CB66)</f>
        <v>1286</v>
      </c>
      <c r="CD66" s="826">
        <v>329</v>
      </c>
      <c r="CE66" s="826">
        <v>344.4</v>
      </c>
      <c r="CF66" s="826">
        <v>359</v>
      </c>
      <c r="CG66" s="826">
        <v>357</v>
      </c>
      <c r="CH66" s="256">
        <f>SUM(CD66:CG66)</f>
        <v>1389.4</v>
      </c>
      <c r="CI66" s="826">
        <v>354</v>
      </c>
      <c r="CJ66" s="826">
        <v>374</v>
      </c>
      <c r="CK66" s="826">
        <v>388</v>
      </c>
      <c r="CL66" s="826">
        <v>376</v>
      </c>
      <c r="CM66" s="256">
        <f>SUM(CI66:CL66)</f>
        <v>1492</v>
      </c>
      <c r="CN66" s="826">
        <v>373</v>
      </c>
      <c r="CO66" s="826">
        <v>388</v>
      </c>
      <c r="CP66" s="826">
        <v>382</v>
      </c>
      <c r="CQ66" s="826">
        <v>368.4</v>
      </c>
      <c r="CR66" s="308">
        <f>SUM(CN66:CQ66)</f>
        <v>1511.4</v>
      </c>
      <c r="CS66" s="826">
        <v>432.84226200000001</v>
      </c>
      <c r="CT66" s="826">
        <v>464.21299999999997</v>
      </c>
      <c r="CU66" s="826">
        <v>459.09800000000001</v>
      </c>
      <c r="CV66" s="826">
        <v>435.95100000000002</v>
      </c>
      <c r="CW66" s="308">
        <f>SUM(CS66:CV66)</f>
        <v>1792.1042620000001</v>
      </c>
      <c r="CX66" s="826">
        <v>417.52700000000004</v>
      </c>
      <c r="CY66" s="826">
        <v>469.12700000000001</v>
      </c>
      <c r="CZ66" s="826">
        <v>472</v>
      </c>
      <c r="DA66" s="826">
        <v>451</v>
      </c>
      <c r="DB66" s="308">
        <f>SUM(CX66:DA66)</f>
        <v>1809.654</v>
      </c>
      <c r="DC66" s="826">
        <v>445.18</v>
      </c>
      <c r="DD66" s="826">
        <v>495</v>
      </c>
      <c r="DE66" s="826">
        <v>490</v>
      </c>
      <c r="DF66" s="826">
        <v>458</v>
      </c>
      <c r="DG66" s="308">
        <f>SUM(DC66:DF66)</f>
        <v>1888.18</v>
      </c>
      <c r="DH66" s="826">
        <v>443</v>
      </c>
      <c r="DI66" s="826">
        <v>483</v>
      </c>
      <c r="DJ66" s="826">
        <v>478</v>
      </c>
      <c r="DK66" s="826">
        <v>444</v>
      </c>
      <c r="DL66" s="308">
        <f>SUM(DH66:DK66)</f>
        <v>1848</v>
      </c>
      <c r="DM66" s="826">
        <v>432</v>
      </c>
      <c r="DN66" s="826">
        <v>478</v>
      </c>
      <c r="DO66" s="826">
        <v>466</v>
      </c>
      <c r="DP66" s="826">
        <v>442</v>
      </c>
      <c r="DQ66" s="308">
        <f>SUM(DM66:DP66)</f>
        <v>1818</v>
      </c>
      <c r="DR66" s="826">
        <v>422</v>
      </c>
      <c r="DS66" s="826">
        <v>469</v>
      </c>
      <c r="DT66" s="826">
        <v>466</v>
      </c>
      <c r="DU66" s="826">
        <v>443</v>
      </c>
      <c r="DV66" s="308">
        <f>SUM(DR66:DU66)</f>
        <v>1800</v>
      </c>
      <c r="DW66" s="826">
        <v>434</v>
      </c>
      <c r="DX66" s="826">
        <v>493</v>
      </c>
      <c r="DY66" s="826">
        <v>493</v>
      </c>
      <c r="DZ66" s="826">
        <v>481</v>
      </c>
      <c r="EA66" s="308">
        <f>SUM(DW66:DZ66)</f>
        <v>1901</v>
      </c>
      <c r="EB66" s="826">
        <v>472</v>
      </c>
      <c r="EC66" s="826">
        <v>513</v>
      </c>
      <c r="ED66" s="826">
        <v>513</v>
      </c>
      <c r="EE66" s="826">
        <v>498</v>
      </c>
      <c r="EF66" s="308">
        <f>SUM(EB66:EE66)</f>
        <v>1996</v>
      </c>
      <c r="EG66" s="826">
        <v>487</v>
      </c>
      <c r="EH66" s="826">
        <v>535</v>
      </c>
      <c r="EI66" s="826">
        <v>521</v>
      </c>
      <c r="EJ66" s="826">
        <v>501</v>
      </c>
      <c r="EK66" s="308">
        <f>SUM(EG66:EJ66)</f>
        <v>2044</v>
      </c>
      <c r="EL66" s="882">
        <v>487</v>
      </c>
      <c r="EM66" s="882">
        <v>535</v>
      </c>
      <c r="EN66" s="882">
        <v>521</v>
      </c>
      <c r="EO66" s="882">
        <v>501</v>
      </c>
      <c r="EP66" s="883">
        <f>SUM(EL66:EO66)</f>
        <v>2044</v>
      </c>
      <c r="EQ66" s="155">
        <f t="shared" ref="EQ66" si="326">EQ68*EQ8/1000</f>
        <v>481.83780000000002</v>
      </c>
      <c r="ER66" s="155">
        <f t="shared" ref="ER66:ET66" si="327">ER68*ER8/1000</f>
        <v>539.70799999999997</v>
      </c>
      <c r="ES66" s="155">
        <f t="shared" si="327"/>
        <v>528.29399999999998</v>
      </c>
      <c r="ET66" s="155">
        <f t="shared" si="327"/>
        <v>540.07799999999997</v>
      </c>
      <c r="EU66" s="308">
        <f>SUM(EQ66:ET66)</f>
        <v>2089.9178000000002</v>
      </c>
      <c r="EV66" s="155"/>
      <c r="EW66" s="155"/>
      <c r="EX66" s="155"/>
      <c r="EY66" s="155"/>
      <c r="EZ66" s="308">
        <f>EZ68*EZ8/1000</f>
        <v>2161.4974846500004</v>
      </c>
      <c r="FA66" s="155"/>
      <c r="FB66" s="155"/>
      <c r="FC66" s="155"/>
      <c r="FD66" s="155"/>
      <c r="FE66" s="308">
        <f>FE68*FE8/1000</f>
        <v>2246.8766352936755</v>
      </c>
      <c r="FF66" s="155"/>
      <c r="FG66" s="447"/>
      <c r="FL66" s="419"/>
      <c r="FM66" s="419"/>
      <c r="FN66" s="706"/>
      <c r="FO66" s="612"/>
      <c r="FP66" s="611"/>
      <c r="FQ66" s="613"/>
      <c r="FR66" s="721"/>
      <c r="FS66" s="608"/>
      <c r="FT66" s="447"/>
    </row>
    <row r="67" spans="1:183" ht="12.75" customHeight="1" x14ac:dyDescent="0.2">
      <c r="A67" s="58" t="s">
        <v>244</v>
      </c>
      <c r="B67" s="128"/>
      <c r="C67" s="128"/>
      <c r="D67" s="128"/>
      <c r="E67" s="128"/>
      <c r="F67" s="244"/>
      <c r="G67" s="128">
        <f t="shared" ref="G67:AL67" si="328">G66/B66-1</f>
        <v>8.4824242560175733E-2</v>
      </c>
      <c r="H67" s="128">
        <f t="shared" si="328"/>
        <v>8.0436300427326746E-2</v>
      </c>
      <c r="I67" s="128">
        <f t="shared" si="328"/>
        <v>0.11238941697855864</v>
      </c>
      <c r="J67" s="128">
        <f t="shared" si="328"/>
        <v>0.14055562399715504</v>
      </c>
      <c r="K67" s="244">
        <f t="shared" si="328"/>
        <v>0.10474753755102117</v>
      </c>
      <c r="L67" s="128">
        <f t="shared" si="328"/>
        <v>0.15017182720651423</v>
      </c>
      <c r="M67" s="128">
        <f t="shared" si="328"/>
        <v>0.14539157902566924</v>
      </c>
      <c r="N67" s="128">
        <f t="shared" si="328"/>
        <v>0.1751081321484409</v>
      </c>
      <c r="O67" s="128">
        <f t="shared" si="328"/>
        <v>0.18594183376934792</v>
      </c>
      <c r="P67" s="244">
        <f t="shared" si="328"/>
        <v>0.16471220988389224</v>
      </c>
      <c r="Q67" s="128">
        <f t="shared" si="328"/>
        <v>0.16556973074025993</v>
      </c>
      <c r="R67" s="128">
        <f t="shared" si="328"/>
        <v>0.17891108716630599</v>
      </c>
      <c r="S67" s="128">
        <f t="shared" si="328"/>
        <v>0.15447480604591401</v>
      </c>
      <c r="T67" s="128">
        <f t="shared" si="328"/>
        <v>0.16939835621401511</v>
      </c>
      <c r="U67" s="244">
        <f t="shared" si="328"/>
        <v>0.16687187280473426</v>
      </c>
      <c r="V67" s="128">
        <f t="shared" si="328"/>
        <v>0.1445479622918171</v>
      </c>
      <c r="W67" s="128">
        <f t="shared" si="328"/>
        <v>0.13957448572404951</v>
      </c>
      <c r="X67" s="128">
        <f t="shared" si="328"/>
        <v>0.16042765754830124</v>
      </c>
      <c r="Y67" s="128">
        <f t="shared" si="328"/>
        <v>0.28044429562215645</v>
      </c>
      <c r="Z67" s="244">
        <f t="shared" si="328"/>
        <v>0.1830465148729401</v>
      </c>
      <c r="AA67" s="128">
        <f t="shared" si="328"/>
        <v>0.27264570372897512</v>
      </c>
      <c r="AB67" s="128">
        <f t="shared" si="328"/>
        <v>0.25039484850151039</v>
      </c>
      <c r="AC67" s="128">
        <f t="shared" si="328"/>
        <v>0.18672356125594503</v>
      </c>
      <c r="AD67" s="128">
        <f t="shared" si="328"/>
        <v>0.10808552327891618</v>
      </c>
      <c r="AE67" s="244">
        <f t="shared" si="328"/>
        <v>0.19868187585670394</v>
      </c>
      <c r="AF67" s="128">
        <f t="shared" si="328"/>
        <v>0.12042132144728446</v>
      </c>
      <c r="AG67" s="128">
        <f t="shared" si="328"/>
        <v>0.12646596679252475</v>
      </c>
      <c r="AH67" s="128">
        <f t="shared" si="328"/>
        <v>0.13149744014264297</v>
      </c>
      <c r="AI67" s="128">
        <f t="shared" si="328"/>
        <v>9.5116521502582874E-2</v>
      </c>
      <c r="AJ67" s="244">
        <f t="shared" si="328"/>
        <v>0.1181091409027637</v>
      </c>
      <c r="AK67" s="128">
        <f t="shared" si="328"/>
        <v>6.9767195489777833E-2</v>
      </c>
      <c r="AL67" s="128">
        <f t="shared" si="328"/>
        <v>6.1262515602685141E-2</v>
      </c>
      <c r="AM67" s="128">
        <f t="shared" ref="AM67:BR67" si="329">AM66/AH66-1</f>
        <v>7.0430736835821905E-2</v>
      </c>
      <c r="AN67" s="128">
        <f t="shared" si="329"/>
        <v>8.5261711293825426E-2</v>
      </c>
      <c r="AO67" s="244">
        <f t="shared" si="329"/>
        <v>7.179646863460909E-2</v>
      </c>
      <c r="AP67" s="128">
        <f t="shared" si="329"/>
        <v>7.8113769355308893E-2</v>
      </c>
      <c r="AQ67" s="128">
        <f t="shared" si="329"/>
        <v>8.7218595619703132E-2</v>
      </c>
      <c r="AR67" s="128">
        <f t="shared" si="329"/>
        <v>6.9901150441012083E-2</v>
      </c>
      <c r="AS67" s="128">
        <f t="shared" si="329"/>
        <v>5.5050046439150346E-2</v>
      </c>
      <c r="AT67" s="244">
        <f t="shared" si="329"/>
        <v>7.2253849560453665E-2</v>
      </c>
      <c r="AU67" s="128">
        <f t="shared" si="329"/>
        <v>7.4052891944822674E-2</v>
      </c>
      <c r="AV67" s="128">
        <f t="shared" si="329"/>
        <v>8.8036565027985736E-2</v>
      </c>
      <c r="AW67" s="128">
        <f t="shared" si="329"/>
        <v>0.12025426596851219</v>
      </c>
      <c r="AX67" s="128">
        <f t="shared" si="329"/>
        <v>0.10531628598160592</v>
      </c>
      <c r="AY67" s="244">
        <f t="shared" si="329"/>
        <v>9.7393914835494089E-2</v>
      </c>
      <c r="AZ67" s="128">
        <f t="shared" si="329"/>
        <v>0.10051092757617552</v>
      </c>
      <c r="BA67" s="128">
        <f t="shared" si="329"/>
        <v>9.3204279168531912E-2</v>
      </c>
      <c r="BB67" s="128">
        <f t="shared" si="329"/>
        <v>6.6139893977341213E-2</v>
      </c>
      <c r="BC67" s="128">
        <f t="shared" si="329"/>
        <v>0.10457534685588565</v>
      </c>
      <c r="BD67" s="244">
        <f t="shared" si="329"/>
        <v>9.0738255036157511E-2</v>
      </c>
      <c r="BE67" s="128">
        <f t="shared" si="329"/>
        <v>0.11014692207981458</v>
      </c>
      <c r="BF67" s="128">
        <f t="shared" si="329"/>
        <v>9.4775214415526499E-2</v>
      </c>
      <c r="BG67" s="128">
        <f t="shared" si="329"/>
        <v>5.2200894792291619E-2</v>
      </c>
      <c r="BH67" s="128">
        <f t="shared" si="329"/>
        <v>3.2571792043423198E-2</v>
      </c>
      <c r="BI67" s="244">
        <f t="shared" si="329"/>
        <v>7.1273515947453792E-2</v>
      </c>
      <c r="BJ67" s="128">
        <f t="shared" si="329"/>
        <v>1.1946860985720731E-2</v>
      </c>
      <c r="BK67" s="128">
        <f t="shared" si="329"/>
        <v>7.5896127309524886E-3</v>
      </c>
      <c r="BL67" s="128">
        <f t="shared" si="329"/>
        <v>5.0314974036547166E-2</v>
      </c>
      <c r="BM67" s="128">
        <f t="shared" si="329"/>
        <v>3.5024574566465239E-2</v>
      </c>
      <c r="BN67" s="244">
        <f t="shared" si="329"/>
        <v>2.6294343978516821E-2</v>
      </c>
      <c r="BO67" s="128">
        <f t="shared" si="329"/>
        <v>3.4627967168274099E-2</v>
      </c>
      <c r="BP67" s="128">
        <f t="shared" si="329"/>
        <v>3.1440543763914031E-2</v>
      </c>
      <c r="BQ67" s="128">
        <f t="shared" si="329"/>
        <v>1.7529014142900756E-2</v>
      </c>
      <c r="BR67" s="128">
        <f t="shared" si="329"/>
        <v>2.0539639462267889E-2</v>
      </c>
      <c r="BS67" s="244">
        <f t="shared" ref="BS67:CX67" si="330">BS66/BN66-1</f>
        <v>2.5862386570618234E-2</v>
      </c>
      <c r="BT67" s="128">
        <f t="shared" si="330"/>
        <v>3.6101083032491044E-2</v>
      </c>
      <c r="BU67" s="128">
        <f t="shared" si="330"/>
        <v>4.195804195804187E-2</v>
      </c>
      <c r="BV67" s="128">
        <f t="shared" si="330"/>
        <v>4.7945205479452024E-2</v>
      </c>
      <c r="BW67" s="128">
        <f t="shared" si="330"/>
        <v>7.2916666666666741E-2</v>
      </c>
      <c r="BX67" s="244">
        <f t="shared" si="330"/>
        <v>4.986876640419946E-2</v>
      </c>
      <c r="BY67" s="128">
        <f t="shared" si="330"/>
        <v>6.9686411149825878E-2</v>
      </c>
      <c r="BZ67" s="128">
        <f t="shared" si="330"/>
        <v>7.3825503355704702E-2</v>
      </c>
      <c r="CA67" s="128">
        <f t="shared" si="330"/>
        <v>8.4967320261437829E-2</v>
      </c>
      <c r="CB67" s="128">
        <f t="shared" si="330"/>
        <v>5.8252427184465994E-2</v>
      </c>
      <c r="CC67" s="244">
        <f>CC66/BX66-1</f>
        <v>7.1666666666666767E-2</v>
      </c>
      <c r="CD67" s="128">
        <f t="shared" si="330"/>
        <v>7.1661237785016318E-2</v>
      </c>
      <c r="CE67" s="128">
        <f t="shared" si="330"/>
        <v>7.6249999999999929E-2</v>
      </c>
      <c r="CF67" s="128">
        <f t="shared" si="330"/>
        <v>8.1325301204819178E-2</v>
      </c>
      <c r="CG67" s="128">
        <f t="shared" si="330"/>
        <v>9.174311926605494E-2</v>
      </c>
      <c r="CH67" s="244">
        <f>CH66/CC66-1</f>
        <v>8.0404354587869431E-2</v>
      </c>
      <c r="CI67" s="128">
        <f t="shared" si="330"/>
        <v>7.5987841945288848E-2</v>
      </c>
      <c r="CJ67" s="128">
        <f t="shared" si="330"/>
        <v>8.5946573751451982E-2</v>
      </c>
      <c r="CK67" s="128">
        <f t="shared" si="330"/>
        <v>8.0779944289693484E-2</v>
      </c>
      <c r="CL67" s="128">
        <f t="shared" si="330"/>
        <v>5.3221288515406195E-2</v>
      </c>
      <c r="CM67" s="244">
        <f>CM66/CH66-1</f>
        <v>7.3844825104361522E-2</v>
      </c>
      <c r="CN67" s="128">
        <f t="shared" si="330"/>
        <v>5.3672316384180796E-2</v>
      </c>
      <c r="CO67" s="128">
        <f t="shared" si="330"/>
        <v>3.7433155080213831E-2</v>
      </c>
      <c r="CP67" s="128">
        <f t="shared" si="330"/>
        <v>-1.5463917525773141E-2</v>
      </c>
      <c r="CQ67" s="128">
        <f t="shared" si="330"/>
        <v>-2.0212765957446921E-2</v>
      </c>
      <c r="CR67" s="110">
        <f>CR66/CM66-1</f>
        <v>1.3002680965147562E-2</v>
      </c>
      <c r="CS67" s="128">
        <f t="shared" si="330"/>
        <v>0.16043501876675603</v>
      </c>
      <c r="CT67" s="128">
        <f t="shared" si="330"/>
        <v>0.19642525773195874</v>
      </c>
      <c r="CU67" s="128">
        <f t="shared" si="330"/>
        <v>0.20182722513089013</v>
      </c>
      <c r="CV67" s="128">
        <f t="shared" si="330"/>
        <v>0.18336319218241059</v>
      </c>
      <c r="CW67" s="110">
        <f t="shared" ref="CW67:DN67" si="331">CW66/CR66-1</f>
        <v>0.18572466719597713</v>
      </c>
      <c r="CX67" s="128">
        <f t="shared" si="330"/>
        <v>-3.5383009804158094E-2</v>
      </c>
      <c r="CY67" s="128">
        <f t="shared" si="331"/>
        <v>1.0585657876879928E-2</v>
      </c>
      <c r="CZ67" s="128">
        <f t="shared" si="331"/>
        <v>2.8102932271541148E-2</v>
      </c>
      <c r="DA67" s="128">
        <f t="shared" si="331"/>
        <v>3.4519934579803735E-2</v>
      </c>
      <c r="DB67" s="110">
        <f t="shared" si="331"/>
        <v>9.7928108158251703E-3</v>
      </c>
      <c r="DC67" s="128">
        <f>DC66/CX66-1</f>
        <v>6.6230447372265688E-2</v>
      </c>
      <c r="DD67" s="128">
        <f t="shared" si="331"/>
        <v>5.5151376919256423E-2</v>
      </c>
      <c r="DE67" s="128">
        <f t="shared" si="331"/>
        <v>3.8135593220338881E-2</v>
      </c>
      <c r="DF67" s="128">
        <f t="shared" si="331"/>
        <v>1.5521064301552201E-2</v>
      </c>
      <c r="DG67" s="110">
        <f t="shared" si="331"/>
        <v>4.3392825368827381E-2</v>
      </c>
      <c r="DH67" s="128">
        <f t="shared" si="331"/>
        <v>-4.896895637719556E-3</v>
      </c>
      <c r="DI67" s="128">
        <f t="shared" si="331"/>
        <v>-2.4242424242424288E-2</v>
      </c>
      <c r="DJ67" s="128">
        <f t="shared" si="331"/>
        <v>-2.4489795918367308E-2</v>
      </c>
      <c r="DK67" s="128">
        <f t="shared" si="331"/>
        <v>-3.0567685589519611E-2</v>
      </c>
      <c r="DL67" s="110">
        <f t="shared" si="331"/>
        <v>-2.1279750871209369E-2</v>
      </c>
      <c r="DM67" s="128">
        <f t="shared" si="331"/>
        <v>-2.4830699774266329E-2</v>
      </c>
      <c r="DN67" s="128">
        <f t="shared" si="331"/>
        <v>-1.0351966873705987E-2</v>
      </c>
      <c r="DO67" s="128">
        <f t="shared" ref="DO67:DT67" si="332">DO66/DJ66-1</f>
        <v>-2.5104602510460206E-2</v>
      </c>
      <c r="DP67" s="128">
        <f t="shared" si="332"/>
        <v>-4.5045045045044585E-3</v>
      </c>
      <c r="DQ67" s="110">
        <f t="shared" si="332"/>
        <v>-1.6233766233766267E-2</v>
      </c>
      <c r="DR67" s="128">
        <f t="shared" si="332"/>
        <v>-2.314814814814814E-2</v>
      </c>
      <c r="DS67" s="128">
        <f t="shared" si="332"/>
        <v>-1.882845188284521E-2</v>
      </c>
      <c r="DT67" s="128">
        <f t="shared" si="332"/>
        <v>0</v>
      </c>
      <c r="DU67" s="128">
        <f>DU66/DP66-1</f>
        <v>2.2624434389140191E-3</v>
      </c>
      <c r="DV67" s="110">
        <f>DV66/DQ66-1</f>
        <v>-9.9009900990099098E-3</v>
      </c>
      <c r="DW67" s="128">
        <f>DW66/DR66-1</f>
        <v>2.8436018957346043E-2</v>
      </c>
      <c r="DX67" s="128">
        <f>DX66/DS66-1</f>
        <v>5.1172707889125757E-2</v>
      </c>
      <c r="DY67" s="128">
        <f>DY66/DT66-1</f>
        <v>5.7939914163090078E-2</v>
      </c>
      <c r="DZ67" s="128">
        <f t="shared" ref="DZ67:EA67" si="333">DZ66/DU66-1</f>
        <v>8.5778781038374774E-2</v>
      </c>
      <c r="EA67" s="110">
        <f t="shared" si="333"/>
        <v>5.6111111111111001E-2</v>
      </c>
      <c r="EB67" s="128">
        <f>EB66/DW66-1</f>
        <v>8.7557603686635899E-2</v>
      </c>
      <c r="EC67" s="128">
        <f>EC66/DX66-1</f>
        <v>4.0567951318458473E-2</v>
      </c>
      <c r="ED67" s="128">
        <f>ED66/DY66-1</f>
        <v>4.0567951318458473E-2</v>
      </c>
      <c r="EE67" s="128">
        <f t="shared" ref="EE67" si="334">EE66/DZ66-1</f>
        <v>3.5343035343035289E-2</v>
      </c>
      <c r="EF67" s="110">
        <f t="shared" ref="EF67" si="335">EF66/EA66-1</f>
        <v>4.9973698053656035E-2</v>
      </c>
      <c r="EG67" s="128">
        <f>EG66/EB66-1</f>
        <v>3.1779661016949179E-2</v>
      </c>
      <c r="EH67" s="128">
        <f>EH66/EC66-1</f>
        <v>4.2884990253411415E-2</v>
      </c>
      <c r="EI67" s="128">
        <f>EI66/ED66-1</f>
        <v>1.5594541910331383E-2</v>
      </c>
      <c r="EJ67" s="128">
        <f t="shared" ref="EJ67" si="336">EJ66/EE66-1</f>
        <v>6.0240963855422436E-3</v>
      </c>
      <c r="EK67" s="110">
        <f t="shared" ref="EK67" si="337">EK66/EF66-1</f>
        <v>2.4048096192384794E-2</v>
      </c>
      <c r="EL67" s="870"/>
      <c r="EM67" s="870"/>
      <c r="EN67" s="870"/>
      <c r="EO67" s="870"/>
      <c r="EP67" s="484"/>
      <c r="EQ67" s="128">
        <f>EQ66/EL66-1</f>
        <v>-1.0599999999999943E-2</v>
      </c>
      <c r="ER67" s="128">
        <f>ER66/EM66-1</f>
        <v>8.799999999999919E-3</v>
      </c>
      <c r="ES67" s="128">
        <f>ES66/EN66-1</f>
        <v>1.4000000000000012E-2</v>
      </c>
      <c r="ET67" s="128">
        <f t="shared" ref="ET67" si="338">ET66/EO66-1</f>
        <v>7.7999999999999847E-2</v>
      </c>
      <c r="EU67" s="110">
        <f t="shared" ref="EU67" si="339">EU66/EP66-1</f>
        <v>2.2464677103718245E-2</v>
      </c>
      <c r="EV67" s="43"/>
      <c r="EW67" s="43"/>
      <c r="EX67" s="43"/>
      <c r="EY67" s="43"/>
      <c r="EZ67" s="110">
        <f>EZ66/EU66-1</f>
        <v>3.4250000000000114E-2</v>
      </c>
      <c r="FA67" s="43"/>
      <c r="FB67" s="43"/>
      <c r="FC67" s="43"/>
      <c r="FD67" s="43"/>
      <c r="FE67" s="110">
        <f>FE66/EZ66-1</f>
        <v>3.9500000000000091E-2</v>
      </c>
      <c r="FF67" s="43"/>
      <c r="FG67" s="435"/>
      <c r="FL67" s="408"/>
      <c r="FM67" s="408"/>
      <c r="FN67" s="611"/>
      <c r="FO67" s="611"/>
      <c r="FP67" s="611"/>
      <c r="FQ67" s="611"/>
      <c r="FR67" s="611"/>
      <c r="FS67" s="380"/>
      <c r="FT67" s="435"/>
    </row>
    <row r="68" spans="1:183" ht="12.75" customHeight="1" x14ac:dyDescent="0.2">
      <c r="A68" s="220" t="s">
        <v>301</v>
      </c>
      <c r="B68" s="157">
        <f t="shared" ref="B68:AG68" si="340">(B66/(B8/1000))</f>
        <v>19.121699249381276</v>
      </c>
      <c r="C68" s="157">
        <f t="shared" si="340"/>
        <v>19.031647808842497</v>
      </c>
      <c r="D68" s="157">
        <f t="shared" si="340"/>
        <v>18.952373138315732</v>
      </c>
      <c r="E68" s="157">
        <f t="shared" si="340"/>
        <v>18.343046745817464</v>
      </c>
      <c r="F68" s="257">
        <f t="shared" si="340"/>
        <v>18.856405247297332</v>
      </c>
      <c r="G68" s="157">
        <f t="shared" si="340"/>
        <v>18.554088094711755</v>
      </c>
      <c r="H68" s="157">
        <f t="shared" si="340"/>
        <v>18.548941134636575</v>
      </c>
      <c r="I68" s="157">
        <f t="shared" si="340"/>
        <v>18.50342303955858</v>
      </c>
      <c r="J68" s="157">
        <f t="shared" si="340"/>
        <v>18.356172564944718</v>
      </c>
      <c r="K68" s="257">
        <f t="shared" si="340"/>
        <v>18.488410066236</v>
      </c>
      <c r="L68" s="157">
        <f t="shared" si="340"/>
        <v>18.587950465004944</v>
      </c>
      <c r="M68" s="157">
        <f t="shared" si="340"/>
        <v>18.805771320512626</v>
      </c>
      <c r="N68" s="157">
        <f t="shared" si="340"/>
        <v>18.597300988048158</v>
      </c>
      <c r="O68" s="157">
        <f t="shared" si="340"/>
        <v>18.55992584957777</v>
      </c>
      <c r="P68" s="257">
        <f t="shared" si="340"/>
        <v>18.635557473186473</v>
      </c>
      <c r="Q68" s="157">
        <f t="shared" si="340"/>
        <v>18.889015147707834</v>
      </c>
      <c r="R68" s="157">
        <f t="shared" si="340"/>
        <v>18.737754527979728</v>
      </c>
      <c r="S68" s="157">
        <f t="shared" si="340"/>
        <v>18.703248028625193</v>
      </c>
      <c r="T68" s="157">
        <f t="shared" si="340"/>
        <v>13.161601177957682</v>
      </c>
      <c r="U68" s="257">
        <f t="shared" si="340"/>
        <v>16.888670277343611</v>
      </c>
      <c r="V68" s="157">
        <f t="shared" si="340"/>
        <v>16.258499858700926</v>
      </c>
      <c r="W68" s="157">
        <f t="shared" si="340"/>
        <v>16.685064349332794</v>
      </c>
      <c r="X68" s="157">
        <f t="shared" si="340"/>
        <v>17.036354552687964</v>
      </c>
      <c r="Y68" s="157">
        <f t="shared" si="340"/>
        <v>18.331837409496135</v>
      </c>
      <c r="Z68" s="257">
        <f t="shared" si="340"/>
        <v>17.110960493244079</v>
      </c>
      <c r="AA68" s="157">
        <f t="shared" si="340"/>
        <v>18.305956070262614</v>
      </c>
      <c r="AB68" s="157">
        <f t="shared" si="340"/>
        <v>18.220400165444119</v>
      </c>
      <c r="AC68" s="157">
        <f t="shared" si="340"/>
        <v>18.203888191228749</v>
      </c>
      <c r="AD68" s="157">
        <f t="shared" si="340"/>
        <v>18.124857481104492</v>
      </c>
      <c r="AE68" s="257">
        <f t="shared" si="340"/>
        <v>18.211219065472108</v>
      </c>
      <c r="AF68" s="157">
        <f t="shared" si="340"/>
        <v>18.131897504958562</v>
      </c>
      <c r="AG68" s="157">
        <f t="shared" si="340"/>
        <v>18.0177776334985</v>
      </c>
      <c r="AH68" s="157">
        <f t="shared" ref="AH68:BM68" si="341">(AH66/(AH8/1000))</f>
        <v>18.114684262380337</v>
      </c>
      <c r="AI68" s="157">
        <f t="shared" si="341"/>
        <v>18.091250313553648</v>
      </c>
      <c r="AJ68" s="257">
        <f t="shared" si="341"/>
        <v>18.08856405236806</v>
      </c>
      <c r="AK68" s="157">
        <f t="shared" si="341"/>
        <v>17.780938205214383</v>
      </c>
      <c r="AL68" s="157">
        <f t="shared" si="341"/>
        <v>17.701149582295422</v>
      </c>
      <c r="AM68" s="157">
        <f t="shared" si="341"/>
        <v>17.682460194077098</v>
      </c>
      <c r="AN68" s="157">
        <f t="shared" si="341"/>
        <v>17.830775864213543</v>
      </c>
      <c r="AO68" s="257">
        <f t="shared" si="341"/>
        <v>17.748683343547061</v>
      </c>
      <c r="AP68" s="157">
        <f t="shared" si="341"/>
        <v>17.889851656238847</v>
      </c>
      <c r="AQ68" s="157">
        <f t="shared" si="341"/>
        <v>18.042792799907449</v>
      </c>
      <c r="AR68" s="157">
        <f t="shared" si="341"/>
        <v>17.704817400698261</v>
      </c>
      <c r="AS68" s="157">
        <f t="shared" si="341"/>
        <v>17.611372242939325</v>
      </c>
      <c r="AT68" s="257">
        <f t="shared" si="341"/>
        <v>17.807806995338904</v>
      </c>
      <c r="AU68" s="157">
        <f t="shared" si="341"/>
        <v>17.473799598450025</v>
      </c>
      <c r="AV68" s="157">
        <f t="shared" si="341"/>
        <v>17.758872442956591</v>
      </c>
      <c r="AW68" s="157">
        <f t="shared" si="341"/>
        <v>17.882419085216398</v>
      </c>
      <c r="AX68" s="157">
        <f t="shared" si="341"/>
        <v>17.204744756009248</v>
      </c>
      <c r="AY68" s="257">
        <f t="shared" si="341"/>
        <v>17.57819833471531</v>
      </c>
      <c r="AZ68" s="157">
        <f t="shared" si="341"/>
        <v>16.837571593926477</v>
      </c>
      <c r="BA68" s="157">
        <f t="shared" si="341"/>
        <v>17.048070132533105</v>
      </c>
      <c r="BB68" s="157">
        <f t="shared" si="341"/>
        <v>16.960270073547644</v>
      </c>
      <c r="BC68" s="157">
        <f t="shared" si="341"/>
        <v>16.817731733678794</v>
      </c>
      <c r="BD68" s="257">
        <f t="shared" si="341"/>
        <v>16.915535338477742</v>
      </c>
      <c r="BE68" s="157">
        <f t="shared" si="341"/>
        <v>16.688850166457463</v>
      </c>
      <c r="BF68" s="157">
        <f t="shared" si="341"/>
        <v>16.745568313130065</v>
      </c>
      <c r="BG68" s="157">
        <f t="shared" si="341"/>
        <v>16.771562341762884</v>
      </c>
      <c r="BH68" s="157">
        <f t="shared" si="341"/>
        <v>16.319104350938431</v>
      </c>
      <c r="BI68" s="257">
        <f t="shared" si="341"/>
        <v>16.629142338189812</v>
      </c>
      <c r="BJ68" s="157">
        <f t="shared" si="341"/>
        <v>16.206403321751988</v>
      </c>
      <c r="BK68" s="157">
        <f t="shared" si="341"/>
        <v>16.146515944476391</v>
      </c>
      <c r="BL68" s="157">
        <f t="shared" si="341"/>
        <v>16.294816270462089</v>
      </c>
      <c r="BM68" s="157">
        <f t="shared" si="341"/>
        <v>16.050156319226783</v>
      </c>
      <c r="BN68" s="257">
        <f t="shared" ref="BN68:CX68" si="342">(BN66/(BN8/1000))</f>
        <v>16.174196467914069</v>
      </c>
      <c r="BO68" s="157">
        <f t="shared" si="342"/>
        <v>15.920334416682394</v>
      </c>
      <c r="BP68" s="157">
        <f t="shared" si="342"/>
        <v>15.983220971103623</v>
      </c>
      <c r="BQ68" s="157">
        <f t="shared" si="342"/>
        <v>16.040116110665153</v>
      </c>
      <c r="BR68" s="157">
        <f t="shared" si="342"/>
        <v>15.743579940295755</v>
      </c>
      <c r="BS68" s="257">
        <f t="shared" si="342"/>
        <v>15.921343271055994</v>
      </c>
      <c r="BT68" s="157">
        <f t="shared" si="342"/>
        <v>15.613446321733177</v>
      </c>
      <c r="BU68" s="157">
        <f t="shared" si="342"/>
        <v>15.873420022092818</v>
      </c>
      <c r="BV68" s="157">
        <f t="shared" si="342"/>
        <v>15.703499052632536</v>
      </c>
      <c r="BW68" s="157">
        <f t="shared" si="342"/>
        <v>15.281840914849138</v>
      </c>
      <c r="BX68" s="257">
        <f t="shared" si="342"/>
        <v>15.612539648369696</v>
      </c>
      <c r="BY68" s="157">
        <f t="shared" si="342"/>
        <v>15.174282566592982</v>
      </c>
      <c r="BZ68" s="157">
        <f t="shared" si="342"/>
        <v>14.996067281355465</v>
      </c>
      <c r="CA68" s="157">
        <f t="shared" si="342"/>
        <v>15.19201957720518</v>
      </c>
      <c r="CB68" s="157">
        <f t="shared" si="342"/>
        <v>15.035389029655995</v>
      </c>
      <c r="CC68" s="257">
        <f t="shared" si="342"/>
        <v>15.098717847641375</v>
      </c>
      <c r="CD68" s="157">
        <f t="shared" si="342"/>
        <v>14.900728088524637</v>
      </c>
      <c r="CE68" s="157">
        <f t="shared" si="342"/>
        <v>15.049826988167792</v>
      </c>
      <c r="CF68" s="157">
        <f t="shared" si="342"/>
        <v>15.093790670986264</v>
      </c>
      <c r="CG68" s="157">
        <f t="shared" si="342"/>
        <v>14.927799003082276</v>
      </c>
      <c r="CH68" s="257">
        <f t="shared" si="342"/>
        <v>14.994090964079906</v>
      </c>
      <c r="CI68" s="157">
        <f t="shared" si="342"/>
        <v>14.950349635464864</v>
      </c>
      <c r="CJ68" s="157">
        <f t="shared" si="342"/>
        <v>14.970373870277148</v>
      </c>
      <c r="CK68" s="157">
        <f t="shared" si="342"/>
        <v>15.087908258673789</v>
      </c>
      <c r="CL68" s="157">
        <f t="shared" si="342"/>
        <v>14.885808036895266</v>
      </c>
      <c r="CM68" s="257">
        <f t="shared" si="342"/>
        <v>14.974512165872792</v>
      </c>
      <c r="CN68" s="157">
        <f t="shared" si="342"/>
        <v>14.805443179507423</v>
      </c>
      <c r="CO68" s="157">
        <f t="shared" si="342"/>
        <v>14.733197177833297</v>
      </c>
      <c r="CP68" s="157">
        <f t="shared" si="342"/>
        <v>14.531878547732751</v>
      </c>
      <c r="CQ68" s="157">
        <f t="shared" si="342"/>
        <v>14.472151832200348</v>
      </c>
      <c r="CR68" s="309">
        <f t="shared" si="342"/>
        <v>14.635231382630517</v>
      </c>
      <c r="CS68" s="157">
        <f t="shared" si="342"/>
        <v>14.657684609277931</v>
      </c>
      <c r="CT68" s="157">
        <f t="shared" si="342"/>
        <v>14.726715255006301</v>
      </c>
      <c r="CU68" s="157">
        <f t="shared" si="342"/>
        <v>14.837376026897299</v>
      </c>
      <c r="CV68" s="157">
        <f t="shared" si="342"/>
        <v>14.877965808775901</v>
      </c>
      <c r="CW68" s="309">
        <f t="shared" si="342"/>
        <v>14.774676553164289</v>
      </c>
      <c r="CX68" s="157">
        <f t="shared" si="342"/>
        <v>14.75156091453057</v>
      </c>
      <c r="CY68" s="157">
        <f>CT68*(1+CY69)</f>
        <v>14.726715255006301</v>
      </c>
      <c r="CZ68" s="157">
        <f>CU68*(1+CZ69)</f>
        <v>14.837376026897299</v>
      </c>
      <c r="DA68" s="157">
        <f>CV68*(1+DA69)</f>
        <v>14.877965808775901</v>
      </c>
      <c r="DB68" s="309">
        <f t="shared" ref="DB68:DY68" si="343">(DB66/(DB8/1000))</f>
        <v>14.776021959113201</v>
      </c>
      <c r="DC68" s="157">
        <f t="shared" si="343"/>
        <v>14.703351834451054</v>
      </c>
      <c r="DD68" s="157">
        <f t="shared" si="343"/>
        <v>14.715060686248004</v>
      </c>
      <c r="DE68" s="157">
        <f t="shared" si="343"/>
        <v>14.706725826922426</v>
      </c>
      <c r="DF68" s="157">
        <f t="shared" si="343"/>
        <v>14.633728168147032</v>
      </c>
      <c r="DG68" s="309">
        <f t="shared" si="343"/>
        <v>14.690337484163976</v>
      </c>
      <c r="DH68" s="157">
        <f t="shared" si="343"/>
        <v>14.461578930857103</v>
      </c>
      <c r="DI68" s="157">
        <f t="shared" si="343"/>
        <v>14.534801053330712</v>
      </c>
      <c r="DJ68" s="157">
        <f t="shared" si="343"/>
        <v>14.44946612094439</v>
      </c>
      <c r="DK68" s="157">
        <f t="shared" si="343"/>
        <v>14.233782504276947</v>
      </c>
      <c r="DL68" s="309">
        <f t="shared" si="343"/>
        <v>14.421986899653968</v>
      </c>
      <c r="DM68" s="157">
        <f t="shared" si="343"/>
        <v>14.0253255823497</v>
      </c>
      <c r="DN68" s="157">
        <f t="shared" si="343"/>
        <v>13.963851677837116</v>
      </c>
      <c r="DO68" s="157">
        <f t="shared" si="343"/>
        <v>13.941624145959592</v>
      </c>
      <c r="DP68" s="157">
        <f t="shared" si="343"/>
        <v>13.861744714457155</v>
      </c>
      <c r="DQ68" s="309">
        <f t="shared" si="343"/>
        <v>13.947699900000053</v>
      </c>
      <c r="DR68" s="157">
        <f t="shared" si="343"/>
        <v>13.847605850672538</v>
      </c>
      <c r="DS68" s="157">
        <f t="shared" si="343"/>
        <v>13.755193685445175</v>
      </c>
      <c r="DT68" s="157">
        <f t="shared" si="343"/>
        <v>13.792767049280789</v>
      </c>
      <c r="DU68" s="157">
        <f t="shared" si="343"/>
        <v>13.569253333916537</v>
      </c>
      <c r="DV68" s="309">
        <f t="shared" si="343"/>
        <v>13.740043086943116</v>
      </c>
      <c r="DW68" s="157">
        <f t="shared" si="343"/>
        <v>13.437587129516201</v>
      </c>
      <c r="DX68" s="157">
        <f t="shared" si="343"/>
        <v>13.515725258477964</v>
      </c>
      <c r="DY68" s="157">
        <f t="shared" si="343"/>
        <v>13.558729098792808</v>
      </c>
      <c r="DZ68" s="157">
        <f>(DZ66/(DZ8/1000))</f>
        <v>13.600028093529968</v>
      </c>
      <c r="EA68" s="309">
        <f>(EA66/(EA8/1000))</f>
        <v>13.530113423987087</v>
      </c>
      <c r="EB68" s="157">
        <f>(EB66/(EB8/1000))</f>
        <v>13.383180387493542</v>
      </c>
      <c r="EC68" s="157">
        <f t="shared" ref="EC68:ED68" si="344">(EC66/(EC8/1000))</f>
        <v>13.420437290691538</v>
      </c>
      <c r="ED68" s="157">
        <f t="shared" si="344"/>
        <v>13.542226801413143</v>
      </c>
      <c r="EE68" s="157">
        <f>(EE66/(EE8/1000))</f>
        <v>13.406157663574845</v>
      </c>
      <c r="EF68" s="309">
        <f>(EF66/(EF8/1000))</f>
        <v>13.439081941031654</v>
      </c>
      <c r="EG68" s="157">
        <f>(EG66/(EG8/1000))</f>
        <v>13.269801773139795</v>
      </c>
      <c r="EH68" s="157">
        <f t="shared" ref="EH68:EI68" si="345">(EH66/(EH8/1000))</f>
        <v>13.317990676161855</v>
      </c>
      <c r="EI68" s="157">
        <f t="shared" si="345"/>
        <v>13.340788469789542</v>
      </c>
      <c r="EJ68" s="157">
        <f>(EJ66/(EJ8/1000))</f>
        <v>13.223598057097121</v>
      </c>
      <c r="EK68" s="309">
        <f>(EK66/(EK8/1000))</f>
        <v>13.289030237764484</v>
      </c>
      <c r="EL68" s="884">
        <f>(EL66/(EL8/1000))</f>
        <v>13.269801773139795</v>
      </c>
      <c r="EM68" s="884">
        <f t="shared" ref="EM68:EN68" si="346">(EM66/(EM8/1000))</f>
        <v>13.317990676161855</v>
      </c>
      <c r="EN68" s="884">
        <f t="shared" si="346"/>
        <v>13.340788469789542</v>
      </c>
      <c r="EO68" s="884">
        <f>(EO66/(EO8/1000))</f>
        <v>13.223598057097121</v>
      </c>
      <c r="EP68" s="885">
        <f>(EP66/(EP8/1000))</f>
        <v>13.289030237764484</v>
      </c>
      <c r="EQ68" s="156">
        <f>EL68*(1+EQ69)</f>
        <v>12.871707719945601</v>
      </c>
      <c r="ER68" s="156">
        <f>EM68*(1+ER69)</f>
        <v>12.918450955876999</v>
      </c>
      <c r="ES68" s="156">
        <f>EN68*(1+ES69)</f>
        <v>13.007268758044804</v>
      </c>
      <c r="ET68" s="156">
        <f>EO68*(1+ET69)</f>
        <v>12.959126095955178</v>
      </c>
      <c r="EU68" s="309">
        <f>(EU66/(EU8/1000))</f>
        <v>12.940448958124641</v>
      </c>
      <c r="EV68" s="156"/>
      <c r="EW68" s="156"/>
      <c r="EX68" s="156"/>
      <c r="EY68" s="156"/>
      <c r="EZ68" s="309">
        <f>EU68*(1+EZ69)</f>
        <v>12.746342223752771</v>
      </c>
      <c r="FA68" s="156"/>
      <c r="FB68" s="156"/>
      <c r="FC68" s="156"/>
      <c r="FD68" s="156"/>
      <c r="FE68" s="309">
        <f>EZ68*(1+FE69)</f>
        <v>12.618878801515244</v>
      </c>
      <c r="FF68" s="156"/>
      <c r="FG68" s="448"/>
      <c r="FL68" s="408"/>
      <c r="FM68" s="420"/>
      <c r="FN68" s="611"/>
      <c r="FO68" s="611"/>
      <c r="FQ68" s="892"/>
      <c r="FR68" s="798"/>
      <c r="FS68" s="386"/>
      <c r="FT68" s="448"/>
    </row>
    <row r="69" spans="1:183" ht="12.75" customHeight="1" x14ac:dyDescent="0.2">
      <c r="A69" s="60" t="s">
        <v>244</v>
      </c>
      <c r="B69" s="128"/>
      <c r="C69" s="128"/>
      <c r="D69" s="128"/>
      <c r="E69" s="128"/>
      <c r="F69" s="244"/>
      <c r="G69" s="128">
        <f t="shared" ref="G69:AL69" si="347">G68/B68-1</f>
        <v>-2.9684137757154949E-2</v>
      </c>
      <c r="H69" s="128">
        <f t="shared" si="347"/>
        <v>-2.5363367326587727E-2</v>
      </c>
      <c r="I69" s="128">
        <f t="shared" si="347"/>
        <v>-2.3688331560416387E-2</v>
      </c>
      <c r="J69" s="128">
        <f t="shared" si="347"/>
        <v>7.1557464303184659E-4</v>
      </c>
      <c r="K69" s="244">
        <f t="shared" si="347"/>
        <v>-1.9515659333534718E-2</v>
      </c>
      <c r="L69" s="128">
        <f t="shared" si="347"/>
        <v>1.8250624940625571E-3</v>
      </c>
      <c r="M69" s="128">
        <f t="shared" si="347"/>
        <v>1.3846083396990894E-2</v>
      </c>
      <c r="N69" s="128">
        <f t="shared" si="347"/>
        <v>5.0735449483523265E-3</v>
      </c>
      <c r="O69" s="128">
        <f t="shared" si="347"/>
        <v>1.1099987424511681E-2</v>
      </c>
      <c r="P69" s="244">
        <f t="shared" si="347"/>
        <v>7.9589000040192204E-3</v>
      </c>
      <c r="Q69" s="128">
        <f t="shared" si="347"/>
        <v>1.6196765924769263E-2</v>
      </c>
      <c r="R69" s="128">
        <f t="shared" si="347"/>
        <v>-3.6168041913127169E-3</v>
      </c>
      <c r="S69" s="128">
        <f t="shared" si="347"/>
        <v>5.6969041177064028E-3</v>
      </c>
      <c r="T69" s="128">
        <f t="shared" si="347"/>
        <v>-0.29085917235724823</v>
      </c>
      <c r="U69" s="244">
        <f t="shared" si="347"/>
        <v>-9.3739465446974091E-2</v>
      </c>
      <c r="V69" s="128">
        <f t="shared" si="347"/>
        <v>-0.139261643258628</v>
      </c>
      <c r="W69" s="128">
        <f t="shared" si="347"/>
        <v>-0.10954835466447166</v>
      </c>
      <c r="X69" s="128">
        <f t="shared" si="347"/>
        <v>-8.9123208620559335E-2</v>
      </c>
      <c r="Y69" s="128">
        <f t="shared" si="347"/>
        <v>0.39282729826195295</v>
      </c>
      <c r="Z69" s="244">
        <f t="shared" si="347"/>
        <v>1.316209104980115E-2</v>
      </c>
      <c r="AA69" s="128">
        <f t="shared" si="347"/>
        <v>0.12593143459456169</v>
      </c>
      <c r="AB69" s="128">
        <f t="shared" si="347"/>
        <v>9.2018573256070102E-2</v>
      </c>
      <c r="AC69" s="128">
        <f t="shared" si="347"/>
        <v>6.8531893658938525E-2</v>
      </c>
      <c r="AD69" s="128">
        <f t="shared" si="347"/>
        <v>-1.1290735553023401E-2</v>
      </c>
      <c r="AE69" s="244">
        <f t="shared" si="347"/>
        <v>6.430139165258697E-2</v>
      </c>
      <c r="AF69" s="128">
        <f t="shared" si="347"/>
        <v>-9.5083023599517036E-3</v>
      </c>
      <c r="AG69" s="128">
        <f t="shared" si="347"/>
        <v>-1.1120641155285993E-2</v>
      </c>
      <c r="AH69" s="128">
        <f t="shared" si="347"/>
        <v>-4.9002678939433775E-3</v>
      </c>
      <c r="AI69" s="128">
        <f t="shared" si="347"/>
        <v>-1.8542031343352638E-3</v>
      </c>
      <c r="AJ69" s="244">
        <f t="shared" si="347"/>
        <v>-6.7351346806100443E-3</v>
      </c>
      <c r="AK69" s="128">
        <f t="shared" si="347"/>
        <v>-1.9355905781410998E-2</v>
      </c>
      <c r="AL69" s="128">
        <f t="shared" si="347"/>
        <v>-1.7573091290371323E-2</v>
      </c>
      <c r="AM69" s="128">
        <f t="shared" ref="AM69:BR69" si="348">AM68/AH68-1</f>
        <v>-2.3860425169035859E-2</v>
      </c>
      <c r="AN69" s="128">
        <f t="shared" si="348"/>
        <v>-1.4397813574275831E-2</v>
      </c>
      <c r="AO69" s="244">
        <f t="shared" si="348"/>
        <v>-1.8789811498414855E-2</v>
      </c>
      <c r="AP69" s="128">
        <f t="shared" si="348"/>
        <v>6.1252927020760684E-3</v>
      </c>
      <c r="AQ69" s="128">
        <f t="shared" si="348"/>
        <v>1.9300623161432329E-2</v>
      </c>
      <c r="AR69" s="128">
        <f t="shared" si="348"/>
        <v>1.2643719468770076E-3</v>
      </c>
      <c r="AS69" s="128">
        <f t="shared" si="348"/>
        <v>-1.2304771421335681E-2</v>
      </c>
      <c r="AT69" s="244">
        <f t="shared" si="348"/>
        <v>3.3311570581002758E-3</v>
      </c>
      <c r="AU69" s="128">
        <f t="shared" si="348"/>
        <v>-2.3256316809297184E-2</v>
      </c>
      <c r="AV69" s="128">
        <f t="shared" si="348"/>
        <v>-1.5735942883094878E-2</v>
      </c>
      <c r="AW69" s="128">
        <f t="shared" si="348"/>
        <v>1.0031263271381263E-2</v>
      </c>
      <c r="AX69" s="128">
        <f t="shared" si="348"/>
        <v>-2.3088915578006741E-2</v>
      </c>
      <c r="AY69" s="244">
        <f t="shared" si="348"/>
        <v>-1.2893707837449808E-2</v>
      </c>
      <c r="AZ69" s="128">
        <f t="shared" si="348"/>
        <v>-3.641039837609128E-2</v>
      </c>
      <c r="BA69" s="128">
        <f t="shared" si="348"/>
        <v>-4.0025193756341171E-2</v>
      </c>
      <c r="BB69" s="128">
        <f t="shared" si="348"/>
        <v>-5.1567352676076483E-2</v>
      </c>
      <c r="BC69" s="128">
        <f t="shared" si="348"/>
        <v>-2.2494551812242247E-2</v>
      </c>
      <c r="BD69" s="244">
        <f t="shared" si="348"/>
        <v>-3.7698004290284359E-2</v>
      </c>
      <c r="BE69" s="128">
        <f t="shared" si="348"/>
        <v>-8.8327124038871663E-3</v>
      </c>
      <c r="BF69" s="128">
        <f t="shared" si="348"/>
        <v>-1.7744050619886376E-2</v>
      </c>
      <c r="BG69" s="128">
        <f t="shared" si="348"/>
        <v>-1.112645794945688E-2</v>
      </c>
      <c r="BH69" s="128">
        <f t="shared" si="348"/>
        <v>-2.9648908107020366E-2</v>
      </c>
      <c r="BI69" s="244">
        <f t="shared" si="348"/>
        <v>-1.6930767756221821E-2</v>
      </c>
      <c r="BJ69" s="128">
        <f t="shared" si="348"/>
        <v>-2.8908333401850173E-2</v>
      </c>
      <c r="BK69" s="128">
        <f t="shared" si="348"/>
        <v>-3.5773785484721987E-2</v>
      </c>
      <c r="BL69" s="128">
        <f t="shared" si="348"/>
        <v>-2.8425859295985179E-2</v>
      </c>
      <c r="BM69" s="128">
        <f t="shared" si="348"/>
        <v>-1.6480563266707882E-2</v>
      </c>
      <c r="BN69" s="244">
        <f>BN68/BI68-1</f>
        <v>-2.7358348435741808E-2</v>
      </c>
      <c r="BO69" s="128">
        <f t="shared" si="348"/>
        <v>-1.7651597297078103E-2</v>
      </c>
      <c r="BP69" s="128">
        <f t="shared" si="348"/>
        <v>-1.0113325619861002E-2</v>
      </c>
      <c r="BQ69" s="128">
        <f t="shared" si="348"/>
        <v>-1.5630747568393E-2</v>
      </c>
      <c r="BR69" s="128">
        <f t="shared" si="348"/>
        <v>-1.9101145984713908E-2</v>
      </c>
      <c r="BS69" s="244">
        <f t="shared" ref="BS69:CX69" si="349">BS68/BN68-1</f>
        <v>-1.5633122632068841E-2</v>
      </c>
      <c r="BT69" s="128">
        <f t="shared" si="349"/>
        <v>-1.9276485462996207E-2</v>
      </c>
      <c r="BU69" s="128">
        <f t="shared" si="349"/>
        <v>-6.8697635607564145E-3</v>
      </c>
      <c r="BV69" s="128">
        <f t="shared" si="349"/>
        <v>-2.0985948961354417E-2</v>
      </c>
      <c r="BW69" s="128">
        <f t="shared" si="349"/>
        <v>-2.9328718575931667E-2</v>
      </c>
      <c r="BX69" s="244">
        <f t="shared" si="349"/>
        <v>-1.9395575952921296E-2</v>
      </c>
      <c r="BY69" s="128">
        <f t="shared" si="349"/>
        <v>-2.8127278634755948E-2</v>
      </c>
      <c r="BZ69" s="128">
        <f t="shared" si="349"/>
        <v>-5.5271815369103972E-2</v>
      </c>
      <c r="CA69" s="128">
        <f t="shared" si="349"/>
        <v>-3.2571051439749699E-2</v>
      </c>
      <c r="CB69" s="128">
        <f t="shared" si="349"/>
        <v>-1.6127107104855987E-2</v>
      </c>
      <c r="CC69" s="244">
        <f>CC68/BX68-1</f>
        <v>-3.2910840407824105E-2</v>
      </c>
      <c r="CD69" s="128">
        <f t="shared" si="349"/>
        <v>-1.8027506530726489E-2</v>
      </c>
      <c r="CE69" s="128">
        <f t="shared" si="349"/>
        <v>3.5849203530291529E-3</v>
      </c>
      <c r="CF69" s="128">
        <f t="shared" si="349"/>
        <v>-6.4658227775260535E-3</v>
      </c>
      <c r="CG69" s="128">
        <f t="shared" si="349"/>
        <v>-7.1557860166775455E-3</v>
      </c>
      <c r="CH69" s="244">
        <f>CH68/CC68-1</f>
        <v>-6.9295210770372595E-3</v>
      </c>
      <c r="CI69" s="128">
        <f t="shared" si="349"/>
        <v>3.3301424363578747E-3</v>
      </c>
      <c r="CJ69" s="128">
        <f t="shared" si="349"/>
        <v>-5.2793376264796965E-3</v>
      </c>
      <c r="CK69" s="128">
        <f t="shared" si="349"/>
        <v>-3.8972398920189555E-4</v>
      </c>
      <c r="CL69" s="128">
        <f t="shared" si="349"/>
        <v>-2.8129375387717648E-3</v>
      </c>
      <c r="CM69" s="244">
        <f>CM68/CH68-1</f>
        <v>-1.3057676023185971E-3</v>
      </c>
      <c r="CN69" s="128">
        <f t="shared" si="349"/>
        <v>-9.6925128502478586E-3</v>
      </c>
      <c r="CO69" s="128">
        <f t="shared" si="349"/>
        <v>-1.5843070754214983E-2</v>
      </c>
      <c r="CP69" s="128">
        <f t="shared" si="349"/>
        <v>-3.6852670456912762E-2</v>
      </c>
      <c r="CQ69" s="128">
        <f t="shared" si="349"/>
        <v>-2.7788629523479602E-2</v>
      </c>
      <c r="CR69" s="110">
        <f>CR68/CM68-1</f>
        <v>-2.2657217776716809E-2</v>
      </c>
      <c r="CS69" s="128">
        <f t="shared" si="349"/>
        <v>-9.9800167031817155E-3</v>
      </c>
      <c r="CT69" s="128">
        <f t="shared" si="349"/>
        <v>-4.3995357889792253E-4</v>
      </c>
      <c r="CU69" s="128">
        <f t="shared" si="349"/>
        <v>2.102257310788036E-2</v>
      </c>
      <c r="CV69" s="128">
        <f t="shared" si="349"/>
        <v>2.8041025362422145E-2</v>
      </c>
      <c r="CW69" s="110">
        <f>CW68/CR68-1</f>
        <v>9.5280468677296781E-3</v>
      </c>
      <c r="CX69" s="128">
        <f t="shared" si="349"/>
        <v>6.4045794240392695E-3</v>
      </c>
      <c r="CY69" s="128">
        <v>0</v>
      </c>
      <c r="CZ69" s="128">
        <v>0</v>
      </c>
      <c r="DA69" s="128">
        <v>0</v>
      </c>
      <c r="DB69" s="110">
        <f t="shared" ref="DB69:DN69" si="350">DB68/CW68-1</f>
        <v>9.1061617766730052E-5</v>
      </c>
      <c r="DC69" s="128">
        <f t="shared" si="350"/>
        <v>-3.2680663665923815E-3</v>
      </c>
      <c r="DD69" s="128">
        <f t="shared" si="350"/>
        <v>-7.9138956355762069E-4</v>
      </c>
      <c r="DE69" s="128">
        <f t="shared" si="350"/>
        <v>-8.8054787947700053E-3</v>
      </c>
      <c r="DF69" s="128">
        <f t="shared" si="350"/>
        <v>-1.6416064115754581E-2</v>
      </c>
      <c r="DG69" s="110">
        <f t="shared" si="350"/>
        <v>-5.7988865464820849E-3</v>
      </c>
      <c r="DH69" s="128">
        <f t="shared" si="350"/>
        <v>-1.6443386944428484E-2</v>
      </c>
      <c r="DI69" s="128">
        <f t="shared" si="350"/>
        <v>-1.2250009480814006E-2</v>
      </c>
      <c r="DJ69" s="128">
        <f t="shared" si="350"/>
        <v>-1.7492656693653186E-2</v>
      </c>
      <c r="DK69" s="128">
        <f t="shared" si="350"/>
        <v>-2.733040133550102E-2</v>
      </c>
      <c r="DL69" s="110">
        <f t="shared" si="350"/>
        <v>-1.8267149056261478E-2</v>
      </c>
      <c r="DM69" s="128">
        <f t="shared" si="350"/>
        <v>-3.0166370532097031E-2</v>
      </c>
      <c r="DN69" s="128">
        <f t="shared" si="350"/>
        <v>-3.9281540448932395E-2</v>
      </c>
      <c r="DO69" s="128">
        <f t="shared" ref="DO69:DT69" si="351">DO68/DJ68-1</f>
        <v>-3.5146071884876395E-2</v>
      </c>
      <c r="DP69" s="128">
        <f t="shared" si="351"/>
        <v>-2.6137661560305725E-2</v>
      </c>
      <c r="DQ69" s="110">
        <f t="shared" si="351"/>
        <v>-3.2886384029740978E-2</v>
      </c>
      <c r="DR69" s="128">
        <f t="shared" si="351"/>
        <v>-1.2671344464246448E-2</v>
      </c>
      <c r="DS69" s="128">
        <f t="shared" si="351"/>
        <v>-1.4942724772930349E-2</v>
      </c>
      <c r="DT69" s="128">
        <f t="shared" si="351"/>
        <v>-1.0677170401408587E-2</v>
      </c>
      <c r="DU69" s="128">
        <f t="shared" ref="DU69:ED69" si="352">DU68/DP68-1</f>
        <v>-2.1100618036599905E-2</v>
      </c>
      <c r="DV69" s="110">
        <f t="shared" si="352"/>
        <v>-1.4888247850596281E-2</v>
      </c>
      <c r="DW69" s="128">
        <f t="shared" si="352"/>
        <v>-2.9609358150269993E-2</v>
      </c>
      <c r="DX69" s="128">
        <f t="shared" si="352"/>
        <v>-1.7409309708274034E-2</v>
      </c>
      <c r="DY69" s="128">
        <f t="shared" si="352"/>
        <v>-1.6968165245724531E-2</v>
      </c>
      <c r="DZ69" s="128">
        <f t="shared" si="352"/>
        <v>2.267977379161179E-3</v>
      </c>
      <c r="EA69" s="110">
        <f t="shared" si="352"/>
        <v>-1.5278675738325753E-2</v>
      </c>
      <c r="EB69" s="128">
        <f t="shared" si="352"/>
        <v>-4.0488475719835382E-3</v>
      </c>
      <c r="EC69" s="128">
        <f t="shared" si="352"/>
        <v>-7.0501557233604295E-3</v>
      </c>
      <c r="ED69" s="128">
        <f t="shared" si="352"/>
        <v>-1.2170976541697742E-3</v>
      </c>
      <c r="EE69" s="128">
        <f t="shared" ref="EE69" si="353">EE68/DZ68-1</f>
        <v>-1.4255149226298558E-2</v>
      </c>
      <c r="EF69" s="110">
        <f t="shared" ref="EF69:EJ69" si="354">EF68/EA68-1</f>
        <v>-6.7280650281945631E-3</v>
      </c>
      <c r="EG69" s="128">
        <f t="shared" si="354"/>
        <v>-8.4717242890709477E-3</v>
      </c>
      <c r="EH69" s="128">
        <f t="shared" si="354"/>
        <v>-7.6336271546635359E-3</v>
      </c>
      <c r="EI69" s="128">
        <f t="shared" si="354"/>
        <v>-1.4874830748114576E-2</v>
      </c>
      <c r="EJ69" s="128">
        <f t="shared" si="354"/>
        <v>-1.3617593575954046E-2</v>
      </c>
      <c r="EK69" s="110">
        <f>EK68/EF68-1</f>
        <v>-1.1165323935486859E-2</v>
      </c>
      <c r="EL69" s="870"/>
      <c r="EM69" s="870"/>
      <c r="EN69" s="870"/>
      <c r="EO69" s="870"/>
      <c r="EP69" s="484"/>
      <c r="EQ69" s="133">
        <v>-0.03</v>
      </c>
      <c r="ER69" s="133">
        <v>-0.03</v>
      </c>
      <c r="ES69" s="133">
        <v>-2.5000000000000001E-2</v>
      </c>
      <c r="ET69" s="133">
        <v>-0.02</v>
      </c>
      <c r="EU69" s="110">
        <f>EU68/EP68-1</f>
        <v>-2.6230753742229607E-2</v>
      </c>
      <c r="EV69" s="133"/>
      <c r="EW69" s="133"/>
      <c r="EX69" s="133"/>
      <c r="EY69" s="133"/>
      <c r="EZ69" s="327">
        <v>-1.4999999999999999E-2</v>
      </c>
      <c r="FA69" s="133"/>
      <c r="FB69" s="133"/>
      <c r="FC69" s="133"/>
      <c r="FD69" s="133"/>
      <c r="FE69" s="327">
        <v>-0.01</v>
      </c>
      <c r="FF69" s="133"/>
      <c r="FG69" s="437"/>
      <c r="FL69" s="408"/>
      <c r="FM69" s="408"/>
      <c r="FN69" s="726"/>
      <c r="FO69" s="611"/>
      <c r="FQ69" s="408"/>
      <c r="FR69" s="798"/>
      <c r="FS69" s="386"/>
      <c r="FT69" s="435"/>
    </row>
    <row r="70" spans="1:183" ht="12.75" customHeight="1" x14ac:dyDescent="0.2">
      <c r="A70" s="81" t="s">
        <v>466</v>
      </c>
      <c r="B70" s="127">
        <f t="shared" ref="B70:AG70" si="355">B8/B66</f>
        <v>52.296607480235167</v>
      </c>
      <c r="C70" s="127">
        <f t="shared" si="355"/>
        <v>52.544057668794153</v>
      </c>
      <c r="D70" s="127">
        <f t="shared" si="355"/>
        <v>52.763840850004954</v>
      </c>
      <c r="E70" s="127">
        <f t="shared" si="355"/>
        <v>54.516570439859862</v>
      </c>
      <c r="F70" s="243">
        <f t="shared" si="355"/>
        <v>53.032377427470109</v>
      </c>
      <c r="G70" s="127">
        <f t="shared" si="355"/>
        <v>53.896477956522034</v>
      </c>
      <c r="H70" s="127">
        <f t="shared" si="355"/>
        <v>53.911433150903292</v>
      </c>
      <c r="I70" s="127">
        <f t="shared" si="355"/>
        <v>54.044054327790811</v>
      </c>
      <c r="J70" s="127">
        <f t="shared" si="355"/>
        <v>54.477587659517177</v>
      </c>
      <c r="K70" s="243">
        <f t="shared" si="355"/>
        <v>54.087939223407062</v>
      </c>
      <c r="L70" s="127">
        <f t="shared" si="355"/>
        <v>53.798292710251957</v>
      </c>
      <c r="M70" s="127">
        <f t="shared" si="355"/>
        <v>53.175165376452163</v>
      </c>
      <c r="N70" s="127">
        <f t="shared" si="355"/>
        <v>53.771243506929608</v>
      </c>
      <c r="O70" s="127">
        <f t="shared" si="355"/>
        <v>53.879525602886474</v>
      </c>
      <c r="P70" s="243">
        <f t="shared" si="355"/>
        <v>53.660857821872881</v>
      </c>
      <c r="Q70" s="127">
        <f t="shared" si="355"/>
        <v>52.940822598755197</v>
      </c>
      <c r="R70" s="127">
        <f t="shared" si="355"/>
        <v>53.368187661268195</v>
      </c>
      <c r="S70" s="127">
        <f t="shared" si="355"/>
        <v>53.466649133322015</v>
      </c>
      <c r="T70" s="127">
        <f t="shared" si="355"/>
        <v>75.978597624941287</v>
      </c>
      <c r="U70" s="243">
        <f t="shared" si="355"/>
        <v>59.211292752959615</v>
      </c>
      <c r="V70" s="127">
        <f t="shared" si="355"/>
        <v>61.506289552589834</v>
      </c>
      <c r="W70" s="127">
        <f t="shared" si="355"/>
        <v>59.933841372328182</v>
      </c>
      <c r="X70" s="127">
        <f t="shared" si="355"/>
        <v>58.698003549252377</v>
      </c>
      <c r="Y70" s="127">
        <f t="shared" si="355"/>
        <v>54.549905591132216</v>
      </c>
      <c r="Z70" s="243">
        <f t="shared" si="355"/>
        <v>58.442072868722363</v>
      </c>
      <c r="AA70" s="127">
        <f t="shared" si="355"/>
        <v>54.627029375672166</v>
      </c>
      <c r="AB70" s="127">
        <f t="shared" si="355"/>
        <v>54.883536635850014</v>
      </c>
      <c r="AC70" s="127">
        <f t="shared" si="355"/>
        <v>54.933319162102627</v>
      </c>
      <c r="AD70" s="127">
        <f t="shared" si="355"/>
        <v>55.172847623354777</v>
      </c>
      <c r="AE70" s="243">
        <f t="shared" si="355"/>
        <v>54.911205911303774</v>
      </c>
      <c r="AF70" s="127">
        <f t="shared" si="355"/>
        <v>55.151425807835508</v>
      </c>
      <c r="AG70" s="127">
        <f t="shared" si="355"/>
        <v>55.500740454294892</v>
      </c>
      <c r="AH70" s="127">
        <f t="shared" ref="AH70:BM70" si="356">AH8/AH66</f>
        <v>55.203832731258238</v>
      </c>
      <c r="AI70" s="127">
        <f t="shared" si="356"/>
        <v>55.275339330793379</v>
      </c>
      <c r="AJ70" s="243">
        <f t="shared" si="356"/>
        <v>55.283548053063129</v>
      </c>
      <c r="AK70" s="127">
        <f t="shared" si="356"/>
        <v>56.240001987450974</v>
      </c>
      <c r="AL70" s="127">
        <f t="shared" si="356"/>
        <v>56.4935059924127</v>
      </c>
      <c r="AM70" s="127">
        <f t="shared" si="356"/>
        <v>56.553216522153363</v>
      </c>
      <c r="AN70" s="127">
        <f t="shared" si="356"/>
        <v>56.082809161827065</v>
      </c>
      <c r="AO70" s="243">
        <f t="shared" si="356"/>
        <v>56.342207511610873</v>
      </c>
      <c r="AP70" s="127">
        <f t="shared" si="356"/>
        <v>55.897612748022055</v>
      </c>
      <c r="AQ70" s="127">
        <f t="shared" si="356"/>
        <v>55.423792263752503</v>
      </c>
      <c r="AR70" s="127">
        <f t="shared" si="356"/>
        <v>56.481802515543649</v>
      </c>
      <c r="AS70" s="127">
        <f t="shared" si="356"/>
        <v>56.781492447354047</v>
      </c>
      <c r="AT70" s="243">
        <f t="shared" si="356"/>
        <v>56.155145900994128</v>
      </c>
      <c r="AU70" s="127">
        <f t="shared" si="356"/>
        <v>57.228537752527657</v>
      </c>
      <c r="AV70" s="127">
        <f t="shared" si="356"/>
        <v>56.309881340276959</v>
      </c>
      <c r="AW70" s="127">
        <f t="shared" si="356"/>
        <v>55.920845789075123</v>
      </c>
      <c r="AX70" s="127">
        <f t="shared" si="356"/>
        <v>58.123501056342114</v>
      </c>
      <c r="AY70" s="243">
        <f t="shared" si="356"/>
        <v>56.888651553390019</v>
      </c>
      <c r="AZ70" s="127">
        <f t="shared" si="356"/>
        <v>59.390987258561239</v>
      </c>
      <c r="BA70" s="127">
        <f t="shared" si="356"/>
        <v>58.657665778350129</v>
      </c>
      <c r="BB70" s="127">
        <f t="shared" si="356"/>
        <v>58.961325242082438</v>
      </c>
      <c r="BC70" s="127">
        <f t="shared" si="356"/>
        <v>59.461050743092997</v>
      </c>
      <c r="BD70" s="243">
        <f t="shared" si="356"/>
        <v>59.117254050204465</v>
      </c>
      <c r="BE70" s="127">
        <f t="shared" si="356"/>
        <v>59.920245554716345</v>
      </c>
      <c r="BF70" s="127">
        <f t="shared" si="356"/>
        <v>59.717292438257118</v>
      </c>
      <c r="BG70" s="127">
        <f t="shared" si="356"/>
        <v>59.624737375235398</v>
      </c>
      <c r="BH70" s="127">
        <f t="shared" si="356"/>
        <v>61.277872761595212</v>
      </c>
      <c r="BI70" s="243">
        <f t="shared" si="356"/>
        <v>60.135392413079579</v>
      </c>
      <c r="BJ70" s="127">
        <f t="shared" si="356"/>
        <v>61.704005518473998</v>
      </c>
      <c r="BK70" s="127">
        <f t="shared" si="356"/>
        <v>61.932865482481553</v>
      </c>
      <c r="BL70" s="127">
        <f t="shared" si="356"/>
        <v>61.369209900986625</v>
      </c>
      <c r="BM70" s="127">
        <f t="shared" si="356"/>
        <v>62.304689132658559</v>
      </c>
      <c r="BN70" s="243">
        <f t="shared" ref="BN70:CS70" si="357">BN8/BN66</f>
        <v>61.826873562700499</v>
      </c>
      <c r="BO70" s="127">
        <f t="shared" si="357"/>
        <v>62.812750902527078</v>
      </c>
      <c r="BP70" s="127">
        <f t="shared" si="357"/>
        <v>62.565611888111889</v>
      </c>
      <c r="BQ70" s="127">
        <f t="shared" si="357"/>
        <v>62.343688356164385</v>
      </c>
      <c r="BR70" s="127">
        <f t="shared" si="357"/>
        <v>63.517954861111107</v>
      </c>
      <c r="BS70" s="243">
        <f t="shared" si="357"/>
        <v>62.808770778652672</v>
      </c>
      <c r="BT70" s="127">
        <f t="shared" si="357"/>
        <v>64.047358885017417</v>
      </c>
      <c r="BU70" s="127">
        <f t="shared" si="357"/>
        <v>62.998395973154366</v>
      </c>
      <c r="BV70" s="127">
        <f t="shared" si="357"/>
        <v>63.680075163398691</v>
      </c>
      <c r="BW70" s="127">
        <f t="shared" si="357"/>
        <v>65.437142394822004</v>
      </c>
      <c r="BX70" s="243">
        <f t="shared" si="357"/>
        <v>64.051078333333336</v>
      </c>
      <c r="BY70" s="127">
        <f t="shared" si="357"/>
        <v>65.900973941368079</v>
      </c>
      <c r="BZ70" s="127">
        <f t="shared" si="357"/>
        <v>66.684150000000002</v>
      </c>
      <c r="CA70" s="127">
        <f t="shared" si="357"/>
        <v>65.824033132530118</v>
      </c>
      <c r="CB70" s="127">
        <f t="shared" si="357"/>
        <v>66.509752293577975</v>
      </c>
      <c r="CC70" s="243">
        <f t="shared" si="357"/>
        <v>66.230789269051314</v>
      </c>
      <c r="CD70" s="127">
        <f t="shared" si="357"/>
        <v>67.110814589665651</v>
      </c>
      <c r="CE70" s="127">
        <f t="shared" si="357"/>
        <v>66.445946573751456</v>
      </c>
      <c r="CF70" s="127">
        <f t="shared" si="357"/>
        <v>66.252409470752099</v>
      </c>
      <c r="CG70" s="127">
        <f t="shared" si="357"/>
        <v>66.989112044817929</v>
      </c>
      <c r="CH70" s="243">
        <f t="shared" si="357"/>
        <v>66.692939398301419</v>
      </c>
      <c r="CI70" s="127">
        <f t="shared" si="357"/>
        <v>66.888067796610173</v>
      </c>
      <c r="CJ70" s="127">
        <f t="shared" si="357"/>
        <v>66.798598930481276</v>
      </c>
      <c r="CK70" s="127">
        <f t="shared" si="357"/>
        <v>66.278239690721648</v>
      </c>
      <c r="CL70" s="127">
        <f t="shared" si="357"/>
        <v>67.17807978723404</v>
      </c>
      <c r="CM70" s="243">
        <f t="shared" si="357"/>
        <v>66.780138739946381</v>
      </c>
      <c r="CN70" s="127">
        <f t="shared" si="357"/>
        <v>67.54272654155497</v>
      </c>
      <c r="CO70" s="127">
        <f t="shared" si="357"/>
        <v>67.873930412371138</v>
      </c>
      <c r="CP70" s="127">
        <f t="shared" si="357"/>
        <v>68.814227748691096</v>
      </c>
      <c r="CQ70" s="127">
        <f t="shared" si="357"/>
        <v>69.098224755700329</v>
      </c>
      <c r="CR70" s="97">
        <f t="shared" si="357"/>
        <v>68.328267169511705</v>
      </c>
      <c r="CS70" s="127">
        <f t="shared" si="357"/>
        <v>68.223599201133467</v>
      </c>
      <c r="CT70" s="127">
        <f t="shared" ref="CT70:DY70" si="358">CT8/CT66</f>
        <v>67.903804934372801</v>
      </c>
      <c r="CU70" s="127">
        <f t="shared" si="358"/>
        <v>67.39736178332295</v>
      </c>
      <c r="CV70" s="127">
        <f t="shared" si="358"/>
        <v>67.213489589426331</v>
      </c>
      <c r="CW70" s="97">
        <f t="shared" si="358"/>
        <v>67.683376783353694</v>
      </c>
      <c r="CX70" s="127">
        <f t="shared" si="358"/>
        <v>67.789436371779544</v>
      </c>
      <c r="CY70" s="127">
        <f t="shared" si="358"/>
        <v>67.621040784265233</v>
      </c>
      <c r="CZ70" s="127">
        <f t="shared" si="358"/>
        <v>67.413451271186446</v>
      </c>
      <c r="DA70" s="127">
        <f t="shared" si="358"/>
        <v>67.907796008869184</v>
      </c>
      <c r="DB70" s="97">
        <f t="shared" si="358"/>
        <v>67.677213986762112</v>
      </c>
      <c r="DC70" s="127">
        <f t="shared" si="358"/>
        <v>68.01170313131766</v>
      </c>
      <c r="DD70" s="127">
        <f t="shared" si="358"/>
        <v>67.957585858585858</v>
      </c>
      <c r="DE70" s="127">
        <f t="shared" si="358"/>
        <v>67.996099999999998</v>
      </c>
      <c r="DF70" s="127">
        <f t="shared" si="358"/>
        <v>68.335286026200876</v>
      </c>
      <c r="DG70" s="97">
        <f t="shared" si="358"/>
        <v>68.071955533900365</v>
      </c>
      <c r="DH70" s="127">
        <f t="shared" si="358"/>
        <v>69.14874266365689</v>
      </c>
      <c r="DI70" s="127">
        <f t="shared" si="358"/>
        <v>68.800391304347826</v>
      </c>
      <c r="DJ70" s="127">
        <f t="shared" si="358"/>
        <v>69.206709205020928</v>
      </c>
      <c r="DK70" s="127">
        <f t="shared" si="358"/>
        <v>70.255394144144148</v>
      </c>
      <c r="DL70" s="97">
        <f t="shared" si="358"/>
        <v>69.338573593073605</v>
      </c>
      <c r="DM70" s="127">
        <f t="shared" si="358"/>
        <v>71.299592592592589</v>
      </c>
      <c r="DN70" s="127">
        <f t="shared" si="358"/>
        <v>71.613479079497907</v>
      </c>
      <c r="DO70" s="127">
        <f t="shared" si="358"/>
        <v>71.727654506437773</v>
      </c>
      <c r="DP70" s="127">
        <f t="shared" si="358"/>
        <v>72.140990950226239</v>
      </c>
      <c r="DQ70" s="97">
        <f t="shared" si="358"/>
        <v>71.696409240924098</v>
      </c>
      <c r="DR70" s="127">
        <f t="shared" si="358"/>
        <v>72.214649289099526</v>
      </c>
      <c r="DS70" s="127">
        <f t="shared" si="358"/>
        <v>72.699812366737746</v>
      </c>
      <c r="DT70" s="127">
        <f t="shared" si="358"/>
        <v>72.501768240343353</v>
      </c>
      <c r="DU70" s="127">
        <f t="shared" si="358"/>
        <v>73.696022573363436</v>
      </c>
      <c r="DV70" s="97">
        <f t="shared" si="358"/>
        <v>72.779975555555552</v>
      </c>
      <c r="DW70" s="127">
        <f t="shared" si="358"/>
        <v>74.418122119815663</v>
      </c>
      <c r="DX70" s="127">
        <f t="shared" si="358"/>
        <v>73.987890466531439</v>
      </c>
      <c r="DY70" s="127">
        <f t="shared" si="358"/>
        <v>73.753225152129815</v>
      </c>
      <c r="DZ70" s="127">
        <f>DZ8/DZ66</f>
        <v>73.529259875259882</v>
      </c>
      <c r="EA70" s="97">
        <f>EA8/EA66</f>
        <v>73.90921041557074</v>
      </c>
      <c r="EB70" s="127">
        <f>EB8/EB66</f>
        <v>74.720654661016951</v>
      </c>
      <c r="EC70" s="127">
        <f t="shared" ref="EC70:ED70" si="359">EC8/EC66</f>
        <v>74.513220272904476</v>
      </c>
      <c r="ED70" s="127">
        <f t="shared" si="359"/>
        <v>73.843099415204676</v>
      </c>
      <c r="EE70" s="127">
        <f>EE8/EE66</f>
        <v>74.592588353413646</v>
      </c>
      <c r="EF70" s="97">
        <f>EF8/EF66</f>
        <v>74.409844689378758</v>
      </c>
      <c r="EG70" s="127">
        <f>EG8/EG66</f>
        <v>75.359075975359346</v>
      </c>
      <c r="EH70" s="127">
        <f t="shared" ref="EH70:EI70" si="360">EH8/EH66</f>
        <v>75.086401869158877</v>
      </c>
      <c r="EI70" s="127">
        <f t="shared" si="360"/>
        <v>74.958088291746634</v>
      </c>
      <c r="EJ70" s="127">
        <f>EJ8/EJ66</f>
        <v>75.622383233532929</v>
      </c>
      <c r="EK70" s="97">
        <f>EK8/EK66</f>
        <v>75.250035714285701</v>
      </c>
      <c r="EL70" s="886">
        <f>EL8/EL66</f>
        <v>75.359075975359346</v>
      </c>
      <c r="EM70" s="886">
        <f t="shared" ref="EM70:EN70" si="361">EM8/EM66</f>
        <v>75.086401869158877</v>
      </c>
      <c r="EN70" s="886">
        <f t="shared" si="361"/>
        <v>74.958088291746634</v>
      </c>
      <c r="EO70" s="886">
        <f>EO8/EO66</f>
        <v>75.622383233532929</v>
      </c>
      <c r="EP70" s="881">
        <f>EP8/EP66</f>
        <v>75.250035714285701</v>
      </c>
      <c r="EQ70" s="12">
        <f>EQ8/EQ66</f>
        <v>77.689769046762208</v>
      </c>
      <c r="ER70" s="12">
        <f t="shared" ref="ER70:ET70" si="362">ER8/ER66</f>
        <v>77.408661720782348</v>
      </c>
      <c r="ES70" s="12">
        <f t="shared" si="362"/>
        <v>76.88009055563758</v>
      </c>
      <c r="ET70" s="12">
        <f t="shared" si="362"/>
        <v>77.165697177074421</v>
      </c>
      <c r="EU70" s="97">
        <f>EU8/EU66</f>
        <v>77.277071547981464</v>
      </c>
      <c r="EV70" s="12"/>
      <c r="EW70" s="12"/>
      <c r="EX70" s="12"/>
      <c r="EY70" s="12"/>
      <c r="EZ70" s="97">
        <f>EZ8/EZ66</f>
        <v>78.453879744143606</v>
      </c>
      <c r="FA70" s="12"/>
      <c r="FB70" s="12"/>
      <c r="FC70" s="12"/>
      <c r="FD70" s="12"/>
      <c r="FE70" s="97">
        <f>FE8/FE66</f>
        <v>79.246343175902638</v>
      </c>
      <c r="FF70" s="140"/>
      <c r="FG70" s="442"/>
      <c r="FL70" s="416"/>
      <c r="FM70" s="414"/>
      <c r="FN70" s="374"/>
      <c r="FO70" s="611"/>
      <c r="FQ70" s="408"/>
      <c r="FR70" s="798"/>
      <c r="FS70" s="386"/>
      <c r="FT70" s="190"/>
    </row>
    <row r="71" spans="1:183" ht="12.75" customHeight="1" x14ac:dyDescent="0.2">
      <c r="A71" s="60" t="s">
        <v>244</v>
      </c>
      <c r="B71" s="128"/>
      <c r="C71" s="128"/>
      <c r="D71" s="128"/>
      <c r="E71" s="128"/>
      <c r="F71" s="244"/>
      <c r="G71" s="128">
        <f>G70/B70-1</f>
        <v>3.0592242085521804E-2</v>
      </c>
      <c r="H71" s="128">
        <f>H70/C70-1</f>
        <v>2.6023408597947384E-2</v>
      </c>
      <c r="I71" s="128">
        <f>I70/D70-1</f>
        <v>2.4263083527698459E-2</v>
      </c>
      <c r="J71" s="128">
        <f>J70/E70-1</f>
        <v>-7.1506296210777087E-4</v>
      </c>
      <c r="K71" s="244">
        <f t="shared" ref="K71:U71" si="363">K70/F70-1</f>
        <v>1.9904100987752082E-2</v>
      </c>
      <c r="L71" s="128">
        <f t="shared" si="363"/>
        <v>-1.8217377088959319E-3</v>
      </c>
      <c r="M71" s="128">
        <f t="shared" si="363"/>
        <v>-1.3656987607623905E-2</v>
      </c>
      <c r="N71" s="128">
        <f t="shared" si="363"/>
        <v>-5.0479340281640583E-3</v>
      </c>
      <c r="O71" s="128">
        <f t="shared" si="363"/>
        <v>-1.0978130316058876E-2</v>
      </c>
      <c r="P71" s="244">
        <f t="shared" si="363"/>
        <v>-7.8960560832267435E-3</v>
      </c>
      <c r="Q71" s="128">
        <f t="shared" si="363"/>
        <v>-1.5938611957724058E-2</v>
      </c>
      <c r="R71" s="128">
        <f t="shared" si="363"/>
        <v>3.6299329480131703E-3</v>
      </c>
      <c r="S71" s="128">
        <f t="shared" si="363"/>
        <v>-5.6646332452463533E-3</v>
      </c>
      <c r="T71" s="128">
        <f t="shared" si="363"/>
        <v>0.41015713807381604</v>
      </c>
      <c r="U71" s="244">
        <f t="shared" si="363"/>
        <v>0.10343544915944869</v>
      </c>
      <c r="V71" s="128">
        <f t="shared" ref="V71:BR71" si="364">V70/Q70-1</f>
        <v>0.16179323503817322</v>
      </c>
      <c r="W71" s="128">
        <f t="shared" si="364"/>
        <v>0.12302560755356118</v>
      </c>
      <c r="X71" s="128">
        <f t="shared" si="364"/>
        <v>9.7843319166789344E-2</v>
      </c>
      <c r="Y71" s="128">
        <f t="shared" si="364"/>
        <v>-0.28203589831427389</v>
      </c>
      <c r="Z71" s="244">
        <f t="shared" si="364"/>
        <v>-1.2991100995659366E-2</v>
      </c>
      <c r="AA71" s="128">
        <f t="shared" si="364"/>
        <v>-0.11184645061438281</v>
      </c>
      <c r="AB71" s="128">
        <f t="shared" si="364"/>
        <v>-8.4264659511878448E-2</v>
      </c>
      <c r="AC71" s="128">
        <f t="shared" si="364"/>
        <v>-6.4136497998451891E-2</v>
      </c>
      <c r="AD71" s="128">
        <f t="shared" si="364"/>
        <v>1.1419672050245078E-2</v>
      </c>
      <c r="AE71" s="244">
        <f t="shared" si="364"/>
        <v>-6.0416525015290379E-2</v>
      </c>
      <c r="AF71" s="128">
        <f t="shared" si="364"/>
        <v>9.5995780505846451E-3</v>
      </c>
      <c r="AG71" s="128">
        <f t="shared" si="364"/>
        <v>1.124570055570584E-2</v>
      </c>
      <c r="AH71" s="128">
        <f t="shared" si="364"/>
        <v>4.9243987671190315E-3</v>
      </c>
      <c r="AI71" s="128">
        <f t="shared" si="364"/>
        <v>1.8576475903198109E-3</v>
      </c>
      <c r="AJ71" s="244">
        <f t="shared" si="364"/>
        <v>6.7808043108865679E-3</v>
      </c>
      <c r="AK71" s="128">
        <f t="shared" si="364"/>
        <v>1.9737951715127044E-2</v>
      </c>
      <c r="AL71" s="128">
        <f t="shared" si="364"/>
        <v>1.788742870800708E-2</v>
      </c>
      <c r="AM71" s="128">
        <f t="shared" si="364"/>
        <v>2.4443661320838972E-2</v>
      </c>
      <c r="AN71" s="128">
        <f t="shared" si="364"/>
        <v>1.4608138833873241E-2</v>
      </c>
      <c r="AO71" s="244">
        <f t="shared" si="364"/>
        <v>1.9149629425586179E-2</v>
      </c>
      <c r="AP71" s="128">
        <f t="shared" si="364"/>
        <v>-6.0880019084159631E-3</v>
      </c>
      <c r="AQ71" s="128">
        <f t="shared" si="364"/>
        <v>-1.8935162721249177E-2</v>
      </c>
      <c r="AR71" s="128">
        <f t="shared" si="364"/>
        <v>-1.262775329175847E-3</v>
      </c>
      <c r="AS71" s="128">
        <f t="shared" si="364"/>
        <v>1.2458065064304025E-2</v>
      </c>
      <c r="AT71" s="244">
        <f t="shared" si="364"/>
        <v>-3.3200972925705452E-3</v>
      </c>
      <c r="AU71" s="128">
        <f t="shared" si="364"/>
        <v>2.3810050896184265E-2</v>
      </c>
      <c r="AV71" s="128">
        <f t="shared" si="364"/>
        <v>1.5987521609992061E-2</v>
      </c>
      <c r="AW71" s="128">
        <f t="shared" si="364"/>
        <v>-9.9316364118187117E-3</v>
      </c>
      <c r="AX71" s="128">
        <f t="shared" si="364"/>
        <v>2.3634613166118035E-2</v>
      </c>
      <c r="AY71" s="244">
        <f t="shared" si="364"/>
        <v>1.3062127087856146E-2</v>
      </c>
      <c r="AZ71" s="128">
        <f t="shared" si="364"/>
        <v>3.778620931019816E-2</v>
      </c>
      <c r="BA71" s="128">
        <f t="shared" si="364"/>
        <v>4.169400435929993E-2</v>
      </c>
      <c r="BB71" s="128">
        <f t="shared" si="364"/>
        <v>5.4371127798666263E-2</v>
      </c>
      <c r="BC71" s="128">
        <f t="shared" si="364"/>
        <v>2.3012200959029006E-2</v>
      </c>
      <c r="BD71" s="244">
        <f t="shared" si="364"/>
        <v>3.9174816698246184E-2</v>
      </c>
      <c r="BE71" s="128">
        <f t="shared" si="364"/>
        <v>8.9114244531911524E-3</v>
      </c>
      <c r="BF71" s="128">
        <f t="shared" si="364"/>
        <v>1.8064589612396098E-2</v>
      </c>
      <c r="BG71" s="128">
        <f t="shared" si="364"/>
        <v>1.1251648948342519E-2</v>
      </c>
      <c r="BH71" s="128">
        <f t="shared" si="364"/>
        <v>3.0554825315010969E-2</v>
      </c>
      <c r="BI71" s="244">
        <f t="shared" si="364"/>
        <v>1.7222355456673943E-2</v>
      </c>
      <c r="BJ71" s="128">
        <f t="shared" si="364"/>
        <v>2.9768902768076977E-2</v>
      </c>
      <c r="BK71" s="128">
        <f t="shared" si="364"/>
        <v>3.7101029764789795E-2</v>
      </c>
      <c r="BL71" s="128">
        <f t="shared" si="364"/>
        <v>2.9257529719129316E-2</v>
      </c>
      <c r="BM71" s="128">
        <f t="shared" si="364"/>
        <v>1.6756723508634774E-2</v>
      </c>
      <c r="BN71" s="244">
        <f t="shared" si="364"/>
        <v>2.8127880799411198E-2</v>
      </c>
      <c r="BO71" s="128">
        <f t="shared" si="364"/>
        <v>1.7968774875094962E-2</v>
      </c>
      <c r="BP71" s="128">
        <f t="shared" si="364"/>
        <v>1.0216649927320409E-2</v>
      </c>
      <c r="BQ71" s="128">
        <f t="shared" si="364"/>
        <v>1.5878947386645414E-2</v>
      </c>
      <c r="BR71" s="128">
        <f t="shared" si="364"/>
        <v>1.9473104598423996E-2</v>
      </c>
      <c r="BS71" s="244">
        <f t="shared" ref="BS71:CX71" si="365">BS70/BN70-1</f>
        <v>1.5881398482108233E-2</v>
      </c>
      <c r="BT71" s="128">
        <f t="shared" si="365"/>
        <v>1.9655371954751644E-2</v>
      </c>
      <c r="BU71" s="128">
        <f t="shared" si="365"/>
        <v>6.9172836640107871E-3</v>
      </c>
      <c r="BV71" s="128">
        <f t="shared" si="365"/>
        <v>2.1435799556799306E-2</v>
      </c>
      <c r="BW71" s="128">
        <f t="shared" si="365"/>
        <v>3.0214882357396666E-2</v>
      </c>
      <c r="BX71" s="244">
        <f t="shared" si="365"/>
        <v>1.9779205026297042E-2</v>
      </c>
      <c r="BY71" s="128">
        <f t="shared" si="365"/>
        <v>2.8941319183487524E-2</v>
      </c>
      <c r="BZ71" s="128">
        <f t="shared" si="365"/>
        <v>5.8505521766240687E-2</v>
      </c>
      <c r="CA71" s="128">
        <f t="shared" si="365"/>
        <v>3.3667641937139337E-2</v>
      </c>
      <c r="CB71" s="128">
        <f t="shared" si="365"/>
        <v>1.6391453836481107E-2</v>
      </c>
      <c r="CC71" s="244">
        <f>CC70/BX70-1</f>
        <v>3.4030823405881927E-2</v>
      </c>
      <c r="CD71" s="128">
        <f t="shared" si="365"/>
        <v>1.8358463857817364E-2</v>
      </c>
      <c r="CE71" s="128">
        <f t="shared" si="365"/>
        <v>-3.5721146066726162E-3</v>
      </c>
      <c r="CF71" s="128">
        <f t="shared" si="365"/>
        <v>6.5079017166798092E-3</v>
      </c>
      <c r="CG71" s="128">
        <f t="shared" si="365"/>
        <v>7.2073603450517609E-3</v>
      </c>
      <c r="CH71" s="244">
        <f>CH70/CC70-1</f>
        <v>6.9778744047983565E-3</v>
      </c>
      <c r="CI71" s="128">
        <f t="shared" si="365"/>
        <v>-3.3190893959105239E-3</v>
      </c>
      <c r="CJ71" s="128">
        <f t="shared" si="365"/>
        <v>5.3073569557533506E-3</v>
      </c>
      <c r="CK71" s="128">
        <f t="shared" si="365"/>
        <v>3.8987593320594094E-4</v>
      </c>
      <c r="CL71" s="128">
        <f t="shared" si="365"/>
        <v>2.8208724768539195E-3</v>
      </c>
      <c r="CM71" s="244">
        <f>CM70/CH70-1</f>
        <v>1.3074748606325404E-3</v>
      </c>
      <c r="CN71" s="128">
        <f t="shared" si="365"/>
        <v>9.7873771288392586E-3</v>
      </c>
      <c r="CO71" s="128">
        <f t="shared" si="365"/>
        <v>1.6098114318370493E-2</v>
      </c>
      <c r="CP71" s="128">
        <f t="shared" si="365"/>
        <v>3.826275516373534E-2</v>
      </c>
      <c r="CQ71" s="128">
        <f t="shared" si="365"/>
        <v>2.8582909403599421E-2</v>
      </c>
      <c r="CR71" s="110">
        <f>CR70/CM70-1</f>
        <v>2.3182468002859391E-2</v>
      </c>
      <c r="CS71" s="128">
        <f t="shared" si="365"/>
        <v>1.0080621473869567E-2</v>
      </c>
      <c r="CT71" s="128">
        <f t="shared" si="365"/>
        <v>4.4014722324403621E-4</v>
      </c>
      <c r="CU71" s="128">
        <f t="shared" si="365"/>
        <v>-2.0589724127145992E-2</v>
      </c>
      <c r="CV71" s="128">
        <f t="shared" si="365"/>
        <v>-2.7276173489804711E-2</v>
      </c>
      <c r="CW71" s="110">
        <f t="shared" ref="CW71:DN71" si="366">CW70/CR70-1</f>
        <v>-9.4381200178563773E-3</v>
      </c>
      <c r="CX71" s="128">
        <f t="shared" si="365"/>
        <v>-6.3638218217415554E-3</v>
      </c>
      <c r="CY71" s="128">
        <f t="shared" si="366"/>
        <v>-4.164187122957963E-3</v>
      </c>
      <c r="CZ71" s="128">
        <f t="shared" si="366"/>
        <v>2.3872578151085122E-4</v>
      </c>
      <c r="DA71" s="128">
        <f t="shared" si="366"/>
        <v>1.0329867169284412E-2</v>
      </c>
      <c r="DB71" s="110">
        <f t="shared" si="366"/>
        <v>-9.1053326303547344E-5</v>
      </c>
      <c r="DC71" s="128">
        <f>DC70/CX70-1</f>
        <v>3.278781642601869E-3</v>
      </c>
      <c r="DD71" s="128">
        <f t="shared" si="366"/>
        <v>4.9769283409037968E-3</v>
      </c>
      <c r="DE71" s="128">
        <f t="shared" si="366"/>
        <v>8.6429149943638706E-3</v>
      </c>
      <c r="DF71" s="128">
        <f t="shared" si="366"/>
        <v>6.2951537593101126E-3</v>
      </c>
      <c r="DG71" s="110">
        <f t="shared" si="366"/>
        <v>5.8327097686892149E-3</v>
      </c>
      <c r="DH71" s="128">
        <f t="shared" si="366"/>
        <v>1.6718292293663284E-2</v>
      </c>
      <c r="DI71" s="128">
        <f t="shared" si="366"/>
        <v>1.2401933281087629E-2</v>
      </c>
      <c r="DJ71" s="128">
        <f t="shared" si="366"/>
        <v>1.7804097661791252E-2</v>
      </c>
      <c r="DK71" s="128">
        <f t="shared" si="366"/>
        <v>2.8098340251434317E-2</v>
      </c>
      <c r="DL71" s="110">
        <f t="shared" si="366"/>
        <v>1.8607046752791678E-2</v>
      </c>
      <c r="DM71" s="128">
        <f t="shared" si="366"/>
        <v>3.1104686015732019E-2</v>
      </c>
      <c r="DN71" s="128">
        <f t="shared" si="366"/>
        <v>4.0887671157363137E-2</v>
      </c>
      <c r="DO71" s="128">
        <f t="shared" ref="DO71:DT71" si="367">DO70/DJ70-1</f>
        <v>3.6426313725576698E-2</v>
      </c>
      <c r="DP71" s="128">
        <f t="shared" si="367"/>
        <v>2.6839174828531709E-2</v>
      </c>
      <c r="DQ71" s="110">
        <f t="shared" si="367"/>
        <v>3.4004674824836822E-2</v>
      </c>
      <c r="DR71" s="128">
        <f t="shared" si="367"/>
        <v>1.283396809481907E-2</v>
      </c>
      <c r="DS71" s="128">
        <f t="shared" si="367"/>
        <v>1.5169396895714282E-2</v>
      </c>
      <c r="DT71" s="128">
        <f t="shared" si="367"/>
        <v>1.0792402724336903E-2</v>
      </c>
      <c r="DU71" s="128">
        <f>DU70/DP70-1</f>
        <v>2.1555451382835766E-2</v>
      </c>
      <c r="DV71" s="110">
        <f>DV70/DQ70-1</f>
        <v>1.5113257778228473E-2</v>
      </c>
      <c r="DW71" s="128">
        <f>DW70/DR70-1</f>
        <v>3.0512823262422772E-2</v>
      </c>
      <c r="DX71" s="128">
        <f>DX70/DS70-1</f>
        <v>1.7717763744642401E-2</v>
      </c>
      <c r="DY71" s="128">
        <f>DY70/DT70-1</f>
        <v>1.7261053656483005E-2</v>
      </c>
      <c r="DZ71" s="128">
        <f t="shared" ref="DZ71:EA71" si="368">DZ70/DU70-1</f>
        <v>-2.2628452972145441E-3</v>
      </c>
      <c r="EA71" s="110">
        <f t="shared" si="368"/>
        <v>1.5515735631886907E-2</v>
      </c>
      <c r="EB71" s="128">
        <f>EB70/DW70-1</f>
        <v>4.0653073819063579E-3</v>
      </c>
      <c r="EC71" s="128">
        <f>EC70/DX70-1</f>
        <v>7.1002133330273498E-3</v>
      </c>
      <c r="ED71" s="128">
        <f>ED70/DY70-1</f>
        <v>1.2185807859856901E-3</v>
      </c>
      <c r="EE71" s="128">
        <f t="shared" ref="EE71" si="369">EE70/DZ70-1</f>
        <v>1.4461297175541565E-2</v>
      </c>
      <c r="EF71" s="110">
        <f t="shared" ref="EF71" si="370">EF70/EA70-1</f>
        <v>6.7736385085579442E-3</v>
      </c>
      <c r="EG71" s="128">
        <f>EG70/EB70-1</f>
        <v>8.5441076130650107E-3</v>
      </c>
      <c r="EH71" s="128">
        <f>EH70/EC70-1</f>
        <v>7.6923476687107417E-3</v>
      </c>
      <c r="EI71" s="128">
        <f>EI70/ED70-1</f>
        <v>1.5099432247184019E-2</v>
      </c>
      <c r="EJ71" s="128">
        <f t="shared" ref="EJ71" si="371">EJ70/EE70-1</f>
        <v>1.3805592524021248E-2</v>
      </c>
      <c r="EK71" s="110">
        <f t="shared" ref="EK71" si="372">EK70/EF70-1</f>
        <v>1.1291396029843748E-2</v>
      </c>
      <c r="EL71" s="870"/>
      <c r="EM71" s="870"/>
      <c r="EN71" s="870"/>
      <c r="EO71" s="870"/>
      <c r="EP71" s="484"/>
      <c r="EQ71" s="128">
        <f>EQ70/EL70-1</f>
        <v>3.0927835051546282E-2</v>
      </c>
      <c r="ER71" s="128">
        <f>ER70/EM70-1</f>
        <v>3.0927835051546504E-2</v>
      </c>
      <c r="ES71" s="128">
        <f>ES70/EN70-1</f>
        <v>2.5641025641025772E-2</v>
      </c>
      <c r="ET71" s="128">
        <f t="shared" ref="ET71" si="373">ET70/EO70-1</f>
        <v>2.0408163265306145E-2</v>
      </c>
      <c r="EU71" s="110">
        <f t="shared" ref="EU71" si="374">EU70/EP70-1</f>
        <v>2.6937340487015238E-2</v>
      </c>
      <c r="EV71" s="43"/>
      <c r="EW71" s="43"/>
      <c r="EX71" s="43"/>
      <c r="EY71" s="43"/>
      <c r="EZ71" s="110">
        <f>EZ70/EU70-1</f>
        <v>1.5228426395939021E-2</v>
      </c>
      <c r="FA71" s="43"/>
      <c r="FB71" s="43"/>
      <c r="FC71" s="43"/>
      <c r="FD71" s="43"/>
      <c r="FE71" s="110">
        <f>FE70/EZ70-1</f>
        <v>1.0101010101010166E-2</v>
      </c>
      <c r="FF71" s="43"/>
      <c r="FG71" s="435"/>
      <c r="FL71" s="408"/>
      <c r="FM71" s="408"/>
      <c r="FN71" s="369"/>
      <c r="FP71" s="380"/>
      <c r="FQ71" s="369"/>
      <c r="FR71" s="369"/>
      <c r="FS71" s="369"/>
      <c r="FT71" s="190"/>
    </row>
    <row r="72" spans="1:183" ht="12.75" customHeight="1" x14ac:dyDescent="0.2">
      <c r="A72" s="8" t="s">
        <v>104</v>
      </c>
      <c r="B72" s="823">
        <v>19.141999999999999</v>
      </c>
      <c r="C72" s="823">
        <v>19.832999999999998</v>
      </c>
      <c r="D72" s="823">
        <v>20.138000000000002</v>
      </c>
      <c r="E72" s="823">
        <f>F72-SUM(B72:D72)</f>
        <v>20.316000000000003</v>
      </c>
      <c r="F72" s="10">
        <v>79.429000000000002</v>
      </c>
      <c r="G72" s="823">
        <v>20.245999999999999</v>
      </c>
      <c r="H72" s="823">
        <v>20.85</v>
      </c>
      <c r="I72" s="823">
        <v>21.693000000000001</v>
      </c>
      <c r="J72" s="823">
        <f>K72-SUM(G72:I72)</f>
        <v>23.641000000000005</v>
      </c>
      <c r="K72" s="10">
        <v>86.43</v>
      </c>
      <c r="L72" s="823">
        <v>22.332000000000001</v>
      </c>
      <c r="M72" s="823">
        <v>24.602</v>
      </c>
      <c r="N72" s="823">
        <v>27.137</v>
      </c>
      <c r="O72" s="823">
        <f>P72-SUM(L72:N72)</f>
        <v>27.905000000000001</v>
      </c>
      <c r="P72" s="10">
        <v>101.976</v>
      </c>
      <c r="Q72" s="823">
        <v>26.187999999999999</v>
      </c>
      <c r="R72" s="823">
        <v>27.452000000000002</v>
      </c>
      <c r="S72" s="823">
        <v>29.544</v>
      </c>
      <c r="T72" s="823">
        <f>U72-SUM(Q72:S72)</f>
        <v>36.153999999999996</v>
      </c>
      <c r="U72" s="10">
        <v>119.33799999999999</v>
      </c>
      <c r="V72" s="823">
        <v>32.475999999999999</v>
      </c>
      <c r="W72" s="823">
        <v>33.814</v>
      </c>
      <c r="X72" s="823">
        <v>36.298000000000002</v>
      </c>
      <c r="Y72" s="823">
        <v>36.457000000000001</v>
      </c>
      <c r="Z72" s="10">
        <f>SUM(V72:Y72)</f>
        <v>139.04499999999999</v>
      </c>
      <c r="AA72" s="823">
        <v>37.347000000000001</v>
      </c>
      <c r="AB72" s="823">
        <v>38.209000000000003</v>
      </c>
      <c r="AC72" s="823">
        <v>38.826000000000001</v>
      </c>
      <c r="AD72" s="823">
        <f>156.771-SUM(AA72:AC72)</f>
        <v>42.388999999999982</v>
      </c>
      <c r="AE72" s="10">
        <f>SUM(AA72:AD72)</f>
        <v>156.77099999999999</v>
      </c>
      <c r="AF72" s="823">
        <v>44.014000000000003</v>
      </c>
      <c r="AG72" s="823">
        <v>46.110999999999997</v>
      </c>
      <c r="AH72" s="823">
        <v>46.170999999999999</v>
      </c>
      <c r="AI72" s="823">
        <v>47.173999999999999</v>
      </c>
      <c r="AJ72" s="10">
        <f>SUM(AF72:AI72)</f>
        <v>183.47</v>
      </c>
      <c r="AK72" s="823">
        <v>48.386000000000003</v>
      </c>
      <c r="AL72" s="823">
        <v>47.509</v>
      </c>
      <c r="AM72" s="823">
        <v>49.872999999999998</v>
      </c>
      <c r="AN72" s="823">
        <v>49.8</v>
      </c>
      <c r="AO72" s="10">
        <f>SUM(AK72:AN72)</f>
        <v>195.56799999999998</v>
      </c>
      <c r="AP72" s="823">
        <v>51.98</v>
      </c>
      <c r="AQ72" s="823">
        <v>53.996000000000002</v>
      </c>
      <c r="AR72" s="823">
        <v>59.575000000000003</v>
      </c>
      <c r="AS72" s="823">
        <v>59.661000000000001</v>
      </c>
      <c r="AT72" s="10">
        <f>SUM(AP72:AS72)</f>
        <v>225.21199999999999</v>
      </c>
      <c r="AU72" s="823">
        <v>56.786000000000001</v>
      </c>
      <c r="AV72" s="823">
        <v>59.542000000000002</v>
      </c>
      <c r="AW72" s="823">
        <v>63.808</v>
      </c>
      <c r="AX72" s="823">
        <v>68.524000000000001</v>
      </c>
      <c r="AY72" s="10">
        <f>SUM(AU72:AX72)</f>
        <v>248.66</v>
      </c>
      <c r="AZ72" s="823">
        <v>66.697999999999993</v>
      </c>
      <c r="BA72" s="823">
        <v>68.522999999999996</v>
      </c>
      <c r="BB72" s="823">
        <v>71.510999999999996</v>
      </c>
      <c r="BC72" s="823">
        <v>74.543999999999997</v>
      </c>
      <c r="BD72" s="10">
        <f>SUM(AZ72:BC72)</f>
        <v>281.27600000000001</v>
      </c>
      <c r="BE72" s="823">
        <v>77.691999999999993</v>
      </c>
      <c r="BF72" s="823">
        <v>78.212999999999994</v>
      </c>
      <c r="BG72" s="823">
        <v>81.721999999999994</v>
      </c>
      <c r="BH72" s="823">
        <v>80.203999999999994</v>
      </c>
      <c r="BI72" s="10">
        <f>SUM(BE72:BH72)</f>
        <v>317.83099999999996</v>
      </c>
      <c r="BJ72" s="823">
        <v>84.594999999999999</v>
      </c>
      <c r="BK72" s="823">
        <v>86</v>
      </c>
      <c r="BL72" s="823">
        <v>92.04</v>
      </c>
      <c r="BM72" s="823">
        <v>93.117999999999995</v>
      </c>
      <c r="BN72" s="10">
        <f>SUM(BJ72:BM72)</f>
        <v>355.75299999999999</v>
      </c>
      <c r="BO72" s="823">
        <v>93</v>
      </c>
      <c r="BP72" s="823">
        <v>95</v>
      </c>
      <c r="BQ72" s="823">
        <v>97</v>
      </c>
      <c r="BR72" s="823">
        <v>99</v>
      </c>
      <c r="BS72" s="10">
        <f>SUM(BO72:BR72)</f>
        <v>384</v>
      </c>
      <c r="BT72" s="823">
        <v>103</v>
      </c>
      <c r="BU72" s="823">
        <v>107</v>
      </c>
      <c r="BV72" s="823">
        <v>108</v>
      </c>
      <c r="BW72" s="823">
        <v>113</v>
      </c>
      <c r="BX72" s="10">
        <f>SUM(BT72:BW72)</f>
        <v>431</v>
      </c>
      <c r="BY72" s="823">
        <v>112</v>
      </c>
      <c r="BZ72" s="823">
        <v>116</v>
      </c>
      <c r="CA72" s="823">
        <v>121</v>
      </c>
      <c r="CB72" s="823">
        <v>121</v>
      </c>
      <c r="CC72" s="10">
        <f>SUM(BY72:CB72)</f>
        <v>470</v>
      </c>
      <c r="CD72" s="823">
        <v>123.75</v>
      </c>
      <c r="CE72" s="823">
        <v>126.75</v>
      </c>
      <c r="CF72" s="823">
        <v>130.75</v>
      </c>
      <c r="CG72" s="823">
        <v>133.75</v>
      </c>
      <c r="CH72" s="10">
        <f>SUM(CD72:CG72)</f>
        <v>515</v>
      </c>
      <c r="CI72" s="823">
        <v>135</v>
      </c>
      <c r="CJ72" s="823">
        <v>137</v>
      </c>
      <c r="CK72" s="823">
        <v>140</v>
      </c>
      <c r="CL72" s="823">
        <v>143</v>
      </c>
      <c r="CM72" s="10">
        <f>SUM(CI72:CL72)</f>
        <v>555</v>
      </c>
      <c r="CN72" s="823">
        <v>145</v>
      </c>
      <c r="CO72" s="823">
        <v>148</v>
      </c>
      <c r="CP72" s="823">
        <v>152</v>
      </c>
      <c r="CQ72" s="823">
        <v>154</v>
      </c>
      <c r="CR72" s="10">
        <f>SUM(CN72:CQ72)</f>
        <v>599</v>
      </c>
      <c r="CS72" s="823">
        <v>164.11699999999999</v>
      </c>
      <c r="CT72" s="823">
        <v>164.10399999999998</v>
      </c>
      <c r="CU72" s="823">
        <v>175.899</v>
      </c>
      <c r="CV72" s="823">
        <v>168.751</v>
      </c>
      <c r="CW72" s="10">
        <f>SUM(CS72:CV72)</f>
        <v>672.87099999999998</v>
      </c>
      <c r="CX72" s="823">
        <v>168.85499999999999</v>
      </c>
      <c r="CY72" s="823">
        <v>169</v>
      </c>
      <c r="CZ72" s="823">
        <v>176</v>
      </c>
      <c r="DA72" s="823">
        <v>175</v>
      </c>
      <c r="DB72" s="10">
        <f>SUM(CX72:DA72)</f>
        <v>688.85500000000002</v>
      </c>
      <c r="DC72" s="823">
        <v>168.708</v>
      </c>
      <c r="DD72" s="823">
        <v>182</v>
      </c>
      <c r="DE72" s="823">
        <v>191</v>
      </c>
      <c r="DF72" s="823">
        <v>192</v>
      </c>
      <c r="DG72" s="10">
        <f>SUM(DC72:DF72)</f>
        <v>733.70799999999997</v>
      </c>
      <c r="DH72" s="823">
        <v>201</v>
      </c>
      <c r="DI72" s="823">
        <v>202</v>
      </c>
      <c r="DJ72" s="823">
        <v>217</v>
      </c>
      <c r="DK72" s="823">
        <v>224</v>
      </c>
      <c r="DL72" s="10">
        <f>SUM(DH72:DK72)</f>
        <v>844</v>
      </c>
      <c r="DM72" s="823">
        <v>210</v>
      </c>
      <c r="DN72" s="823">
        <v>213</v>
      </c>
      <c r="DO72" s="823">
        <v>221</v>
      </c>
      <c r="DP72" s="823">
        <v>223</v>
      </c>
      <c r="DQ72" s="10">
        <f>SUM(DM72:DP72)</f>
        <v>867</v>
      </c>
      <c r="DR72" s="823">
        <v>221</v>
      </c>
      <c r="DS72" s="823">
        <v>228</v>
      </c>
      <c r="DT72" s="823">
        <v>238</v>
      </c>
      <c r="DU72" s="823">
        <v>251</v>
      </c>
      <c r="DV72" s="10">
        <f>SUM(DR72:DU72)</f>
        <v>938</v>
      </c>
      <c r="DW72" s="823">
        <v>244</v>
      </c>
      <c r="DX72" s="823">
        <v>250</v>
      </c>
      <c r="DY72" s="823">
        <v>258</v>
      </c>
      <c r="DZ72" s="823">
        <v>263</v>
      </c>
      <c r="EA72" s="10">
        <f>SUM(DW72:DZ72)</f>
        <v>1015</v>
      </c>
      <c r="EB72" s="823">
        <v>290</v>
      </c>
      <c r="EC72" s="823">
        <v>299</v>
      </c>
      <c r="ED72" s="823">
        <v>315</v>
      </c>
      <c r="EE72" s="823">
        <v>318</v>
      </c>
      <c r="EF72" s="10">
        <f>SUM(EB72:EE72)</f>
        <v>1222</v>
      </c>
      <c r="EG72" s="823">
        <v>318</v>
      </c>
      <c r="EH72" s="823">
        <v>319</v>
      </c>
      <c r="EI72" s="823">
        <v>302</v>
      </c>
      <c r="EJ72" s="823">
        <v>279</v>
      </c>
      <c r="EK72" s="10">
        <f>SUM(EG72:EJ72)</f>
        <v>1218</v>
      </c>
      <c r="EL72" s="823">
        <v>318</v>
      </c>
      <c r="EM72" s="823">
        <v>319</v>
      </c>
      <c r="EN72" s="823">
        <v>302</v>
      </c>
      <c r="EO72" s="823">
        <v>279</v>
      </c>
      <c r="EP72" s="877">
        <f>SUM(EL72:EO72)</f>
        <v>1218</v>
      </c>
      <c r="EQ72" s="9">
        <f>EL72*(EQ73+1)</f>
        <v>286.2</v>
      </c>
      <c r="ER72" s="9">
        <f>EM72*(ER73+1)</f>
        <v>296.66999999999996</v>
      </c>
      <c r="ES72" s="9">
        <f>EN72*(ES73+1)</f>
        <v>308.04000000000002</v>
      </c>
      <c r="ET72" s="9">
        <f>EO72*(ET73+1)</f>
        <v>318.06000000000006</v>
      </c>
      <c r="EU72" s="10">
        <f>SUM(EQ72:ET72)</f>
        <v>1208.9699999999998</v>
      </c>
      <c r="EV72" s="9"/>
      <c r="EW72" s="9"/>
      <c r="EX72" s="9"/>
      <c r="EY72" s="9"/>
      <c r="EZ72" s="10">
        <f>EU72*(1+EZ73)</f>
        <v>1245.2390999999998</v>
      </c>
      <c r="FA72" s="9"/>
      <c r="FB72" s="9"/>
      <c r="FC72" s="9"/>
      <c r="FD72" s="9"/>
      <c r="FE72" s="10">
        <f>EZ72*(1+FE73)</f>
        <v>1282.5962729999999</v>
      </c>
      <c r="FF72" s="337"/>
      <c r="FG72" s="441"/>
      <c r="FH72" s="347"/>
      <c r="FI72" s="337"/>
      <c r="FJ72" s="337"/>
      <c r="FK72" s="337"/>
      <c r="FL72" s="423" t="s">
        <v>603</v>
      </c>
      <c r="FM72" s="423"/>
      <c r="FN72" s="423"/>
      <c r="FO72" s="423"/>
      <c r="FP72" s="423"/>
      <c r="FQ72" s="423"/>
      <c r="FR72" s="423"/>
      <c r="FS72" s="423"/>
      <c r="FT72" s="441"/>
      <c r="GA72" s="342"/>
    </row>
    <row r="73" spans="1:183" ht="12.75" customHeight="1" x14ac:dyDescent="0.2">
      <c r="A73" s="58" t="s">
        <v>244</v>
      </c>
      <c r="B73" s="128"/>
      <c r="C73" s="128"/>
      <c r="D73" s="128"/>
      <c r="E73" s="128"/>
      <c r="F73" s="244"/>
      <c r="G73" s="128">
        <f>G72/B72-1</f>
        <v>5.7674224218994929E-2</v>
      </c>
      <c r="H73" s="128">
        <f>H72/C72-1</f>
        <v>5.1278172742399208E-2</v>
      </c>
      <c r="I73" s="128">
        <f>I72/D72-1</f>
        <v>7.7217201310954442E-2</v>
      </c>
      <c r="J73" s="128">
        <f>J72/E72-1</f>
        <v>0.16366410710769852</v>
      </c>
      <c r="K73" s="244">
        <f t="shared" ref="K73:U73" si="375">K72/F72-1</f>
        <v>8.8141610746704568E-2</v>
      </c>
      <c r="L73" s="128">
        <f t="shared" si="375"/>
        <v>0.10303269781685276</v>
      </c>
      <c r="M73" s="128">
        <f t="shared" si="375"/>
        <v>0.17995203836930451</v>
      </c>
      <c r="N73" s="128">
        <f t="shared" si="375"/>
        <v>0.25095652975614247</v>
      </c>
      <c r="O73" s="128">
        <f t="shared" si="375"/>
        <v>0.18036462078592264</v>
      </c>
      <c r="P73" s="244">
        <f t="shared" si="375"/>
        <v>0.17986810135369646</v>
      </c>
      <c r="Q73" s="128">
        <f t="shared" si="375"/>
        <v>0.17266702489700858</v>
      </c>
      <c r="R73" s="128">
        <f t="shared" si="375"/>
        <v>0.11584424030566631</v>
      </c>
      <c r="S73" s="128">
        <f t="shared" si="375"/>
        <v>8.8698087482035559E-2</v>
      </c>
      <c r="T73" s="128">
        <f t="shared" si="375"/>
        <v>0.29561010571582136</v>
      </c>
      <c r="U73" s="244">
        <f t="shared" si="375"/>
        <v>0.17025574645014507</v>
      </c>
      <c r="V73" s="128">
        <f t="shared" ref="V73:DA73" si="376">V72/Q72-1</f>
        <v>0.24010997403390877</v>
      </c>
      <c r="W73" s="128">
        <f t="shared" si="376"/>
        <v>0.23174996357278155</v>
      </c>
      <c r="X73" s="128">
        <f t="shared" si="376"/>
        <v>0.22860817763336039</v>
      </c>
      <c r="Y73" s="128">
        <f t="shared" si="376"/>
        <v>8.3808154007856128E-3</v>
      </c>
      <c r="Z73" s="244">
        <f t="shared" si="376"/>
        <v>0.1651360002681459</v>
      </c>
      <c r="AA73" s="128">
        <f t="shared" si="376"/>
        <v>0.14998768321221823</v>
      </c>
      <c r="AB73" s="128">
        <f t="shared" si="376"/>
        <v>0.12997574968947778</v>
      </c>
      <c r="AC73" s="128">
        <f t="shared" si="376"/>
        <v>6.964571050746593E-2</v>
      </c>
      <c r="AD73" s="128">
        <f t="shared" si="376"/>
        <v>0.16271223633321386</v>
      </c>
      <c r="AE73" s="244">
        <f t="shared" si="376"/>
        <v>0.12748390808730981</v>
      </c>
      <c r="AF73" s="128">
        <f t="shared" si="376"/>
        <v>0.17851500789889418</v>
      </c>
      <c r="AG73" s="128">
        <f t="shared" si="376"/>
        <v>0.20680991389463199</v>
      </c>
      <c r="AH73" s="128">
        <f t="shared" si="376"/>
        <v>0.18917735538041525</v>
      </c>
      <c r="AI73" s="128">
        <f t="shared" si="376"/>
        <v>0.11288305928424869</v>
      </c>
      <c r="AJ73" s="244">
        <f t="shared" si="376"/>
        <v>0.17030573256533432</v>
      </c>
      <c r="AK73" s="128">
        <f t="shared" si="376"/>
        <v>9.9332030717498965E-2</v>
      </c>
      <c r="AL73" s="128">
        <f t="shared" si="376"/>
        <v>3.0318145344928604E-2</v>
      </c>
      <c r="AM73" s="128">
        <f t="shared" si="376"/>
        <v>8.0180199692447607E-2</v>
      </c>
      <c r="AN73" s="128">
        <f t="shared" si="376"/>
        <v>5.5666256836392813E-2</v>
      </c>
      <c r="AO73" s="244">
        <f t="shared" si="376"/>
        <v>6.5939935684308004E-2</v>
      </c>
      <c r="AP73" s="128">
        <f t="shared" si="376"/>
        <v>7.4277683627495428E-2</v>
      </c>
      <c r="AQ73" s="128">
        <f t="shared" si="376"/>
        <v>0.13654254983266334</v>
      </c>
      <c r="AR73" s="128">
        <f t="shared" si="376"/>
        <v>0.19453411665630704</v>
      </c>
      <c r="AS73" s="128">
        <f t="shared" si="376"/>
        <v>0.19801204819277118</v>
      </c>
      <c r="AT73" s="244">
        <f t="shared" si="376"/>
        <v>0.15157899042788192</v>
      </c>
      <c r="AU73" s="128">
        <f t="shared" si="376"/>
        <v>9.2458637937668398E-2</v>
      </c>
      <c r="AV73" s="128">
        <f t="shared" si="376"/>
        <v>0.10271131194903327</v>
      </c>
      <c r="AW73" s="128">
        <f t="shared" si="376"/>
        <v>7.1053294167016334E-2</v>
      </c>
      <c r="AX73" s="128">
        <f t="shared" si="376"/>
        <v>0.14855600811250236</v>
      </c>
      <c r="AY73" s="244">
        <f t="shared" si="376"/>
        <v>0.10411523364651987</v>
      </c>
      <c r="AZ73" s="128">
        <f t="shared" si="376"/>
        <v>0.17455006515690474</v>
      </c>
      <c r="BA73" s="128">
        <f t="shared" si="376"/>
        <v>0.15083470491417805</v>
      </c>
      <c r="BB73" s="128">
        <f t="shared" si="376"/>
        <v>0.12072153961885657</v>
      </c>
      <c r="BC73" s="128">
        <f t="shared" si="376"/>
        <v>8.7852431264958231E-2</v>
      </c>
      <c r="BD73" s="244">
        <f t="shared" si="376"/>
        <v>0.13116705541703544</v>
      </c>
      <c r="BE73" s="128">
        <f t="shared" si="376"/>
        <v>0.16483252871150555</v>
      </c>
      <c r="BF73" s="128">
        <f t="shared" si="376"/>
        <v>0.14141237248806959</v>
      </c>
      <c r="BG73" s="128">
        <f t="shared" si="376"/>
        <v>0.14278922123869053</v>
      </c>
      <c r="BH73" s="128">
        <f t="shared" si="376"/>
        <v>7.592831079630824E-2</v>
      </c>
      <c r="BI73" s="244">
        <f t="shared" si="376"/>
        <v>0.12996131913138687</v>
      </c>
      <c r="BJ73" s="128">
        <f t="shared" si="376"/>
        <v>8.8850846934047434E-2</v>
      </c>
      <c r="BK73" s="128">
        <f t="shared" si="376"/>
        <v>9.9561453978239012E-2</v>
      </c>
      <c r="BL73" s="128">
        <f t="shared" si="376"/>
        <v>0.1262573113727028</v>
      </c>
      <c r="BM73" s="128">
        <f t="shared" si="376"/>
        <v>0.16101441324622212</v>
      </c>
      <c r="BN73" s="244">
        <f t="shared" si="376"/>
        <v>0.11931498186142964</v>
      </c>
      <c r="BO73" s="128">
        <f t="shared" si="376"/>
        <v>9.9355753886163578E-2</v>
      </c>
      <c r="BP73" s="128">
        <f t="shared" si="376"/>
        <v>0.10465116279069764</v>
      </c>
      <c r="BQ73" s="128">
        <f t="shared" si="376"/>
        <v>5.3889613211647092E-2</v>
      </c>
      <c r="BR73" s="128">
        <f t="shared" si="376"/>
        <v>6.3167164243218332E-2</v>
      </c>
      <c r="BS73" s="244">
        <f t="shared" si="376"/>
        <v>7.9400595356890813E-2</v>
      </c>
      <c r="BT73" s="128">
        <f t="shared" si="376"/>
        <v>0.10752688172043001</v>
      </c>
      <c r="BU73" s="128">
        <f t="shared" si="376"/>
        <v>0.12631578947368416</v>
      </c>
      <c r="BV73" s="128">
        <f t="shared" si="376"/>
        <v>0.11340206185567014</v>
      </c>
      <c r="BW73" s="128">
        <f t="shared" si="376"/>
        <v>0.14141414141414144</v>
      </c>
      <c r="BX73" s="244">
        <f>BX72/BS72-1</f>
        <v>0.12239583333333326</v>
      </c>
      <c r="BY73" s="128">
        <f t="shared" si="376"/>
        <v>8.737864077669899E-2</v>
      </c>
      <c r="BZ73" s="128">
        <f t="shared" si="376"/>
        <v>8.4112149532710179E-2</v>
      </c>
      <c r="CA73" s="128">
        <f t="shared" si="376"/>
        <v>0.12037037037037046</v>
      </c>
      <c r="CB73" s="128">
        <f t="shared" si="376"/>
        <v>7.079646017699126E-2</v>
      </c>
      <c r="CC73" s="244">
        <f>CC72/BX72-1</f>
        <v>9.0487238979118256E-2</v>
      </c>
      <c r="CD73" s="128">
        <f t="shared" si="376"/>
        <v>0.10491071428571419</v>
      </c>
      <c r="CE73" s="128">
        <f t="shared" si="376"/>
        <v>9.2672413793103425E-2</v>
      </c>
      <c r="CF73" s="128">
        <f t="shared" si="376"/>
        <v>8.0578512396694224E-2</v>
      </c>
      <c r="CG73" s="128">
        <f t="shared" si="376"/>
        <v>0.10537190082644621</v>
      </c>
      <c r="CH73" s="244">
        <f>CH72/CC72-1</f>
        <v>9.5744680851063801E-2</v>
      </c>
      <c r="CI73" s="128">
        <f t="shared" si="376"/>
        <v>9.0909090909090828E-2</v>
      </c>
      <c r="CJ73" s="128">
        <f t="shared" si="376"/>
        <v>8.0867850098619298E-2</v>
      </c>
      <c r="CK73" s="128">
        <f t="shared" si="376"/>
        <v>7.074569789674956E-2</v>
      </c>
      <c r="CL73" s="128">
        <f t="shared" si="376"/>
        <v>6.9158878504672838E-2</v>
      </c>
      <c r="CM73" s="244">
        <f>CM72/CH72-1</f>
        <v>7.7669902912621325E-2</v>
      </c>
      <c r="CN73" s="128">
        <f t="shared" si="376"/>
        <v>7.4074074074074181E-2</v>
      </c>
      <c r="CO73" s="128">
        <f t="shared" si="376"/>
        <v>8.0291970802919721E-2</v>
      </c>
      <c r="CP73" s="128">
        <f t="shared" si="376"/>
        <v>8.5714285714285632E-2</v>
      </c>
      <c r="CQ73" s="128">
        <f t="shared" si="376"/>
        <v>7.6923076923076872E-2</v>
      </c>
      <c r="CR73" s="110">
        <f>CR72/CM72-1</f>
        <v>7.9279279279279358E-2</v>
      </c>
      <c r="CS73" s="128">
        <f t="shared" si="376"/>
        <v>0.13184137931034479</v>
      </c>
      <c r="CT73" s="128">
        <f t="shared" si="376"/>
        <v>0.10881081081081079</v>
      </c>
      <c r="CU73" s="128">
        <f t="shared" si="376"/>
        <v>0.15723026315789479</v>
      </c>
      <c r="CV73" s="128">
        <f t="shared" si="376"/>
        <v>9.5785714285714363E-2</v>
      </c>
      <c r="CW73" s="110">
        <f>CW72/CR72-1</f>
        <v>0.12332387312186976</v>
      </c>
      <c r="CX73" s="128">
        <f t="shared" si="376"/>
        <v>2.8869647873163595E-2</v>
      </c>
      <c r="CY73" s="128">
        <f t="shared" si="376"/>
        <v>2.9834738946034278E-2</v>
      </c>
      <c r="CZ73" s="128">
        <f t="shared" si="376"/>
        <v>5.7419314492967999E-4</v>
      </c>
      <c r="DA73" s="128">
        <f t="shared" si="376"/>
        <v>3.7030891668790034E-2</v>
      </c>
      <c r="DB73" s="110">
        <f t="shared" ref="DB73:DN73" si="377">DB72/CW72-1</f>
        <v>2.3754924792419363E-2</v>
      </c>
      <c r="DC73" s="128">
        <f t="shared" si="377"/>
        <v>-8.7056942346974697E-4</v>
      </c>
      <c r="DD73" s="128">
        <f t="shared" si="377"/>
        <v>7.6923076923076872E-2</v>
      </c>
      <c r="DE73" s="128">
        <f t="shared" si="377"/>
        <v>8.5227272727272707E-2</v>
      </c>
      <c r="DF73" s="128">
        <f t="shared" si="377"/>
        <v>9.7142857142857197E-2</v>
      </c>
      <c r="DG73" s="110">
        <f t="shared" si="377"/>
        <v>6.5112396658222549E-2</v>
      </c>
      <c r="DH73" s="128">
        <f t="shared" si="377"/>
        <v>0.19140763923465398</v>
      </c>
      <c r="DI73" s="128">
        <f t="shared" si="377"/>
        <v>0.10989010989010994</v>
      </c>
      <c r="DJ73" s="128">
        <f t="shared" si="377"/>
        <v>0.13612565445026181</v>
      </c>
      <c r="DK73" s="128">
        <f t="shared" si="377"/>
        <v>0.16666666666666674</v>
      </c>
      <c r="DL73" s="110">
        <f t="shared" si="377"/>
        <v>0.15032138125793915</v>
      </c>
      <c r="DM73" s="128">
        <f t="shared" si="377"/>
        <v>4.4776119402984982E-2</v>
      </c>
      <c r="DN73" s="128">
        <f t="shared" si="377"/>
        <v>5.4455445544554504E-2</v>
      </c>
      <c r="DO73" s="128">
        <f t="shared" ref="DO73:DT73" si="378">DO72/DJ72-1</f>
        <v>1.8433179723502224E-2</v>
      </c>
      <c r="DP73" s="128">
        <f t="shared" si="378"/>
        <v>-4.4642857142856984E-3</v>
      </c>
      <c r="DQ73" s="110">
        <f t="shared" si="378"/>
        <v>2.7251184834123254E-2</v>
      </c>
      <c r="DR73" s="128">
        <f t="shared" si="378"/>
        <v>5.2380952380952417E-2</v>
      </c>
      <c r="DS73" s="128">
        <f t="shared" si="378"/>
        <v>7.0422535211267512E-2</v>
      </c>
      <c r="DT73" s="128">
        <f t="shared" si="378"/>
        <v>7.6923076923076872E-2</v>
      </c>
      <c r="DU73" s="128">
        <f t="shared" ref="DU73:ED73" si="379">DU72/DP72-1</f>
        <v>0.12556053811659185</v>
      </c>
      <c r="DV73" s="110">
        <f t="shared" si="379"/>
        <v>8.1891580161476352E-2</v>
      </c>
      <c r="DW73" s="128">
        <f t="shared" si="379"/>
        <v>0.10407239819004532</v>
      </c>
      <c r="DX73" s="128">
        <f t="shared" si="379"/>
        <v>9.6491228070175517E-2</v>
      </c>
      <c r="DY73" s="128">
        <f t="shared" si="379"/>
        <v>8.4033613445378075E-2</v>
      </c>
      <c r="DZ73" s="128">
        <f t="shared" si="379"/>
        <v>4.7808764940239001E-2</v>
      </c>
      <c r="EA73" s="110">
        <f t="shared" si="379"/>
        <v>8.2089552238805874E-2</v>
      </c>
      <c r="EB73" s="128">
        <f t="shared" si="379"/>
        <v>0.18852459016393452</v>
      </c>
      <c r="EC73" s="128">
        <f t="shared" si="379"/>
        <v>0.19599999999999995</v>
      </c>
      <c r="ED73" s="128">
        <f t="shared" si="379"/>
        <v>0.22093023255813948</v>
      </c>
      <c r="EE73" s="128">
        <f t="shared" ref="EE73" si="380">EE72/DZ72-1</f>
        <v>0.209125475285171</v>
      </c>
      <c r="EF73" s="110">
        <f t="shared" ref="EF73:EJ73" si="381">EF72/EA72-1</f>
        <v>0.20394088669950738</v>
      </c>
      <c r="EG73" s="128">
        <f t="shared" si="381"/>
        <v>9.6551724137931005E-2</v>
      </c>
      <c r="EH73" s="128">
        <f t="shared" si="381"/>
        <v>6.6889632107023367E-2</v>
      </c>
      <c r="EI73" s="128">
        <f t="shared" si="381"/>
        <v>-4.1269841269841234E-2</v>
      </c>
      <c r="EJ73" s="128">
        <f t="shared" si="381"/>
        <v>-0.12264150943396224</v>
      </c>
      <c r="EK73" s="110">
        <f>EK72/EF72-1</f>
        <v>-3.2733224222586399E-3</v>
      </c>
      <c r="EL73" s="128"/>
      <c r="EM73" s="128"/>
      <c r="EN73" s="128"/>
      <c r="EO73" s="128"/>
      <c r="EP73" s="110"/>
      <c r="EQ73" s="133">
        <v>-0.1</v>
      </c>
      <c r="ER73" s="133">
        <v>-7.0000000000000007E-2</v>
      </c>
      <c r="ES73" s="133">
        <v>0.02</v>
      </c>
      <c r="ET73" s="133">
        <v>0.14000000000000001</v>
      </c>
      <c r="EU73" s="110">
        <f>EU72/EP72-1</f>
        <v>-7.4137931034484739E-3</v>
      </c>
      <c r="EV73" s="133"/>
      <c r="EW73" s="133"/>
      <c r="EX73" s="133"/>
      <c r="EY73" s="133"/>
      <c r="EZ73" s="609">
        <v>0.03</v>
      </c>
      <c r="FA73" s="133"/>
      <c r="FB73" s="133"/>
      <c r="FC73" s="133"/>
      <c r="FD73" s="133"/>
      <c r="FE73" s="609">
        <v>0.03</v>
      </c>
      <c r="FF73" s="43"/>
      <c r="FG73" s="435"/>
      <c r="FL73" s="423"/>
      <c r="FM73" s="423"/>
      <c r="FN73" s="406"/>
      <c r="FO73" s="760">
        <v>2016</v>
      </c>
      <c r="FP73" s="760">
        <v>2017</v>
      </c>
      <c r="FQ73" s="760">
        <v>2018</v>
      </c>
      <c r="FR73" s="760">
        <v>2019</v>
      </c>
      <c r="FS73" s="760">
        <v>2020</v>
      </c>
      <c r="FT73" s="190"/>
    </row>
    <row r="74" spans="1:183" ht="12.75" customHeight="1" x14ac:dyDescent="0.2">
      <c r="A74" s="64" t="s">
        <v>14</v>
      </c>
      <c r="B74" s="43"/>
      <c r="C74" s="43">
        <f>C72/B72-1</f>
        <v>3.6098631281997751E-2</v>
      </c>
      <c r="D74" s="43">
        <f>D72/C72-1</f>
        <v>1.5378409721171993E-2</v>
      </c>
      <c r="E74" s="43">
        <f>E72/D72-1</f>
        <v>8.8390108253053601E-3</v>
      </c>
      <c r="F74" s="258"/>
      <c r="G74" s="43">
        <f>G72/E72-1</f>
        <v>-3.4455601496359289E-3</v>
      </c>
      <c r="H74" s="43">
        <f>H72/G72-1</f>
        <v>2.9833053442655411E-2</v>
      </c>
      <c r="I74" s="43">
        <f>I72/H72-1</f>
        <v>4.0431654676259088E-2</v>
      </c>
      <c r="J74" s="43">
        <f>J72/I72-1</f>
        <v>8.979855252846547E-2</v>
      </c>
      <c r="K74" s="258"/>
      <c r="L74" s="43">
        <f>L72/J72-1</f>
        <v>-5.5369908210312735E-2</v>
      </c>
      <c r="M74" s="43">
        <f>M72/L72-1</f>
        <v>0.10164785957370581</v>
      </c>
      <c r="N74" s="43">
        <f>N72/M72-1</f>
        <v>0.10304040321925045</v>
      </c>
      <c r="O74" s="43">
        <f>O72/N72-1</f>
        <v>2.8300843866307934E-2</v>
      </c>
      <c r="P74" s="258"/>
      <c r="Q74" s="43">
        <f>Q72/O72-1</f>
        <v>-6.1530191721913763E-2</v>
      </c>
      <c r="R74" s="43">
        <f>R72/Q72-1</f>
        <v>4.8266381548801141E-2</v>
      </c>
      <c r="S74" s="43">
        <f>S72/R72-1</f>
        <v>7.6205740929622623E-2</v>
      </c>
      <c r="T74" s="43">
        <f>T72/S72-1</f>
        <v>0.22373409152450563</v>
      </c>
      <c r="U74" s="258"/>
      <c r="V74" s="43">
        <f>V72/T72-1</f>
        <v>-0.10173148199369353</v>
      </c>
      <c r="W74" s="43">
        <f>W72/V72-1</f>
        <v>4.1199655129942059E-2</v>
      </c>
      <c r="X74" s="43">
        <f>X72/W72-1</f>
        <v>7.3460696752824406E-2</v>
      </c>
      <c r="Y74" s="43">
        <f>Y72/X72-1</f>
        <v>4.3804066339743208E-3</v>
      </c>
      <c r="Z74" s="258"/>
      <c r="AA74" s="43">
        <f>AA72/Y72-1</f>
        <v>2.4412321364895684E-2</v>
      </c>
      <c r="AB74" s="43">
        <f>AB72/AA72-1</f>
        <v>2.3080836479502986E-2</v>
      </c>
      <c r="AC74" s="43">
        <f>AC72/AB72-1</f>
        <v>1.6148027951529587E-2</v>
      </c>
      <c r="AD74" s="43">
        <f>AD72/AC72-1</f>
        <v>9.1768402616802636E-2</v>
      </c>
      <c r="AE74" s="258"/>
      <c r="AF74" s="43">
        <f>AF72/AD72-1</f>
        <v>3.8335417207294942E-2</v>
      </c>
      <c r="AG74" s="43">
        <f>AG72/AF72-1</f>
        <v>4.7643931476348378E-2</v>
      </c>
      <c r="AH74" s="43">
        <f>AH72/AG72-1</f>
        <v>1.3012079547181088E-3</v>
      </c>
      <c r="AI74" s="43">
        <f>AI72/AH72-1</f>
        <v>2.1723592731368147E-2</v>
      </c>
      <c r="AJ74" s="258"/>
      <c r="AK74" s="43"/>
      <c r="AL74" s="43"/>
      <c r="AM74" s="43"/>
      <c r="AN74" s="43"/>
      <c r="AO74" s="258"/>
      <c r="AP74" s="43">
        <f>AP72/AN72-1</f>
        <v>4.3775100401606482E-2</v>
      </c>
      <c r="AQ74" s="43">
        <f>AQ72/AP72-1</f>
        <v>3.8784147749134412E-2</v>
      </c>
      <c r="AR74" s="43">
        <f>AR72/AQ72-1</f>
        <v>0.10332246833098746</v>
      </c>
      <c r="AS74" s="43">
        <f>AS72/AR72-1</f>
        <v>1.4435585396559425E-3</v>
      </c>
      <c r="AT74" s="258"/>
      <c r="AU74" s="43">
        <f>AU72/AS72-1</f>
        <v>-4.8188934144583584E-2</v>
      </c>
      <c r="AV74" s="43">
        <f>AV72/AU72-1</f>
        <v>4.8533089141689967E-2</v>
      </c>
      <c r="AW74" s="43">
        <f>AW72/AV72-1</f>
        <v>7.1646904705921832E-2</v>
      </c>
      <c r="AX74" s="43">
        <f>AX72/AW72-1</f>
        <v>7.3909227683049084E-2</v>
      </c>
      <c r="AY74" s="258"/>
      <c r="AZ74" s="43">
        <f>AZ72/AX72-1</f>
        <v>-2.6647597921896082E-2</v>
      </c>
      <c r="BA74" s="43">
        <f>BA72/AZ72-1</f>
        <v>2.7362139794296692E-2</v>
      </c>
      <c r="BB74" s="43">
        <f>BB72/BA72-1</f>
        <v>4.3605796593844337E-2</v>
      </c>
      <c r="BC74" s="43">
        <f>BC72/BB72-1</f>
        <v>4.2413055334144412E-2</v>
      </c>
      <c r="BD74" s="258"/>
      <c r="BE74" s="43">
        <f>BE72/BC72-1</f>
        <v>4.2230092294483823E-2</v>
      </c>
      <c r="BF74" s="43">
        <f>BF72/BE72-1</f>
        <v>6.7059671523450604E-3</v>
      </c>
      <c r="BG74" s="43">
        <f>BG72/BF72-1</f>
        <v>4.4864664441972568E-2</v>
      </c>
      <c r="BH74" s="43">
        <f>BH72/BG72-1</f>
        <v>-1.8575169477007436E-2</v>
      </c>
      <c r="BI74" s="258"/>
      <c r="BJ74" s="43">
        <f>BJ72/BH72-1</f>
        <v>5.4747892873173498E-2</v>
      </c>
      <c r="BK74" s="43">
        <f>BK72/BJ72-1</f>
        <v>1.6608546604409247E-2</v>
      </c>
      <c r="BL74" s="43">
        <f>BL72/BK72-1</f>
        <v>7.0232558139534884E-2</v>
      </c>
      <c r="BM74" s="43">
        <f>BM72/BL72-1</f>
        <v>1.1712299000434578E-2</v>
      </c>
      <c r="BN74" s="258"/>
      <c r="BO74" s="43">
        <f>BO72/BM72-1</f>
        <v>-1.2672093472797519E-3</v>
      </c>
      <c r="BP74" s="43">
        <f>BP72/BO72-1</f>
        <v>2.1505376344086002E-2</v>
      </c>
      <c r="BQ74" s="43">
        <f>BQ72/BP72-1</f>
        <v>2.1052631578947434E-2</v>
      </c>
      <c r="BR74" s="43">
        <f>BR72/BQ72-1</f>
        <v>2.0618556701030855E-2</v>
      </c>
      <c r="BS74" s="258"/>
      <c r="BT74" s="43">
        <f>BT72/BR72-1</f>
        <v>4.0404040404040442E-2</v>
      </c>
      <c r="BU74" s="43">
        <f>BU72/BT72-1</f>
        <v>3.8834951456310662E-2</v>
      </c>
      <c r="BV74" s="43">
        <f>BV72/BU72-1</f>
        <v>9.3457943925232545E-3</v>
      </c>
      <c r="BW74" s="43">
        <f>BW72/BV72-1</f>
        <v>4.629629629629628E-2</v>
      </c>
      <c r="BX74" s="258"/>
      <c r="BY74" s="43">
        <f>BY72/BW72-1</f>
        <v>-8.8495575221239076E-3</v>
      </c>
      <c r="BZ74" s="43">
        <f>BZ72/BY72-1</f>
        <v>3.5714285714285809E-2</v>
      </c>
      <c r="CA74" s="43">
        <f>CA72/BZ72-1</f>
        <v>4.31034482758621E-2</v>
      </c>
      <c r="CB74" s="43">
        <f>CB72/CA72-1</f>
        <v>0</v>
      </c>
      <c r="CC74" s="258"/>
      <c r="CD74" s="43">
        <f>CD72/CB72-1</f>
        <v>2.2727272727272707E-2</v>
      </c>
      <c r="CE74" s="43">
        <f>CE72/CD72-1</f>
        <v>2.4242424242424176E-2</v>
      </c>
      <c r="CF74" s="43">
        <f>CF72/CE72-1</f>
        <v>3.155818540433919E-2</v>
      </c>
      <c r="CG74" s="43">
        <f>CG72/CF72-1</f>
        <v>2.2944550669216079E-2</v>
      </c>
      <c r="CH74" s="258"/>
      <c r="CI74" s="43">
        <f>CI72/CG72-1</f>
        <v>9.3457943925232545E-3</v>
      </c>
      <c r="CJ74" s="43">
        <f>CJ72/CI72-1</f>
        <v>1.4814814814814836E-2</v>
      </c>
      <c r="CK74" s="43">
        <f>CK72/CJ72-1</f>
        <v>2.1897810218978186E-2</v>
      </c>
      <c r="CL74" s="43">
        <f>CL72/CK72-1</f>
        <v>2.1428571428571352E-2</v>
      </c>
      <c r="CM74" s="258"/>
      <c r="CN74" s="43">
        <f>CN72/CL72-1</f>
        <v>1.3986013986013957E-2</v>
      </c>
      <c r="CO74" s="43">
        <f>CO72/CN72-1</f>
        <v>2.0689655172413834E-2</v>
      </c>
      <c r="CP74" s="43">
        <f>CP72/CO72-1</f>
        <v>2.7027027027026973E-2</v>
      </c>
      <c r="CQ74" s="43">
        <f>CQ72/CP72-1</f>
        <v>1.3157894736842035E-2</v>
      </c>
      <c r="CR74" s="104"/>
      <c r="CS74" s="43">
        <f>CS72/CQ72-1</f>
        <v>6.5694805194805195E-2</v>
      </c>
      <c r="CT74" s="43">
        <f>CT72/CS72-1</f>
        <v>-7.9211781838561812E-5</v>
      </c>
      <c r="CU74" s="43">
        <f>CU72/CT72-1</f>
        <v>7.1875152342417037E-2</v>
      </c>
      <c r="CV74" s="43">
        <f>CV72/CU72-1</f>
        <v>-4.0636956435227023E-2</v>
      </c>
      <c r="CW74" s="104"/>
      <c r="CX74" s="43">
        <f>CX72/CV72-1</f>
        <v>6.1629264419171825E-4</v>
      </c>
      <c r="CY74" s="43">
        <f>CY72/CX72-1</f>
        <v>8.5872494151795209E-4</v>
      </c>
      <c r="CZ74" s="43">
        <f>CZ72/CY72-1</f>
        <v>4.1420118343195256E-2</v>
      </c>
      <c r="DA74" s="43">
        <f>DA72/CZ72-1</f>
        <v>-5.6818181818182323E-3</v>
      </c>
      <c r="DB74" s="104"/>
      <c r="DC74" s="43">
        <f>DC72/DA72-1</f>
        <v>-3.5954285714285716E-2</v>
      </c>
      <c r="DD74" s="43">
        <f>DD72/DC72-1</f>
        <v>7.878701662043297E-2</v>
      </c>
      <c r="DE74" s="43">
        <f>DE72/DD72-1</f>
        <v>4.9450549450549497E-2</v>
      </c>
      <c r="DF74" s="43">
        <f>DF72/DE72-1</f>
        <v>5.2356020942407877E-3</v>
      </c>
      <c r="DG74" s="104"/>
      <c r="DH74" s="43">
        <f>DH72/DF72-1</f>
        <v>4.6875E-2</v>
      </c>
      <c r="DI74" s="43">
        <f>DI72/DH72-1</f>
        <v>4.9751243781095411E-3</v>
      </c>
      <c r="DJ74" s="43">
        <f>DJ72/DI72-1</f>
        <v>7.4257425742574323E-2</v>
      </c>
      <c r="DK74" s="43">
        <f>DK72/DJ72-1</f>
        <v>3.2258064516129004E-2</v>
      </c>
      <c r="DL74" s="104"/>
      <c r="DM74" s="43">
        <f>DM72/DK72-1</f>
        <v>-6.25E-2</v>
      </c>
      <c r="DN74" s="43">
        <f>DN72/DM72-1</f>
        <v>1.4285714285714235E-2</v>
      </c>
      <c r="DO74" s="43">
        <f>DO72/DN72-1</f>
        <v>3.7558685446009488E-2</v>
      </c>
      <c r="DP74" s="43">
        <f>DP72/DO72-1</f>
        <v>9.0497737556560764E-3</v>
      </c>
      <c r="DQ74" s="104"/>
      <c r="DR74" s="43">
        <f>DR72/DP72-1</f>
        <v>-8.9686098654708779E-3</v>
      </c>
      <c r="DS74" s="43">
        <f>DS72/DR72-1</f>
        <v>3.167420814479649E-2</v>
      </c>
      <c r="DT74" s="43">
        <f>DT72/DS72-1</f>
        <v>4.3859649122806932E-2</v>
      </c>
      <c r="DU74" s="43">
        <f>DU72/DT72-1</f>
        <v>5.4621848739495826E-2</v>
      </c>
      <c r="DV74" s="104"/>
      <c r="DW74" s="43">
        <f>DW72/DU72-1</f>
        <v>-2.7888446215139417E-2</v>
      </c>
      <c r="DX74" s="43">
        <f>DX72/DW72-1</f>
        <v>2.4590163934426146E-2</v>
      </c>
      <c r="DY74" s="43">
        <f>DY72/DX72-1</f>
        <v>3.2000000000000028E-2</v>
      </c>
      <c r="DZ74" s="43">
        <f>DZ72/DY72-1</f>
        <v>1.9379844961240345E-2</v>
      </c>
      <c r="EA74" s="104"/>
      <c r="EB74" s="43">
        <f>EB72/DZ72-1</f>
        <v>0.10266159695817501</v>
      </c>
      <c r="EC74" s="43">
        <f>EC72/EB72-1</f>
        <v>3.1034482758620641E-2</v>
      </c>
      <c r="ED74" s="43">
        <f>ED72/EC72-1</f>
        <v>5.3511705685618693E-2</v>
      </c>
      <c r="EE74" s="43">
        <f>EE72/ED72-1</f>
        <v>9.52380952380949E-3</v>
      </c>
      <c r="EF74" s="104"/>
      <c r="EG74" s="43">
        <f>EG72/EE72-1</f>
        <v>0</v>
      </c>
      <c r="EH74" s="43">
        <f>EH72/EG72-1</f>
        <v>3.1446540880504248E-3</v>
      </c>
      <c r="EI74" s="43">
        <f>EI72/EH72-1</f>
        <v>-5.3291536050156685E-2</v>
      </c>
      <c r="EJ74" s="43">
        <f>EJ72/EI72-1</f>
        <v>-7.6158940397350938E-2</v>
      </c>
      <c r="EK74" s="104"/>
      <c r="EL74" s="43"/>
      <c r="EM74" s="43">
        <f>EM72/EL72-1</f>
        <v>3.1446540880504248E-3</v>
      </c>
      <c r="EN74" s="43">
        <f>EN72/EM72-1</f>
        <v>-5.3291536050156685E-2</v>
      </c>
      <c r="EO74" s="43">
        <f>EO72/EN72-1</f>
        <v>-7.6158940397350938E-2</v>
      </c>
      <c r="EP74" s="104"/>
      <c r="EQ74" s="43">
        <f>EQ72/EO72-1</f>
        <v>2.5806451612903292E-2</v>
      </c>
      <c r="ER74" s="43">
        <f t="shared" ref="ER74:ET74" si="382">ER72/EQ72-1</f>
        <v>3.6582809224318558E-2</v>
      </c>
      <c r="ES74" s="43">
        <f t="shared" si="382"/>
        <v>3.8325412074021958E-2</v>
      </c>
      <c r="ET74" s="43">
        <f t="shared" si="382"/>
        <v>3.2528243085313768E-2</v>
      </c>
      <c r="EU74" s="104"/>
      <c r="EV74" s="43"/>
      <c r="EW74" s="43"/>
      <c r="EX74" s="43"/>
      <c r="EY74" s="43"/>
      <c r="EZ74" s="104"/>
      <c r="FA74" s="43"/>
      <c r="FB74" s="43"/>
      <c r="FC74" s="43"/>
      <c r="FD74" s="43"/>
      <c r="FE74" s="104"/>
      <c r="FF74" s="43"/>
      <c r="FG74" s="435"/>
      <c r="FH74" s="238">
        <f>AVERAGE(CD74,CI74,CN74,CS74,CX74,DC74,BT74,DH74,DM74,DR74,DW74)</f>
        <v>5.8488979594501144E-3</v>
      </c>
      <c r="FI74" s="238">
        <f>AVERAGE(CE74,CJ74,CO74,CT74,CY74,DD74,BU74,DI74,DN74,DS74,DX74)</f>
        <v>2.3061235109920208E-2</v>
      </c>
      <c r="FJ74" s="238">
        <f>AVERAGE(CF74,CK74,CP74,CU74,CZ74,DE74,BV74,DJ74,DO74,DT74,DY74)</f>
        <v>4.0022763408220016E-2</v>
      </c>
      <c r="FK74" s="238">
        <f>AVERAGE(CG74,CL74,CQ74,CV74,DA74,DF74,BW74,DK74,DP74,DU74,DZ74)</f>
        <v>1.6186697507331139E-2</v>
      </c>
      <c r="FL74" s="408"/>
      <c r="FM74" s="716"/>
      <c r="FN74" s="376" t="s">
        <v>567</v>
      </c>
      <c r="FO74" s="789">
        <v>1070</v>
      </c>
      <c r="FP74" s="789">
        <v>1127</v>
      </c>
      <c r="FQ74" s="789">
        <v>1000</v>
      </c>
      <c r="FR74" s="789">
        <f>612+280</f>
        <v>892</v>
      </c>
      <c r="FS74" s="789">
        <f>817+448</f>
        <v>1265</v>
      </c>
      <c r="FT74" s="465"/>
    </row>
    <row r="75" spans="1:183" ht="12.75" customHeight="1" x14ac:dyDescent="0.2">
      <c r="A75" s="362" t="s">
        <v>442</v>
      </c>
      <c r="B75" s="204"/>
      <c r="C75" s="204"/>
      <c r="D75" s="204"/>
      <c r="E75" s="204"/>
      <c r="F75" s="108"/>
      <c r="G75" s="204"/>
      <c r="H75" s="204"/>
      <c r="I75" s="204"/>
      <c r="J75" s="204"/>
      <c r="K75" s="108"/>
      <c r="L75" s="204"/>
      <c r="M75" s="204"/>
      <c r="N75" s="204"/>
      <c r="O75" s="204"/>
      <c r="P75" s="108"/>
      <c r="Q75" s="204"/>
      <c r="R75" s="204"/>
      <c r="S75" s="204"/>
      <c r="T75" s="204"/>
      <c r="U75" s="108"/>
      <c r="V75" s="204"/>
      <c r="W75" s="204"/>
      <c r="X75" s="204"/>
      <c r="Y75" s="204"/>
      <c r="Z75" s="108"/>
      <c r="AA75" s="204"/>
      <c r="AB75" s="204"/>
      <c r="AC75" s="204"/>
      <c r="AD75" s="204"/>
      <c r="AE75" s="108"/>
      <c r="AF75" s="204"/>
      <c r="AG75" s="204"/>
      <c r="AH75" s="204"/>
      <c r="AI75" s="204"/>
      <c r="AJ75" s="108"/>
      <c r="AK75" s="204"/>
      <c r="AL75" s="204"/>
      <c r="AM75" s="204"/>
      <c r="AN75" s="204"/>
      <c r="AO75" s="108"/>
      <c r="AP75" s="204"/>
      <c r="AQ75" s="204"/>
      <c r="AR75" s="204"/>
      <c r="AS75" s="204"/>
      <c r="AT75" s="108"/>
      <c r="AU75" s="204"/>
      <c r="AV75" s="204"/>
      <c r="AW75" s="204"/>
      <c r="AX75" s="204"/>
      <c r="AY75" s="299">
        <v>25.311638381726052</v>
      </c>
      <c r="AZ75" s="204"/>
      <c r="BA75" s="204"/>
      <c r="BB75" s="204"/>
      <c r="BC75" s="204"/>
      <c r="BD75" s="299">
        <f>(AY258+BD258)/BD210/2</f>
        <v>26.338471821271632</v>
      </c>
      <c r="BE75" s="204"/>
      <c r="BF75" s="204"/>
      <c r="BG75" s="204"/>
      <c r="BH75" s="204"/>
      <c r="BI75" s="299">
        <f>(BD258+BI258)/BI210/2</f>
        <v>26.538457545047525</v>
      </c>
      <c r="BJ75" s="204"/>
      <c r="BK75" s="204"/>
      <c r="BL75" s="204"/>
      <c r="BM75" s="204"/>
      <c r="BN75" s="299">
        <f>(BI258+BN258)/BN210/2</f>
        <v>25.800697393978407</v>
      </c>
      <c r="BO75" s="204"/>
      <c r="BP75" s="204"/>
      <c r="BQ75" s="204"/>
      <c r="BR75" s="204"/>
      <c r="BS75" s="299">
        <f>(BN258+BS258)/BS210/2</f>
        <v>26.049032552083332</v>
      </c>
      <c r="BT75" s="204"/>
      <c r="BU75" s="204"/>
      <c r="BV75" s="204"/>
      <c r="BW75" s="204"/>
      <c r="BX75" s="299">
        <f>(BS258+BX258)/BX210/2</f>
        <v>26.06844547563805</v>
      </c>
      <c r="BY75" s="204"/>
      <c r="BZ75" s="204"/>
      <c r="CA75" s="204"/>
      <c r="CB75" s="204"/>
      <c r="CC75" s="299">
        <f>(BX258+CC258)/CC210/2</f>
        <v>26.421276595744679</v>
      </c>
      <c r="CD75" s="204">
        <f>(CC258+CD258)/(CD210*4)/2</f>
        <v>25.928282828282828</v>
      </c>
      <c r="CE75" s="204">
        <f>(CD258+CE258)/(CE210*4)/2</f>
        <v>25.537475345167653</v>
      </c>
      <c r="CF75" s="204">
        <f>(CE258+CF258)/(CF210*4)/2</f>
        <v>25.48374760994264</v>
      </c>
      <c r="CG75" s="204">
        <f>(CF258+CG258)/(CG210*4)/2</f>
        <v>25.583177570093458</v>
      </c>
      <c r="CH75" s="299">
        <f>(CC258+CH258)/CH210/2</f>
        <v>25.994174757281552</v>
      </c>
      <c r="CI75" s="204">
        <f>(CH258+CI258)/(CI210*4)/2</f>
        <v>25.963888888888889</v>
      </c>
      <c r="CJ75" s="204">
        <f>(CI258+CJ258)/(CJ210*4)/2</f>
        <v>26.164233576642335</v>
      </c>
      <c r="CK75" s="204">
        <f>(CJ258+CK258)/(CK210*4)/2</f>
        <v>26.165178571428573</v>
      </c>
      <c r="CL75" s="204">
        <f>(CK258+CL258)/(CL210*4)/2</f>
        <v>26.198426573426573</v>
      </c>
      <c r="CM75" s="299">
        <f>(CH258+CM258)/CM210/2</f>
        <v>26.143243243243244</v>
      </c>
      <c r="CN75" s="204">
        <f>(CM258+CN258)/(CN210*4)/2</f>
        <v>26.434482758620689</v>
      </c>
      <c r="CO75" s="204">
        <f>(CN258+CO258)/(CO210*4)/2</f>
        <v>26.372466216216218</v>
      </c>
      <c r="CP75" s="204">
        <f>(CO258+CP258)/(CP210*4)/2</f>
        <v>25.995888157894736</v>
      </c>
      <c r="CQ75" s="204">
        <f>(CP258+CQ258)/(CQ210*4)/2</f>
        <v>25.780032467532468</v>
      </c>
      <c r="CR75" s="299">
        <f>(CM258+CR258)/CR210/2</f>
        <v>25.902337228714526</v>
      </c>
      <c r="CS75" s="204">
        <f>(CR258+CS258)/(CS210*4)/2</f>
        <v>25.241665244916735</v>
      </c>
      <c r="CT75" s="204">
        <f>(CS258+CT258)/(CT210*4)/2</f>
        <v>26.276256215570616</v>
      </c>
      <c r="CU75" s="204">
        <f>(CT258+CU258)/(CU210*4)/2</f>
        <v>24.611420474249424</v>
      </c>
      <c r="CV75" s="204">
        <f>(CU258+CV258)/(CV210*4)/2</f>
        <v>25.813012959923203</v>
      </c>
      <c r="CW75" s="299">
        <f>(CR258+CW258)/CW210/2</f>
        <v>24.75392682995701</v>
      </c>
      <c r="CX75" s="204">
        <f>(CW258+CX258)/(CX210*4)/2</f>
        <v>25.92760356518907</v>
      </c>
      <c r="CY75" s="204">
        <f>(CX258+CY258)/(CY210*4)/2</f>
        <v>26.134525887573965</v>
      </c>
      <c r="CZ75" s="204">
        <f>(CY258+CZ258)/(CZ210*4)/2</f>
        <v>25.272223721590908</v>
      </c>
      <c r="DA75" s="204">
        <f>(CZ258+DA258)/(DA210*4)/2</f>
        <v>25.533423571428575</v>
      </c>
      <c r="DB75" s="299">
        <f>(CW258+DB258)/DB210/2</f>
        <v>25.662973339817523</v>
      </c>
      <c r="DC75" s="204">
        <f>(DB258+DC258)/(DC210*4)/2</f>
        <v>26.620347730990826</v>
      </c>
      <c r="DD75" s="204">
        <f>(DC258+DD258)/(DD210*4)/2</f>
        <v>24.574717719780224</v>
      </c>
      <c r="DE75" s="204">
        <f>(DD258+DE258)/(DE210*4)/2</f>
        <v>23.396596858638745</v>
      </c>
      <c r="DF75" s="204">
        <f>(DE258+DF258)/(DF210*4)/2</f>
        <v>23.700520833333332</v>
      </c>
      <c r="DG75" s="299">
        <f>(DB258+DG258)/DG210/2</f>
        <v>24.761714469516487</v>
      </c>
      <c r="DH75" s="204">
        <f>(DG258+DH258)/(DH210*4)/2</f>
        <v>22.992537313432837</v>
      </c>
      <c r="DI75" s="204">
        <f>(DH258+DI258)/(DI210*4)/2</f>
        <v>23.201113861386137</v>
      </c>
      <c r="DJ75" s="204">
        <f>(DI258+DJ258)/(DJ210*4)/2</f>
        <v>22.025345622119815</v>
      </c>
      <c r="DK75" s="204">
        <f>(DJ258+DK258)/(DK210*4)/2</f>
        <v>21.646763392857142</v>
      </c>
      <c r="DL75" s="299">
        <f>(DG258+DL258)/DL210/2</f>
        <v>22.463270142180093</v>
      </c>
      <c r="DM75" s="204">
        <f>(DL258+DM258)/(DM210*4)/2</f>
        <v>23.504761904761907</v>
      </c>
      <c r="DN75" s="204">
        <f>(DM258+DN258)/(DN210*4)/2</f>
        <v>23.599765258215964</v>
      </c>
      <c r="DO75" s="204">
        <f>(DN258+DO258)/(DO210*4)/2</f>
        <v>22.998303167420815</v>
      </c>
      <c r="DP75" s="204">
        <f>(DO258+DP258)/(DP210*4)/2</f>
        <v>23.126681614349774</v>
      </c>
      <c r="DQ75" s="299">
        <f>(DL258+DQ258)/DQ210/2</f>
        <v>23.250865051903116</v>
      </c>
      <c r="DR75" s="204">
        <f>(DQ258+DR258)/(DR210*4)/2</f>
        <v>23.68947963800905</v>
      </c>
      <c r="DS75" s="204">
        <f>(DR258+DS258)/(DS210*4)/2</f>
        <v>23.38267543859649</v>
      </c>
      <c r="DT75" s="204">
        <f>(DS258+DT258)/(DT210*4)/2</f>
        <v>22.921743697478991</v>
      </c>
      <c r="DU75" s="204">
        <f>(DT258+DU258)/(DU210*4)/2</f>
        <v>22.195717131474105</v>
      </c>
      <c r="DV75" s="299">
        <f>(DQ258+DV258)/DV210/2</f>
        <v>23.098614072494669</v>
      </c>
      <c r="DW75" s="204">
        <f>(DV258+DW258)/(DW210*4)/2</f>
        <v>23.347848360655739</v>
      </c>
      <c r="DX75" s="204">
        <f>(DW258+DX258)/(DX210*4)/2</f>
        <v>23.2925</v>
      </c>
      <c r="DY75" s="204">
        <f>(DX258+DY258)/(DY210*4)/2</f>
        <v>22.939922480620154</v>
      </c>
      <c r="DZ75" s="204">
        <f>(DY258+DZ258)/(DZ210*4)/2</f>
        <v>23.056083650190114</v>
      </c>
      <c r="EA75" s="299">
        <f>(DV258+EA258)/EA210/2</f>
        <v>23.25024630541872</v>
      </c>
      <c r="EB75" s="204">
        <f>(EA258+EB258)/(EB210*4)/2</f>
        <v>21.51551724137931</v>
      </c>
      <c r="EC75" s="204">
        <f>(EB258+EC258)/(EC210*4)/2</f>
        <v>21.274665551839465</v>
      </c>
      <c r="ED75" s="204">
        <f>(EC258+ED258)/(ED210*4)/2</f>
        <v>20.43611111111111</v>
      </c>
      <c r="EE75" s="204">
        <f>(ED258+EE258)/(EE210*4)/2</f>
        <v>20.560141509433961</v>
      </c>
      <c r="EF75" s="299">
        <f>(EA258+EF258)/EF210/2</f>
        <v>20.928396072013093</v>
      </c>
      <c r="EG75" s="204">
        <f>(EF258+EG258)/(EG210*4)/2</f>
        <v>20.930424528301888</v>
      </c>
      <c r="EH75" s="204">
        <f>(EG258+EH258)/(EH210*4)/2</f>
        <v>21.153996865203762</v>
      </c>
      <c r="EI75" s="204">
        <f>(EH258+EI258)/(EI210*4)/2</f>
        <v>22.766142384105962</v>
      </c>
      <c r="EJ75" s="204">
        <f>(EI258+EJ258)/(EJ210*4)/2</f>
        <v>25.103046594982079</v>
      </c>
      <c r="EK75" s="299">
        <f>(EF258+EK258)/EK210/2</f>
        <v>22.451970443349754</v>
      </c>
      <c r="EL75" s="204">
        <f>(EK258+EL258)/(EL210*4)/2</f>
        <v>21.624213836477988</v>
      </c>
      <c r="EM75" s="204">
        <f>(EL258+EM258)/(EM210*4)/2</f>
        <v>21.153996865203762</v>
      </c>
      <c r="EN75" s="204">
        <f>(EM258+EN258)/(EN210*4)/2</f>
        <v>22.766142384105962</v>
      </c>
      <c r="EO75" s="204">
        <f>(EN258+EO258)/(EO210*4)/2</f>
        <v>25.103046594982079</v>
      </c>
      <c r="EP75" s="299">
        <f>(EF258+EP258)/EP210/2</f>
        <v>22.451970443349754</v>
      </c>
      <c r="EQ75" s="204">
        <f>(EP258+EQ258)/(EQ210*4)/2</f>
        <v>24.865915443745635</v>
      </c>
      <c r="ER75" s="204">
        <f>(EQ258+ER258)/(ER210*4)/2</f>
        <v>24.388630464826242</v>
      </c>
      <c r="ES75" s="204">
        <f t="shared" ref="ES75:ET75" si="383">(ER258+ES258)/(ES210*4)/2</f>
        <v>23.87392871055707</v>
      </c>
      <c r="ET75" s="204">
        <f t="shared" si="383"/>
        <v>23.495173866566052</v>
      </c>
      <c r="EU75" s="299">
        <f>(EP258+EU258)/EU210/2</f>
        <v>24.135421060903088</v>
      </c>
      <c r="EV75" s="204"/>
      <c r="EW75" s="204"/>
      <c r="EX75" s="204"/>
      <c r="EY75" s="204"/>
      <c r="EZ75" s="299">
        <f>(EU258+EZ258)/EZ210/2</f>
        <v>24.958259020295785</v>
      </c>
      <c r="FA75" s="204"/>
      <c r="FB75" s="204"/>
      <c r="FC75" s="204"/>
      <c r="FD75" s="204"/>
      <c r="FE75" s="299">
        <f>(EZ258+FE258)/FE210/2</f>
        <v>25.712689717132839</v>
      </c>
      <c r="FF75" s="185"/>
      <c r="FG75" s="189"/>
      <c r="FL75" s="525"/>
      <c r="FM75" s="414"/>
      <c r="FN75" s="376" t="s">
        <v>568</v>
      </c>
      <c r="FO75" s="784">
        <v>3.4000000000000002E-2</v>
      </c>
      <c r="FP75" s="784">
        <v>3.4000000000000002E-2</v>
      </c>
      <c r="FQ75" s="784">
        <v>3.4000000000000002E-2</v>
      </c>
      <c r="FR75" s="784">
        <v>3.4000000000000002E-2</v>
      </c>
      <c r="FS75" s="784">
        <v>3.4000000000000002E-2</v>
      </c>
      <c r="FT75" s="189"/>
    </row>
    <row r="76" spans="1:183" ht="12.75" customHeight="1" x14ac:dyDescent="0.2">
      <c r="A76" s="81" t="s">
        <v>87</v>
      </c>
      <c r="B76" s="141">
        <f t="shared" ref="B76:AG76" si="384">(B72/B$8)*100</f>
        <v>0.49695097652087067</v>
      </c>
      <c r="C76" s="141">
        <f t="shared" si="384"/>
        <v>0.48258997007080806</v>
      </c>
      <c r="D76" s="141">
        <f t="shared" si="384"/>
        <v>0.47275429969777349</v>
      </c>
      <c r="E76" s="141">
        <f t="shared" si="384"/>
        <v>0.48489095443037006</v>
      </c>
      <c r="F76" s="251">
        <f t="shared" si="384"/>
        <v>0.4839951459727142</v>
      </c>
      <c r="G76" s="141">
        <f t="shared" si="384"/>
        <v>0.47013135627067815</v>
      </c>
      <c r="H76" s="141">
        <f t="shared" si="384"/>
        <v>0.4576563604356626</v>
      </c>
      <c r="I76" s="141">
        <f t="shared" si="384"/>
        <v>0.44696179097896643</v>
      </c>
      <c r="J76" s="141">
        <f t="shared" si="384"/>
        <v>0.49506920205089022</v>
      </c>
      <c r="K76" s="251">
        <f t="shared" si="384"/>
        <v>0.46741650520526123</v>
      </c>
      <c r="L76" s="141">
        <f t="shared" si="384"/>
        <v>0.45168614730041079</v>
      </c>
      <c r="M76" s="141">
        <f t="shared" si="384"/>
        <v>0.47799339917578099</v>
      </c>
      <c r="N76" s="141">
        <f t="shared" si="384"/>
        <v>0.47822538677713949</v>
      </c>
      <c r="O76" s="141">
        <f t="shared" si="384"/>
        <v>0.49821042387253689</v>
      </c>
      <c r="P76" s="251">
        <f t="shared" si="384"/>
        <v>0.47726732165026214</v>
      </c>
      <c r="Q76" s="141">
        <f t="shared" si="384"/>
        <v>0.46179692044865617</v>
      </c>
      <c r="R76" s="141">
        <f t="shared" si="384"/>
        <v>0.45078641308863576</v>
      </c>
      <c r="S76" s="141">
        <f t="shared" si="384"/>
        <v>0.453547461445242</v>
      </c>
      <c r="T76" s="141">
        <f t="shared" si="384"/>
        <v>0.39143273975309434</v>
      </c>
      <c r="U76" s="251">
        <f t="shared" si="384"/>
        <v>0.43378285049616516</v>
      </c>
      <c r="V76" s="141">
        <f t="shared" si="384"/>
        <v>0.43067374130108926</v>
      </c>
      <c r="W76" s="141">
        <f t="shared" si="384"/>
        <v>0.43387137626813133</v>
      </c>
      <c r="X76" s="141">
        <f t="shared" si="384"/>
        <v>0.4373989212401172</v>
      </c>
      <c r="Y76" s="141">
        <f t="shared" si="384"/>
        <v>0.42935675746083479</v>
      </c>
      <c r="Z76" s="251">
        <f t="shared" si="384"/>
        <v>0.43283872661582895</v>
      </c>
      <c r="AA76" s="141">
        <f t="shared" si="384"/>
        <v>0.43817340107830993</v>
      </c>
      <c r="AB76" s="141">
        <f t="shared" si="384"/>
        <v>0.42816678300273459</v>
      </c>
      <c r="AC76" s="141">
        <f t="shared" si="384"/>
        <v>0.42126520177568061</v>
      </c>
      <c r="AD76" s="141">
        <f t="shared" si="384"/>
        <v>0.44543656860946307</v>
      </c>
      <c r="AE76" s="251">
        <f t="shared" si="384"/>
        <v>0.43330844573497929</v>
      </c>
      <c r="AF76" s="141">
        <f t="shared" si="384"/>
        <v>0.45651032323822582</v>
      </c>
      <c r="AG76" s="141">
        <f t="shared" si="384"/>
        <v>0.4536042111186202</v>
      </c>
      <c r="AH76" s="141">
        <f t="shared" ref="AH76:BM76" si="385">(AH72/AH$8)*100</f>
        <v>0.44057033395118711</v>
      </c>
      <c r="AI76" s="141">
        <f t="shared" si="385"/>
        <v>0.4518237448731165</v>
      </c>
      <c r="AJ76" s="251">
        <f t="shared" si="385"/>
        <v>0.4504819164547193</v>
      </c>
      <c r="AK76" s="141">
        <f t="shared" si="385"/>
        <v>0.46004638875564707</v>
      </c>
      <c r="AL76" s="141">
        <f t="shared" si="385"/>
        <v>0.4326391837107873</v>
      </c>
      <c r="AM76" s="141">
        <f t="shared" si="385"/>
        <v>0.43397509983785432</v>
      </c>
      <c r="AN76" s="141">
        <f t="shared" si="385"/>
        <v>0.43317448529216052</v>
      </c>
      <c r="AO76" s="251">
        <f t="shared" si="385"/>
        <v>0.43960216507572902</v>
      </c>
      <c r="AP76" s="141">
        <f t="shared" si="385"/>
        <v>0.46121736895987581</v>
      </c>
      <c r="AQ76" s="141">
        <f t="shared" si="385"/>
        <v>0.46099579907802546</v>
      </c>
      <c r="AR76" s="141">
        <f t="shared" si="385"/>
        <v>0.48514155750676252</v>
      </c>
      <c r="AS76" s="141">
        <f t="shared" si="385"/>
        <v>0.48581838790962761</v>
      </c>
      <c r="AT76" s="251">
        <f t="shared" si="385"/>
        <v>0.47369657039451124</v>
      </c>
      <c r="AU76" s="141">
        <f t="shared" si="385"/>
        <v>0.45821109341112365</v>
      </c>
      <c r="AV76" s="141">
        <f t="shared" si="385"/>
        <v>0.45986137429365498</v>
      </c>
      <c r="AW76" s="141">
        <f t="shared" si="385"/>
        <v>0.46848724317929918</v>
      </c>
      <c r="AX76" s="141">
        <f t="shared" si="385"/>
        <v>0.49316766592302402</v>
      </c>
      <c r="AY76" s="251">
        <f t="shared" si="385"/>
        <v>0.47045275373311907</v>
      </c>
      <c r="AZ76" s="141">
        <f t="shared" si="385"/>
        <v>0.47123211251353764</v>
      </c>
      <c r="BA76" s="141">
        <f t="shared" si="385"/>
        <v>0.46472752472419199</v>
      </c>
      <c r="BB76" s="141">
        <f t="shared" si="385"/>
        <v>0.46707625456978508</v>
      </c>
      <c r="BC76" s="141">
        <f t="shared" si="385"/>
        <v>0.47477563373796006</v>
      </c>
      <c r="BD76" s="251">
        <f t="shared" si="385"/>
        <v>0.46949784615133983</v>
      </c>
      <c r="BE76" s="141">
        <f t="shared" si="385"/>
        <v>0.4900776187521364</v>
      </c>
      <c r="BF76" s="141">
        <f t="shared" si="385"/>
        <v>0.4759273716806996</v>
      </c>
      <c r="BG76" s="141">
        <f t="shared" si="385"/>
        <v>0.50164445364662713</v>
      </c>
      <c r="BH76" s="141">
        <f t="shared" si="385"/>
        <v>0.48004328553489828</v>
      </c>
      <c r="BI76" s="251">
        <f t="shared" si="385"/>
        <v>0.48683401728015591</v>
      </c>
      <c r="BJ76" s="141">
        <f t="shared" si="385"/>
        <v>0.51207760407608816</v>
      </c>
      <c r="BK76" s="141">
        <f t="shared" si="385"/>
        <v>0.50078976292554389</v>
      </c>
      <c r="BL76" s="141">
        <f t="shared" si="385"/>
        <v>0.5226248167065507</v>
      </c>
      <c r="BM76" s="141">
        <f t="shared" si="385"/>
        <v>0.52960282915903834</v>
      </c>
      <c r="BN76" s="251">
        <f t="shared" ref="BN76:CS76" si="386">(BN72/BN$8)*100</f>
        <v>0.51643320888813316</v>
      </c>
      <c r="BO76" s="141">
        <f t="shared" si="386"/>
        <v>0.53450942265395762</v>
      </c>
      <c r="BP76" s="141">
        <f t="shared" si="386"/>
        <v>0.5309111861030924</v>
      </c>
      <c r="BQ76" s="141">
        <f t="shared" si="386"/>
        <v>0.53283947353921923</v>
      </c>
      <c r="BR76" s="141">
        <f t="shared" si="386"/>
        <v>0.54118556044766664</v>
      </c>
      <c r="BS76" s="251">
        <f t="shared" si="386"/>
        <v>0.5348902726234035</v>
      </c>
      <c r="BT76" s="141">
        <f t="shared" si="386"/>
        <v>0.5603431955186472</v>
      </c>
      <c r="BU76" s="141">
        <f t="shared" si="386"/>
        <v>0.56995165851138641</v>
      </c>
      <c r="BV76" s="141">
        <f t="shared" si="386"/>
        <v>0.55424114303408945</v>
      </c>
      <c r="BW76" s="141">
        <f t="shared" si="386"/>
        <v>0.55885049300257361</v>
      </c>
      <c r="BX76" s="251">
        <f t="shared" si="386"/>
        <v>0.56075038237061159</v>
      </c>
      <c r="BY76" s="141">
        <f t="shared" si="386"/>
        <v>0.5535894617128384</v>
      </c>
      <c r="BZ76" s="141">
        <f t="shared" si="386"/>
        <v>0.54360743894913555</v>
      </c>
      <c r="CA76" s="141">
        <f t="shared" si="386"/>
        <v>0.55368505085597186</v>
      </c>
      <c r="CB76" s="141">
        <f t="shared" si="386"/>
        <v>0.55635537388023715</v>
      </c>
      <c r="CC76" s="251">
        <f t="shared" si="386"/>
        <v>0.55181939256543133</v>
      </c>
      <c r="CD76" s="141">
        <f t="shared" si="386"/>
        <v>0.56047571457596479</v>
      </c>
      <c r="CE76" s="141">
        <f t="shared" si="386"/>
        <v>0.55388082774398018</v>
      </c>
      <c r="CF76" s="141">
        <f t="shared" si="386"/>
        <v>0.54972510591405399</v>
      </c>
      <c r="CG76" s="141">
        <f t="shared" si="386"/>
        <v>0.5592697805776623</v>
      </c>
      <c r="CH76" s="251">
        <f t="shared" si="386"/>
        <v>0.55577636724493673</v>
      </c>
      <c r="CI76" s="141">
        <f t="shared" si="386"/>
        <v>0.57014045219993126</v>
      </c>
      <c r="CJ76" s="141">
        <f t="shared" si="386"/>
        <v>0.54838000540854792</v>
      </c>
      <c r="CK76" s="141">
        <f t="shared" si="386"/>
        <v>0.54440906087998209</v>
      </c>
      <c r="CL76" s="141">
        <f t="shared" si="386"/>
        <v>0.56613578438192114</v>
      </c>
      <c r="CM76" s="251">
        <f t="shared" si="386"/>
        <v>0.55702776488333783</v>
      </c>
      <c r="CN76" s="141">
        <f t="shared" si="386"/>
        <v>0.57554671877441732</v>
      </c>
      <c r="CO76" s="141">
        <f t="shared" si="386"/>
        <v>0.56198793358745569</v>
      </c>
      <c r="CP76" s="141">
        <f t="shared" si="386"/>
        <v>0.57823181655899958</v>
      </c>
      <c r="CQ76" s="141">
        <f t="shared" si="386"/>
        <v>0.60497051632976484</v>
      </c>
      <c r="CR76" s="306">
        <f t="shared" si="386"/>
        <v>0.58002538032259343</v>
      </c>
      <c r="CS76" s="141">
        <f t="shared" si="386"/>
        <v>0.55576255745120973</v>
      </c>
      <c r="CT76" s="141">
        <f t="shared" ref="CT76:DH76" si="387">(CT72/CT$8)*100</f>
        <v>0.52060430884261188</v>
      </c>
      <c r="CU76" s="141">
        <f t="shared" si="387"/>
        <v>0.56847984651538619</v>
      </c>
      <c r="CV76" s="141">
        <f t="shared" si="387"/>
        <v>0.57590683544635579</v>
      </c>
      <c r="CW76" s="306">
        <f t="shared" si="387"/>
        <v>0.55473621696036168</v>
      </c>
      <c r="CX76" s="141">
        <f t="shared" si="387"/>
        <v>0.59657814182629121</v>
      </c>
      <c r="CY76" s="141">
        <f t="shared" si="387"/>
        <v>0.53273891858917122</v>
      </c>
      <c r="CZ76" s="141">
        <f t="shared" si="387"/>
        <v>0.55312604369148899</v>
      </c>
      <c r="DA76" s="141">
        <f t="shared" si="387"/>
        <v>0.57140215165888164</v>
      </c>
      <c r="DB76" s="306">
        <f t="shared" si="387"/>
        <v>0.56245760828561286</v>
      </c>
      <c r="DC76" s="141">
        <f t="shared" si="387"/>
        <v>0.55720676609159625</v>
      </c>
      <c r="DD76" s="141">
        <f t="shared" si="387"/>
        <v>0.54103859492871442</v>
      </c>
      <c r="DE76" s="141">
        <f t="shared" si="387"/>
        <v>0.57326216998820068</v>
      </c>
      <c r="DF76" s="141">
        <f t="shared" si="387"/>
        <v>0.61346633368651315</v>
      </c>
      <c r="DG76" s="306">
        <f t="shared" si="387"/>
        <v>0.57083636808095528</v>
      </c>
      <c r="DH76" s="141">
        <f t="shared" si="387"/>
        <v>0.65615741875897915</v>
      </c>
      <c r="DI76" s="141">
        <f t="shared" ref="DI76:DQ76" si="388">(DI72/DI$8)*100</f>
        <v>0.60787366724074621</v>
      </c>
      <c r="DJ76" s="141">
        <f t="shared" si="388"/>
        <v>0.65596948708052982</v>
      </c>
      <c r="DK76" s="141">
        <f t="shared" si="388"/>
        <v>0.71810073895451265</v>
      </c>
      <c r="DL76" s="306">
        <f t="shared" si="388"/>
        <v>0.6586665012612527</v>
      </c>
      <c r="DM76" s="141">
        <f t="shared" si="388"/>
        <v>0.68178666025311041</v>
      </c>
      <c r="DN76" s="141">
        <f>(DN72/DN$8)*100</f>
        <v>0.62223857894964552</v>
      </c>
      <c r="DO76" s="141">
        <f>(DO72/DO$8)*100</f>
        <v>0.66118002923971453</v>
      </c>
      <c r="DP76" s="141">
        <f>(DP72/DP$8)*100</f>
        <v>0.69935951839908272</v>
      </c>
      <c r="DQ76" s="306">
        <f t="shared" si="388"/>
        <v>0.66516258599010158</v>
      </c>
      <c r="DR76" s="141">
        <f>(DR72/DR$8)*100</f>
        <v>0.72519452440725851</v>
      </c>
      <c r="DS76" s="141">
        <f>(DS72/DS$8)*100</f>
        <v>0.66869598300245192</v>
      </c>
      <c r="DT76" s="141">
        <f>(DT72/DT$8)*100</f>
        <v>0.70443745874009167</v>
      </c>
      <c r="DU76" s="141">
        <f t="shared" ref="DU76:EA76" si="389">(DU72/DU$8)*100</f>
        <v>0.76882225435960505</v>
      </c>
      <c r="DV76" s="306">
        <f t="shared" si="389"/>
        <v>0.71600891197514682</v>
      </c>
      <c r="DW76" s="141">
        <f t="shared" si="389"/>
        <v>0.75547724875621036</v>
      </c>
      <c r="DX76" s="141">
        <f t="shared" si="389"/>
        <v>0.68538160539949111</v>
      </c>
      <c r="DY76" s="141">
        <f t="shared" si="389"/>
        <v>0.70956432200578989</v>
      </c>
      <c r="DZ76" s="141">
        <f t="shared" si="389"/>
        <v>0.74361899970860312</v>
      </c>
      <c r="EA76" s="306">
        <f t="shared" si="389"/>
        <v>0.72241268413187243</v>
      </c>
      <c r="EB76" s="141">
        <f t="shared" ref="EB76:EF76" si="390">(EB72/EB$8)*100</f>
        <v>0.8222716763502389</v>
      </c>
      <c r="EC76" s="141">
        <f t="shared" si="390"/>
        <v>0.78220482454517926</v>
      </c>
      <c r="ED76" s="141">
        <f t="shared" si="390"/>
        <v>0.83154024219203504</v>
      </c>
      <c r="EE76" s="141">
        <f t="shared" si="390"/>
        <v>0.85605585080658653</v>
      </c>
      <c r="EF76" s="306">
        <f t="shared" si="390"/>
        <v>0.82277345350404207</v>
      </c>
      <c r="EG76" s="141">
        <f t="shared" ref="EG76:EJ76" si="391">(EG72/EG$8)*100</f>
        <v>0.8664880829278141</v>
      </c>
      <c r="EH76" s="141">
        <f t="shared" si="391"/>
        <v>0.79410075246647316</v>
      </c>
      <c r="EI76" s="141">
        <f t="shared" si="391"/>
        <v>0.77330482108952814</v>
      </c>
      <c r="EJ76" s="141">
        <f t="shared" si="391"/>
        <v>0.73640396365870198</v>
      </c>
      <c r="EK76" s="306">
        <f t="shared" ref="EK76:EO76" si="392">(EK72/EK$8)*100</f>
        <v>0.79188056896267822</v>
      </c>
      <c r="EL76" s="141">
        <f t="shared" si="392"/>
        <v>0.8664880829278141</v>
      </c>
      <c r="EM76" s="141">
        <f t="shared" si="392"/>
        <v>0.79410075246647316</v>
      </c>
      <c r="EN76" s="141">
        <f t="shared" si="392"/>
        <v>0.77330482108952814</v>
      </c>
      <c r="EO76" s="141">
        <f t="shared" si="392"/>
        <v>0.73640396365870198</v>
      </c>
      <c r="EP76" s="306">
        <f t="shared" ref="EP76" si="393">(EP72/EP$8)*100</f>
        <v>0.79188056896267822</v>
      </c>
      <c r="EQ76" s="140">
        <f t="shared" ref="EQ76:EU76" si="394">(EQ72/EQ$8)*100</f>
        <v>0.76454830846571831</v>
      </c>
      <c r="ER76" s="140">
        <f t="shared" si="394"/>
        <v>0.71010932672482685</v>
      </c>
      <c r="ES76" s="140">
        <f t="shared" si="394"/>
        <v>0.75843357453011417</v>
      </c>
      <c r="ET76" s="140">
        <f t="shared" si="394"/>
        <v>0.76318228960992762</v>
      </c>
      <c r="EU76" s="306">
        <f t="shared" si="394"/>
        <v>0.74857559359052028</v>
      </c>
      <c r="EV76" s="140"/>
      <c r="EW76" s="140"/>
      <c r="EX76" s="140"/>
      <c r="EY76" s="140"/>
      <c r="EZ76" s="306">
        <f t="shared" ref="EZ76" si="395">(EZ72/EZ$8)*100</f>
        <v>0.73431701085546275</v>
      </c>
      <c r="FA76" s="140"/>
      <c r="FB76" s="140"/>
      <c r="FC76" s="140"/>
      <c r="FD76" s="140"/>
      <c r="FE76" s="306">
        <f t="shared" ref="FE76" si="396">(FE72/FE$8)*100</f>
        <v>0.72033002017250158</v>
      </c>
      <c r="FF76" s="140"/>
      <c r="FG76" s="442"/>
      <c r="FL76" s="408"/>
      <c r="FM76" s="408"/>
      <c r="FN76" s="418" t="s">
        <v>569</v>
      </c>
      <c r="FO76" s="418"/>
      <c r="FP76" s="790">
        <f>+FP75*FP74/2+FO75*FO74/2</f>
        <v>37.349000000000004</v>
      </c>
      <c r="FQ76" s="790">
        <f>+FQ75*FQ74/2+FP75*FP74/2</f>
        <v>36.159000000000006</v>
      </c>
      <c r="FR76" s="790">
        <f>+FR75*FR74/2+FQ75*FQ74/2</f>
        <v>32.164000000000001</v>
      </c>
      <c r="FS76" s="790">
        <f>+FS75*FS74/2+FR75*FR74/2</f>
        <v>36.669000000000004</v>
      </c>
      <c r="FT76" s="190"/>
    </row>
    <row r="77" spans="1:183" ht="12.75" customHeight="1" x14ac:dyDescent="0.2">
      <c r="A77" s="60" t="s">
        <v>244</v>
      </c>
      <c r="B77" s="128"/>
      <c r="C77" s="128"/>
      <c r="D77" s="128"/>
      <c r="E77" s="128"/>
      <c r="F77" s="244"/>
      <c r="G77" s="128">
        <f>G76/B76-1</f>
        <v>-5.3968341984063195E-2</v>
      </c>
      <c r="H77" s="128">
        <f>H76/C76-1</f>
        <v>-5.1666240870043567E-2</v>
      </c>
      <c r="I77" s="128">
        <f>I76/D76-1</f>
        <v>-5.4557956924550233E-2</v>
      </c>
      <c r="J77" s="128">
        <f>J76/E76-1</f>
        <v>2.0990797059675215E-2</v>
      </c>
      <c r="K77" s="244">
        <f t="shared" ref="K77:U77" si="397">K76/F76-1</f>
        <v>-3.4253733545475673E-2</v>
      </c>
      <c r="L77" s="128">
        <f t="shared" si="397"/>
        <v>-3.9234160249561278E-2</v>
      </c>
      <c r="M77" s="128">
        <f t="shared" si="397"/>
        <v>4.4437356274823037E-2</v>
      </c>
      <c r="N77" s="128">
        <f t="shared" si="397"/>
        <v>6.9946909174713578E-2</v>
      </c>
      <c r="O77" s="128">
        <f t="shared" si="397"/>
        <v>6.3450156233386679E-3</v>
      </c>
      <c r="P77" s="244">
        <f t="shared" si="397"/>
        <v>2.1075029091399022E-2</v>
      </c>
      <c r="Q77" s="128">
        <f t="shared" si="397"/>
        <v>2.2384510148638403E-2</v>
      </c>
      <c r="R77" s="128">
        <f t="shared" si="397"/>
        <v>-5.6919166946780231E-2</v>
      </c>
      <c r="S77" s="128">
        <f t="shared" si="397"/>
        <v>-5.1603126923493448E-2</v>
      </c>
      <c r="T77" s="128">
        <f t="shared" si="397"/>
        <v>-0.21432246095830532</v>
      </c>
      <c r="U77" s="244">
        <f t="shared" si="397"/>
        <v>-9.1111352446547889E-2</v>
      </c>
      <c r="V77" s="128">
        <f t="shared" ref="V77:DA77" si="398">V76/Q76-1</f>
        <v>-6.7395813547932226E-2</v>
      </c>
      <c r="W77" s="128">
        <f t="shared" si="398"/>
        <v>-3.752339540273264E-2</v>
      </c>
      <c r="X77" s="128">
        <f t="shared" si="398"/>
        <v>-3.560496216573894E-2</v>
      </c>
      <c r="Y77" s="128">
        <f t="shared" si="398"/>
        <v>9.6885144895294095E-2</v>
      </c>
      <c r="Z77" s="244">
        <f t="shared" si="398"/>
        <v>-2.1764896405109813E-3</v>
      </c>
      <c r="AA77" s="128">
        <f t="shared" si="398"/>
        <v>1.741378463094545E-2</v>
      </c>
      <c r="AB77" s="128">
        <f t="shared" si="398"/>
        <v>-1.3148120796683593E-2</v>
      </c>
      <c r="AC77" s="128">
        <f t="shared" si="398"/>
        <v>-3.6885595004885086E-2</v>
      </c>
      <c r="AD77" s="128">
        <f t="shared" si="398"/>
        <v>3.7450932981053731E-2</v>
      </c>
      <c r="AE77" s="244">
        <f t="shared" si="398"/>
        <v>1.0852058521262364E-3</v>
      </c>
      <c r="AF77" s="128">
        <f t="shared" si="398"/>
        <v>4.1848551543270718E-2</v>
      </c>
      <c r="AG77" s="128">
        <f t="shared" si="398"/>
        <v>5.9410092341803944E-2</v>
      </c>
      <c r="AH77" s="128">
        <f t="shared" si="398"/>
        <v>4.5826553188189179E-2</v>
      </c>
      <c r="AI77" s="128">
        <f t="shared" si="398"/>
        <v>1.4339137632082055E-2</v>
      </c>
      <c r="AJ77" s="244">
        <f t="shared" si="398"/>
        <v>3.9633362536034333E-2</v>
      </c>
      <c r="AK77" s="128">
        <f t="shared" si="398"/>
        <v>7.7458610187353116E-3</v>
      </c>
      <c r="AL77" s="128">
        <f t="shared" si="398"/>
        <v>-4.6218767140921546E-2</v>
      </c>
      <c r="AM77" s="128">
        <f t="shared" si="398"/>
        <v>-1.4969764428268362E-2</v>
      </c>
      <c r="AN77" s="128">
        <f t="shared" si="398"/>
        <v>-4.1275519032743957E-2</v>
      </c>
      <c r="AO77" s="244">
        <f t="shared" si="398"/>
        <v>-2.415136097940096E-2</v>
      </c>
      <c r="AP77" s="128">
        <f t="shared" si="398"/>
        <v>2.5453524532517147E-3</v>
      </c>
      <c r="AQ77" s="128">
        <f t="shared" si="398"/>
        <v>6.5543335959588278E-2</v>
      </c>
      <c r="AR77" s="128">
        <f t="shared" si="398"/>
        <v>0.11790182821093986</v>
      </c>
      <c r="AS77" s="128">
        <f t="shared" si="398"/>
        <v>0.12153047883686097</v>
      </c>
      <c r="AT77" s="244">
        <f t="shared" si="398"/>
        <v>7.7557409920646858E-2</v>
      </c>
      <c r="AU77" s="128">
        <f t="shared" si="398"/>
        <v>-6.5181316903389908E-3</v>
      </c>
      <c r="AV77" s="128">
        <f t="shared" si="398"/>
        <v>-2.4608137137893671E-3</v>
      </c>
      <c r="AW77" s="128">
        <f t="shared" si="398"/>
        <v>-3.4328772849419709E-2</v>
      </c>
      <c r="AX77" s="128">
        <f t="shared" si="398"/>
        <v>1.5127624223979508E-2</v>
      </c>
      <c r="AY77" s="244">
        <f t="shared" si="398"/>
        <v>-6.8478787141958986E-3</v>
      </c>
      <c r="AZ77" s="128">
        <f t="shared" si="398"/>
        <v>2.8417075207585629E-2</v>
      </c>
      <c r="BA77" s="128">
        <f t="shared" si="398"/>
        <v>1.0581776819180266E-2</v>
      </c>
      <c r="BB77" s="128">
        <f t="shared" si="398"/>
        <v>-3.0117972902287127E-3</v>
      </c>
      <c r="BC77" s="128">
        <f t="shared" si="398"/>
        <v>-3.7293669994850509E-2</v>
      </c>
      <c r="BD77" s="244">
        <f t="shared" si="398"/>
        <v>-2.0297629766260483E-3</v>
      </c>
      <c r="BE77" s="128">
        <f t="shared" si="398"/>
        <v>3.9991982163688711E-2</v>
      </c>
      <c r="BF77" s="128">
        <f t="shared" si="398"/>
        <v>2.4099814107534367E-2</v>
      </c>
      <c r="BG77" s="128">
        <f t="shared" si="398"/>
        <v>7.4009754806915184E-2</v>
      </c>
      <c r="BH77" s="128">
        <f t="shared" si="398"/>
        <v>1.1095033996301407E-2</v>
      </c>
      <c r="BI77" s="244">
        <f>BI76/BD76-1</f>
        <v>3.6924921532500266E-2</v>
      </c>
      <c r="BJ77" s="128">
        <f t="shared" si="398"/>
        <v>4.4890818274805788E-2</v>
      </c>
      <c r="BK77" s="128">
        <f t="shared" si="398"/>
        <v>5.2239885167866484E-2</v>
      </c>
      <c r="BL77" s="128">
        <f t="shared" si="398"/>
        <v>4.1823173579235373E-2</v>
      </c>
      <c r="BM77" s="128">
        <f t="shared" si="398"/>
        <v>0.10323973924334195</v>
      </c>
      <c r="BN77" s="244">
        <f t="shared" si="398"/>
        <v>6.079934958806299E-2</v>
      </c>
      <c r="BO77" s="128">
        <f t="shared" si="398"/>
        <v>4.3805506039151787E-2</v>
      </c>
      <c r="BP77" s="128">
        <f t="shared" si="398"/>
        <v>6.0147841284900361E-2</v>
      </c>
      <c r="BQ77" s="128">
        <f t="shared" si="398"/>
        <v>1.9544913494615068E-2</v>
      </c>
      <c r="BR77" s="128">
        <f t="shared" si="398"/>
        <v>2.1870599345212405E-2</v>
      </c>
      <c r="BS77" s="244">
        <f t="shared" si="398"/>
        <v>3.573949819185307E-2</v>
      </c>
      <c r="BT77" s="128">
        <f t="shared" si="398"/>
        <v>4.8331744530188292E-2</v>
      </c>
      <c r="BU77" s="128">
        <f t="shared" si="398"/>
        <v>7.3534846185578706E-2</v>
      </c>
      <c r="BV77" s="128">
        <f t="shared" si="398"/>
        <v>4.0165322874291531E-2</v>
      </c>
      <c r="BW77" s="128">
        <f t="shared" si="398"/>
        <v>3.2641174942462658E-2</v>
      </c>
      <c r="BX77" s="244">
        <f>BX76/BS76-1</f>
        <v>4.8346569512987214E-2</v>
      </c>
      <c r="BY77" s="128">
        <f t="shared" si="398"/>
        <v>-1.2052852358736321E-2</v>
      </c>
      <c r="BZ77" s="128">
        <f t="shared" si="398"/>
        <v>-4.6221849114462366E-2</v>
      </c>
      <c r="CA77" s="128">
        <f t="shared" si="398"/>
        <v>-1.003339764842015E-3</v>
      </c>
      <c r="CB77" s="128">
        <f t="shared" si="398"/>
        <v>-4.4647345821076101E-3</v>
      </c>
      <c r="CC77" s="244">
        <f>CC76/BX76-1</f>
        <v>-1.5926854596913231E-2</v>
      </c>
      <c r="CD77" s="128">
        <f t="shared" si="398"/>
        <v>1.2439277369586943E-2</v>
      </c>
      <c r="CE77" s="128">
        <f t="shared" si="398"/>
        <v>1.8898543431827175E-2</v>
      </c>
      <c r="CF77" s="128">
        <f t="shared" si="398"/>
        <v>-7.1519809606489515E-3</v>
      </c>
      <c r="CG77" s="128">
        <f t="shared" si="398"/>
        <v>5.2383904861006414E-3</v>
      </c>
      <c r="CH77" s="244">
        <f>CH76/CC76-1</f>
        <v>7.1707785786745415E-3</v>
      </c>
      <c r="CI77" s="128">
        <f t="shared" si="398"/>
        <v>1.7243811591869607E-2</v>
      </c>
      <c r="CJ77" s="128">
        <f t="shared" si="398"/>
        <v>-9.9314185649604925E-3</v>
      </c>
      <c r="CK77" s="128">
        <f t="shared" si="398"/>
        <v>-9.6703697482265483E-3</v>
      </c>
      <c r="CL77" s="128">
        <f t="shared" si="398"/>
        <v>1.2276729483161164E-2</v>
      </c>
      <c r="CM77" s="244">
        <f>CM76/CH76-1</f>
        <v>2.2516208175682451E-3</v>
      </c>
      <c r="CN77" s="128">
        <f t="shared" si="398"/>
        <v>9.482341681993578E-3</v>
      </c>
      <c r="CO77" s="128">
        <f t="shared" si="398"/>
        <v>2.48147781551038E-2</v>
      </c>
      <c r="CP77" s="128">
        <f t="shared" si="398"/>
        <v>6.2127466475937032E-2</v>
      </c>
      <c r="CQ77" s="128">
        <f t="shared" si="398"/>
        <v>6.8596144280548499E-2</v>
      </c>
      <c r="CR77" s="110">
        <f>CR76/CM76-1</f>
        <v>4.1286300053772207E-2</v>
      </c>
      <c r="CS77" s="128">
        <f t="shared" si="398"/>
        <v>-3.4374553234073568E-2</v>
      </c>
      <c r="CT77" s="128">
        <f t="shared" si="398"/>
        <v>-7.3637924004294919E-2</v>
      </c>
      <c r="CU77" s="128">
        <f t="shared" si="398"/>
        <v>-1.6865156437856355E-2</v>
      </c>
      <c r="CV77" s="128">
        <f t="shared" si="398"/>
        <v>-4.8041483177944877E-2</v>
      </c>
      <c r="CW77" s="110">
        <f>CW76/CR76-1</f>
        <v>-4.3600097892555367E-2</v>
      </c>
      <c r="CX77" s="128">
        <f t="shared" si="398"/>
        <v>7.3440687624345191E-2</v>
      </c>
      <c r="CY77" s="128">
        <f t="shared" si="398"/>
        <v>2.3308700178714448E-2</v>
      </c>
      <c r="CZ77" s="128">
        <f t="shared" si="398"/>
        <v>-2.7008526191405924E-2</v>
      </c>
      <c r="DA77" s="128">
        <f t="shared" si="398"/>
        <v>-7.8218967204700673E-3</v>
      </c>
      <c r="DB77" s="110">
        <f t="shared" ref="DB77:DN77" si="399">DB76/CW76-1</f>
        <v>1.391903230612912E-2</v>
      </c>
      <c r="DC77" s="128">
        <f t="shared" si="399"/>
        <v>-6.5995337365476137E-2</v>
      </c>
      <c r="DD77" s="128">
        <f t="shared" si="399"/>
        <v>1.5579256648871942E-2</v>
      </c>
      <c r="DE77" s="128">
        <f t="shared" si="399"/>
        <v>3.6404227438516346E-2</v>
      </c>
      <c r="DF77" s="128">
        <f t="shared" si="399"/>
        <v>7.3615722141598061E-2</v>
      </c>
      <c r="DG77" s="110">
        <f t="shared" si="399"/>
        <v>1.4896695629882384E-2</v>
      </c>
      <c r="DH77" s="128">
        <f t="shared" si="399"/>
        <v>0.17758336525855634</v>
      </c>
      <c r="DI77" s="128">
        <f t="shared" si="399"/>
        <v>0.12353106218020882</v>
      </c>
      <c r="DJ77" s="128">
        <f t="shared" si="399"/>
        <v>0.14427485611693425</v>
      </c>
      <c r="DK77" s="128">
        <f t="shared" si="399"/>
        <v>0.17056258758197584</v>
      </c>
      <c r="DL77" s="110">
        <f t="shared" si="399"/>
        <v>0.15386218904651394</v>
      </c>
      <c r="DM77" s="128">
        <f t="shared" si="399"/>
        <v>3.9059592654770325E-2</v>
      </c>
      <c r="DN77" s="128">
        <f t="shared" si="399"/>
        <v>2.3631409753451571E-2</v>
      </c>
      <c r="DO77" s="128">
        <f t="shared" ref="DO77:DT77" si="400">DO76/DJ76-1</f>
        <v>7.9432691029195368E-3</v>
      </c>
      <c r="DP77" s="128">
        <f t="shared" si="400"/>
        <v>-2.6098316766412721E-2</v>
      </c>
      <c r="DQ77" s="110">
        <f t="shared" si="400"/>
        <v>9.8624792917354487E-3</v>
      </c>
      <c r="DR77" s="128">
        <f t="shared" si="400"/>
        <v>6.3667810892681809E-2</v>
      </c>
      <c r="DS77" s="128">
        <f t="shared" si="400"/>
        <v>7.4661722407549425E-2</v>
      </c>
      <c r="DT77" s="128">
        <f t="shared" si="400"/>
        <v>6.5424585721559847E-2</v>
      </c>
      <c r="DU77" s="128">
        <f>DU76/DP76-1</f>
        <v>9.9323358205706258E-2</v>
      </c>
      <c r="DV77" s="110">
        <f>DV76/DQ76-1</f>
        <v>7.6441951270244557E-2</v>
      </c>
      <c r="DW77" s="128">
        <f>DW76/DR76-1</f>
        <v>4.1758070875815845E-2</v>
      </c>
      <c r="DX77" s="128">
        <f>DX76/DS76-1</f>
        <v>2.4952478886026253E-2</v>
      </c>
      <c r="DY77" s="128">
        <f>DY76/DT76-1</f>
        <v>7.2779537801237471E-3</v>
      </c>
      <c r="DZ77" s="128">
        <f t="shared" ref="DZ77:EA77" si="401">DZ76/DU76-1</f>
        <v>-3.2781640370172616E-2</v>
      </c>
      <c r="EA77" s="110">
        <f t="shared" si="401"/>
        <v>8.9437045400182491E-3</v>
      </c>
      <c r="EB77" s="128">
        <f>EB76/DW76-1</f>
        <v>8.8413552762834913E-2</v>
      </c>
      <c r="EC77" s="128">
        <f>EC76/DX76-1</f>
        <v>0.14126906585018784</v>
      </c>
      <c r="ED77" s="128">
        <f>ED76/DY76-1</f>
        <v>0.17190255541801314</v>
      </c>
      <c r="EE77" s="128">
        <f t="shared" ref="EE77" si="402">EE76/DZ76-1</f>
        <v>0.15120223009638445</v>
      </c>
      <c r="EF77" s="110">
        <f t="shared" ref="EF77" si="403">EF76/EA76-1</f>
        <v>0.13892442862181165</v>
      </c>
      <c r="EG77" s="128">
        <f>EG76/EB76-1</f>
        <v>5.3773476393879305E-2</v>
      </c>
      <c r="EH77" s="128">
        <f>EH76/EC76-1</f>
        <v>1.5208200650272063E-2</v>
      </c>
      <c r="EI77" s="128">
        <f>EI76/ED76-1</f>
        <v>-7.003319640789929E-2</v>
      </c>
      <c r="EJ77" s="128">
        <f t="shared" ref="EJ77" si="404">EJ76/EE76-1</f>
        <v>-0.13977112245088574</v>
      </c>
      <c r="EK77" s="110">
        <f t="shared" ref="EK77" si="405">EK76/EF76-1</f>
        <v>-3.7547254848581568E-2</v>
      </c>
      <c r="EL77" s="128"/>
      <c r="EM77" s="128"/>
      <c r="EN77" s="128"/>
      <c r="EO77" s="128"/>
      <c r="EP77" s="110"/>
      <c r="EQ77" s="128">
        <f>EQ76/EL76-1</f>
        <v>-0.11764705882352944</v>
      </c>
      <c r="ER77" s="128">
        <f>ER76/EM76-1</f>
        <v>-0.10576923076923095</v>
      </c>
      <c r="ES77" s="128">
        <f>ES76/EN76-1</f>
        <v>-1.9230769230769162E-2</v>
      </c>
      <c r="ET77" s="128">
        <f t="shared" ref="ET77" si="406">ET76/EO76-1</f>
        <v>3.6363636363636598E-2</v>
      </c>
      <c r="EU77" s="110">
        <f t="shared" ref="EU77" si="407">EU76/EP76-1</f>
        <v>-5.468624571617553E-2</v>
      </c>
      <c r="EV77" s="43"/>
      <c r="EW77" s="43"/>
      <c r="EX77" s="43"/>
      <c r="EY77" s="43"/>
      <c r="EZ77" s="110">
        <f>EZ76/EU76-1</f>
        <v>-1.9047619047619091E-2</v>
      </c>
      <c r="FA77" s="43"/>
      <c r="FB77" s="43"/>
      <c r="FC77" s="43"/>
      <c r="FD77" s="43"/>
      <c r="FE77" s="110">
        <f>FE76/EZ76-1</f>
        <v>-1.904761904761898E-2</v>
      </c>
      <c r="FF77" s="43"/>
      <c r="FG77" s="435"/>
      <c r="FL77" s="421"/>
      <c r="FM77" s="716"/>
      <c r="FN77" s="418" t="s">
        <v>571</v>
      </c>
      <c r="FO77" s="790">
        <v>110</v>
      </c>
      <c r="FP77" s="790">
        <f>+FO77*0.75</f>
        <v>82.5</v>
      </c>
      <c r="FQ77" s="790">
        <v>0</v>
      </c>
      <c r="FR77" s="790">
        <v>0</v>
      </c>
      <c r="FS77" s="790">
        <v>0</v>
      </c>
      <c r="FT77" s="190"/>
    </row>
    <row r="78" spans="1:183" ht="12.75" customHeight="1" x14ac:dyDescent="0.2">
      <c r="A78" s="221" t="s">
        <v>88</v>
      </c>
      <c r="B78" s="159">
        <f t="shared" ref="B78:AG78" si="408">B72/B$15</f>
        <v>0.19939583333333333</v>
      </c>
      <c r="C78" s="159">
        <f t="shared" si="408"/>
        <v>0.19832999999999998</v>
      </c>
      <c r="D78" s="159">
        <f t="shared" si="408"/>
        <v>0.1993861386138614</v>
      </c>
      <c r="E78" s="159">
        <f t="shared" si="408"/>
        <v>0.19166037735849059</v>
      </c>
      <c r="F78" s="259">
        <f t="shared" si="408"/>
        <v>0.74933018867924528</v>
      </c>
      <c r="G78" s="159">
        <f t="shared" si="408"/>
        <v>0.19099999999999998</v>
      </c>
      <c r="H78" s="159">
        <f t="shared" si="408"/>
        <v>0.18130434782608698</v>
      </c>
      <c r="I78" s="159">
        <f t="shared" si="408"/>
        <v>0.17928099173553722</v>
      </c>
      <c r="J78" s="159">
        <f t="shared" si="408"/>
        <v>0.19065322580645166</v>
      </c>
      <c r="K78" s="259">
        <f t="shared" si="408"/>
        <v>0.69701612903225807</v>
      </c>
      <c r="L78" s="159">
        <f t="shared" si="408"/>
        <v>0.17446875000000001</v>
      </c>
      <c r="M78" s="159">
        <f t="shared" si="408"/>
        <v>0.17827536231884059</v>
      </c>
      <c r="N78" s="159">
        <f t="shared" si="408"/>
        <v>0.19523021582733813</v>
      </c>
      <c r="O78" s="159">
        <f t="shared" si="408"/>
        <v>0.19790780141843972</v>
      </c>
      <c r="P78" s="259">
        <f t="shared" si="408"/>
        <v>0.72323404255319146</v>
      </c>
      <c r="Q78" s="159">
        <f t="shared" si="408"/>
        <v>0.18186111111111111</v>
      </c>
      <c r="R78" s="159">
        <f t="shared" si="408"/>
        <v>0.18301333333333333</v>
      </c>
      <c r="S78" s="159">
        <f t="shared" si="408"/>
        <v>0.1893846153846154</v>
      </c>
      <c r="T78" s="159">
        <f t="shared" si="408"/>
        <v>0.20311235955056178</v>
      </c>
      <c r="U78" s="259">
        <f t="shared" si="408"/>
        <v>0.67043820224719097</v>
      </c>
      <c r="V78" s="159">
        <f t="shared" si="408"/>
        <v>0.17843956043956044</v>
      </c>
      <c r="W78" s="159">
        <f t="shared" si="408"/>
        <v>0.17891005291005291</v>
      </c>
      <c r="X78" s="159">
        <f t="shared" si="408"/>
        <v>0.18614358974358974</v>
      </c>
      <c r="Y78" s="159">
        <f t="shared" si="408"/>
        <v>0.18320100502512562</v>
      </c>
      <c r="Z78" s="259">
        <f t="shared" si="408"/>
        <v>0.69871859296482408</v>
      </c>
      <c r="AA78" s="159">
        <f t="shared" si="408"/>
        <v>0.18307352941176472</v>
      </c>
      <c r="AB78" s="159">
        <f t="shared" si="408"/>
        <v>0.18194761904761905</v>
      </c>
      <c r="AC78" s="159">
        <f t="shared" si="408"/>
        <v>0.17728767123287673</v>
      </c>
      <c r="AD78" s="159">
        <f t="shared" si="408"/>
        <v>0.18923660714285706</v>
      </c>
      <c r="AE78" s="259">
        <f t="shared" si="408"/>
        <v>0.6998705357142857</v>
      </c>
      <c r="AF78" s="159">
        <f t="shared" si="408"/>
        <v>0.19220087336244543</v>
      </c>
      <c r="AG78" s="159">
        <f t="shared" si="408"/>
        <v>0.19456118143459913</v>
      </c>
      <c r="AH78" s="159">
        <f t="shared" ref="AH78:BM78" si="409">AH72/AH$15</f>
        <v>0.19158091286307052</v>
      </c>
      <c r="AI78" s="159">
        <f t="shared" si="409"/>
        <v>0.19413168724279836</v>
      </c>
      <c r="AJ78" s="259">
        <f t="shared" si="409"/>
        <v>0.75502057613168727</v>
      </c>
      <c r="AK78" s="159">
        <f t="shared" si="409"/>
        <v>0.19669105691056912</v>
      </c>
      <c r="AL78" s="159">
        <f t="shared" si="409"/>
        <v>0.18852777777777777</v>
      </c>
      <c r="AM78" s="159">
        <f t="shared" si="409"/>
        <v>0.19330620155038758</v>
      </c>
      <c r="AN78" s="159">
        <f t="shared" si="409"/>
        <v>0.19080459770114941</v>
      </c>
      <c r="AO78" s="259">
        <f t="shared" si="409"/>
        <v>0.74930268199233707</v>
      </c>
      <c r="AP78" s="159">
        <f t="shared" si="409"/>
        <v>0.19689393939393937</v>
      </c>
      <c r="AQ78" s="159">
        <f t="shared" si="409"/>
        <v>0.19778754578754579</v>
      </c>
      <c r="AR78" s="159">
        <f t="shared" si="409"/>
        <v>0.21585144927536232</v>
      </c>
      <c r="AS78" s="159">
        <f t="shared" si="409"/>
        <v>0.21307500000000001</v>
      </c>
      <c r="AT78" s="259">
        <f t="shared" si="409"/>
        <v>0.80432857142857139</v>
      </c>
      <c r="AU78" s="159">
        <f t="shared" si="409"/>
        <v>0.19786062717770037</v>
      </c>
      <c r="AV78" s="159">
        <f t="shared" si="409"/>
        <v>0.20252380952380952</v>
      </c>
      <c r="AW78" s="159">
        <f t="shared" si="409"/>
        <v>0.20852287581699347</v>
      </c>
      <c r="AX78" s="159">
        <f t="shared" si="409"/>
        <v>0.21962820512820513</v>
      </c>
      <c r="AY78" s="259">
        <f t="shared" si="409"/>
        <v>0.79698717948717945</v>
      </c>
      <c r="AZ78" s="159">
        <f t="shared" si="409"/>
        <v>0.21173968253968251</v>
      </c>
      <c r="BA78" s="159">
        <f t="shared" si="409"/>
        <v>0.21149074074074073</v>
      </c>
      <c r="BB78" s="159">
        <f t="shared" si="409"/>
        <v>0.21410479041916167</v>
      </c>
      <c r="BC78" s="159">
        <f t="shared" si="409"/>
        <v>0.21669767441860463</v>
      </c>
      <c r="BD78" s="259">
        <f t="shared" si="409"/>
        <v>0.81766279069767445</v>
      </c>
      <c r="BE78" s="159">
        <f t="shared" si="409"/>
        <v>0.22071590909090907</v>
      </c>
      <c r="BF78" s="159">
        <f t="shared" si="409"/>
        <v>0.21969943820224716</v>
      </c>
      <c r="BG78" s="159">
        <f t="shared" si="409"/>
        <v>0.22827374301675976</v>
      </c>
      <c r="BH78" s="159">
        <f t="shared" si="409"/>
        <v>0.22592676056338026</v>
      </c>
      <c r="BI78" s="259">
        <f t="shared" si="409"/>
        <v>0.8952985915492957</v>
      </c>
      <c r="BJ78" s="159">
        <f t="shared" si="409"/>
        <v>0.23564066852367688</v>
      </c>
      <c r="BK78" s="159">
        <f t="shared" si="409"/>
        <v>0.23497267759562843</v>
      </c>
      <c r="BL78" s="159">
        <f t="shared" si="409"/>
        <v>0.24875675675675676</v>
      </c>
      <c r="BM78" s="159">
        <f t="shared" si="409"/>
        <v>0.24831466666666666</v>
      </c>
      <c r="BN78" s="259">
        <f t="shared" ref="BN78:CS78" si="410">BN72/BN$15</f>
        <v>0.94867466666666667</v>
      </c>
      <c r="BO78" s="159">
        <f t="shared" si="410"/>
        <v>0.24668435013262599</v>
      </c>
      <c r="BP78" s="159">
        <f t="shared" si="410"/>
        <v>0.25065963060686014</v>
      </c>
      <c r="BQ78" s="159">
        <f t="shared" si="410"/>
        <v>0.25194805194805192</v>
      </c>
      <c r="BR78" s="159">
        <f t="shared" si="410"/>
        <v>0.25515463917525771</v>
      </c>
      <c r="BS78" s="259">
        <f t="shared" si="410"/>
        <v>0.98969072164948457</v>
      </c>
      <c r="BT78" s="159">
        <f t="shared" si="410"/>
        <v>0.26208651399491095</v>
      </c>
      <c r="BU78" s="159">
        <f t="shared" si="410"/>
        <v>0.26419753086419751</v>
      </c>
      <c r="BV78" s="159">
        <f t="shared" si="410"/>
        <v>0.26024096385542167</v>
      </c>
      <c r="BW78" s="159">
        <f t="shared" si="410"/>
        <v>0.27098321342925658</v>
      </c>
      <c r="BX78" s="259">
        <f t="shared" si="410"/>
        <v>1.0335731414868106</v>
      </c>
      <c r="BY78" s="159">
        <f t="shared" si="410"/>
        <v>0.26415094339622641</v>
      </c>
      <c r="BZ78" s="159">
        <f t="shared" si="410"/>
        <v>0.26728110599078342</v>
      </c>
      <c r="CA78" s="159">
        <f t="shared" si="410"/>
        <v>0.27562642369020501</v>
      </c>
      <c r="CB78" s="159">
        <f t="shared" si="410"/>
        <v>0.27191011235955054</v>
      </c>
      <c r="CC78" s="259">
        <f t="shared" si="410"/>
        <v>1.0561797752808988</v>
      </c>
      <c r="CD78" s="159">
        <f t="shared" si="410"/>
        <v>0.27439024390243905</v>
      </c>
      <c r="CE78" s="159">
        <f t="shared" si="410"/>
        <v>0.27435064935064934</v>
      </c>
      <c r="CF78" s="159">
        <f t="shared" si="410"/>
        <v>0.27526315789473682</v>
      </c>
      <c r="CG78" s="159">
        <f t="shared" si="410"/>
        <v>0.27806652806652804</v>
      </c>
      <c r="CH78" s="259">
        <f t="shared" si="410"/>
        <v>1.0706860706860706</v>
      </c>
      <c r="CI78" s="159">
        <f t="shared" si="410"/>
        <v>0.27607361963190186</v>
      </c>
      <c r="CJ78" s="159">
        <f t="shared" si="410"/>
        <v>0.27400000000000002</v>
      </c>
      <c r="CK78" s="159">
        <f t="shared" si="410"/>
        <v>0.27397260273972601</v>
      </c>
      <c r="CL78" s="159">
        <f t="shared" si="410"/>
        <v>0.27500000000000002</v>
      </c>
      <c r="CM78" s="259">
        <f t="shared" si="410"/>
        <v>1.0673076923076923</v>
      </c>
      <c r="CN78" s="159">
        <f t="shared" si="410"/>
        <v>0.27514231499051234</v>
      </c>
      <c r="CO78" s="159">
        <f t="shared" si="410"/>
        <v>0.27663551401869158</v>
      </c>
      <c r="CP78" s="159">
        <f t="shared" si="410"/>
        <v>0.28252788104089221</v>
      </c>
      <c r="CQ78" s="159">
        <f t="shared" si="410"/>
        <v>0.28677839851024206</v>
      </c>
      <c r="CR78" s="100">
        <f t="shared" si="410"/>
        <v>1.1154562383612663</v>
      </c>
      <c r="CS78" s="159">
        <f t="shared" si="410"/>
        <v>0.24313629629629629</v>
      </c>
      <c r="CT78" s="159">
        <f t="shared" ref="CT78:DB78" si="411">CT72/CT$15</f>
        <v>0.24168483063328422</v>
      </c>
      <c r="CU78" s="159">
        <f t="shared" si="411"/>
        <v>0.25829515418502202</v>
      </c>
      <c r="CV78" s="159">
        <f t="shared" si="411"/>
        <v>0.25000148148148149</v>
      </c>
      <c r="CW78" s="100">
        <f t="shared" si="411"/>
        <v>0.99684592592592591</v>
      </c>
      <c r="CX78" s="159">
        <f t="shared" si="411"/>
        <v>0.24868188512518408</v>
      </c>
      <c r="CY78" s="159">
        <f t="shared" si="411"/>
        <v>0.24780058651026393</v>
      </c>
      <c r="CZ78" s="159">
        <f t="shared" si="411"/>
        <v>0.25806451612903225</v>
      </c>
      <c r="DA78" s="159">
        <f t="shared" si="411"/>
        <v>0.25510204081632654</v>
      </c>
      <c r="DB78" s="100">
        <f t="shared" si="411"/>
        <v>1.004161807580175</v>
      </c>
      <c r="DC78" s="159">
        <f t="shared" ref="DC78:DQ78" si="412">DC72/DC$15</f>
        <v>0.24450434782608696</v>
      </c>
      <c r="DD78" s="159">
        <f t="shared" si="412"/>
        <v>0.26224783861671469</v>
      </c>
      <c r="DE78" s="159">
        <f t="shared" si="412"/>
        <v>0.27324749642346208</v>
      </c>
      <c r="DF78" s="159">
        <f t="shared" si="412"/>
        <v>0.27507163323782235</v>
      </c>
      <c r="DG78" s="100">
        <f t="shared" si="412"/>
        <v>1.0511575931232091</v>
      </c>
      <c r="DH78" s="159">
        <f t="shared" si="412"/>
        <v>0.28962536023054752</v>
      </c>
      <c r="DI78" s="159">
        <f t="shared" si="412"/>
        <v>0.2906474820143885</v>
      </c>
      <c r="DJ78" s="159">
        <f t="shared" si="412"/>
        <v>0.31358381502890176</v>
      </c>
      <c r="DK78" s="159">
        <f t="shared" si="412"/>
        <v>0.32276657060518732</v>
      </c>
      <c r="DL78" s="100">
        <f t="shared" si="412"/>
        <v>1.2161383285302594</v>
      </c>
      <c r="DM78" s="159">
        <f t="shared" si="412"/>
        <v>0.30172413793103448</v>
      </c>
      <c r="DN78" s="159">
        <f>DN72/DN$15</f>
        <v>0.30603448275862066</v>
      </c>
      <c r="DO78" s="159">
        <f>DO72/DO$15</f>
        <v>0.32357247437774522</v>
      </c>
      <c r="DP78" s="159">
        <f>DP72/DP$15</f>
        <v>0.32794117647058824</v>
      </c>
      <c r="DQ78" s="100">
        <f t="shared" si="412"/>
        <v>1.2749999999999999</v>
      </c>
      <c r="DR78" s="159">
        <f>DR72/DR$15</f>
        <v>0.32692307692307693</v>
      </c>
      <c r="DS78" s="159">
        <f>DS72/DS$15</f>
        <v>0.33382137628111275</v>
      </c>
      <c r="DT78" s="159">
        <f>DT72/DT$15</f>
        <v>0.34744525547445254</v>
      </c>
      <c r="DU78" s="159">
        <f t="shared" ref="DU78:EA78" si="413">DU72/DU$15</f>
        <v>0.37744360902255641</v>
      </c>
      <c r="DV78" s="100">
        <f t="shared" si="413"/>
        <v>1.4105263157894736</v>
      </c>
      <c r="DW78" s="159">
        <f t="shared" si="413"/>
        <v>0.3593519882179676</v>
      </c>
      <c r="DX78" s="159">
        <f t="shared" si="413"/>
        <v>0.36284470246734396</v>
      </c>
      <c r="DY78" s="159">
        <f t="shared" si="413"/>
        <v>0.37283236994219654</v>
      </c>
      <c r="DZ78" s="159">
        <f t="shared" si="413"/>
        <v>0.37357954545454547</v>
      </c>
      <c r="EA78" s="100">
        <f t="shared" si="413"/>
        <v>1.4417613636363635</v>
      </c>
      <c r="EB78" s="159">
        <f t="shared" ref="EB78:EF78" si="414">EB72/EB$15</f>
        <v>0.4061624649859944</v>
      </c>
      <c r="EC78" s="159">
        <f t="shared" si="414"/>
        <v>0.41585535465924894</v>
      </c>
      <c r="ED78" s="159">
        <f t="shared" si="414"/>
        <v>0.44117647058823528</v>
      </c>
      <c r="EE78" s="159">
        <f t="shared" si="414"/>
        <v>0.43983402489626555</v>
      </c>
      <c r="EF78" s="100">
        <f t="shared" si="414"/>
        <v>1.690179806362379</v>
      </c>
      <c r="EG78" s="159">
        <f t="shared" ref="EG78:EJ78" si="415">EG72/EG$15</f>
        <v>0.43741403026134801</v>
      </c>
      <c r="EH78" s="159">
        <f t="shared" si="415"/>
        <v>0.43401360544217688</v>
      </c>
      <c r="EI78" s="159">
        <f t="shared" si="415"/>
        <v>0.43959243085880639</v>
      </c>
      <c r="EJ78" s="159">
        <f t="shared" si="415"/>
        <v>0.39518413597733709</v>
      </c>
      <c r="EK78" s="100">
        <f t="shared" ref="EK78:EO78" si="416">EK72/EK$15</f>
        <v>1.7252124645892351</v>
      </c>
      <c r="EL78" s="159">
        <f t="shared" si="416"/>
        <v>0.43741403026134801</v>
      </c>
      <c r="EM78" s="159">
        <f t="shared" si="416"/>
        <v>0.43401360544217688</v>
      </c>
      <c r="EN78" s="159">
        <f t="shared" si="416"/>
        <v>0.43959243085880639</v>
      </c>
      <c r="EO78" s="159">
        <f t="shared" si="416"/>
        <v>0.39518413597733709</v>
      </c>
      <c r="EP78" s="100">
        <f t="shared" ref="EP78" si="417">EP72/EP$15</f>
        <v>1.7252124645892351</v>
      </c>
      <c r="EQ78" s="158">
        <f t="shared" ref="EQ78:EU78" si="418">EQ72/EQ$15</f>
        <v>0.39313186813186812</v>
      </c>
      <c r="ER78" s="158">
        <f t="shared" si="418"/>
        <v>0.39661764705882346</v>
      </c>
      <c r="ES78" s="158">
        <f t="shared" si="418"/>
        <v>0.41181818181818186</v>
      </c>
      <c r="ET78" s="158">
        <f t="shared" si="418"/>
        <v>0.42521390374331558</v>
      </c>
      <c r="EU78" s="100">
        <f t="shared" si="418"/>
        <v>1.6162700534759356</v>
      </c>
      <c r="EV78" s="158"/>
      <c r="EW78" s="158"/>
      <c r="EX78" s="158"/>
      <c r="EY78" s="158"/>
      <c r="EZ78" s="100">
        <f t="shared" ref="EZ78" si="419">EZ72/EZ$15</f>
        <v>1.6171936363636361</v>
      </c>
      <c r="FA78" s="158"/>
      <c r="FB78" s="158"/>
      <c r="FC78" s="158"/>
      <c r="FD78" s="158"/>
      <c r="FE78" s="100">
        <f t="shared" ref="FE78" si="420">FE72/FE$15</f>
        <v>1.6133286452830187</v>
      </c>
      <c r="FF78" s="158"/>
      <c r="FG78" s="449"/>
      <c r="FL78" s="421"/>
      <c r="FM78" s="408"/>
      <c r="FN78" s="418" t="s">
        <v>570</v>
      </c>
      <c r="FP78" s="790">
        <f>+EK72-EF72</f>
        <v>-4</v>
      </c>
      <c r="FQ78" s="790">
        <f>+EU72-EK72</f>
        <v>-9.0300000000002001</v>
      </c>
      <c r="FR78" s="790">
        <f>+EZ72-EU72</f>
        <v>36.26909999999998</v>
      </c>
      <c r="FS78" s="790">
        <f>+FE72-EZ72</f>
        <v>37.357173000000103</v>
      </c>
      <c r="FT78" s="449"/>
    </row>
    <row r="79" spans="1:183" ht="12.75" customHeight="1" x14ac:dyDescent="0.2">
      <c r="A79" s="8" t="s">
        <v>379</v>
      </c>
      <c r="B79" s="823">
        <v>5.7380000000000004</v>
      </c>
      <c r="C79" s="823">
        <v>5.7380000000000004</v>
      </c>
      <c r="D79" s="823">
        <v>6.5439999999999996</v>
      </c>
      <c r="E79" s="823">
        <f>F79-SUM(B79:D79)</f>
        <v>8.0650000000000013</v>
      </c>
      <c r="F79" s="10">
        <v>26.085000000000001</v>
      </c>
      <c r="G79" s="823">
        <v>9.5670000000000002</v>
      </c>
      <c r="H79" s="823">
        <v>11.523</v>
      </c>
      <c r="I79" s="823">
        <v>13.138999999999999</v>
      </c>
      <c r="J79" s="823">
        <f>K79-SUM(G79:I79)</f>
        <v>14.942</v>
      </c>
      <c r="K79" s="10">
        <v>49.170999999999999</v>
      </c>
      <c r="L79" s="823">
        <v>15.53</v>
      </c>
      <c r="M79" s="823">
        <v>15.8</v>
      </c>
      <c r="N79" s="823">
        <v>16.297999999999998</v>
      </c>
      <c r="O79" s="823">
        <f>P79-SUM(L79:N79)</f>
        <v>29.843999999999994</v>
      </c>
      <c r="P79" s="10">
        <v>77.471999999999994</v>
      </c>
      <c r="Q79" s="823">
        <v>19.388000000000002</v>
      </c>
      <c r="R79" s="823">
        <v>21.052</v>
      </c>
      <c r="S79" s="823">
        <v>21.349</v>
      </c>
      <c r="T79" s="823">
        <f>U79-SUM(Q79:S79)</f>
        <v>46.096000000000004</v>
      </c>
      <c r="U79" s="10">
        <v>107.88500000000001</v>
      </c>
      <c r="V79" s="823">
        <v>30.824999999999999</v>
      </c>
      <c r="W79" s="823">
        <v>31.202000000000002</v>
      </c>
      <c r="X79" s="823">
        <v>32.960999999999999</v>
      </c>
      <c r="Y79" s="823">
        <v>38.003999999999998</v>
      </c>
      <c r="Z79" s="10">
        <f>SUM(V79:Y79)</f>
        <v>132.99199999999999</v>
      </c>
      <c r="AA79" s="823">
        <v>38.414999999999999</v>
      </c>
      <c r="AB79" s="823">
        <v>42.064999999999998</v>
      </c>
      <c r="AC79" s="823">
        <v>44.228999999999999</v>
      </c>
      <c r="AD79" s="823">
        <f>169.461-SUM(AA79:AC79)</f>
        <v>44.752000000000024</v>
      </c>
      <c r="AE79" s="10">
        <f>SUM(AA79:AD79)</f>
        <v>169.46100000000001</v>
      </c>
      <c r="AF79" s="823">
        <v>44.997</v>
      </c>
      <c r="AG79" s="823">
        <v>45.921999999999997</v>
      </c>
      <c r="AH79" s="823">
        <v>47.96</v>
      </c>
      <c r="AI79" s="823">
        <v>51.783999999999999</v>
      </c>
      <c r="AJ79" s="10">
        <f>SUM(AF79:AI79)</f>
        <v>190.66299999999998</v>
      </c>
      <c r="AK79" s="823">
        <v>50.381999999999998</v>
      </c>
      <c r="AL79" s="823">
        <v>50.466000000000001</v>
      </c>
      <c r="AM79" s="823">
        <v>50.402000000000001</v>
      </c>
      <c r="AN79" s="823">
        <v>50.704000000000001</v>
      </c>
      <c r="AO79" s="10">
        <f>SUM(AK79:AN79)</f>
        <v>201.95400000000001</v>
      </c>
      <c r="AP79" s="823">
        <v>50.417000000000002</v>
      </c>
      <c r="AQ79" s="823">
        <v>50.747</v>
      </c>
      <c r="AR79" s="823">
        <v>51.546999999999997</v>
      </c>
      <c r="AS79" s="823">
        <v>49.448999999999998</v>
      </c>
      <c r="AT79" s="10">
        <f>SUM(AP79:AS79)</f>
        <v>202.16000000000003</v>
      </c>
      <c r="AU79" s="823">
        <v>49.805999999999997</v>
      </c>
      <c r="AV79" s="823">
        <v>49.898000000000003</v>
      </c>
      <c r="AW79" s="823">
        <v>49.835000000000001</v>
      </c>
      <c r="AX79" s="823">
        <v>50.201000000000001</v>
      </c>
      <c r="AY79" s="10">
        <f>SUM(AU79:AX79)</f>
        <v>199.74</v>
      </c>
      <c r="AZ79" s="823">
        <v>49.347000000000001</v>
      </c>
      <c r="BA79" s="823">
        <v>49.023000000000003</v>
      </c>
      <c r="BB79" s="823">
        <v>49.609000000000002</v>
      </c>
      <c r="BC79" s="823">
        <v>48.348999999999997</v>
      </c>
      <c r="BD79" s="10">
        <f>SUM(AZ79:BC79)</f>
        <v>196.328</v>
      </c>
      <c r="BE79" s="823">
        <v>48.045000000000002</v>
      </c>
      <c r="BF79" s="823">
        <v>47.878999999999998</v>
      </c>
      <c r="BG79" s="823">
        <v>48.302</v>
      </c>
      <c r="BH79" s="823">
        <v>47.884</v>
      </c>
      <c r="BI79" s="10">
        <f>SUM(BE79:BH79)</f>
        <v>192.11</v>
      </c>
      <c r="BJ79" s="823">
        <v>47.435000000000002</v>
      </c>
      <c r="BK79" s="823">
        <v>47</v>
      </c>
      <c r="BL79" s="823">
        <v>46.54</v>
      </c>
      <c r="BM79" s="823">
        <v>46.63</v>
      </c>
      <c r="BN79" s="10">
        <f>SUM(BJ79:BM79)</f>
        <v>187.60499999999999</v>
      </c>
      <c r="BO79" s="823">
        <v>45</v>
      </c>
      <c r="BP79" s="823">
        <v>46</v>
      </c>
      <c r="BQ79" s="823">
        <v>46</v>
      </c>
      <c r="BR79" s="823">
        <v>46</v>
      </c>
      <c r="BS79" s="10">
        <f>SUM(BO79:BR79)</f>
        <v>183</v>
      </c>
      <c r="BT79" s="823">
        <v>45</v>
      </c>
      <c r="BU79" s="823">
        <v>44</v>
      </c>
      <c r="BV79" s="823">
        <v>45</v>
      </c>
      <c r="BW79" s="823">
        <v>45</v>
      </c>
      <c r="BX79" s="10">
        <f>SUM(BT79:BW79)</f>
        <v>179</v>
      </c>
      <c r="BY79" s="823">
        <v>43</v>
      </c>
      <c r="BZ79" s="823">
        <v>42</v>
      </c>
      <c r="CA79" s="823">
        <v>36</v>
      </c>
      <c r="CB79" s="823">
        <v>42</v>
      </c>
      <c r="CC79" s="10">
        <f>SUM(BY79:CB79)</f>
        <v>163</v>
      </c>
      <c r="CD79" s="823">
        <v>40.25</v>
      </c>
      <c r="CE79" s="823">
        <v>39.25</v>
      </c>
      <c r="CF79" s="823">
        <v>39.25</v>
      </c>
      <c r="CG79" s="823">
        <v>39.25</v>
      </c>
      <c r="CH79" s="10">
        <f>SUM(CD79:CG79)</f>
        <v>158</v>
      </c>
      <c r="CI79" s="823">
        <v>39</v>
      </c>
      <c r="CJ79" s="823">
        <v>40</v>
      </c>
      <c r="CK79" s="823">
        <v>38</v>
      </c>
      <c r="CL79" s="823">
        <v>41</v>
      </c>
      <c r="CM79" s="10">
        <f>SUM(CI79:CL79)</f>
        <v>158</v>
      </c>
      <c r="CN79" s="823">
        <v>38</v>
      </c>
      <c r="CO79" s="823">
        <v>38</v>
      </c>
      <c r="CP79" s="823">
        <v>38</v>
      </c>
      <c r="CQ79" s="823">
        <v>39</v>
      </c>
      <c r="CR79" s="10">
        <f>SUM(CN79:CQ79)</f>
        <v>153</v>
      </c>
      <c r="CS79" s="823">
        <v>105.431</v>
      </c>
      <c r="CT79" s="823">
        <v>107.55799999999999</v>
      </c>
      <c r="CU79" s="823">
        <v>107.63200000000001</v>
      </c>
      <c r="CV79" s="823">
        <v>106.61500000000001</v>
      </c>
      <c r="CW79" s="10">
        <f>SUM(CS79:CV79)</f>
        <v>427.23599999999999</v>
      </c>
      <c r="CX79" s="823">
        <v>107.581</v>
      </c>
      <c r="CY79" s="823">
        <v>106</v>
      </c>
      <c r="CZ79" s="823">
        <v>103</v>
      </c>
      <c r="DA79" s="823">
        <v>106</v>
      </c>
      <c r="DB79" s="10">
        <f>SUM(CX79:DA79)</f>
        <v>422.58100000000002</v>
      </c>
      <c r="DC79" s="823">
        <v>107.12299999999999</v>
      </c>
      <c r="DD79" s="823">
        <v>99</v>
      </c>
      <c r="DE79" s="823">
        <v>90</v>
      </c>
      <c r="DF79" s="823">
        <v>93</v>
      </c>
      <c r="DG79" s="10">
        <f>SUM(DC79:DF79)</f>
        <v>389.12299999999999</v>
      </c>
      <c r="DH79" s="823">
        <v>88</v>
      </c>
      <c r="DI79" s="823">
        <v>90</v>
      </c>
      <c r="DJ79" s="823">
        <v>92</v>
      </c>
      <c r="DK79" s="823">
        <v>85</v>
      </c>
      <c r="DL79" s="10">
        <f>SUM(DH79:DK79)</f>
        <v>355</v>
      </c>
      <c r="DM79" s="823">
        <v>93</v>
      </c>
      <c r="DN79" s="823">
        <v>92</v>
      </c>
      <c r="DO79" s="823">
        <v>92</v>
      </c>
      <c r="DP79" s="823">
        <v>84</v>
      </c>
      <c r="DQ79" s="10">
        <f>SUM(DM79:DP79)</f>
        <v>361</v>
      </c>
      <c r="DR79" s="823">
        <v>81</v>
      </c>
      <c r="DS79" s="823">
        <v>75</v>
      </c>
      <c r="DT79" s="823">
        <v>71</v>
      </c>
      <c r="DU79" s="823">
        <v>68</v>
      </c>
      <c r="DV79" s="10">
        <f>SUM(DR79:DU79)</f>
        <v>295</v>
      </c>
      <c r="DW79" s="823">
        <v>60</v>
      </c>
      <c r="DX79" s="823">
        <v>59</v>
      </c>
      <c r="DY79" s="823">
        <v>60</v>
      </c>
      <c r="DZ79" s="823">
        <v>59</v>
      </c>
      <c r="EA79" s="10">
        <f>SUM(DW79:DZ79)</f>
        <v>238</v>
      </c>
      <c r="EB79" s="823">
        <v>59</v>
      </c>
      <c r="EC79" s="823">
        <v>59</v>
      </c>
      <c r="ED79" s="823">
        <v>56</v>
      </c>
      <c r="EE79" s="823">
        <v>55</v>
      </c>
      <c r="EF79" s="10">
        <f>SUM(EB79:EE79)</f>
        <v>229</v>
      </c>
      <c r="EG79" s="823">
        <v>49</v>
      </c>
      <c r="EH79" s="823">
        <v>53</v>
      </c>
      <c r="EI79" s="823">
        <v>51</v>
      </c>
      <c r="EJ79" s="823">
        <v>40</v>
      </c>
      <c r="EK79" s="10">
        <f>SUM(EG79:EJ79)</f>
        <v>193</v>
      </c>
      <c r="EL79" s="823">
        <v>54</v>
      </c>
      <c r="EM79" s="823">
        <v>53</v>
      </c>
      <c r="EN79" s="823">
        <v>51</v>
      </c>
      <c r="EO79" s="823">
        <v>40</v>
      </c>
      <c r="EP79" s="877">
        <f>SUM(EL79:EO79)</f>
        <v>198</v>
      </c>
      <c r="EQ79" s="9">
        <f t="shared" ref="EQ79" si="421">(EQ84*EQ$16)/4</f>
        <v>46.995641379310342</v>
      </c>
      <c r="ER79" s="9">
        <f t="shared" ref="ER79:ET79" si="422">(ER84*ER$16)/4</f>
        <v>44.411244870041038</v>
      </c>
      <c r="ES79" s="9">
        <f t="shared" si="422"/>
        <v>45.069367088607592</v>
      </c>
      <c r="ET79" s="9">
        <f t="shared" si="422"/>
        <v>37.802727925340989</v>
      </c>
      <c r="EU79" s="10">
        <f>SUM(EQ79:ET79)</f>
        <v>174.27898126329995</v>
      </c>
      <c r="EV79" s="9"/>
      <c r="EW79" s="9"/>
      <c r="EX79" s="9"/>
      <c r="EY79" s="9"/>
      <c r="EZ79" s="10">
        <f>(EZ84*EZ$16)</f>
        <v>172.85262646479012</v>
      </c>
      <c r="FA79" s="9"/>
      <c r="FB79" s="9"/>
      <c r="FC79" s="9"/>
      <c r="FD79" s="9"/>
      <c r="FE79" s="10">
        <f>(FE84*FE$16)</f>
        <v>169.29423082775145</v>
      </c>
      <c r="FF79" s="337"/>
      <c r="FG79" s="441"/>
      <c r="FH79" s="347"/>
      <c r="FI79" s="337"/>
      <c r="FJ79" s="337"/>
      <c r="FK79" s="337"/>
      <c r="FL79" s="408" t="s">
        <v>599</v>
      </c>
      <c r="FM79" s="408"/>
      <c r="FN79" s="408"/>
      <c r="FO79" s="408"/>
      <c r="FP79" s="790"/>
      <c r="FQ79" s="790"/>
      <c r="FR79" s="790"/>
      <c r="FS79" s="790"/>
      <c r="FT79" s="441"/>
      <c r="GA79" s="342"/>
    </row>
    <row r="80" spans="1:183" ht="12.75" customHeight="1" x14ac:dyDescent="0.2">
      <c r="A80" s="58" t="s">
        <v>244</v>
      </c>
      <c r="B80" s="128"/>
      <c r="C80" s="128"/>
      <c r="D80" s="128"/>
      <c r="E80" s="128"/>
      <c r="F80" s="244"/>
      <c r="G80" s="128">
        <f>G79/B79-1</f>
        <v>0.66730568142209812</v>
      </c>
      <c r="H80" s="128">
        <f>H79/C79-1</f>
        <v>1.0081910073196232</v>
      </c>
      <c r="I80" s="128">
        <f>I79/D79-1</f>
        <v>1.0077933985330074</v>
      </c>
      <c r="J80" s="128">
        <f>J79/E79-1</f>
        <v>0.85269683818970843</v>
      </c>
      <c r="K80" s="244">
        <f t="shared" ref="K80:U80" si="423">K79/F79-1</f>
        <v>0.88502971056162538</v>
      </c>
      <c r="L80" s="128">
        <f>L79/G79-1</f>
        <v>0.62328838716421031</v>
      </c>
      <c r="M80" s="128">
        <f t="shared" si="423"/>
        <v>0.37117070207411285</v>
      </c>
      <c r="N80" s="128">
        <f t="shared" si="423"/>
        <v>0.24042925641220791</v>
      </c>
      <c r="O80" s="128">
        <f t="shared" si="423"/>
        <v>0.99732298219783111</v>
      </c>
      <c r="P80" s="244">
        <f t="shared" si="423"/>
        <v>0.575562831750422</v>
      </c>
      <c r="Q80" s="128">
        <f>Q79/L79-1</f>
        <v>0.24842240824211226</v>
      </c>
      <c r="R80" s="128">
        <f t="shared" si="423"/>
        <v>0.33240506329113906</v>
      </c>
      <c r="S80" s="128">
        <f t="shared" si="423"/>
        <v>0.30991532703399205</v>
      </c>
      <c r="T80" s="128">
        <f t="shared" si="423"/>
        <v>0.54456507170620605</v>
      </c>
      <c r="U80" s="244">
        <f t="shared" si="423"/>
        <v>0.39256763733994227</v>
      </c>
      <c r="V80" s="128">
        <f>V79/Q79-1</f>
        <v>0.58990096967196193</v>
      </c>
      <c r="W80" s="128">
        <f t="shared" ref="W80:BR80" si="424">W79/R79-1</f>
        <v>0.48213946418392561</v>
      </c>
      <c r="X80" s="128">
        <f t="shared" si="424"/>
        <v>0.54391306384373972</v>
      </c>
      <c r="Y80" s="128">
        <f t="shared" si="424"/>
        <v>-0.17554668517875749</v>
      </c>
      <c r="Z80" s="244">
        <f t="shared" si="424"/>
        <v>0.23272002595356156</v>
      </c>
      <c r="AA80" s="128">
        <f t="shared" si="424"/>
        <v>0.24622871046228711</v>
      </c>
      <c r="AB80" s="128">
        <f t="shared" si="424"/>
        <v>0.34815075956669439</v>
      </c>
      <c r="AC80" s="128">
        <f t="shared" si="424"/>
        <v>0.3418585601165014</v>
      </c>
      <c r="AD80" s="128">
        <f t="shared" si="424"/>
        <v>0.1775602568150727</v>
      </c>
      <c r="AE80" s="244">
        <f t="shared" si="424"/>
        <v>0.27421950192492806</v>
      </c>
      <c r="AF80" s="128">
        <f t="shared" si="424"/>
        <v>0.17133932057789925</v>
      </c>
      <c r="AG80" s="128">
        <f t="shared" si="424"/>
        <v>9.1691429929870338E-2</v>
      </c>
      <c r="AH80" s="128">
        <f t="shared" si="424"/>
        <v>8.4356417734970268E-2</v>
      </c>
      <c r="AI80" s="128">
        <f t="shared" si="424"/>
        <v>0.15713264211655287</v>
      </c>
      <c r="AJ80" s="244">
        <f t="shared" si="424"/>
        <v>0.12511433309138953</v>
      </c>
      <c r="AK80" s="128">
        <f t="shared" si="424"/>
        <v>0.11967464497633173</v>
      </c>
      <c r="AL80" s="128">
        <f t="shared" si="424"/>
        <v>9.8950394146596565E-2</v>
      </c>
      <c r="AM80" s="128">
        <f t="shared" si="424"/>
        <v>5.0917431192660567E-2</v>
      </c>
      <c r="AN80" s="128">
        <f t="shared" si="424"/>
        <v>-2.0855862814769033E-2</v>
      </c>
      <c r="AO80" s="244">
        <f t="shared" si="424"/>
        <v>5.9219670308345185E-2</v>
      </c>
      <c r="AP80" s="128">
        <f t="shared" si="424"/>
        <v>6.9469254892617904E-4</v>
      </c>
      <c r="AQ80" s="128">
        <f t="shared" si="424"/>
        <v>5.5681052589862112E-3</v>
      </c>
      <c r="AR80" s="128">
        <f t="shared" si="424"/>
        <v>2.2717352486012476E-2</v>
      </c>
      <c r="AS80" s="128">
        <f t="shared" si="424"/>
        <v>-2.4751498895550728E-2</v>
      </c>
      <c r="AT80" s="244">
        <f t="shared" si="424"/>
        <v>1.0200342652288974E-3</v>
      </c>
      <c r="AU80" s="128">
        <f t="shared" si="424"/>
        <v>-1.2118928139318141E-2</v>
      </c>
      <c r="AV80" s="128">
        <f t="shared" si="424"/>
        <v>-1.673005300805952E-2</v>
      </c>
      <c r="AW80" s="128">
        <f t="shared" si="424"/>
        <v>-3.3212408093584389E-2</v>
      </c>
      <c r="AX80" s="128">
        <f t="shared" si="424"/>
        <v>1.5207587615523099E-2</v>
      </c>
      <c r="AY80" s="244">
        <f t="shared" si="424"/>
        <v>-1.1970716264345205E-2</v>
      </c>
      <c r="AZ80" s="128">
        <f t="shared" si="424"/>
        <v>-9.2157571376941805E-3</v>
      </c>
      <c r="BA80" s="128">
        <f t="shared" si="424"/>
        <v>-1.753577297687281E-2</v>
      </c>
      <c r="BB80" s="128">
        <f t="shared" si="424"/>
        <v>-4.5349653857730265E-3</v>
      </c>
      <c r="BC80" s="128">
        <f t="shared" si="424"/>
        <v>-3.6891695384554168E-2</v>
      </c>
      <c r="BD80" s="244">
        <f t="shared" si="424"/>
        <v>-1.7082206868929584E-2</v>
      </c>
      <c r="BE80" s="128">
        <f t="shared" si="424"/>
        <v>-2.6384582649401134E-2</v>
      </c>
      <c r="BF80" s="128">
        <f t="shared" si="424"/>
        <v>-2.3335985149827709E-2</v>
      </c>
      <c r="BG80" s="128">
        <f t="shared" si="424"/>
        <v>-2.6346025922715732E-2</v>
      </c>
      <c r="BH80" s="128">
        <f t="shared" si="424"/>
        <v>-9.6175722352064286E-3</v>
      </c>
      <c r="BI80" s="244">
        <f>BI79/BD79-1</f>
        <v>-2.1484454586202628E-2</v>
      </c>
      <c r="BJ80" s="128">
        <f t="shared" si="424"/>
        <v>-1.2696430429805394E-2</v>
      </c>
      <c r="BK80" s="128">
        <f t="shared" si="424"/>
        <v>-1.8358779423129135E-2</v>
      </c>
      <c r="BL80" s="128">
        <f t="shared" si="424"/>
        <v>-3.6478820752763874E-2</v>
      </c>
      <c r="BM80" s="128">
        <f t="shared" si="424"/>
        <v>-2.6188288363545142E-2</v>
      </c>
      <c r="BN80" s="244">
        <f>BN79/BI79-1</f>
        <v>-2.3450106709697716E-2</v>
      </c>
      <c r="BO80" s="128">
        <f t="shared" si="424"/>
        <v>-5.1333403604933103E-2</v>
      </c>
      <c r="BP80" s="128">
        <f t="shared" si="424"/>
        <v>-2.1276595744680882E-2</v>
      </c>
      <c r="BQ80" s="128">
        <f t="shared" si="424"/>
        <v>-1.1602922217447298E-2</v>
      </c>
      <c r="BR80" s="128">
        <f t="shared" si="424"/>
        <v>-1.3510615483594335E-2</v>
      </c>
      <c r="BS80" s="244">
        <f t="shared" ref="BS80:DA80" si="425">BS79/BN79-1</f>
        <v>-2.4546254097705278E-2</v>
      </c>
      <c r="BT80" s="128">
        <f t="shared" si="425"/>
        <v>0</v>
      </c>
      <c r="BU80" s="128">
        <f t="shared" si="425"/>
        <v>-4.3478260869565188E-2</v>
      </c>
      <c r="BV80" s="128">
        <f t="shared" si="425"/>
        <v>-2.1739130434782594E-2</v>
      </c>
      <c r="BW80" s="128">
        <f t="shared" si="425"/>
        <v>-2.1739130434782594E-2</v>
      </c>
      <c r="BX80" s="244">
        <f t="shared" si="425"/>
        <v>-2.1857923497267784E-2</v>
      </c>
      <c r="BY80" s="128">
        <f t="shared" si="425"/>
        <v>-4.4444444444444398E-2</v>
      </c>
      <c r="BZ80" s="128">
        <f t="shared" si="425"/>
        <v>-4.5454545454545414E-2</v>
      </c>
      <c r="CA80" s="128">
        <f t="shared" si="425"/>
        <v>-0.19999999999999996</v>
      </c>
      <c r="CB80" s="128">
        <f t="shared" si="425"/>
        <v>-6.6666666666666652E-2</v>
      </c>
      <c r="CC80" s="244">
        <f>CC79/BX79-1</f>
        <v>-8.9385474860335212E-2</v>
      </c>
      <c r="CD80" s="128">
        <f t="shared" si="425"/>
        <v>-6.3953488372093026E-2</v>
      </c>
      <c r="CE80" s="128">
        <f t="shared" si="425"/>
        <v>-6.5476190476190466E-2</v>
      </c>
      <c r="CF80" s="128">
        <f t="shared" si="425"/>
        <v>9.0277777777777679E-2</v>
      </c>
      <c r="CG80" s="128">
        <f t="shared" si="425"/>
        <v>-6.5476190476190466E-2</v>
      </c>
      <c r="CH80" s="244">
        <f>CH79/CC79-1</f>
        <v>-3.0674846625766916E-2</v>
      </c>
      <c r="CI80" s="128">
        <f t="shared" si="425"/>
        <v>-3.105590062111796E-2</v>
      </c>
      <c r="CJ80" s="128">
        <f t="shared" si="425"/>
        <v>1.9108280254777066E-2</v>
      </c>
      <c r="CK80" s="128">
        <f t="shared" si="425"/>
        <v>-3.1847133757961776E-2</v>
      </c>
      <c r="CL80" s="128">
        <f t="shared" si="425"/>
        <v>4.4585987261146487E-2</v>
      </c>
      <c r="CM80" s="244">
        <f>CM79/CH79-1</f>
        <v>0</v>
      </c>
      <c r="CN80" s="128">
        <f t="shared" si="425"/>
        <v>-2.5641025641025661E-2</v>
      </c>
      <c r="CO80" s="128">
        <f t="shared" si="425"/>
        <v>-5.0000000000000044E-2</v>
      </c>
      <c r="CP80" s="128">
        <f t="shared" si="425"/>
        <v>0</v>
      </c>
      <c r="CQ80" s="128">
        <f t="shared" si="425"/>
        <v>-4.8780487804878092E-2</v>
      </c>
      <c r="CR80" s="110">
        <f>CR79/CM79-1</f>
        <v>-3.1645569620253111E-2</v>
      </c>
      <c r="CS80" s="128">
        <f t="shared" si="425"/>
        <v>1.7744999999999997</v>
      </c>
      <c r="CT80" s="128">
        <f t="shared" si="425"/>
        <v>1.830473684210526</v>
      </c>
      <c r="CU80" s="128">
        <f t="shared" si="425"/>
        <v>1.8324210526315792</v>
      </c>
      <c r="CV80" s="128">
        <f t="shared" si="425"/>
        <v>1.733717948717949</v>
      </c>
      <c r="CW80" s="110">
        <f>CW79/CR79-1</f>
        <v>1.792392156862745</v>
      </c>
      <c r="CX80" s="128">
        <f t="shared" si="425"/>
        <v>2.0392484183968662E-2</v>
      </c>
      <c r="CY80" s="128">
        <f t="shared" si="425"/>
        <v>-1.4485207980810322E-2</v>
      </c>
      <c r="CZ80" s="128">
        <f t="shared" si="425"/>
        <v>-4.3035528467370354E-2</v>
      </c>
      <c r="DA80" s="128">
        <f t="shared" si="425"/>
        <v>-5.7684190779909716E-3</v>
      </c>
      <c r="DB80" s="110">
        <f t="shared" ref="DB80:DT80" si="426">DB79/CW79-1</f>
        <v>-1.0895617410517811E-2</v>
      </c>
      <c r="DC80" s="128">
        <f t="shared" si="426"/>
        <v>-4.2572573223897958E-3</v>
      </c>
      <c r="DD80" s="128">
        <f t="shared" si="426"/>
        <v>-6.6037735849056589E-2</v>
      </c>
      <c r="DE80" s="128">
        <f t="shared" si="426"/>
        <v>-0.12621359223300976</v>
      </c>
      <c r="DF80" s="128">
        <f t="shared" si="426"/>
        <v>-0.12264150943396224</v>
      </c>
      <c r="DG80" s="110">
        <f t="shared" si="426"/>
        <v>-7.9175353364207113E-2</v>
      </c>
      <c r="DH80" s="128">
        <f t="shared" si="426"/>
        <v>-0.1785144180054703</v>
      </c>
      <c r="DI80" s="128">
        <f t="shared" si="426"/>
        <v>-9.0909090909090939E-2</v>
      </c>
      <c r="DJ80" s="128">
        <f t="shared" si="426"/>
        <v>2.2222222222222143E-2</v>
      </c>
      <c r="DK80" s="128">
        <f t="shared" si="426"/>
        <v>-8.6021505376344121E-2</v>
      </c>
      <c r="DL80" s="110">
        <f t="shared" si="426"/>
        <v>-8.7692066518812783E-2</v>
      </c>
      <c r="DM80" s="128">
        <f t="shared" si="426"/>
        <v>5.6818181818181879E-2</v>
      </c>
      <c r="DN80" s="128">
        <f t="shared" si="426"/>
        <v>2.2222222222222143E-2</v>
      </c>
      <c r="DO80" s="128">
        <f t="shared" si="426"/>
        <v>0</v>
      </c>
      <c r="DP80" s="128">
        <f t="shared" si="426"/>
        <v>-1.1764705882352899E-2</v>
      </c>
      <c r="DQ80" s="110">
        <f>DQ79/DL79-1</f>
        <v>1.6901408450704203E-2</v>
      </c>
      <c r="DR80" s="128">
        <f t="shared" si="426"/>
        <v>-0.12903225806451613</v>
      </c>
      <c r="DS80" s="128">
        <f t="shared" si="426"/>
        <v>-0.18478260869565222</v>
      </c>
      <c r="DT80" s="128">
        <f t="shared" si="426"/>
        <v>-0.22826086956521741</v>
      </c>
      <c r="DU80" s="128">
        <f>DU79/DP79-1</f>
        <v>-0.19047619047619047</v>
      </c>
      <c r="DV80" s="110">
        <f>DV79/DQ79-1</f>
        <v>-0.18282548476454297</v>
      </c>
      <c r="DW80" s="128">
        <f>DW79/DR79-1</f>
        <v>-0.2592592592592593</v>
      </c>
      <c r="DX80" s="128">
        <f>DX79/DS79-1</f>
        <v>-0.21333333333333337</v>
      </c>
      <c r="DY80" s="128">
        <f>DY79/DT79-1</f>
        <v>-0.15492957746478875</v>
      </c>
      <c r="DZ80" s="128">
        <f t="shared" ref="DZ80:EA80" si="427">DZ79/DU79-1</f>
        <v>-0.13235294117647056</v>
      </c>
      <c r="EA80" s="110">
        <f t="shared" si="427"/>
        <v>-0.1932203389830508</v>
      </c>
      <c r="EB80" s="128">
        <f>EB79/DW79-1</f>
        <v>-1.6666666666666718E-2</v>
      </c>
      <c r="EC80" s="128">
        <f>EC79/DX79-1</f>
        <v>0</v>
      </c>
      <c r="ED80" s="128">
        <f>ED79/DY79-1</f>
        <v>-6.6666666666666652E-2</v>
      </c>
      <c r="EE80" s="128">
        <f t="shared" ref="EE80" si="428">EE79/DZ79-1</f>
        <v>-6.7796610169491567E-2</v>
      </c>
      <c r="EF80" s="110">
        <f t="shared" ref="EF80" si="429">EF79/EA79-1</f>
        <v>-3.7815126050420145E-2</v>
      </c>
      <c r="EG80" s="128">
        <f>EG79/EB79-1</f>
        <v>-0.16949152542372881</v>
      </c>
      <c r="EH80" s="128">
        <f>EH79/EC79-1</f>
        <v>-0.10169491525423724</v>
      </c>
      <c r="EI80" s="128">
        <f>EI79/ED79-1</f>
        <v>-8.9285714285714302E-2</v>
      </c>
      <c r="EJ80" s="128">
        <f>EJ79/EE79-1</f>
        <v>-0.27272727272727271</v>
      </c>
      <c r="EK80" s="110">
        <f t="shared" ref="EK80" si="430">EK79/EF79-1</f>
        <v>-0.15720524017467252</v>
      </c>
      <c r="EL80" s="128"/>
      <c r="EM80" s="128"/>
      <c r="EN80" s="128"/>
      <c r="EO80" s="128"/>
      <c r="EP80" s="110"/>
      <c r="EQ80" s="128">
        <f>EQ79/EL79-1</f>
        <v>-0.12971034482758625</v>
      </c>
      <c r="ER80" s="128">
        <f>ER79/EM79-1</f>
        <v>-0.16205198358413131</v>
      </c>
      <c r="ES80" s="128">
        <f>ES79/EN79-1</f>
        <v>-0.11628691983122363</v>
      </c>
      <c r="ET80" s="128">
        <f>ET79/EO79-1</f>
        <v>-5.4931801866475283E-2</v>
      </c>
      <c r="EU80" s="110">
        <f t="shared" ref="EU80" si="431">EU79/EP79-1</f>
        <v>-0.11980312493282852</v>
      </c>
      <c r="EV80" s="43"/>
      <c r="EW80" s="43"/>
      <c r="EX80" s="43"/>
      <c r="EY80" s="43"/>
      <c r="EZ80" s="110">
        <f>EZ79/EU79-1</f>
        <v>-8.1843191196699916E-3</v>
      </c>
      <c r="FA80" s="43"/>
      <c r="FB80" s="43"/>
      <c r="FC80" s="43"/>
      <c r="FD80" s="43"/>
      <c r="FE80" s="110">
        <f>FE79/EZ79-1</f>
        <v>-2.0586297760210814E-2</v>
      </c>
      <c r="FF80" s="43"/>
      <c r="FG80" s="435"/>
      <c r="FL80" s="408"/>
      <c r="FM80" s="423"/>
      <c r="FN80" s="369"/>
      <c r="FO80" s="790"/>
      <c r="FP80" s="790"/>
      <c r="FQ80" s="597"/>
      <c r="FR80" s="369"/>
      <c r="FS80" s="369"/>
      <c r="FT80" s="190"/>
    </row>
    <row r="81" spans="1:183" ht="12.75" customHeight="1" x14ac:dyDescent="0.2">
      <c r="A81" s="64" t="s">
        <v>14</v>
      </c>
      <c r="B81" s="43"/>
      <c r="C81" s="43">
        <f>C79/B79-1</f>
        <v>0</v>
      </c>
      <c r="D81" s="43">
        <f>D79/C79-1</f>
        <v>0.14046706169396983</v>
      </c>
      <c r="E81" s="43">
        <f>E79/D79-1</f>
        <v>0.23242665036674848</v>
      </c>
      <c r="F81" s="258"/>
      <c r="G81" s="43">
        <f>G79/E79-1</f>
        <v>0.18623682579045231</v>
      </c>
      <c r="H81" s="43">
        <f>H79/G79-1</f>
        <v>0.2044528065224207</v>
      </c>
      <c r="I81" s="43">
        <f>I79/H79-1</f>
        <v>0.14024125661720044</v>
      </c>
      <c r="J81" s="43">
        <f>J79/I79-1</f>
        <v>0.13722505517923755</v>
      </c>
      <c r="K81" s="258"/>
      <c r="L81" s="43">
        <f>L79/J79-1</f>
        <v>3.9352161691875276E-2</v>
      </c>
      <c r="M81" s="43">
        <f>M79/L79-1</f>
        <v>1.7385705086928605E-2</v>
      </c>
      <c r="N81" s="43">
        <f>N79/M79-1</f>
        <v>3.1518987341772053E-2</v>
      </c>
      <c r="O81" s="43">
        <f>O79/N79-1</f>
        <v>0.83114492575776144</v>
      </c>
      <c r="P81" s="258"/>
      <c r="Q81" s="43">
        <f>Q79/O79-1</f>
        <v>-0.35035518027074097</v>
      </c>
      <c r="R81" s="43">
        <f>R79/Q79-1</f>
        <v>8.5826284299566735E-2</v>
      </c>
      <c r="S81" s="43">
        <f>S79/R79-1</f>
        <v>1.4107923237697051E-2</v>
      </c>
      <c r="T81" s="43">
        <f>T79/S79-1</f>
        <v>1.1591643636704299</v>
      </c>
      <c r="U81" s="258"/>
      <c r="V81" s="43">
        <f>V79/T79-1</f>
        <v>-0.3312868795557099</v>
      </c>
      <c r="W81" s="43">
        <f>W79/V79-1</f>
        <v>1.2230332522303433E-2</v>
      </c>
      <c r="X81" s="43">
        <f>X79/W79-1</f>
        <v>5.6374591372347904E-2</v>
      </c>
      <c r="Y81" s="43">
        <f>Y79/X79-1</f>
        <v>0.15299899881678347</v>
      </c>
      <c r="Z81" s="258"/>
      <c r="AA81" s="43">
        <f>AA79/Y79-1</f>
        <v>1.0814651089358973E-2</v>
      </c>
      <c r="AB81" s="43">
        <f>AB79/AA79-1</f>
        <v>9.5014968111414744E-2</v>
      </c>
      <c r="AC81" s="43">
        <f>AC79/AB79-1</f>
        <v>5.1444193510044034E-2</v>
      </c>
      <c r="AD81" s="43">
        <f>AD79/AC79-1</f>
        <v>1.1824820818920223E-2</v>
      </c>
      <c r="AE81" s="258"/>
      <c r="AF81" s="43">
        <f>AF79/AD79-1</f>
        <v>5.4746156596348072E-3</v>
      </c>
      <c r="AG81" s="43">
        <f>AG79/AF79-1</f>
        <v>2.0556926017289978E-2</v>
      </c>
      <c r="AH81" s="43">
        <f>AH79/AG79-1</f>
        <v>4.4379600191629454E-2</v>
      </c>
      <c r="AI81" s="43">
        <f>AI79/AH79-1</f>
        <v>7.9733110925771511E-2</v>
      </c>
      <c r="AJ81" s="258"/>
      <c r="AK81" s="43">
        <f>AK79/AI79-1</f>
        <v>-2.7073999691024309E-2</v>
      </c>
      <c r="AL81" s="43">
        <f>AL79/AK79-1</f>
        <v>1.6672621174229629E-3</v>
      </c>
      <c r="AM81" s="43">
        <f>AM79/AL79-1</f>
        <v>-1.2681805572067884E-3</v>
      </c>
      <c r="AN81" s="43">
        <f>AN79/AM79-1</f>
        <v>5.9918257212014936E-3</v>
      </c>
      <c r="AO81" s="258"/>
      <c r="AP81" s="43">
        <f>AP79/AN79-1</f>
        <v>-5.6603029346796729E-3</v>
      </c>
      <c r="AQ81" s="43">
        <f>AQ79/AP79-1</f>
        <v>6.5454112700080724E-3</v>
      </c>
      <c r="AR81" s="43">
        <f>AR79/AQ79-1</f>
        <v>1.5764478688395256E-2</v>
      </c>
      <c r="AS81" s="43">
        <f>AS79/AR79-1</f>
        <v>-4.0700719731507129E-2</v>
      </c>
      <c r="AT81" s="258"/>
      <c r="AU81" s="43">
        <f>AU79/AS79-1</f>
        <v>7.219559546199017E-3</v>
      </c>
      <c r="AV81" s="43">
        <f>AV79/AU79-1</f>
        <v>1.8471670079911462E-3</v>
      </c>
      <c r="AW81" s="43">
        <f>AW79/AV79-1</f>
        <v>-1.2625756543348521E-3</v>
      </c>
      <c r="AX81" s="43">
        <f>AX79/AW79-1</f>
        <v>7.3442359787299072E-3</v>
      </c>
      <c r="AY81" s="258"/>
      <c r="AZ81" s="43">
        <f>AZ79/AX79-1</f>
        <v>-1.701161331447576E-2</v>
      </c>
      <c r="BA81" s="43">
        <f>BA79/AZ79-1</f>
        <v>-6.5657486777310758E-3</v>
      </c>
      <c r="BB81" s="43">
        <f>BB79/BA79-1</f>
        <v>1.1953572812761326E-2</v>
      </c>
      <c r="BC81" s="43">
        <f>BC79/BB79-1</f>
        <v>-2.5398617186397687E-2</v>
      </c>
      <c r="BD81" s="258"/>
      <c r="BE81" s="43">
        <f>BE79/BC79-1</f>
        <v>-6.2876171172101536E-3</v>
      </c>
      <c r="BF81" s="43">
        <f>BF79/BE79-1</f>
        <v>-3.4550941825373105E-3</v>
      </c>
      <c r="BG81" s="43">
        <f>BG79/BF79-1</f>
        <v>8.8347709851919198E-3</v>
      </c>
      <c r="BH81" s="43">
        <f>BH79/BG79-1</f>
        <v>-8.6538859674547552E-3</v>
      </c>
      <c r="BI81" s="258"/>
      <c r="BJ81" s="43">
        <f>BJ79/BH79-1</f>
        <v>-9.3768273327207163E-3</v>
      </c>
      <c r="BK81" s="43">
        <f>BK79/BJ79-1</f>
        <v>-9.170443765152414E-3</v>
      </c>
      <c r="BL81" s="43">
        <f>BL79/BK79-1</f>
        <v>-9.7872340425532167E-3</v>
      </c>
      <c r="BM81" s="43">
        <f>BM79/BL79-1</f>
        <v>1.9338203695746792E-3</v>
      </c>
      <c r="BN81" s="258"/>
      <c r="BO81" s="43">
        <f>BO79/BM79-1</f>
        <v>-3.4956036886124919E-2</v>
      </c>
      <c r="BP81" s="43">
        <f>BP79/BO79-1</f>
        <v>2.2222222222222143E-2</v>
      </c>
      <c r="BQ81" s="43">
        <f>BQ79/BP79-1</f>
        <v>0</v>
      </c>
      <c r="BR81" s="43">
        <f>BR79/BQ79-1</f>
        <v>0</v>
      </c>
      <c r="BS81" s="258"/>
      <c r="BT81" s="43">
        <f>BT79/BR79-1</f>
        <v>-2.1739130434782594E-2</v>
      </c>
      <c r="BU81" s="43">
        <f>BU79/BT79-1</f>
        <v>-2.2222222222222254E-2</v>
      </c>
      <c r="BV81" s="43">
        <f>BV79/BU79-1</f>
        <v>2.2727272727272707E-2</v>
      </c>
      <c r="BW81" s="43">
        <f>BW79/BV79-1</f>
        <v>0</v>
      </c>
      <c r="BX81" s="258"/>
      <c r="BY81" s="43">
        <f>BY79/BW79-1</f>
        <v>-4.4444444444444398E-2</v>
      </c>
      <c r="BZ81" s="43">
        <f>BZ79/BY79-1</f>
        <v>-2.3255813953488413E-2</v>
      </c>
      <c r="CA81" s="43">
        <f>CA79/BZ79-1</f>
        <v>-0.1428571428571429</v>
      </c>
      <c r="CB81" s="43">
        <f>CB79/CA79-1</f>
        <v>0.16666666666666674</v>
      </c>
      <c r="CC81" s="258"/>
      <c r="CD81" s="43">
        <f>CD79/CB79-1</f>
        <v>-4.166666666666663E-2</v>
      </c>
      <c r="CE81" s="43">
        <f>CE79/CD79-1</f>
        <v>-2.4844720496894457E-2</v>
      </c>
      <c r="CF81" s="43">
        <f>CF79/CE79-1</f>
        <v>0</v>
      </c>
      <c r="CG81" s="43">
        <f>CG79/CF79-1</f>
        <v>0</v>
      </c>
      <c r="CH81" s="258"/>
      <c r="CI81" s="43">
        <f>CI79/CG79-1</f>
        <v>-6.3694267515923553E-3</v>
      </c>
      <c r="CJ81" s="43">
        <f>CJ79/CI79-1</f>
        <v>2.564102564102555E-2</v>
      </c>
      <c r="CK81" s="43">
        <f>CK79/CJ79-1</f>
        <v>-5.0000000000000044E-2</v>
      </c>
      <c r="CL81" s="43">
        <f>CL79/CK79-1</f>
        <v>7.8947368421052655E-2</v>
      </c>
      <c r="CM81" s="258"/>
      <c r="CN81" s="43">
        <f>CN79/CL79-1</f>
        <v>-7.3170731707317027E-2</v>
      </c>
      <c r="CO81" s="43">
        <f>CO79/CN79-1</f>
        <v>0</v>
      </c>
      <c r="CP81" s="43">
        <f>CP79/CO79-1</f>
        <v>0</v>
      </c>
      <c r="CQ81" s="43">
        <f>CQ79/CP79-1</f>
        <v>2.6315789473684292E-2</v>
      </c>
      <c r="CR81" s="104"/>
      <c r="CS81" s="43">
        <f>CS79/CQ79-1</f>
        <v>1.7033589743589741</v>
      </c>
      <c r="CT81" s="43">
        <f>CT79/CS79-1</f>
        <v>2.0174332027582009E-2</v>
      </c>
      <c r="CU81" s="43">
        <f>CU79/CT79-1</f>
        <v>6.8800089254184016E-4</v>
      </c>
      <c r="CV81" s="43">
        <f>CV79/CU79-1</f>
        <v>-9.4488627917347356E-3</v>
      </c>
      <c r="CW81" s="104"/>
      <c r="CX81" s="43">
        <f>CX79/CV79-1</f>
        <v>9.0606387468930016E-3</v>
      </c>
      <c r="CY81" s="43">
        <f>CY79/CX79-1</f>
        <v>-1.469590355174244E-2</v>
      </c>
      <c r="CZ81" s="43">
        <f>CZ79/CY79-1</f>
        <v>-2.8301886792452824E-2</v>
      </c>
      <c r="DA81" s="43">
        <f>DA79/CZ79-1</f>
        <v>2.9126213592232997E-2</v>
      </c>
      <c r="DB81" s="104"/>
      <c r="DC81" s="43">
        <f>DC79/DA79-1</f>
        <v>1.0594339622641336E-2</v>
      </c>
      <c r="DD81" s="43">
        <f>DD79/DC79-1</f>
        <v>-7.5828720256154059E-2</v>
      </c>
      <c r="DE81" s="43">
        <f>DE79/DD79-1</f>
        <v>-9.0909090909090939E-2</v>
      </c>
      <c r="DF81" s="43">
        <f>DF79/DE79-1</f>
        <v>3.3333333333333437E-2</v>
      </c>
      <c r="DG81" s="104"/>
      <c r="DH81" s="43">
        <f>DH79/DF79-1</f>
        <v>-5.3763440860215006E-2</v>
      </c>
      <c r="DI81" s="43">
        <f>DI79/DH79-1</f>
        <v>2.2727272727272707E-2</v>
      </c>
      <c r="DJ81" s="43">
        <f>DJ79/DI79-1</f>
        <v>2.2222222222222143E-2</v>
      </c>
      <c r="DK81" s="43">
        <f>DK79/DJ79-1</f>
        <v>-7.6086956521739135E-2</v>
      </c>
      <c r="DL81" s="104"/>
      <c r="DM81" s="43">
        <f>DM79/DK79-1</f>
        <v>9.4117647058823639E-2</v>
      </c>
      <c r="DN81" s="43">
        <f>DN79/DM79-1</f>
        <v>-1.0752688172043001E-2</v>
      </c>
      <c r="DO81" s="43">
        <f>DO79/DN79-1</f>
        <v>0</v>
      </c>
      <c r="DP81" s="43">
        <f>DP79/DO79-1</f>
        <v>-8.6956521739130488E-2</v>
      </c>
      <c r="DQ81" s="104"/>
      <c r="DR81" s="43">
        <f>DR79/DP79-1</f>
        <v>-3.5714285714285698E-2</v>
      </c>
      <c r="DS81" s="43">
        <f>DS79/DR79-1</f>
        <v>-7.407407407407407E-2</v>
      </c>
      <c r="DT81" s="43">
        <f>DT79/DS79-1</f>
        <v>-5.3333333333333344E-2</v>
      </c>
      <c r="DU81" s="43">
        <f>DU79/DT79-1</f>
        <v>-4.2253521126760618E-2</v>
      </c>
      <c r="DV81" s="104"/>
      <c r="DW81" s="43">
        <f>DW79/DU79-1</f>
        <v>-0.11764705882352944</v>
      </c>
      <c r="DX81" s="43">
        <f>DX79/DW79-1</f>
        <v>-1.6666666666666718E-2</v>
      </c>
      <c r="DY81" s="43">
        <f>DY79/DX79-1</f>
        <v>1.6949152542372836E-2</v>
      </c>
      <c r="DZ81" s="43">
        <f>DZ79/DY79-1</f>
        <v>-1.6666666666666718E-2</v>
      </c>
      <c r="EA81" s="104"/>
      <c r="EB81" s="43">
        <f>EB79/DZ79-1</f>
        <v>0</v>
      </c>
      <c r="EC81" s="43">
        <f>EC79/EB79-1</f>
        <v>0</v>
      </c>
      <c r="ED81" s="43">
        <f>ED79/EC79-1</f>
        <v>-5.084745762711862E-2</v>
      </c>
      <c r="EE81" s="43">
        <f>EE79/ED79-1</f>
        <v>-1.7857142857142905E-2</v>
      </c>
      <c r="EF81" s="104"/>
      <c r="EG81" s="43">
        <f>EG79/EE79-1</f>
        <v>-0.10909090909090913</v>
      </c>
      <c r="EH81" s="43">
        <f>EH79/EG79-1</f>
        <v>8.163265306122458E-2</v>
      </c>
      <c r="EI81" s="43">
        <f>EI79/EH79-1</f>
        <v>-3.7735849056603765E-2</v>
      </c>
      <c r="EJ81" s="43">
        <f>EJ79/EI79-1</f>
        <v>-0.21568627450980393</v>
      </c>
      <c r="EK81" s="104"/>
      <c r="EL81" s="43"/>
      <c r="EM81" s="43">
        <f>EM79/EL79-1</f>
        <v>-1.851851851851849E-2</v>
      </c>
      <c r="EN81" s="43">
        <f>EN79/EM79-1</f>
        <v>-3.7735849056603765E-2</v>
      </c>
      <c r="EO81" s="43">
        <f>EO79/EN79-1</f>
        <v>-0.21568627450980393</v>
      </c>
      <c r="EP81" s="104"/>
      <c r="EQ81" s="43">
        <f>EQ79/EO79-1</f>
        <v>0.17489103448275856</v>
      </c>
      <c r="ER81" s="43">
        <f>ER79/EQ79-1</f>
        <v>-5.4992259567438806E-2</v>
      </c>
      <c r="ES81" s="43">
        <f>ES79/ER79-1</f>
        <v>1.4818819433960684E-2</v>
      </c>
      <c r="ET81" s="43">
        <f>ET79/ES79-1</f>
        <v>-0.16123233212883137</v>
      </c>
      <c r="EU81" s="104"/>
      <c r="EV81" s="43"/>
      <c r="EW81" s="43"/>
      <c r="EX81" s="43"/>
      <c r="EY81" s="43"/>
      <c r="EZ81" s="104"/>
      <c r="FA81" s="43"/>
      <c r="FB81" s="43"/>
      <c r="FC81" s="43"/>
      <c r="FD81" s="43"/>
      <c r="FE81" s="104"/>
      <c r="FF81" s="43"/>
      <c r="FG81" s="435"/>
      <c r="FH81" s="238">
        <f>AVERAGE(CD81,CI81,CN81,CS81,CX81,DC81,BT81,DH81,DM81,DR81,DW81)</f>
        <v>0.13336916898444942</v>
      </c>
      <c r="FI81" s="238">
        <f>AVERAGE(CE81,CJ81,CO81,CT81,CY81,DD81,BU81,DI81,DN81,DS81,DX81)</f>
        <v>-1.5503851367628795E-2</v>
      </c>
      <c r="FJ81" s="238">
        <f>AVERAGE(CF81,CK81,CP81,CU81,CZ81,DE81,BV81,DJ81,DO81,DT81,DY81)</f>
        <v>-1.4541605695497057E-2</v>
      </c>
      <c r="FK81" s="238">
        <f>AVERAGE(CG81,CL81,CQ81,CV81,DA81,DF81,BW81,DK81,DP81,DU81,DZ81)</f>
        <v>-5.7899840023389378E-3</v>
      </c>
      <c r="FL81" s="408"/>
      <c r="FM81" s="716"/>
      <c r="FN81" s="716"/>
      <c r="FO81" s="589"/>
      <c r="FP81" s="790"/>
      <c r="FQ81" s="790"/>
      <c r="FR81" s="790"/>
      <c r="FS81" s="369"/>
      <c r="FT81" s="465"/>
    </row>
    <row r="82" spans="1:183" ht="12.75" customHeight="1" x14ac:dyDescent="0.2">
      <c r="A82" s="81" t="s">
        <v>89</v>
      </c>
      <c r="B82" s="141">
        <f t="shared" ref="B82:AG82" si="432">(B79/B$8)*100</f>
        <v>0.14896587103107073</v>
      </c>
      <c r="C82" s="141">
        <f t="shared" si="432"/>
        <v>0.1396208969024503</v>
      </c>
      <c r="D82" s="141">
        <f t="shared" si="432"/>
        <v>0.15362519302920991</v>
      </c>
      <c r="E82" s="141">
        <f t="shared" si="432"/>
        <v>0.19249092082501154</v>
      </c>
      <c r="F82" s="251">
        <f t="shared" si="432"/>
        <v>0.15894715258530573</v>
      </c>
      <c r="G82" s="141">
        <f t="shared" si="432"/>
        <v>0.22215482986474261</v>
      </c>
      <c r="H82" s="141">
        <f t="shared" si="432"/>
        <v>0.2529292202062417</v>
      </c>
      <c r="I82" s="141">
        <f t="shared" si="432"/>
        <v>0.27071548295176506</v>
      </c>
      <c r="J82" s="141">
        <f t="shared" si="432"/>
        <v>0.3129023314176389</v>
      </c>
      <c r="K82" s="251">
        <f t="shared" si="432"/>
        <v>0.26591851182978016</v>
      </c>
      <c r="L82" s="141">
        <f t="shared" si="432"/>
        <v>0.31410916476694334</v>
      </c>
      <c r="M82" s="141">
        <f t="shared" si="432"/>
        <v>0.30697893289071376</v>
      </c>
      <c r="N82" s="141">
        <f t="shared" si="432"/>
        <v>0.28721366966480516</v>
      </c>
      <c r="O82" s="141">
        <f t="shared" si="432"/>
        <v>0.53282895144425679</v>
      </c>
      <c r="P82" s="251">
        <f t="shared" si="432"/>
        <v>0.36258388192211016</v>
      </c>
      <c r="Q82" s="141">
        <f t="shared" si="432"/>
        <v>0.34188631028175293</v>
      </c>
      <c r="R82" s="141">
        <f t="shared" si="432"/>
        <v>0.34569268426132738</v>
      </c>
      <c r="S82" s="141">
        <f t="shared" si="432"/>
        <v>0.32774115740571591</v>
      </c>
      <c r="T82" s="141">
        <f t="shared" si="432"/>
        <v>0.49907295379926542</v>
      </c>
      <c r="U82" s="251">
        <f t="shared" si="432"/>
        <v>0.39215223001708405</v>
      </c>
      <c r="V82" s="141">
        <f t="shared" si="432"/>
        <v>0.40877934707495001</v>
      </c>
      <c r="W82" s="141">
        <f t="shared" si="432"/>
        <v>0.40035649974324938</v>
      </c>
      <c r="X82" s="141">
        <f t="shared" si="432"/>
        <v>0.39718733381992122</v>
      </c>
      <c r="Y82" s="141">
        <f t="shared" si="432"/>
        <v>0.44757588969310586</v>
      </c>
      <c r="Z82" s="251">
        <f t="shared" si="432"/>
        <v>0.41399610147860283</v>
      </c>
      <c r="AA82" s="141">
        <f t="shared" si="432"/>
        <v>0.45070370317356889</v>
      </c>
      <c r="AB82" s="141">
        <f t="shared" si="432"/>
        <v>0.47137678889816609</v>
      </c>
      <c r="AC82" s="141">
        <f t="shared" si="432"/>
        <v>0.47988818341669442</v>
      </c>
      <c r="AD82" s="141">
        <f t="shared" si="432"/>
        <v>0.47026769488335918</v>
      </c>
      <c r="AE82" s="251">
        <f t="shared" si="432"/>
        <v>0.46838307163120313</v>
      </c>
      <c r="AF82" s="141">
        <f t="shared" si="432"/>
        <v>0.46670593481052497</v>
      </c>
      <c r="AG82" s="141">
        <f t="shared" si="432"/>
        <v>0.45174497588404666</v>
      </c>
      <c r="AH82" s="141">
        <f t="shared" ref="AH82:BM82" si="433">(AH79/AH$8)*100</f>
        <v>0.45764122969610654</v>
      </c>
      <c r="AI82" s="141">
        <f t="shared" si="433"/>
        <v>0.49597746225695222</v>
      </c>
      <c r="AJ82" s="251">
        <f t="shared" si="433"/>
        <v>0.46814320399523707</v>
      </c>
      <c r="AK82" s="141">
        <f t="shared" si="433"/>
        <v>0.4790240391494856</v>
      </c>
      <c r="AL82" s="141">
        <f t="shared" si="433"/>
        <v>0.45956700930662808</v>
      </c>
      <c r="AM82" s="141">
        <f t="shared" si="433"/>
        <v>0.43857824839146503</v>
      </c>
      <c r="AN82" s="141">
        <f t="shared" si="433"/>
        <v>0.44103773297698207</v>
      </c>
      <c r="AO82" s="251">
        <f t="shared" si="433"/>
        <v>0.45395676003080149</v>
      </c>
      <c r="AP82" s="141">
        <f t="shared" si="433"/>
        <v>0.44734890517218279</v>
      </c>
      <c r="AQ82" s="141">
        <f t="shared" si="433"/>
        <v>0.43325716378643891</v>
      </c>
      <c r="AR82" s="141">
        <f t="shared" si="433"/>
        <v>0.41976654410073155</v>
      </c>
      <c r="AS82" s="141">
        <f t="shared" si="433"/>
        <v>0.40266226619974815</v>
      </c>
      <c r="AT82" s="251">
        <f t="shared" si="433"/>
        <v>0.42521046245739302</v>
      </c>
      <c r="AU82" s="141">
        <f t="shared" si="433"/>
        <v>0.40188887610387114</v>
      </c>
      <c r="AV82" s="141">
        <f t="shared" si="433"/>
        <v>0.38537776451084604</v>
      </c>
      <c r="AW82" s="141">
        <f t="shared" si="433"/>
        <v>0.36589552663992564</v>
      </c>
      <c r="AX82" s="141">
        <f t="shared" si="433"/>
        <v>0.36129691782443712</v>
      </c>
      <c r="AY82" s="251">
        <f t="shared" si="433"/>
        <v>0.37789846791061371</v>
      </c>
      <c r="AZ82" s="141">
        <f t="shared" si="433"/>
        <v>0.34864450292670768</v>
      </c>
      <c r="BA82" s="141">
        <f t="shared" si="433"/>
        <v>0.33247723311229904</v>
      </c>
      <c r="BB82" s="141">
        <f t="shared" si="433"/>
        <v>0.32402268060791301</v>
      </c>
      <c r="BC82" s="141">
        <f t="shared" si="433"/>
        <v>0.30793795765717741</v>
      </c>
      <c r="BD82" s="251">
        <f t="shared" si="433"/>
        <v>0.32770507664784854</v>
      </c>
      <c r="BE82" s="141">
        <f t="shared" si="433"/>
        <v>0.30306568492182456</v>
      </c>
      <c r="BF82" s="141">
        <f t="shared" si="433"/>
        <v>0.29134449041336119</v>
      </c>
      <c r="BG82" s="141">
        <f t="shared" si="433"/>
        <v>0.29649825506031896</v>
      </c>
      <c r="BH82" s="141">
        <f t="shared" si="433"/>
        <v>0.28659908090061686</v>
      </c>
      <c r="BI82" s="251">
        <f t="shared" si="433"/>
        <v>0.29426230625612598</v>
      </c>
      <c r="BJ82" s="141">
        <f t="shared" si="433"/>
        <v>0.28713755126602331</v>
      </c>
      <c r="BK82" s="141">
        <f t="shared" si="433"/>
        <v>0.27368742857558798</v>
      </c>
      <c r="BL82" s="141">
        <f t="shared" si="433"/>
        <v>0.26426509093353828</v>
      </c>
      <c r="BM82" s="141">
        <f t="shared" si="433"/>
        <v>0.26520522266034452</v>
      </c>
      <c r="BN82" s="251">
        <f t="shared" ref="BN82:CS82" si="434">(BN79/BN$8)*100</f>
        <v>0.27233910087464686</v>
      </c>
      <c r="BO82" s="141">
        <f t="shared" si="434"/>
        <v>0.2586335916067537</v>
      </c>
      <c r="BP82" s="141">
        <f t="shared" si="434"/>
        <v>0.25707278484991841</v>
      </c>
      <c r="BQ82" s="141">
        <f t="shared" si="434"/>
        <v>0.25268676064746476</v>
      </c>
      <c r="BR82" s="141">
        <f t="shared" si="434"/>
        <v>0.25145995737972388</v>
      </c>
      <c r="BS82" s="251">
        <f t="shared" si="434"/>
        <v>0.2549086455470907</v>
      </c>
      <c r="BT82" s="141">
        <f t="shared" si="434"/>
        <v>0.2448101339644575</v>
      </c>
      <c r="BU82" s="141">
        <f t="shared" si="434"/>
        <v>0.23437264462150467</v>
      </c>
      <c r="BV82" s="141">
        <f t="shared" si="434"/>
        <v>0.23093380959753729</v>
      </c>
      <c r="BW82" s="141">
        <f t="shared" si="434"/>
        <v>0.22255108128421075</v>
      </c>
      <c r="BX82" s="251">
        <f t="shared" si="434"/>
        <v>0.23288704975484797</v>
      </c>
      <c r="BY82" s="141">
        <f t="shared" si="434"/>
        <v>0.21253881119332191</v>
      </c>
      <c r="BZ82" s="141">
        <f t="shared" si="434"/>
        <v>0.19682338306779046</v>
      </c>
      <c r="CA82" s="141">
        <f t="shared" si="434"/>
        <v>0.16473274240342964</v>
      </c>
      <c r="CB82" s="141">
        <f t="shared" si="434"/>
        <v>0.19311508845429717</v>
      </c>
      <c r="CC82" s="251">
        <f t="shared" si="434"/>
        <v>0.19137566167694745</v>
      </c>
      <c r="CD82" s="141">
        <f t="shared" si="434"/>
        <v>0.18229614150854609</v>
      </c>
      <c r="CE82" s="141">
        <f t="shared" si="434"/>
        <v>0.17151733719093668</v>
      </c>
      <c r="CF82" s="141">
        <f t="shared" si="434"/>
        <v>0.1650226417371061</v>
      </c>
      <c r="CG82" s="141">
        <f t="shared" si="434"/>
        <v>0.16412215990783735</v>
      </c>
      <c r="CH82" s="251">
        <f t="shared" si="434"/>
        <v>0.17051003111592233</v>
      </c>
      <c r="CI82" s="141">
        <f t="shared" si="434"/>
        <v>0.1647072417466468</v>
      </c>
      <c r="CJ82" s="141">
        <f t="shared" si="434"/>
        <v>0.16011095048424756</v>
      </c>
      <c r="CK82" s="141">
        <f t="shared" si="434"/>
        <v>0.1477681736674237</v>
      </c>
      <c r="CL82" s="141">
        <f t="shared" si="434"/>
        <v>0.16231865146614521</v>
      </c>
      <c r="CM82" s="251">
        <f t="shared" si="434"/>
        <v>0.1585772736064277</v>
      </c>
      <c r="CN82" s="141">
        <f t="shared" si="434"/>
        <v>0.15083293319605418</v>
      </c>
      <c r="CO82" s="141">
        <f t="shared" si="434"/>
        <v>0.14429419916434674</v>
      </c>
      <c r="CP82" s="141">
        <f t="shared" si="434"/>
        <v>0.14455795413974989</v>
      </c>
      <c r="CQ82" s="141">
        <f t="shared" si="434"/>
        <v>0.15320681907052486</v>
      </c>
      <c r="CR82" s="306">
        <f t="shared" si="434"/>
        <v>0.14815339430610486</v>
      </c>
      <c r="CS82" s="141">
        <f t="shared" si="434"/>
        <v>0.35702944968917599</v>
      </c>
      <c r="CT82" s="141">
        <f t="shared" ref="CT82:DH82" si="435">(CT79/CT$8)*100</f>
        <v>0.34121750993573374</v>
      </c>
      <c r="CU82" s="141">
        <f t="shared" si="435"/>
        <v>0.34785088511102419</v>
      </c>
      <c r="CV82" s="141">
        <f t="shared" si="435"/>
        <v>0.36385151650131387</v>
      </c>
      <c r="CW82" s="306">
        <f t="shared" si="435"/>
        <v>0.35222692371833098</v>
      </c>
      <c r="CX82" s="141">
        <f t="shared" si="435"/>
        <v>0.38009222750770921</v>
      </c>
      <c r="CY82" s="141">
        <f t="shared" si="435"/>
        <v>0.33414393710326712</v>
      </c>
      <c r="CZ82" s="141">
        <f t="shared" si="435"/>
        <v>0.32370444602399645</v>
      </c>
      <c r="DA82" s="141">
        <f t="shared" si="435"/>
        <v>0.34610644614766545</v>
      </c>
      <c r="DB82" s="306">
        <f t="shared" si="435"/>
        <v>0.34504198788851437</v>
      </c>
      <c r="DC82" s="141">
        <f t="shared" si="435"/>
        <v>0.35380456412280425</v>
      </c>
      <c r="DD82" s="141">
        <f t="shared" si="435"/>
        <v>0.29430121372496004</v>
      </c>
      <c r="DE82" s="141">
        <f t="shared" si="435"/>
        <v>0.27012353559653435</v>
      </c>
      <c r="DF82" s="141">
        <f t="shared" si="435"/>
        <v>0.2971477553794048</v>
      </c>
      <c r="DG82" s="306">
        <f t="shared" si="435"/>
        <v>0.30274381641847381</v>
      </c>
      <c r="DH82" s="141">
        <f t="shared" si="435"/>
        <v>0.28727289975517495</v>
      </c>
      <c r="DI82" s="141">
        <f t="shared" ref="DI82:DQ82" si="436">(DI79/DI$8)*100</f>
        <v>0.270834802235976</v>
      </c>
      <c r="DJ82" s="141">
        <f t="shared" si="436"/>
        <v>0.27810687931524769</v>
      </c>
      <c r="DK82" s="141">
        <f t="shared" si="436"/>
        <v>0.27249358397827489</v>
      </c>
      <c r="DL82" s="306">
        <f t="shared" si="436"/>
        <v>0.27704574401391552</v>
      </c>
      <c r="DM82" s="141">
        <f t="shared" si="436"/>
        <v>0.30193409239780605</v>
      </c>
      <c r="DN82" s="141">
        <f>(DN79/DN$8)*100</f>
        <v>0.2687603251801286</v>
      </c>
      <c r="DO82" s="141">
        <f>(DO79/DO$8)*100</f>
        <v>0.27524236511336531</v>
      </c>
      <c r="DP82" s="141">
        <f>(DP79/DP$8)*100</f>
        <v>0.26343587240144817</v>
      </c>
      <c r="DQ82" s="306">
        <f t="shared" si="436"/>
        <v>0.2769592774422453</v>
      </c>
      <c r="DR82" s="141">
        <f>(DR79/DR$8)*100</f>
        <v>0.26579527817641602</v>
      </c>
      <c r="DS82" s="141">
        <f>(DS79/DS$8)*100</f>
        <v>0.21996578388238552</v>
      </c>
      <c r="DT82" s="141">
        <f>(DT79/DT$8)*100</f>
        <v>0.21014730911994334</v>
      </c>
      <c r="DU82" s="141">
        <f t="shared" ref="DU82:EA82" si="437">(DU79/DU$8)*100</f>
        <v>0.20828650715718383</v>
      </c>
      <c r="DV82" s="306">
        <f t="shared" si="437"/>
        <v>0.22518403948045665</v>
      </c>
      <c r="DW82" s="141">
        <f t="shared" si="437"/>
        <v>0.18577309395644517</v>
      </c>
      <c r="DX82" s="141">
        <f t="shared" si="437"/>
        <v>0.1617500588742799</v>
      </c>
      <c r="DY82" s="141">
        <f t="shared" si="437"/>
        <v>0.16501495860599763</v>
      </c>
      <c r="DZ82" s="141">
        <f t="shared" si="437"/>
        <v>0.16681947141751935</v>
      </c>
      <c r="EA82" s="306">
        <f t="shared" si="437"/>
        <v>0.16939331903781835</v>
      </c>
      <c r="EB82" s="141">
        <f t="shared" ref="EB82:EF82" si="438">(EB79/EB$8)*100</f>
        <v>0.16728975484366929</v>
      </c>
      <c r="EC82" s="141">
        <f t="shared" si="438"/>
        <v>0.15434810919118924</v>
      </c>
      <c r="ED82" s="141">
        <f t="shared" si="438"/>
        <v>0.14782937638969512</v>
      </c>
      <c r="EE82" s="141">
        <f t="shared" si="438"/>
        <v>0.14805997419610772</v>
      </c>
      <c r="EF82" s="306">
        <f t="shared" si="438"/>
        <v>0.15418585994470183</v>
      </c>
      <c r="EG82" s="141">
        <f t="shared" ref="EG82:EJ82" si="439">(EG79/EG$8)*100</f>
        <v>0.13351545931906569</v>
      </c>
      <c r="EH82" s="141">
        <f t="shared" si="439"/>
        <v>0.13193523473580904</v>
      </c>
      <c r="EI82" s="141">
        <f t="shared" si="439"/>
        <v>0.13059121150849648</v>
      </c>
      <c r="EJ82" s="141">
        <f t="shared" si="439"/>
        <v>0.10557762919838022</v>
      </c>
      <c r="EK82" s="306">
        <f t="shared" ref="EK82:EO82" si="440">(EK79/EK$8)*100</f>
        <v>0.12547861232331434</v>
      </c>
      <c r="EL82" s="141">
        <f t="shared" si="440"/>
        <v>0.14713948578019487</v>
      </c>
      <c r="EM82" s="141">
        <f t="shared" si="440"/>
        <v>0.13193523473580904</v>
      </c>
      <c r="EN82" s="141">
        <f t="shared" si="440"/>
        <v>0.13059121150849648</v>
      </c>
      <c r="EO82" s="141">
        <f t="shared" si="440"/>
        <v>0.10557762919838022</v>
      </c>
      <c r="EP82" s="306">
        <f t="shared" ref="EP82" si="441">(EP79/EP$8)*100</f>
        <v>0.12872935357521367</v>
      </c>
      <c r="EQ82" s="140">
        <f t="shared" ref="EQ82:EU82" si="442">(EQ79/EQ$8)*100</f>
        <v>0.12554311013910988</v>
      </c>
      <c r="ER82" s="140">
        <f t="shared" si="442"/>
        <v>0.10630275792522421</v>
      </c>
      <c r="ES82" s="140">
        <f t="shared" si="442"/>
        <v>0.11096650169725535</v>
      </c>
      <c r="ET82" s="140">
        <f t="shared" si="442"/>
        <v>9.0707327081565994E-2</v>
      </c>
      <c r="EU82" s="306">
        <f t="shared" si="442"/>
        <v>0.10791085953292963</v>
      </c>
      <c r="EV82" s="140"/>
      <c r="EW82" s="140"/>
      <c r="EX82" s="140"/>
      <c r="EY82" s="140"/>
      <c r="EZ82" s="306">
        <f t="shared" ref="EZ82" si="443">(EZ79/EZ$8)*100</f>
        <v>0.1019311263066993</v>
      </c>
      <c r="FA82" s="140"/>
      <c r="FB82" s="140"/>
      <c r="FC82" s="140"/>
      <c r="FD82" s="140"/>
      <c r="FE82" s="306">
        <f t="shared" ref="FE82" si="444">(FE79/FE$8)*100</f>
        <v>9.5078801704300872E-2</v>
      </c>
      <c r="FF82" s="18"/>
      <c r="FG82" s="450"/>
      <c r="FL82" s="525"/>
      <c r="FM82" s="716"/>
      <c r="FN82" s="422"/>
      <c r="FO82" s="383"/>
      <c r="FP82" s="383"/>
      <c r="FQ82" s="383"/>
      <c r="FR82" s="383"/>
      <c r="FS82" s="383"/>
      <c r="FT82" s="190"/>
    </row>
    <row r="83" spans="1:183" ht="12.75" customHeight="1" x14ac:dyDescent="0.2">
      <c r="A83" s="60" t="s">
        <v>244</v>
      </c>
      <c r="B83" s="128"/>
      <c r="C83" s="128"/>
      <c r="D83" s="128"/>
      <c r="E83" s="128"/>
      <c r="F83" s="244"/>
      <c r="G83" s="128">
        <f t="shared" ref="G83:AL83" si="445">G82/B82-1</f>
        <v>0.49131360308970651</v>
      </c>
      <c r="H83" s="128">
        <f t="shared" si="445"/>
        <v>0.81154272617914169</v>
      </c>
      <c r="I83" s="128">
        <f t="shared" si="445"/>
        <v>0.76218156419365357</v>
      </c>
      <c r="J83" s="128">
        <f t="shared" si="445"/>
        <v>0.6255433247269373</v>
      </c>
      <c r="K83" s="244">
        <f t="shared" si="445"/>
        <v>0.67299953163403603</v>
      </c>
      <c r="L83" s="128">
        <f t="shared" si="445"/>
        <v>0.413920034771184</v>
      </c>
      <c r="M83" s="128">
        <f t="shared" si="445"/>
        <v>0.21369501175229666</v>
      </c>
      <c r="N83" s="128">
        <f t="shared" si="445"/>
        <v>6.0942900395466681E-2</v>
      </c>
      <c r="O83" s="128">
        <f t="shared" si="445"/>
        <v>0.70286027921305605</v>
      </c>
      <c r="P83" s="244">
        <f t="shared" si="445"/>
        <v>0.36351500851587004</v>
      </c>
      <c r="Q83" s="128">
        <f t="shared" si="445"/>
        <v>8.8431502899379399E-2</v>
      </c>
      <c r="R83" s="128">
        <f t="shared" si="445"/>
        <v>0.1261120787868395</v>
      </c>
      <c r="S83" s="128">
        <f t="shared" si="445"/>
        <v>0.14110570638301678</v>
      </c>
      <c r="T83" s="128">
        <f t="shared" si="445"/>
        <v>-6.335240897382588E-2</v>
      </c>
      <c r="U83" s="244">
        <f t="shared" si="445"/>
        <v>8.1548986508246823E-2</v>
      </c>
      <c r="V83" s="128">
        <f t="shared" si="445"/>
        <v>0.19565871689354775</v>
      </c>
      <c r="W83" s="128">
        <f t="shared" si="445"/>
        <v>0.15812835495413236</v>
      </c>
      <c r="X83" s="128">
        <f t="shared" si="445"/>
        <v>0.21189336415333648</v>
      </c>
      <c r="Y83" s="128">
        <f t="shared" si="445"/>
        <v>-0.10318544355916437</v>
      </c>
      <c r="Z83" s="244">
        <f t="shared" si="445"/>
        <v>5.5702530266287464E-2</v>
      </c>
      <c r="AA83" s="128">
        <f t="shared" si="445"/>
        <v>0.10255986854182253</v>
      </c>
      <c r="AB83" s="128">
        <f t="shared" si="445"/>
        <v>0.17739262182695259</v>
      </c>
      <c r="AC83" s="128">
        <f t="shared" si="445"/>
        <v>0.20821623086870278</v>
      </c>
      <c r="AD83" s="128">
        <f t="shared" si="445"/>
        <v>5.0699346664568212E-2</v>
      </c>
      <c r="AE83" s="244">
        <f t="shared" si="445"/>
        <v>0.13137073020338885</v>
      </c>
      <c r="AF83" s="128">
        <f t="shared" si="445"/>
        <v>3.550499257999995E-2</v>
      </c>
      <c r="AG83" s="128">
        <f t="shared" si="445"/>
        <v>-4.1647814394952243E-2</v>
      </c>
      <c r="AH83" s="128">
        <f t="shared" si="445"/>
        <v>-4.635861954798437E-2</v>
      </c>
      <c r="AI83" s="128">
        <f t="shared" si="445"/>
        <v>5.4670494387180524E-2</v>
      </c>
      <c r="AJ83" s="244">
        <f t="shared" si="445"/>
        <v>-5.1211849977983448E-4</v>
      </c>
      <c r="AK83" s="128">
        <f t="shared" si="445"/>
        <v>2.6393716942900269E-2</v>
      </c>
      <c r="AL83" s="128">
        <f t="shared" si="445"/>
        <v>1.7315153106626235E-2</v>
      </c>
      <c r="AM83" s="128">
        <f t="shared" ref="AM83:BR83" si="446">AM82/AH82-1</f>
        <v>-4.1654859893852092E-2</v>
      </c>
      <c r="AN83" s="128">
        <f t="shared" si="446"/>
        <v>-0.11077061653157816</v>
      </c>
      <c r="AO83" s="244">
        <f t="shared" si="446"/>
        <v>-3.0303641798845593E-2</v>
      </c>
      <c r="AP83" s="128">
        <f t="shared" si="446"/>
        <v>-6.6124309822827465E-2</v>
      </c>
      <c r="AQ83" s="128">
        <f t="shared" si="446"/>
        <v>-5.7249204114725671E-2</v>
      </c>
      <c r="AR83" s="128">
        <f t="shared" si="446"/>
        <v>-4.2892469837999325E-2</v>
      </c>
      <c r="AS83" s="128">
        <f t="shared" si="446"/>
        <v>-8.7011754115008388E-2</v>
      </c>
      <c r="AT83" s="244">
        <f t="shared" si="446"/>
        <v>-6.3323867170648529E-2</v>
      </c>
      <c r="AU83" s="128">
        <f t="shared" si="446"/>
        <v>-0.10162096865044135</v>
      </c>
      <c r="AV83" s="128">
        <f t="shared" si="446"/>
        <v>-0.11051034645833013</v>
      </c>
      <c r="AW83" s="128">
        <f t="shared" si="446"/>
        <v>-0.12833566232919802</v>
      </c>
      <c r="AX83" s="128">
        <f t="shared" si="446"/>
        <v>-0.10272963683860803</v>
      </c>
      <c r="AY83" s="244">
        <f t="shared" si="446"/>
        <v>-0.11126723992949739</v>
      </c>
      <c r="AZ83" s="128">
        <f t="shared" si="446"/>
        <v>-0.13248531209259462</v>
      </c>
      <c r="BA83" s="128">
        <f t="shared" si="446"/>
        <v>-0.13726928813781669</v>
      </c>
      <c r="BB83" s="128">
        <f t="shared" si="446"/>
        <v>-0.11443934944091105</v>
      </c>
      <c r="BC83" s="128">
        <f t="shared" si="446"/>
        <v>-0.14768728304842094</v>
      </c>
      <c r="BD83" s="244">
        <f t="shared" si="446"/>
        <v>-0.13282242592906646</v>
      </c>
      <c r="BE83" s="128">
        <f t="shared" si="446"/>
        <v>-0.13073149762084368</v>
      </c>
      <c r="BF83" s="128">
        <f t="shared" si="446"/>
        <v>-0.12371596789920547</v>
      </c>
      <c r="BG83" s="128">
        <f t="shared" si="446"/>
        <v>-8.4945984324166113E-2</v>
      </c>
      <c r="BH83" s="128">
        <f t="shared" si="446"/>
        <v>-6.9296026118081833E-2</v>
      </c>
      <c r="BI83" s="244">
        <f t="shared" si="446"/>
        <v>-0.10205142603774831</v>
      </c>
      <c r="BJ83" s="128">
        <f t="shared" si="446"/>
        <v>-5.2556704530603349E-2</v>
      </c>
      <c r="BK83" s="128">
        <f t="shared" si="446"/>
        <v>-6.0605442762007522E-2</v>
      </c>
      <c r="BL83" s="128">
        <f t="shared" si="446"/>
        <v>-0.10871282908637436</v>
      </c>
      <c r="BM83" s="128">
        <f t="shared" si="446"/>
        <v>-7.4647337224682309E-2</v>
      </c>
      <c r="BN83" s="244">
        <f t="shared" si="446"/>
        <v>-7.4502255013243701E-2</v>
      </c>
      <c r="BO83" s="128">
        <f t="shared" si="446"/>
        <v>-9.9269355518260438E-2</v>
      </c>
      <c r="BP83" s="128">
        <f t="shared" si="446"/>
        <v>-6.0706638270310198E-2</v>
      </c>
      <c r="BQ83" s="128">
        <f t="shared" si="446"/>
        <v>-4.3813317321527823E-2</v>
      </c>
      <c r="BR83" s="128">
        <f t="shared" si="446"/>
        <v>-5.1828788071133003E-2</v>
      </c>
      <c r="BS83" s="244">
        <f t="shared" ref="BS83:DA83" si="447">BS82/BN82-1</f>
        <v>-6.4002764463774509E-2</v>
      </c>
      <c r="BT83" s="128">
        <f t="shared" si="447"/>
        <v>-5.3448036492160123E-2</v>
      </c>
      <c r="BU83" s="128">
        <f t="shared" si="447"/>
        <v>-8.8302385807452533E-2</v>
      </c>
      <c r="BV83" s="128">
        <f t="shared" si="447"/>
        <v>-8.6086627547044436E-2</v>
      </c>
      <c r="BW83" s="128">
        <f t="shared" si="447"/>
        <v>-0.11496413344196388</v>
      </c>
      <c r="BX83" s="244">
        <f t="shared" si="447"/>
        <v>-8.6390148694170277E-2</v>
      </c>
      <c r="BY83" s="128">
        <f t="shared" si="447"/>
        <v>-0.13182184188429413</v>
      </c>
      <c r="BZ83" s="128">
        <f t="shared" si="447"/>
        <v>-0.16021179269600183</v>
      </c>
      <c r="CA83" s="128">
        <f t="shared" si="447"/>
        <v>-0.28666684756762284</v>
      </c>
      <c r="CB83" s="128">
        <f t="shared" si="447"/>
        <v>-0.13226623146495564</v>
      </c>
      <c r="CC83" s="244">
        <f t="shared" si="447"/>
        <v>-0.1782468716985256</v>
      </c>
      <c r="CD83" s="128">
        <f t="shared" si="447"/>
        <v>-0.14229245715159089</v>
      </c>
      <c r="CE83" s="128">
        <f t="shared" si="447"/>
        <v>-0.1285723549835428</v>
      </c>
      <c r="CF83" s="128">
        <f t="shared" si="447"/>
        <v>1.7598161084848574E-3</v>
      </c>
      <c r="CG83" s="128">
        <f t="shared" si="447"/>
        <v>-0.15013290146575642</v>
      </c>
      <c r="CH83" s="244">
        <f t="shared" si="447"/>
        <v>-0.10902969781103844</v>
      </c>
      <c r="CI83" s="128">
        <f t="shared" si="447"/>
        <v>-9.6485310201010033E-2</v>
      </c>
      <c r="CJ83" s="128">
        <f t="shared" si="447"/>
        <v>-6.6502820609856461E-2</v>
      </c>
      <c r="CK83" s="128">
        <f t="shared" si="447"/>
        <v>-0.10455818600437938</v>
      </c>
      <c r="CL83" s="128">
        <f t="shared" si="447"/>
        <v>-1.0988817370578663E-2</v>
      </c>
      <c r="CM83" s="244">
        <f t="shared" si="447"/>
        <v>-6.998273023234669E-2</v>
      </c>
      <c r="CN83" s="128">
        <f t="shared" si="447"/>
        <v>-8.4236178102807036E-2</v>
      </c>
      <c r="CO83" s="128">
        <f t="shared" si="447"/>
        <v>-9.8786193399413635E-2</v>
      </c>
      <c r="CP83" s="128">
        <f t="shared" si="447"/>
        <v>-2.1724701930057932E-2</v>
      </c>
      <c r="CQ83" s="128">
        <f t="shared" si="447"/>
        <v>-5.613546141073511E-2</v>
      </c>
      <c r="CR83" s="110">
        <f t="shared" si="447"/>
        <v>-6.5733752783477817E-2</v>
      </c>
      <c r="CS83" s="128">
        <f t="shared" si="447"/>
        <v>1.3670523547076123</v>
      </c>
      <c r="CT83" s="128">
        <f t="shared" si="447"/>
        <v>1.3647347704331292</v>
      </c>
      <c r="CU83" s="128">
        <f t="shared" si="447"/>
        <v>1.4063074714985451</v>
      </c>
      <c r="CV83" s="128">
        <f t="shared" si="447"/>
        <v>1.3749041897007475</v>
      </c>
      <c r="CW83" s="110">
        <f>CW82/CR82-1</f>
        <v>1.3774475459575548</v>
      </c>
      <c r="CX83" s="128">
        <f t="shared" si="447"/>
        <v>6.4596289853991795E-2</v>
      </c>
      <c r="CY83" s="128">
        <f t="shared" si="447"/>
        <v>-2.0730392276172682E-2</v>
      </c>
      <c r="CZ83" s="128">
        <f t="shared" si="447"/>
        <v>-6.9416063378194059E-2</v>
      </c>
      <c r="DA83" s="128">
        <f t="shared" si="447"/>
        <v>-4.8770087656304528E-2</v>
      </c>
      <c r="DB83" s="110">
        <f t="shared" ref="DB83:DT83" si="448">DB82/CW82-1</f>
        <v>-2.0398599158655606E-2</v>
      </c>
      <c r="DC83" s="128">
        <f t="shared" si="448"/>
        <v>-6.9161275823173107E-2</v>
      </c>
      <c r="DD83" s="128">
        <f t="shared" si="448"/>
        <v>-0.11923820531866691</v>
      </c>
      <c r="DE83" s="128">
        <f t="shared" si="448"/>
        <v>-0.1655241720822398</v>
      </c>
      <c r="DF83" s="128">
        <f t="shared" si="448"/>
        <v>-0.14145558776265188</v>
      </c>
      <c r="DG83" s="110">
        <f t="shared" si="448"/>
        <v>-0.1225884760544198</v>
      </c>
      <c r="DH83" s="128">
        <f t="shared" si="448"/>
        <v>-0.18804637111616351</v>
      </c>
      <c r="DI83" s="128">
        <f t="shared" si="448"/>
        <v>-7.973603367777693E-2</v>
      </c>
      <c r="DJ83" s="128">
        <f t="shared" si="448"/>
        <v>2.9554417393075738E-2</v>
      </c>
      <c r="DK83" s="128">
        <f t="shared" si="448"/>
        <v>-8.2969401433475087E-2</v>
      </c>
      <c r="DL83" s="110">
        <f t="shared" si="448"/>
        <v>-8.4883888657321438E-2</v>
      </c>
      <c r="DM83" s="128">
        <f t="shared" si="448"/>
        <v>5.1035766531148496E-2</v>
      </c>
      <c r="DN83" s="128">
        <f t="shared" si="448"/>
        <v>-7.6595660480883732E-3</v>
      </c>
      <c r="DO83" s="128">
        <f t="shared" si="448"/>
        <v>-1.030004798491635E-2</v>
      </c>
      <c r="DP83" s="128">
        <f t="shared" si="448"/>
        <v>-3.3240091177885733E-2</v>
      </c>
      <c r="DQ83" s="110">
        <f>DQ82/DL82-1</f>
        <v>-3.1210214752797061E-4</v>
      </c>
      <c r="DR83" s="128">
        <f t="shared" si="448"/>
        <v>-0.11969106878389935</v>
      </c>
      <c r="DS83" s="128">
        <f t="shared" si="448"/>
        <v>-0.18155410872136724</v>
      </c>
      <c r="DT83" s="128">
        <f t="shared" si="448"/>
        <v>-0.23650085976630442</v>
      </c>
      <c r="DU83" s="128">
        <f>DU82/DP82-1</f>
        <v>-0.20934645210437619</v>
      </c>
      <c r="DV83" s="110">
        <f>DV82/DQ82-1</f>
        <v>-0.18694169929940485</v>
      </c>
      <c r="DW83" s="128">
        <f>DW82/DR82-1</f>
        <v>-0.30106698948526012</v>
      </c>
      <c r="DX83" s="128">
        <f>DX82/DS82-1</f>
        <v>-0.26465809354800951</v>
      </c>
      <c r="DY83" s="128">
        <f>DY82/DT82-1</f>
        <v>-0.21476530298175767</v>
      </c>
      <c r="DZ83" s="128">
        <f t="shared" ref="DZ83:EA83" si="449">DZ82/DU82-1</f>
        <v>-0.19908651936042743</v>
      </c>
      <c r="EA83" s="110">
        <f t="shared" si="449"/>
        <v>-0.24775610461273512</v>
      </c>
      <c r="EB83" s="128">
        <f>EB82/DW82-1</f>
        <v>-9.9494166346335011E-2</v>
      </c>
      <c r="EC83" s="128">
        <f>EC82/DX82-1</f>
        <v>-4.5761650626933159E-2</v>
      </c>
      <c r="ED83" s="128">
        <f>ED82/DY82-1</f>
        <v>-0.10414560208045209</v>
      </c>
      <c r="EE83" s="128">
        <f t="shared" ref="EE83" si="450">EE82/DZ82-1</f>
        <v>-0.11245388240357124</v>
      </c>
      <c r="EF83" s="110">
        <f t="shared" ref="EF83" si="451">EF82/EA82-1</f>
        <v>-8.9776026466081182E-2</v>
      </c>
      <c r="EG83" s="128">
        <f>EG82/EB82-1</f>
        <v>-0.20189099778504283</v>
      </c>
      <c r="EH83" s="128">
        <f>EH82/EC82-1</f>
        <v>-0.14520990618432283</v>
      </c>
      <c r="EI83" s="128">
        <f>EI82/ED82-1</f>
        <v>-0.11660852059442417</v>
      </c>
      <c r="EJ83" s="128">
        <f t="shared" ref="EJ83" si="452">EJ82/EE82-1</f>
        <v>-0.28692660003748871</v>
      </c>
      <c r="EK83" s="110">
        <f t="shared" ref="EK83" si="453">EK82/EF82-1</f>
        <v>-0.18618599417406523</v>
      </c>
      <c r="EL83" s="128"/>
      <c r="EM83" s="128"/>
      <c r="EN83" s="128"/>
      <c r="EO83" s="128"/>
      <c r="EP83" s="110"/>
      <c r="EQ83" s="128">
        <f>EQ82/EL82-1</f>
        <v>-0.14677484787018258</v>
      </c>
      <c r="ER83" s="128">
        <f>ER82/EM82-1</f>
        <v>-0.19428075344628026</v>
      </c>
      <c r="ES83" s="128">
        <f>ES82/EN82-1</f>
        <v>-0.15027588445309981</v>
      </c>
      <c r="ET83" s="128">
        <f t="shared" ref="ET83" si="454">ET82/EO82-1</f>
        <v>-0.14084709260588668</v>
      </c>
      <c r="EU83" s="110">
        <f t="shared" ref="EU83" si="455">EU82/EP82-1</f>
        <v>-0.16172297509534428</v>
      </c>
      <c r="EV83" s="43"/>
      <c r="EW83" s="43"/>
      <c r="EX83" s="43"/>
      <c r="EY83" s="43"/>
      <c r="EZ83" s="110">
        <f>EZ82/EU82-1</f>
        <v>-5.5413637256828463E-2</v>
      </c>
      <c r="FA83" s="43"/>
      <c r="FB83" s="43"/>
      <c r="FC83" s="43"/>
      <c r="FD83" s="43"/>
      <c r="FE83" s="110">
        <f>FE82/EZ82-1</f>
        <v>-6.7225045485915236E-2</v>
      </c>
      <c r="FF83" s="133"/>
      <c r="FG83" s="437"/>
      <c r="FL83" s="408"/>
      <c r="FM83" s="408"/>
      <c r="FN83" s="380"/>
      <c r="FO83" s="380"/>
      <c r="FP83" s="380"/>
      <c r="FQ83" s="380"/>
      <c r="FR83" s="380"/>
      <c r="FS83" s="369"/>
      <c r="FT83" s="190"/>
    </row>
    <row r="84" spans="1:183" ht="12.75" customHeight="1" x14ac:dyDescent="0.2">
      <c r="A84" s="81" t="s">
        <v>90</v>
      </c>
      <c r="B84" s="159"/>
      <c r="C84" s="159"/>
      <c r="D84" s="159"/>
      <c r="E84" s="159"/>
      <c r="F84" s="259"/>
      <c r="G84" s="159">
        <f>G79/G$16*4</f>
        <v>0.36101886792452831</v>
      </c>
      <c r="H84" s="159">
        <f>H79/H$16*4</f>
        <v>0.41712217194570134</v>
      </c>
      <c r="I84" s="159">
        <f>I79/I$16*4</f>
        <v>0.44538983050847453</v>
      </c>
      <c r="J84" s="159">
        <f>J79/J$16*4</f>
        <v>0.48790204081632654</v>
      </c>
      <c r="K84" s="259">
        <f>K79/K$16</f>
        <v>0.42757391304347825</v>
      </c>
      <c r="L84" s="159">
        <f>L79/L$16*4</f>
        <v>0.49301587301587302</v>
      </c>
      <c r="M84" s="159">
        <f>M79/M$16*4</f>
        <v>0.47518796992481205</v>
      </c>
      <c r="N84" s="159">
        <f>N79/N$16*4</f>
        <v>0.47070036101083029</v>
      </c>
      <c r="O84" s="159">
        <f>O79/O$16*4</f>
        <v>0.85268571428571416</v>
      </c>
      <c r="P84" s="259">
        <f>P79/P$16</f>
        <v>0.5846943396226415</v>
      </c>
      <c r="Q84" s="159">
        <f>Q79/Q$16*4</f>
        <v>0.54422456140350883</v>
      </c>
      <c r="R84" s="159">
        <f>R79/R$16*4</f>
        <v>0.57284353741496596</v>
      </c>
      <c r="S84" s="159">
        <f>S79/S$16*4</f>
        <v>0.55814379084967325</v>
      </c>
      <c r="T84" s="159">
        <f>T79/T$16*4</f>
        <v>1.1040958083832335</v>
      </c>
      <c r="U84" s="259">
        <f>U79/U$16</f>
        <v>0.67639498432601886</v>
      </c>
      <c r="V84" s="159">
        <f>V79/V$16*4</f>
        <v>0.68499999999999994</v>
      </c>
      <c r="W84" s="159">
        <f>W79/W$16*4</f>
        <v>0.67281940700808629</v>
      </c>
      <c r="X84" s="159">
        <f>X79/X$16*4</f>
        <v>0.68668750000000001</v>
      </c>
      <c r="Y84" s="159">
        <f>Y79/Y$16*4</f>
        <v>0.77165482233502536</v>
      </c>
      <c r="Z84" s="259">
        <f>Z79/Z$16</f>
        <v>0.70552785145888586</v>
      </c>
      <c r="AA84" s="159">
        <f>AA79/AA$16*4</f>
        <v>0.76258064516129032</v>
      </c>
      <c r="AB84" s="159">
        <f>AB79/AB$16*4</f>
        <v>0.81285024154589369</v>
      </c>
      <c r="AC84" s="159">
        <f>AC79/AC$16*4</f>
        <v>0.82478321678321675</v>
      </c>
      <c r="AD84" s="159">
        <f>AD79/AD$16*4</f>
        <v>0.80816252821670476</v>
      </c>
      <c r="AE84" s="259">
        <f>AE79/AE$16</f>
        <v>0.80123404255319153</v>
      </c>
      <c r="AF84" s="159">
        <f>AF79/AF$16*4</f>
        <v>0.79464900662251658</v>
      </c>
      <c r="AG84" s="159">
        <f>AG79/AG$16*4</f>
        <v>0.78836051502145921</v>
      </c>
      <c r="AH84" s="159">
        <f>AH79/AH$16*4</f>
        <v>0.80267782426778245</v>
      </c>
      <c r="AI84" s="159">
        <f>AI79/AI$16*4</f>
        <v>0.8559338842975206</v>
      </c>
      <c r="AJ84" s="259">
        <f>AJ79/AJ$16</f>
        <v>0.81654389721627396</v>
      </c>
      <c r="AK84" s="159">
        <f>AK79/AK$16*4</f>
        <v>0.82424539877300607</v>
      </c>
      <c r="AL84" s="159">
        <f>AL79/AL$16*4</f>
        <v>0.81069879518072296</v>
      </c>
      <c r="AM84" s="159">
        <f>AM79/AM$16*4</f>
        <v>0.79061960784313723</v>
      </c>
      <c r="AN84" s="159">
        <f>AN79/AN$16*4</f>
        <v>0.78156454720616575</v>
      </c>
      <c r="AO84" s="259">
        <f>AO79/AO$16</f>
        <v>0.80140476190476195</v>
      </c>
      <c r="AP84" s="159">
        <f>AP79/AP$16*4</f>
        <v>0.76825904761904762</v>
      </c>
      <c r="AQ84" s="159">
        <f>AQ79/AQ$16*4</f>
        <v>0.75600744878957171</v>
      </c>
      <c r="AR84" s="159">
        <f>AR79/AR$16*4</f>
        <v>0.75114025500910742</v>
      </c>
      <c r="AS84" s="159">
        <f>AS79/AS$16*4</f>
        <v>0.71149640287769778</v>
      </c>
      <c r="AT84" s="259">
        <f>AT79/AT$16</f>
        <v>0.74735674676524966</v>
      </c>
      <c r="AU84" s="159">
        <f>AU79/AU$16*4</f>
        <v>0.70273015873015865</v>
      </c>
      <c r="AV84" s="159">
        <f>AV79/AV$16*4</f>
        <v>0.68706368330464718</v>
      </c>
      <c r="AW84" s="159">
        <f>AW79/AW$16*4</f>
        <v>0.66446666666666665</v>
      </c>
      <c r="AX84" s="159">
        <f>AX79/AX$16*4</f>
        <v>0.64985113268608419</v>
      </c>
      <c r="AY84" s="259">
        <f>AY79/AY$16</f>
        <v>0.67479729729729732</v>
      </c>
      <c r="AZ84" s="159">
        <f>AZ79/AZ$16*4</f>
        <v>0.6296267942583732</v>
      </c>
      <c r="BA84" s="159">
        <f>BA79/BA$16*4</f>
        <v>0.61374647887323952</v>
      </c>
      <c r="BB84" s="159">
        <f>BB79/BB$16*4</f>
        <v>0.60314893617021281</v>
      </c>
      <c r="BC84" s="159">
        <f>BC79/BC$16*4</f>
        <v>0.5704896755162242</v>
      </c>
      <c r="BD84" s="259">
        <f>BD79/BD$16</f>
        <v>0.59856097560975607</v>
      </c>
      <c r="BE84" s="159">
        <f>BE79/BE$16*4</f>
        <v>0.55224137931034489</v>
      </c>
      <c r="BF84" s="159">
        <f>BF79/BF$16*4</f>
        <v>0.54100564971751408</v>
      </c>
      <c r="BG84" s="159">
        <f>BG79/BG$16*4</f>
        <v>0.54119887955182078</v>
      </c>
      <c r="BH84" s="159">
        <f>BH79/BH$16*4</f>
        <v>0.53726788218793831</v>
      </c>
      <c r="BI84" s="259">
        <f>BI79/BI$16</f>
        <v>0.5496709585121603</v>
      </c>
      <c r="BJ84" s="159">
        <f>BJ79/BJ$16*4</f>
        <v>0.53148459383753499</v>
      </c>
      <c r="BK84" s="159">
        <f>BK79/BK$16*4</f>
        <v>0.51862068965517238</v>
      </c>
      <c r="BL84" s="159">
        <f>BL79/BL$16*4</f>
        <v>0.50586956521739135</v>
      </c>
      <c r="BM84" s="159">
        <f>BM79/BM$16*4</f>
        <v>0.50072483221476516</v>
      </c>
      <c r="BN84" s="259">
        <f>BN79/BN$16</f>
        <v>0.51398630136986301</v>
      </c>
      <c r="BO84" s="159">
        <f>BO79/BO$16*4</f>
        <v>0.47872340425531917</v>
      </c>
      <c r="BP84" s="159">
        <f>BP79/BP$16*4</f>
        <v>0.48677248677248675</v>
      </c>
      <c r="BQ84" s="159">
        <f>BQ79/BQ$16*4</f>
        <v>0.48167539267015708</v>
      </c>
      <c r="BR84" s="159">
        <f>BR79/BR$16*4</f>
        <v>0.47606727037516172</v>
      </c>
      <c r="BS84" s="259">
        <f>BS79/BS$16</f>
        <v>0.4796854521625164</v>
      </c>
      <c r="BT84" s="159">
        <f>BT79/BT$16*4</f>
        <v>0.46094750320102434</v>
      </c>
      <c r="BU84" s="159">
        <f>BU79/BU$16*4</f>
        <v>0.44110275689223055</v>
      </c>
      <c r="BV84" s="159">
        <f>BV79/BV$16*4</f>
        <v>0.43902439024390244</v>
      </c>
      <c r="BW84" s="159">
        <f>BW79/BW$16*4</f>
        <v>0.43269230769230771</v>
      </c>
      <c r="BX84" s="259">
        <f>BX79/BX$16</f>
        <v>0.44472049689440996</v>
      </c>
      <c r="BY84" s="159">
        <f>BY79/BY$16*4</f>
        <v>0.40903686087990487</v>
      </c>
      <c r="BZ84" s="159">
        <f>BZ79/BZ$16*4</f>
        <v>0.39160839160839161</v>
      </c>
      <c r="CA84" s="159">
        <f>CA79/CA$16*4</f>
        <v>0.32989690721649484</v>
      </c>
      <c r="CB84" s="159">
        <f>CB79/CB$16*4</f>
        <v>0.38009049773755654</v>
      </c>
      <c r="CC84" s="259">
        <f>CC79/CC$16</f>
        <v>0.37819025522041766</v>
      </c>
      <c r="CD84" s="159">
        <f>CD79/CD$16*4</f>
        <v>0.359375</v>
      </c>
      <c r="CE84" s="159">
        <f>CE79/CE$16*4</f>
        <v>0.34392113910186201</v>
      </c>
      <c r="CF84" s="159">
        <f>CF79/CF$16*4</f>
        <v>0.33511205976520814</v>
      </c>
      <c r="CG84" s="159">
        <f>CG79/CG$16*4</f>
        <v>0.32845188284518828</v>
      </c>
      <c r="CH84" s="259">
        <f>CH79/CH$16</f>
        <v>0.34125269978401729</v>
      </c>
      <c r="CI84" s="159">
        <f>CI79/CI$16*4</f>
        <v>0.3216494845360825</v>
      </c>
      <c r="CJ84" s="159">
        <f>CJ79/CJ$16*4</f>
        <v>0.32355915065722951</v>
      </c>
      <c r="CK84" s="159">
        <f>CK79/CK$16*4</f>
        <v>0.30069238377843721</v>
      </c>
      <c r="CL84" s="159">
        <f>CL79/CL$16*4</f>
        <v>0.31813773035887488</v>
      </c>
      <c r="CM84" s="259">
        <f>CM79/CM$16</f>
        <v>0.31568431568431571</v>
      </c>
      <c r="CN84" s="159">
        <f>CN79/CN$16*4</f>
        <v>0.2903533906399236</v>
      </c>
      <c r="CO84" s="159">
        <f>CO79/CO$16*4</f>
        <v>0.28625235404896421</v>
      </c>
      <c r="CP84" s="159">
        <f>CP79/CP$16*4</f>
        <v>0.28331780055917988</v>
      </c>
      <c r="CQ84" s="159">
        <f>CQ79/CQ$16*4</f>
        <v>0.29023255813953486</v>
      </c>
      <c r="CR84" s="100">
        <f>CR79/CR$16</f>
        <v>0.28949858088930935</v>
      </c>
      <c r="CS84" s="159">
        <f>CS79/CS$16*4</f>
        <v>0.6959141914191419</v>
      </c>
      <c r="CT84" s="159">
        <f>CT79/CT$16*4</f>
        <v>0.63549778434268833</v>
      </c>
      <c r="CU84" s="159">
        <f>CU79/CU$16*4</f>
        <v>0.63312941176470594</v>
      </c>
      <c r="CV84" s="159">
        <f>CV79/CV$16*4</f>
        <v>0.62899705014749263</v>
      </c>
      <c r="CW84" s="100">
        <f>CW79/CW$16</f>
        <v>0.70500990099009897</v>
      </c>
      <c r="CX84" s="159">
        <f>CX79/CX$16*4</f>
        <v>0.63563367799113735</v>
      </c>
      <c r="CY84" s="159">
        <f>CY79/CY$16*4</f>
        <v>0.62307127112417338</v>
      </c>
      <c r="CZ84" s="159">
        <f>CZ79/CZ$16*4</f>
        <v>0.60410557184750735</v>
      </c>
      <c r="DA84" s="159">
        <f>DA79/DA$16*4</f>
        <v>0.61988304093567248</v>
      </c>
      <c r="DB84" s="100">
        <f>DB79/DB$16</f>
        <v>0.62098603967670829</v>
      </c>
      <c r="DC84" s="159">
        <f>DC79/DC$16*4</f>
        <v>0.62280813953488368</v>
      </c>
      <c r="DD84" s="159">
        <f>DD79/DD$16*4</f>
        <v>0.5722543352601156</v>
      </c>
      <c r="DE84" s="159">
        <f>DE79/DE$16*4</f>
        <v>0.51687006460875806</v>
      </c>
      <c r="DF84" s="159">
        <f>DF79/DF$16*4</f>
        <v>0.53256979241231206</v>
      </c>
      <c r="DG84" s="100">
        <f>DG79/DG$16</f>
        <v>0.56231647398843931</v>
      </c>
      <c r="DH84" s="159">
        <f>DH79/DH$16*4</f>
        <v>0.50574712643678166</v>
      </c>
      <c r="DI84" s="159">
        <f>DI79/DI$16*4</f>
        <v>0.51835853131749465</v>
      </c>
      <c r="DJ84" s="159">
        <f>DJ79/DJ$16*4</f>
        <v>0.53064167267483775</v>
      </c>
      <c r="DK84" s="159">
        <f>DK79/DK$16*4</f>
        <v>0.49062049062049062</v>
      </c>
      <c r="DL84" s="100">
        <f>DL79/DL$16</f>
        <v>0.51005747126436785</v>
      </c>
      <c r="DM84" s="159">
        <f>DM79/DM$16*4</f>
        <v>0.53525179856115113</v>
      </c>
      <c r="DN84" s="159">
        <f>DN79/DN$16*4</f>
        <v>0.52873563218390807</v>
      </c>
      <c r="DO84" s="159">
        <f>DO79/DO$16*4</f>
        <v>0.5337200870195794</v>
      </c>
      <c r="DP84" s="159">
        <f>DP79/DP$16*4</f>
        <v>0.49303008070432869</v>
      </c>
      <c r="DQ84" s="100">
        <f>DQ79/DQ$16</f>
        <v>0.52547307132459975</v>
      </c>
      <c r="DR84" s="159">
        <f>DR79/DR$16*4</f>
        <v>0.47787610619469029</v>
      </c>
      <c r="DS84" s="159">
        <f>DS79/DS$16*4</f>
        <v>0.44150110375275936</v>
      </c>
      <c r="DT84" s="159">
        <f>DT79/DT$16*4</f>
        <v>0.41520467836257308</v>
      </c>
      <c r="DU84" s="159">
        <f>DU79/DU$16*4</f>
        <v>0.40296296296296297</v>
      </c>
      <c r="DV84" s="100">
        <f>DV79/DV$16</f>
        <v>0.43866171003717475</v>
      </c>
      <c r="DW84" s="159">
        <f>DW79/DW$16*4</f>
        <v>0.35714285714285715</v>
      </c>
      <c r="DX84" s="159">
        <f>DX79/DX$16*4</f>
        <v>0.34502923976608185</v>
      </c>
      <c r="DY84" s="159">
        <f>DY79/DY$16*4</f>
        <v>0.34757422157856627</v>
      </c>
      <c r="DZ84" s="159">
        <f>DZ79/DZ$16*4</f>
        <v>0.33810888252148996</v>
      </c>
      <c r="EA84" s="100">
        <f>EA79/EA$16</f>
        <v>0.34769905040175308</v>
      </c>
      <c r="EB84" s="159">
        <f>EB79/EB$16*4</f>
        <v>0.33286318758815231</v>
      </c>
      <c r="EC84" s="159">
        <f>EC79/EC$16*4</f>
        <v>0.32937892533147245</v>
      </c>
      <c r="ED84" s="159">
        <f>ED79/ED$16*4</f>
        <v>0.31263084438241451</v>
      </c>
      <c r="EE84" s="159">
        <f>EE79/EE$16*4</f>
        <v>0.30619345859429364</v>
      </c>
      <c r="EF84" s="100">
        <f>EF79/EF$16</f>
        <v>0.3209530483531885</v>
      </c>
      <c r="EG84" s="159">
        <f>EG79/EG$16*4</f>
        <v>0.27034482758620687</v>
      </c>
      <c r="EH84" s="159">
        <f>EH79/EH$16*4</f>
        <v>0.29001367989056087</v>
      </c>
      <c r="EI84" s="159">
        <f>EI79/EI$16*4</f>
        <v>0.28691983122362869</v>
      </c>
      <c r="EJ84" s="159">
        <f>EJ79/EJ$16*4</f>
        <v>0.22972002871500358</v>
      </c>
      <c r="EK84" s="100">
        <f>EK79/EK$16</f>
        <v>0.27011896431070681</v>
      </c>
      <c r="EL84" s="159">
        <f>EL79/EL$16*4</f>
        <v>0.29793103448275859</v>
      </c>
      <c r="EM84" s="159">
        <f>EM79/EM$16*4</f>
        <v>0.29001367989056087</v>
      </c>
      <c r="EN84" s="159">
        <f>EN79/EN$16*4</f>
        <v>0.28691983122362869</v>
      </c>
      <c r="EO84" s="159">
        <f>EO79/EO$16*4</f>
        <v>0.22972002871500358</v>
      </c>
      <c r="EP84" s="100">
        <f>EP79/EP$16</f>
        <v>0.28045325779036828</v>
      </c>
      <c r="EQ84" s="158">
        <f>EL84*(1+EQ85)</f>
        <v>0.26217931034482755</v>
      </c>
      <c r="ER84" s="158">
        <f>EM84*(1+ER85)</f>
        <v>0.24071135430916552</v>
      </c>
      <c r="ES84" s="158">
        <f>EN84*(1+ES85)</f>
        <v>0.24101265822784809</v>
      </c>
      <c r="ET84" s="158">
        <f>EO84*(1+ET85)</f>
        <v>0.20215362526920314</v>
      </c>
      <c r="EU84" s="100">
        <f>EU79/EU$16</f>
        <v>0.2397234955478679</v>
      </c>
      <c r="EV84" s="158"/>
      <c r="EW84" s="158"/>
      <c r="EX84" s="158"/>
      <c r="EY84" s="158"/>
      <c r="EZ84" s="100">
        <f>EU84*(1+EZ85)</f>
        <v>0.22773732077047448</v>
      </c>
      <c r="FA84" s="158"/>
      <c r="FB84" s="158"/>
      <c r="FC84" s="158"/>
      <c r="FD84" s="158"/>
      <c r="FE84" s="100">
        <f>EZ84*(1+FE85)</f>
        <v>0.21635045473195075</v>
      </c>
      <c r="FF84" s="158"/>
      <c r="FG84" s="449"/>
      <c r="FL84" s="421"/>
      <c r="FM84" s="421"/>
      <c r="FN84" s="382"/>
      <c r="FO84" s="382"/>
      <c r="FP84" s="382"/>
      <c r="FQ84" s="382"/>
      <c r="FR84" s="380"/>
      <c r="FS84" s="382"/>
      <c r="FT84" s="190"/>
    </row>
    <row r="85" spans="1:183" ht="12.75" customHeight="1" x14ac:dyDescent="0.2">
      <c r="A85" s="60" t="s">
        <v>244</v>
      </c>
      <c r="B85" s="128"/>
      <c r="C85" s="128"/>
      <c r="D85" s="128"/>
      <c r="E85" s="128"/>
      <c r="F85" s="244"/>
      <c r="G85" s="128"/>
      <c r="H85" s="128"/>
      <c r="I85" s="128"/>
      <c r="J85" s="128"/>
      <c r="K85" s="244"/>
      <c r="L85" s="128">
        <f t="shared" ref="L85:U85" si="456">L84/G84-1</f>
        <v>0.36562356380481176</v>
      </c>
      <c r="M85" s="128">
        <f t="shared" si="456"/>
        <v>0.13920573367811628</v>
      </c>
      <c r="N85" s="128">
        <f t="shared" si="456"/>
        <v>5.6827814127368592E-2</v>
      </c>
      <c r="O85" s="128">
        <f t="shared" si="456"/>
        <v>0.74765760942310244</v>
      </c>
      <c r="P85" s="244">
        <f t="shared" si="456"/>
        <v>0.36746962755696999</v>
      </c>
      <c r="Q85" s="128">
        <f t="shared" si="456"/>
        <v>0.10386823465618344</v>
      </c>
      <c r="R85" s="128">
        <f t="shared" si="456"/>
        <v>0.2055093429776973</v>
      </c>
      <c r="S85" s="128">
        <f t="shared" si="456"/>
        <v>0.18577302479874458</v>
      </c>
      <c r="T85" s="128">
        <f t="shared" si="456"/>
        <v>0.29484497029262768</v>
      </c>
      <c r="U85" s="244">
        <f t="shared" si="456"/>
        <v>0.15683518462409007</v>
      </c>
      <c r="V85" s="128">
        <f t="shared" ref="V85:BR85" si="457">V84/Q84-1</f>
        <v>0.25867160099030295</v>
      </c>
      <c r="W85" s="128">
        <f t="shared" si="457"/>
        <v>0.17452561312688442</v>
      </c>
      <c r="X85" s="128">
        <f t="shared" si="457"/>
        <v>0.23030572275048011</v>
      </c>
      <c r="Y85" s="128">
        <f t="shared" si="457"/>
        <v>-0.30109795139519024</v>
      </c>
      <c r="Z85" s="244">
        <f t="shared" si="457"/>
        <v>4.3070791191475166E-2</v>
      </c>
      <c r="AA85" s="128">
        <f t="shared" si="457"/>
        <v>0.11325641629385452</v>
      </c>
      <c r="AB85" s="128">
        <f t="shared" si="457"/>
        <v>0.20812543912860781</v>
      </c>
      <c r="AC85" s="128">
        <f t="shared" si="457"/>
        <v>0.2011041656986865</v>
      </c>
      <c r="AD85" s="128">
        <f t="shared" si="457"/>
        <v>4.7310928183157408E-2</v>
      </c>
      <c r="AE85" s="244">
        <f t="shared" si="457"/>
        <v>0.13565189651465226</v>
      </c>
      <c r="AF85" s="128">
        <f t="shared" si="457"/>
        <v>4.2052419851861922E-2</v>
      </c>
      <c r="AG85" s="128">
        <f t="shared" si="457"/>
        <v>-3.0128214611660153E-2</v>
      </c>
      <c r="AH85" s="128">
        <f t="shared" si="457"/>
        <v>-2.6801457723216959E-2</v>
      </c>
      <c r="AI85" s="128">
        <f t="shared" si="457"/>
        <v>5.9111075325687601E-2</v>
      </c>
      <c r="AJ85" s="244">
        <f t="shared" si="457"/>
        <v>1.9107843463935348E-2</v>
      </c>
      <c r="AK85" s="128">
        <f t="shared" si="457"/>
        <v>3.7244609763350089E-2</v>
      </c>
      <c r="AL85" s="128">
        <f t="shared" si="457"/>
        <v>2.8335107775730783E-2</v>
      </c>
      <c r="AM85" s="128">
        <f t="shared" si="457"/>
        <v>-1.5022486058643647E-2</v>
      </c>
      <c r="AN85" s="128">
        <f t="shared" si="457"/>
        <v>-8.688677765385E-2</v>
      </c>
      <c r="AO85" s="244">
        <f t="shared" si="457"/>
        <v>-1.8540503900799088E-2</v>
      </c>
      <c r="AP85" s="128">
        <f t="shared" si="457"/>
        <v>-6.7924372083000062E-2</v>
      </c>
      <c r="AQ85" s="128">
        <f t="shared" si="457"/>
        <v>-6.7461980597811722E-2</v>
      </c>
      <c r="AR85" s="128">
        <f t="shared" si="457"/>
        <v>-4.9934699876381883E-2</v>
      </c>
      <c r="AS85" s="128">
        <f t="shared" si="457"/>
        <v>-8.9651129364731741E-2</v>
      </c>
      <c r="AT85" s="244">
        <f t="shared" si="457"/>
        <v>-6.7441594695609397E-2</v>
      </c>
      <c r="AU85" s="128">
        <f t="shared" si="457"/>
        <v>-8.5295303832702007E-2</v>
      </c>
      <c r="AV85" s="128">
        <f t="shared" si="457"/>
        <v>-9.1194558460117037E-2</v>
      </c>
      <c r="AW85" s="128">
        <f t="shared" si="457"/>
        <v>-0.11538935340562972</v>
      </c>
      <c r="AX85" s="128">
        <f t="shared" si="457"/>
        <v>-8.6641717290888431E-2</v>
      </c>
      <c r="AY85" s="244">
        <f t="shared" si="457"/>
        <v>-9.7088103883464116E-2</v>
      </c>
      <c r="AZ85" s="128">
        <f t="shared" si="457"/>
        <v>-0.10402764640681428</v>
      </c>
      <c r="BA85" s="128">
        <f t="shared" si="457"/>
        <v>-0.10671092973327545</v>
      </c>
      <c r="BB85" s="128">
        <f t="shared" si="457"/>
        <v>-9.2281123452072622E-2</v>
      </c>
      <c r="BC85" s="128">
        <f t="shared" si="457"/>
        <v>-0.12212251880185021</v>
      </c>
      <c r="BD85" s="244">
        <f t="shared" si="457"/>
        <v>-0.11297662571098532</v>
      </c>
      <c r="BE85" s="128">
        <f t="shared" si="457"/>
        <v>-0.12290680074881388</v>
      </c>
      <c r="BF85" s="128">
        <f t="shared" si="457"/>
        <v>-0.11851934252929375</v>
      </c>
      <c r="BG85" s="128">
        <f t="shared" si="457"/>
        <v>-0.10271104349740456</v>
      </c>
      <c r="BH85" s="128">
        <f t="shared" si="457"/>
        <v>-5.8233820442454398E-2</v>
      </c>
      <c r="BI85" s="244">
        <f t="shared" si="457"/>
        <v>-8.1679259239697877E-2</v>
      </c>
      <c r="BJ85" s="128">
        <f t="shared" si="457"/>
        <v>-3.7586436385356636E-2</v>
      </c>
      <c r="BK85" s="128">
        <f t="shared" si="457"/>
        <v>-4.1376573560793717E-2</v>
      </c>
      <c r="BL85" s="128">
        <f t="shared" si="457"/>
        <v>-6.5279725567219282E-2</v>
      </c>
      <c r="BM85" s="128">
        <f t="shared" si="457"/>
        <v>-6.8016442420413048E-2</v>
      </c>
      <c r="BN85" s="244">
        <f t="shared" si="457"/>
        <v>-6.4920033685039291E-2</v>
      </c>
      <c r="BO85" s="128">
        <f t="shared" si="457"/>
        <v>-9.9271343316385874E-2</v>
      </c>
      <c r="BP85" s="128">
        <f t="shared" si="457"/>
        <v>-6.1409433749859299E-2</v>
      </c>
      <c r="BQ85" s="128">
        <f t="shared" si="457"/>
        <v>-4.7826898890106384E-2</v>
      </c>
      <c r="BR85" s="128">
        <f t="shared" si="457"/>
        <v>-4.9243736785611669E-2</v>
      </c>
      <c r="BS85" s="244">
        <f t="shared" ref="BS85:DA85" si="458">BS84/BN84-1</f>
        <v>-6.6734948219298595E-2</v>
      </c>
      <c r="BT85" s="128">
        <f t="shared" si="458"/>
        <v>-3.7131882202304789E-2</v>
      </c>
      <c r="BU85" s="128">
        <f t="shared" si="458"/>
        <v>-9.3821510297482869E-2</v>
      </c>
      <c r="BV85" s="128">
        <f t="shared" si="458"/>
        <v>-8.8547189819724315E-2</v>
      </c>
      <c r="BW85" s="128">
        <f t="shared" si="458"/>
        <v>-9.1110994983277571E-2</v>
      </c>
      <c r="BX85" s="244">
        <f t="shared" si="458"/>
        <v>-7.2891423140888589E-2</v>
      </c>
      <c r="BY85" s="128">
        <f t="shared" si="458"/>
        <v>-0.11261725459109528</v>
      </c>
      <c r="BZ85" s="128">
        <f t="shared" si="458"/>
        <v>-0.11220597584233938</v>
      </c>
      <c r="CA85" s="128">
        <f t="shared" si="458"/>
        <v>-0.24856815578465064</v>
      </c>
      <c r="CB85" s="128">
        <f t="shared" si="458"/>
        <v>-0.12156862745098052</v>
      </c>
      <c r="CC85" s="244">
        <f>CC84/BX84-1</f>
        <v>-0.14960012443453574</v>
      </c>
      <c r="CD85" s="128">
        <f t="shared" si="458"/>
        <v>-0.12141170058139539</v>
      </c>
      <c r="CE85" s="128">
        <f t="shared" si="458"/>
        <v>-0.12177280550774527</v>
      </c>
      <c r="CF85" s="128">
        <f t="shared" si="458"/>
        <v>1.5808431163287118E-2</v>
      </c>
      <c r="CG85" s="128">
        <f t="shared" si="458"/>
        <v>-0.13585873680015936</v>
      </c>
      <c r="CH85" s="244">
        <f>CH84/CC84-1</f>
        <v>-9.7669241675389928E-2</v>
      </c>
      <c r="CI85" s="128">
        <f t="shared" si="458"/>
        <v>-0.10497534737785741</v>
      </c>
      <c r="CJ85" s="128">
        <f t="shared" si="458"/>
        <v>-5.9205399522132107E-2</v>
      </c>
      <c r="CK85" s="128">
        <f t="shared" si="458"/>
        <v>-0.10271094394778457</v>
      </c>
      <c r="CL85" s="128">
        <f t="shared" si="458"/>
        <v>-3.1402324130304526E-2</v>
      </c>
      <c r="CM85" s="244">
        <f>CM84/CH84-1</f>
        <v>-7.492507492507483E-2</v>
      </c>
      <c r="CN85" s="128">
        <f t="shared" si="458"/>
        <v>-9.7298753459211906E-2</v>
      </c>
      <c r="CO85" s="128">
        <f t="shared" si="458"/>
        <v>-0.11530131826741996</v>
      </c>
      <c r="CP85" s="128">
        <f t="shared" si="458"/>
        <v>-5.7781919850885433E-2</v>
      </c>
      <c r="CQ85" s="128">
        <f t="shared" si="458"/>
        <v>-8.7714123652864573E-2</v>
      </c>
      <c r="CR85" s="110">
        <f>CR84/CM84-1</f>
        <v>-8.2949115600637224E-2</v>
      </c>
      <c r="CS85" s="128">
        <f t="shared" si="458"/>
        <v>1.3967834158415839</v>
      </c>
      <c r="CT85" s="128">
        <f t="shared" si="458"/>
        <v>1.2200613387234704</v>
      </c>
      <c r="CU85" s="128">
        <f t="shared" si="458"/>
        <v>1.2346969040247679</v>
      </c>
      <c r="CV85" s="128">
        <f t="shared" si="458"/>
        <v>1.1672174003479316</v>
      </c>
      <c r="CW85" s="110">
        <f>CW84/CR84-1</f>
        <v>1.4352792985180871</v>
      </c>
      <c r="CX85" s="128">
        <f t="shared" si="458"/>
        <v>-8.6620612384808005E-2</v>
      </c>
      <c r="CY85" s="128">
        <f t="shared" si="458"/>
        <v>-1.955398354593485E-2</v>
      </c>
      <c r="CZ85" s="128">
        <f t="shared" si="458"/>
        <v>-4.5841875891219686E-2</v>
      </c>
      <c r="DA85" s="128">
        <f t="shared" si="458"/>
        <v>-1.4489748735201591E-2</v>
      </c>
      <c r="DB85" s="110">
        <f t="shared" ref="DB85:DT85" si="459">DB84/CW84-1</f>
        <v>-0.11918110823038031</v>
      </c>
      <c r="DC85" s="128">
        <f t="shared" si="459"/>
        <v>-2.0177562801246829E-2</v>
      </c>
      <c r="DD85" s="128">
        <f t="shared" si="459"/>
        <v>-8.155878503653613E-2</v>
      </c>
      <c r="DE85" s="128">
        <f t="shared" si="459"/>
        <v>-0.1444044076136578</v>
      </c>
      <c r="DF85" s="128">
        <f t="shared" si="459"/>
        <v>-0.14085439148579837</v>
      </c>
      <c r="DG85" s="110">
        <f t="shared" si="459"/>
        <v>-9.4478075092981117E-2</v>
      </c>
      <c r="DH85" s="128">
        <f t="shared" si="459"/>
        <v>-0.18795678101690161</v>
      </c>
      <c r="DI85" s="128">
        <f t="shared" si="459"/>
        <v>-9.4181556384580034E-2</v>
      </c>
      <c r="DJ85" s="128">
        <f t="shared" si="459"/>
        <v>2.6644236161179169E-2</v>
      </c>
      <c r="DK85" s="128">
        <f t="shared" si="459"/>
        <v>-7.876770779996578E-2</v>
      </c>
      <c r="DL85" s="110">
        <f t="shared" si="459"/>
        <v>-9.293521556180806E-2</v>
      </c>
      <c r="DM85" s="128">
        <f t="shared" si="459"/>
        <v>5.8338783518639525E-2</v>
      </c>
      <c r="DN85" s="128">
        <f t="shared" si="459"/>
        <v>2.0019157088122519E-2</v>
      </c>
      <c r="DO85" s="128">
        <f t="shared" si="459"/>
        <v>5.8013052936911613E-3</v>
      </c>
      <c r="DP85" s="128">
        <f t="shared" si="459"/>
        <v>4.9113115532346541E-3</v>
      </c>
      <c r="DQ85" s="110">
        <f>DQ84/DL84-1</f>
        <v>3.0223260963158971E-2</v>
      </c>
      <c r="DR85" s="128">
        <f t="shared" si="459"/>
        <v>-0.10719383385669434</v>
      </c>
      <c r="DS85" s="128">
        <f t="shared" si="459"/>
        <v>-0.16498704290238997</v>
      </c>
      <c r="DT85" s="128">
        <f t="shared" si="459"/>
        <v>-0.22205536486142896</v>
      </c>
      <c r="DU85" s="128">
        <f t="shared" ref="DU85:ED85" si="460">DU84/DP84-1</f>
        <v>-0.18268077601410937</v>
      </c>
      <c r="DV85" s="110">
        <f t="shared" si="460"/>
        <v>-0.16520610859961493</v>
      </c>
      <c r="DW85" s="128">
        <f t="shared" si="460"/>
        <v>-0.25264550264550267</v>
      </c>
      <c r="DX85" s="128">
        <f t="shared" si="460"/>
        <v>-0.21850877192982454</v>
      </c>
      <c r="DY85" s="128">
        <f t="shared" si="460"/>
        <v>-0.16288462126852343</v>
      </c>
      <c r="DZ85" s="128">
        <f t="shared" si="460"/>
        <v>-0.16094303050733194</v>
      </c>
      <c r="EA85" s="110">
        <f t="shared" si="460"/>
        <v>-0.20736402916888497</v>
      </c>
      <c r="EB85" s="128">
        <f t="shared" si="460"/>
        <v>-6.7983074753173556E-2</v>
      </c>
      <c r="EC85" s="128">
        <f t="shared" si="460"/>
        <v>-4.5359385903698479E-2</v>
      </c>
      <c r="ED85" s="128">
        <f t="shared" si="460"/>
        <v>-0.10053500814142824</v>
      </c>
      <c r="EE85" s="128">
        <f t="shared" ref="EE85" si="461">EE84/DZ84-1</f>
        <v>-9.4393923310097549E-2</v>
      </c>
      <c r="EF85" s="110">
        <f t="shared" ref="EF85:EJ85" si="462">EF84/EA84-1</f>
        <v>-7.6922850429590128E-2</v>
      </c>
      <c r="EG85" s="128">
        <f t="shared" si="462"/>
        <v>-0.18781998831092928</v>
      </c>
      <c r="EH85" s="128">
        <f t="shared" si="462"/>
        <v>-0.11951355236615735</v>
      </c>
      <c r="EI85" s="128">
        <f t="shared" si="462"/>
        <v>-8.2240807715491249E-2</v>
      </c>
      <c r="EJ85" s="128">
        <f t="shared" si="462"/>
        <v>-0.24975526985577234</v>
      </c>
      <c r="EK85" s="110">
        <f>EK84/EF84-1</f>
        <v>-0.15838479897078905</v>
      </c>
      <c r="EL85" s="128"/>
      <c r="EM85" s="128"/>
      <c r="EN85" s="128"/>
      <c r="EO85" s="128"/>
      <c r="EP85" s="110"/>
      <c r="EQ85" s="133">
        <v>-0.12</v>
      </c>
      <c r="ER85" s="133">
        <v>-0.17</v>
      </c>
      <c r="ES85" s="133">
        <v>-0.16</v>
      </c>
      <c r="ET85" s="133">
        <v>-0.12</v>
      </c>
      <c r="EU85" s="110">
        <f>EU84/EP84-1</f>
        <v>-0.14522834415760233</v>
      </c>
      <c r="EV85" s="133"/>
      <c r="EW85" s="133"/>
      <c r="EX85" s="133"/>
      <c r="EY85" s="133"/>
      <c r="EZ85" s="609">
        <v>-0.05</v>
      </c>
      <c r="FA85" s="133"/>
      <c r="FB85" s="133"/>
      <c r="FC85" s="133"/>
      <c r="FD85" s="133"/>
      <c r="FE85" s="609">
        <v>-0.05</v>
      </c>
      <c r="FF85" s="133"/>
      <c r="FG85" s="437"/>
      <c r="FL85" s="408"/>
      <c r="FM85" s="408"/>
      <c r="FN85" s="380"/>
      <c r="FO85" s="380"/>
      <c r="FP85" s="380"/>
      <c r="FQ85" s="380"/>
      <c r="FR85" s="380"/>
      <c r="FS85" s="369"/>
      <c r="FT85" s="190"/>
    </row>
    <row r="86" spans="1:183" ht="12.75" customHeight="1" x14ac:dyDescent="0.2">
      <c r="A86" s="8" t="s">
        <v>350</v>
      </c>
      <c r="B86" s="823">
        <v>21.172999999999998</v>
      </c>
      <c r="C86" s="823">
        <v>18.54</v>
      </c>
      <c r="D86" s="823">
        <v>20.538</v>
      </c>
      <c r="E86" s="823">
        <f>F86-SUM(B86:D86)</f>
        <v>22.63600000000001</v>
      </c>
      <c r="F86" s="10">
        <v>82.887</v>
      </c>
      <c r="G86" s="823">
        <v>23.141999999999999</v>
      </c>
      <c r="H86" s="823">
        <v>24.701000000000001</v>
      </c>
      <c r="I86" s="823">
        <v>25.033000000000001</v>
      </c>
      <c r="J86" s="823">
        <f>K86-SUM(G86:I86)</f>
        <v>24.721999999999994</v>
      </c>
      <c r="K86" s="10">
        <v>97.597999999999999</v>
      </c>
      <c r="L86" s="823">
        <v>26.175000000000001</v>
      </c>
      <c r="M86" s="823">
        <v>30.873999999999999</v>
      </c>
      <c r="N86" s="823">
        <v>29.658999999999999</v>
      </c>
      <c r="O86" s="823">
        <f>P86-SUM(L86:N86)</f>
        <v>35.853000000000009</v>
      </c>
      <c r="P86" s="10">
        <v>122.56100000000001</v>
      </c>
      <c r="Q86" s="823">
        <v>33.783999999999999</v>
      </c>
      <c r="R86" s="823">
        <v>35.244999999999997</v>
      </c>
      <c r="S86" s="823">
        <v>39.700000000000003</v>
      </c>
      <c r="T86" s="823">
        <f>U86-SUM(Q86:S86)</f>
        <v>54.666000000000011</v>
      </c>
      <c r="U86" s="10">
        <v>163.39500000000001</v>
      </c>
      <c r="V86" s="823">
        <v>49.902000000000001</v>
      </c>
      <c r="W86" s="823">
        <v>43.741</v>
      </c>
      <c r="X86" s="823">
        <v>48.295999999999999</v>
      </c>
      <c r="Y86" s="823">
        <v>48.369</v>
      </c>
      <c r="Z86" s="10">
        <f>SUM(V86:Y86)</f>
        <v>190.30799999999999</v>
      </c>
      <c r="AA86" s="823">
        <v>51.673000000000002</v>
      </c>
      <c r="AB86" s="823">
        <v>52.58</v>
      </c>
      <c r="AC86" s="823">
        <v>55.728999999999999</v>
      </c>
      <c r="AD86" s="823">
        <f>217.259-SUM(AA86:AC86)</f>
        <v>57.276999999999987</v>
      </c>
      <c r="AE86" s="10">
        <f>SUM(AA86:AD86)</f>
        <v>217.25899999999999</v>
      </c>
      <c r="AF86" s="823">
        <v>62.198999999999998</v>
      </c>
      <c r="AG86" s="823">
        <v>66.834000000000003</v>
      </c>
      <c r="AH86" s="823">
        <v>70.564999999999998</v>
      </c>
      <c r="AI86" s="823">
        <v>53.923000000000002</v>
      </c>
      <c r="AJ86" s="10">
        <f>SUM(AF86:AI86)</f>
        <v>253.52100000000002</v>
      </c>
      <c r="AK86" s="823">
        <v>57.238</v>
      </c>
      <c r="AL86" s="823">
        <v>56.02</v>
      </c>
      <c r="AM86" s="823">
        <v>72.430000000000007</v>
      </c>
      <c r="AN86" s="823">
        <v>70.813000000000002</v>
      </c>
      <c r="AO86" s="10">
        <f>SUM(AK86:AN86)</f>
        <v>256.50100000000003</v>
      </c>
      <c r="AP86" s="823">
        <v>71.489000000000004</v>
      </c>
      <c r="AQ86" s="823">
        <v>75.210999999999999</v>
      </c>
      <c r="AR86" s="823">
        <v>77.373000000000005</v>
      </c>
      <c r="AS86" s="823">
        <v>78.358000000000004</v>
      </c>
      <c r="AT86" s="10">
        <f>SUM(AP86:AS86)</f>
        <v>302.43099999999998</v>
      </c>
      <c r="AU86" s="823">
        <v>89.491</v>
      </c>
      <c r="AV86" s="823">
        <v>85.144999999999996</v>
      </c>
      <c r="AW86" s="823">
        <v>100.03700000000001</v>
      </c>
      <c r="AX86" s="823">
        <v>92.933000000000007</v>
      </c>
      <c r="AY86" s="10">
        <f>SUM(AU86:AX86)</f>
        <v>367.60599999999999</v>
      </c>
      <c r="AZ86" s="823">
        <v>93.564999999999998</v>
      </c>
      <c r="BA86" s="823">
        <v>90.311000000000007</v>
      </c>
      <c r="BB86" s="823">
        <v>99.441999999999993</v>
      </c>
      <c r="BC86" s="823">
        <v>95.152000000000001</v>
      </c>
      <c r="BD86" s="10">
        <f>SUM(AZ86:BC86)</f>
        <v>378.46999999999997</v>
      </c>
      <c r="BE86" s="823">
        <v>98.524000000000001</v>
      </c>
      <c r="BF86" s="823">
        <v>102.91</v>
      </c>
      <c r="BG86" s="823">
        <v>103.06699999999999</v>
      </c>
      <c r="BH86" s="823">
        <v>93.004000000000005</v>
      </c>
      <c r="BI86" s="10">
        <f>SUM(BE86:BH86)</f>
        <v>397.505</v>
      </c>
      <c r="BJ86" s="823">
        <v>96.593999999999994</v>
      </c>
      <c r="BK86" s="823">
        <v>101</v>
      </c>
      <c r="BL86" s="823">
        <v>98.531000000000006</v>
      </c>
      <c r="BM86" s="823">
        <v>93.623000000000005</v>
      </c>
      <c r="BN86" s="10">
        <f>SUM(BJ86:BM86)</f>
        <v>389.74799999999999</v>
      </c>
      <c r="BO86" s="823">
        <v>106</v>
      </c>
      <c r="BP86" s="823">
        <v>104</v>
      </c>
      <c r="BQ86" s="823">
        <v>111</v>
      </c>
      <c r="BR86" s="823">
        <v>109</v>
      </c>
      <c r="BS86" s="10">
        <f>SUM(BO86:BR86)</f>
        <v>430</v>
      </c>
      <c r="BT86" s="823">
        <v>114</v>
      </c>
      <c r="BU86" s="823">
        <v>124</v>
      </c>
      <c r="BV86" s="823">
        <v>113</v>
      </c>
      <c r="BW86" s="823">
        <v>107</v>
      </c>
      <c r="BX86" s="10">
        <f>SUM(BT86:BW86)</f>
        <v>458</v>
      </c>
      <c r="BY86" s="823">
        <f>101+5</f>
        <v>106</v>
      </c>
      <c r="BZ86" s="823">
        <v>111</v>
      </c>
      <c r="CA86" s="823">
        <f>110+6</f>
        <v>116</v>
      </c>
      <c r="CB86" s="823">
        <v>112</v>
      </c>
      <c r="CC86" s="10">
        <f>SUM(BY86:CB86)</f>
        <v>445</v>
      </c>
      <c r="CD86" s="823">
        <v>104.4</v>
      </c>
      <c r="CE86" s="823">
        <v>119.4</v>
      </c>
      <c r="CF86" s="823">
        <v>117.4</v>
      </c>
      <c r="CG86" s="823">
        <v>126.4</v>
      </c>
      <c r="CH86" s="10">
        <f>SUM(CD86:CG86)</f>
        <v>467.6</v>
      </c>
      <c r="CI86" s="823">
        <v>136</v>
      </c>
      <c r="CJ86" s="823">
        <v>154</v>
      </c>
      <c r="CK86" s="823">
        <v>160</v>
      </c>
      <c r="CL86" s="823">
        <v>166</v>
      </c>
      <c r="CM86" s="10">
        <f>SUM(CI86:CL86)</f>
        <v>616</v>
      </c>
      <c r="CN86" s="823">
        <v>143</v>
      </c>
      <c r="CO86" s="823">
        <v>191</v>
      </c>
      <c r="CP86" s="823">
        <v>190</v>
      </c>
      <c r="CQ86" s="823">
        <v>198</v>
      </c>
      <c r="CR86" s="10">
        <f>SUM(CN86:CQ86)</f>
        <v>722</v>
      </c>
      <c r="CS86" s="823">
        <v>230.44299999999998</v>
      </c>
      <c r="CT86" s="823">
        <v>239.46800000000002</v>
      </c>
      <c r="CU86" s="823">
        <v>233.97300000000001</v>
      </c>
      <c r="CV86" s="823">
        <v>214.96800000000002</v>
      </c>
      <c r="CW86" s="10">
        <f>SUM(CS86:CV86)</f>
        <v>918.85200000000009</v>
      </c>
      <c r="CX86" s="823">
        <v>225.34</v>
      </c>
      <c r="CY86" s="823">
        <v>251</v>
      </c>
      <c r="CZ86" s="823">
        <v>254</v>
      </c>
      <c r="DA86" s="823">
        <v>251</v>
      </c>
      <c r="DB86" s="10">
        <f>SUM(CX86:DA86)</f>
        <v>981.34</v>
      </c>
      <c r="DC86" s="823">
        <v>265.85000000000002</v>
      </c>
      <c r="DD86" s="823">
        <v>269</v>
      </c>
      <c r="DE86" s="823">
        <v>272</v>
      </c>
      <c r="DF86" s="823">
        <v>239</v>
      </c>
      <c r="DG86" s="10">
        <f>SUM(DC86:DF86)</f>
        <v>1045.8499999999999</v>
      </c>
      <c r="DH86" s="823">
        <v>272</v>
      </c>
      <c r="DI86" s="823">
        <v>291</v>
      </c>
      <c r="DJ86" s="823">
        <v>300</v>
      </c>
      <c r="DK86" s="823">
        <v>270</v>
      </c>
      <c r="DL86" s="10">
        <f>SUM(DH86:DK86)</f>
        <v>1133</v>
      </c>
      <c r="DM86" s="823">
        <v>291</v>
      </c>
      <c r="DN86" s="823">
        <v>281</v>
      </c>
      <c r="DO86" s="823">
        <v>271</v>
      </c>
      <c r="DP86" s="823">
        <v>238</v>
      </c>
      <c r="DQ86" s="10">
        <f>SUM(DM86:DP86)</f>
        <v>1081</v>
      </c>
      <c r="DR86" s="823">
        <v>250</v>
      </c>
      <c r="DS86" s="823">
        <v>236</v>
      </c>
      <c r="DT86" s="823">
        <v>248</v>
      </c>
      <c r="DU86" s="823">
        <v>244</v>
      </c>
      <c r="DV86" s="10">
        <f>SUM(DR86:DU86)</f>
        <v>978</v>
      </c>
      <c r="DW86" s="823">
        <v>229</v>
      </c>
      <c r="DX86" s="823">
        <v>240</v>
      </c>
      <c r="DY86" s="823">
        <v>259</v>
      </c>
      <c r="DZ86" s="823">
        <v>276</v>
      </c>
      <c r="EA86" s="10">
        <f>SUM(DW86:DZ86)</f>
        <v>1004</v>
      </c>
      <c r="EB86" s="823">
        <v>262</v>
      </c>
      <c r="EC86" s="823">
        <v>280</v>
      </c>
      <c r="ED86" s="823">
        <v>258</v>
      </c>
      <c r="EE86" s="823">
        <v>244</v>
      </c>
      <c r="EF86" s="10">
        <f>SUM(EB86:EE86)</f>
        <v>1044</v>
      </c>
      <c r="EG86" s="823">
        <v>243</v>
      </c>
      <c r="EH86" s="823">
        <v>251</v>
      </c>
      <c r="EI86" s="823">
        <v>263</v>
      </c>
      <c r="EJ86" s="823">
        <v>243</v>
      </c>
      <c r="EK86" s="10">
        <f>SUM(EG86:EJ86)</f>
        <v>1000</v>
      </c>
      <c r="EL86" s="823">
        <v>243</v>
      </c>
      <c r="EM86" s="823">
        <v>251</v>
      </c>
      <c r="EN86" s="823">
        <v>263</v>
      </c>
      <c r="EO86" s="823">
        <f>243+1</f>
        <v>244</v>
      </c>
      <c r="EP86" s="877">
        <f>SUM(EL86:EO86)</f>
        <v>1001</v>
      </c>
      <c r="EQ86" s="9">
        <f t="shared" ref="EQ86" si="463">(EQ$8*EQ89)/100</f>
        <v>247.86000000000004</v>
      </c>
      <c r="ER86" s="9">
        <f t="shared" ref="ER86:ET86" si="464">(ER$8*ER89)/100</f>
        <v>261.04000000000002</v>
      </c>
      <c r="ES86" s="9">
        <f t="shared" si="464"/>
        <v>251.63840000000005</v>
      </c>
      <c r="ET86" s="9">
        <f t="shared" si="464"/>
        <v>249.61199999999997</v>
      </c>
      <c r="EU86" s="10">
        <f>SUM(EQ86:ET86)</f>
        <v>1010.1504000000001</v>
      </c>
      <c r="EV86" s="9"/>
      <c r="EW86" s="9"/>
      <c r="EX86" s="9"/>
      <c r="EY86" s="9"/>
      <c r="EZ86" s="10">
        <f>(EZ$8*EZ89)/100</f>
        <v>1023.5348928000001</v>
      </c>
      <c r="FA86" s="9"/>
      <c r="FB86" s="9"/>
      <c r="FC86" s="9"/>
      <c r="FD86" s="9"/>
      <c r="FE86" s="10">
        <f>(FE$8*FE89)/100</f>
        <v>1037.0967301296002</v>
      </c>
      <c r="FF86" s="337"/>
      <c r="FG86" s="441"/>
      <c r="FH86" s="347"/>
      <c r="FI86" s="337"/>
      <c r="FJ86" s="337"/>
      <c r="FK86" s="337"/>
      <c r="FL86" s="408" t="s">
        <v>600</v>
      </c>
      <c r="FM86" s="408"/>
      <c r="FN86" s="408"/>
      <c r="FO86" s="408"/>
      <c r="FP86" s="408"/>
      <c r="FQ86" s="408"/>
      <c r="FR86" s="408"/>
      <c r="FS86" s="408"/>
      <c r="FT86" s="441"/>
      <c r="GA86" s="342"/>
    </row>
    <row r="87" spans="1:183" ht="12.75" customHeight="1" x14ac:dyDescent="0.2">
      <c r="A87" s="58" t="s">
        <v>244</v>
      </c>
      <c r="B87" s="128"/>
      <c r="C87" s="128"/>
      <c r="D87" s="128"/>
      <c r="E87" s="128"/>
      <c r="F87" s="244"/>
      <c r="G87" s="128">
        <f>G86/B86-1</f>
        <v>9.2995796533320796E-2</v>
      </c>
      <c r="H87" s="128">
        <f>H86/C86-1</f>
        <v>0.33230852211434736</v>
      </c>
      <c r="I87" s="128">
        <f>I86/D86-1</f>
        <v>0.2188625961632098</v>
      </c>
      <c r="J87" s="128">
        <f>J86/E86-1</f>
        <v>9.2154090828767687E-2</v>
      </c>
      <c r="K87" s="244">
        <f t="shared" ref="K87:U87" si="465">K86/F86-1</f>
        <v>0.17748259678839862</v>
      </c>
      <c r="L87" s="128">
        <f t="shared" si="465"/>
        <v>0.13106040964480181</v>
      </c>
      <c r="M87" s="128">
        <f t="shared" si="465"/>
        <v>0.24990891057042219</v>
      </c>
      <c r="N87" s="128">
        <f t="shared" si="465"/>
        <v>0.18479606918867075</v>
      </c>
      <c r="O87" s="128">
        <f t="shared" si="465"/>
        <v>0.45024674379095608</v>
      </c>
      <c r="P87" s="244">
        <f t="shared" si="465"/>
        <v>0.25577368388696509</v>
      </c>
      <c r="Q87" s="128">
        <f t="shared" si="465"/>
        <v>0.29069723018147076</v>
      </c>
      <c r="R87" s="128">
        <f t="shared" si="465"/>
        <v>0.1415754356416401</v>
      </c>
      <c r="S87" s="128">
        <f t="shared" si="465"/>
        <v>0.33854816413230404</v>
      </c>
      <c r="T87" s="128">
        <f t="shared" si="465"/>
        <v>0.52472596435444729</v>
      </c>
      <c r="U87" s="244">
        <f t="shared" si="465"/>
        <v>0.33317286902032461</v>
      </c>
      <c r="V87" s="128">
        <f t="shared" ref="V87:BR87" si="466">V86/Q86-1</f>
        <v>0.47708974662562165</v>
      </c>
      <c r="W87" s="128">
        <f t="shared" si="466"/>
        <v>0.24105546886083151</v>
      </c>
      <c r="X87" s="128">
        <f t="shared" si="466"/>
        <v>0.21652392947103261</v>
      </c>
      <c r="Y87" s="128">
        <f t="shared" si="466"/>
        <v>-0.11519042915157518</v>
      </c>
      <c r="Z87" s="244">
        <f t="shared" si="466"/>
        <v>0.1647112824749839</v>
      </c>
      <c r="AA87" s="128">
        <f t="shared" si="466"/>
        <v>3.5489559536691972E-2</v>
      </c>
      <c r="AB87" s="128">
        <f t="shared" si="466"/>
        <v>0.20207585560458141</v>
      </c>
      <c r="AC87" s="128">
        <f t="shared" si="466"/>
        <v>0.15390508530727187</v>
      </c>
      <c r="AD87" s="128">
        <f t="shared" si="466"/>
        <v>0.18416754532861934</v>
      </c>
      <c r="AE87" s="244">
        <f t="shared" si="466"/>
        <v>0.14161779851608958</v>
      </c>
      <c r="AF87" s="128">
        <f t="shared" si="466"/>
        <v>0.20370406208271241</v>
      </c>
      <c r="AG87" s="128">
        <f t="shared" si="466"/>
        <v>0.27109166983643984</v>
      </c>
      <c r="AH87" s="128">
        <f t="shared" si="466"/>
        <v>0.26621687092895985</v>
      </c>
      <c r="AI87" s="128">
        <f t="shared" si="466"/>
        <v>-5.8557536183808212E-2</v>
      </c>
      <c r="AJ87" s="244">
        <f t="shared" si="466"/>
        <v>0.16690677946598309</v>
      </c>
      <c r="AK87" s="128">
        <f t="shared" si="466"/>
        <v>-7.9760124760848261E-2</v>
      </c>
      <c r="AL87" s="128">
        <f t="shared" si="466"/>
        <v>-0.1618038722805758</v>
      </c>
      <c r="AM87" s="128">
        <f t="shared" si="466"/>
        <v>2.6429533054630694E-2</v>
      </c>
      <c r="AN87" s="128">
        <f t="shared" si="466"/>
        <v>0.31322441258832034</v>
      </c>
      <c r="AO87" s="244">
        <f t="shared" si="466"/>
        <v>1.1754450321669774E-2</v>
      </c>
      <c r="AP87" s="128">
        <f t="shared" si="466"/>
        <v>0.24897795171040227</v>
      </c>
      <c r="AQ87" s="128">
        <f t="shared" si="466"/>
        <v>0.34257408068546935</v>
      </c>
      <c r="AR87" s="128">
        <f t="shared" si="466"/>
        <v>6.8245202264255012E-2</v>
      </c>
      <c r="AS87" s="128">
        <f t="shared" si="466"/>
        <v>0.10654823266914271</v>
      </c>
      <c r="AT87" s="244">
        <f t="shared" si="466"/>
        <v>0.17906362938156173</v>
      </c>
      <c r="AU87" s="128">
        <f t="shared" si="466"/>
        <v>0.25181496453999919</v>
      </c>
      <c r="AV87" s="128">
        <f t="shared" si="466"/>
        <v>0.13208174336200829</v>
      </c>
      <c r="AW87" s="128">
        <f t="shared" si="466"/>
        <v>0.29291871841598494</v>
      </c>
      <c r="AX87" s="128">
        <f t="shared" si="466"/>
        <v>0.18600525791878297</v>
      </c>
      <c r="AY87" s="244">
        <f t="shared" si="466"/>
        <v>0.21550370167079436</v>
      </c>
      <c r="AZ87" s="128">
        <f t="shared" si="466"/>
        <v>4.5524130918192851E-2</v>
      </c>
      <c r="BA87" s="128">
        <f t="shared" si="466"/>
        <v>6.0672969640025887E-2</v>
      </c>
      <c r="BB87" s="128">
        <f t="shared" si="466"/>
        <v>-5.947799314253821E-3</v>
      </c>
      <c r="BC87" s="128">
        <f t="shared" si="466"/>
        <v>2.3877417063906226E-2</v>
      </c>
      <c r="BD87" s="244">
        <f t="shared" si="466"/>
        <v>2.9553380521536665E-2</v>
      </c>
      <c r="BE87" s="128">
        <f t="shared" si="466"/>
        <v>5.300058782664463E-2</v>
      </c>
      <c r="BF87" s="128">
        <f t="shared" si="466"/>
        <v>0.13950681533810938</v>
      </c>
      <c r="BG87" s="128">
        <f t="shared" si="466"/>
        <v>3.6453410027956101E-2</v>
      </c>
      <c r="BH87" s="128">
        <f t="shared" si="466"/>
        <v>-2.2574407264166818E-2</v>
      </c>
      <c r="BI87" s="244">
        <f t="shared" si="466"/>
        <v>5.0294607234391275E-2</v>
      </c>
      <c r="BJ87" s="128">
        <f t="shared" si="466"/>
        <v>-1.9589135642077093E-2</v>
      </c>
      <c r="BK87" s="128">
        <f t="shared" si="466"/>
        <v>-1.8559906714604946E-2</v>
      </c>
      <c r="BL87" s="128">
        <f t="shared" si="466"/>
        <v>-4.4010206952758812E-2</v>
      </c>
      <c r="BM87" s="128">
        <f t="shared" si="466"/>
        <v>6.6556277149369958E-3</v>
      </c>
      <c r="BN87" s="244">
        <f t="shared" si="466"/>
        <v>-1.9514219946918931E-2</v>
      </c>
      <c r="BO87" s="128">
        <f t="shared" si="466"/>
        <v>9.7376648653125564E-2</v>
      </c>
      <c r="BP87" s="128">
        <f t="shared" si="466"/>
        <v>2.9702970297029729E-2</v>
      </c>
      <c r="BQ87" s="128">
        <f t="shared" si="466"/>
        <v>0.12654900488171239</v>
      </c>
      <c r="BR87" s="128">
        <f t="shared" si="466"/>
        <v>0.16424382897364964</v>
      </c>
      <c r="BS87" s="244">
        <f t="shared" ref="BS87:DA87" si="467">BS86/BN86-1</f>
        <v>0.10327698923406925</v>
      </c>
      <c r="BT87" s="128">
        <f t="shared" si="467"/>
        <v>7.547169811320753E-2</v>
      </c>
      <c r="BU87" s="128">
        <f t="shared" si="467"/>
        <v>0.19230769230769229</v>
      </c>
      <c r="BV87" s="128">
        <f t="shared" si="467"/>
        <v>1.8018018018018056E-2</v>
      </c>
      <c r="BW87" s="128">
        <f t="shared" si="467"/>
        <v>-1.834862385321101E-2</v>
      </c>
      <c r="BX87" s="244">
        <f t="shared" si="467"/>
        <v>6.5116279069767469E-2</v>
      </c>
      <c r="BY87" s="128">
        <f t="shared" si="467"/>
        <v>-7.0175438596491224E-2</v>
      </c>
      <c r="BZ87" s="128">
        <f t="shared" si="467"/>
        <v>-0.10483870967741937</v>
      </c>
      <c r="CA87" s="128">
        <f t="shared" si="467"/>
        <v>2.6548672566371723E-2</v>
      </c>
      <c r="CB87" s="128">
        <f t="shared" si="467"/>
        <v>4.6728971962616717E-2</v>
      </c>
      <c r="CC87" s="244">
        <f>CC86/BX86-1</f>
        <v>-2.8384279475982543E-2</v>
      </c>
      <c r="CD87" s="128">
        <f t="shared" si="467"/>
        <v>-1.5094339622641506E-2</v>
      </c>
      <c r="CE87" s="128">
        <f t="shared" si="467"/>
        <v>7.5675675675675791E-2</v>
      </c>
      <c r="CF87" s="128">
        <f t="shared" si="467"/>
        <v>1.2068965517241459E-2</v>
      </c>
      <c r="CG87" s="128">
        <f t="shared" si="467"/>
        <v>0.12857142857142856</v>
      </c>
      <c r="CH87" s="244">
        <f>CH86/CC86-1</f>
        <v>5.078651685393254E-2</v>
      </c>
      <c r="CI87" s="128">
        <f t="shared" si="467"/>
        <v>0.30268199233716464</v>
      </c>
      <c r="CJ87" s="128">
        <f t="shared" si="467"/>
        <v>0.28978224455611379</v>
      </c>
      <c r="CK87" s="128">
        <f t="shared" si="467"/>
        <v>0.36286201022146503</v>
      </c>
      <c r="CL87" s="128">
        <f t="shared" si="467"/>
        <v>0.31329113924050622</v>
      </c>
      <c r="CM87" s="244">
        <f>CM86/CH86-1</f>
        <v>0.31736526946107779</v>
      </c>
      <c r="CN87" s="128">
        <f t="shared" si="467"/>
        <v>5.1470588235294157E-2</v>
      </c>
      <c r="CO87" s="128">
        <f t="shared" si="467"/>
        <v>0.24025974025974017</v>
      </c>
      <c r="CP87" s="128">
        <f t="shared" si="467"/>
        <v>0.1875</v>
      </c>
      <c r="CQ87" s="128">
        <f t="shared" si="467"/>
        <v>0.19277108433734935</v>
      </c>
      <c r="CR87" s="110">
        <f>CR86/CM86-1</f>
        <v>0.17207792207792205</v>
      </c>
      <c r="CS87" s="128">
        <f t="shared" si="467"/>
        <v>0.61148951048951039</v>
      </c>
      <c r="CT87" s="128">
        <f t="shared" si="467"/>
        <v>0.25375916230366502</v>
      </c>
      <c r="CU87" s="128">
        <f t="shared" si="467"/>
        <v>0.23143684210526327</v>
      </c>
      <c r="CV87" s="128">
        <f t="shared" si="467"/>
        <v>8.5696969696969827E-2</v>
      </c>
      <c r="CW87" s="110">
        <f>CW86/CR86-1</f>
        <v>0.27264819944598351</v>
      </c>
      <c r="CX87" s="128">
        <f t="shared" si="467"/>
        <v>-2.214430466536188E-2</v>
      </c>
      <c r="CY87" s="128">
        <f t="shared" si="467"/>
        <v>4.8156747456862714E-2</v>
      </c>
      <c r="CZ87" s="128">
        <f t="shared" si="467"/>
        <v>8.5595346471601275E-2</v>
      </c>
      <c r="DA87" s="128">
        <f t="shared" si="467"/>
        <v>0.1676156451192734</v>
      </c>
      <c r="DB87" s="110">
        <f t="shared" ref="DB87:DN87" si="468">DB86/CW86-1</f>
        <v>6.8006599539425228E-2</v>
      </c>
      <c r="DC87" s="128">
        <f t="shared" si="468"/>
        <v>0.17977278778734362</v>
      </c>
      <c r="DD87" s="128">
        <f t="shared" si="468"/>
        <v>7.1713147410358502E-2</v>
      </c>
      <c r="DE87" s="128">
        <f t="shared" si="468"/>
        <v>7.0866141732283561E-2</v>
      </c>
      <c r="DF87" s="128">
        <f t="shared" si="468"/>
        <v>-4.7808764940239001E-2</v>
      </c>
      <c r="DG87" s="110">
        <f t="shared" si="468"/>
        <v>6.5736645810829941E-2</v>
      </c>
      <c r="DH87" s="128">
        <f t="shared" si="468"/>
        <v>2.3133345871731992E-2</v>
      </c>
      <c r="DI87" s="128">
        <f t="shared" si="468"/>
        <v>8.1784386617100413E-2</v>
      </c>
      <c r="DJ87" s="128">
        <f t="shared" si="468"/>
        <v>0.10294117647058831</v>
      </c>
      <c r="DK87" s="128">
        <f t="shared" si="468"/>
        <v>0.12970711297071125</v>
      </c>
      <c r="DL87" s="110">
        <f t="shared" si="468"/>
        <v>8.3329349333078451E-2</v>
      </c>
      <c r="DM87" s="128">
        <f t="shared" si="468"/>
        <v>6.9852941176470562E-2</v>
      </c>
      <c r="DN87" s="128">
        <f t="shared" si="468"/>
        <v>-3.4364261168384869E-2</v>
      </c>
      <c r="DO87" s="128">
        <f t="shared" ref="DO87:DT87" si="469">DO86/DJ86-1</f>
        <v>-9.6666666666666679E-2</v>
      </c>
      <c r="DP87" s="128">
        <f t="shared" si="469"/>
        <v>-0.11851851851851847</v>
      </c>
      <c r="DQ87" s="110">
        <f t="shared" si="469"/>
        <v>-4.5895851721094449E-2</v>
      </c>
      <c r="DR87" s="128">
        <f t="shared" si="469"/>
        <v>-0.14089347079037806</v>
      </c>
      <c r="DS87" s="128">
        <f t="shared" si="469"/>
        <v>-0.16014234875444844</v>
      </c>
      <c r="DT87" s="128">
        <f t="shared" si="469"/>
        <v>-8.4870848708487046E-2</v>
      </c>
      <c r="DU87" s="128">
        <f>DU86/DP86-1</f>
        <v>2.5210084033613356E-2</v>
      </c>
      <c r="DV87" s="110">
        <f>DV86/DQ86-1</f>
        <v>-9.5282146160962089E-2</v>
      </c>
      <c r="DW87" s="128">
        <f>DW86/DR86-1</f>
        <v>-8.3999999999999964E-2</v>
      </c>
      <c r="DX87" s="128">
        <f>DX86/DS86-1</f>
        <v>1.6949152542372836E-2</v>
      </c>
      <c r="DY87" s="128">
        <f>DY86/DT86-1</f>
        <v>4.4354838709677491E-2</v>
      </c>
      <c r="DZ87" s="128">
        <f t="shared" ref="DZ87:EA87" si="470">DZ86/DU86-1</f>
        <v>0.13114754098360648</v>
      </c>
      <c r="EA87" s="110">
        <f t="shared" si="470"/>
        <v>2.6584867075664542E-2</v>
      </c>
      <c r="EB87" s="128">
        <f>EB86/DW86-1</f>
        <v>0.14410480349344978</v>
      </c>
      <c r="EC87" s="128">
        <f>EC86/DX86-1</f>
        <v>0.16666666666666674</v>
      </c>
      <c r="ED87" s="128">
        <f>ED86/DY86-1</f>
        <v>-3.8610038610038533E-3</v>
      </c>
      <c r="EE87" s="128">
        <f t="shared" ref="EE87" si="471">EE86/DZ86-1</f>
        <v>-0.11594202898550721</v>
      </c>
      <c r="EF87" s="110">
        <f t="shared" ref="EF87" si="472">EF86/EA86-1</f>
        <v>3.9840637450199168E-2</v>
      </c>
      <c r="EG87" s="128">
        <f>EG86/EB86-1</f>
        <v>-7.2519083969465603E-2</v>
      </c>
      <c r="EH87" s="128">
        <f>EH86/EC86-1</f>
        <v>-0.10357142857142854</v>
      </c>
      <c r="EI87" s="128">
        <f>EI86/ED86-1</f>
        <v>1.9379844961240345E-2</v>
      </c>
      <c r="EJ87" s="128">
        <f t="shared" ref="EJ87" si="473">EJ86/EE86-1</f>
        <v>-4.098360655737654E-3</v>
      </c>
      <c r="EK87" s="110">
        <f t="shared" ref="EK87" si="474">EK86/EF86-1</f>
        <v>-4.2145593869731823E-2</v>
      </c>
      <c r="EL87" s="128"/>
      <c r="EM87" s="128"/>
      <c r="EN87" s="128"/>
      <c r="EO87" s="128"/>
      <c r="EP87" s="110"/>
      <c r="EQ87" s="128">
        <f>EQ86/EL86-1</f>
        <v>2.000000000000024E-2</v>
      </c>
      <c r="ER87" s="128">
        <f>ER86/EM86-1</f>
        <v>4.0000000000000036E-2</v>
      </c>
      <c r="ES87" s="128">
        <f>ES86/EN86-1</f>
        <v>-4.3199999999999794E-2</v>
      </c>
      <c r="ET87" s="128">
        <f t="shared" ref="ET87" si="475">ET86/EO86-1</f>
        <v>2.2999999999999909E-2</v>
      </c>
      <c r="EU87" s="110">
        <f t="shared" ref="EU87" si="476">EU86/EP86-1</f>
        <v>9.1412587412589286E-3</v>
      </c>
      <c r="EV87" s="43"/>
      <c r="EW87" s="43"/>
      <c r="EX87" s="43"/>
      <c r="EY87" s="43"/>
      <c r="EZ87" s="110">
        <f>EZ86/EU86-1</f>
        <v>1.3249999999999984E-2</v>
      </c>
      <c r="FA87" s="43"/>
      <c r="FB87" s="43"/>
      <c r="FC87" s="43"/>
      <c r="FD87" s="43"/>
      <c r="FE87" s="110">
        <f>FE86/EZ86-1</f>
        <v>1.3250000000000206E-2</v>
      </c>
      <c r="FF87" s="43"/>
      <c r="FG87" s="435"/>
      <c r="FL87" s="525"/>
      <c r="FM87" s="525"/>
      <c r="FN87" s="383"/>
      <c r="FO87" s="369"/>
      <c r="FP87" s="369"/>
      <c r="FQ87" s="369"/>
      <c r="FR87" s="369"/>
      <c r="FS87" s="369"/>
      <c r="FT87" s="190"/>
    </row>
    <row r="88" spans="1:183" ht="12.75" customHeight="1" x14ac:dyDescent="0.2">
      <c r="A88" s="64" t="s">
        <v>14</v>
      </c>
      <c r="B88" s="43"/>
      <c r="C88" s="43">
        <f>C86/B86-1</f>
        <v>-0.12435649175837149</v>
      </c>
      <c r="D88" s="43">
        <f>D86/C86-1</f>
        <v>0.10776699029126213</v>
      </c>
      <c r="E88" s="43">
        <f>E86/D86-1</f>
        <v>0.10215210828707799</v>
      </c>
      <c r="F88" s="258"/>
      <c r="G88" s="43">
        <f>G86/E86-1</f>
        <v>2.2353772751368961E-2</v>
      </c>
      <c r="H88" s="43">
        <f>H86/G86-1</f>
        <v>6.736669259355299E-2</v>
      </c>
      <c r="I88" s="43">
        <f>I86/H86-1</f>
        <v>1.3440751386583516E-2</v>
      </c>
      <c r="J88" s="43">
        <f>J86/I86-1</f>
        <v>-1.2423600846882432E-2</v>
      </c>
      <c r="K88" s="258"/>
      <c r="L88" s="43">
        <f>L86/J86-1</f>
        <v>5.8773562009546421E-2</v>
      </c>
      <c r="M88" s="43">
        <f>M86/L86-1</f>
        <v>0.17952244508118431</v>
      </c>
      <c r="N88" s="43">
        <f>N86/M86-1</f>
        <v>-3.9353501327978213E-2</v>
      </c>
      <c r="O88" s="43">
        <f>O86/N86-1</f>
        <v>0.20884048686739298</v>
      </c>
      <c r="P88" s="258"/>
      <c r="Q88" s="43">
        <f>Q86/O86-1</f>
        <v>-5.7707862661423248E-2</v>
      </c>
      <c r="R88" s="43">
        <f>R86/Q86-1</f>
        <v>4.3245323229931243E-2</v>
      </c>
      <c r="S88" s="43">
        <f>S86/R86-1</f>
        <v>0.12640090793020309</v>
      </c>
      <c r="T88" s="43">
        <f>T86/S86-1</f>
        <v>0.37697732997481137</v>
      </c>
      <c r="U88" s="258"/>
      <c r="V88" s="43">
        <f>V86/T86-1</f>
        <v>-8.7147404236637249E-2</v>
      </c>
      <c r="W88" s="43">
        <f>W86/V86-1</f>
        <v>-0.12346198549156351</v>
      </c>
      <c r="X88" s="43">
        <f>X86/W86-1</f>
        <v>0.10413570791705729</v>
      </c>
      <c r="Y88" s="43">
        <f>Y86/X86-1</f>
        <v>1.5115123405664566E-3</v>
      </c>
      <c r="Z88" s="258"/>
      <c r="AA88" s="43">
        <f>AA86/Y86-1</f>
        <v>6.8308213938679696E-2</v>
      </c>
      <c r="AB88" s="43">
        <f>AB86/AA86-1</f>
        <v>1.7552687089969599E-2</v>
      </c>
      <c r="AC88" s="43">
        <f>AC86/AB86-1</f>
        <v>5.9889691898060038E-2</v>
      </c>
      <c r="AD88" s="43">
        <f>AD86/AC86-1</f>
        <v>2.7777279333919269E-2</v>
      </c>
      <c r="AE88" s="258"/>
      <c r="AF88" s="43">
        <f>AF86/AD86-1</f>
        <v>8.5933271644814013E-2</v>
      </c>
      <c r="AG88" s="43">
        <f>AG86/AF86-1</f>
        <v>7.4518882940240339E-2</v>
      </c>
      <c r="AH88" s="43">
        <f>AH86/AG86-1</f>
        <v>5.5824879552323514E-2</v>
      </c>
      <c r="AI88" s="43">
        <f>AI86/AH86-1</f>
        <v>-0.23583929710196272</v>
      </c>
      <c r="AJ88" s="258"/>
      <c r="AK88" s="43">
        <f>AK86/AI86-1</f>
        <v>6.1476549895221E-2</v>
      </c>
      <c r="AL88" s="43">
        <f>AL86/AK86-1</f>
        <v>-2.1279569516754582E-2</v>
      </c>
      <c r="AM88" s="43">
        <f>AM86/AL86-1</f>
        <v>0.29293109603712963</v>
      </c>
      <c r="AN88" s="43">
        <f>AN86/AM86-1</f>
        <v>-2.2325003451608483E-2</v>
      </c>
      <c r="AO88" s="258"/>
      <c r="AP88" s="43">
        <f>AP86/AN86-1</f>
        <v>9.5462697527290974E-3</v>
      </c>
      <c r="AQ88" s="43">
        <f>AQ86/AP86-1</f>
        <v>5.2063953895004733E-2</v>
      </c>
      <c r="AR88" s="43">
        <f>AR86/AQ86-1</f>
        <v>2.8745795162941734E-2</v>
      </c>
      <c r="AS88" s="43">
        <f>AS86/AR86-1</f>
        <v>1.2730539076938996E-2</v>
      </c>
      <c r="AT88" s="258"/>
      <c r="AU88" s="43">
        <f>AU86/AS86-1</f>
        <v>0.1420786645907246</v>
      </c>
      <c r="AV88" s="43">
        <f>AV86/AU86-1</f>
        <v>-4.8563542702618201E-2</v>
      </c>
      <c r="AW88" s="43">
        <f>AW86/AV86-1</f>
        <v>0.17490163838158446</v>
      </c>
      <c r="AX88" s="43">
        <f>AX86/AW86-1</f>
        <v>-7.1013724921778931E-2</v>
      </c>
      <c r="AY88" s="258"/>
      <c r="AZ88" s="43">
        <f>AZ86/AX86-1</f>
        <v>6.8005982804815179E-3</v>
      </c>
      <c r="BA88" s="43">
        <f>BA86/AZ86-1</f>
        <v>-3.4777961844706828E-2</v>
      </c>
      <c r="BB88" s="43">
        <f>BB86/BA86-1</f>
        <v>0.10110617754204898</v>
      </c>
      <c r="BC88" s="43">
        <f>BC86/BB86-1</f>
        <v>-4.3140725246877509E-2</v>
      </c>
      <c r="BD88" s="258"/>
      <c r="BE88" s="43">
        <f>BE86/BC86-1</f>
        <v>3.5438035984530103E-2</v>
      </c>
      <c r="BF88" s="43">
        <f>BF86/BE86-1</f>
        <v>4.4517071982461021E-2</v>
      </c>
      <c r="BG88" s="43">
        <f>BG86/BF86-1</f>
        <v>1.5256048974832126E-3</v>
      </c>
      <c r="BH88" s="43">
        <f>BH86/BG86-1</f>
        <v>-9.7635518643212515E-2</v>
      </c>
      <c r="BI88" s="258"/>
      <c r="BJ88" s="43">
        <f>BJ86/BH86-1</f>
        <v>3.8600490301492263E-2</v>
      </c>
      <c r="BK88" s="43">
        <f>BK86/BJ86-1</f>
        <v>4.5613599188355503E-2</v>
      </c>
      <c r="BL88" s="43">
        <f>BL86/BK86-1</f>
        <v>-2.4445544554455356E-2</v>
      </c>
      <c r="BM88" s="43">
        <f>BM86/BL86-1</f>
        <v>-4.9811734378013006E-2</v>
      </c>
      <c r="BN88" s="258"/>
      <c r="BO88" s="43">
        <f>BO86/BM86-1</f>
        <v>0.1322004208367602</v>
      </c>
      <c r="BP88" s="43">
        <f>BP86/BO86-1</f>
        <v>-1.8867924528301883E-2</v>
      </c>
      <c r="BQ88" s="43">
        <f>BQ86/BP86-1</f>
        <v>6.7307692307692291E-2</v>
      </c>
      <c r="BR88" s="43">
        <f>BR86/BQ86-1</f>
        <v>-1.8018018018018056E-2</v>
      </c>
      <c r="BS88" s="258"/>
      <c r="BT88" s="43">
        <f>BT86/BR86-1</f>
        <v>4.587155963302747E-2</v>
      </c>
      <c r="BU88" s="43">
        <f>BU86/BT86-1</f>
        <v>8.7719298245614086E-2</v>
      </c>
      <c r="BV88" s="43">
        <f>BV86/BU86-1</f>
        <v>-8.8709677419354871E-2</v>
      </c>
      <c r="BW88" s="43">
        <f>BW86/BV86-1</f>
        <v>-5.3097345132743334E-2</v>
      </c>
      <c r="BX88" s="258"/>
      <c r="BY88" s="43">
        <f>BY86/BW86-1</f>
        <v>-9.3457943925233655E-3</v>
      </c>
      <c r="BZ88" s="43">
        <f>BZ86/BY86-1</f>
        <v>4.7169811320754818E-2</v>
      </c>
      <c r="CA88" s="43">
        <f>CA86/BZ86-1</f>
        <v>4.5045045045045029E-2</v>
      </c>
      <c r="CB88" s="43">
        <f>CB86/CA86-1</f>
        <v>-3.4482758620689613E-2</v>
      </c>
      <c r="CC88" s="258"/>
      <c r="CD88" s="43">
        <f>CD86/CB86-1</f>
        <v>-6.7857142857142838E-2</v>
      </c>
      <c r="CE88" s="43">
        <f>CE86/CD86-1</f>
        <v>0.14367816091954033</v>
      </c>
      <c r="CF88" s="43">
        <f>CF86/CE86-1</f>
        <v>-1.675041876046901E-2</v>
      </c>
      <c r="CG88" s="43">
        <f>CG86/CF86-1</f>
        <v>7.6660988074957359E-2</v>
      </c>
      <c r="CH88" s="258"/>
      <c r="CI88" s="43">
        <f>CI86/CG86-1</f>
        <v>7.5949367088607556E-2</v>
      </c>
      <c r="CJ88" s="43">
        <f>CJ86/CI86-1</f>
        <v>0.13235294117647056</v>
      </c>
      <c r="CK88" s="43">
        <f>CK86/CJ86-1</f>
        <v>3.8961038961038863E-2</v>
      </c>
      <c r="CL88" s="43">
        <f>CL86/CK86-1</f>
        <v>3.7500000000000089E-2</v>
      </c>
      <c r="CM88" s="258"/>
      <c r="CN88" s="43">
        <f>CN86/CL86-1</f>
        <v>-0.13855421686746983</v>
      </c>
      <c r="CO88" s="43">
        <f>CO86/CN86-1</f>
        <v>0.33566433566433562</v>
      </c>
      <c r="CP88" s="43">
        <f>CP86/CO86-1</f>
        <v>-5.2356020942407877E-3</v>
      </c>
      <c r="CQ88" s="43">
        <f>CQ86/CP86-1</f>
        <v>4.2105263157894646E-2</v>
      </c>
      <c r="CR88" s="104"/>
      <c r="CS88" s="43">
        <f>CS86/CQ86-1</f>
        <v>0.16385353535353531</v>
      </c>
      <c r="CT88" s="43">
        <f>CT86/CS86-1</f>
        <v>3.9163697747382376E-2</v>
      </c>
      <c r="CU88" s="43">
        <f>CU86/CT86-1</f>
        <v>-2.2946698515041719E-2</v>
      </c>
      <c r="CV88" s="43">
        <f>CV86/CU86-1</f>
        <v>-8.1227321101152716E-2</v>
      </c>
      <c r="CW88" s="104"/>
      <c r="CX88" s="43">
        <f>CX86/CV86-1</f>
        <v>4.8249041717836949E-2</v>
      </c>
      <c r="CY88" s="43">
        <f>CY86/CX86-1</f>
        <v>0.11387237063992184</v>
      </c>
      <c r="CZ88" s="43">
        <f>CZ86/CY86-1</f>
        <v>1.195219123505975E-2</v>
      </c>
      <c r="DA88" s="43">
        <f>DA86/CZ86-1</f>
        <v>-1.1811023622047223E-2</v>
      </c>
      <c r="DB88" s="104"/>
      <c r="DC88" s="43">
        <f>DC86/DA86-1</f>
        <v>5.9163346613545942E-2</v>
      </c>
      <c r="DD88" s="43">
        <f>DD86/DC86-1</f>
        <v>1.1848786909911535E-2</v>
      </c>
      <c r="DE88" s="43">
        <f>DE86/DD86-1</f>
        <v>1.1152416356877248E-2</v>
      </c>
      <c r="DF88" s="43">
        <f>DF86/DE86-1</f>
        <v>-0.12132352941176472</v>
      </c>
      <c r="DG88" s="104"/>
      <c r="DH88" s="43">
        <f>DH86/DF86-1</f>
        <v>0.13807531380753146</v>
      </c>
      <c r="DI88" s="43">
        <f>DI86/DH86-1</f>
        <v>6.9852941176470562E-2</v>
      </c>
      <c r="DJ88" s="43">
        <f>DJ86/DI86-1</f>
        <v>3.0927835051546282E-2</v>
      </c>
      <c r="DK88" s="43">
        <f>DK86/DJ86-1</f>
        <v>-9.9999999999999978E-2</v>
      </c>
      <c r="DL88" s="104"/>
      <c r="DM88" s="43">
        <f>DM86/DK86-1</f>
        <v>7.7777777777777724E-2</v>
      </c>
      <c r="DN88" s="43">
        <f>DN86/DM86-1</f>
        <v>-3.4364261168384869E-2</v>
      </c>
      <c r="DO88" s="43">
        <f>DO86/DN86-1</f>
        <v>-3.5587188612099641E-2</v>
      </c>
      <c r="DP88" s="43">
        <f>DP86/DO86-1</f>
        <v>-0.12177121771217714</v>
      </c>
      <c r="DQ88" s="104"/>
      <c r="DR88" s="43">
        <f>DR86/DP86-1</f>
        <v>5.0420168067226934E-2</v>
      </c>
      <c r="DS88" s="43">
        <f>DS86/DR86-1</f>
        <v>-5.600000000000005E-2</v>
      </c>
      <c r="DT88" s="43">
        <f>DT86/DS86-1</f>
        <v>5.0847457627118731E-2</v>
      </c>
      <c r="DU88" s="43">
        <f>DU86/DT86-1</f>
        <v>-1.6129032258064502E-2</v>
      </c>
      <c r="DV88" s="104"/>
      <c r="DW88" s="43">
        <f>DW86/DU86-1</f>
        <v>-6.1475409836065587E-2</v>
      </c>
      <c r="DX88" s="43">
        <f>DX86/DW86-1</f>
        <v>4.8034934497816595E-2</v>
      </c>
      <c r="DY88" s="43">
        <f>DY86/DX86-1</f>
        <v>7.9166666666666607E-2</v>
      </c>
      <c r="DZ88" s="43">
        <f>DZ86/DY86-1</f>
        <v>6.5637065637065728E-2</v>
      </c>
      <c r="EA88" s="104"/>
      <c r="EB88" s="43">
        <f>EB86/DZ86-1</f>
        <v>-5.0724637681159424E-2</v>
      </c>
      <c r="EC88" s="43">
        <f>EC86/EB86-1</f>
        <v>6.8702290076335881E-2</v>
      </c>
      <c r="ED88" s="43">
        <f>ED86/EC86-1</f>
        <v>-7.8571428571428625E-2</v>
      </c>
      <c r="EE88" s="43">
        <f>EE86/ED86-1</f>
        <v>-5.4263565891472854E-2</v>
      </c>
      <c r="EF88" s="104"/>
      <c r="EG88" s="43">
        <f>EG86/EE86-1</f>
        <v>-4.098360655737654E-3</v>
      </c>
      <c r="EH88" s="43">
        <f>EH86/EG86-1</f>
        <v>3.292181069958855E-2</v>
      </c>
      <c r="EI88" s="43">
        <f>EI86/EH86-1</f>
        <v>4.7808764940239001E-2</v>
      </c>
      <c r="EJ88" s="43">
        <f>EJ86/EI86-1</f>
        <v>-7.6045627376425839E-2</v>
      </c>
      <c r="EK88" s="104"/>
      <c r="EL88" s="43"/>
      <c r="EM88" s="43">
        <f>EM86/EL86-1</f>
        <v>3.292181069958855E-2</v>
      </c>
      <c r="EN88" s="43">
        <f>EN86/EM86-1</f>
        <v>4.7808764940239001E-2</v>
      </c>
      <c r="EO88" s="43">
        <f>EO86/EN86-1</f>
        <v>-7.2243346007604514E-2</v>
      </c>
      <c r="EP88" s="104"/>
      <c r="EQ88" s="43">
        <f>EQ86/EO86-1</f>
        <v>1.5819672131147655E-2</v>
      </c>
      <c r="ER88" s="43">
        <f t="shared" ref="ER88:ET88" si="477">ER86/EQ86-1</f>
        <v>5.3175179536835149E-2</v>
      </c>
      <c r="ES88" s="43">
        <f t="shared" si="477"/>
        <v>-3.6015936254980008E-2</v>
      </c>
      <c r="ET88" s="43">
        <f t="shared" si="477"/>
        <v>-8.0528250060407647E-3</v>
      </c>
      <c r="EU88" s="104"/>
      <c r="EV88" s="43"/>
      <c r="EW88" s="43"/>
      <c r="EX88" s="43"/>
      <c r="EY88" s="43"/>
      <c r="EZ88" s="104"/>
      <c r="FA88" s="43"/>
      <c r="FB88" s="43"/>
      <c r="FC88" s="43"/>
      <c r="FD88" s="43"/>
      <c r="FE88" s="104"/>
      <c r="FF88" s="43"/>
      <c r="FG88" s="435"/>
      <c r="FH88" s="238">
        <f>AVERAGE(CD88,CI88,CN88,CS88,CX88,DC88,BT88,DH88,DM88,DR88,DW88)</f>
        <v>3.5588485499855556E-2</v>
      </c>
      <c r="FI88" s="238">
        <f>AVERAGE(CE88,CJ88,CO88,CT88,CY88,DD88,BU88,DI88,DN88,DS88,DX88)</f>
        <v>8.107483689173442E-2</v>
      </c>
      <c r="FJ88" s="238">
        <f>AVERAGE(CF88,CK88,CP88,CU88,CZ88,DE88,BV88,DJ88,DO88,DT88,DY88)</f>
        <v>4.8889109542819501E-3</v>
      </c>
      <c r="FK88" s="238">
        <f>AVERAGE(CG88,CL88,CQ88,CV88,DA88,DF88,BW88,DK88,DP88,DU88,DZ88)</f>
        <v>-2.5768741124366525E-2</v>
      </c>
      <c r="FL88" s="408"/>
      <c r="FM88" s="408"/>
      <c r="FN88" s="584"/>
      <c r="FO88" s="383"/>
      <c r="FP88" s="383"/>
      <c r="FQ88" s="383"/>
      <c r="FR88" s="423"/>
      <c r="FS88" s="423"/>
      <c r="FT88" s="465"/>
    </row>
    <row r="89" spans="1:183" ht="12.75" customHeight="1" x14ac:dyDescent="0.2">
      <c r="A89" s="81" t="s">
        <v>91</v>
      </c>
      <c r="B89" s="141">
        <f>(B86/B$8)*100</f>
        <v>0.54967835262127229</v>
      </c>
      <c r="C89" s="141">
        <f>(C86/C$8)*100</f>
        <v>0.45112781954887221</v>
      </c>
      <c r="D89" s="141">
        <f>(D86/D$8)*100</f>
        <v>0.48214459267021903</v>
      </c>
      <c r="E89" s="141">
        <f>(E86/E$8)*100</f>
        <v>0.54026342018536422</v>
      </c>
      <c r="F89" s="251">
        <f t="shared" ref="F89:U89" si="478">(F86/F$8)*100</f>
        <v>0.50506623102695936</v>
      </c>
      <c r="G89" s="141">
        <f>(G86/G$8)*100</f>
        <v>0.53737922783838965</v>
      </c>
      <c r="H89" s="141">
        <f>(H86/H$8)*100</f>
        <v>0.54218559995785609</v>
      </c>
      <c r="I89" s="141">
        <f>(I86/I$8)*100</f>
        <v>0.51577903072772169</v>
      </c>
      <c r="J89" s="141">
        <f>(J86/J$8)*100</f>
        <v>0.51770656119039393</v>
      </c>
      <c r="K89" s="251">
        <f t="shared" si="478"/>
        <v>0.52781344527389895</v>
      </c>
      <c r="L89" s="141">
        <f t="shared" si="478"/>
        <v>0.52941451305696996</v>
      </c>
      <c r="M89" s="141">
        <f t="shared" si="478"/>
        <v>0.59985237810556302</v>
      </c>
      <c r="N89" s="141">
        <f t="shared" si="478"/>
        <v>0.52266966674367754</v>
      </c>
      <c r="O89" s="141">
        <f t="shared" si="478"/>
        <v>0.64011246468740601</v>
      </c>
      <c r="P89" s="251">
        <f t="shared" si="478"/>
        <v>0.57360908653779097</v>
      </c>
      <c r="Q89" s="141">
        <f t="shared" si="478"/>
        <v>0.59574412557039103</v>
      </c>
      <c r="R89" s="141">
        <f t="shared" si="478"/>
        <v>0.5787544488310129</v>
      </c>
      <c r="S89" s="141">
        <f t="shared" si="478"/>
        <v>0.60945823921527575</v>
      </c>
      <c r="T89" s="141">
        <f t="shared" si="478"/>
        <v>0.591858774999797</v>
      </c>
      <c r="U89" s="251">
        <f t="shared" si="478"/>
        <v>0.59392606593726149</v>
      </c>
      <c r="V89" s="141">
        <f t="shared" ref="V89:BN89" si="479">(V86/V$8)*100</f>
        <v>0.66176502766371958</v>
      </c>
      <c r="W89" s="141">
        <f t="shared" si="479"/>
        <v>0.56124587062590436</v>
      </c>
      <c r="X89" s="141">
        <f t="shared" si="479"/>
        <v>0.58197747259388122</v>
      </c>
      <c r="Y89" s="141">
        <f t="shared" si="479"/>
        <v>0.56964525335664251</v>
      </c>
      <c r="Z89" s="251">
        <f t="shared" si="479"/>
        <v>0.5924173640534014</v>
      </c>
      <c r="AA89" s="141">
        <f t="shared" si="479"/>
        <v>0.6062530900452382</v>
      </c>
      <c r="AB89" s="141">
        <f t="shared" si="479"/>
        <v>0.58920697872971772</v>
      </c>
      <c r="AC89" s="141">
        <f t="shared" si="479"/>
        <v>0.60466410214178401</v>
      </c>
      <c r="AD89" s="141">
        <f t="shared" si="479"/>
        <v>0.60188422327123126</v>
      </c>
      <c r="AE89" s="251">
        <f t="shared" si="479"/>
        <v>0.60049473188240088</v>
      </c>
      <c r="AF89" s="141">
        <f t="shared" si="479"/>
        <v>0.64512395135853151</v>
      </c>
      <c r="AG89" s="141">
        <f t="shared" si="479"/>
        <v>0.65746099294966198</v>
      </c>
      <c r="AH89" s="141">
        <f t="shared" si="479"/>
        <v>0.67334139644507407</v>
      </c>
      <c r="AI89" s="141">
        <f t="shared" si="479"/>
        <v>0.51646440401053673</v>
      </c>
      <c r="AJ89" s="251">
        <f t="shared" si="479"/>
        <v>0.62248120096755277</v>
      </c>
      <c r="AK89" s="141">
        <f t="shared" si="479"/>
        <v>0.54420979621369248</v>
      </c>
      <c r="AL89" s="141">
        <f t="shared" si="479"/>
        <v>0.5101443320524176</v>
      </c>
      <c r="AM89" s="141">
        <f t="shared" si="479"/>
        <v>0.63025718286960453</v>
      </c>
      <c r="AN89" s="141">
        <f t="shared" si="479"/>
        <v>0.61595150255007558</v>
      </c>
      <c r="AO89" s="251">
        <f t="shared" si="479"/>
        <v>0.57656873795349739</v>
      </c>
      <c r="AP89" s="141">
        <f t="shared" si="479"/>
        <v>0.63432028644810634</v>
      </c>
      <c r="AQ89" s="141">
        <f t="shared" si="479"/>
        <v>0.64212080606817867</v>
      </c>
      <c r="AR89" s="141">
        <f t="shared" si="479"/>
        <v>0.63007734333144327</v>
      </c>
      <c r="AS89" s="141">
        <f t="shared" si="479"/>
        <v>0.63806770318671502</v>
      </c>
      <c r="AT89" s="251">
        <f t="shared" si="479"/>
        <v>0.63611409463519897</v>
      </c>
      <c r="AU89" s="141">
        <f t="shared" si="479"/>
        <v>0.72211053711222595</v>
      </c>
      <c r="AV89" s="141">
        <f t="shared" si="479"/>
        <v>0.65760130184127585</v>
      </c>
      <c r="AW89" s="141">
        <f t="shared" si="479"/>
        <v>0.73448561851064997</v>
      </c>
      <c r="AX89" s="141">
        <f t="shared" si="479"/>
        <v>0.66883939491600597</v>
      </c>
      <c r="AY89" s="251">
        <f t="shared" si="479"/>
        <v>0.69549286169394742</v>
      </c>
      <c r="AZ89" s="141">
        <f t="shared" si="479"/>
        <v>0.66105179476639719</v>
      </c>
      <c r="BA89" s="141">
        <f t="shared" si="479"/>
        <v>0.61249518388521385</v>
      </c>
      <c r="BB89" s="141">
        <f t="shared" si="479"/>
        <v>0.64950842397573194</v>
      </c>
      <c r="BC89" s="141">
        <f t="shared" si="479"/>
        <v>0.60602933973806583</v>
      </c>
      <c r="BD89" s="251">
        <f t="shared" si="479"/>
        <v>0.63173128824676683</v>
      </c>
      <c r="BE89" s="141">
        <f t="shared" si="479"/>
        <v>0.6214849316523644</v>
      </c>
      <c r="BF89" s="141">
        <f>(BF86/BF$8)*100</f>
        <v>0.62620901665529782</v>
      </c>
      <c r="BG89" s="141">
        <f>(BG86/BG$8)*100</f>
        <v>0.6326691576808805</v>
      </c>
      <c r="BH89" s="141">
        <f>(BH86/BH$8)*100</f>
        <v>0.55665485172669305</v>
      </c>
      <c r="BI89" s="251">
        <f t="shared" si="479"/>
        <v>0.60887376007673388</v>
      </c>
      <c r="BJ89" s="141">
        <f>(BJ86/BJ$8)*100</f>
        <v>0.58471096504670084</v>
      </c>
      <c r="BK89" s="141">
        <f>(BK86/BK$8)*100</f>
        <v>0.5881368145986039</v>
      </c>
      <c r="BL89" s="141">
        <f>(BL86/BL$8)*100</f>
        <v>0.55948224483825659</v>
      </c>
      <c r="BM89" s="141">
        <f>(BM86/BM$8)*100</f>
        <v>0.53247498522688042</v>
      </c>
      <c r="BN89" s="251">
        <f t="shared" si="479"/>
        <v>0.56578246788567388</v>
      </c>
      <c r="BO89" s="141">
        <f t="shared" ref="BO89:BT89" si="480">(BO86/BO$8)*100</f>
        <v>0.60922579356257534</v>
      </c>
      <c r="BP89" s="141">
        <f t="shared" si="480"/>
        <v>0.58120803531285892</v>
      </c>
      <c r="BQ89" s="141">
        <f t="shared" si="480"/>
        <v>0.60974413982323028</v>
      </c>
      <c r="BR89" s="141">
        <f t="shared" si="480"/>
        <v>0.59585076857369357</v>
      </c>
      <c r="BS89" s="251">
        <f t="shared" si="480"/>
        <v>0.59896566986474864</v>
      </c>
      <c r="BT89" s="141">
        <f t="shared" si="480"/>
        <v>0.62018567270995895</v>
      </c>
      <c r="BU89" s="141">
        <f t="shared" ref="BU89:CA89" si="481">(BU86/BU$8)*100</f>
        <v>0.6605047257515132</v>
      </c>
      <c r="BV89" s="141">
        <f t="shared" si="481"/>
        <v>0.57990045521159361</v>
      </c>
      <c r="BW89" s="141">
        <f t="shared" si="481"/>
        <v>0.52917701549801222</v>
      </c>
      <c r="BX89" s="251">
        <f t="shared" si="481"/>
        <v>0.59587859657944342</v>
      </c>
      <c r="BY89" s="141">
        <f t="shared" si="481"/>
        <v>0.52393288340679356</v>
      </c>
      <c r="BZ89" s="141">
        <f t="shared" si="481"/>
        <v>0.52017608382201774</v>
      </c>
      <c r="CA89" s="141">
        <f t="shared" si="481"/>
        <v>0.53080550329994003</v>
      </c>
      <c r="CB89" s="141">
        <f t="shared" ref="CB89:CH89" si="482">(CB86/CB$8)*100</f>
        <v>0.5149735692114592</v>
      </c>
      <c r="CC89" s="251">
        <f t="shared" si="482"/>
        <v>0.52246729721620622</v>
      </c>
      <c r="CD89" s="141">
        <f t="shared" si="482"/>
        <v>0.47283769375135931</v>
      </c>
      <c r="CE89" s="141">
        <f t="shared" si="482"/>
        <v>0.52176229453752454</v>
      </c>
      <c r="CF89" s="141">
        <f t="shared" si="482"/>
        <v>0.49359638573086007</v>
      </c>
      <c r="CG89" s="141">
        <f t="shared" si="482"/>
        <v>0.52853607674778702</v>
      </c>
      <c r="CH89" s="251">
        <f t="shared" si="482"/>
        <v>0.50462335791016011</v>
      </c>
      <c r="CI89" s="141">
        <f t="shared" ref="CI89:CN89" si="483">(CI86/CI$8)*100</f>
        <v>0.57436371480881965</v>
      </c>
      <c r="CJ89" s="141">
        <f t="shared" si="483"/>
        <v>0.61642715936435322</v>
      </c>
      <c r="CK89" s="141">
        <f t="shared" si="483"/>
        <v>0.62218178386283662</v>
      </c>
      <c r="CL89" s="141">
        <f t="shared" si="483"/>
        <v>0.65719258886292931</v>
      </c>
      <c r="CM89" s="251">
        <f t="shared" si="483"/>
        <v>0.61825063633898403</v>
      </c>
      <c r="CN89" s="141">
        <f t="shared" si="483"/>
        <v>0.56760814334304599</v>
      </c>
      <c r="CO89" s="141">
        <f t="shared" ref="CO89:CT89" si="484">(CO86/CO$8)*100</f>
        <v>0.7252682115892165</v>
      </c>
      <c r="CP89" s="141">
        <f t="shared" si="484"/>
        <v>0.72278977069874939</v>
      </c>
      <c r="CQ89" s="141">
        <f t="shared" si="484"/>
        <v>0.77781923528112629</v>
      </c>
      <c r="CR89" s="306">
        <f t="shared" si="484"/>
        <v>0.69912908947063857</v>
      </c>
      <c r="CS89" s="141">
        <f t="shared" si="484"/>
        <v>0.78036760985595111</v>
      </c>
      <c r="CT89" s="141">
        <f t="shared" si="484"/>
        <v>0.75968942030616315</v>
      </c>
      <c r="CU89" s="141">
        <f t="shared" ref="CU89:CZ89" si="485">(CU86/CU$8)*100</f>
        <v>0.75616652242903293</v>
      </c>
      <c r="CV89" s="141">
        <f t="shared" si="485"/>
        <v>0.73363441166115873</v>
      </c>
      <c r="CW89" s="306">
        <f t="shared" si="485"/>
        <v>0.75753076358835836</v>
      </c>
      <c r="CX89" s="141">
        <f t="shared" si="485"/>
        <v>0.79614413833843511</v>
      </c>
      <c r="CY89" s="141">
        <f t="shared" si="485"/>
        <v>0.79122762465018914</v>
      </c>
      <c r="CZ89" s="141">
        <f t="shared" si="485"/>
        <v>0.79826144941839894</v>
      </c>
      <c r="DA89" s="141">
        <f t="shared" ref="DA89:DG89" si="486">(DA86/DA$8)*100</f>
        <v>0.81955394323645314</v>
      </c>
      <c r="DB89" s="306">
        <f t="shared" si="486"/>
        <v>0.80127479558833614</v>
      </c>
      <c r="DC89" s="141">
        <f t="shared" si="486"/>
        <v>0.87804620270201106</v>
      </c>
      <c r="DD89" s="141">
        <f t="shared" si="486"/>
        <v>0.79966693426277036</v>
      </c>
      <c r="DE89" s="141">
        <f t="shared" si="486"/>
        <v>0.81637335202508154</v>
      </c>
      <c r="DF89" s="141">
        <f t="shared" si="486"/>
        <v>0.76363777995352411</v>
      </c>
      <c r="DG89" s="306">
        <f t="shared" si="486"/>
        <v>0.81368775528884385</v>
      </c>
      <c r="DH89" s="141">
        <f t="shared" ref="DH89:DM89" si="487">(DH86/DH$8)*100</f>
        <v>0.88793441742508605</v>
      </c>
      <c r="DI89" s="141">
        <f t="shared" si="487"/>
        <v>0.87569919389632256</v>
      </c>
      <c r="DJ89" s="141">
        <f t="shared" si="487"/>
        <v>0.90687025863667703</v>
      </c>
      <c r="DK89" s="141">
        <f t="shared" si="487"/>
        <v>0.86556785498981426</v>
      </c>
      <c r="DL89" s="306">
        <f t="shared" si="487"/>
        <v>0.88420514920497539</v>
      </c>
      <c r="DM89" s="141">
        <f t="shared" si="487"/>
        <v>0.94476151492216731</v>
      </c>
      <c r="DN89" s="141">
        <f t="shared" ref="DN89:DS89" si="488">(DN86/DN$8)*100</f>
        <v>0.82088751495234913</v>
      </c>
      <c r="DO89" s="141">
        <f t="shared" si="488"/>
        <v>0.81076827114915218</v>
      </c>
      <c r="DP89" s="141">
        <f t="shared" si="488"/>
        <v>0.74640163847076979</v>
      </c>
      <c r="DQ89" s="306">
        <f t="shared" si="488"/>
        <v>0.82934343189769311</v>
      </c>
      <c r="DR89" s="141">
        <f t="shared" si="488"/>
        <v>0.82035579684079007</v>
      </c>
      <c r="DS89" s="141">
        <f t="shared" si="488"/>
        <v>0.69215899994990648</v>
      </c>
      <c r="DT89" s="141">
        <f t="shared" ref="DT89:DY89" si="489">(DT86/DT$8)*100</f>
        <v>0.73403567129219638</v>
      </c>
      <c r="DU89" s="141">
        <f t="shared" si="489"/>
        <v>0.74738099626989496</v>
      </c>
      <c r="DV89" s="306">
        <f t="shared" si="489"/>
        <v>0.7465423410572426</v>
      </c>
      <c r="DW89" s="141">
        <f t="shared" si="489"/>
        <v>0.70903397526709921</v>
      </c>
      <c r="DX89" s="141">
        <f t="shared" si="489"/>
        <v>0.65796634118351149</v>
      </c>
      <c r="DY89" s="141">
        <f t="shared" si="489"/>
        <v>0.71231457131588982</v>
      </c>
      <c r="DZ89" s="141">
        <f>(DZ86/DZ$8)*100</f>
        <v>0.78037583239381925</v>
      </c>
      <c r="EA89" s="306">
        <f>(EA86/EA$8)*100</f>
        <v>0.71458358115113285</v>
      </c>
      <c r="EB89" s="141">
        <f>(EB86/EB$8)*100</f>
        <v>0.74287992828883653</v>
      </c>
      <c r="EC89" s="141">
        <f t="shared" ref="EC89:ED89" si="490">(EC86/EC$8)*100</f>
        <v>0.73249950124632179</v>
      </c>
      <c r="ED89" s="141">
        <f t="shared" si="490"/>
        <v>0.68107105550966685</v>
      </c>
      <c r="EE89" s="141">
        <f>(EE86/EE$8)*100</f>
        <v>0.65684788552455053</v>
      </c>
      <c r="EF89" s="306">
        <f>(EF86/EF$8)*100</f>
        <v>0.70292592918021268</v>
      </c>
      <c r="EG89" s="141">
        <f>(EG86/EG$8)*100</f>
        <v>0.6621276860108769</v>
      </c>
      <c r="EH89" s="141">
        <f t="shared" ref="EH89:EI89" si="491">(EH86/EH$8)*100</f>
        <v>0.62482535695637864</v>
      </c>
      <c r="EI89" s="141">
        <f t="shared" si="491"/>
        <v>0.6734409534653838</v>
      </c>
      <c r="EJ89" s="141">
        <f>(EJ86/EJ$8)*100</f>
        <v>0.64138409738015978</v>
      </c>
      <c r="EK89" s="306">
        <f>(EK86/EK$8)*100</f>
        <v>0.65014825037986701</v>
      </c>
      <c r="EL89" s="141">
        <f>(EL86/EL$8)*100</f>
        <v>0.6621276860108769</v>
      </c>
      <c r="EM89" s="141">
        <f t="shared" ref="EM89:EN89" si="492">(EM86/EM$8)*100</f>
        <v>0.62482535695637864</v>
      </c>
      <c r="EN89" s="141">
        <f t="shared" si="492"/>
        <v>0.6734409534653838</v>
      </c>
      <c r="EO89" s="141">
        <f>(EO86/EO$8)*100</f>
        <v>0.64402353811011925</v>
      </c>
      <c r="EP89" s="306">
        <f>(EP86/EP$8)*100</f>
        <v>0.65079839863024691</v>
      </c>
      <c r="EQ89" s="18">
        <f>EL89*(1+EQ90)</f>
        <v>0.6621276860108769</v>
      </c>
      <c r="ER89" s="18">
        <f>EM89*(1+ER90)</f>
        <v>0.62482535695637864</v>
      </c>
      <c r="ES89" s="18">
        <f>EN89*(1+ES90)</f>
        <v>0.61956567718815314</v>
      </c>
      <c r="ET89" s="18">
        <f>EO89*(1+ET90)</f>
        <v>0.59894189044241086</v>
      </c>
      <c r="EU89" s="306">
        <f>(EU86/EU$8)*100</f>
        <v>0.62546956111045082</v>
      </c>
      <c r="EV89" s="18"/>
      <c r="EW89" s="18"/>
      <c r="EX89" s="18"/>
      <c r="EY89" s="18"/>
      <c r="EZ89" s="306">
        <f>EU89*(1+EZ90)</f>
        <v>0.60357812647158504</v>
      </c>
      <c r="FA89" s="18"/>
      <c r="FB89" s="18"/>
      <c r="FC89" s="18"/>
      <c r="FD89" s="18"/>
      <c r="FE89" s="306">
        <f>EZ89*(1+FE90)</f>
        <v>0.58245289204507955</v>
      </c>
      <c r="FF89" s="18"/>
      <c r="FG89" s="450"/>
      <c r="FH89" s="755">
        <f>AVERAGE(BT89,DH89,DM89,DR89,DW89)</f>
        <v>0.79645427543302039</v>
      </c>
      <c r="FI89" s="755">
        <f>AVERAGE(BU89,DI89,DN89,DS89,DX89)</f>
        <v>0.74144335514672055</v>
      </c>
      <c r="FJ89" s="755">
        <f>AVERAGE(BV89,DJ89,DO89,DT89,DY89)</f>
        <v>0.74877784552110183</v>
      </c>
      <c r="FK89" s="755">
        <f>AVERAGE(BW89,DK89,DP89,DU89,DZ89)</f>
        <v>0.73378066752446203</v>
      </c>
      <c r="FL89" s="563"/>
      <c r="FM89" s="563"/>
      <c r="FN89" s="891"/>
      <c r="FO89" s="383"/>
      <c r="FP89" s="383"/>
      <c r="FQ89" s="383"/>
      <c r="FR89" s="383"/>
      <c r="FS89" s="383"/>
      <c r="FT89" s="190"/>
    </row>
    <row r="90" spans="1:183" ht="12.75" customHeight="1" x14ac:dyDescent="0.2">
      <c r="A90" s="60" t="s">
        <v>244</v>
      </c>
      <c r="B90" s="128"/>
      <c r="C90" s="128"/>
      <c r="D90" s="128"/>
      <c r="E90" s="128"/>
      <c r="F90" s="244"/>
      <c r="G90" s="128">
        <f>G89/B89-1</f>
        <v>-2.2375130336188986E-2</v>
      </c>
      <c r="H90" s="128">
        <f>H89/C89-1</f>
        <v>0.20184474657324758</v>
      </c>
      <c r="I90" s="128">
        <f>I89/D89-1</f>
        <v>6.9760064861928761E-2</v>
      </c>
      <c r="J90" s="128">
        <f>J89/E89-1</f>
        <v>-4.1751594041349427E-2</v>
      </c>
      <c r="K90" s="244">
        <f t="shared" ref="K90:U90" si="493">K89/F89-1</f>
        <v>4.5038081838667532E-2</v>
      </c>
      <c r="L90" s="128">
        <f t="shared" si="493"/>
        <v>-1.4821404268746674E-2</v>
      </c>
      <c r="M90" s="128">
        <f t="shared" si="493"/>
        <v>0.10635984827370804</v>
      </c>
      <c r="N90" s="128">
        <f t="shared" si="493"/>
        <v>1.3359666844605433E-2</v>
      </c>
      <c r="O90" s="128">
        <f t="shared" si="493"/>
        <v>0.23643877183158901</v>
      </c>
      <c r="P90" s="244">
        <f t="shared" si="493"/>
        <v>8.6764825098624154E-2</v>
      </c>
      <c r="Q90" s="128">
        <f t="shared" si="493"/>
        <v>0.1252886176663679</v>
      </c>
      <c r="R90" s="128">
        <f t="shared" si="493"/>
        <v>-3.5171869020809821E-2</v>
      </c>
      <c r="S90" s="128">
        <f t="shared" si="493"/>
        <v>0.16604861156819384</v>
      </c>
      <c r="T90" s="128">
        <f t="shared" si="493"/>
        <v>-7.5383143353056403E-2</v>
      </c>
      <c r="U90" s="244">
        <f t="shared" si="493"/>
        <v>3.5419556412713771E-2</v>
      </c>
      <c r="V90" s="128">
        <f t="shared" ref="V90:BR90" si="494">V89/Q89-1</f>
        <v>0.11082090323612892</v>
      </c>
      <c r="W90" s="128">
        <f t="shared" si="494"/>
        <v>-3.0252170398815781E-2</v>
      </c>
      <c r="X90" s="128">
        <f t="shared" si="494"/>
        <v>-4.5090483405028969E-2</v>
      </c>
      <c r="Y90" s="128">
        <f t="shared" si="494"/>
        <v>-3.7531794038471622E-2</v>
      </c>
      <c r="Z90" s="244">
        <f t="shared" si="494"/>
        <v>-2.5402183375792253E-3</v>
      </c>
      <c r="AA90" s="128">
        <f t="shared" si="494"/>
        <v>-8.3884664945893972E-2</v>
      </c>
      <c r="AB90" s="128">
        <f t="shared" si="494"/>
        <v>4.9819712833933272E-2</v>
      </c>
      <c r="AC90" s="128">
        <f t="shared" si="494"/>
        <v>3.8981972011370436E-2</v>
      </c>
      <c r="AD90" s="128">
        <f t="shared" si="494"/>
        <v>5.6594818836144478E-2</v>
      </c>
      <c r="AE90" s="244">
        <f t="shared" si="494"/>
        <v>1.3634589934591101E-2</v>
      </c>
      <c r="AF90" s="128">
        <f t="shared" si="494"/>
        <v>6.4116557839553057E-2</v>
      </c>
      <c r="AG90" s="128">
        <f t="shared" si="494"/>
        <v>0.11584047148778587</v>
      </c>
      <c r="AH90" s="128">
        <f t="shared" si="494"/>
        <v>0.11357924847866419</v>
      </c>
      <c r="AI90" s="128">
        <f t="shared" si="494"/>
        <v>-0.14192068168266503</v>
      </c>
      <c r="AJ90" s="244">
        <f t="shared" si="494"/>
        <v>3.6613925015178461E-2</v>
      </c>
      <c r="AK90" s="128">
        <f t="shared" si="494"/>
        <v>-0.15642599369056043</v>
      </c>
      <c r="AL90" s="128">
        <f t="shared" si="494"/>
        <v>-0.22406905120913168</v>
      </c>
      <c r="AM90" s="128">
        <f t="shared" si="494"/>
        <v>-6.3985689581739558E-2</v>
      </c>
      <c r="AN90" s="128">
        <f t="shared" si="494"/>
        <v>0.19263108506023796</v>
      </c>
      <c r="AO90" s="244">
        <f t="shared" si="494"/>
        <v>-7.375718807683096E-2</v>
      </c>
      <c r="AP90" s="128">
        <f t="shared" si="494"/>
        <v>0.16558042663206773</v>
      </c>
      <c r="AQ90" s="128">
        <f t="shared" si="494"/>
        <v>0.25870418570523368</v>
      </c>
      <c r="AR90" s="128">
        <f t="shared" si="494"/>
        <v>-2.8534309968897276E-4</v>
      </c>
      <c r="AS90" s="128">
        <f t="shared" si="494"/>
        <v>3.5905749957711119E-2</v>
      </c>
      <c r="AT90" s="244">
        <f t="shared" si="494"/>
        <v>0.1032753820352017</v>
      </c>
      <c r="AU90" s="128">
        <f t="shared" si="494"/>
        <v>0.1384005092375391</v>
      </c>
      <c r="AV90" s="128">
        <f t="shared" si="494"/>
        <v>2.4108385255240394E-2</v>
      </c>
      <c r="AW90" s="128">
        <f t="shared" si="494"/>
        <v>0.16570707752664604</v>
      </c>
      <c r="AX90" s="128">
        <f t="shared" si="494"/>
        <v>4.8226374059691768E-2</v>
      </c>
      <c r="AY90" s="244">
        <f t="shared" si="494"/>
        <v>9.3346095550360664E-2</v>
      </c>
      <c r="AZ90" s="128">
        <f t="shared" si="494"/>
        <v>-8.4555949827303745E-2</v>
      </c>
      <c r="BA90" s="128">
        <f t="shared" si="494"/>
        <v>-6.8591892731607151E-2</v>
      </c>
      <c r="BB90" s="128">
        <f t="shared" si="494"/>
        <v>-0.11569619934455644</v>
      </c>
      <c r="BC90" s="128">
        <f t="shared" si="494"/>
        <v>-9.3909024581047551E-2</v>
      </c>
      <c r="BD90" s="244">
        <f t="shared" si="494"/>
        <v>-9.1678257188553269E-2</v>
      </c>
      <c r="BE90" s="128">
        <f t="shared" si="494"/>
        <v>-5.9854406912267621E-2</v>
      </c>
      <c r="BF90" s="128">
        <f t="shared" si="494"/>
        <v>2.2390107107608026E-2</v>
      </c>
      <c r="BG90" s="128">
        <f t="shared" si="494"/>
        <v>-2.5926170736594867E-2</v>
      </c>
      <c r="BH90" s="128">
        <f t="shared" si="494"/>
        <v>-8.1472108318572656E-2</v>
      </c>
      <c r="BI90" s="244">
        <f t="shared" si="494"/>
        <v>-3.6182358853032337E-2</v>
      </c>
      <c r="BJ90" s="128">
        <f t="shared" si="494"/>
        <v>-5.9171131483254591E-2</v>
      </c>
      <c r="BK90" s="128">
        <f t="shared" si="494"/>
        <v>-6.079791418533842E-2</v>
      </c>
      <c r="BL90" s="128">
        <f t="shared" si="494"/>
        <v>-0.11567959644326387</v>
      </c>
      <c r="BM90" s="128">
        <f t="shared" si="494"/>
        <v>-4.3437807871087197E-2</v>
      </c>
      <c r="BN90" s="244">
        <f t="shared" si="494"/>
        <v>-7.0772128832796821E-2</v>
      </c>
      <c r="BO90" s="128">
        <f t="shared" si="494"/>
        <v>4.1926404636376979E-2</v>
      </c>
      <c r="BP90" s="128">
        <f t="shared" si="494"/>
        <v>-1.1780897086800746E-2</v>
      </c>
      <c r="BQ90" s="128">
        <f t="shared" si="494"/>
        <v>8.9836443334326166E-2</v>
      </c>
      <c r="BR90" s="128">
        <f t="shared" si="494"/>
        <v>0.11902114673013142</v>
      </c>
      <c r="BS90" s="244">
        <f t="shared" ref="BS90:DA90" si="495">BS89/BN89-1</f>
        <v>5.8650106467738716E-2</v>
      </c>
      <c r="BT90" s="128">
        <f t="shared" si="495"/>
        <v>1.7989847546167503E-2</v>
      </c>
      <c r="BU90" s="128">
        <f t="shared" si="495"/>
        <v>0.13643426384490631</v>
      </c>
      <c r="BV90" s="128">
        <f t="shared" si="495"/>
        <v>-4.8944602600508147E-2</v>
      </c>
      <c r="BW90" s="128">
        <f t="shared" si="495"/>
        <v>-0.11189673084634999</v>
      </c>
      <c r="BX90" s="244">
        <f t="shared" si="495"/>
        <v>-5.1540070501908675E-3</v>
      </c>
      <c r="BY90" s="128">
        <f t="shared" si="495"/>
        <v>-0.15519995630111849</v>
      </c>
      <c r="BZ90" s="128">
        <f t="shared" si="495"/>
        <v>-0.2124566811688311</v>
      </c>
      <c r="CA90" s="128">
        <f t="shared" si="495"/>
        <v>-8.4660999091197175E-2</v>
      </c>
      <c r="CB90" s="128">
        <f t="shared" si="495"/>
        <v>-2.6840633418641624E-2</v>
      </c>
      <c r="CC90" s="244">
        <f>CC89/BX89-1</f>
        <v>-0.12319841622881633</v>
      </c>
      <c r="CD90" s="128">
        <f t="shared" si="495"/>
        <v>-9.7522395088461722E-2</v>
      </c>
      <c r="CE90" s="128">
        <f t="shared" si="495"/>
        <v>3.0493726352276429E-3</v>
      </c>
      <c r="CF90" s="128">
        <f t="shared" si="495"/>
        <v>-7.0099343992773844E-2</v>
      </c>
      <c r="CG90" s="128">
        <f t="shared" si="495"/>
        <v>2.6336317720334845E-2</v>
      </c>
      <c r="CH90" s="244">
        <f>CH89/CC89-1</f>
        <v>-3.4153217629355193E-2</v>
      </c>
      <c r="CI90" s="128">
        <f t="shared" si="495"/>
        <v>0.21471642891238618</v>
      </c>
      <c r="CJ90" s="128">
        <f t="shared" si="495"/>
        <v>0.18143293568335928</v>
      </c>
      <c r="CK90" s="128">
        <f t="shared" si="495"/>
        <v>0.26050717114061173</v>
      </c>
      <c r="CL90" s="128">
        <f t="shared" si="495"/>
        <v>0.24342049251736531</v>
      </c>
      <c r="CM90" s="244">
        <f>CM89/CH89-1</f>
        <v>0.22517245119092055</v>
      </c>
      <c r="CN90" s="128">
        <f t="shared" si="495"/>
        <v>-1.1761835386872033E-2</v>
      </c>
      <c r="CO90" s="128">
        <f t="shared" si="495"/>
        <v>0.17656758072940515</v>
      </c>
      <c r="CP90" s="128">
        <f t="shared" si="495"/>
        <v>0.16170191645805621</v>
      </c>
      <c r="CQ90" s="128">
        <f t="shared" si="495"/>
        <v>0.1835483973227765</v>
      </c>
      <c r="CR90" s="110">
        <f>CR89/CM89-1</f>
        <v>0.13081822868890547</v>
      </c>
      <c r="CS90" s="128">
        <f t="shared" si="495"/>
        <v>0.3748351199822717</v>
      </c>
      <c r="CT90" s="128">
        <f t="shared" si="495"/>
        <v>4.7459971589713712E-2</v>
      </c>
      <c r="CU90" s="128">
        <f t="shared" si="495"/>
        <v>4.6177675837909105E-2</v>
      </c>
      <c r="CV90" s="128">
        <f t="shared" si="495"/>
        <v>-5.6806031036244375E-2</v>
      </c>
      <c r="CW90" s="110">
        <f>CW89/CR89-1</f>
        <v>8.3534893623064654E-2</v>
      </c>
      <c r="CX90" s="128">
        <f t="shared" si="495"/>
        <v>2.0216790501333293E-2</v>
      </c>
      <c r="CY90" s="128">
        <f t="shared" si="495"/>
        <v>4.1514602548125223E-2</v>
      </c>
      <c r="CZ90" s="128">
        <f t="shared" si="495"/>
        <v>5.5668858301402446E-2</v>
      </c>
      <c r="DA90" s="128">
        <f t="shared" si="495"/>
        <v>0.11711491474445412</v>
      </c>
      <c r="DB90" s="110">
        <f t="shared" ref="DB90:DT90" si="496">DB89/CW89-1</f>
        <v>5.7745551867446343E-2</v>
      </c>
      <c r="DC90" s="128">
        <f t="shared" si="496"/>
        <v>0.10287341251360194</v>
      </c>
      <c r="DD90" s="128">
        <f t="shared" si="496"/>
        <v>1.0666095760132555E-2</v>
      </c>
      <c r="DE90" s="128">
        <f t="shared" si="496"/>
        <v>2.268918613053228E-2</v>
      </c>
      <c r="DF90" s="128">
        <f t="shared" si="496"/>
        <v>-6.822755688553428E-2</v>
      </c>
      <c r="DG90" s="110">
        <f t="shared" si="496"/>
        <v>1.5491513983530991E-2</v>
      </c>
      <c r="DH90" s="128">
        <f t="shared" si="496"/>
        <v>1.1261610941025735E-2</v>
      </c>
      <c r="DI90" s="128">
        <f t="shared" si="496"/>
        <v>9.5079909367076665E-2</v>
      </c>
      <c r="DJ90" s="128">
        <f t="shared" si="496"/>
        <v>0.11085235252609649</v>
      </c>
      <c r="DK90" s="128">
        <f t="shared" si="496"/>
        <v>0.13347961260179364</v>
      </c>
      <c r="DL90" s="110">
        <f t="shared" si="496"/>
        <v>8.6663948741737107E-2</v>
      </c>
      <c r="DM90" s="128">
        <f t="shared" si="496"/>
        <v>6.3999205776788859E-2</v>
      </c>
      <c r="DN90" s="128">
        <f t="shared" si="496"/>
        <v>-6.2591902934265753E-2</v>
      </c>
      <c r="DO90" s="128">
        <f t="shared" si="496"/>
        <v>-0.10597104334637419</v>
      </c>
      <c r="DP90" s="128">
        <f t="shared" si="496"/>
        <v>-0.1376740319457066</v>
      </c>
      <c r="DQ90" s="110">
        <f>DQ89/DL89-1</f>
        <v>-6.2046367131667002E-2</v>
      </c>
      <c r="DR90" s="128">
        <f t="shared" si="496"/>
        <v>-0.13167949383673427</v>
      </c>
      <c r="DS90" s="128">
        <f t="shared" si="496"/>
        <v>-0.15681626612376376</v>
      </c>
      <c r="DT90" s="128">
        <f t="shared" si="496"/>
        <v>-9.4641838596123073E-2</v>
      </c>
      <c r="DU90" s="128">
        <f t="shared" ref="DU90:ED90" si="497">DU89/DP89-1</f>
        <v>1.3121056394405084E-3</v>
      </c>
      <c r="DV90" s="110">
        <f t="shared" si="497"/>
        <v>-9.9839327901815156E-2</v>
      </c>
      <c r="DW90" s="128">
        <f t="shared" si="497"/>
        <v>-0.1356994391974724</v>
      </c>
      <c r="DX90" s="128">
        <f t="shared" si="497"/>
        <v>-4.9400006022994103E-2</v>
      </c>
      <c r="DY90" s="128">
        <f t="shared" si="497"/>
        <v>-2.9591341164753926E-2</v>
      </c>
      <c r="DZ90" s="128">
        <f t="shared" si="497"/>
        <v>4.414727734394952E-2</v>
      </c>
      <c r="EA90" s="110">
        <f t="shared" si="497"/>
        <v>-4.2809038615077344E-2</v>
      </c>
      <c r="EB90" s="128">
        <f t="shared" si="497"/>
        <v>4.7735304939353851E-2</v>
      </c>
      <c r="EC90" s="128">
        <f t="shared" si="497"/>
        <v>0.11327807426857794</v>
      </c>
      <c r="ED90" s="128">
        <f t="shared" si="497"/>
        <v>-4.3861963610410837E-2</v>
      </c>
      <c r="EE90" s="128">
        <f t="shared" ref="EE90" si="498">EE89/DZ89-1</f>
        <v>-0.15829289137561342</v>
      </c>
      <c r="EF90" s="110">
        <f t="shared" ref="EF90:EJ90" si="499">EF89/EA89-1</f>
        <v>-1.6313909636911483E-2</v>
      </c>
      <c r="EG90" s="128">
        <f t="shared" si="499"/>
        <v>-0.10870160735660994</v>
      </c>
      <c r="EH90" s="128">
        <f t="shared" si="499"/>
        <v>-0.14699551891399165</v>
      </c>
      <c r="EI90" s="128">
        <f t="shared" si="499"/>
        <v>-1.1203092515175483E-2</v>
      </c>
      <c r="EJ90" s="128">
        <f t="shared" si="499"/>
        <v>-2.3542419006253756E-2</v>
      </c>
      <c r="EK90" s="110">
        <f>EK89/EF89-1</f>
        <v>-7.508284530334175E-2</v>
      </c>
      <c r="EL90" s="128"/>
      <c r="EM90" s="128"/>
      <c r="EN90" s="128"/>
      <c r="EO90" s="128"/>
      <c r="EP90" s="110"/>
      <c r="EQ90" s="133">
        <v>0</v>
      </c>
      <c r="ER90" s="133">
        <v>0</v>
      </c>
      <c r="ES90" s="133">
        <v>-0.08</v>
      </c>
      <c r="ET90" s="133">
        <v>-7.0000000000000007E-2</v>
      </c>
      <c r="EU90" s="110">
        <f>EU89/EP89-1</f>
        <v>-3.89196371304944E-2</v>
      </c>
      <c r="EV90" s="133"/>
      <c r="EW90" s="133"/>
      <c r="EX90" s="133"/>
      <c r="EY90" s="133"/>
      <c r="EZ90" s="609">
        <v>-3.5000000000000003E-2</v>
      </c>
      <c r="FA90" s="133"/>
      <c r="FB90" s="133"/>
      <c r="FC90" s="133"/>
      <c r="FD90" s="133"/>
      <c r="FE90" s="609">
        <v>-3.5000000000000003E-2</v>
      </c>
      <c r="FF90" s="133"/>
      <c r="FG90" s="437"/>
      <c r="FI90" s="580"/>
      <c r="FL90" s="408"/>
      <c r="FM90" s="423"/>
      <c r="FN90" s="369"/>
      <c r="FO90" s="369"/>
      <c r="FP90" s="369"/>
      <c r="FQ90" s="383"/>
      <c r="FR90" s="369"/>
      <c r="FS90" s="369"/>
      <c r="FT90" s="190"/>
    </row>
    <row r="91" spans="1:183" ht="12.75" customHeight="1" x14ac:dyDescent="0.2">
      <c r="A91" s="8" t="s">
        <v>267</v>
      </c>
      <c r="B91" s="9">
        <f t="shared" ref="B91:AG91" si="500">B99-B86-B79-B72-B54-B39</f>
        <v>69.844999999999999</v>
      </c>
      <c r="C91" s="9">
        <f t="shared" si="500"/>
        <v>83.598000000000027</v>
      </c>
      <c r="D91" s="9">
        <f t="shared" si="500"/>
        <v>79.682999999999964</v>
      </c>
      <c r="E91" s="9">
        <f t="shared" si="500"/>
        <v>83.995000000000033</v>
      </c>
      <c r="F91" s="10">
        <f t="shared" si="500"/>
        <v>317.12100000000015</v>
      </c>
      <c r="G91" s="9">
        <f t="shared" si="500"/>
        <v>86.163999999999959</v>
      </c>
      <c r="H91" s="9">
        <f t="shared" si="500"/>
        <v>97.599999999999952</v>
      </c>
      <c r="I91" s="9">
        <f t="shared" si="500"/>
        <v>99.823000000000022</v>
      </c>
      <c r="J91" s="9">
        <f t="shared" si="500"/>
        <v>145.197</v>
      </c>
      <c r="K91" s="10">
        <f t="shared" si="500"/>
        <v>428.78400000000011</v>
      </c>
      <c r="L91" s="9">
        <f t="shared" si="500"/>
        <v>110.32400000000004</v>
      </c>
      <c r="M91" s="9">
        <f t="shared" si="500"/>
        <v>118.75299999999999</v>
      </c>
      <c r="N91" s="9">
        <f t="shared" si="500"/>
        <v>122.81300000000005</v>
      </c>
      <c r="O91" s="9">
        <f t="shared" si="500"/>
        <v>184.81199999999995</v>
      </c>
      <c r="P91" s="10">
        <f t="shared" si="500"/>
        <v>536.70200000000023</v>
      </c>
      <c r="Q91" s="9">
        <f t="shared" si="500"/>
        <v>127.86200000000002</v>
      </c>
      <c r="R91" s="9">
        <f t="shared" si="500"/>
        <v>143.14499999999995</v>
      </c>
      <c r="S91" s="9">
        <f t="shared" si="500"/>
        <v>150.18400000000005</v>
      </c>
      <c r="T91" s="9">
        <f t="shared" si="500"/>
        <v>246.71999999999991</v>
      </c>
      <c r="U91" s="10">
        <f t="shared" si="500"/>
        <v>667.91100000000017</v>
      </c>
      <c r="V91" s="9">
        <f t="shared" si="500"/>
        <v>177.27799999999999</v>
      </c>
      <c r="W91" s="9">
        <f t="shared" si="500"/>
        <v>187.02499999999998</v>
      </c>
      <c r="X91" s="9">
        <f t="shared" si="500"/>
        <v>187.57300000000001</v>
      </c>
      <c r="Y91" s="9">
        <f t="shared" si="500"/>
        <v>185.42799999999997</v>
      </c>
      <c r="Z91" s="10">
        <f t="shared" si="500"/>
        <v>737.30400000000031</v>
      </c>
      <c r="AA91" s="9">
        <f t="shared" si="500"/>
        <v>183.40700000000004</v>
      </c>
      <c r="AB91" s="9">
        <f t="shared" si="500"/>
        <v>195.78799999999998</v>
      </c>
      <c r="AC91" s="9">
        <f t="shared" si="500"/>
        <v>196.47399999999985</v>
      </c>
      <c r="AD91" s="9">
        <f t="shared" si="500"/>
        <v>206.40599999999984</v>
      </c>
      <c r="AE91" s="10">
        <f t="shared" si="500"/>
        <v>782.07499999999993</v>
      </c>
      <c r="AF91" s="9">
        <f t="shared" si="500"/>
        <v>222.69400000000024</v>
      </c>
      <c r="AG91" s="9">
        <f t="shared" si="500"/>
        <v>235.50500000000005</v>
      </c>
      <c r="AH91" s="9">
        <f t="shared" ref="AH91:BM91" si="501">AH99-AH86-AH79-AH72-AH54-AH39</f>
        <v>242.82500000000005</v>
      </c>
      <c r="AI91" s="9">
        <f t="shared" si="501"/>
        <v>242.26500000000004</v>
      </c>
      <c r="AJ91" s="10">
        <f t="shared" si="501"/>
        <v>943.28899999999999</v>
      </c>
      <c r="AK91" s="9">
        <f t="shared" si="501"/>
        <v>244.01699999999988</v>
      </c>
      <c r="AL91" s="9">
        <f t="shared" si="501"/>
        <v>246.29199999999986</v>
      </c>
      <c r="AM91" s="9">
        <f t="shared" si="501"/>
        <v>260.67200000000008</v>
      </c>
      <c r="AN91" s="9">
        <f t="shared" si="501"/>
        <v>256.08699999999993</v>
      </c>
      <c r="AO91" s="10">
        <f t="shared" si="501"/>
        <v>1007.0679999999998</v>
      </c>
      <c r="AP91" s="9">
        <f t="shared" si="501"/>
        <v>257.36599999999993</v>
      </c>
      <c r="AQ91" s="9">
        <f t="shared" si="501"/>
        <v>273.75700000000006</v>
      </c>
      <c r="AR91" s="9">
        <f t="shared" si="501"/>
        <v>270.14300000000003</v>
      </c>
      <c r="AS91" s="9">
        <f t="shared" si="501"/>
        <v>275.01000000000005</v>
      </c>
      <c r="AT91" s="10">
        <f t="shared" si="501"/>
        <v>1076.2760000000003</v>
      </c>
      <c r="AU91" s="9">
        <f t="shared" si="501"/>
        <v>283.19099999999986</v>
      </c>
      <c r="AV91" s="9">
        <f t="shared" si="501"/>
        <v>299.96100000000001</v>
      </c>
      <c r="AW91" s="9">
        <f t="shared" si="501"/>
        <v>296.87499999999989</v>
      </c>
      <c r="AX91" s="9">
        <f t="shared" si="501"/>
        <v>310.32599999999996</v>
      </c>
      <c r="AY91" s="10">
        <f t="shared" si="501"/>
        <v>1190.3530000000003</v>
      </c>
      <c r="AZ91" s="9">
        <f t="shared" si="501"/>
        <v>299.06900000000002</v>
      </c>
      <c r="BA91" s="9">
        <f t="shared" si="501"/>
        <v>318.40500000000026</v>
      </c>
      <c r="BB91" s="9">
        <f t="shared" si="501"/>
        <v>326.85600000000028</v>
      </c>
      <c r="BC91" s="9">
        <f t="shared" si="501"/>
        <v>339.89600000000007</v>
      </c>
      <c r="BD91" s="10">
        <f t="shared" si="501"/>
        <v>1284.2260000000001</v>
      </c>
      <c r="BE91" s="9">
        <f t="shared" si="501"/>
        <v>337.18400000000003</v>
      </c>
      <c r="BF91" s="9">
        <f t="shared" si="501"/>
        <v>352.84999999999985</v>
      </c>
      <c r="BG91" s="9">
        <f t="shared" si="501"/>
        <v>352.93400000000025</v>
      </c>
      <c r="BH91" s="9">
        <f t="shared" si="501"/>
        <v>346.83500000000015</v>
      </c>
      <c r="BI91" s="10">
        <f t="shared" si="501"/>
        <v>1389.8029999999999</v>
      </c>
      <c r="BJ91" s="9">
        <f t="shared" si="501"/>
        <v>347.23500000000013</v>
      </c>
      <c r="BK91" s="9">
        <f t="shared" si="501"/>
        <v>359.99999999999994</v>
      </c>
      <c r="BL91" s="9">
        <f t="shared" si="501"/>
        <v>349.86400000000003</v>
      </c>
      <c r="BM91" s="9">
        <f t="shared" si="501"/>
        <v>359.43000000000006</v>
      </c>
      <c r="BN91" s="10">
        <f t="shared" ref="BN91:CS91" si="502">BN99-BN86-BN79-BN72-BN54-BN39</f>
        <v>1416.5290000000014</v>
      </c>
      <c r="BO91" s="9">
        <f t="shared" si="502"/>
        <v>337</v>
      </c>
      <c r="BP91" s="9">
        <f t="shared" si="502"/>
        <v>349</v>
      </c>
      <c r="BQ91" s="9">
        <f t="shared" si="502"/>
        <v>346</v>
      </c>
      <c r="BR91" s="9">
        <f t="shared" si="502"/>
        <v>372</v>
      </c>
      <c r="BS91" s="10">
        <f t="shared" si="502"/>
        <v>1404</v>
      </c>
      <c r="BT91" s="9">
        <f t="shared" si="502"/>
        <v>357</v>
      </c>
      <c r="BU91" s="9">
        <f t="shared" si="502"/>
        <v>372</v>
      </c>
      <c r="BV91" s="9">
        <f t="shared" si="502"/>
        <v>358</v>
      </c>
      <c r="BW91" s="9">
        <f t="shared" si="502"/>
        <v>374</v>
      </c>
      <c r="BX91" s="10">
        <f t="shared" si="502"/>
        <v>1461</v>
      </c>
      <c r="BY91" s="9">
        <f t="shared" si="502"/>
        <v>382</v>
      </c>
      <c r="BZ91" s="9">
        <f t="shared" si="502"/>
        <v>405</v>
      </c>
      <c r="CA91" s="9">
        <f t="shared" si="502"/>
        <v>419</v>
      </c>
      <c r="CB91" s="9">
        <f t="shared" si="502"/>
        <v>452</v>
      </c>
      <c r="CC91" s="10">
        <f t="shared" si="502"/>
        <v>1658</v>
      </c>
      <c r="CD91" s="9">
        <f t="shared" si="502"/>
        <v>436</v>
      </c>
      <c r="CE91" s="9">
        <f t="shared" si="502"/>
        <v>458</v>
      </c>
      <c r="CF91" s="9">
        <f t="shared" si="502"/>
        <v>460</v>
      </c>
      <c r="CG91" s="9">
        <f t="shared" si="502"/>
        <v>467</v>
      </c>
      <c r="CH91" s="10">
        <f t="shared" si="502"/>
        <v>1821</v>
      </c>
      <c r="CI91" s="9">
        <f t="shared" si="502"/>
        <v>473</v>
      </c>
      <c r="CJ91" s="9">
        <f t="shared" si="502"/>
        <v>503</v>
      </c>
      <c r="CK91" s="9">
        <f t="shared" si="502"/>
        <v>507</v>
      </c>
      <c r="CL91" s="9">
        <f t="shared" si="502"/>
        <v>511</v>
      </c>
      <c r="CM91" s="10">
        <f t="shared" si="502"/>
        <v>1994</v>
      </c>
      <c r="CN91" s="9">
        <f t="shared" si="502"/>
        <v>563</v>
      </c>
      <c r="CO91" s="9">
        <f t="shared" si="502"/>
        <v>554</v>
      </c>
      <c r="CP91" s="9">
        <f t="shared" si="502"/>
        <v>569</v>
      </c>
      <c r="CQ91" s="9">
        <f t="shared" si="502"/>
        <v>509</v>
      </c>
      <c r="CR91" s="10">
        <f t="shared" si="502"/>
        <v>2195</v>
      </c>
      <c r="CS91" s="9">
        <f t="shared" si="502"/>
        <v>616.43899999999974</v>
      </c>
      <c r="CT91" s="9">
        <f t="shared" ref="CT91:DE91" si="503">CT99-CT86-CT79-CT72-CT54-CT39</f>
        <v>645.2860000000004</v>
      </c>
      <c r="CU91" s="9">
        <f t="shared" si="503"/>
        <v>645.11400000000049</v>
      </c>
      <c r="CV91" s="9">
        <f t="shared" si="503"/>
        <v>651.31899999999973</v>
      </c>
      <c r="CW91" s="10">
        <f t="shared" si="503"/>
        <v>2558.1579999999994</v>
      </c>
      <c r="CX91" s="9">
        <f t="shared" si="503"/>
        <v>661.04899999999964</v>
      </c>
      <c r="CY91" s="9">
        <f t="shared" si="503"/>
        <v>677</v>
      </c>
      <c r="CZ91" s="9">
        <f t="shared" si="503"/>
        <v>712</v>
      </c>
      <c r="DA91" s="9">
        <f t="shared" si="503"/>
        <v>743</v>
      </c>
      <c r="DB91" s="10">
        <f t="shared" si="503"/>
        <v>2793.049</v>
      </c>
      <c r="DC91" s="9">
        <f t="shared" si="503"/>
        <v>727.83399999999983</v>
      </c>
      <c r="DD91" s="9">
        <f t="shared" si="503"/>
        <v>769</v>
      </c>
      <c r="DE91" s="9">
        <f t="shared" si="503"/>
        <v>765</v>
      </c>
      <c r="DF91" s="9">
        <f>DF97+DF98</f>
        <v>761</v>
      </c>
      <c r="DG91" s="10">
        <f>SUM(DC91:DF91)</f>
        <v>3022.8339999999998</v>
      </c>
      <c r="DH91" s="9">
        <f>DH97+DH98</f>
        <v>744</v>
      </c>
      <c r="DI91" s="9">
        <f>DI97+DI98</f>
        <v>763</v>
      </c>
      <c r="DJ91" s="9">
        <f>DJ97+DJ98</f>
        <v>787</v>
      </c>
      <c r="DK91" s="9">
        <f>DK97+DK98</f>
        <v>787</v>
      </c>
      <c r="DL91" s="10">
        <f>SUM(DH91:DK91)</f>
        <v>3081</v>
      </c>
      <c r="DM91" s="9">
        <f>DM97+DM98</f>
        <v>767</v>
      </c>
      <c r="DN91" s="9">
        <f>DN97+DN98</f>
        <v>811</v>
      </c>
      <c r="DO91" s="9">
        <f>DO97+DO98</f>
        <v>822</v>
      </c>
      <c r="DP91" s="9">
        <f>DP97+DP98</f>
        <v>827</v>
      </c>
      <c r="DQ91" s="10">
        <f>SUM(DM91:DP91)</f>
        <v>3227</v>
      </c>
      <c r="DR91" s="9">
        <f>DR97+DR98</f>
        <v>792</v>
      </c>
      <c r="DS91" s="9">
        <f>DS97+DS98</f>
        <v>828</v>
      </c>
      <c r="DT91" s="9">
        <f>DT97+DT98</f>
        <v>857</v>
      </c>
      <c r="DU91" s="9">
        <f>DU97+DU98</f>
        <v>839</v>
      </c>
      <c r="DV91" s="10">
        <f>SUM(DR91:DU91)</f>
        <v>3316</v>
      </c>
      <c r="DW91" s="9">
        <f>DW97+DW98</f>
        <v>819</v>
      </c>
      <c r="DX91" s="9">
        <f>DX97+DX98</f>
        <v>862</v>
      </c>
      <c r="DY91" s="9">
        <f>DY97+DY98</f>
        <v>875</v>
      </c>
      <c r="DZ91" s="9">
        <f>DZ97+DZ98</f>
        <v>890</v>
      </c>
      <c r="EA91" s="10">
        <f>SUM(DW91:DZ91)</f>
        <v>3446</v>
      </c>
      <c r="EB91" s="9">
        <f>EB97+EB98</f>
        <v>880</v>
      </c>
      <c r="EC91" s="9">
        <f>EC97+EC98</f>
        <v>907</v>
      </c>
      <c r="ED91" s="9">
        <f>ED97+ED98</f>
        <v>947</v>
      </c>
      <c r="EE91" s="9">
        <f>EE97+EE98</f>
        <v>948</v>
      </c>
      <c r="EF91" s="10">
        <f>SUM(EB91:EE91)</f>
        <v>3682</v>
      </c>
      <c r="EG91" s="9">
        <f>EG97+EG98</f>
        <v>955</v>
      </c>
      <c r="EH91" s="9">
        <f>EH97+EH98</f>
        <v>1006</v>
      </c>
      <c r="EI91" s="9">
        <f>EI97+EI98</f>
        <v>940</v>
      </c>
      <c r="EJ91" s="9">
        <f>EJ97+EJ98</f>
        <v>990</v>
      </c>
      <c r="EK91" s="10">
        <f>SUM(EG91:EJ91)</f>
        <v>3891</v>
      </c>
      <c r="EL91" s="9">
        <f>EL97+EL98</f>
        <v>942</v>
      </c>
      <c r="EM91" s="9">
        <f>EM97+EM98</f>
        <v>998</v>
      </c>
      <c r="EN91" s="9">
        <f>EN97+EN98</f>
        <v>931</v>
      </c>
      <c r="EO91" s="9">
        <f>EO97+EO98</f>
        <v>974</v>
      </c>
      <c r="EP91" s="10">
        <f>SUM(EL91:EO91)</f>
        <v>3845</v>
      </c>
      <c r="EQ91" s="9">
        <f t="shared" ref="EQ91" si="504">EQ94*EQ8/100</f>
        <v>970.44839999999999</v>
      </c>
      <c r="ER91" s="9">
        <f t="shared" ref="ER91:ET91" si="505">ER94*ER8/100</f>
        <v>1037.92</v>
      </c>
      <c r="ES91" s="9">
        <f t="shared" si="505"/>
        <v>968.24000000000012</v>
      </c>
      <c r="ET91" s="9">
        <f t="shared" si="505"/>
        <v>1039.258</v>
      </c>
      <c r="EU91" s="10">
        <f>SUM(EQ91:ET91)</f>
        <v>4015.8663999999999</v>
      </c>
      <c r="EV91" s="9"/>
      <c r="EW91" s="9"/>
      <c r="EX91" s="9"/>
      <c r="EY91" s="9"/>
      <c r="EZ91" s="10">
        <f>EZ94*EZ8/100</f>
        <v>4174.4931227999996</v>
      </c>
      <c r="FA91" s="9"/>
      <c r="FB91" s="9"/>
      <c r="FC91" s="9"/>
      <c r="FD91" s="9"/>
      <c r="FE91" s="10">
        <f>FE94*FE8/100</f>
        <v>4295.5534233611988</v>
      </c>
      <c r="FF91" s="337"/>
      <c r="FG91" s="441"/>
      <c r="FH91" s="347"/>
      <c r="FI91" s="337"/>
      <c r="FJ91" s="337"/>
      <c r="FK91" s="337"/>
      <c r="FL91" s="408"/>
      <c r="FM91" s="408"/>
      <c r="FN91" s="408"/>
      <c r="FO91" s="408"/>
      <c r="FP91" s="408"/>
      <c r="FQ91" s="408"/>
      <c r="FR91" s="408"/>
      <c r="FS91" s="408"/>
      <c r="FT91" s="441"/>
      <c r="GA91" s="342"/>
    </row>
    <row r="92" spans="1:183" ht="12.75" customHeight="1" x14ac:dyDescent="0.2">
      <c r="A92" s="58" t="s">
        <v>244</v>
      </c>
      <c r="B92" s="128"/>
      <c r="C92" s="128"/>
      <c r="D92" s="128"/>
      <c r="E92" s="128"/>
      <c r="F92" s="244"/>
      <c r="G92" s="128">
        <f>G91/B91-1</f>
        <v>0.23364593027417802</v>
      </c>
      <c r="H92" s="128">
        <f>H91/C91-1</f>
        <v>0.16749204526423989</v>
      </c>
      <c r="I92" s="128">
        <f>I91/D91-1</f>
        <v>0.25275152792942124</v>
      </c>
      <c r="J92" s="128">
        <f>J91/E91-1</f>
        <v>0.72863860944103753</v>
      </c>
      <c r="K92" s="244">
        <f t="shared" ref="K92:U92" si="506">K91/F91-1</f>
        <v>0.35211480791243699</v>
      </c>
      <c r="L92" s="128">
        <f t="shared" si="506"/>
        <v>0.280395524813148</v>
      </c>
      <c r="M92" s="128">
        <f t="shared" si="506"/>
        <v>0.21673155737704963</v>
      </c>
      <c r="N92" s="128">
        <f t="shared" si="506"/>
        <v>0.23030764453081964</v>
      </c>
      <c r="O92" s="128">
        <f t="shared" si="506"/>
        <v>0.27283621562428939</v>
      </c>
      <c r="P92" s="244">
        <f t="shared" si="506"/>
        <v>0.25168383148624973</v>
      </c>
      <c r="Q92" s="128">
        <f t="shared" si="506"/>
        <v>0.15896813023458156</v>
      </c>
      <c r="R92" s="128">
        <f t="shared" si="506"/>
        <v>0.20540112670837773</v>
      </c>
      <c r="S92" s="128">
        <f t="shared" si="506"/>
        <v>0.22286728603649442</v>
      </c>
      <c r="T92" s="128">
        <f t="shared" si="506"/>
        <v>0.33497824816570332</v>
      </c>
      <c r="U92" s="244">
        <f t="shared" si="506"/>
        <v>0.24447272415604915</v>
      </c>
      <c r="V92" s="128">
        <f t="shared" ref="V92:DA92" si="507">V91/Q91-1</f>
        <v>0.38647917285823752</v>
      </c>
      <c r="W92" s="128">
        <f t="shared" si="507"/>
        <v>0.30654231723078018</v>
      </c>
      <c r="X92" s="128">
        <f t="shared" si="507"/>
        <v>0.24895461567144261</v>
      </c>
      <c r="Y92" s="128">
        <f t="shared" si="507"/>
        <v>-0.24842736705577162</v>
      </c>
      <c r="Z92" s="244">
        <f t="shared" si="507"/>
        <v>0.10389557890197954</v>
      </c>
      <c r="AA92" s="128">
        <f t="shared" si="507"/>
        <v>3.457281783413646E-2</v>
      </c>
      <c r="AB92" s="128">
        <f t="shared" si="507"/>
        <v>4.6854698569710029E-2</v>
      </c>
      <c r="AC92" s="128">
        <f t="shared" si="507"/>
        <v>4.745352476102549E-2</v>
      </c>
      <c r="AD92" s="128">
        <f t="shared" si="507"/>
        <v>0.11313286019371338</v>
      </c>
      <c r="AE92" s="244">
        <f t="shared" si="507"/>
        <v>6.0722578475092437E-2</v>
      </c>
      <c r="AF92" s="128">
        <f t="shared" si="507"/>
        <v>0.21420665514402493</v>
      </c>
      <c r="AG92" s="128">
        <f t="shared" si="507"/>
        <v>0.20285717204323084</v>
      </c>
      <c r="AH92" s="128">
        <f t="shared" si="507"/>
        <v>0.23591416675997956</v>
      </c>
      <c r="AI92" s="128">
        <f t="shared" si="507"/>
        <v>0.17373041481352391</v>
      </c>
      <c r="AJ92" s="244">
        <f t="shared" si="507"/>
        <v>0.20613624013042231</v>
      </c>
      <c r="AK92" s="128">
        <f t="shared" si="507"/>
        <v>9.5750222278101926E-2</v>
      </c>
      <c r="AL92" s="128">
        <f t="shared" si="507"/>
        <v>4.5803698435276541E-2</v>
      </c>
      <c r="AM92" s="128">
        <f t="shared" si="507"/>
        <v>7.3497374652527592E-2</v>
      </c>
      <c r="AN92" s="128">
        <f t="shared" si="507"/>
        <v>5.705322683837899E-2</v>
      </c>
      <c r="AO92" s="244">
        <f t="shared" si="507"/>
        <v>6.7613424941878719E-2</v>
      </c>
      <c r="AP92" s="128">
        <f t="shared" si="507"/>
        <v>5.4705204965228127E-2</v>
      </c>
      <c r="AQ92" s="128">
        <f t="shared" si="507"/>
        <v>0.1115139752813743</v>
      </c>
      <c r="AR92" s="128">
        <f t="shared" si="507"/>
        <v>3.6333016204271873E-2</v>
      </c>
      <c r="AS92" s="128">
        <f t="shared" si="507"/>
        <v>7.3892856724472988E-2</v>
      </c>
      <c r="AT92" s="244">
        <f t="shared" si="507"/>
        <v>6.87222709886528E-2</v>
      </c>
      <c r="AU92" s="128">
        <f t="shared" si="507"/>
        <v>0.10034347971371482</v>
      </c>
      <c r="AV92" s="128">
        <f t="shared" si="507"/>
        <v>9.5719926796392185E-2</v>
      </c>
      <c r="AW92" s="128">
        <f t="shared" si="507"/>
        <v>9.8954997908514475E-2</v>
      </c>
      <c r="AX92" s="128">
        <f t="shared" si="507"/>
        <v>0.12841714846732821</v>
      </c>
      <c r="AY92" s="244">
        <f t="shared" si="507"/>
        <v>0.10599232910517364</v>
      </c>
      <c r="AZ92" s="128">
        <f t="shared" si="507"/>
        <v>5.606816600810105E-2</v>
      </c>
      <c r="BA92" s="128">
        <f t="shared" si="507"/>
        <v>6.1487993439147903E-2</v>
      </c>
      <c r="BB92" s="128">
        <f t="shared" si="507"/>
        <v>0.10098863157894877</v>
      </c>
      <c r="BC92" s="128">
        <f t="shared" si="507"/>
        <v>9.5286891849216904E-2</v>
      </c>
      <c r="BD92" s="244">
        <f t="shared" si="507"/>
        <v>7.8861480586010835E-2</v>
      </c>
      <c r="BE92" s="128">
        <f t="shared" si="507"/>
        <v>0.12744550588660153</v>
      </c>
      <c r="BF92" s="128">
        <f t="shared" si="507"/>
        <v>0.10817983385939156</v>
      </c>
      <c r="BG92" s="128">
        <f t="shared" si="507"/>
        <v>7.9784369875419037E-2</v>
      </c>
      <c r="BH92" s="128">
        <f t="shared" si="507"/>
        <v>2.0415068138489589E-2</v>
      </c>
      <c r="BI92" s="244">
        <f t="shared" si="507"/>
        <v>8.2210607790217383E-2</v>
      </c>
      <c r="BJ92" s="128">
        <f t="shared" si="507"/>
        <v>2.9808650469773434E-2</v>
      </c>
      <c r="BK92" s="128">
        <f t="shared" si="507"/>
        <v>2.0263568088423112E-2</v>
      </c>
      <c r="BL92" s="128">
        <f t="shared" si="507"/>
        <v>-8.6985102030414652E-3</v>
      </c>
      <c r="BM92" s="128">
        <f t="shared" si="507"/>
        <v>3.6314097481511043E-2</v>
      </c>
      <c r="BN92" s="244">
        <f t="shared" si="507"/>
        <v>1.9230063541380682E-2</v>
      </c>
      <c r="BO92" s="128">
        <f t="shared" si="507"/>
        <v>-2.947571529367754E-2</v>
      </c>
      <c r="BP92" s="128">
        <f t="shared" si="507"/>
        <v>-3.0555555555555447E-2</v>
      </c>
      <c r="BQ92" s="128">
        <f t="shared" si="507"/>
        <v>-1.1044291496124292E-2</v>
      </c>
      <c r="BR92" s="128">
        <f t="shared" si="507"/>
        <v>3.4972039061847759E-2</v>
      </c>
      <c r="BS92" s="244">
        <f t="shared" si="507"/>
        <v>-8.8448595122312401E-3</v>
      </c>
      <c r="BT92" s="128">
        <f t="shared" si="507"/>
        <v>5.9347181008902128E-2</v>
      </c>
      <c r="BU92" s="128">
        <f t="shared" si="507"/>
        <v>6.5902578796561695E-2</v>
      </c>
      <c r="BV92" s="128">
        <f t="shared" si="507"/>
        <v>3.4682080924855585E-2</v>
      </c>
      <c r="BW92" s="128">
        <f t="shared" si="507"/>
        <v>5.3763440860215006E-3</v>
      </c>
      <c r="BX92" s="244">
        <f>BX91/BS91-1</f>
        <v>4.0598290598290676E-2</v>
      </c>
      <c r="BY92" s="128">
        <f t="shared" si="507"/>
        <v>7.0028011204481766E-2</v>
      </c>
      <c r="BZ92" s="128">
        <f t="shared" si="507"/>
        <v>8.870967741935476E-2</v>
      </c>
      <c r="CA92" s="128">
        <f t="shared" si="507"/>
        <v>0.17039106145251393</v>
      </c>
      <c r="CB92" s="128">
        <f t="shared" si="507"/>
        <v>0.20855614973262027</v>
      </c>
      <c r="CC92" s="244">
        <f>CC91/BX91-1</f>
        <v>0.1348391512662559</v>
      </c>
      <c r="CD92" s="128">
        <f t="shared" si="507"/>
        <v>0.1413612565445026</v>
      </c>
      <c r="CE92" s="128">
        <f t="shared" si="507"/>
        <v>0.1308641975308642</v>
      </c>
      <c r="CF92" s="128">
        <f t="shared" si="507"/>
        <v>9.7852028639618061E-2</v>
      </c>
      <c r="CG92" s="128">
        <f t="shared" si="507"/>
        <v>3.3185840707964598E-2</v>
      </c>
      <c r="CH92" s="244">
        <f>CH91/CC91-1</f>
        <v>9.8311218335343842E-2</v>
      </c>
      <c r="CI92" s="128">
        <f t="shared" si="507"/>
        <v>8.4862385321101019E-2</v>
      </c>
      <c r="CJ92" s="128">
        <f t="shared" si="507"/>
        <v>9.8253275109170257E-2</v>
      </c>
      <c r="CK92" s="128">
        <f t="shared" si="507"/>
        <v>0.10217391304347823</v>
      </c>
      <c r="CL92" s="128">
        <f t="shared" si="507"/>
        <v>9.4218415417558932E-2</v>
      </c>
      <c r="CM92" s="244">
        <f>CM91/CH91-1</f>
        <v>9.5002745744096728E-2</v>
      </c>
      <c r="CN92" s="128">
        <f t="shared" si="507"/>
        <v>0.19027484143763207</v>
      </c>
      <c r="CO92" s="128">
        <f t="shared" si="507"/>
        <v>0.10139165009940365</v>
      </c>
      <c r="CP92" s="128">
        <f t="shared" si="507"/>
        <v>0.12228796844181455</v>
      </c>
      <c r="CQ92" s="128">
        <f t="shared" si="507"/>
        <v>-3.9138943248532287E-3</v>
      </c>
      <c r="CR92" s="110">
        <f>CR91/CM91-1</f>
        <v>0.10080240722166489</v>
      </c>
      <c r="CS92" s="128">
        <f t="shared" si="507"/>
        <v>9.4918294849022589E-2</v>
      </c>
      <c r="CT92" s="128">
        <f t="shared" si="507"/>
        <v>0.16477617328519933</v>
      </c>
      <c r="CU92" s="128">
        <f t="shared" si="507"/>
        <v>0.1337680140597548</v>
      </c>
      <c r="CV92" s="128">
        <f t="shared" si="507"/>
        <v>0.27960510805500927</v>
      </c>
      <c r="CW92" s="110">
        <f>CW91/CR91-1</f>
        <v>0.16544783599088819</v>
      </c>
      <c r="CX92" s="128">
        <f t="shared" si="507"/>
        <v>7.2367257749752945E-2</v>
      </c>
      <c r="CY92" s="128">
        <f t="shared" si="507"/>
        <v>4.9147199846269141E-2</v>
      </c>
      <c r="CZ92" s="128">
        <f t="shared" si="507"/>
        <v>0.10368089980995521</v>
      </c>
      <c r="DA92" s="128">
        <f t="shared" si="507"/>
        <v>0.14076205361735239</v>
      </c>
      <c r="DB92" s="110">
        <f t="shared" ref="DB92:DT92" si="508">DB91/CW91-1</f>
        <v>9.1820364496641993E-2</v>
      </c>
      <c r="DC92" s="128">
        <f t="shared" si="508"/>
        <v>0.10102881934622121</v>
      </c>
      <c r="DD92" s="128">
        <f t="shared" si="508"/>
        <v>0.13589364844903984</v>
      </c>
      <c r="DE92" s="128">
        <f t="shared" si="508"/>
        <v>7.4438202247190999E-2</v>
      </c>
      <c r="DF92" s="128">
        <f t="shared" si="508"/>
        <v>2.4226110363391617E-2</v>
      </c>
      <c r="DG92" s="110">
        <f t="shared" si="508"/>
        <v>8.2270307466857817E-2</v>
      </c>
      <c r="DH92" s="128">
        <f t="shared" si="508"/>
        <v>2.2211108576956073E-2</v>
      </c>
      <c r="DI92" s="128">
        <f t="shared" si="508"/>
        <v>-7.8023407022106417E-3</v>
      </c>
      <c r="DJ92" s="128">
        <f t="shared" si="508"/>
        <v>2.8758169934640421E-2</v>
      </c>
      <c r="DK92" s="128">
        <f t="shared" si="508"/>
        <v>3.4165571616294299E-2</v>
      </c>
      <c r="DL92" s="110">
        <f t="shared" si="508"/>
        <v>1.9242207808963352E-2</v>
      </c>
      <c r="DM92" s="128">
        <f t="shared" si="508"/>
        <v>3.0913978494623739E-2</v>
      </c>
      <c r="DN92" s="128">
        <f t="shared" si="508"/>
        <v>6.2909567496723495E-2</v>
      </c>
      <c r="DO92" s="128">
        <f t="shared" si="508"/>
        <v>4.4472681067344366E-2</v>
      </c>
      <c r="DP92" s="128">
        <f t="shared" si="508"/>
        <v>5.0825921219822101E-2</v>
      </c>
      <c r="DQ92" s="110">
        <f>DQ91/DL91-1</f>
        <v>4.7387211944174057E-2</v>
      </c>
      <c r="DR92" s="128">
        <f t="shared" si="508"/>
        <v>3.2594524119947899E-2</v>
      </c>
      <c r="DS92" s="128">
        <f t="shared" si="508"/>
        <v>2.0961775585696563E-2</v>
      </c>
      <c r="DT92" s="128">
        <f t="shared" si="508"/>
        <v>4.2579075425790647E-2</v>
      </c>
      <c r="DU92" s="128">
        <f>DU91/DP91-1</f>
        <v>1.4510278113663899E-2</v>
      </c>
      <c r="DV92" s="110">
        <f>DV91/DQ91-1</f>
        <v>2.7579795475674018E-2</v>
      </c>
      <c r="DW92" s="128">
        <f>DW91/DR91-1</f>
        <v>3.4090909090909172E-2</v>
      </c>
      <c r="DX92" s="128">
        <f>DX91/DS91-1</f>
        <v>4.106280193236711E-2</v>
      </c>
      <c r="DY92" s="128">
        <f>DY91/DT91-1</f>
        <v>2.100350058343059E-2</v>
      </c>
      <c r="DZ92" s="128">
        <f t="shared" ref="DZ92:EA92" si="509">DZ91/DU91-1</f>
        <v>6.0786650774731887E-2</v>
      </c>
      <c r="EA92" s="110">
        <f t="shared" si="509"/>
        <v>3.9203860072376306E-2</v>
      </c>
      <c r="EB92" s="128">
        <f>EB91/DW91-1</f>
        <v>7.4481074481074439E-2</v>
      </c>
      <c r="EC92" s="128">
        <f>EC91/DX91-1</f>
        <v>5.2204176334106789E-2</v>
      </c>
      <c r="ED92" s="128">
        <f>ED91/DY91-1</f>
        <v>8.2285714285714295E-2</v>
      </c>
      <c r="EE92" s="128">
        <f t="shared" ref="EE92" si="510">EE91/DZ91-1</f>
        <v>6.5168539325842767E-2</v>
      </c>
      <c r="EF92" s="110">
        <f t="shared" ref="EF92" si="511">EF91/EA91-1</f>
        <v>6.8485200232153209E-2</v>
      </c>
      <c r="EG92" s="128">
        <f>EG91/EB91-1</f>
        <v>8.5227272727272707E-2</v>
      </c>
      <c r="EH92" s="128">
        <f>EH91/EC91-1</f>
        <v>0.10915104740904069</v>
      </c>
      <c r="EI92" s="128">
        <f>EI91/ED91-1</f>
        <v>-7.3917634635691787E-3</v>
      </c>
      <c r="EJ92" s="128">
        <f t="shared" ref="EJ92" si="512">EJ91/EE91-1</f>
        <v>4.4303797468354444E-2</v>
      </c>
      <c r="EK92" s="110">
        <f t="shared" ref="EK92" si="513">EK91/EF91-1</f>
        <v>5.6762629005975063E-2</v>
      </c>
      <c r="EL92" s="128"/>
      <c r="EM92" s="128"/>
      <c r="EN92" s="128"/>
      <c r="EO92" s="128"/>
      <c r="EP92" s="110"/>
      <c r="EQ92" s="128">
        <f>EQ91/EL91-1</f>
        <v>3.0200000000000005E-2</v>
      </c>
      <c r="ER92" s="128">
        <f>ER91/EM91-1</f>
        <v>4.0000000000000036E-2</v>
      </c>
      <c r="ES92" s="128">
        <f>ES91/EN91-1</f>
        <v>4.0000000000000036E-2</v>
      </c>
      <c r="ET92" s="128">
        <f t="shared" ref="ET92" si="514">ET91/EO91-1</f>
        <v>6.6999999999999948E-2</v>
      </c>
      <c r="EU92" s="110">
        <f t="shared" ref="EU92" si="515">EU91/EP91-1</f>
        <v>4.4438595578673468E-2</v>
      </c>
      <c r="EV92" s="43"/>
      <c r="EW92" s="43"/>
      <c r="EX92" s="43"/>
      <c r="EY92" s="43"/>
      <c r="EZ92" s="110">
        <f>EZ91/EU91-1</f>
        <v>3.9499999999999869E-2</v>
      </c>
      <c r="FA92" s="43"/>
      <c r="FB92" s="43"/>
      <c r="FC92" s="43"/>
      <c r="FD92" s="43"/>
      <c r="FE92" s="110">
        <f>FE91/EZ91-1</f>
        <v>2.8999999999999915E-2</v>
      </c>
      <c r="FF92" s="43"/>
      <c r="FG92" s="435"/>
      <c r="FL92" s="408"/>
      <c r="FM92" s="423"/>
      <c r="FN92" s="369"/>
      <c r="FO92" s="369"/>
      <c r="FP92" s="369"/>
      <c r="FQ92" s="369"/>
      <c r="FR92" s="369"/>
      <c r="FS92" s="369"/>
      <c r="FT92" s="190"/>
    </row>
    <row r="93" spans="1:183" ht="12.75" customHeight="1" x14ac:dyDescent="0.2">
      <c r="A93" s="64" t="s">
        <v>14</v>
      </c>
      <c r="B93" s="43"/>
      <c r="C93" s="43">
        <f>C91/B91-1</f>
        <v>0.19690743789820364</v>
      </c>
      <c r="D93" s="43">
        <f>D91/C91-1</f>
        <v>-4.6831263905835807E-2</v>
      </c>
      <c r="E93" s="43">
        <f>E91/D91-1</f>
        <v>5.4114428422625593E-2</v>
      </c>
      <c r="F93" s="258"/>
      <c r="G93" s="43">
        <f>G91/E91-1</f>
        <v>2.5822965652716467E-2</v>
      </c>
      <c r="H93" s="43">
        <f>H91/G91-1</f>
        <v>0.13272364328489861</v>
      </c>
      <c r="I93" s="43">
        <f>I91/H91-1</f>
        <v>2.2776639344262994E-2</v>
      </c>
      <c r="J93" s="43">
        <f>J91/I91-1</f>
        <v>0.45454454384260101</v>
      </c>
      <c r="K93" s="258"/>
      <c r="L93" s="43">
        <f>L91/J91-1</f>
        <v>-0.24017713864611501</v>
      </c>
      <c r="M93" s="43">
        <f>M91/L91-1</f>
        <v>7.6402233421557719E-2</v>
      </c>
      <c r="N93" s="43">
        <f>N91/M91-1</f>
        <v>3.418860997195905E-2</v>
      </c>
      <c r="O93" s="43">
        <f>O91/N91-1</f>
        <v>0.50482440783956006</v>
      </c>
      <c r="P93" s="258"/>
      <c r="Q93" s="43">
        <f>Q91/O91-1</f>
        <v>-0.3081509858667183</v>
      </c>
      <c r="R93" s="43">
        <f>R91/Q91-1</f>
        <v>0.11952730287340985</v>
      </c>
      <c r="S93" s="43">
        <f>S91/R91-1</f>
        <v>4.9173914562157917E-2</v>
      </c>
      <c r="T93" s="43">
        <f>T91/S91-1</f>
        <v>0.64278485058328338</v>
      </c>
      <c r="U93" s="258"/>
      <c r="V93" s="43">
        <f>V91/T91-1</f>
        <v>-0.2814607652399479</v>
      </c>
      <c r="W93" s="43">
        <f>W91/V91-1</f>
        <v>5.4981441577635071E-2</v>
      </c>
      <c r="X93" s="43">
        <f>X91/W91-1</f>
        <v>2.93008956021934E-3</v>
      </c>
      <c r="Y93" s="43">
        <f>Y91/X91-1</f>
        <v>-1.1435547760072273E-2</v>
      </c>
      <c r="Z93" s="258"/>
      <c r="AA93" s="43">
        <f>AA91/Y91-1</f>
        <v>-1.0899109088163272E-2</v>
      </c>
      <c r="AB93" s="43">
        <f>AB91/AA91-1</f>
        <v>6.7505602294350542E-2</v>
      </c>
      <c r="AC93" s="43">
        <f>AC91/AB91-1</f>
        <v>3.5037898134711032E-3</v>
      </c>
      <c r="AD93" s="43">
        <f>AD91/AC91-1</f>
        <v>5.0551217972861551E-2</v>
      </c>
      <c r="AE93" s="258"/>
      <c r="AF93" s="43">
        <f>AF91/AD91-1</f>
        <v>7.8912434716047031E-2</v>
      </c>
      <c r="AG93" s="43">
        <f>AG91/AF91-1</f>
        <v>5.7527369394773986E-2</v>
      </c>
      <c r="AH93" s="43">
        <f>AH91/AG91-1</f>
        <v>3.108214262966813E-2</v>
      </c>
      <c r="AI93" s="43">
        <f>AI91/AH91-1</f>
        <v>-2.3061875836507539E-3</v>
      </c>
      <c r="AJ93" s="258"/>
      <c r="AK93" s="43">
        <f>AK91/AI91-1</f>
        <v>7.2317503560144214E-3</v>
      </c>
      <c r="AL93" s="43">
        <f>AL91/AK91-1</f>
        <v>9.3231209300990159E-3</v>
      </c>
      <c r="AM93" s="43">
        <f>AM91/AL91-1</f>
        <v>5.8385980868238541E-2</v>
      </c>
      <c r="AN93" s="43">
        <f>AN91/AM91-1</f>
        <v>-1.7589154186104183E-2</v>
      </c>
      <c r="AO93" s="258"/>
      <c r="AP93" s="43">
        <f>AP91/AN91-1</f>
        <v>4.9943964355863013E-3</v>
      </c>
      <c r="AQ93" s="43">
        <f>AQ91/AP91-1</f>
        <v>6.3687511170862354E-2</v>
      </c>
      <c r="AR93" s="43">
        <f>AR91/AQ91-1</f>
        <v>-1.3201488911699144E-2</v>
      </c>
      <c r="AS93" s="43">
        <f>AS91/AR91-1</f>
        <v>1.8016383915185674E-2</v>
      </c>
      <c r="AT93" s="258"/>
      <c r="AU93" s="43">
        <f>AU91/AS91-1</f>
        <v>2.9748009163302447E-2</v>
      </c>
      <c r="AV93" s="43">
        <f>AV91/AU91-1</f>
        <v>5.9217983622361414E-2</v>
      </c>
      <c r="AW93" s="43">
        <f>AW91/AV91-1</f>
        <v>-1.0288004107200988E-2</v>
      </c>
      <c r="AX93" s="43">
        <f>AX91/AW91-1</f>
        <v>4.5308631578947711E-2</v>
      </c>
      <c r="AY93" s="258"/>
      <c r="AZ93" s="43">
        <f>AZ91/AX91-1</f>
        <v>-3.6274756224099702E-2</v>
      </c>
      <c r="BA93" s="43">
        <f>BA91/AZ91-1</f>
        <v>6.4653976172723393E-2</v>
      </c>
      <c r="BB93" s="43">
        <f>BB91/BA91-1</f>
        <v>2.6541668629575632E-2</v>
      </c>
      <c r="BC93" s="43">
        <f>BC91/BB91-1</f>
        <v>3.9895244388965745E-2</v>
      </c>
      <c r="BD93" s="258"/>
      <c r="BE93" s="43">
        <f>BE91/BC91-1</f>
        <v>-7.9789111963660675E-3</v>
      </c>
      <c r="BF93" s="43">
        <f>BF91/BE91-1</f>
        <v>4.6461279301508451E-2</v>
      </c>
      <c r="BG93" s="43">
        <f>BG91/BF91-1</f>
        <v>2.3806149922167563E-4</v>
      </c>
      <c r="BH93" s="43">
        <f>BH91/BG91-1</f>
        <v>-1.7280851377311612E-2</v>
      </c>
      <c r="BI93" s="258"/>
      <c r="BJ93" s="43">
        <f>BJ91/BH91-1</f>
        <v>1.1532861447085541E-3</v>
      </c>
      <c r="BK93" s="43">
        <f>BK91/BJ91-1</f>
        <v>3.6761847164023864E-2</v>
      </c>
      <c r="BL93" s="43">
        <f>BL91/BK91-1</f>
        <v>-2.8155555555555267E-2</v>
      </c>
      <c r="BM93" s="43">
        <f>BM91/BL91-1</f>
        <v>2.7342052911988768E-2</v>
      </c>
      <c r="BN93" s="258"/>
      <c r="BO93" s="43">
        <f>BO91/BM91-1</f>
        <v>-6.2404362462788465E-2</v>
      </c>
      <c r="BP93" s="43">
        <f>BP91/BO91-1</f>
        <v>3.5608308605341144E-2</v>
      </c>
      <c r="BQ93" s="43">
        <f>BQ91/BP91-1</f>
        <v>-8.5959885386819312E-3</v>
      </c>
      <c r="BR93" s="43">
        <f>BR91/BQ91-1</f>
        <v>7.5144508670520249E-2</v>
      </c>
      <c r="BS93" s="258"/>
      <c r="BT93" s="43">
        <f>BT91/BR91-1</f>
        <v>-4.0322580645161255E-2</v>
      </c>
      <c r="BU93" s="43">
        <f>BU91/BT91-1</f>
        <v>4.2016806722689148E-2</v>
      </c>
      <c r="BV93" s="43">
        <f>BV91/BU91-1</f>
        <v>-3.7634408602150504E-2</v>
      </c>
      <c r="BW93" s="43">
        <f>BW91/BV91-1</f>
        <v>4.4692737430167551E-2</v>
      </c>
      <c r="BX93" s="258"/>
      <c r="BY93" s="43">
        <f>BY91/BW91-1</f>
        <v>2.1390374331550888E-2</v>
      </c>
      <c r="BZ93" s="43">
        <f>BZ91/BY91-1</f>
        <v>6.0209424083769614E-2</v>
      </c>
      <c r="CA93" s="43">
        <f>CA91/BZ91-1</f>
        <v>3.4567901234567877E-2</v>
      </c>
      <c r="CB93" s="43">
        <f>CB91/CA91-1</f>
        <v>7.8758949880668228E-2</v>
      </c>
      <c r="CC93" s="258"/>
      <c r="CD93" s="43">
        <f>CD91/CB91-1</f>
        <v>-3.539823008849563E-2</v>
      </c>
      <c r="CE93" s="43">
        <f>CE91/CD91-1</f>
        <v>5.0458715596330306E-2</v>
      </c>
      <c r="CF93" s="43">
        <f>CF91/CE91-1</f>
        <v>4.366812227074135E-3</v>
      </c>
      <c r="CG93" s="43">
        <f>CG91/CF91-1</f>
        <v>1.5217391304347849E-2</v>
      </c>
      <c r="CH93" s="258"/>
      <c r="CI93" s="43">
        <f>CI91/CG91-1</f>
        <v>1.2847965738758127E-2</v>
      </c>
      <c r="CJ93" s="43">
        <f>CJ91/CI91-1</f>
        <v>6.3424947145877431E-2</v>
      </c>
      <c r="CK93" s="43">
        <f>CK91/CJ91-1</f>
        <v>7.9522862823062646E-3</v>
      </c>
      <c r="CL93" s="43">
        <f>CL91/CK91-1</f>
        <v>7.8895463510848529E-3</v>
      </c>
      <c r="CM93" s="258"/>
      <c r="CN93" s="43">
        <f>CN91/CL91-1</f>
        <v>0.10176125244618395</v>
      </c>
      <c r="CO93" s="43">
        <f>CO91/CN91-1</f>
        <v>-1.5985790408525768E-2</v>
      </c>
      <c r="CP93" s="43">
        <f>CP91/CO91-1</f>
        <v>2.7075812274368172E-2</v>
      </c>
      <c r="CQ93" s="43">
        <f>CQ91/CP91-1</f>
        <v>-0.10544815465729351</v>
      </c>
      <c r="CR93" s="104"/>
      <c r="CS93" s="43">
        <f>CS91/CQ91-1</f>
        <v>0.21107858546168901</v>
      </c>
      <c r="CT93" s="43">
        <f>CT91/CS91-1</f>
        <v>4.6796195568419074E-2</v>
      </c>
      <c r="CU93" s="43">
        <f>CU91/CT91-1</f>
        <v>-2.6654847617946231E-4</v>
      </c>
      <c r="CV93" s="43">
        <f>CV91/CU91-1</f>
        <v>9.6184550327527152E-3</v>
      </c>
      <c r="CW93" s="104"/>
      <c r="CX93" s="43">
        <f>CX91/CV91-1</f>
        <v>1.4938916260695434E-2</v>
      </c>
      <c r="CY93" s="43">
        <f>CY91/CX91-1</f>
        <v>2.4129830012601827E-2</v>
      </c>
      <c r="CZ93" s="43">
        <f>CZ91/CY91-1</f>
        <v>5.1698670605613062E-2</v>
      </c>
      <c r="DA93" s="43">
        <f>DA91/CZ91-1</f>
        <v>4.3539325842696597E-2</v>
      </c>
      <c r="DB93" s="104"/>
      <c r="DC93" s="43">
        <f>DC91/DA91-1</f>
        <v>-2.0411843876177893E-2</v>
      </c>
      <c r="DD93" s="43">
        <f>DD91/DC91-1</f>
        <v>5.6559600128601062E-2</v>
      </c>
      <c r="DE93" s="43">
        <f>DE91/DD91-1</f>
        <v>-5.2015604681404648E-3</v>
      </c>
      <c r="DF93" s="43">
        <f>DF91/DE91-1</f>
        <v>-5.2287581699346219E-3</v>
      </c>
      <c r="DG93" s="104"/>
      <c r="DH93" s="43">
        <f>DH91/DF91-1</f>
        <v>-2.2339027595269401E-2</v>
      </c>
      <c r="DI93" s="43">
        <f>DI91/DH91-1</f>
        <v>2.5537634408602239E-2</v>
      </c>
      <c r="DJ93" s="43">
        <f>DJ91/DI91-1</f>
        <v>3.1454783748361637E-2</v>
      </c>
      <c r="DK93" s="43">
        <f>DK91/DJ91-1</f>
        <v>0</v>
      </c>
      <c r="DL93" s="104"/>
      <c r="DM93" s="43">
        <f>DM91/DK91-1</f>
        <v>-2.5412960609911051E-2</v>
      </c>
      <c r="DN93" s="43">
        <f>DN91/DM91-1</f>
        <v>5.7366362451108266E-2</v>
      </c>
      <c r="DO93" s="43">
        <f>DO91/DN91-1</f>
        <v>1.3563501849568338E-2</v>
      </c>
      <c r="DP93" s="43">
        <f>DP91/DO91-1</f>
        <v>6.0827250608272987E-3</v>
      </c>
      <c r="DQ93" s="104"/>
      <c r="DR93" s="43">
        <f>DR91/DP91-1</f>
        <v>-4.2321644498186206E-2</v>
      </c>
      <c r="DS93" s="43">
        <f>DS91/DR91-1</f>
        <v>4.5454545454545414E-2</v>
      </c>
      <c r="DT93" s="43">
        <f>DT91/DS91-1</f>
        <v>3.5024154589371914E-2</v>
      </c>
      <c r="DU93" s="43">
        <f>DU91/DT91-1</f>
        <v>-2.100350058343059E-2</v>
      </c>
      <c r="DV93" s="104"/>
      <c r="DW93" s="43">
        <f>DW91/DU91-1</f>
        <v>-2.3837902264600697E-2</v>
      </c>
      <c r="DX93" s="43">
        <f>DX91/DW91-1</f>
        <v>5.2503052503052539E-2</v>
      </c>
      <c r="DY93" s="43">
        <f>DY91/DX91-1</f>
        <v>1.5081206496519783E-2</v>
      </c>
      <c r="DZ93" s="43">
        <f>DZ91/DY91-1</f>
        <v>1.7142857142857126E-2</v>
      </c>
      <c r="EA93" s="104"/>
      <c r="EB93" s="43">
        <f>EB91/DZ91-1</f>
        <v>-1.1235955056179803E-2</v>
      </c>
      <c r="EC93" s="43">
        <f>EC91/EB91-1</f>
        <v>3.0681818181818254E-2</v>
      </c>
      <c r="ED93" s="43">
        <f>ED91/EC91-1</f>
        <v>4.4101433296582115E-2</v>
      </c>
      <c r="EE93" s="43">
        <f>EE91/ED91-1</f>
        <v>1.0559662090812161E-3</v>
      </c>
      <c r="EF93" s="104"/>
      <c r="EG93" s="43">
        <f>EG91/EE91-1</f>
        <v>7.3839662447257037E-3</v>
      </c>
      <c r="EH93" s="43">
        <f>EH91/EG91-1</f>
        <v>5.3403141361256568E-2</v>
      </c>
      <c r="EI93" s="43">
        <f>EI91/EH91-1</f>
        <v>-6.5606361829025794E-2</v>
      </c>
      <c r="EJ93" s="43">
        <f>EJ91/EI91-1</f>
        <v>5.3191489361702038E-2</v>
      </c>
      <c r="EK93" s="104"/>
      <c r="EL93" s="43"/>
      <c r="EM93" s="43">
        <f>EM91/EL91-1</f>
        <v>5.9447983014861983E-2</v>
      </c>
      <c r="EN93" s="43">
        <f>EN91/EM91-1</f>
        <v>-6.713426853707416E-2</v>
      </c>
      <c r="EO93" s="43">
        <f>EO91/EN91-1</f>
        <v>4.6186895810955919E-2</v>
      </c>
      <c r="EP93" s="104"/>
      <c r="EQ93" s="43">
        <f>EQ91/EO91-1</f>
        <v>-3.6464065708419202E-3</v>
      </c>
      <c r="ER93" s="43">
        <f t="shared" ref="ER93:ET93" si="516">ER91/EQ91-1</f>
        <v>6.9526210770196606E-2</v>
      </c>
      <c r="ES93" s="43">
        <f t="shared" si="516"/>
        <v>-6.7134268537074049E-2</v>
      </c>
      <c r="ET93" s="43">
        <f t="shared" si="516"/>
        <v>7.3347517144509489E-2</v>
      </c>
      <c r="EU93" s="104"/>
      <c r="EV93" s="43"/>
      <c r="EW93" s="43"/>
      <c r="EX93" s="43"/>
      <c r="EY93" s="43"/>
      <c r="EZ93" s="104"/>
      <c r="FA93" s="43"/>
      <c r="FB93" s="43"/>
      <c r="FC93" s="43"/>
      <c r="FD93" s="43"/>
      <c r="FE93" s="104"/>
      <c r="FF93" s="43"/>
      <c r="FG93" s="435"/>
      <c r="FH93" s="238">
        <f>AVERAGE(CD93,CI93,CN93,CS93,CX93,DC93,BT93,DH93,DM93,DR93,DW93)</f>
        <v>1.1871139120865853E-2</v>
      </c>
      <c r="FI93" s="238">
        <f>AVERAGE(CE93,CJ93,CO93,CT93,CY93,DD93,BU93,DI93,DN93,DS93,DX93)</f>
        <v>4.0751081780300139E-2</v>
      </c>
      <c r="FJ93" s="238">
        <f>AVERAGE(CF93,CK93,CP93,CU93,CZ93,DE93,BV93,DJ93,DO93,DT93,DY93)</f>
        <v>1.3010428229701171E-2</v>
      </c>
      <c r="FK93" s="238">
        <f>AVERAGE(CG93,CL93,CQ93,CV93,DA93,DF93,BW93,DK93,DP93,DU93,DZ93)</f>
        <v>1.1366022503704785E-3</v>
      </c>
      <c r="FL93" s="408"/>
      <c r="FM93" s="408"/>
      <c r="FN93" s="369"/>
      <c r="FO93" s="369"/>
      <c r="FP93" s="369"/>
      <c r="FQ93" s="369"/>
      <c r="FR93" s="369"/>
      <c r="FS93" s="369"/>
      <c r="FT93" s="465"/>
    </row>
    <row r="94" spans="1:183" ht="12.75" customHeight="1" x14ac:dyDescent="0.2">
      <c r="A94" s="81" t="s">
        <v>92</v>
      </c>
      <c r="B94" s="141">
        <f>(B91/B$8)*100</f>
        <v>1.8132661662887999</v>
      </c>
      <c r="C94" s="141">
        <f>(C91/C$8)*100</f>
        <v>2.0341630775969057</v>
      </c>
      <c r="D94" s="141">
        <f>(D91/D$8)*100</f>
        <v>1.8706167873084549</v>
      </c>
      <c r="E94" s="141">
        <f>(E91/E$8)*100</f>
        <v>2.0047458021942774</v>
      </c>
      <c r="F94" s="251">
        <f t="shared" ref="F94:U94" si="517">(F91/F$8)*100</f>
        <v>1.9323549923329408</v>
      </c>
      <c r="G94" s="141">
        <f>(G91/G$8)*100</f>
        <v>2.0008099467404277</v>
      </c>
      <c r="H94" s="141">
        <f>(H91/H$8)*100</f>
        <v>2.1423146656364818</v>
      </c>
      <c r="I94" s="141">
        <f>(I91/I$8)*100</f>
        <v>2.0567494980359275</v>
      </c>
      <c r="J94" s="141">
        <f>(J91/J$8)*100</f>
        <v>3.0405889315250243</v>
      </c>
      <c r="K94" s="251">
        <f t="shared" si="517"/>
        <v>2.3188790786524671</v>
      </c>
      <c r="L94" s="141">
        <f t="shared" si="517"/>
        <v>2.2314088534287362</v>
      </c>
      <c r="M94" s="141">
        <f t="shared" si="517"/>
        <v>2.3072575454158812</v>
      </c>
      <c r="N94" s="141">
        <f t="shared" si="517"/>
        <v>2.164288404254739</v>
      </c>
      <c r="O94" s="141">
        <f t="shared" si="517"/>
        <v>3.2995973788472051</v>
      </c>
      <c r="P94" s="251">
        <f t="shared" si="517"/>
        <v>2.5118687344506463</v>
      </c>
      <c r="Q94" s="141">
        <f t="shared" si="517"/>
        <v>2.2547074172294979</v>
      </c>
      <c r="R94" s="141">
        <f t="shared" si="517"/>
        <v>2.350569033278914</v>
      </c>
      <c r="S94" s="141">
        <f t="shared" si="517"/>
        <v>2.3055636321991688</v>
      </c>
      <c r="T94" s="141">
        <f t="shared" si="517"/>
        <v>2.6711922761487918</v>
      </c>
      <c r="U94" s="251">
        <f t="shared" si="517"/>
        <v>2.4277961542655673</v>
      </c>
      <c r="V94" s="141">
        <f t="shared" ref="V94:BN94" si="518">(V91/V$8)*100</f>
        <v>2.3509354449554904</v>
      </c>
      <c r="W94" s="141">
        <f t="shared" si="518"/>
        <v>2.3997395796577528</v>
      </c>
      <c r="X94" s="141">
        <f t="shared" si="518"/>
        <v>2.2602961004400384</v>
      </c>
      <c r="Y94" s="141">
        <f t="shared" si="518"/>
        <v>2.183799128355258</v>
      </c>
      <c r="Z94" s="251">
        <f t="shared" si="518"/>
        <v>2.2951830305926664</v>
      </c>
      <c r="AA94" s="141">
        <f t="shared" si="518"/>
        <v>2.1518212700235524</v>
      </c>
      <c r="AB94" s="141">
        <f t="shared" si="518"/>
        <v>2.1939835669747803</v>
      </c>
      <c r="AC94" s="141">
        <f t="shared" si="518"/>
        <v>2.1317585961385417</v>
      </c>
      <c r="AD94" s="141">
        <f t="shared" si="518"/>
        <v>2.1689773379981787</v>
      </c>
      <c r="AE94" s="251">
        <f t="shared" si="518"/>
        <v>2.1616223835925261</v>
      </c>
      <c r="AF94" s="141">
        <f t="shared" si="518"/>
        <v>2.3097675722091511</v>
      </c>
      <c r="AG94" s="141">
        <f t="shared" si="518"/>
        <v>2.3167153117366936</v>
      </c>
      <c r="AH94" s="141">
        <f t="shared" si="518"/>
        <v>2.3170711342985215</v>
      </c>
      <c r="AI94" s="141">
        <f t="shared" si="518"/>
        <v>2.3203688377429428</v>
      </c>
      <c r="AJ94" s="251">
        <f t="shared" si="518"/>
        <v>2.3160987436128835</v>
      </c>
      <c r="AK94" s="141">
        <f t="shared" si="518"/>
        <v>2.3200748076920319</v>
      </c>
      <c r="AL94" s="141">
        <f t="shared" si="518"/>
        <v>2.2428501933212059</v>
      </c>
      <c r="AM94" s="141">
        <f t="shared" si="518"/>
        <v>2.2682645364211735</v>
      </c>
      <c r="AN94" s="141">
        <f t="shared" si="518"/>
        <v>2.2275171569279815</v>
      </c>
      <c r="AO94" s="251">
        <f t="shared" si="518"/>
        <v>2.263710183560113</v>
      </c>
      <c r="AP94" s="141">
        <f t="shared" si="518"/>
        <v>2.2836027198870212</v>
      </c>
      <c r="AQ94" s="141">
        <f t="shared" si="518"/>
        <v>2.3372254790762841</v>
      </c>
      <c r="AR94" s="141">
        <f t="shared" si="518"/>
        <v>2.1998757158128299</v>
      </c>
      <c r="AS94" s="141">
        <f t="shared" si="518"/>
        <v>2.2394011977510719</v>
      </c>
      <c r="AT94" s="251">
        <f t="shared" si="518"/>
        <v>2.2637703585862345</v>
      </c>
      <c r="AU94" s="141">
        <f t="shared" si="518"/>
        <v>2.2850924128163537</v>
      </c>
      <c r="AV94" s="141">
        <f t="shared" si="518"/>
        <v>2.316692044178883</v>
      </c>
      <c r="AW94" s="141">
        <f t="shared" si="518"/>
        <v>2.1796976918075224</v>
      </c>
      <c r="AX94" s="141">
        <f t="shared" si="518"/>
        <v>2.2334182052306977</v>
      </c>
      <c r="AY94" s="251">
        <f t="shared" si="518"/>
        <v>2.2520905926344392</v>
      </c>
      <c r="AZ94" s="141">
        <f t="shared" si="518"/>
        <v>2.112970653652452</v>
      </c>
      <c r="BA94" s="141">
        <f t="shared" si="518"/>
        <v>2.159443800035119</v>
      </c>
      <c r="BB94" s="141">
        <f t="shared" si="518"/>
        <v>2.1348698279098572</v>
      </c>
      <c r="BC94" s="141">
        <f t="shared" si="518"/>
        <v>2.1648199560661854</v>
      </c>
      <c r="BD94" s="251">
        <f t="shared" si="518"/>
        <v>2.1435932712764352</v>
      </c>
      <c r="BE94" s="141">
        <f t="shared" si="518"/>
        <v>2.1269414071116763</v>
      </c>
      <c r="BF94" s="141">
        <f>(BF91/BF$8)*100</f>
        <v>2.1470979645012314</v>
      </c>
      <c r="BG94" s="141">
        <f>(BG91/BG$8)*100</f>
        <v>2.1664592594811536</v>
      </c>
      <c r="BH94" s="141">
        <f>(BH91/BH$8)*100</f>
        <v>2.0759041062602432</v>
      </c>
      <c r="BI94" s="251">
        <f t="shared" si="518"/>
        <v>2.1288149290598231</v>
      </c>
      <c r="BJ94" s="141">
        <f>(BJ91/BJ$8)*100</f>
        <v>2.1019122507401211</v>
      </c>
      <c r="BK94" s="141">
        <f>(BK91/BK$8)*100</f>
        <v>2.0963292401534392</v>
      </c>
      <c r="BL94" s="141">
        <f>(BL91/BL$8)*100</f>
        <v>1.9866102658867952</v>
      </c>
      <c r="BM94" s="141">
        <f>(BM91/BM$8)*100</f>
        <v>2.044235753394974</v>
      </c>
      <c r="BN94" s="251">
        <f t="shared" si="518"/>
        <v>2.0563217090315447</v>
      </c>
      <c r="BO94" s="141">
        <f t="shared" ref="BO94:BT94" si="519">(BO91/BO$8)*100</f>
        <v>1.9368782304772445</v>
      </c>
      <c r="BP94" s="141">
        <f t="shared" si="519"/>
        <v>1.9504000415787286</v>
      </c>
      <c r="BQ94" s="141">
        <f t="shared" si="519"/>
        <v>1.9006438953048439</v>
      </c>
      <c r="BR94" s="141">
        <f t="shared" si="519"/>
        <v>2.0335457422882017</v>
      </c>
      <c r="BS94" s="251">
        <f t="shared" si="519"/>
        <v>1.9556925592793188</v>
      </c>
      <c r="BT94" s="141">
        <f t="shared" si="519"/>
        <v>1.9421603961180294</v>
      </c>
      <c r="BU94" s="141">
        <f t="shared" ref="BU94:CA94" si="520">(BU91/BU$8)*100</f>
        <v>1.9815141772545397</v>
      </c>
      <c r="BV94" s="141">
        <f t="shared" si="520"/>
        <v>1.8372067519092965</v>
      </c>
      <c r="BW94" s="141">
        <f t="shared" si="520"/>
        <v>1.8496467644509957</v>
      </c>
      <c r="BX94" s="251">
        <f t="shared" si="520"/>
        <v>1.9008267021890106</v>
      </c>
      <c r="BY94" s="141">
        <f t="shared" si="520"/>
        <v>1.8881354854848598</v>
      </c>
      <c r="BZ94" s="141">
        <f t="shared" si="520"/>
        <v>1.8979397652965511</v>
      </c>
      <c r="CA94" s="141">
        <f t="shared" si="520"/>
        <v>1.9173060851954729</v>
      </c>
      <c r="CB94" s="141">
        <f t="shared" ref="CB94:CH94" si="521">(CB91/CB$8)*100</f>
        <v>2.0782861900319602</v>
      </c>
      <c r="CC94" s="251">
        <f t="shared" si="521"/>
        <v>1.9466309635606065</v>
      </c>
      <c r="CD94" s="141">
        <f t="shared" si="521"/>
        <v>1.9746861539807727</v>
      </c>
      <c r="CE94" s="141">
        <f t="shared" si="521"/>
        <v>2.0013997562662165</v>
      </c>
      <c r="CF94" s="141">
        <f t="shared" si="521"/>
        <v>1.9340233171737276</v>
      </c>
      <c r="CG94" s="141">
        <f t="shared" si="521"/>
        <v>1.9527400936805106</v>
      </c>
      <c r="CH94" s="251">
        <f t="shared" si="521"/>
        <v>1.965182067481611</v>
      </c>
      <c r="CI94" s="141">
        <f t="shared" ref="CI94:CN94" si="522">(CI91/CI$8)*100</f>
        <v>1.9976032140042039</v>
      </c>
      <c r="CJ94" s="141">
        <f t="shared" si="522"/>
        <v>2.0133952023394128</v>
      </c>
      <c r="CK94" s="141">
        <f t="shared" si="522"/>
        <v>1.9715385276153636</v>
      </c>
      <c r="CL94" s="141">
        <f t="shared" si="522"/>
        <v>2.0230446560780537</v>
      </c>
      <c r="CM94" s="251">
        <f t="shared" si="522"/>
        <v>2.0012853390583345</v>
      </c>
      <c r="CN94" s="141">
        <f t="shared" si="522"/>
        <v>2.234708983931013</v>
      </c>
      <c r="CO94" s="141">
        <f t="shared" ref="CO94:CT94" si="523">(CO91/CO$8)*100</f>
        <v>2.103657535185476</v>
      </c>
      <c r="CP94" s="141">
        <f t="shared" si="523"/>
        <v>2.16456515540836</v>
      </c>
      <c r="CQ94" s="141">
        <f t="shared" si="523"/>
        <v>1.9995454078691581</v>
      </c>
      <c r="CR94" s="306">
        <f t="shared" si="523"/>
        <v>2.1254686307313735</v>
      </c>
      <c r="CS94" s="141">
        <f t="shared" si="523"/>
        <v>2.0874968172259192</v>
      </c>
      <c r="CT94" s="141">
        <f t="shared" si="523"/>
        <v>2.0471083705199988</v>
      </c>
      <c r="CU94" s="141">
        <f t="shared" ref="CU94:CZ94" si="524">(CU91/CU$8)*100</f>
        <v>2.0849141138092149</v>
      </c>
      <c r="CV94" s="141">
        <f t="shared" si="524"/>
        <v>2.222796096948076</v>
      </c>
      <c r="CW94" s="306">
        <f t="shared" si="524"/>
        <v>2.1090266801614046</v>
      </c>
      <c r="CX94" s="141">
        <f t="shared" si="524"/>
        <v>2.3355386815677814</v>
      </c>
      <c r="CY94" s="141">
        <f t="shared" si="524"/>
        <v>2.1341079756501116</v>
      </c>
      <c r="CZ94" s="141">
        <f t="shared" si="524"/>
        <v>2.2376462676610238</v>
      </c>
      <c r="DA94" s="141">
        <f t="shared" ref="DA94:DG94" si="525">(DA91/DA$8)*100</f>
        <v>2.4260102781859949</v>
      </c>
      <c r="DB94" s="306">
        <f t="shared" si="525"/>
        <v>2.2805549213760843</v>
      </c>
      <c r="DC94" s="141">
        <f t="shared" si="525"/>
        <v>2.4038814365146335</v>
      </c>
      <c r="DD94" s="141">
        <f t="shared" si="525"/>
        <v>2.2860367005504476</v>
      </c>
      <c r="DE94" s="141">
        <f t="shared" si="525"/>
        <v>2.2960500525705423</v>
      </c>
      <c r="DF94" s="141">
        <f t="shared" si="525"/>
        <v>2.4314993746637317</v>
      </c>
      <c r="DG94" s="306">
        <f t="shared" si="525"/>
        <v>2.3518124129376079</v>
      </c>
      <c r="DH94" s="141">
        <f t="shared" ref="DH94:DM94" si="526">(DH91/DH$8)*100</f>
        <v>2.4287617888392061</v>
      </c>
      <c r="DI94" s="141">
        <f t="shared" si="526"/>
        <v>2.2960772678449968</v>
      </c>
      <c r="DJ94" s="141">
        <f t="shared" si="526"/>
        <v>2.3790229784902164</v>
      </c>
      <c r="DK94" s="141">
        <f t="shared" si="526"/>
        <v>2.522970006951792</v>
      </c>
      <c r="DL94" s="306">
        <f t="shared" si="526"/>
        <v>2.4044448938221796</v>
      </c>
      <c r="DM94" s="141">
        <f t="shared" si="526"/>
        <v>2.4901446114958841</v>
      </c>
      <c r="DN94" s="141">
        <f t="shared" ref="DN94:DS94" si="527">(DN91/DN$8)*100</f>
        <v>2.369180692620481</v>
      </c>
      <c r="DO94" s="141">
        <f t="shared" si="527"/>
        <v>2.4592306969911553</v>
      </c>
      <c r="DP94" s="141">
        <f t="shared" si="527"/>
        <v>2.5935888866190195</v>
      </c>
      <c r="DQ94" s="306">
        <f t="shared" si="527"/>
        <v>2.4757550922607359</v>
      </c>
      <c r="DR94" s="141">
        <f t="shared" si="527"/>
        <v>2.5988871643916234</v>
      </c>
      <c r="DS94" s="141">
        <f t="shared" si="527"/>
        <v>2.4284222540615361</v>
      </c>
      <c r="DT94" s="141">
        <f t="shared" ref="DT94:DY94" si="528">(DT91/DT$8)*100</f>
        <v>2.5365668157153722</v>
      </c>
      <c r="DU94" s="141">
        <f t="shared" si="528"/>
        <v>2.5698879338952536</v>
      </c>
      <c r="DV94" s="306">
        <f t="shared" si="528"/>
        <v>2.5312212709057427</v>
      </c>
      <c r="DW94" s="141">
        <f t="shared" si="528"/>
        <v>2.5358027325054771</v>
      </c>
      <c r="DX94" s="141">
        <f t="shared" si="528"/>
        <v>2.3631957754174455</v>
      </c>
      <c r="DY94" s="141">
        <f t="shared" si="528"/>
        <v>2.4064681463374655</v>
      </c>
      <c r="DZ94" s="141">
        <f>(DZ91/DZ$8)*100</f>
        <v>2.5164293146032577</v>
      </c>
      <c r="EA94" s="306">
        <f>(EA91/EA$8)*100</f>
        <v>2.4526444428753029</v>
      </c>
      <c r="EB94" s="141">
        <f>(EB91/EB$8)*100</f>
        <v>2.4951692247869319</v>
      </c>
      <c r="EC94" s="141">
        <f t="shared" ref="EC94:ED94" si="529">(EC91/EC$8)*100</f>
        <v>2.3727751701086208</v>
      </c>
      <c r="ED94" s="141">
        <f t="shared" si="529"/>
        <v>2.4999003471614514</v>
      </c>
      <c r="EE94" s="141">
        <f>(EE91/EE$8)*100</f>
        <v>2.5520155552347292</v>
      </c>
      <c r="EF94" s="306">
        <f>(EF91/EF$8)*100</f>
        <v>2.4790931716873019</v>
      </c>
      <c r="EG94" s="141">
        <f>(EG91/EG$8)*100</f>
        <v>2.602189054075668</v>
      </c>
      <c r="EH94" s="141">
        <f t="shared" ref="EH94:EI94" si="530">(EH91/EH$8)*100</f>
        <v>2.5042801159287524</v>
      </c>
      <c r="EI94" s="141">
        <f t="shared" si="530"/>
        <v>2.4069752709409156</v>
      </c>
      <c r="EJ94" s="141">
        <f>(EJ91/EJ$8)*100</f>
        <v>2.6130463226599105</v>
      </c>
      <c r="EK94" s="306">
        <f>(EK91/EK$8)*100</f>
        <v>2.529726842228063</v>
      </c>
      <c r="EL94" s="141">
        <f>(EL91/EL$8)*100</f>
        <v>2.5667665852767323</v>
      </c>
      <c r="EM94" s="141">
        <f t="shared" ref="EM94:EN94" si="531">(EM91/EM$8)*100</f>
        <v>2.4843653635158001</v>
      </c>
      <c r="EN94" s="141">
        <f t="shared" si="531"/>
        <v>2.3839297630276515</v>
      </c>
      <c r="EO94" s="141">
        <f>(EO91/EO$8)*100</f>
        <v>2.5708152709805581</v>
      </c>
      <c r="EP94" s="306">
        <f>(EP91/EP$8)*100</f>
        <v>2.4998200227105891</v>
      </c>
      <c r="EQ94" s="18">
        <f>EL94*(1+EQ95)</f>
        <v>2.5924342511294998</v>
      </c>
      <c r="ER94" s="18">
        <f>EM94*(1+ER95)</f>
        <v>2.4843653635158001</v>
      </c>
      <c r="ES94" s="18">
        <f>EN94*(1+ES95)</f>
        <v>2.3839297630276515</v>
      </c>
      <c r="ET94" s="18">
        <f>EO94*(1+ET95)</f>
        <v>2.4936908128511415</v>
      </c>
      <c r="EU94" s="306">
        <f>(EU91/EU$8)*100</f>
        <v>2.4865625897749539</v>
      </c>
      <c r="EV94" s="18"/>
      <c r="EW94" s="18"/>
      <c r="EX94" s="18"/>
      <c r="EY94" s="18"/>
      <c r="EZ94" s="306">
        <f>EU94*(1+EZ95)</f>
        <v>2.4616969638772042</v>
      </c>
      <c r="FA94" s="18"/>
      <c r="FB94" s="18"/>
      <c r="FC94" s="18"/>
      <c r="FD94" s="18"/>
      <c r="FE94" s="306">
        <f>EZ94*(1+FE95)</f>
        <v>2.4124630245996599</v>
      </c>
      <c r="FF94" s="18"/>
      <c r="FG94" s="450"/>
      <c r="FL94" s="422"/>
      <c r="FM94" s="422"/>
      <c r="FN94" s="383"/>
      <c r="FO94" s="383"/>
      <c r="FP94" s="383"/>
      <c r="FQ94" s="383"/>
      <c r="FR94" s="383"/>
      <c r="FS94" s="383"/>
      <c r="FT94" s="190"/>
    </row>
    <row r="95" spans="1:183" ht="12.75" customHeight="1" x14ac:dyDescent="0.2">
      <c r="A95" s="60" t="s">
        <v>244</v>
      </c>
      <c r="B95" s="128"/>
      <c r="C95" s="128"/>
      <c r="D95" s="128"/>
      <c r="E95" s="128"/>
      <c r="F95" s="244"/>
      <c r="G95" s="128">
        <f>G94/B94-1</f>
        <v>0.10342870999213116</v>
      </c>
      <c r="H95" s="128">
        <f>H94/C94-1</f>
        <v>5.3167609436379548E-2</v>
      </c>
      <c r="I95" s="128">
        <f>I94/D94-1</f>
        <v>9.9503389465081415E-2</v>
      </c>
      <c r="J95" s="128">
        <f>J94/E94-1</f>
        <v>0.51669549735281839</v>
      </c>
      <c r="K95" s="244">
        <f t="shared" ref="K95:U95" si="532">K94/F94-1</f>
        <v>0.20002747313674174</v>
      </c>
      <c r="L95" s="128">
        <f t="shared" si="532"/>
        <v>0.11525277903780085</v>
      </c>
      <c r="M95" s="128">
        <f t="shared" si="532"/>
        <v>7.6992835098010692E-2</v>
      </c>
      <c r="N95" s="128">
        <f t="shared" si="532"/>
        <v>5.2285855093926026E-2</v>
      </c>
      <c r="O95" s="128">
        <f t="shared" si="532"/>
        <v>8.5183644733020092E-2</v>
      </c>
      <c r="P95" s="244">
        <f t="shared" si="532"/>
        <v>8.322540729908523E-2</v>
      </c>
      <c r="Q95" s="128">
        <f t="shared" si="532"/>
        <v>1.0441189997503875E-2</v>
      </c>
      <c r="R95" s="128">
        <f t="shared" si="532"/>
        <v>1.8771847966901234E-2</v>
      </c>
      <c r="S95" s="128">
        <f t="shared" si="532"/>
        <v>6.5275601748223222E-2</v>
      </c>
      <c r="T95" s="128">
        <f t="shared" si="532"/>
        <v>-0.19044902469826841</v>
      </c>
      <c r="U95" s="244">
        <f t="shared" si="532"/>
        <v>-3.347013282661282E-2</v>
      </c>
      <c r="V95" s="128">
        <f t="shared" ref="V95:BR95" si="533">V94/Q94-1</f>
        <v>4.2678720525181957E-2</v>
      </c>
      <c r="W95" s="128">
        <f t="shared" si="533"/>
        <v>2.091857149596188E-2</v>
      </c>
      <c r="X95" s="128">
        <f t="shared" si="533"/>
        <v>-1.9634041380133915E-2</v>
      </c>
      <c r="Y95" s="128">
        <f t="shared" si="533"/>
        <v>-0.18246277220306883</v>
      </c>
      <c r="Z95" s="244">
        <f t="shared" si="533"/>
        <v>-5.4622841147475842E-2</v>
      </c>
      <c r="AA95" s="128">
        <f t="shared" si="533"/>
        <v>-8.4695722019584307E-2</v>
      </c>
      <c r="AB95" s="128">
        <f t="shared" si="533"/>
        <v>-8.5740975573823319E-2</v>
      </c>
      <c r="AC95" s="128">
        <f t="shared" si="533"/>
        <v>-5.6867551236527314E-2</v>
      </c>
      <c r="AD95" s="128">
        <f t="shared" si="533"/>
        <v>-6.7871582897106597E-3</v>
      </c>
      <c r="AE95" s="244">
        <f t="shared" si="533"/>
        <v>-5.8191719448906887E-2</v>
      </c>
      <c r="AF95" s="128">
        <f t="shared" si="533"/>
        <v>7.3401218022103532E-2</v>
      </c>
      <c r="AG95" s="128">
        <f t="shared" si="533"/>
        <v>5.5940138572297737E-2</v>
      </c>
      <c r="AH95" s="128">
        <f t="shared" si="533"/>
        <v>8.6929419914456574E-2</v>
      </c>
      <c r="AI95" s="128">
        <f t="shared" si="533"/>
        <v>6.9798562249842711E-2</v>
      </c>
      <c r="AJ95" s="244">
        <f t="shared" si="533"/>
        <v>7.1463157114252329E-2</v>
      </c>
      <c r="AK95" s="128">
        <f t="shared" si="533"/>
        <v>4.4624557063213111E-3</v>
      </c>
      <c r="AL95" s="128">
        <f t="shared" si="533"/>
        <v>-3.188355428967915E-2</v>
      </c>
      <c r="AM95" s="128">
        <f t="shared" si="533"/>
        <v>-2.1063918649232072E-2</v>
      </c>
      <c r="AN95" s="128">
        <f t="shared" si="533"/>
        <v>-4.0015914411813736E-2</v>
      </c>
      <c r="AO95" s="244">
        <f t="shared" si="533"/>
        <v>-2.2619311977627343E-2</v>
      </c>
      <c r="AP95" s="128">
        <f t="shared" si="533"/>
        <v>-1.5720220608443358E-2</v>
      </c>
      <c r="AQ95" s="128">
        <f t="shared" si="533"/>
        <v>4.2078283264798566E-2</v>
      </c>
      <c r="AR95" s="128">
        <f t="shared" si="533"/>
        <v>-3.015028428573252E-2</v>
      </c>
      <c r="AS95" s="128">
        <f t="shared" si="533"/>
        <v>5.3351063026063628E-3</v>
      </c>
      <c r="AT95" s="244">
        <f t="shared" si="533"/>
        <v>2.6582477986147879E-5</v>
      </c>
      <c r="AU95" s="128">
        <f t="shared" si="533"/>
        <v>6.5234329787711154E-4</v>
      </c>
      <c r="AV95" s="128">
        <f t="shared" si="533"/>
        <v>-8.7853889499426296E-3</v>
      </c>
      <c r="AW95" s="128">
        <f t="shared" si="533"/>
        <v>-9.1723472650144799E-3</v>
      </c>
      <c r="AX95" s="128">
        <f t="shared" si="533"/>
        <v>-2.6716930072122613E-3</v>
      </c>
      <c r="AY95" s="244">
        <f t="shared" si="533"/>
        <v>-5.1594305524388373E-3</v>
      </c>
      <c r="AZ95" s="128">
        <f t="shared" si="533"/>
        <v>-7.5323762924652704E-2</v>
      </c>
      <c r="BA95" s="128">
        <f t="shared" si="533"/>
        <v>-6.7876196380472376E-2</v>
      </c>
      <c r="BB95" s="128">
        <f t="shared" si="533"/>
        <v>-2.0566092291675275E-2</v>
      </c>
      <c r="BC95" s="128">
        <f t="shared" si="533"/>
        <v>-3.0714466732586931E-2</v>
      </c>
      <c r="BD95" s="244">
        <f t="shared" si="533"/>
        <v>-4.8176268624738894E-2</v>
      </c>
      <c r="BE95" s="128">
        <f t="shared" si="533"/>
        <v>6.6119013224696932E-3</v>
      </c>
      <c r="BF95" s="128">
        <f t="shared" si="533"/>
        <v>-5.7171367616452029E-3</v>
      </c>
      <c r="BG95" s="128">
        <f t="shared" si="533"/>
        <v>1.4796888858663593E-2</v>
      </c>
      <c r="BH95" s="128">
        <f t="shared" si="533"/>
        <v>-4.1073092271154077E-2</v>
      </c>
      <c r="BI95" s="244">
        <f t="shared" si="533"/>
        <v>-6.8941913629968488E-3</v>
      </c>
      <c r="BJ95" s="128">
        <f t="shared" si="533"/>
        <v>-1.1767675540034772E-2</v>
      </c>
      <c r="BK95" s="128">
        <f t="shared" si="533"/>
        <v>-2.3645276176108565E-2</v>
      </c>
      <c r="BL95" s="128">
        <f t="shared" si="533"/>
        <v>-8.3015174556031357E-2</v>
      </c>
      <c r="BM95" s="128">
        <f t="shared" si="533"/>
        <v>-1.5255209896144928E-2</v>
      </c>
      <c r="BN95" s="244">
        <f t="shared" si="533"/>
        <v>-3.4053321892239197E-2</v>
      </c>
      <c r="BO95" s="128">
        <f t="shared" si="533"/>
        <v>-7.8516132252792747E-2</v>
      </c>
      <c r="BP95" s="128">
        <f t="shared" si="533"/>
        <v>-6.961177461038015E-2</v>
      </c>
      <c r="BQ95" s="128">
        <f t="shared" si="533"/>
        <v>-4.3272891547037839E-2</v>
      </c>
      <c r="BR95" s="128">
        <f t="shared" si="533"/>
        <v>-5.2293435769424912E-3</v>
      </c>
      <c r="BS95" s="244">
        <f t="shared" ref="BS95:DA95" si="534">BS94/BN94-1</f>
        <v>-4.8936481733501958E-2</v>
      </c>
      <c r="BT95" s="128">
        <f t="shared" si="534"/>
        <v>2.7271542204712063E-3</v>
      </c>
      <c r="BU95" s="128">
        <f t="shared" si="534"/>
        <v>1.5952694325532368E-2</v>
      </c>
      <c r="BV95" s="128">
        <f t="shared" si="534"/>
        <v>-3.3376659116553076E-2</v>
      </c>
      <c r="BW95" s="128">
        <f t="shared" si="534"/>
        <v>-9.0432673341430569E-2</v>
      </c>
      <c r="BX95" s="244">
        <f t="shared" si="534"/>
        <v>-2.8054438735772735E-2</v>
      </c>
      <c r="BY95" s="128">
        <f t="shared" si="534"/>
        <v>-2.781691498866623E-2</v>
      </c>
      <c r="BZ95" s="128">
        <f t="shared" si="534"/>
        <v>-4.2177044664794661E-2</v>
      </c>
      <c r="CA95" s="128">
        <f t="shared" si="534"/>
        <v>4.3598431805747406E-2</v>
      </c>
      <c r="CB95" s="128">
        <f t="shared" si="534"/>
        <v>0.12361248102895384</v>
      </c>
      <c r="CC95" s="244">
        <f>CC94/BX94-1</f>
        <v>2.4097021216530345E-2</v>
      </c>
      <c r="CD95" s="128">
        <f t="shared" si="534"/>
        <v>4.5839225607100742E-2</v>
      </c>
      <c r="CE95" s="128">
        <f t="shared" si="534"/>
        <v>5.4511735757588609E-2</v>
      </c>
      <c r="CF95" s="128">
        <f t="shared" si="534"/>
        <v>8.7191252911245076E-3</v>
      </c>
      <c r="CG95" s="128">
        <f t="shared" si="534"/>
        <v>-6.0408473555568887E-2</v>
      </c>
      <c r="CH95" s="244">
        <f>CH94/CC94-1</f>
        <v>9.5298514552919489E-3</v>
      </c>
      <c r="CI95" s="128">
        <f t="shared" si="534"/>
        <v>1.1605418905294318E-2</v>
      </c>
      <c r="CJ95" s="128">
        <f t="shared" si="534"/>
        <v>5.9935282972027881E-3</v>
      </c>
      <c r="CK95" s="128">
        <f t="shared" si="534"/>
        <v>1.9397496456484697E-2</v>
      </c>
      <c r="CL95" s="128">
        <f t="shared" si="534"/>
        <v>3.6003031138175379E-2</v>
      </c>
      <c r="CM95" s="244">
        <f>CM94/CH94-1</f>
        <v>1.8371463985008774E-2</v>
      </c>
      <c r="CN95" s="128">
        <f t="shared" si="534"/>
        <v>0.11869512837413265</v>
      </c>
      <c r="CO95" s="128">
        <f t="shared" si="534"/>
        <v>4.4830906888615463E-2</v>
      </c>
      <c r="CP95" s="128">
        <f t="shared" si="534"/>
        <v>9.7906596847725735E-2</v>
      </c>
      <c r="CQ95" s="128">
        <f t="shared" si="534"/>
        <v>-1.1615783239531718E-2</v>
      </c>
      <c r="CR95" s="110">
        <f>CR94/CM94-1</f>
        <v>6.2051767056601204E-2</v>
      </c>
      <c r="CS95" s="128">
        <f t="shared" si="534"/>
        <v>-6.58753187836284E-2</v>
      </c>
      <c r="CT95" s="128">
        <f t="shared" si="534"/>
        <v>-2.6881354840150529E-2</v>
      </c>
      <c r="CU95" s="128">
        <f t="shared" si="534"/>
        <v>-3.6797710339247502E-2</v>
      </c>
      <c r="CV95" s="128">
        <f t="shared" si="534"/>
        <v>0.11165072230934125</v>
      </c>
      <c r="CW95" s="110">
        <f>CW94/CR94-1</f>
        <v>-7.7356825371311944E-3</v>
      </c>
      <c r="CX95" s="128">
        <f t="shared" si="534"/>
        <v>0.11882263115087555</v>
      </c>
      <c r="CY95" s="128">
        <f t="shared" si="534"/>
        <v>4.2498778463796461E-2</v>
      </c>
      <c r="CZ95" s="128">
        <f t="shared" si="534"/>
        <v>7.3255849169135079E-2</v>
      </c>
      <c r="DA95" s="128">
        <f t="shared" si="534"/>
        <v>9.1422772208811454E-2</v>
      </c>
      <c r="DB95" s="110">
        <f t="shared" ref="DB95:DT95" si="535">DB94/CW94-1</f>
        <v>8.1330522192138766E-2</v>
      </c>
      <c r="DC95" s="128">
        <f t="shared" si="535"/>
        <v>2.9262095073062655E-2</v>
      </c>
      <c r="DD95" s="128">
        <f t="shared" si="535"/>
        <v>7.1190739472333453E-2</v>
      </c>
      <c r="DE95" s="128">
        <f t="shared" si="535"/>
        <v>2.6100544019661776E-2</v>
      </c>
      <c r="DF95" s="128">
        <f t="shared" si="535"/>
        <v>2.262602317514073E-3</v>
      </c>
      <c r="DG95" s="110">
        <f t="shared" si="535"/>
        <v>3.1245680993521985E-2</v>
      </c>
      <c r="DH95" s="128">
        <f t="shared" si="535"/>
        <v>1.0350074652869079E-2</v>
      </c>
      <c r="DI95" s="128">
        <f t="shared" si="535"/>
        <v>4.3921286531101167E-3</v>
      </c>
      <c r="DJ95" s="128">
        <f t="shared" si="535"/>
        <v>3.6137246148785662E-2</v>
      </c>
      <c r="DK95" s="128">
        <f t="shared" si="535"/>
        <v>3.7619023570882204E-2</v>
      </c>
      <c r="DL95" s="110">
        <f t="shared" si="535"/>
        <v>2.2379540389800612E-2</v>
      </c>
      <c r="DM95" s="128">
        <f t="shared" si="535"/>
        <v>2.5273298904300967E-2</v>
      </c>
      <c r="DN95" s="128">
        <f t="shared" si="535"/>
        <v>3.1838399255655681E-2</v>
      </c>
      <c r="DO95" s="128">
        <f t="shared" si="535"/>
        <v>3.371456233341652E-2</v>
      </c>
      <c r="DP95" s="128">
        <f t="shared" si="535"/>
        <v>2.7990376212418067E-2</v>
      </c>
      <c r="DQ95" s="110">
        <f>DQ94/DL94-1</f>
        <v>2.9657655545267891E-2</v>
      </c>
      <c r="DR95" s="128">
        <f t="shared" si="535"/>
        <v>4.3669171819870956E-2</v>
      </c>
      <c r="DS95" s="128">
        <f t="shared" si="535"/>
        <v>2.5005083666931993E-2</v>
      </c>
      <c r="DT95" s="128">
        <f t="shared" si="535"/>
        <v>3.1447280980526626E-2</v>
      </c>
      <c r="DU95" s="128">
        <f t="shared" ref="DU95:ED95" si="536">DU94/DP94-1</f>
        <v>-9.1382843464687946E-3</v>
      </c>
      <c r="DV95" s="110">
        <f t="shared" si="536"/>
        <v>2.2403742122310666E-2</v>
      </c>
      <c r="DW95" s="128">
        <f t="shared" si="536"/>
        <v>-2.4273632480275031E-2</v>
      </c>
      <c r="DX95" s="128">
        <f t="shared" si="536"/>
        <v>-2.6859611640850045E-2</v>
      </c>
      <c r="DY95" s="128">
        <f t="shared" si="536"/>
        <v>-5.1289273585019224E-2</v>
      </c>
      <c r="DZ95" s="128">
        <f t="shared" si="536"/>
        <v>-2.0801926257915548E-2</v>
      </c>
      <c r="EA95" s="110">
        <f t="shared" si="536"/>
        <v>-3.1043049824847069E-2</v>
      </c>
      <c r="EB95" s="128">
        <f t="shared" si="536"/>
        <v>-1.602392299593336E-2</v>
      </c>
      <c r="EC95" s="128">
        <f t="shared" si="536"/>
        <v>4.0535764285052345E-3</v>
      </c>
      <c r="ED95" s="128">
        <f t="shared" si="536"/>
        <v>3.8825446730381685E-2</v>
      </c>
      <c r="EE95" s="128">
        <f t="shared" ref="EE95" si="537">EE94/DZ94-1</f>
        <v>1.4141561785566026E-2</v>
      </c>
      <c r="EF95" s="110">
        <f t="shared" ref="EF95:EJ95" si="538">EF94/EA94-1</f>
        <v>1.0783759908139068E-2</v>
      </c>
      <c r="EG95" s="128">
        <f t="shared" si="538"/>
        <v>4.289081006033757E-2</v>
      </c>
      <c r="EH95" s="128">
        <f t="shared" si="538"/>
        <v>5.5422421591722726E-2</v>
      </c>
      <c r="EI95" s="128">
        <f t="shared" si="538"/>
        <v>-3.7171512186895406E-2</v>
      </c>
      <c r="EJ95" s="128">
        <f t="shared" si="538"/>
        <v>2.3914731749966833E-2</v>
      </c>
      <c r="EK95" s="110">
        <f>EK94/EF94-1</f>
        <v>2.0424270906405306E-2</v>
      </c>
      <c r="EL95" s="128"/>
      <c r="EM95" s="128"/>
      <c r="EN95" s="128"/>
      <c r="EO95" s="128"/>
      <c r="EP95" s="110"/>
      <c r="EQ95" s="133">
        <v>0.01</v>
      </c>
      <c r="ER95" s="133">
        <v>0</v>
      </c>
      <c r="ES95" s="133">
        <v>0</v>
      </c>
      <c r="ET95" s="133">
        <v>-0.03</v>
      </c>
      <c r="EU95" s="110">
        <f>EU94/EP94-1</f>
        <v>-5.303354967634788E-3</v>
      </c>
      <c r="EV95" s="133"/>
      <c r="EW95" s="133"/>
      <c r="EX95" s="133"/>
      <c r="EY95" s="133"/>
      <c r="EZ95" s="609">
        <v>-0.01</v>
      </c>
      <c r="FA95" s="133"/>
      <c r="FB95" s="133"/>
      <c r="FC95" s="133"/>
      <c r="FD95" s="133"/>
      <c r="FE95" s="609">
        <v>-0.02</v>
      </c>
      <c r="FF95" s="133"/>
      <c r="FG95" s="437"/>
      <c r="FI95" s="580"/>
      <c r="FL95" s="408"/>
      <c r="FM95" s="408"/>
      <c r="FN95" s="369"/>
      <c r="FO95" s="369"/>
      <c r="FP95" s="369"/>
      <c r="FQ95" s="369"/>
      <c r="FR95" s="369"/>
      <c r="FS95" s="369"/>
      <c r="FT95" s="190"/>
    </row>
    <row r="96" spans="1:183" ht="12.75" customHeight="1" x14ac:dyDescent="0.2">
      <c r="A96" s="481" t="s">
        <v>145</v>
      </c>
      <c r="B96" s="129"/>
      <c r="C96" s="129"/>
      <c r="D96" s="129"/>
      <c r="E96" s="129"/>
      <c r="F96" s="246"/>
      <c r="G96" s="129"/>
      <c r="H96" s="129"/>
      <c r="I96" s="129"/>
      <c r="J96" s="129"/>
      <c r="K96" s="246"/>
      <c r="L96" s="129"/>
      <c r="M96" s="129"/>
      <c r="N96" s="129"/>
      <c r="O96" s="129"/>
      <c r="P96" s="246"/>
      <c r="Q96" s="129"/>
      <c r="R96" s="129"/>
      <c r="S96" s="129"/>
      <c r="T96" s="129"/>
      <c r="U96" s="246"/>
      <c r="V96" s="129"/>
      <c r="W96" s="129"/>
      <c r="X96" s="129"/>
      <c r="Y96" s="129"/>
      <c r="Z96" s="246"/>
      <c r="AA96" s="129"/>
      <c r="AB96" s="129"/>
      <c r="AC96" s="129"/>
      <c r="AD96" s="129"/>
      <c r="AE96" s="246"/>
      <c r="AF96" s="129"/>
      <c r="AG96" s="129"/>
      <c r="AH96" s="129"/>
      <c r="AI96" s="129"/>
      <c r="AJ96" s="246"/>
      <c r="AK96" s="129"/>
      <c r="AL96" s="129"/>
      <c r="AM96" s="129"/>
      <c r="AN96" s="129"/>
      <c r="AO96" s="246"/>
      <c r="AP96" s="129"/>
      <c r="AQ96" s="129"/>
      <c r="AR96" s="129"/>
      <c r="AS96" s="129"/>
      <c r="AT96" s="246"/>
      <c r="AU96" s="129"/>
      <c r="AV96" s="129"/>
      <c r="AW96" s="129"/>
      <c r="AX96" s="129"/>
      <c r="AY96" s="246"/>
      <c r="AZ96" s="129"/>
      <c r="BA96" s="129"/>
      <c r="BB96" s="129"/>
      <c r="BC96" s="129"/>
      <c r="BD96" s="246"/>
      <c r="BE96" s="129"/>
      <c r="BF96" s="129"/>
      <c r="BG96" s="129"/>
      <c r="BH96" s="129"/>
      <c r="BI96" s="246"/>
      <c r="BJ96" s="129"/>
      <c r="BK96" s="129"/>
      <c r="BL96" s="129"/>
      <c r="BM96" s="129"/>
      <c r="BN96" s="246"/>
      <c r="BO96" s="129"/>
      <c r="BP96" s="129"/>
      <c r="BQ96" s="129"/>
      <c r="BR96" s="129"/>
      <c r="BS96" s="246"/>
      <c r="BT96" s="129"/>
      <c r="BU96" s="129"/>
      <c r="BV96" s="129"/>
      <c r="BW96" s="129"/>
      <c r="BX96" s="246"/>
      <c r="BY96" s="129"/>
      <c r="BZ96" s="129"/>
      <c r="CA96" s="129"/>
      <c r="CB96" s="129"/>
      <c r="CC96" s="246"/>
      <c r="CD96" s="129"/>
      <c r="CE96" s="129"/>
      <c r="CF96" s="129"/>
      <c r="CG96" s="129"/>
      <c r="CH96" s="246"/>
      <c r="CI96" s="129"/>
      <c r="CJ96" s="129"/>
      <c r="CK96" s="129"/>
      <c r="CL96" s="129"/>
      <c r="CM96" s="246"/>
      <c r="CN96" s="129"/>
      <c r="CO96" s="129"/>
      <c r="CP96" s="129"/>
      <c r="CQ96" s="129"/>
      <c r="CR96" s="303"/>
      <c r="CS96" s="129"/>
      <c r="CT96" s="129"/>
      <c r="CU96" s="129"/>
      <c r="CV96" s="129"/>
      <c r="CW96" s="303"/>
      <c r="CX96" s="129"/>
      <c r="CY96" s="129"/>
      <c r="CZ96" s="129"/>
      <c r="DA96" s="129"/>
      <c r="DB96" s="303"/>
      <c r="DC96" s="129"/>
      <c r="DD96" s="129"/>
      <c r="DE96" s="129"/>
      <c r="DF96" s="129"/>
      <c r="DG96" s="303"/>
      <c r="DH96" s="129"/>
      <c r="DI96" s="129"/>
      <c r="DJ96" s="129"/>
      <c r="DK96" s="129"/>
      <c r="DL96" s="303"/>
      <c r="DM96" s="129"/>
      <c r="DN96" s="129"/>
      <c r="DO96" s="129"/>
      <c r="DP96" s="129"/>
      <c r="DQ96" s="303"/>
      <c r="DR96" s="129"/>
      <c r="DS96" s="129"/>
      <c r="DT96" s="129"/>
      <c r="DU96" s="129"/>
      <c r="DV96" s="303"/>
      <c r="DW96" s="129"/>
      <c r="DX96" s="129"/>
      <c r="DY96" s="129"/>
      <c r="DZ96" s="129"/>
      <c r="EA96" s="303"/>
      <c r="EB96" s="129"/>
      <c r="EC96" s="129"/>
      <c r="ED96" s="129"/>
      <c r="EE96" s="129"/>
      <c r="EF96" s="303"/>
      <c r="EG96" s="129"/>
      <c r="EH96" s="129"/>
      <c r="EI96" s="129"/>
      <c r="EJ96" s="129"/>
      <c r="EK96" s="363"/>
      <c r="EL96" s="129"/>
      <c r="EM96" s="129"/>
      <c r="EN96" s="129"/>
      <c r="EO96" s="129"/>
      <c r="EP96" s="363"/>
      <c r="EQ96" s="130"/>
      <c r="ER96" s="130"/>
      <c r="ES96" s="130"/>
      <c r="ET96" s="130"/>
      <c r="EU96" s="363"/>
      <c r="EV96" s="130"/>
      <c r="EW96" s="130"/>
      <c r="EX96" s="130"/>
      <c r="EY96" s="130"/>
      <c r="EZ96" s="363"/>
      <c r="FA96" s="130"/>
      <c r="FB96" s="130"/>
      <c r="FC96" s="130"/>
      <c r="FD96" s="130"/>
      <c r="FE96" s="363"/>
      <c r="FF96" s="133"/>
      <c r="FG96" s="437"/>
      <c r="FL96" s="408"/>
      <c r="FM96" s="408"/>
      <c r="FN96" s="369"/>
      <c r="FO96" s="369"/>
      <c r="FP96" s="369"/>
      <c r="FQ96" s="369"/>
      <c r="FR96" s="369"/>
      <c r="FS96" s="369"/>
      <c r="FT96" s="190"/>
    </row>
    <row r="97" spans="1:183" ht="12.75" customHeight="1" x14ac:dyDescent="0.2">
      <c r="A97" s="480" t="s">
        <v>432</v>
      </c>
      <c r="B97" s="824">
        <v>55.608000000000004</v>
      </c>
      <c r="C97" s="824">
        <v>69.098000000000027</v>
      </c>
      <c r="D97" s="824">
        <v>64.266999999999967</v>
      </c>
      <c r="E97" s="824">
        <v>66.981000000000023</v>
      </c>
      <c r="F97" s="398">
        <v>255.95400000000004</v>
      </c>
      <c r="G97" s="824">
        <v>67.558999999999941</v>
      </c>
      <c r="H97" s="824">
        <v>76.777999999999977</v>
      </c>
      <c r="I97" s="824">
        <v>78.278999999999982</v>
      </c>
      <c r="J97" s="824">
        <v>122.32100000000003</v>
      </c>
      <c r="K97" s="398">
        <v>344.93699999999995</v>
      </c>
      <c r="L97" s="824">
        <v>86.773000000000053</v>
      </c>
      <c r="M97" s="824">
        <v>93.331999999999994</v>
      </c>
      <c r="N97" s="824">
        <v>95.66700000000003</v>
      </c>
      <c r="O97" s="824">
        <v>155.00100000000003</v>
      </c>
      <c r="P97" s="398">
        <v>430.77300000000008</v>
      </c>
      <c r="Q97" s="824">
        <v>100.52500000000001</v>
      </c>
      <c r="R97" s="824">
        <v>113.69699999999997</v>
      </c>
      <c r="S97" s="824">
        <v>118.36499999999999</v>
      </c>
      <c r="T97" s="824">
        <v>206.10199999999986</v>
      </c>
      <c r="U97" s="398">
        <v>538.68899999999985</v>
      </c>
      <c r="V97" s="824">
        <v>141.15399999999997</v>
      </c>
      <c r="W97" s="824">
        <v>150.16099999999994</v>
      </c>
      <c r="X97" s="824">
        <v>149.95400000000004</v>
      </c>
      <c r="Y97" s="824">
        <v>147.92799999999997</v>
      </c>
      <c r="Z97" s="398">
        <v>589.197</v>
      </c>
      <c r="AA97" s="824">
        <v>142.87400000000002</v>
      </c>
      <c r="AB97" s="824">
        <v>156.345</v>
      </c>
      <c r="AC97" s="824">
        <v>154.67099999999991</v>
      </c>
      <c r="AD97" s="824">
        <v>167.86299999999994</v>
      </c>
      <c r="AE97" s="398">
        <v>621.75299999999982</v>
      </c>
      <c r="AF97" s="824">
        <v>177.25100000000026</v>
      </c>
      <c r="AG97" s="824">
        <v>190.10399999999998</v>
      </c>
      <c r="AH97" s="824">
        <v>193.66699999999992</v>
      </c>
      <c r="AI97" s="824">
        <v>194.66700000000009</v>
      </c>
      <c r="AJ97" s="398">
        <v>755.68900000000031</v>
      </c>
      <c r="AK97" s="824">
        <v>195.00599999999991</v>
      </c>
      <c r="AL97" s="824">
        <v>194.815</v>
      </c>
      <c r="AM97" s="824">
        <v>208.70599999999996</v>
      </c>
      <c r="AN97" s="824">
        <v>204.69599999999997</v>
      </c>
      <c r="AO97" s="398">
        <v>803.22299999999973</v>
      </c>
      <c r="AP97" s="824">
        <v>206.81199999999995</v>
      </c>
      <c r="AQ97" s="824">
        <v>219.715</v>
      </c>
      <c r="AR97" s="824">
        <v>215.37</v>
      </c>
      <c r="AS97" s="824">
        <v>219.47200000000004</v>
      </c>
      <c r="AT97" s="398">
        <v>861.36899999999991</v>
      </c>
      <c r="AU97" s="824">
        <v>225.20799999999991</v>
      </c>
      <c r="AV97" s="824">
        <v>239.25300000000004</v>
      </c>
      <c r="AW97" s="824">
        <v>234.32799999999986</v>
      </c>
      <c r="AX97" s="824">
        <v>249.56199999999995</v>
      </c>
      <c r="AY97" s="398">
        <v>948.35099999999966</v>
      </c>
      <c r="AZ97" s="824">
        <v>234.05</v>
      </c>
      <c r="BA97" s="824">
        <v>253.42300000000006</v>
      </c>
      <c r="BB97" s="824">
        <v>257.435</v>
      </c>
      <c r="BC97" s="824">
        <v>274.21199999999999</v>
      </c>
      <c r="BD97" s="398">
        <v>1019.12</v>
      </c>
      <c r="BE97" s="824">
        <v>267.16600000000022</v>
      </c>
      <c r="BF97" s="824">
        <v>275.6939999999999</v>
      </c>
      <c r="BG97" s="824">
        <v>273.67500000000001</v>
      </c>
      <c r="BH97" s="824">
        <v>262.25099999999998</v>
      </c>
      <c r="BI97" s="398">
        <v>1078.7860000000003</v>
      </c>
      <c r="BJ97" s="824">
        <v>264.05500000000001</v>
      </c>
      <c r="BK97" s="824">
        <v>272</v>
      </c>
      <c r="BL97" s="824">
        <v>263.22900000000004</v>
      </c>
      <c r="BM97" s="824">
        <v>272.55899999999997</v>
      </c>
      <c r="BN97" s="398">
        <v>1071.8430000000001</v>
      </c>
      <c r="BO97" s="824">
        <v>247</v>
      </c>
      <c r="BP97" s="824">
        <v>258</v>
      </c>
      <c r="BQ97" s="824">
        <v>251</v>
      </c>
      <c r="BR97" s="824">
        <v>276</v>
      </c>
      <c r="BS97" s="398">
        <v>1032</v>
      </c>
      <c r="BT97" s="824">
        <v>254</v>
      </c>
      <c r="BU97" s="824">
        <v>273</v>
      </c>
      <c r="BV97" s="824">
        <v>254</v>
      </c>
      <c r="BW97" s="824">
        <v>272</v>
      </c>
      <c r="BX97" s="398">
        <v>1053</v>
      </c>
      <c r="BY97" s="824">
        <v>269</v>
      </c>
      <c r="BZ97" s="824">
        <v>291</v>
      </c>
      <c r="CA97" s="824">
        <v>301</v>
      </c>
      <c r="CB97" s="824">
        <v>343</v>
      </c>
      <c r="CC97" s="398">
        <v>1204</v>
      </c>
      <c r="CD97" s="824">
        <v>316</v>
      </c>
      <c r="CE97" s="824">
        <v>332</v>
      </c>
      <c r="CF97" s="824">
        <v>332</v>
      </c>
      <c r="CG97" s="824">
        <v>346</v>
      </c>
      <c r="CH97" s="398">
        <v>1326</v>
      </c>
      <c r="CI97" s="824">
        <v>337</v>
      </c>
      <c r="CJ97" s="824">
        <v>363</v>
      </c>
      <c r="CK97" s="824">
        <v>362</v>
      </c>
      <c r="CL97" s="824">
        <v>373</v>
      </c>
      <c r="CM97" s="398">
        <v>1435</v>
      </c>
      <c r="CN97" s="824">
        <v>392</v>
      </c>
      <c r="CO97" s="824">
        <v>395</v>
      </c>
      <c r="CP97" s="824">
        <v>402</v>
      </c>
      <c r="CQ97" s="824">
        <v>344</v>
      </c>
      <c r="CR97" s="398">
        <v>1533</v>
      </c>
      <c r="CS97" s="824">
        <v>416.65499999999997</v>
      </c>
      <c r="CT97" s="824">
        <v>428.92100000000062</v>
      </c>
      <c r="CU97" s="824">
        <v>415.54100000000062</v>
      </c>
      <c r="CV97" s="824">
        <v>433.28500000000003</v>
      </c>
      <c r="CW97" s="398">
        <v>1694.4020000000014</v>
      </c>
      <c r="CX97" s="824">
        <v>434.57699999999943</v>
      </c>
      <c r="CY97" s="824">
        <v>423.48100000000045</v>
      </c>
      <c r="CZ97" s="824">
        <v>462</v>
      </c>
      <c r="DA97" s="824">
        <v>503</v>
      </c>
      <c r="DB97" s="398">
        <v>1825.5770000000005</v>
      </c>
      <c r="DC97" s="824">
        <v>490.04199999999992</v>
      </c>
      <c r="DD97" s="824">
        <v>509</v>
      </c>
      <c r="DE97" s="824">
        <v>508</v>
      </c>
      <c r="DF97" s="824">
        <v>507</v>
      </c>
      <c r="DG97" s="398">
        <f>SUM(DC97:DF97)</f>
        <v>2014.0419999999999</v>
      </c>
      <c r="DH97" s="824">
        <v>490</v>
      </c>
      <c r="DI97" s="824">
        <v>503</v>
      </c>
      <c r="DJ97" s="824">
        <v>509</v>
      </c>
      <c r="DK97" s="824">
        <v>535</v>
      </c>
      <c r="DL97" s="398">
        <f>SUM(DH97:DK97)</f>
        <v>2037</v>
      </c>
      <c r="DM97" s="824">
        <v>501</v>
      </c>
      <c r="DN97" s="824">
        <v>519</v>
      </c>
      <c r="DO97" s="824">
        <v>532</v>
      </c>
      <c r="DP97" s="824">
        <v>572</v>
      </c>
      <c r="DQ97" s="398">
        <f>SUM(DM97:DP97)</f>
        <v>2124</v>
      </c>
      <c r="DR97" s="824">
        <v>526</v>
      </c>
      <c r="DS97" s="824">
        <v>533</v>
      </c>
      <c r="DT97" s="824">
        <v>568</v>
      </c>
      <c r="DU97" s="824">
        <v>577</v>
      </c>
      <c r="DV97" s="398">
        <f>SUM(DR97:DU97)</f>
        <v>2204</v>
      </c>
      <c r="DW97" s="824">
        <v>534</v>
      </c>
      <c r="DX97" s="824">
        <v>563</v>
      </c>
      <c r="DY97" s="824">
        <v>572</v>
      </c>
      <c r="DZ97" s="824">
        <v>611</v>
      </c>
      <c r="EA97" s="398">
        <f>SUM(DW97:DZ97)</f>
        <v>2280</v>
      </c>
      <c r="EB97" s="824">
        <v>578</v>
      </c>
      <c r="EC97" s="824">
        <v>598</v>
      </c>
      <c r="ED97" s="824">
        <v>640</v>
      </c>
      <c r="EE97" s="824">
        <v>655</v>
      </c>
      <c r="EF97" s="398">
        <f>SUM(EB97:EE97)</f>
        <v>2471</v>
      </c>
      <c r="EG97" s="824">
        <v>642</v>
      </c>
      <c r="EH97" s="824">
        <f>682-8</f>
        <v>674</v>
      </c>
      <c r="EI97" s="824">
        <v>616</v>
      </c>
      <c r="EJ97" s="824">
        <v>666</v>
      </c>
      <c r="EK97" s="398">
        <f>SUM(EG97:EJ97)</f>
        <v>2598</v>
      </c>
      <c r="EL97" s="824">
        <f>642-8-5</f>
        <v>629</v>
      </c>
      <c r="EM97" s="824">
        <f>682-8-8</f>
        <v>666</v>
      </c>
      <c r="EN97" s="824">
        <f>699-9-20-63</f>
        <v>607</v>
      </c>
      <c r="EO97" s="824">
        <f>666-15</f>
        <v>651</v>
      </c>
      <c r="EP97" s="398">
        <f>SUM(EL97:EO97)</f>
        <v>2553</v>
      </c>
      <c r="EQ97" s="890">
        <f>(EO97/EO$91)*EQ$91</f>
        <v>648.62618932238195</v>
      </c>
      <c r="ER97" s="397">
        <f t="shared" ref="ER97:ET98" si="539">(EQ97/EQ$91)*ER$91</f>
        <v>693.72271047227935</v>
      </c>
      <c r="ES97" s="397">
        <f t="shared" si="539"/>
        <v>647.15014373716645</v>
      </c>
      <c r="ET97" s="397">
        <f t="shared" si="539"/>
        <v>694.61700000000008</v>
      </c>
      <c r="EU97" s="398">
        <f>SUM(EQ97:ET97)</f>
        <v>2684.1160435318279</v>
      </c>
      <c r="EV97" s="744"/>
      <c r="EW97" s="397"/>
      <c r="EX97" s="397"/>
      <c r="EY97" s="397"/>
      <c r="EZ97" s="398">
        <f>(EU97/EU$91)*EZ$91</f>
        <v>2790.138627251335</v>
      </c>
      <c r="FA97" s="744"/>
      <c r="FB97" s="397"/>
      <c r="FC97" s="397"/>
      <c r="FD97" s="397"/>
      <c r="FE97" s="398">
        <f>(EZ97/EZ$91)*FE$91</f>
        <v>2871.0526474416233</v>
      </c>
      <c r="FF97" s="337"/>
      <c r="FG97" s="441"/>
      <c r="FH97" s="347"/>
      <c r="FI97" s="337"/>
      <c r="FJ97" s="337"/>
      <c r="FK97" s="337"/>
      <c r="FL97" s="408" t="s">
        <v>601</v>
      </c>
      <c r="FM97" s="413"/>
      <c r="FN97" s="9"/>
      <c r="FP97" s="718"/>
      <c r="FQ97" s="718"/>
      <c r="FR97" s="369"/>
      <c r="FS97" s="9"/>
      <c r="FT97" s="441"/>
      <c r="GA97" s="342"/>
    </row>
    <row r="98" spans="1:183" ht="12.75" customHeight="1" x14ac:dyDescent="0.2">
      <c r="A98" s="480" t="s">
        <v>380</v>
      </c>
      <c r="B98" s="824">
        <v>14.237</v>
      </c>
      <c r="C98" s="824">
        <v>14.5</v>
      </c>
      <c r="D98" s="824">
        <v>15.416</v>
      </c>
      <c r="E98" s="824">
        <f>F98-SUM(B98:D98)</f>
        <v>17.013999999999996</v>
      </c>
      <c r="F98" s="398">
        <v>61.167000000000002</v>
      </c>
      <c r="G98" s="824">
        <v>18.605</v>
      </c>
      <c r="H98" s="824">
        <v>20.821999999999999</v>
      </c>
      <c r="I98" s="824">
        <v>21.544</v>
      </c>
      <c r="J98" s="824">
        <f>K98-SUM(G98:I98)</f>
        <v>22.875999999999991</v>
      </c>
      <c r="K98" s="398">
        <v>83.846999999999994</v>
      </c>
      <c r="L98" s="824">
        <v>23.550999999999998</v>
      </c>
      <c r="M98" s="824">
        <v>25.420999999999999</v>
      </c>
      <c r="N98" s="824">
        <v>27.146000000000001</v>
      </c>
      <c r="O98" s="824">
        <f>P98-SUM(L98:N98)</f>
        <v>29.811000000000007</v>
      </c>
      <c r="P98" s="398">
        <v>105.929</v>
      </c>
      <c r="Q98" s="824">
        <v>27.337</v>
      </c>
      <c r="R98" s="824">
        <v>29.448</v>
      </c>
      <c r="S98" s="824">
        <v>31.818999999999999</v>
      </c>
      <c r="T98" s="824">
        <f>U98-SUM(Q98:S98)</f>
        <v>40.618000000000009</v>
      </c>
      <c r="U98" s="398">
        <v>129.22200000000001</v>
      </c>
      <c r="V98" s="824">
        <v>36.124000000000002</v>
      </c>
      <c r="W98" s="824">
        <v>36.863999999999997</v>
      </c>
      <c r="X98" s="824">
        <v>37.619</v>
      </c>
      <c r="Y98" s="824">
        <v>37.5</v>
      </c>
      <c r="Z98" s="398">
        <f>SUM(V98:Y98)</f>
        <v>148.107</v>
      </c>
      <c r="AA98" s="824">
        <v>40.533000000000001</v>
      </c>
      <c r="AB98" s="824">
        <v>39.442999999999998</v>
      </c>
      <c r="AC98" s="824">
        <v>41.802999999999997</v>
      </c>
      <c r="AD98" s="824">
        <f>160.322-SUM(AA98:AC98)</f>
        <v>38.543000000000006</v>
      </c>
      <c r="AE98" s="398">
        <f>SUM(AA98:AD98)</f>
        <v>160.322</v>
      </c>
      <c r="AF98" s="824">
        <v>45.442999999999998</v>
      </c>
      <c r="AG98" s="824">
        <v>45.401000000000003</v>
      </c>
      <c r="AH98" s="824">
        <v>49.158000000000001</v>
      </c>
      <c r="AI98" s="824">
        <v>47.597999999999999</v>
      </c>
      <c r="AJ98" s="398">
        <f>SUM(AF98:AI98)</f>
        <v>187.60000000000002</v>
      </c>
      <c r="AK98" s="824">
        <v>49.011000000000003</v>
      </c>
      <c r="AL98" s="824">
        <v>51.476999999999997</v>
      </c>
      <c r="AM98" s="824">
        <v>51.966000000000001</v>
      </c>
      <c r="AN98" s="824">
        <v>51.390999999999998</v>
      </c>
      <c r="AO98" s="398">
        <f>SUM(AK98:AN98)</f>
        <v>203.845</v>
      </c>
      <c r="AP98" s="824">
        <v>50.554000000000002</v>
      </c>
      <c r="AQ98" s="824">
        <v>54.042000000000002</v>
      </c>
      <c r="AR98" s="824">
        <v>54.773000000000003</v>
      </c>
      <c r="AS98" s="824">
        <v>55.537999999999997</v>
      </c>
      <c r="AT98" s="398">
        <f>SUM(AP98:AS98)</f>
        <v>214.90699999999998</v>
      </c>
      <c r="AU98" s="824">
        <v>57.982999999999997</v>
      </c>
      <c r="AV98" s="824">
        <v>60.707999999999998</v>
      </c>
      <c r="AW98" s="824">
        <v>62.546999999999997</v>
      </c>
      <c r="AX98" s="824">
        <v>60.764000000000003</v>
      </c>
      <c r="AY98" s="398">
        <f>SUM(AU98:AX98)</f>
        <v>242.00200000000001</v>
      </c>
      <c r="AZ98" s="824">
        <v>65.019000000000005</v>
      </c>
      <c r="BA98" s="824">
        <v>64.981999999999999</v>
      </c>
      <c r="BB98" s="824">
        <v>69.421000000000006</v>
      </c>
      <c r="BC98" s="824">
        <v>65.683999999999997</v>
      </c>
      <c r="BD98" s="398">
        <f>SUM(AZ98:BC98)</f>
        <v>265.10599999999999</v>
      </c>
      <c r="BE98" s="824">
        <v>70.018000000000001</v>
      </c>
      <c r="BF98" s="824">
        <v>77.156000000000006</v>
      </c>
      <c r="BG98" s="824">
        <v>79.259</v>
      </c>
      <c r="BH98" s="824">
        <v>84.584000000000003</v>
      </c>
      <c r="BI98" s="398">
        <f>SUM(BE98:BH98)</f>
        <v>311.017</v>
      </c>
      <c r="BJ98" s="824">
        <v>83.18</v>
      </c>
      <c r="BK98" s="824">
        <v>88</v>
      </c>
      <c r="BL98" s="824">
        <v>86.635000000000005</v>
      </c>
      <c r="BM98" s="824">
        <v>86.870999999999995</v>
      </c>
      <c r="BN98" s="398">
        <f>SUM(BJ98:BM98)</f>
        <v>344.68599999999998</v>
      </c>
      <c r="BO98" s="824">
        <v>90</v>
      </c>
      <c r="BP98" s="824">
        <v>91</v>
      </c>
      <c r="BQ98" s="824">
        <v>95</v>
      </c>
      <c r="BR98" s="824">
        <v>96</v>
      </c>
      <c r="BS98" s="398">
        <f>SUM(BO98:BR98)</f>
        <v>372</v>
      </c>
      <c r="BT98" s="824">
        <v>103</v>
      </c>
      <c r="BU98" s="824">
        <v>99</v>
      </c>
      <c r="BV98" s="824">
        <v>104</v>
      </c>
      <c r="BW98" s="824">
        <v>102</v>
      </c>
      <c r="BX98" s="398">
        <f>SUM(BT98:BW98)</f>
        <v>408</v>
      </c>
      <c r="BY98" s="824">
        <v>113</v>
      </c>
      <c r="BZ98" s="824">
        <v>114</v>
      </c>
      <c r="CA98" s="824">
        <v>118</v>
      </c>
      <c r="CB98" s="824">
        <v>109</v>
      </c>
      <c r="CC98" s="398">
        <f>SUM(BY98:CB98)</f>
        <v>454</v>
      </c>
      <c r="CD98" s="824">
        <v>120</v>
      </c>
      <c r="CE98" s="824">
        <v>126</v>
      </c>
      <c r="CF98" s="824">
        <v>128</v>
      </c>
      <c r="CG98" s="824">
        <v>121</v>
      </c>
      <c r="CH98" s="398">
        <f>SUM(CD98:CG98)</f>
        <v>495</v>
      </c>
      <c r="CI98" s="824">
        <v>136</v>
      </c>
      <c r="CJ98" s="824">
        <v>140</v>
      </c>
      <c r="CK98" s="824">
        <v>145</v>
      </c>
      <c r="CL98" s="824">
        <v>138</v>
      </c>
      <c r="CM98" s="398">
        <f>SUM(CI98:CL98)</f>
        <v>559</v>
      </c>
      <c r="CN98" s="824">
        <v>171</v>
      </c>
      <c r="CO98" s="824">
        <v>159</v>
      </c>
      <c r="CP98" s="824">
        <v>167</v>
      </c>
      <c r="CQ98" s="824">
        <v>165</v>
      </c>
      <c r="CR98" s="398">
        <f>SUM(CN98:CQ98)</f>
        <v>662</v>
      </c>
      <c r="CS98" s="824">
        <v>199.78399999999999</v>
      </c>
      <c r="CT98" s="824">
        <v>216.36500000000001</v>
      </c>
      <c r="CU98" s="824">
        <v>229.57300000000001</v>
      </c>
      <c r="CV98" s="824">
        <v>218.03399999999999</v>
      </c>
      <c r="CW98" s="398">
        <f>SUM(CS98:CV98)</f>
        <v>863.75599999999997</v>
      </c>
      <c r="CX98" s="824">
        <v>226.47200000000001</v>
      </c>
      <c r="CY98" s="824">
        <v>248.48400000000001</v>
      </c>
      <c r="CZ98" s="824">
        <v>250</v>
      </c>
      <c r="DA98" s="824">
        <v>240</v>
      </c>
      <c r="DB98" s="398">
        <f>SUM(CX98:DA98)</f>
        <v>964.95600000000002</v>
      </c>
      <c r="DC98" s="824">
        <v>237.792</v>
      </c>
      <c r="DD98" s="824">
        <v>260</v>
      </c>
      <c r="DE98" s="824">
        <v>257</v>
      </c>
      <c r="DF98" s="824">
        <v>254</v>
      </c>
      <c r="DG98" s="398">
        <f>SUM(DC98:DF98)</f>
        <v>1008.792</v>
      </c>
      <c r="DH98" s="824">
        <v>254</v>
      </c>
      <c r="DI98" s="824">
        <v>260</v>
      </c>
      <c r="DJ98" s="824">
        <v>278</v>
      </c>
      <c r="DK98" s="824">
        <v>252</v>
      </c>
      <c r="DL98" s="398">
        <f>SUM(DH98:DK98)</f>
        <v>1044</v>
      </c>
      <c r="DM98" s="824">
        <v>266</v>
      </c>
      <c r="DN98" s="824">
        <v>292</v>
      </c>
      <c r="DO98" s="824">
        <v>290</v>
      </c>
      <c r="DP98" s="824">
        <v>255</v>
      </c>
      <c r="DQ98" s="398">
        <f>SUM(DM98:DP98)</f>
        <v>1103</v>
      </c>
      <c r="DR98" s="824">
        <v>266</v>
      </c>
      <c r="DS98" s="824">
        <v>295</v>
      </c>
      <c r="DT98" s="824">
        <v>289</v>
      </c>
      <c r="DU98" s="824">
        <v>262</v>
      </c>
      <c r="DV98" s="398">
        <f>SUM(DR98:DU98)</f>
        <v>1112</v>
      </c>
      <c r="DW98" s="824">
        <v>285</v>
      </c>
      <c r="DX98" s="824">
        <v>299</v>
      </c>
      <c r="DY98" s="824">
        <v>303</v>
      </c>
      <c r="DZ98" s="824">
        <v>279</v>
      </c>
      <c r="EA98" s="398">
        <f>SUM(DW98:DZ98)</f>
        <v>1166</v>
      </c>
      <c r="EB98" s="824">
        <v>302</v>
      </c>
      <c r="EC98" s="824">
        <v>309</v>
      </c>
      <c r="ED98" s="824">
        <v>307</v>
      </c>
      <c r="EE98" s="824">
        <v>293</v>
      </c>
      <c r="EF98" s="398">
        <f>SUM(EB98:EE98)</f>
        <v>1211</v>
      </c>
      <c r="EG98" s="824">
        <v>313</v>
      </c>
      <c r="EH98" s="824">
        <v>332</v>
      </c>
      <c r="EI98" s="824">
        <v>324</v>
      </c>
      <c r="EJ98" s="824">
        <v>324</v>
      </c>
      <c r="EK98" s="398">
        <f>SUM(EG98:EJ98)</f>
        <v>1293</v>
      </c>
      <c r="EL98" s="824">
        <v>313</v>
      </c>
      <c r="EM98" s="824">
        <v>332</v>
      </c>
      <c r="EN98" s="824">
        <v>324</v>
      </c>
      <c r="EO98" s="824">
        <f>324-1</f>
        <v>323</v>
      </c>
      <c r="EP98" s="398">
        <f>SUM(EL98:EO98)</f>
        <v>1292</v>
      </c>
      <c r="EQ98" s="890">
        <f>(EO98/EO$91)*EQ$91</f>
        <v>321.82221067761805</v>
      </c>
      <c r="ER98" s="397">
        <f t="shared" si="539"/>
        <v>344.19728952772078</v>
      </c>
      <c r="ES98" s="397">
        <f t="shared" si="539"/>
        <v>321.08985626283373</v>
      </c>
      <c r="ET98" s="397">
        <f t="shared" si="539"/>
        <v>344.64100000000002</v>
      </c>
      <c r="EU98" s="398">
        <f>SUM(EQ98:ET98)</f>
        <v>1331.7503564681726</v>
      </c>
      <c r="EV98" s="744"/>
      <c r="EW98" s="397"/>
      <c r="EX98" s="397"/>
      <c r="EY98" s="397"/>
      <c r="EZ98" s="398">
        <f>(EU98/EU$91)*EZ$91</f>
        <v>1384.3544955486655</v>
      </c>
      <c r="FA98" s="744"/>
      <c r="FB98" s="397"/>
      <c r="FC98" s="397"/>
      <c r="FD98" s="397"/>
      <c r="FE98" s="398">
        <f>(EZ98/EZ$91)*FE$91</f>
        <v>1424.5007759195764</v>
      </c>
      <c r="FF98" s="337"/>
      <c r="FG98" s="441"/>
      <c r="FH98" s="347"/>
      <c r="FI98" s="337"/>
      <c r="FJ98" s="337"/>
      <c r="FK98" s="337"/>
      <c r="FL98" s="408" t="s">
        <v>602</v>
      </c>
      <c r="FM98" s="413"/>
      <c r="FN98" s="9"/>
      <c r="FP98" s="718"/>
      <c r="FQ98" s="718"/>
      <c r="FT98" s="441"/>
      <c r="GA98" s="342"/>
    </row>
    <row r="99" spans="1:183" ht="12.75" customHeight="1" x14ac:dyDescent="0.2">
      <c r="A99" s="8" t="s">
        <v>25</v>
      </c>
      <c r="B99" s="9">
        <v>252.45699999999999</v>
      </c>
      <c r="C99" s="9">
        <v>266.899</v>
      </c>
      <c r="D99" s="9">
        <v>279.709</v>
      </c>
      <c r="E99" s="9">
        <v>305.81500000000005</v>
      </c>
      <c r="F99" s="10">
        <v>1104.8800000000001</v>
      </c>
      <c r="G99" s="9">
        <v>293.30099999999999</v>
      </c>
      <c r="H99" s="9">
        <v>304.20699999999999</v>
      </c>
      <c r="I99" s="9">
        <v>324.12200000000001</v>
      </c>
      <c r="J99" s="9">
        <v>385.04500000000002</v>
      </c>
      <c r="K99" s="10">
        <v>1306.6750000000002</v>
      </c>
      <c r="L99" s="9">
        <v>342.72800000000001</v>
      </c>
      <c r="M99" s="9">
        <v>371.404</v>
      </c>
      <c r="N99" s="9">
        <v>393.41200000000003</v>
      </c>
      <c r="O99" s="9">
        <v>501.63099999999991</v>
      </c>
      <c r="P99" s="10">
        <v>1609.175</v>
      </c>
      <c r="Q99" s="9">
        <v>409.13699999999994</v>
      </c>
      <c r="R99" s="9">
        <v>445.66899999999998</v>
      </c>
      <c r="S99" s="9">
        <v>467.596</v>
      </c>
      <c r="T99" s="9">
        <v>682.298</v>
      </c>
      <c r="U99" s="10">
        <v>2004.7</v>
      </c>
      <c r="V99" s="9">
        <v>543.36599999999999</v>
      </c>
      <c r="W99" s="9">
        <v>559.22199999999998</v>
      </c>
      <c r="X99" s="9">
        <v>583.57900000000006</v>
      </c>
      <c r="Y99" s="9">
        <v>589.05700000000002</v>
      </c>
      <c r="Z99" s="10">
        <v>2275.2240000000002</v>
      </c>
      <c r="AA99" s="9">
        <v>597.59</v>
      </c>
      <c r="AB99" s="9">
        <v>634.78</v>
      </c>
      <c r="AC99" s="9">
        <v>650.87699999999995</v>
      </c>
      <c r="AD99" s="9">
        <v>675.97299999999996</v>
      </c>
      <c r="AE99" s="10">
        <v>2559.2199999999998</v>
      </c>
      <c r="AF99" s="9">
        <v>715.13600000000019</v>
      </c>
      <c r="AG99" s="9">
        <v>768.10199999999998</v>
      </c>
      <c r="AH99" s="9">
        <v>788.55800000000011</v>
      </c>
      <c r="AI99" s="9">
        <v>783.53899999999999</v>
      </c>
      <c r="AJ99" s="10">
        <v>3055.335</v>
      </c>
      <c r="AK99" s="9">
        <v>799.89199999999983</v>
      </c>
      <c r="AL99" s="9">
        <v>800.4849999999999</v>
      </c>
      <c r="AM99" s="9">
        <v>845.47100000000012</v>
      </c>
      <c r="AN99" s="9">
        <v>846.73699999999985</v>
      </c>
      <c r="AO99" s="10">
        <v>3292.585</v>
      </c>
      <c r="AP99" s="9">
        <v>830.96</v>
      </c>
      <c r="AQ99" s="9">
        <v>870.29300000000001</v>
      </c>
      <c r="AR99" s="9">
        <v>890.91100000000017</v>
      </c>
      <c r="AS99" s="9">
        <v>888.20499999999993</v>
      </c>
      <c r="AT99" s="10">
        <v>3480.3690000000001</v>
      </c>
      <c r="AU99" s="9">
        <v>908.95399999999995</v>
      </c>
      <c r="AV99" s="9">
        <v>966.101</v>
      </c>
      <c r="AW99" s="9">
        <v>1028.703</v>
      </c>
      <c r="AX99" s="9">
        <v>1050.2529999999999</v>
      </c>
      <c r="AY99" s="10">
        <v>3954.0109999999995</v>
      </c>
      <c r="AZ99" s="9">
        <v>1087.239</v>
      </c>
      <c r="BA99" s="9">
        <v>1146.1170000000002</v>
      </c>
      <c r="BB99" s="9">
        <v>1178.7250000000001</v>
      </c>
      <c r="BC99" s="9">
        <v>1216.3340000000001</v>
      </c>
      <c r="BD99" s="10">
        <v>4628.415</v>
      </c>
      <c r="BE99" s="9">
        <v>1218.46</v>
      </c>
      <c r="BF99" s="9">
        <v>1262.9229999999998</v>
      </c>
      <c r="BG99" s="9">
        <v>1242.1390000000001</v>
      </c>
      <c r="BH99" s="9">
        <v>1200.53</v>
      </c>
      <c r="BI99" s="10">
        <v>4924.0519999999997</v>
      </c>
      <c r="BJ99" s="9">
        <v>1207.8780000000002</v>
      </c>
      <c r="BK99" s="9">
        <v>1278.252</v>
      </c>
      <c r="BL99" s="9">
        <v>1300.05</v>
      </c>
      <c r="BM99" s="9">
        <v>1312.7060000000001</v>
      </c>
      <c r="BN99" s="10">
        <v>5098.8860000000004</v>
      </c>
      <c r="BO99" s="9">
        <v>1305</v>
      </c>
      <c r="BP99" s="9">
        <v>1334</v>
      </c>
      <c r="BQ99" s="9">
        <v>1368</v>
      </c>
      <c r="BR99" s="9">
        <v>1406</v>
      </c>
      <c r="BS99" s="10">
        <v>5413</v>
      </c>
      <c r="BT99" s="9">
        <v>1422.7</v>
      </c>
      <c r="BU99" s="9">
        <v>1495</v>
      </c>
      <c r="BV99" s="9">
        <v>1483</v>
      </c>
      <c r="BW99" s="9">
        <v>1535</v>
      </c>
      <c r="BX99" s="10">
        <v>5935.7</v>
      </c>
      <c r="BY99" s="9">
        <v>1580</v>
      </c>
      <c r="BZ99" s="9">
        <v>1686</v>
      </c>
      <c r="CA99" s="9">
        <v>1722</v>
      </c>
      <c r="CB99" s="9">
        <v>1854</v>
      </c>
      <c r="CC99" s="10">
        <v>6842</v>
      </c>
      <c r="CD99" s="9">
        <v>1904.4</v>
      </c>
      <c r="CE99" s="9">
        <v>2020.4</v>
      </c>
      <c r="CF99" s="9">
        <v>2082.4</v>
      </c>
      <c r="CG99" s="9">
        <v>2103.4</v>
      </c>
      <c r="CH99" s="10">
        <v>8110.6</v>
      </c>
      <c r="CI99" s="9">
        <v>2128</v>
      </c>
      <c r="CJ99" s="9">
        <v>2255</v>
      </c>
      <c r="CK99" s="9">
        <v>2311</v>
      </c>
      <c r="CL99" s="9">
        <v>2312</v>
      </c>
      <c r="CM99" s="10">
        <v>9006</v>
      </c>
      <c r="CN99" s="9">
        <v>2431</v>
      </c>
      <c r="CO99" s="9">
        <v>2627</v>
      </c>
      <c r="CP99" s="9">
        <v>2744</v>
      </c>
      <c r="CQ99" s="9">
        <v>2584</v>
      </c>
      <c r="CR99" s="10">
        <v>10386</v>
      </c>
      <c r="CS99" s="9">
        <v>2822.1210000000001</v>
      </c>
      <c r="CT99" s="9">
        <v>2971.7280000000001</v>
      </c>
      <c r="CU99" s="9">
        <v>3107.7690000000002</v>
      </c>
      <c r="CV99" s="9">
        <v>3080.623</v>
      </c>
      <c r="CW99" s="10">
        <f>SUM(CS99:CV99)</f>
        <v>11982.241</v>
      </c>
      <c r="CX99" s="9">
        <v>3127.377</v>
      </c>
      <c r="CY99" s="9">
        <v>3381</v>
      </c>
      <c r="CZ99" s="9">
        <v>3413</v>
      </c>
      <c r="DA99" s="9">
        <v>3482</v>
      </c>
      <c r="DB99" s="10">
        <f>SUM(CX99:DA99)</f>
        <v>13403.377</v>
      </c>
      <c r="DC99" s="9">
        <v>3696.759</v>
      </c>
      <c r="DD99" s="9">
        <v>4112</v>
      </c>
      <c r="DE99" s="9">
        <v>4026</v>
      </c>
      <c r="DF99" s="9">
        <f>DF39+DF54+DF86+DF79+DF72+DF91</f>
        <v>3941</v>
      </c>
      <c r="DG99" s="10">
        <f>SUM(DC99:DF99)</f>
        <v>15775.759</v>
      </c>
      <c r="DH99" s="9">
        <f>DH39+DH54+DH86+DH79+DH72+DH91</f>
        <v>3981</v>
      </c>
      <c r="DI99" s="9">
        <f>DI39+DI54+DI86+DI79+DI72+DI91</f>
        <v>4131</v>
      </c>
      <c r="DJ99" s="9">
        <f>DJ39+DJ54+DJ86+DJ79+DJ72+DJ91</f>
        <v>4101</v>
      </c>
      <c r="DK99" s="9">
        <f>DK39+DK54+DK86+DK79+DK72+DK91</f>
        <v>4037</v>
      </c>
      <c r="DL99" s="10">
        <f>SUM(DH99:DK99)</f>
        <v>16250</v>
      </c>
      <c r="DM99" s="9">
        <f>DM39+DM54+DM86+DM79+DM72+DM91</f>
        <v>3972</v>
      </c>
      <c r="DN99" s="9">
        <f>DN39+DN54+DN86+DN79+DN72+DN91</f>
        <v>4164</v>
      </c>
      <c r="DO99" s="9">
        <f>DO39+DO54+DO86+DO79+DO72+DO91</f>
        <v>4106</v>
      </c>
      <c r="DP99" s="9">
        <f>DP39+DP54+DP86+DP79+DP72+DP91</f>
        <v>4010</v>
      </c>
      <c r="DQ99" s="10">
        <f>SUM(DM99:DP99)</f>
        <v>16252</v>
      </c>
      <c r="DR99" s="9">
        <f>DR39+DR54+DR86+DR79+DR72+DR91</f>
        <v>3924</v>
      </c>
      <c r="DS99" s="9">
        <f>DS39+DS54+DS86+DS79+DS72+DS91</f>
        <v>4192</v>
      </c>
      <c r="DT99" s="9">
        <f>DT39+DT54+DT86+DT79+DT72+DT91</f>
        <v>4151</v>
      </c>
      <c r="DU99" s="9">
        <f>DU39+DU54+DU86+DU79+DU72+DU91</f>
        <v>3958</v>
      </c>
      <c r="DV99" s="10">
        <f>SUM(DR99:DU99)</f>
        <v>16225</v>
      </c>
      <c r="DW99" s="9">
        <f>DW39+DW54+DW86+DW79+DW72+DW91</f>
        <v>3644</v>
      </c>
      <c r="DX99" s="9">
        <f>DX39+DX54+DX86+DX79+DX72+DX91</f>
        <v>3963</v>
      </c>
      <c r="DY99" s="9">
        <f>DY39+DY54+DY86+DY79+DY72+DY91</f>
        <v>4099</v>
      </c>
      <c r="DZ99" s="9">
        <f>DZ39+DZ54+DZ86+DZ79+DZ72+DZ91</f>
        <v>3985</v>
      </c>
      <c r="EA99" s="10">
        <f>SUM(DW99:DZ99)</f>
        <v>15691</v>
      </c>
      <c r="EB99" s="9">
        <f>EB39+EB54+EB86+EB79+EB72+EB91</f>
        <v>3874</v>
      </c>
      <c r="EC99" s="9">
        <f>EC39+EC54+EC86+EC79+EC72+EC91</f>
        <v>4117</v>
      </c>
      <c r="ED99" s="9">
        <f>ED39+ED54+ED86+ED79+ED72+ED91</f>
        <v>4167</v>
      </c>
      <c r="EE99" s="9">
        <f>EE39+EE54+EE86+EE79+EE72+EE91</f>
        <v>4308</v>
      </c>
      <c r="EF99" s="10">
        <f>SUM(EB99:EE99)</f>
        <v>16466</v>
      </c>
      <c r="EG99" s="9">
        <f>EG39+EG54+EG86+EG79+EG72+EG91</f>
        <v>4257</v>
      </c>
      <c r="EH99" s="9">
        <f>EH39+EH54+EH86+EH79+EH72+EH91</f>
        <v>4532</v>
      </c>
      <c r="EI99" s="9">
        <f>EI39+EI54+EI86+EI79+EI72+EI91</f>
        <v>4400</v>
      </c>
      <c r="EJ99" s="9">
        <f>EJ39+EJ54+EJ86+EJ79+EJ72+EJ91</f>
        <v>4528</v>
      </c>
      <c r="EK99" s="10">
        <f t="shared" ref="EK99" si="540">EK39+EK54+EK86+EK79+EK72+EK91</f>
        <v>17717</v>
      </c>
      <c r="EL99" s="9">
        <f>EL39+EL54+EL86+EL79+EL72+EL91</f>
        <v>4280</v>
      </c>
      <c r="EM99" s="9">
        <f>EM39+EM54+EM86+EM79+EM72+EM91</f>
        <v>4554</v>
      </c>
      <c r="EN99" s="9">
        <f>EN39+EN54+EN86+EN79+EN72+EN91</f>
        <v>4421</v>
      </c>
      <c r="EO99" s="9">
        <f>EO39+EO54+EO86+EO79+EO72+EO91</f>
        <v>4544</v>
      </c>
      <c r="EP99" s="10">
        <f t="shared" ref="EP99" si="541">EP39+EP54+EP86+EP79+EP72+EP91</f>
        <v>17799</v>
      </c>
      <c r="EQ99" s="9">
        <f t="shared" ref="EQ99" si="542">EQ39+EQ54+EQ86+EQ79+EQ72+EQ91</f>
        <v>4375.4647708525108</v>
      </c>
      <c r="ER99" s="9">
        <f t="shared" ref="ER99:EU99" si="543">ER39+ER54+ER86+ER79+ER72+ER91</f>
        <v>4746.648925077996</v>
      </c>
      <c r="ES99" s="9">
        <f t="shared" si="543"/>
        <v>4626.1600695836842</v>
      </c>
      <c r="ET99" s="9">
        <f t="shared" si="543"/>
        <v>4830.5923436825506</v>
      </c>
      <c r="EU99" s="10">
        <f t="shared" si="543"/>
        <v>18578.866109196741</v>
      </c>
      <c r="EV99" s="9"/>
      <c r="EW99" s="9"/>
      <c r="EX99" s="9"/>
      <c r="EY99" s="9"/>
      <c r="EZ99" s="10">
        <f t="shared" ref="EZ99" si="544">EZ39+EZ54+EZ86+EZ79+EZ72+EZ91</f>
        <v>19301.549346118576</v>
      </c>
      <c r="FA99" s="9"/>
      <c r="FB99" s="9"/>
      <c r="FC99" s="9"/>
      <c r="FD99" s="9"/>
      <c r="FE99" s="10">
        <f t="shared" ref="FE99" si="545">FE39+FE54+FE86+FE79+FE72+FE91</f>
        <v>20152.392791005444</v>
      </c>
      <c r="FF99" s="337"/>
      <c r="FG99" s="441"/>
      <c r="FH99" s="347"/>
      <c r="FI99" s="337"/>
      <c r="FJ99" s="337"/>
      <c r="FK99" s="337"/>
      <c r="FN99" s="9"/>
      <c r="FO99" s="9"/>
      <c r="FP99" s="9"/>
      <c r="FQ99" s="9"/>
      <c r="FR99" s="9"/>
      <c r="FS99" s="9"/>
      <c r="FT99" s="441"/>
      <c r="GA99" s="342"/>
    </row>
    <row r="100" spans="1:183" ht="12.75" customHeight="1" x14ac:dyDescent="0.2">
      <c r="A100" s="58" t="s">
        <v>244</v>
      </c>
      <c r="B100" s="43"/>
      <c r="C100" s="43"/>
      <c r="D100" s="43"/>
      <c r="E100" s="43"/>
      <c r="F100" s="244"/>
      <c r="G100" s="43">
        <f>G99/B99-1</f>
        <v>0.16178596751129892</v>
      </c>
      <c r="H100" s="43">
        <f>H99/C99-1</f>
        <v>0.13978321387491155</v>
      </c>
      <c r="I100" s="43">
        <f>I99/D99-1</f>
        <v>0.15878287791955215</v>
      </c>
      <c r="J100" s="43">
        <f>J99/E99-1</f>
        <v>0.25907820087307676</v>
      </c>
      <c r="K100" s="244">
        <f t="shared" ref="K100:U100" si="546">K99/F99-1</f>
        <v>0.18263974368257196</v>
      </c>
      <c r="L100" s="43">
        <f t="shared" si="546"/>
        <v>0.16851971183187242</v>
      </c>
      <c r="M100" s="43">
        <f t="shared" si="546"/>
        <v>0.22089235290443687</v>
      </c>
      <c r="N100" s="43">
        <f t="shared" si="546"/>
        <v>0.21377752821468454</v>
      </c>
      <c r="O100" s="43">
        <f t="shared" si="546"/>
        <v>0.30278538872079852</v>
      </c>
      <c r="P100" s="244">
        <f t="shared" si="546"/>
        <v>0.23150362561463234</v>
      </c>
      <c r="Q100" s="43">
        <f t="shared" si="546"/>
        <v>0.19376590182301978</v>
      </c>
      <c r="R100" s="43">
        <f t="shared" si="546"/>
        <v>0.19995745872419257</v>
      </c>
      <c r="S100" s="43">
        <f t="shared" si="546"/>
        <v>0.18856567669516933</v>
      </c>
      <c r="T100" s="43">
        <f t="shared" si="546"/>
        <v>0.36015916081741373</v>
      </c>
      <c r="U100" s="244">
        <f t="shared" si="546"/>
        <v>0.2457936520266597</v>
      </c>
      <c r="V100" s="43">
        <f t="shared" ref="V100:CT100" si="547">V99/Q99-1</f>
        <v>0.32807836983699845</v>
      </c>
      <c r="W100" s="43">
        <f t="shared" si="547"/>
        <v>0.25479223369810322</v>
      </c>
      <c r="X100" s="43">
        <f t="shared" si="547"/>
        <v>0.24804104397813509</v>
      </c>
      <c r="Y100" s="43">
        <f t="shared" si="547"/>
        <v>-0.13665729637196644</v>
      </c>
      <c r="Z100" s="244">
        <f t="shared" si="547"/>
        <v>0.1349448795330972</v>
      </c>
      <c r="AA100" s="43">
        <f t="shared" si="547"/>
        <v>9.9792773195231277E-2</v>
      </c>
      <c r="AB100" s="43">
        <f t="shared" si="547"/>
        <v>0.13511271015804094</v>
      </c>
      <c r="AC100" s="43">
        <f t="shared" si="547"/>
        <v>0.11531943404406242</v>
      </c>
      <c r="AD100" s="43">
        <f t="shared" si="547"/>
        <v>0.14755108588812282</v>
      </c>
      <c r="AE100" s="244">
        <f t="shared" si="547"/>
        <v>0.12482111651424188</v>
      </c>
      <c r="AF100" s="43">
        <f t="shared" si="547"/>
        <v>0.19670007864924144</v>
      </c>
      <c r="AG100" s="43">
        <f t="shared" si="547"/>
        <v>0.21002867135070424</v>
      </c>
      <c r="AH100" s="43">
        <f t="shared" si="547"/>
        <v>0.21153151824384664</v>
      </c>
      <c r="AI100" s="43">
        <f t="shared" si="547"/>
        <v>0.15912765746560886</v>
      </c>
      <c r="AJ100" s="244">
        <f t="shared" si="547"/>
        <v>0.1938539867615916</v>
      </c>
      <c r="AK100" s="43">
        <f t="shared" si="547"/>
        <v>0.11851731698585954</v>
      </c>
      <c r="AL100" s="43">
        <f t="shared" si="547"/>
        <v>4.2159765239512259E-2</v>
      </c>
      <c r="AM100" s="43">
        <f t="shared" si="547"/>
        <v>7.2173511650379663E-2</v>
      </c>
      <c r="AN100" s="43">
        <f t="shared" si="547"/>
        <v>8.0657121087782224E-2</v>
      </c>
      <c r="AO100" s="244">
        <f t="shared" si="547"/>
        <v>7.7651059540115863E-2</v>
      </c>
      <c r="AP100" s="43">
        <f t="shared" si="547"/>
        <v>3.884024343286363E-2</v>
      </c>
      <c r="AQ100" s="43">
        <f t="shared" si="547"/>
        <v>8.7207130677027234E-2</v>
      </c>
      <c r="AR100" s="43">
        <f t="shared" si="547"/>
        <v>5.374519055059257E-2</v>
      </c>
      <c r="AS100" s="43">
        <f t="shared" si="547"/>
        <v>4.8973884452905736E-2</v>
      </c>
      <c r="AT100" s="244">
        <f t="shared" si="547"/>
        <v>5.7032392481894956E-2</v>
      </c>
      <c r="AU100" s="43">
        <f t="shared" si="547"/>
        <v>9.386011360354285E-2</v>
      </c>
      <c r="AV100" s="43">
        <f t="shared" si="547"/>
        <v>0.11008706263292933</v>
      </c>
      <c r="AW100" s="43">
        <f t="shared" si="547"/>
        <v>0.15466415837272152</v>
      </c>
      <c r="AX100" s="43">
        <f t="shared" si="547"/>
        <v>0.18244436813573439</v>
      </c>
      <c r="AY100" s="244">
        <f t="shared" si="547"/>
        <v>0.1360895927989243</v>
      </c>
      <c r="AZ100" s="43">
        <f t="shared" si="547"/>
        <v>0.19614303914169473</v>
      </c>
      <c r="BA100" s="43">
        <f t="shared" si="547"/>
        <v>0.18633248490582277</v>
      </c>
      <c r="BB100" s="43">
        <f t="shared" si="547"/>
        <v>0.1458360673586061</v>
      </c>
      <c r="BC100" s="43">
        <f t="shared" si="547"/>
        <v>0.15813427812155756</v>
      </c>
      <c r="BD100" s="244">
        <f t="shared" si="547"/>
        <v>0.17056199388418514</v>
      </c>
      <c r="BE100" s="43">
        <f t="shared" si="547"/>
        <v>0.12069195457484505</v>
      </c>
      <c r="BF100" s="43">
        <f t="shared" si="547"/>
        <v>0.10191455148121831</v>
      </c>
      <c r="BG100" s="43">
        <f t="shared" si="547"/>
        <v>5.3798808034104528E-2</v>
      </c>
      <c r="BH100" s="43">
        <f t="shared" si="547"/>
        <v>-1.2993141686411858E-2</v>
      </c>
      <c r="BI100" s="244">
        <f t="shared" si="547"/>
        <v>6.3874350074485386E-2</v>
      </c>
      <c r="BJ100" s="43">
        <f t="shared" si="547"/>
        <v>-8.6847331877942802E-3</v>
      </c>
      <c r="BK100" s="43">
        <f t="shared" si="547"/>
        <v>1.2137715442667618E-2</v>
      </c>
      <c r="BL100" s="43">
        <f t="shared" si="547"/>
        <v>4.6621996411029487E-2</v>
      </c>
      <c r="BM100" s="43">
        <f t="shared" si="547"/>
        <v>9.3438731227041494E-2</v>
      </c>
      <c r="BN100" s="244">
        <f t="shared" si="547"/>
        <v>3.5506123818351387E-2</v>
      </c>
      <c r="BO100" s="43">
        <f t="shared" si="547"/>
        <v>8.040712720986698E-2</v>
      </c>
      <c r="BP100" s="43">
        <f t="shared" si="547"/>
        <v>4.3612683571001787E-2</v>
      </c>
      <c r="BQ100" s="43">
        <f t="shared" si="547"/>
        <v>5.226722049151955E-2</v>
      </c>
      <c r="BR100" s="43">
        <f t="shared" si="547"/>
        <v>7.1069988253272154E-2</v>
      </c>
      <c r="BS100" s="244">
        <f>BS99/BN99-1</f>
        <v>6.1604436733827761E-2</v>
      </c>
      <c r="BT100" s="43">
        <f t="shared" si="547"/>
        <v>9.019157088122598E-2</v>
      </c>
      <c r="BU100" s="43">
        <f t="shared" si="547"/>
        <v>0.1206896551724137</v>
      </c>
      <c r="BV100" s="43">
        <f t="shared" si="547"/>
        <v>8.4064327485380064E-2</v>
      </c>
      <c r="BW100" s="43">
        <f t="shared" si="547"/>
        <v>9.174964438122335E-2</v>
      </c>
      <c r="BX100" s="244">
        <f>BX99/BS99-1</f>
        <v>9.6563827821910087E-2</v>
      </c>
      <c r="BY100" s="43">
        <f t="shared" si="547"/>
        <v>0.11056441976523512</v>
      </c>
      <c r="BZ100" s="43">
        <f t="shared" si="547"/>
        <v>0.12775919732441476</v>
      </c>
      <c r="CA100" s="43">
        <f t="shared" si="547"/>
        <v>0.16115981119352663</v>
      </c>
      <c r="CB100" s="43">
        <f t="shared" si="547"/>
        <v>0.20781758957654728</v>
      </c>
      <c r="CC100" s="244">
        <f>CC99/BX99-1</f>
        <v>0.15268628805364148</v>
      </c>
      <c r="CD100" s="43">
        <f t="shared" si="547"/>
        <v>0.2053164556962026</v>
      </c>
      <c r="CE100" s="43">
        <f t="shared" si="547"/>
        <v>0.19833926453143547</v>
      </c>
      <c r="CF100" s="43">
        <f t="shared" si="547"/>
        <v>0.20929152148664354</v>
      </c>
      <c r="CG100" s="43">
        <f t="shared" si="547"/>
        <v>0.13451995685005391</v>
      </c>
      <c r="CH100" s="244">
        <f>CH99/CC99-1</f>
        <v>0.18541362174802689</v>
      </c>
      <c r="CI100" s="43">
        <f t="shared" si="547"/>
        <v>0.11741230833858429</v>
      </c>
      <c r="CJ100" s="43">
        <f t="shared" si="547"/>
        <v>0.11611562066917447</v>
      </c>
      <c r="CK100" s="43">
        <f t="shared" si="547"/>
        <v>0.10977718017671911</v>
      </c>
      <c r="CL100" s="43">
        <f t="shared" si="547"/>
        <v>9.9172767899591063E-2</v>
      </c>
      <c r="CM100" s="244">
        <f>CM99/CH99-1</f>
        <v>0.11039873745468887</v>
      </c>
      <c r="CN100" s="43">
        <f t="shared" si="547"/>
        <v>0.14238721804511267</v>
      </c>
      <c r="CO100" s="43">
        <f t="shared" si="547"/>
        <v>0.16496674057649674</v>
      </c>
      <c r="CP100" s="43">
        <f t="shared" si="547"/>
        <v>0.1873647771527478</v>
      </c>
      <c r="CQ100" s="43">
        <f t="shared" si="547"/>
        <v>0.11764705882352944</v>
      </c>
      <c r="CR100" s="110">
        <f t="shared" ref="CR100:CW100" si="548">CR99/CM99-1</f>
        <v>0.15323117921385743</v>
      </c>
      <c r="CS100" s="43">
        <f t="shared" si="547"/>
        <v>0.16088893459481701</v>
      </c>
      <c r="CT100" s="43">
        <f t="shared" si="547"/>
        <v>0.13122497145032352</v>
      </c>
      <c r="CU100" s="43">
        <f t="shared" si="548"/>
        <v>0.13256887755102054</v>
      </c>
      <c r="CV100" s="43">
        <f t="shared" si="548"/>
        <v>0.19219156346749222</v>
      </c>
      <c r="CW100" s="110">
        <f t="shared" si="548"/>
        <v>0.15369160408241855</v>
      </c>
      <c r="CX100" s="43">
        <f t="shared" ref="CX100:DN100" si="549">CX99/CS99-1</f>
        <v>0.10816545428066338</v>
      </c>
      <c r="CY100" s="43">
        <f t="shared" si="549"/>
        <v>0.13772189110174282</v>
      </c>
      <c r="CZ100" s="43">
        <f t="shared" si="549"/>
        <v>9.8215472256786063E-2</v>
      </c>
      <c r="DA100" s="43">
        <f t="shared" si="549"/>
        <v>0.13029085350593039</v>
      </c>
      <c r="DB100" s="110">
        <f t="shared" si="549"/>
        <v>0.11860352333090285</v>
      </c>
      <c r="DC100" s="43">
        <f>DC99/CX99-1</f>
        <v>0.18206375502537742</v>
      </c>
      <c r="DD100" s="43">
        <f t="shared" si="549"/>
        <v>0.21620822241940263</v>
      </c>
      <c r="DE100" s="43">
        <f t="shared" si="549"/>
        <v>0.1796073835335481</v>
      </c>
      <c r="DF100" s="43">
        <f t="shared" si="549"/>
        <v>0.13182079264790358</v>
      </c>
      <c r="DG100" s="110">
        <f t="shared" si="549"/>
        <v>0.17699882648977194</v>
      </c>
      <c r="DH100" s="43">
        <f t="shared" si="549"/>
        <v>7.6889242712332662E-2</v>
      </c>
      <c r="DI100" s="43">
        <f t="shared" si="549"/>
        <v>4.6206225680933688E-3</v>
      </c>
      <c r="DJ100" s="43">
        <f t="shared" si="549"/>
        <v>1.8628912071535053E-2</v>
      </c>
      <c r="DK100" s="43">
        <f t="shared" si="549"/>
        <v>2.4359299670134504E-2</v>
      </c>
      <c r="DL100" s="110">
        <f t="shared" si="549"/>
        <v>3.0061374543056907E-2</v>
      </c>
      <c r="DM100" s="43">
        <f t="shared" si="549"/>
        <v>-2.2607385079125297E-3</v>
      </c>
      <c r="DN100" s="43">
        <f t="shared" si="549"/>
        <v>7.9883805374001415E-3</v>
      </c>
      <c r="DO100" s="43">
        <f t="shared" ref="DO100:DT100" si="550">DO99/DJ99-1</f>
        <v>1.2192148256522373E-3</v>
      </c>
      <c r="DP100" s="43">
        <f t="shared" si="550"/>
        <v>-6.6881347535298064E-3</v>
      </c>
      <c r="DQ100" s="110">
        <f t="shared" si="550"/>
        <v>1.2307692307689244E-4</v>
      </c>
      <c r="DR100" s="43">
        <f t="shared" si="550"/>
        <v>-1.2084592145015116E-2</v>
      </c>
      <c r="DS100" s="43">
        <f t="shared" si="550"/>
        <v>6.7243035542747798E-3</v>
      </c>
      <c r="DT100" s="43">
        <f t="shared" si="550"/>
        <v>1.0959571358986953E-2</v>
      </c>
      <c r="DU100" s="43">
        <f>DU99/DP99-1</f>
        <v>-1.2967581047381493E-2</v>
      </c>
      <c r="DV100" s="110">
        <f>DV99/DQ99-1</f>
        <v>-1.6613339896628387E-3</v>
      </c>
      <c r="DW100" s="43">
        <f>DW99/DR99-1</f>
        <v>-7.1355759429153953E-2</v>
      </c>
      <c r="DX100" s="43">
        <f>DX99/DS99-1</f>
        <v>-5.4627862595419852E-2</v>
      </c>
      <c r="DY100" s="43">
        <f>DY99/DT99-1</f>
        <v>-1.2527101903155868E-2</v>
      </c>
      <c r="DZ100" s="43">
        <f t="shared" ref="DZ100:EA100" si="551">DZ99/DU99-1</f>
        <v>6.8216270843861615E-3</v>
      </c>
      <c r="EA100" s="110">
        <f t="shared" si="551"/>
        <v>-3.2912172573189569E-2</v>
      </c>
      <c r="EB100" s="43">
        <f>EB99/DW99-1</f>
        <v>6.3117453347969255E-2</v>
      </c>
      <c r="EC100" s="43">
        <f>EC99/DX99-1</f>
        <v>3.8859449911682997E-2</v>
      </c>
      <c r="ED100" s="43">
        <f>ED99/DY99-1</f>
        <v>1.6589412051720043E-2</v>
      </c>
      <c r="EE100" s="43">
        <f t="shared" ref="EE100" si="552">EE99/DZ99-1</f>
        <v>8.1053952321204603E-2</v>
      </c>
      <c r="EF100" s="110">
        <f t="shared" ref="EF100" si="553">EF99/EA99-1</f>
        <v>4.9391370849531491E-2</v>
      </c>
      <c r="EG100" s="43">
        <f>EG99/EB99-1</f>
        <v>9.886422302529696E-2</v>
      </c>
      <c r="EH100" s="43">
        <f>EH99/EC99-1</f>
        <v>0.10080155452999762</v>
      </c>
      <c r="EI100" s="43">
        <f>EI99/ED99-1</f>
        <v>5.5915526757859269E-2</v>
      </c>
      <c r="EJ100" s="43">
        <f t="shared" ref="EJ100" si="554">EJ99/EE99-1</f>
        <v>5.1067780872794843E-2</v>
      </c>
      <c r="EK100" s="110">
        <f>EK99/EF99-1</f>
        <v>7.597473581926395E-2</v>
      </c>
      <c r="EL100" s="43"/>
      <c r="EM100" s="43"/>
      <c r="EN100" s="43"/>
      <c r="EO100" s="43"/>
      <c r="EP100" s="110"/>
      <c r="EQ100" s="43">
        <f>EQ99/EL99-1</f>
        <v>2.2304853002923064E-2</v>
      </c>
      <c r="ER100" s="43">
        <f>ER99/EM99-1</f>
        <v>4.2303233438295118E-2</v>
      </c>
      <c r="ES100" s="43">
        <f>ES99/EN99-1</f>
        <v>4.6405806284479656E-2</v>
      </c>
      <c r="ET100" s="43">
        <f t="shared" ref="ET100" si="555">ET99/EO99-1</f>
        <v>6.3070498169575329E-2</v>
      </c>
      <c r="EU100" s="110">
        <f>EU99/EP99-1</f>
        <v>4.3815164289945585E-2</v>
      </c>
      <c r="EV100" s="43"/>
      <c r="EW100" s="43"/>
      <c r="EX100" s="43"/>
      <c r="EY100" s="43"/>
      <c r="EZ100" s="110">
        <f>EZ99/EU99-1</f>
        <v>3.8898134723307942E-2</v>
      </c>
      <c r="FA100" s="43"/>
      <c r="FB100" s="43"/>
      <c r="FC100" s="43"/>
      <c r="FD100" s="43"/>
      <c r="FE100" s="110">
        <f>FE99/EZ99-1</f>
        <v>4.4081613845054823E-2</v>
      </c>
      <c r="FF100" s="43"/>
      <c r="FG100" s="435"/>
      <c r="FN100" s="9"/>
      <c r="FO100" s="369"/>
      <c r="FP100" s="369"/>
      <c r="FQ100" s="369"/>
      <c r="FR100" s="369"/>
      <c r="FS100" s="369"/>
      <c r="FT100" s="190"/>
    </row>
    <row r="101" spans="1:183" ht="12.75" customHeight="1" x14ac:dyDescent="0.2">
      <c r="A101" s="64" t="s">
        <v>14</v>
      </c>
      <c r="B101" s="43"/>
      <c r="C101" s="43">
        <f>C99/B99-1</f>
        <v>5.7205781578645087E-2</v>
      </c>
      <c r="D101" s="43">
        <f>D99/C99-1</f>
        <v>4.7995683760523544E-2</v>
      </c>
      <c r="E101" s="43">
        <f>E99/D99-1</f>
        <v>9.3332713641677723E-2</v>
      </c>
      <c r="F101" s="258"/>
      <c r="G101" s="43">
        <f>G99/E99-1</f>
        <v>-4.092016415152977E-2</v>
      </c>
      <c r="H101" s="43">
        <f>H99/G99-1</f>
        <v>3.7183644106225433E-2</v>
      </c>
      <c r="I101" s="43">
        <f>I99/H99-1</f>
        <v>6.5465291725699926E-2</v>
      </c>
      <c r="J101" s="43">
        <f>J99/I99-1</f>
        <v>0.18796317436027166</v>
      </c>
      <c r="K101" s="258"/>
      <c r="L101" s="43">
        <f>L99/J99-1</f>
        <v>-0.10990144009141789</v>
      </c>
      <c r="M101" s="43">
        <f>M99/L99-1</f>
        <v>8.3669848976447803E-2</v>
      </c>
      <c r="N101" s="43">
        <f>N99/M99-1</f>
        <v>5.9256227719679977E-2</v>
      </c>
      <c r="O101" s="43">
        <f>O99/N99-1</f>
        <v>0.27507803524040919</v>
      </c>
      <c r="P101" s="258"/>
      <c r="Q101" s="43">
        <f>Q99/O99-1</f>
        <v>-0.18438653113543613</v>
      </c>
      <c r="R101" s="43">
        <f>R99/Q99-1</f>
        <v>8.9290384394469458E-2</v>
      </c>
      <c r="S101" s="43">
        <f>S99/R99-1</f>
        <v>4.9200191173269792E-2</v>
      </c>
      <c r="T101" s="43">
        <f>T99/S99-1</f>
        <v>0.45916132729963466</v>
      </c>
      <c r="U101" s="258"/>
      <c r="V101" s="43">
        <f>V99/T99-1</f>
        <v>-0.20362363659280847</v>
      </c>
      <c r="W101" s="43">
        <f>W99/V99-1</f>
        <v>2.9181067641331992E-2</v>
      </c>
      <c r="X101" s="43">
        <f>X99/W99-1</f>
        <v>4.35551534095584E-2</v>
      </c>
      <c r="Y101" s="43">
        <f>Y99/X99-1</f>
        <v>9.3869039153224865E-3</v>
      </c>
      <c r="Z101" s="258"/>
      <c r="AA101" s="43">
        <f>AA99/Y99-1</f>
        <v>1.4485864695606754E-2</v>
      </c>
      <c r="AB101" s="43">
        <f>AB99/AA99-1</f>
        <v>6.2233303770143245E-2</v>
      </c>
      <c r="AC101" s="43">
        <f>AC99/AB99-1</f>
        <v>2.5358391883802289E-2</v>
      </c>
      <c r="AD101" s="43">
        <f>AD99/AC99-1</f>
        <v>3.8557208197554926E-2</v>
      </c>
      <c r="AE101" s="258"/>
      <c r="AF101" s="43">
        <f>AF99/AD99-1</f>
        <v>5.7935745954350581E-2</v>
      </c>
      <c r="AG101" s="43">
        <f>AG99/AF99-1</f>
        <v>7.4064233935922319E-2</v>
      </c>
      <c r="AH101" s="43">
        <f>AH99/AG99-1</f>
        <v>2.6631879620154786E-2</v>
      </c>
      <c r="AI101" s="43">
        <f>AI99/AH99-1</f>
        <v>-6.3647822988291969E-3</v>
      </c>
      <c r="AJ101" s="258"/>
      <c r="AK101" s="43">
        <f>AK99/AI99-1</f>
        <v>2.0870690546354265E-2</v>
      </c>
      <c r="AL101" s="43">
        <f>AL99/AK99-1</f>
        <v>7.4135008226128285E-4</v>
      </c>
      <c r="AM101" s="43">
        <f>AM99/AL99-1</f>
        <v>5.6198429701993513E-2</v>
      </c>
      <c r="AN101" s="43">
        <f>AN99/AM99-1</f>
        <v>1.4973902120827276E-3</v>
      </c>
      <c r="AO101" s="258"/>
      <c r="AP101" s="43">
        <f>AP99/AN99-1</f>
        <v>-1.8632704133632827E-2</v>
      </c>
      <c r="AQ101" s="43">
        <f>AQ99/AP99-1</f>
        <v>4.7334408395109273E-2</v>
      </c>
      <c r="AR101" s="43">
        <f>AR99/AQ99-1</f>
        <v>2.369087192474284E-2</v>
      </c>
      <c r="AS101" s="43">
        <f>AS99/AR99-1</f>
        <v>-3.037340430189106E-3</v>
      </c>
      <c r="AT101" s="258"/>
      <c r="AU101" s="43">
        <f>AU99/AS99-1</f>
        <v>2.3360598060132576E-2</v>
      </c>
      <c r="AV101" s="43">
        <f>AV99/AU99-1</f>
        <v>6.2871168397960808E-2</v>
      </c>
      <c r="AW101" s="43">
        <f>AW99/AV99-1</f>
        <v>6.4798608013033832E-2</v>
      </c>
      <c r="AX101" s="43">
        <f>AX99/AW99-1</f>
        <v>2.0948709199837046E-2</v>
      </c>
      <c r="AY101" s="258"/>
      <c r="AZ101" s="43">
        <f>AZ99/AX99-1</f>
        <v>3.5216276459100859E-2</v>
      </c>
      <c r="BA101" s="43">
        <f>BA99/AZ99-1</f>
        <v>5.4153686539942125E-2</v>
      </c>
      <c r="BB101" s="43">
        <f>BB99/BA99-1</f>
        <v>2.8450847513822763E-2</v>
      </c>
      <c r="BC101" s="43">
        <f>BC99/BB99-1</f>
        <v>3.1906509151837792E-2</v>
      </c>
      <c r="BD101" s="258"/>
      <c r="BE101" s="43">
        <f>BE99/BC99-1</f>
        <v>1.7478751724444574E-3</v>
      </c>
      <c r="BF101" s="43">
        <f>BF99/BE99-1</f>
        <v>3.6491144559525734E-2</v>
      </c>
      <c r="BG101" s="43">
        <f>BG99/BF99-1</f>
        <v>-1.645706032750982E-2</v>
      </c>
      <c r="BH101" s="43">
        <f>BH99/BG99-1</f>
        <v>-3.3497861350460845E-2</v>
      </c>
      <c r="BI101" s="258"/>
      <c r="BJ101" s="43">
        <f>BJ99/BH99-1</f>
        <v>6.1206300550591397E-3</v>
      </c>
      <c r="BK101" s="43">
        <f>BK99/BJ99-1</f>
        <v>5.8262506643882661E-2</v>
      </c>
      <c r="BL101" s="43">
        <f>BL99/BK99-1</f>
        <v>1.7052975469625808E-2</v>
      </c>
      <c r="BM101" s="43">
        <f>BM99/BL99-1</f>
        <v>9.735010191915805E-3</v>
      </c>
      <c r="BN101" s="258"/>
      <c r="BO101" s="43">
        <f>BO99/BM99-1</f>
        <v>-5.8703167350496743E-3</v>
      </c>
      <c r="BP101" s="43">
        <f>BP99/BO99-1</f>
        <v>2.2222222222222143E-2</v>
      </c>
      <c r="BQ101" s="43">
        <f>BQ99/BP99-1</f>
        <v>2.5487256371814038E-2</v>
      </c>
      <c r="BR101" s="43">
        <f>BR99/BQ99-1</f>
        <v>2.7777777777777679E-2</v>
      </c>
      <c r="BS101" s="258"/>
      <c r="BT101" s="43">
        <f>BT99/BR99-1</f>
        <v>1.1877667140825166E-2</v>
      </c>
      <c r="BU101" s="43">
        <f>BU99/BT99-1</f>
        <v>5.0818865537358482E-2</v>
      </c>
      <c r="BV101" s="43">
        <f>BV99/BU99-1</f>
        <v>-8.0267558528428484E-3</v>
      </c>
      <c r="BW101" s="43">
        <f>BW99/BV99-1</f>
        <v>3.5064059339177334E-2</v>
      </c>
      <c r="BX101" s="258"/>
      <c r="BY101" s="43">
        <f>BY99/BW99-1</f>
        <v>2.931596091205213E-2</v>
      </c>
      <c r="BZ101" s="43">
        <f>BZ99/BY99-1</f>
        <v>6.7088607594936622E-2</v>
      </c>
      <c r="CA101" s="43">
        <f>CA99/BZ99-1</f>
        <v>2.1352313167259718E-2</v>
      </c>
      <c r="CB101" s="43">
        <f>CB99/CA99-1</f>
        <v>7.6655052264808399E-2</v>
      </c>
      <c r="CC101" s="258"/>
      <c r="CD101" s="43">
        <f>CD99/CB99-1</f>
        <v>2.7184466019417597E-2</v>
      </c>
      <c r="CE101" s="43">
        <f>CE99/CD99-1</f>
        <v>6.0911573198907831E-2</v>
      </c>
      <c r="CF101" s="43">
        <f>CF99/CE99-1</f>
        <v>3.0686992674717972E-2</v>
      </c>
      <c r="CG101" s="43">
        <f>CG99/CF99-1</f>
        <v>1.0084517864002995E-2</v>
      </c>
      <c r="CH101" s="258"/>
      <c r="CI101" s="43">
        <f>CI99/CG99-1</f>
        <v>1.169535038509073E-2</v>
      </c>
      <c r="CJ101" s="43">
        <f>CJ99/CI99-1</f>
        <v>5.96804511278195E-2</v>
      </c>
      <c r="CK101" s="43">
        <f>CK99/CJ99-1</f>
        <v>2.4833702882483433E-2</v>
      </c>
      <c r="CL101" s="43">
        <f>CL99/CK99-1</f>
        <v>4.3271311120718359E-4</v>
      </c>
      <c r="CM101" s="258"/>
      <c r="CN101" s="43">
        <f>CN99/CL99-1</f>
        <v>5.1470588235294157E-2</v>
      </c>
      <c r="CO101" s="43">
        <f>CO99/CN99-1</f>
        <v>8.0625257095845226E-2</v>
      </c>
      <c r="CP101" s="43">
        <f>CP99/CO99-1</f>
        <v>4.4537495241720571E-2</v>
      </c>
      <c r="CQ101" s="43">
        <f>CQ99/CP99-1</f>
        <v>-5.8309037900874605E-2</v>
      </c>
      <c r="CR101" s="104"/>
      <c r="CS101" s="43">
        <f>CS99/CQ99-1</f>
        <v>9.215208978328171E-2</v>
      </c>
      <c r="CT101" s="43">
        <f>CT99/CS99-1</f>
        <v>5.3012255675784159E-2</v>
      </c>
      <c r="CU101" s="43">
        <f>CU99/CT99-1</f>
        <v>4.5778415790408866E-2</v>
      </c>
      <c r="CV101" s="43">
        <f>CV99/CU99-1</f>
        <v>-8.7348834485446725E-3</v>
      </c>
      <c r="CW101" s="104"/>
      <c r="CX101" s="43">
        <f>CX99/CV99-1</f>
        <v>1.5176800277086677E-2</v>
      </c>
      <c r="CY101" s="43">
        <f>CY99/CX99-1</f>
        <v>8.109767386535105E-2</v>
      </c>
      <c r="CZ101" s="43">
        <f>CZ99/CY99-1</f>
        <v>9.4646554273882799E-3</v>
      </c>
      <c r="DA101" s="43">
        <f>DA99/CZ99-1</f>
        <v>2.0216818048637508E-2</v>
      </c>
      <c r="DB101" s="104"/>
      <c r="DC101" s="43">
        <f>DC99/DA99-1</f>
        <v>6.1676909821941406E-2</v>
      </c>
      <c r="DD101" s="43">
        <f>DD99/DC99-1</f>
        <v>0.11232568852878977</v>
      </c>
      <c r="DE101" s="43">
        <f>DE99/DD99-1</f>
        <v>-2.091439688715957E-2</v>
      </c>
      <c r="DF101" s="43">
        <f>DF99/DE99-1</f>
        <v>-2.1112767014406342E-2</v>
      </c>
      <c r="DG101" s="104"/>
      <c r="DH101" s="43">
        <f>DH99/DF99-1</f>
        <v>1.0149708195889451E-2</v>
      </c>
      <c r="DI101" s="43">
        <f>DI99/DH99-1</f>
        <v>3.7678975131876458E-2</v>
      </c>
      <c r="DJ101" s="43">
        <f>DJ99/DI99-1</f>
        <v>-7.2621641249092095E-3</v>
      </c>
      <c r="DK101" s="43">
        <f>DK99/DJ99-1</f>
        <v>-1.560594976834917E-2</v>
      </c>
      <c r="DL101" s="104"/>
      <c r="DM101" s="43">
        <f>DM99/DK99-1</f>
        <v>-1.6101065147386628E-2</v>
      </c>
      <c r="DN101" s="43">
        <f>DN99/DM99-1</f>
        <v>4.8338368580060465E-2</v>
      </c>
      <c r="DO101" s="43">
        <f>DO99/DN99-1</f>
        <v>-1.392891450528333E-2</v>
      </c>
      <c r="DP101" s="43">
        <f>DP99/DO99-1</f>
        <v>-2.3380418899171973E-2</v>
      </c>
      <c r="DQ101" s="104"/>
      <c r="DR101" s="43">
        <f>DR99/DP99-1</f>
        <v>-2.144638403990029E-2</v>
      </c>
      <c r="DS101" s="43">
        <f>DS99/DR99-1</f>
        <v>6.8297655453618766E-2</v>
      </c>
      <c r="DT101" s="43">
        <f>DT99/DS99-1</f>
        <v>-9.7805343511450094E-3</v>
      </c>
      <c r="DU101" s="43">
        <f>DU99/DT99-1</f>
        <v>-4.6494820525174618E-2</v>
      </c>
      <c r="DV101" s="104"/>
      <c r="DW101" s="43">
        <f>DW99/DU99-1</f>
        <v>-7.9332996462860073E-2</v>
      </c>
      <c r="DX101" s="43">
        <f>DX99/DW99-1</f>
        <v>8.7541163556531298E-2</v>
      </c>
      <c r="DY101" s="43">
        <f>DY99/DX99-1</f>
        <v>3.4317436285642211E-2</v>
      </c>
      <c r="DZ101" s="43">
        <f>DZ99/DY99-1</f>
        <v>-2.7811661380824582E-2</v>
      </c>
      <c r="EA101" s="104"/>
      <c r="EB101" s="43">
        <f>EB99/DZ99-1</f>
        <v>-2.7854454203262269E-2</v>
      </c>
      <c r="EC101" s="43">
        <f>EC99/EB99-1</f>
        <v>6.2725864739287651E-2</v>
      </c>
      <c r="ED101" s="43">
        <f>ED99/EC99-1</f>
        <v>1.2144765606023844E-2</v>
      </c>
      <c r="EE101" s="43">
        <f>EE99/ED99-1</f>
        <v>3.3837293016558689E-2</v>
      </c>
      <c r="EF101" s="104"/>
      <c r="EG101" s="43">
        <f>EG99/EE99-1</f>
        <v>-1.1838440111420656E-2</v>
      </c>
      <c r="EH101" s="43">
        <f>EH99/EG99-1</f>
        <v>6.4599483204134334E-2</v>
      </c>
      <c r="EI101" s="43">
        <f>EI99/EH99-1</f>
        <v>-2.9126213592232997E-2</v>
      </c>
      <c r="EJ101" s="43">
        <f>EJ99/EI99-1</f>
        <v>2.9090909090909056E-2</v>
      </c>
      <c r="EK101" s="104"/>
      <c r="EL101" s="43"/>
      <c r="EM101" s="43">
        <f>EM99/EL99-1</f>
        <v>6.4018691588785037E-2</v>
      </c>
      <c r="EN101" s="43">
        <f>EN99/EM99-1</f>
        <v>-2.9205094422485756E-2</v>
      </c>
      <c r="EO101" s="43">
        <f>EO99/EN99-1</f>
        <v>2.7821759782854505E-2</v>
      </c>
      <c r="EP101" s="104"/>
      <c r="EQ101" s="43">
        <f>EQ99/EO99-1</f>
        <v>-3.7089619090556636E-2</v>
      </c>
      <c r="ER101" s="43">
        <f>ER99/EQ99-1</f>
        <v>8.4833080293128305E-2</v>
      </c>
      <c r="ES101" s="43">
        <f>ES99/ER99-1</f>
        <v>-2.5383982973278818E-2</v>
      </c>
      <c r="ET101" s="43">
        <f>ET99/ES99-1</f>
        <v>4.4190488660990734E-2</v>
      </c>
      <c r="EU101" s="104"/>
      <c r="EV101" s="43"/>
      <c r="EW101" s="43"/>
      <c r="EX101" s="43"/>
      <c r="EY101" s="43"/>
      <c r="EZ101" s="104"/>
      <c r="FA101" s="43"/>
      <c r="FB101" s="43"/>
      <c r="FC101" s="43"/>
      <c r="FD101" s="43"/>
      <c r="FE101" s="104"/>
      <c r="FF101" s="43"/>
      <c r="FG101" s="435"/>
      <c r="FH101" s="238">
        <f>AVERAGE(CD101,CI101,CN101,CS101,CX101,DC101,BT101,DH101,DM101,DR101)</f>
        <v>2.4383613067153996E-2</v>
      </c>
      <c r="FI101" s="238">
        <f>AVERAGE(CE101,CJ101,CO101,CT101,CY101,DD101,BU101,DI101,DN101,DS101)</f>
        <v>6.5278676419541173E-2</v>
      </c>
      <c r="FJ101" s="238">
        <f>AVERAGE(CF101,CK101,CP101,CU101,CZ101,DE101,BV101,DJ101,DO101,DT101)</f>
        <v>9.5388496295379151E-3</v>
      </c>
      <c r="FK101" s="238">
        <f>AVERAGE(CG101,CL101,CQ101,CV101,DA101,DF101,BW101,DK101,DP101,DU101)</f>
        <v>-1.0783976919349635E-2</v>
      </c>
      <c r="FN101" s="408"/>
      <c r="FO101" s="369"/>
      <c r="FP101" s="803"/>
      <c r="FQ101" s="369"/>
      <c r="FR101" s="369"/>
      <c r="FS101" s="369"/>
      <c r="FT101" s="465"/>
    </row>
    <row r="102" spans="1:183" ht="12.75" customHeight="1" x14ac:dyDescent="0.2">
      <c r="A102" s="81" t="s">
        <v>140</v>
      </c>
      <c r="B102" s="140">
        <f>(B99/B$8)*100</f>
        <v>6.5541089060458386</v>
      </c>
      <c r="C102" s="140">
        <f>(C99/C$8)*100</f>
        <v>6.4943669854247261</v>
      </c>
      <c r="D102" s="140">
        <f>(D99/D$8)*100</f>
        <v>6.5663736425744617</v>
      </c>
      <c r="E102" s="140">
        <f>(E99/E$8)*100</f>
        <v>7.2990218167515071</v>
      </c>
      <c r="F102" s="251">
        <f t="shared" ref="F102:U102" si="556">(F99/F$8)*100</f>
        <v>6.7325102529596563</v>
      </c>
      <c r="G102" s="140">
        <f>(G99/G$8)*100</f>
        <v>6.8107278931910598</v>
      </c>
      <c r="H102" s="140">
        <f>(H99/H$8)*100</f>
        <v>6.6773270234557121</v>
      </c>
      <c r="I102" s="140">
        <f>(I99/I$8)*100</f>
        <v>6.678198018516782</v>
      </c>
      <c r="J102" s="140">
        <f>(J99/J$8)*100</f>
        <v>8.0632765493712206</v>
      </c>
      <c r="K102" s="251">
        <f t="shared" si="556"/>
        <v>7.0665447407044386</v>
      </c>
      <c r="L102" s="140">
        <f t="shared" si="556"/>
        <v>6.9320029505631018</v>
      </c>
      <c r="M102" s="140">
        <f t="shared" si="556"/>
        <v>7.2160255437558636</v>
      </c>
      <c r="N102" s="140">
        <f t="shared" si="556"/>
        <v>6.9329552221235948</v>
      </c>
      <c r="O102" s="140">
        <f t="shared" si="556"/>
        <v>8.9560219723205332</v>
      </c>
      <c r="P102" s="251">
        <f t="shared" si="556"/>
        <v>7.5312489440315415</v>
      </c>
      <c r="Q102" s="140">
        <f t="shared" si="556"/>
        <v>7.2146863693906296</v>
      </c>
      <c r="R102" s="140">
        <f t="shared" si="556"/>
        <v>7.3182839113652625</v>
      </c>
      <c r="S102" s="140">
        <f t="shared" si="556"/>
        <v>7.1783434464510343</v>
      </c>
      <c r="T102" s="140">
        <f t="shared" si="556"/>
        <v>7.3871155464971183</v>
      </c>
      <c r="U102" s="251">
        <f t="shared" si="556"/>
        <v>7.2869034204500016</v>
      </c>
      <c r="V102" s="140">
        <f t="shared" ref="V102:BN102" si="557">(V99/V$8)*100</f>
        <v>7.2057355621322721</v>
      </c>
      <c r="W102" s="140">
        <f t="shared" si="557"/>
        <v>7.1754426799378042</v>
      </c>
      <c r="X102" s="140">
        <f t="shared" si="557"/>
        <v>7.0322559110250262</v>
      </c>
      <c r="Y102" s="140">
        <f t="shared" si="557"/>
        <v>6.9373674048771674</v>
      </c>
      <c r="Z102" s="251">
        <f t="shared" si="557"/>
        <v>7.0826355419164519</v>
      </c>
      <c r="AA102" s="140">
        <f t="shared" si="557"/>
        <v>7.0112202519717046</v>
      </c>
      <c r="AB102" s="140">
        <f t="shared" si="557"/>
        <v>7.1132903377339325</v>
      </c>
      <c r="AC102" s="140">
        <f t="shared" si="557"/>
        <v>7.062067448002618</v>
      </c>
      <c r="AD102" s="140">
        <f t="shared" si="557"/>
        <v>7.1033309017114039</v>
      </c>
      <c r="AE102" s="251">
        <f t="shared" si="557"/>
        <v>7.0735763661255833</v>
      </c>
      <c r="AF102" s="140">
        <f t="shared" si="557"/>
        <v>7.4173437206182564</v>
      </c>
      <c r="AG102" s="140">
        <f t="shared" si="557"/>
        <v>7.5559910166475337</v>
      </c>
      <c r="AH102" s="140">
        <f t="shared" si="557"/>
        <v>7.5245340451772824</v>
      </c>
      <c r="AI102" s="140">
        <f t="shared" si="557"/>
        <v>7.5045899273781487</v>
      </c>
      <c r="AJ102" s="251">
        <f t="shared" si="557"/>
        <v>7.501897673795062</v>
      </c>
      <c r="AK102" s="140">
        <f t="shared" si="557"/>
        <v>7.6052458561264</v>
      </c>
      <c r="AL102" s="140">
        <f t="shared" si="557"/>
        <v>7.2895909611385115</v>
      </c>
      <c r="AM102" s="140">
        <f t="shared" si="557"/>
        <v>7.3569538955950229</v>
      </c>
      <c r="AN102" s="140">
        <f t="shared" si="557"/>
        <v>7.3651579147154225</v>
      </c>
      <c r="AO102" s="251">
        <f t="shared" si="557"/>
        <v>7.4011468885291514</v>
      </c>
      <c r="AP102" s="140">
        <f t="shared" si="557"/>
        <v>7.3730893595786533</v>
      </c>
      <c r="AQ102" s="140">
        <f t="shared" si="557"/>
        <v>7.4302062554080299</v>
      </c>
      <c r="AR102" s="140">
        <f t="shared" si="557"/>
        <v>7.2550222432212719</v>
      </c>
      <c r="AS102" s="140">
        <f t="shared" si="557"/>
        <v>7.2326364163066454</v>
      </c>
      <c r="AT102" s="251">
        <f t="shared" si="557"/>
        <v>7.3203863870813928</v>
      </c>
      <c r="AU102" s="140">
        <f t="shared" si="557"/>
        <v>7.3344276089249902</v>
      </c>
      <c r="AV102" s="140">
        <f t="shared" si="557"/>
        <v>7.461498330027112</v>
      </c>
      <c r="AW102" s="140">
        <f t="shared" si="557"/>
        <v>7.5528810262079134</v>
      </c>
      <c r="AX102" s="140">
        <f t="shared" si="557"/>
        <v>7.5586775529544932</v>
      </c>
      <c r="AY102" s="251">
        <f t="shared" si="557"/>
        <v>7.4807985331015985</v>
      </c>
      <c r="AZ102" s="140">
        <f t="shared" si="557"/>
        <v>7.6815186478920845</v>
      </c>
      <c r="BA102" s="140">
        <f t="shared" si="557"/>
        <v>7.7730414087870763</v>
      </c>
      <c r="BB102" s="140">
        <f t="shared" si="557"/>
        <v>7.6988779092415154</v>
      </c>
      <c r="BC102" s="140">
        <f t="shared" si="557"/>
        <v>7.7469111623608606</v>
      </c>
      <c r="BD102" s="251">
        <f t="shared" si="557"/>
        <v>7.7256178045569248</v>
      </c>
      <c r="BE102" s="140">
        <f t="shared" si="557"/>
        <v>7.6859905182609296</v>
      </c>
      <c r="BF102" s="140">
        <f>(BF99/BF$8)*100</f>
        <v>7.6849069083797348</v>
      </c>
      <c r="BG102" s="140">
        <f>(BG99/BG$8)*100</f>
        <v>7.624778395146568</v>
      </c>
      <c r="BH102" s="140">
        <f>(BH99/BH$8)*100</f>
        <v>7.185506528143379</v>
      </c>
      <c r="BI102" s="251">
        <f t="shared" si="557"/>
        <v>7.542360614466137</v>
      </c>
      <c r="BJ102" s="140">
        <f>(BJ99/BJ$8)*100</f>
        <v>7.3116292009718933</v>
      </c>
      <c r="BK102" s="140">
        <f>(BK99/BK$8)*100</f>
        <v>7.4434362330128181</v>
      </c>
      <c r="BL102" s="140">
        <f>(BL99/BL$8)*100</f>
        <v>7.381990362444057</v>
      </c>
      <c r="BM102" s="140">
        <f>(BM99/BM$8)*100</f>
        <v>7.4659336696884031</v>
      </c>
      <c r="BN102" s="251">
        <f t="shared" si="557"/>
        <v>7.4018604445634422</v>
      </c>
      <c r="BO102" s="140">
        <f t="shared" ref="BO102:BX102" si="558">(BO99/BO$8)*100</f>
        <v>7.500374156595857</v>
      </c>
      <c r="BP102" s="140">
        <f t="shared" si="558"/>
        <v>7.4551107606476332</v>
      </c>
      <c r="BQ102" s="140">
        <f t="shared" si="558"/>
        <v>7.5146845340376478</v>
      </c>
      <c r="BR102" s="140">
        <f>(BR99/BR$8)*100</f>
        <v>7.6859282625193854</v>
      </c>
      <c r="BS102" s="251">
        <f t="shared" si="558"/>
        <v>7.540002723204382</v>
      </c>
      <c r="BT102" s="140">
        <f>(BT99/BT$8)*100</f>
        <v>7.7398083909163047</v>
      </c>
      <c r="BU102" s="140">
        <f>(BU99/BU$8)*100</f>
        <v>7.9633432661170342</v>
      </c>
      <c r="BV102" s="140">
        <f>(BV99/BV$8)*100</f>
        <v>7.6105519918477293</v>
      </c>
      <c r="BW102" s="140">
        <f>(BW99/BW$8)*100</f>
        <v>7.5914646615836325</v>
      </c>
      <c r="BX102" s="251">
        <f t="shared" si="558"/>
        <v>7.7226126325690005</v>
      </c>
      <c r="BY102" s="140">
        <f t="shared" ref="BY102:CH102" si="559">(BY99/BY$8)*100</f>
        <v>7.8095656205918278</v>
      </c>
      <c r="BZ102" s="140">
        <f t="shared" si="559"/>
        <v>7.9010529488641605</v>
      </c>
      <c r="CA102" s="140">
        <f t="shared" si="559"/>
        <v>7.8797161782973841</v>
      </c>
      <c r="CB102" s="140">
        <f t="shared" si="559"/>
        <v>8.5246517617682613</v>
      </c>
      <c r="CC102" s="251">
        <f t="shared" si="559"/>
        <v>8.0330814551759175</v>
      </c>
      <c r="CD102" s="140">
        <f>(CD99/CD$8)*100</f>
        <v>8.6252117239472099</v>
      </c>
      <c r="CE102" s="140">
        <f>(CE99/CE$8)*100</f>
        <v>8.8288822435813632</v>
      </c>
      <c r="CF102" s="140">
        <f>(CF99/CF$8)*100</f>
        <v>8.7552394688751534</v>
      </c>
      <c r="CG102" s="140">
        <f>(CG99/CG$8)*100</f>
        <v>8.7952751885387279</v>
      </c>
      <c r="CH102" s="251">
        <f t="shared" si="559"/>
        <v>8.7527763187898717</v>
      </c>
      <c r="CI102" s="140">
        <f t="shared" ref="CI102:CR102" si="560">(CI99/CI$8)*100</f>
        <v>8.9871028317144717</v>
      </c>
      <c r="CJ102" s="140">
        <f t="shared" si="560"/>
        <v>9.0262548335494568</v>
      </c>
      <c r="CK102" s="140">
        <f t="shared" si="560"/>
        <v>8.9866381406688465</v>
      </c>
      <c r="CL102" s="140">
        <f t="shared" si="560"/>
        <v>9.1531883460909196</v>
      </c>
      <c r="CM102" s="251">
        <f t="shared" si="560"/>
        <v>9.0389045955663789</v>
      </c>
      <c r="CN102" s="140">
        <f>(CN99/CN$8)*100</f>
        <v>9.6493384368317816</v>
      </c>
      <c r="CO102" s="140">
        <f>(CO99/CO$8)*100</f>
        <v>9.975285821177339</v>
      </c>
      <c r="CP102" s="140">
        <f>(CP99/CP$8)*100</f>
        <v>10.438605951565098</v>
      </c>
      <c r="CQ102" s="140">
        <f>(CQ99/CQ$8)*100</f>
        <v>10.150933858416314</v>
      </c>
      <c r="CR102" s="306">
        <f t="shared" si="560"/>
        <v>10.057001001720293</v>
      </c>
      <c r="CS102" s="140">
        <f t="shared" ref="CS102:DB102" si="561">(CS99/CS$8)*100</f>
        <v>9.5567746448982476</v>
      </c>
      <c r="CT102" s="140">
        <f t="shared" si="561"/>
        <v>9.4275240183556619</v>
      </c>
      <c r="CU102" s="140">
        <f t="shared" si="561"/>
        <v>10.043854962934839</v>
      </c>
      <c r="CV102" s="140">
        <f t="shared" si="561"/>
        <v>10.513430101944632</v>
      </c>
      <c r="CW102" s="306">
        <f t="shared" si="561"/>
        <v>9.8785399326874543</v>
      </c>
      <c r="CX102" s="140">
        <f t="shared" si="561"/>
        <v>11.049271620326797</v>
      </c>
      <c r="CY102" s="140">
        <f t="shared" si="561"/>
        <v>10.65793067307685</v>
      </c>
      <c r="CZ102" s="140">
        <f t="shared" si="561"/>
        <v>10.72624538135825</v>
      </c>
      <c r="DA102" s="140">
        <f>(DA99/DA$8)*100</f>
        <v>11.369270240435576</v>
      </c>
      <c r="DB102" s="306">
        <f t="shared" si="561"/>
        <v>10.944003266827405</v>
      </c>
      <c r="DC102" s="140">
        <f t="shared" ref="DC102:DH102" si="562">(DC99/DC$8)*100</f>
        <v>12.209611443500032</v>
      </c>
      <c r="DD102" s="140">
        <f t="shared" si="562"/>
        <v>12.223904957949857</v>
      </c>
      <c r="DE102" s="140">
        <f t="shared" si="562"/>
        <v>12.083526159018303</v>
      </c>
      <c r="DF102" s="140">
        <f t="shared" si="562"/>
        <v>12.592035526346605</v>
      </c>
      <c r="DG102" s="306">
        <f t="shared" si="562"/>
        <v>12.273788716056584</v>
      </c>
      <c r="DH102" s="140">
        <f t="shared" si="562"/>
        <v>12.995834249151722</v>
      </c>
      <c r="DI102" s="140">
        <f t="shared" ref="DI102:DR102" si="563">(DI99/DI$8)*100</f>
        <v>12.431317422631299</v>
      </c>
      <c r="DJ102" s="140">
        <f t="shared" si="563"/>
        <v>12.396916435563377</v>
      </c>
      <c r="DK102" s="140">
        <f t="shared" si="563"/>
        <v>12.941842335532892</v>
      </c>
      <c r="DL102" s="306">
        <f t="shared" si="563"/>
        <v>12.681671380918669</v>
      </c>
      <c r="DM102" s="140">
        <f t="shared" si="563"/>
        <v>12.895507688215973</v>
      </c>
      <c r="DN102" s="140">
        <f>(DN99/DN$8)*100</f>
        <v>12.164326022283211</v>
      </c>
      <c r="DO102" s="140">
        <f t="shared" si="563"/>
        <v>12.284186425603021</v>
      </c>
      <c r="DP102" s="140">
        <f>(DP99/DP$8)*100</f>
        <v>12.575926765831039</v>
      </c>
      <c r="DQ102" s="306">
        <f t="shared" si="563"/>
        <v>12.468537886402689</v>
      </c>
      <c r="DR102" s="140">
        <f t="shared" si="563"/>
        <v>12.876304587213042</v>
      </c>
      <c r="DS102" s="140">
        <f>(DS99/DS$8)*100</f>
        <v>12.294620880466136</v>
      </c>
      <c r="DT102" s="140">
        <f>(DT99/DT$8)*100</f>
        <v>12.286218030378658</v>
      </c>
      <c r="DU102" s="140">
        <f t="shared" ref="DU102:EA102" si="564">(DU99/DU$8)*100</f>
        <v>12.123499931296083</v>
      </c>
      <c r="DV102" s="306">
        <f t="shared" si="564"/>
        <v>12.385122171425115</v>
      </c>
      <c r="DW102" s="140">
        <f t="shared" si="564"/>
        <v>11.282619239621438</v>
      </c>
      <c r="DX102" s="140">
        <f t="shared" si="564"/>
        <v>10.864669208792733</v>
      </c>
      <c r="DY102" s="140">
        <f t="shared" si="564"/>
        <v>11.27327192209974</v>
      </c>
      <c r="DZ102" s="140">
        <f t="shared" si="564"/>
        <v>11.267382942352789</v>
      </c>
      <c r="EA102" s="306">
        <f t="shared" si="564"/>
        <v>11.167859533707595</v>
      </c>
      <c r="EB102" s="140">
        <f t="shared" ref="EB102:EK102" si="565">(EB99/EB$8)*100</f>
        <v>10.984415428209743</v>
      </c>
      <c r="EC102" s="140">
        <f t="shared" si="565"/>
        <v>10.770358737968239</v>
      </c>
      <c r="ED102" s="140">
        <f t="shared" si="565"/>
        <v>11.000089489568921</v>
      </c>
      <c r="EE102" s="140">
        <f t="shared" si="565"/>
        <v>11.597133978851492</v>
      </c>
      <c r="EF102" s="306">
        <f t="shared" si="565"/>
        <v>11.086569300652666</v>
      </c>
      <c r="EG102" s="140">
        <f t="shared" si="565"/>
        <v>11.599496129005361</v>
      </c>
      <c r="EH102" s="140">
        <f t="shared" ref="EH102:EJ102" si="566">(EH99/EH$8)*100</f>
        <v>11.281707241937482</v>
      </c>
      <c r="EI102" s="140">
        <f t="shared" si="566"/>
        <v>11.266692757595774</v>
      </c>
      <c r="EJ102" s="140">
        <f t="shared" si="566"/>
        <v>11.95138762525664</v>
      </c>
      <c r="EK102" s="306">
        <f t="shared" si="565"/>
        <v>11.518676551980105</v>
      </c>
      <c r="EL102" s="140">
        <f t="shared" ref="EL102:EP102" si="567">(EL99/EL$8)*100</f>
        <v>11.662166650726554</v>
      </c>
      <c r="EM102" s="140">
        <f t="shared" si="567"/>
        <v>11.336472811073101</v>
      </c>
      <c r="EN102" s="140">
        <f t="shared" si="567"/>
        <v>11.32046560939339</v>
      </c>
      <c r="EO102" s="140">
        <f t="shared" si="567"/>
        <v>11.993618676935993</v>
      </c>
      <c r="EP102" s="306">
        <f t="shared" si="567"/>
        <v>11.571988708511254</v>
      </c>
      <c r="EQ102" s="140">
        <f>(EQ99/EQ$8)*100</f>
        <v>11.688519179967258</v>
      </c>
      <c r="ER102" s="140">
        <f>(ER99/ER$8)*100</f>
        <v>11.361579102660395</v>
      </c>
      <c r="ES102" s="140">
        <f t="shared" ref="ES102:EU102" si="568">(ES99/ES$8)*100</f>
        <v>11.390193214916358</v>
      </c>
      <c r="ET102" s="140">
        <f t="shared" si="568"/>
        <v>11.590965619769335</v>
      </c>
      <c r="EU102" s="306">
        <f t="shared" si="568"/>
        <v>11.503747591694378</v>
      </c>
      <c r="EV102" s="140"/>
      <c r="EW102" s="140"/>
      <c r="EX102" s="140"/>
      <c r="EY102" s="140"/>
      <c r="EZ102" s="306">
        <f t="shared" ref="EZ102" si="569">(EZ99/EZ$8)*100</f>
        <v>11.382116109846701</v>
      </c>
      <c r="FA102" s="140"/>
      <c r="FB102" s="140"/>
      <c r="FC102" s="140"/>
      <c r="FD102" s="140"/>
      <c r="FE102" s="306">
        <f t="shared" ref="FE102" si="570">(FE99/FE$8)*100</f>
        <v>11.317960149467181</v>
      </c>
      <c r="FF102" s="140"/>
      <c r="FG102" s="442"/>
      <c r="FL102" s="414"/>
      <c r="FM102" s="408"/>
      <c r="FN102" s="374"/>
      <c r="FO102" s="374"/>
      <c r="FP102" s="374"/>
      <c r="FQ102" s="374"/>
      <c r="FR102" s="369"/>
      <c r="FS102" s="374"/>
      <c r="FT102" s="190"/>
    </row>
    <row r="103" spans="1:183" ht="12.75" customHeight="1" x14ac:dyDescent="0.2">
      <c r="A103" s="60" t="s">
        <v>244</v>
      </c>
      <c r="B103" s="43"/>
      <c r="C103" s="43"/>
      <c r="D103" s="43"/>
      <c r="E103" s="43"/>
      <c r="F103" s="244"/>
      <c r="G103" s="43">
        <f>G102/B102-1</f>
        <v>3.9153909528189645E-2</v>
      </c>
      <c r="H103" s="43">
        <f>H102/C102-1</f>
        <v>2.8172112607988131E-2</v>
      </c>
      <c r="I103" s="43">
        <f>I102/D102-1</f>
        <v>1.7029852705499948E-2</v>
      </c>
      <c r="J103" s="43">
        <f>J102/E102-1</f>
        <v>0.10470645955129521</v>
      </c>
      <c r="K103" s="244">
        <f t="shared" ref="K103:U103" si="571">K102/F102-1</f>
        <v>4.9615147277040972E-2</v>
      </c>
      <c r="L103" s="43">
        <f t="shared" si="571"/>
        <v>1.7806475207045924E-2</v>
      </c>
      <c r="M103" s="43">
        <f t="shared" si="571"/>
        <v>8.0675773166095421E-2</v>
      </c>
      <c r="N103" s="43">
        <f t="shared" si="571"/>
        <v>3.8147596537335682E-2</v>
      </c>
      <c r="O103" s="43">
        <f t="shared" si="571"/>
        <v>0.11071745059009896</v>
      </c>
      <c r="P103" s="244">
        <f t="shared" si="571"/>
        <v>6.5761163394371769E-2</v>
      </c>
      <c r="Q103" s="43">
        <f t="shared" si="571"/>
        <v>4.0779471798200184E-2</v>
      </c>
      <c r="R103" s="43">
        <f t="shared" si="571"/>
        <v>1.4171009649194488E-2</v>
      </c>
      <c r="S103" s="43">
        <f t="shared" si="571"/>
        <v>3.539446260151613E-2</v>
      </c>
      <c r="T103" s="43">
        <f t="shared" si="571"/>
        <v>-0.17517893889410663</v>
      </c>
      <c r="U103" s="244">
        <f t="shared" si="571"/>
        <v>-3.2444223447849474E-2</v>
      </c>
      <c r="V103" s="43">
        <f t="shared" ref="V103:CT103" si="572">V102/Q102-1</f>
        <v>-1.2406370561487412E-3</v>
      </c>
      <c r="W103" s="43">
        <f t="shared" si="572"/>
        <v>-1.951840529247939E-2</v>
      </c>
      <c r="X103" s="43">
        <f t="shared" si="572"/>
        <v>-2.0351148773500638E-2</v>
      </c>
      <c r="Y103" s="43">
        <f t="shared" si="572"/>
        <v>-6.0882781484745574E-2</v>
      </c>
      <c r="Z103" s="244">
        <f t="shared" si="572"/>
        <v>-2.8032192379590426E-2</v>
      </c>
      <c r="AA103" s="43">
        <f t="shared" si="572"/>
        <v>-2.6994511314401892E-2</v>
      </c>
      <c r="AB103" s="43">
        <f t="shared" si="572"/>
        <v>-8.6618129328308591E-3</v>
      </c>
      <c r="AC103" s="43">
        <f t="shared" si="572"/>
        <v>4.2392565564706164E-3</v>
      </c>
      <c r="AD103" s="43">
        <f t="shared" si="572"/>
        <v>2.3923123448465367E-2</v>
      </c>
      <c r="AE103" s="244">
        <f t="shared" si="572"/>
        <v>-1.2790684678400943E-3</v>
      </c>
      <c r="AF103" s="43">
        <f t="shared" si="572"/>
        <v>5.792479112781268E-2</v>
      </c>
      <c r="AG103" s="43">
        <f t="shared" si="572"/>
        <v>6.2235710605709871E-2</v>
      </c>
      <c r="AH103" s="43">
        <f t="shared" si="572"/>
        <v>6.548600683578365E-2</v>
      </c>
      <c r="AI103" s="43">
        <f t="shared" si="572"/>
        <v>5.6488854485164053E-2</v>
      </c>
      <c r="AJ103" s="244">
        <f t="shared" si="572"/>
        <v>6.0552298512058567E-2</v>
      </c>
      <c r="AK103" s="43">
        <f t="shared" si="572"/>
        <v>2.5332806808699537E-2</v>
      </c>
      <c r="AL103" s="43">
        <f t="shared" si="572"/>
        <v>-3.5256798866235228E-2</v>
      </c>
      <c r="AM103" s="43">
        <f t="shared" si="572"/>
        <v>-2.2271166370715911E-2</v>
      </c>
      <c r="AN103" s="43">
        <f t="shared" si="572"/>
        <v>-1.8579564508122148E-2</v>
      </c>
      <c r="AO103" s="244">
        <f t="shared" si="572"/>
        <v>-1.3430039924144044E-2</v>
      </c>
      <c r="AP103" s="43">
        <f t="shared" si="572"/>
        <v>-3.0525837157615809E-2</v>
      </c>
      <c r="AQ103" s="43">
        <f t="shared" si="572"/>
        <v>1.928987442768082E-2</v>
      </c>
      <c r="AR103" s="43">
        <f t="shared" si="572"/>
        <v>-1.3855143558094363E-2</v>
      </c>
      <c r="AS103" s="43">
        <f t="shared" si="572"/>
        <v>-1.7993028790869725E-2</v>
      </c>
      <c r="AT103" s="244">
        <f t="shared" si="572"/>
        <v>-1.0911890098131538E-2</v>
      </c>
      <c r="AU103" s="43">
        <f t="shared" si="572"/>
        <v>-5.2436297416409428E-3</v>
      </c>
      <c r="AV103" s="43">
        <f t="shared" si="572"/>
        <v>4.2114678305607001E-3</v>
      </c>
      <c r="AW103" s="43">
        <f t="shared" si="572"/>
        <v>4.105552994891859E-2</v>
      </c>
      <c r="AX103" s="43">
        <f t="shared" si="572"/>
        <v>4.5079154803462584E-2</v>
      </c>
      <c r="AY103" s="244">
        <f t="shared" si="572"/>
        <v>2.1913070914302057E-2</v>
      </c>
      <c r="AZ103" s="43">
        <f t="shared" si="572"/>
        <v>4.7323534633395559E-2</v>
      </c>
      <c r="BA103" s="43">
        <f t="shared" si="572"/>
        <v>4.1753420691153842E-2</v>
      </c>
      <c r="BB103" s="43">
        <f t="shared" si="572"/>
        <v>1.932995932638204E-2</v>
      </c>
      <c r="BC103" s="43">
        <f t="shared" si="572"/>
        <v>2.4902981783207823E-2</v>
      </c>
      <c r="BD103" s="244">
        <f t="shared" si="572"/>
        <v>3.2726355398027485E-2</v>
      </c>
      <c r="BE103" s="43">
        <f t="shared" si="572"/>
        <v>5.8215967100094801E-4</v>
      </c>
      <c r="BF103" s="43">
        <f t="shared" si="572"/>
        <v>-1.1338483326193138E-2</v>
      </c>
      <c r="BG103" s="43">
        <f t="shared" si="572"/>
        <v>-9.6247160908994323E-3</v>
      </c>
      <c r="BH103" s="43">
        <f t="shared" si="572"/>
        <v>-7.2468190540911581E-2</v>
      </c>
      <c r="BI103" s="244">
        <f t="shared" si="572"/>
        <v>-2.3720716546797638E-2</v>
      </c>
      <c r="BJ103" s="43">
        <f t="shared" si="572"/>
        <v>-4.870697100127841E-2</v>
      </c>
      <c r="BK103" s="43">
        <f t="shared" si="572"/>
        <v>-3.1421418404380841E-2</v>
      </c>
      <c r="BL103" s="43">
        <f t="shared" si="572"/>
        <v>-3.1841978890436162E-2</v>
      </c>
      <c r="BM103" s="43">
        <f t="shared" si="572"/>
        <v>3.9026774305566114E-2</v>
      </c>
      <c r="BN103" s="244">
        <f t="shared" si="572"/>
        <v>-1.8628142710813589E-2</v>
      </c>
      <c r="BO103" s="43">
        <f t="shared" si="572"/>
        <v>2.5814350049216728E-2</v>
      </c>
      <c r="BP103" s="43">
        <f t="shared" si="572"/>
        <v>1.5684325450437964E-3</v>
      </c>
      <c r="BQ103" s="43">
        <f t="shared" si="572"/>
        <v>1.7975392147444813E-2</v>
      </c>
      <c r="BR103" s="43">
        <f t="shared" si="572"/>
        <v>2.9466454239227557E-2</v>
      </c>
      <c r="BS103" s="244">
        <f>BS102/BN102-1</f>
        <v>1.8663183354450164E-2</v>
      </c>
      <c r="BT103" s="43">
        <f t="shared" si="572"/>
        <v>3.1922972017321083E-2</v>
      </c>
      <c r="BU103" s="43">
        <f t="shared" si="572"/>
        <v>6.817236145600214E-2</v>
      </c>
      <c r="BV103" s="43">
        <f t="shared" si="572"/>
        <v>1.2757349610067026E-2</v>
      </c>
      <c r="BW103" s="43">
        <f t="shared" si="572"/>
        <v>-1.2290460918872648E-2</v>
      </c>
      <c r="BX103" s="244">
        <f>BX102/BS102-1</f>
        <v>2.4218812123586675E-2</v>
      </c>
      <c r="BY103" s="43">
        <f t="shared" si="572"/>
        <v>9.0127850913457319E-3</v>
      </c>
      <c r="BZ103" s="43">
        <f t="shared" si="572"/>
        <v>-7.8221313801591918E-3</v>
      </c>
      <c r="CA103" s="43">
        <f t="shared" si="572"/>
        <v>3.5367235745577652E-2</v>
      </c>
      <c r="CB103" s="43">
        <f t="shared" si="572"/>
        <v>0.1229258307566119</v>
      </c>
      <c r="CC103" s="244">
        <f>CC102/BX102-1</f>
        <v>4.020256322291238E-2</v>
      </c>
      <c r="CD103" s="43">
        <f t="shared" si="572"/>
        <v>0.10444192967720656</v>
      </c>
      <c r="CE103" s="43">
        <f t="shared" si="572"/>
        <v>0.1174310944024981</v>
      </c>
      <c r="CF103" s="43">
        <f t="shared" si="572"/>
        <v>0.11111101856551242</v>
      </c>
      <c r="CG103" s="43">
        <f t="shared" si="572"/>
        <v>3.1745980285572628E-2</v>
      </c>
      <c r="CH103" s="244">
        <f>CH102/CC102-1</f>
        <v>8.9591381293692374E-2</v>
      </c>
      <c r="CI103" s="43">
        <f t="shared" si="572"/>
        <v>4.195735934951017E-2</v>
      </c>
      <c r="CJ103" s="43">
        <f t="shared" si="572"/>
        <v>2.2355331572304626E-2</v>
      </c>
      <c r="CK103" s="43">
        <f t="shared" si="572"/>
        <v>2.6429736458530195E-2</v>
      </c>
      <c r="CL103" s="43">
        <f t="shared" si="572"/>
        <v>4.0693798645276447E-2</v>
      </c>
      <c r="CM103" s="244">
        <f>CM102/CH102-1</f>
        <v>3.2690002161058995E-2</v>
      </c>
      <c r="CN103" s="43">
        <f t="shared" si="572"/>
        <v>7.3687329222533737E-2</v>
      </c>
      <c r="CO103" s="43">
        <f t="shared" si="572"/>
        <v>0.1051411693031814</v>
      </c>
      <c r="CP103" s="43">
        <f t="shared" si="572"/>
        <v>0.16156963128685464</v>
      </c>
      <c r="CQ103" s="43">
        <f t="shared" si="572"/>
        <v>0.1090052421735106</v>
      </c>
      <c r="CR103" s="110">
        <f t="shared" ref="CR103:CW103" si="573">CR102/CM102-1</f>
        <v>0.1126349321856206</v>
      </c>
      <c r="CS103" s="43">
        <f t="shared" si="572"/>
        <v>-9.5927604301052627E-3</v>
      </c>
      <c r="CT103" s="43">
        <f t="shared" si="572"/>
        <v>-5.4911890510323969E-2</v>
      </c>
      <c r="CU103" s="43">
        <f t="shared" si="573"/>
        <v>-3.7816446991283614E-2</v>
      </c>
      <c r="CV103" s="43">
        <f t="shared" si="573"/>
        <v>3.5710630035064694E-2</v>
      </c>
      <c r="CW103" s="110">
        <f t="shared" si="573"/>
        <v>-1.7744958860231974E-2</v>
      </c>
      <c r="CX103" s="43">
        <f t="shared" ref="CX103:DN103" si="574">CX102/CS102-1</f>
        <v>0.15617161970281446</v>
      </c>
      <c r="CY103" s="43">
        <f t="shared" si="574"/>
        <v>0.1305121739627022</v>
      </c>
      <c r="CZ103" s="43">
        <f t="shared" si="574"/>
        <v>6.7941086459497813E-2</v>
      </c>
      <c r="DA103" s="43">
        <f t="shared" si="574"/>
        <v>8.1404463642426483E-2</v>
      </c>
      <c r="DB103" s="110">
        <f t="shared" si="574"/>
        <v>0.10785635745768474</v>
      </c>
      <c r="DC103" s="43">
        <f>DC102/CX102-1</f>
        <v>0.10501505104088626</v>
      </c>
      <c r="DD103" s="43">
        <f t="shared" si="574"/>
        <v>0.14693042513673293</v>
      </c>
      <c r="DE103" s="43">
        <f t="shared" si="574"/>
        <v>0.12653829270202488</v>
      </c>
      <c r="DF103" s="43">
        <f t="shared" si="574"/>
        <v>0.10755002388475043</v>
      </c>
      <c r="DG103" s="110">
        <f t="shared" si="574"/>
        <v>0.1215081370872686</v>
      </c>
      <c r="DH103" s="43">
        <f t="shared" si="574"/>
        <v>6.4393761364965219E-2</v>
      </c>
      <c r="DI103" s="43">
        <f t="shared" si="574"/>
        <v>1.6967774650975986E-2</v>
      </c>
      <c r="DJ103" s="43">
        <f t="shared" si="574"/>
        <v>2.5935333148692008E-2</v>
      </c>
      <c r="DK103" s="43">
        <f t="shared" si="574"/>
        <v>2.7780004944742975E-2</v>
      </c>
      <c r="DL103" s="110">
        <f t="shared" si="574"/>
        <v>3.3232009634359461E-2</v>
      </c>
      <c r="DM103" s="43">
        <f t="shared" si="574"/>
        <v>-7.7199015478592869E-3</v>
      </c>
      <c r="DN103" s="43">
        <f t="shared" si="574"/>
        <v>-2.1477321451226716E-2</v>
      </c>
      <c r="DO103" s="43">
        <f t="shared" ref="DO103:DT103" si="575">DO102/DJ102-1</f>
        <v>-9.0933911304720283E-3</v>
      </c>
      <c r="DP103" s="43">
        <f t="shared" si="575"/>
        <v>-2.8273839242902943E-2</v>
      </c>
      <c r="DQ103" s="110">
        <f t="shared" si="575"/>
        <v>-1.6806419920064153E-2</v>
      </c>
      <c r="DR103" s="43">
        <f t="shared" si="575"/>
        <v>-1.4891310576690131E-3</v>
      </c>
      <c r="DS103" s="43">
        <f t="shared" si="575"/>
        <v>1.0711227070389517E-2</v>
      </c>
      <c r="DT103" s="43">
        <f t="shared" si="575"/>
        <v>1.6538374665198141E-4</v>
      </c>
      <c r="DU103" s="43">
        <f>DU102/DP102-1</f>
        <v>-3.5975625729962601E-2</v>
      </c>
      <c r="DV103" s="110">
        <f>DV102/DQ102-1</f>
        <v>-6.6900959629390133E-3</v>
      </c>
      <c r="DW103" s="43">
        <f>DW102/DR102-1</f>
        <v>-0.12376884507486963</v>
      </c>
      <c r="DX103" s="43">
        <f>DX102/DS102-1</f>
        <v>-0.11630709767922398</v>
      </c>
      <c r="DY103" s="43">
        <f>DY102/DT102-1</f>
        <v>-8.2445721358218371E-2</v>
      </c>
      <c r="DZ103" s="43">
        <f t="shared" ref="DZ103:EA103" si="576">DZ102/DU102-1</f>
        <v>-7.0616323157084326E-2</v>
      </c>
      <c r="EA103" s="110">
        <f t="shared" si="576"/>
        <v>-9.8284265659161707E-2</v>
      </c>
      <c r="EB103" s="43">
        <f>EB102/DW102-1</f>
        <v>-2.6430370916398993E-2</v>
      </c>
      <c r="EC103" s="43">
        <f>EC102/DX102-1</f>
        <v>-8.6804732856633482E-3</v>
      </c>
      <c r="ED103" s="43">
        <f>ED102/DY102-1</f>
        <v>-2.4232754644663679E-2</v>
      </c>
      <c r="EE103" s="43">
        <f t="shared" ref="EE103" si="577">EE102/DZ102-1</f>
        <v>2.9265982898229792E-2</v>
      </c>
      <c r="EF103" s="110">
        <f t="shared" ref="EF103" si="578">EF102/EA102-1</f>
        <v>-7.2789447977540389E-3</v>
      </c>
      <c r="EG103" s="43">
        <f>EG102/EB102-1</f>
        <v>5.5995760977501918E-2</v>
      </c>
      <c r="EH103" s="43">
        <f>EH102/EC102-1</f>
        <v>4.7477388303382106E-2</v>
      </c>
      <c r="EI103" s="43">
        <f>EI102/ED102-1</f>
        <v>2.4236463556015941E-2</v>
      </c>
      <c r="EJ103" s="43">
        <f t="shared" ref="EJ103" si="579">EJ102/EE102-1</f>
        <v>3.0546654634771242E-2</v>
      </c>
      <c r="EK103" s="110">
        <f>EK102/EF102-1</f>
        <v>3.8975740791337588E-2</v>
      </c>
      <c r="EL103" s="43"/>
      <c r="EM103" s="43"/>
      <c r="EN103" s="43"/>
      <c r="EO103" s="43"/>
      <c r="EP103" s="110"/>
      <c r="EQ103" s="43">
        <f>EQ102/EL102-1</f>
        <v>2.2596598067874396E-3</v>
      </c>
      <c r="ER103" s="43">
        <f>ER102/EM102-1</f>
        <v>2.2146475368221008E-3</v>
      </c>
      <c r="ES103" s="43">
        <f>ES102/EN102-1</f>
        <v>6.1594291196920281E-3</v>
      </c>
      <c r="ET103" s="43">
        <f t="shared" ref="ET103" si="580">ET102/EO102-1</f>
        <v>-3.3572274391295176E-2</v>
      </c>
      <c r="EU103" s="110">
        <f>EU102/EP102-1</f>
        <v>-5.8970950055183824E-3</v>
      </c>
      <c r="EV103" s="43"/>
      <c r="EW103" s="43"/>
      <c r="EX103" s="43"/>
      <c r="EY103" s="43"/>
      <c r="EZ103" s="110">
        <f>EZ102/EU102-1</f>
        <v>-1.0573205025420918E-2</v>
      </c>
      <c r="FA103" s="43"/>
      <c r="FB103" s="43"/>
      <c r="FC103" s="43"/>
      <c r="FD103" s="43"/>
      <c r="FE103" s="110">
        <f>FE102/EZ102-1</f>
        <v>-5.6365582428049565E-3</v>
      </c>
      <c r="FF103" s="43"/>
      <c r="FG103" s="435"/>
      <c r="FL103" s="408"/>
      <c r="FM103" s="408"/>
      <c r="FN103" s="584"/>
      <c r="FO103" s="369"/>
      <c r="FP103" s="369"/>
      <c r="FQ103" s="369"/>
      <c r="FR103" s="369"/>
      <c r="FS103" s="369"/>
      <c r="FT103" s="190"/>
    </row>
    <row r="104" spans="1:183" ht="12.75" customHeight="1" x14ac:dyDescent="0.2">
      <c r="A104" s="81" t="s">
        <v>304</v>
      </c>
      <c r="B104" s="140">
        <f t="shared" ref="B104:AG104" si="581">((B99-B54)/B8)*100</f>
        <v>5.1870134367838734</v>
      </c>
      <c r="C104" s="140">
        <f t="shared" si="581"/>
        <v>5.3527021437087878</v>
      </c>
      <c r="D104" s="140">
        <f t="shared" si="581"/>
        <v>5.1601537942183029</v>
      </c>
      <c r="E104" s="140">
        <f t="shared" si="581"/>
        <v>5.3294327568232251</v>
      </c>
      <c r="F104" s="251">
        <f t="shared" si="581"/>
        <v>5.2578938116026857</v>
      </c>
      <c r="G104" s="140">
        <f t="shared" si="581"/>
        <v>5.4255749971670433</v>
      </c>
      <c r="H104" s="140">
        <f t="shared" si="581"/>
        <v>5.5529410731767284</v>
      </c>
      <c r="I104" s="140">
        <f t="shared" si="581"/>
        <v>5.5091084973838118</v>
      </c>
      <c r="J104" s="140">
        <f t="shared" si="581"/>
        <v>6.7517755982251959</v>
      </c>
      <c r="K104" s="251">
        <f t="shared" si="581"/>
        <v>5.8213716151579238</v>
      </c>
      <c r="L104" s="140">
        <f t="shared" si="581"/>
        <v>5.9053129754996876</v>
      </c>
      <c r="M104" s="140">
        <f t="shared" si="581"/>
        <v>6.0685460642289302</v>
      </c>
      <c r="N104" s="140">
        <f t="shared" si="581"/>
        <v>5.7288535895805133</v>
      </c>
      <c r="O104" s="140">
        <f t="shared" si="581"/>
        <v>7.5396260734823324</v>
      </c>
      <c r="P104" s="251">
        <f t="shared" si="581"/>
        <v>6.3261882704825592</v>
      </c>
      <c r="Q104" s="140">
        <f t="shared" si="581"/>
        <v>6.0805436041708427</v>
      </c>
      <c r="R104" s="140">
        <f t="shared" si="581"/>
        <v>6.1908088308946656</v>
      </c>
      <c r="S104" s="140">
        <f t="shared" si="581"/>
        <v>6.1114077380011187</v>
      </c>
      <c r="T104" s="140">
        <f t="shared" si="581"/>
        <v>6.2833540396207361</v>
      </c>
      <c r="U104" s="251">
        <f t="shared" si="581"/>
        <v>6.1803496783104945</v>
      </c>
      <c r="V104" s="140">
        <f t="shared" si="581"/>
        <v>6.2115364493923204</v>
      </c>
      <c r="W104" s="140">
        <f t="shared" si="581"/>
        <v>6.2321374818215158</v>
      </c>
      <c r="X104" s="140">
        <f t="shared" si="581"/>
        <v>6.0362810463399699</v>
      </c>
      <c r="Y104" s="140">
        <f t="shared" si="581"/>
        <v>5.8961210325101394</v>
      </c>
      <c r="Z104" s="251">
        <f t="shared" si="581"/>
        <v>6.0878893750816756</v>
      </c>
      <c r="AA104" s="140">
        <f t="shared" si="581"/>
        <v>6.0353584475941231</v>
      </c>
      <c r="AB104" s="140">
        <f t="shared" si="581"/>
        <v>6.1173086665757488</v>
      </c>
      <c r="AC104" s="140">
        <f t="shared" si="581"/>
        <v>6.0634911954856712</v>
      </c>
      <c r="AD104" s="140">
        <f t="shared" si="581"/>
        <v>6.035897212798023</v>
      </c>
      <c r="AE104" s="251">
        <f t="shared" si="581"/>
        <v>6.062879876647874</v>
      </c>
      <c r="AF104" s="140">
        <f t="shared" si="581"/>
        <v>6.3400420042601713</v>
      </c>
      <c r="AG104" s="140">
        <f t="shared" si="581"/>
        <v>6.4182964486639573</v>
      </c>
      <c r="AH104" s="140">
        <f t="shared" ref="AH104:BM104" si="582">((AH99-AH54)/AH8)*100</f>
        <v>6.3199433196642119</v>
      </c>
      <c r="AI104" s="140">
        <f t="shared" si="582"/>
        <v>6.1740880509409388</v>
      </c>
      <c r="AJ104" s="251">
        <f t="shared" si="582"/>
        <v>6.311858856038163</v>
      </c>
      <c r="AK104" s="140">
        <f t="shared" si="582"/>
        <v>6.3304820903178305</v>
      </c>
      <c r="AL104" s="140">
        <f t="shared" si="582"/>
        <v>6.2190254877287598</v>
      </c>
      <c r="AM104" s="140">
        <f t="shared" si="582"/>
        <v>6.3209235116819915</v>
      </c>
      <c r="AN104" s="140">
        <f t="shared" si="582"/>
        <v>6.2843614790629703</v>
      </c>
      <c r="AO104" s="251">
        <f t="shared" si="582"/>
        <v>6.2885826100758146</v>
      </c>
      <c r="AP104" s="140">
        <f t="shared" si="582"/>
        <v>6.4726950976976934</v>
      </c>
      <c r="AQ104" s="140">
        <f t="shared" si="582"/>
        <v>6.6102303399540929</v>
      </c>
      <c r="AR104" s="140">
        <f t="shared" si="582"/>
        <v>6.4682175072624668</v>
      </c>
      <c r="AS104" s="140">
        <f t="shared" si="582"/>
        <v>6.4654861787148175</v>
      </c>
      <c r="AT104" s="251">
        <f t="shared" si="582"/>
        <v>6.5035599492380829</v>
      </c>
      <c r="AU104" s="140">
        <f t="shared" si="582"/>
        <v>6.6431651859625669</v>
      </c>
      <c r="AV104" s="140">
        <f t="shared" si="582"/>
        <v>6.6661363326553547</v>
      </c>
      <c r="AW104" s="140">
        <f t="shared" si="582"/>
        <v>6.5057157088307145</v>
      </c>
      <c r="AX104" s="140">
        <f t="shared" si="582"/>
        <v>6.3989447461349558</v>
      </c>
      <c r="AY104" s="251">
        <f t="shared" si="582"/>
        <v>6.549173049592012</v>
      </c>
      <c r="AZ104" s="140">
        <f t="shared" si="582"/>
        <v>6.289180292241908</v>
      </c>
      <c r="BA104" s="140">
        <f t="shared" si="582"/>
        <v>6.4328508639233357</v>
      </c>
      <c r="BB104" s="140">
        <f t="shared" si="582"/>
        <v>6.4282928121555454</v>
      </c>
      <c r="BC104" s="140">
        <f t="shared" si="582"/>
        <v>6.376186318100439</v>
      </c>
      <c r="BD104" s="251">
        <f t="shared" si="582"/>
        <v>6.3828929564072867</v>
      </c>
      <c r="BE104" s="140">
        <f t="shared" si="582"/>
        <v>6.363944134482062</v>
      </c>
      <c r="BF104" s="140">
        <f t="shared" si="582"/>
        <v>6.4190470742937862</v>
      </c>
      <c r="BG104" s="140">
        <f t="shared" si="582"/>
        <v>6.4439477912132253</v>
      </c>
      <c r="BH104" s="140">
        <f t="shared" si="582"/>
        <v>6.2246598266902726</v>
      </c>
      <c r="BI104" s="251">
        <f t="shared" si="582"/>
        <v>6.3621330318054783</v>
      </c>
      <c r="BJ104" s="140">
        <f t="shared" si="582"/>
        <v>6.2803371703691502</v>
      </c>
      <c r="BK104" s="140">
        <f t="shared" si="582"/>
        <v>6.3428633819322622</v>
      </c>
      <c r="BL104" s="140">
        <f t="shared" si="582"/>
        <v>6.2294845343029026</v>
      </c>
      <c r="BM104" s="140">
        <f t="shared" si="582"/>
        <v>6.3260118947073281</v>
      </c>
      <c r="BN104" s="251">
        <f t="shared" ref="BN104:CS104" si="583">((BN99-BN54)/BN8)*100</f>
        <v>6.2945818186326257</v>
      </c>
      <c r="BO104" s="140">
        <f t="shared" si="583"/>
        <v>6.3049122220579736</v>
      </c>
      <c r="BP104" s="140">
        <f t="shared" si="583"/>
        <v>6.3709342332371079</v>
      </c>
      <c r="BQ104" s="140">
        <f t="shared" si="583"/>
        <v>6.3391417779820518</v>
      </c>
      <c r="BR104" s="140">
        <f t="shared" si="583"/>
        <v>6.5160928086224086</v>
      </c>
      <c r="BS104" s="251">
        <f t="shared" si="583"/>
        <v>6.3838596860235883</v>
      </c>
      <c r="BT104" s="140">
        <f t="shared" si="583"/>
        <v>6.4885565950979647</v>
      </c>
      <c r="BU104" s="140">
        <f t="shared" si="583"/>
        <v>6.6529871166422572</v>
      </c>
      <c r="BV104" s="140">
        <f t="shared" si="583"/>
        <v>6.3429819702790242</v>
      </c>
      <c r="BW104" s="140">
        <f t="shared" si="583"/>
        <v>6.2215391167897129</v>
      </c>
      <c r="BX104" s="251">
        <f t="shared" si="583"/>
        <v>6.4215676618715261</v>
      </c>
      <c r="BY104" s="140">
        <f t="shared" si="583"/>
        <v>6.4404202554627545</v>
      </c>
      <c r="BZ104" s="140">
        <f t="shared" si="583"/>
        <v>6.3639560525252259</v>
      </c>
      <c r="CA104" s="140">
        <f t="shared" si="583"/>
        <v>6.424576953733756</v>
      </c>
      <c r="CB104" s="140">
        <f t="shared" si="583"/>
        <v>6.6762644865628458</v>
      </c>
      <c r="CC104" s="251">
        <f t="shared" si="583"/>
        <v>6.4774204016669872</v>
      </c>
      <c r="CD104" s="140">
        <f t="shared" si="583"/>
        <v>6.4331289291612155</v>
      </c>
      <c r="CE104" s="140">
        <f t="shared" si="583"/>
        <v>6.6832768280208548</v>
      </c>
      <c r="CF104" s="140">
        <f t="shared" si="583"/>
        <v>6.3839587060795386</v>
      </c>
      <c r="CG104" s="140">
        <f t="shared" si="583"/>
        <v>6.4620225712502384</v>
      </c>
      <c r="CH104" s="251">
        <f t="shared" si="583"/>
        <v>6.4897412855614593</v>
      </c>
      <c r="CI104" s="140">
        <f t="shared" si="583"/>
        <v>6.5460570437769885</v>
      </c>
      <c r="CJ104" s="140">
        <f t="shared" si="583"/>
        <v>6.5965711599509991</v>
      </c>
      <c r="CK104" s="140">
        <f t="shared" si="583"/>
        <v>6.4240269183837881</v>
      </c>
      <c r="CL104" s="140">
        <f t="shared" si="583"/>
        <v>6.5758848801284682</v>
      </c>
      <c r="CM104" s="251">
        <f t="shared" si="583"/>
        <v>6.5347887876674102</v>
      </c>
      <c r="CN104" s="140">
        <f t="shared" si="583"/>
        <v>6.7041269517930395</v>
      </c>
      <c r="CO104" s="140">
        <f t="shared" si="583"/>
        <v>6.7210719084445714</v>
      </c>
      <c r="CP104" s="140">
        <f t="shared" si="583"/>
        <v>6.866502821638119</v>
      </c>
      <c r="CQ104" s="140">
        <f t="shared" si="583"/>
        <v>6.8589514383881136</v>
      </c>
      <c r="CR104" s="306">
        <f t="shared" si="583"/>
        <v>6.7879430985999676</v>
      </c>
      <c r="CS104" s="140">
        <f t="shared" si="583"/>
        <v>7.0110870426020515</v>
      </c>
      <c r="CT104" s="140">
        <f t="shared" ref="CT104:EO104" si="584">((CT99-CT54)/CT8)*100</f>
        <v>6.7959254521684</v>
      </c>
      <c r="CU104" s="140">
        <f t="shared" si="584"/>
        <v>6.911361303993532</v>
      </c>
      <c r="CV104" s="140">
        <f t="shared" si="584"/>
        <v>7.2602804989238194</v>
      </c>
      <c r="CW104" s="306">
        <f t="shared" si="584"/>
        <v>6.9899305884526726</v>
      </c>
      <c r="CX104" s="140">
        <f t="shared" si="584"/>
        <v>7.6205910700708586</v>
      </c>
      <c r="CY104" s="140">
        <f t="shared" si="584"/>
        <v>7.1872469490136703</v>
      </c>
      <c r="CZ104" s="140">
        <f t="shared" si="584"/>
        <v>7.2723503698983265</v>
      </c>
      <c r="DA104" s="140">
        <f t="shared" si="584"/>
        <v>7.7253570904280799</v>
      </c>
      <c r="DB104" s="306">
        <f t="shared" si="584"/>
        <v>7.4440693511361884</v>
      </c>
      <c r="DC104" s="140">
        <f t="shared" si="584"/>
        <v>7.8265309661150475</v>
      </c>
      <c r="DD104" s="140">
        <f t="shared" si="584"/>
        <v>7.4080669151777832</v>
      </c>
      <c r="DE104" s="140">
        <f t="shared" si="584"/>
        <v>7.3953821301095619</v>
      </c>
      <c r="DF104" s="140">
        <f t="shared" si="584"/>
        <v>7.7641832857199322</v>
      </c>
      <c r="DG104" s="306">
        <f t="shared" si="584"/>
        <v>7.5900678667014745</v>
      </c>
      <c r="DH104" s="140">
        <f t="shared" si="584"/>
        <v>7.9848808272858856</v>
      </c>
      <c r="DI104" s="140">
        <f t="shared" si="584"/>
        <v>7.7278196904665153</v>
      </c>
      <c r="DJ104" s="140">
        <f t="shared" si="584"/>
        <v>7.8141987285860344</v>
      </c>
      <c r="DK104" s="140">
        <f t="shared" si="584"/>
        <v>8.2164830086625713</v>
      </c>
      <c r="DL104" s="306">
        <f t="shared" si="584"/>
        <v>7.9305319737166462</v>
      </c>
      <c r="DM104" s="140">
        <f t="shared" si="584"/>
        <v>8.2593583984948236</v>
      </c>
      <c r="DN104" s="140">
        <f t="shared" si="584"/>
        <v>7.8729247430483316</v>
      </c>
      <c r="DO104" s="140">
        <f t="shared" si="584"/>
        <v>8.0089544718312915</v>
      </c>
      <c r="DP104" s="140">
        <f t="shared" si="584"/>
        <v>8.3295913940267425</v>
      </c>
      <c r="DQ104" s="306">
        <f t="shared" si="584"/>
        <v>8.110840667920824</v>
      </c>
      <c r="DR104" s="140">
        <f t="shared" si="584"/>
        <v>8.5940473277041178</v>
      </c>
      <c r="DS104" s="140">
        <f t="shared" si="584"/>
        <v>8.132868249411402</v>
      </c>
      <c r="DT104" s="140">
        <f t="shared" si="584"/>
        <v>8.2194236257194735</v>
      </c>
      <c r="DU104" s="140">
        <f t="shared" si="584"/>
        <v>8.5519989409243706</v>
      </c>
      <c r="DV104" s="306">
        <f t="shared" si="584"/>
        <v>8.3669229042213047</v>
      </c>
      <c r="DW104" s="140">
        <f t="shared" si="584"/>
        <v>8.5796207225551608</v>
      </c>
      <c r="DX104" s="140">
        <f t="shared" si="584"/>
        <v>8.1231427871947695</v>
      </c>
      <c r="DY104" s="140">
        <f t="shared" si="584"/>
        <v>8.2810006727109826</v>
      </c>
      <c r="DZ104" s="140">
        <f t="shared" ref="DZ104:ED104" si="585">((DZ99-DZ54)/DZ8)*100</f>
        <v>8.5049655936253927</v>
      </c>
      <c r="EA104" s="306">
        <f t="shared" si="585"/>
        <v>8.3650406666028534</v>
      </c>
      <c r="EB104" s="140">
        <f t="shared" si="585"/>
        <v>8.5913213080731854</v>
      </c>
      <c r="EC104" s="140">
        <f t="shared" si="585"/>
        <v>8.3295657570296022</v>
      </c>
      <c r="ED104" s="140">
        <f t="shared" si="585"/>
        <v>8.2599664057742146</v>
      </c>
      <c r="EE104" s="140">
        <f t="shared" ref="EE104:EI104" si="586">((EE99-EE54)/EE8)*100</f>
        <v>8.8136064639646676</v>
      </c>
      <c r="EF104" s="306">
        <f t="shared" si="586"/>
        <v>8.4950349123244671</v>
      </c>
      <c r="EG104" s="140">
        <f t="shared" si="586"/>
        <v>8.9864078537607881</v>
      </c>
      <c r="EH104" s="140">
        <f t="shared" si="586"/>
        <v>8.7027468044601584</v>
      </c>
      <c r="EI104" s="140">
        <f t="shared" si="586"/>
        <v>8.5806107797053279</v>
      </c>
      <c r="EJ104" s="140">
        <f t="shared" ref="EJ104" si="587">((EJ99-EJ54)/EJ8)*100</f>
        <v>9.1746959773392405</v>
      </c>
      <c r="EK104" s="306">
        <f t="shared" si="584"/>
        <v>8.8556693184241695</v>
      </c>
      <c r="EL104" s="140">
        <f t="shared" si="584"/>
        <v>8.9564349955463065</v>
      </c>
      <c r="EM104" s="140">
        <f t="shared" si="584"/>
        <v>8.6728746758407294</v>
      </c>
      <c r="EN104" s="140">
        <f t="shared" si="584"/>
        <v>8.547322823830612</v>
      </c>
      <c r="EO104" s="140">
        <f t="shared" si="584"/>
        <v>9.1271860441999699</v>
      </c>
      <c r="EP104" s="306">
        <f t="shared" ref="EP104" si="588">((EP99-EP54)/EP8)*100</f>
        <v>8.8205613129036582</v>
      </c>
      <c r="EQ104" s="140">
        <f t="shared" ref="EQ104:EU104" si="589">((EQ99-EQ54)/EQ8)*100</f>
        <v>8.9854605587786818</v>
      </c>
      <c r="ER104" s="140">
        <f t="shared" si="589"/>
        <v>8.6990863606541478</v>
      </c>
      <c r="ES104" s="140">
        <f t="shared" si="589"/>
        <v>8.7093951238833256</v>
      </c>
      <c r="ET104" s="140">
        <f t="shared" si="589"/>
        <v>8.9200897313929737</v>
      </c>
      <c r="EU104" s="306">
        <f t="shared" si="589"/>
        <v>8.8250855463427751</v>
      </c>
      <c r="EV104" s="140"/>
      <c r="EW104" s="140"/>
      <c r="EX104" s="140"/>
      <c r="EY104" s="140"/>
      <c r="EZ104" s="306">
        <f>((EZ99-EZ54)/EZ8)*100</f>
        <v>8.8729986431009689</v>
      </c>
      <c r="FA104" s="140"/>
      <c r="FB104" s="140"/>
      <c r="FC104" s="140"/>
      <c r="FD104" s="140"/>
      <c r="FE104" s="306">
        <f>((FE99-FE54)/FE8)*100</f>
        <v>8.939932439321634</v>
      </c>
      <c r="FF104" s="140"/>
      <c r="FG104" s="442"/>
      <c r="FL104" s="408"/>
      <c r="FM104" s="414"/>
      <c r="FN104" s="705"/>
      <c r="FO104" s="597"/>
      <c r="FP104" s="369"/>
      <c r="FQ104" s="374"/>
      <c r="FR104" s="374"/>
      <c r="FS104" s="374"/>
      <c r="FT104" s="190"/>
    </row>
    <row r="105" spans="1:183" ht="12.75" customHeight="1" x14ac:dyDescent="0.2">
      <c r="A105" s="60" t="s">
        <v>244</v>
      </c>
      <c r="B105" s="43"/>
      <c r="C105" s="43"/>
      <c r="D105" s="43"/>
      <c r="E105" s="43"/>
      <c r="F105" s="244"/>
      <c r="G105" s="43">
        <f t="shared" ref="G105:AL105" si="590">G104/B104-1</f>
        <v>4.5992084518502008E-2</v>
      </c>
      <c r="H105" s="43">
        <f t="shared" si="590"/>
        <v>3.7408943014564766E-2</v>
      </c>
      <c r="I105" s="43">
        <f t="shared" si="590"/>
        <v>6.7624864893851777E-2</v>
      </c>
      <c r="J105" s="43">
        <f t="shared" si="590"/>
        <v>0.26688447088125056</v>
      </c>
      <c r="K105" s="244">
        <f t="shared" si="590"/>
        <v>0.10716796948462548</v>
      </c>
      <c r="L105" s="43">
        <f t="shared" si="590"/>
        <v>8.8421591920329057E-2</v>
      </c>
      <c r="M105" s="43">
        <f t="shared" si="590"/>
        <v>9.2852595454832487E-2</v>
      </c>
      <c r="N105" s="43">
        <f t="shared" si="590"/>
        <v>3.9887595661086461E-2</v>
      </c>
      <c r="O105" s="43">
        <f t="shared" si="590"/>
        <v>0.11668789399106139</v>
      </c>
      <c r="P105" s="244">
        <f t="shared" si="590"/>
        <v>8.6717819905221871E-2</v>
      </c>
      <c r="Q105" s="43">
        <f t="shared" si="590"/>
        <v>2.9673385542504205E-2</v>
      </c>
      <c r="R105" s="43">
        <f t="shared" si="590"/>
        <v>2.0146961952948406E-2</v>
      </c>
      <c r="S105" s="43">
        <f t="shared" si="590"/>
        <v>6.6776736818058069E-2</v>
      </c>
      <c r="T105" s="43">
        <f t="shared" si="590"/>
        <v>-0.16662259130861123</v>
      </c>
      <c r="U105" s="244">
        <f t="shared" si="590"/>
        <v>-2.3053153958843553E-2</v>
      </c>
      <c r="V105" s="43">
        <f t="shared" si="590"/>
        <v>2.1542949734235206E-2</v>
      </c>
      <c r="W105" s="43">
        <f t="shared" si="590"/>
        <v>6.6758079688398198E-3</v>
      </c>
      <c r="X105" s="43">
        <f t="shared" si="590"/>
        <v>-1.2292861952902689E-2</v>
      </c>
      <c r="Y105" s="43">
        <f t="shared" si="590"/>
        <v>-6.1628392204041704E-2</v>
      </c>
      <c r="Z105" s="244">
        <f t="shared" si="590"/>
        <v>-1.4960367623421345E-2</v>
      </c>
      <c r="AA105" s="43">
        <f t="shared" si="590"/>
        <v>-2.8363031149150397E-2</v>
      </c>
      <c r="AB105" s="43">
        <f t="shared" si="590"/>
        <v>-1.8425269914328801E-2</v>
      </c>
      <c r="AC105" s="43">
        <f t="shared" si="590"/>
        <v>4.5077671064039926E-3</v>
      </c>
      <c r="AD105" s="43">
        <f t="shared" si="590"/>
        <v>2.3706463879758166E-2</v>
      </c>
      <c r="AE105" s="244">
        <f t="shared" si="590"/>
        <v>-4.1080737334301398E-3</v>
      </c>
      <c r="AF105" s="43">
        <f t="shared" si="590"/>
        <v>5.0483092149647524E-2</v>
      </c>
      <c r="AG105" s="43">
        <f t="shared" si="590"/>
        <v>4.920264751928749E-2</v>
      </c>
      <c r="AH105" s="43">
        <f t="shared" si="590"/>
        <v>4.2294466324857893E-2</v>
      </c>
      <c r="AI105" s="43">
        <f t="shared" si="590"/>
        <v>2.289482959549205E-2</v>
      </c>
      <c r="AJ105" s="244">
        <f t="shared" si="590"/>
        <v>4.1066124425336303E-2</v>
      </c>
      <c r="AK105" s="43">
        <f t="shared" si="590"/>
        <v>-1.5078628715577969E-3</v>
      </c>
      <c r="AL105" s="43">
        <f t="shared" si="590"/>
        <v>-3.104732891804618E-2</v>
      </c>
      <c r="AM105" s="43">
        <f t="shared" ref="AM105:CT105" si="591">AM104/AH104-1</f>
        <v>1.5509506465516409E-4</v>
      </c>
      <c r="AN105" s="43">
        <f t="shared" si="591"/>
        <v>1.7860682778119141E-2</v>
      </c>
      <c r="AO105" s="244">
        <f t="shared" si="591"/>
        <v>-3.6877006430651171E-3</v>
      </c>
      <c r="AP105" s="43">
        <f t="shared" si="591"/>
        <v>2.2464798944360265E-2</v>
      </c>
      <c r="AQ105" s="43">
        <f t="shared" si="591"/>
        <v>6.2904526279438766E-2</v>
      </c>
      <c r="AR105" s="43">
        <f t="shared" si="591"/>
        <v>2.3302606859306962E-2</v>
      </c>
      <c r="AS105" s="43">
        <f t="shared" si="591"/>
        <v>2.8821496066908869E-2</v>
      </c>
      <c r="AT105" s="244">
        <f t="shared" si="591"/>
        <v>3.4185340718562385E-2</v>
      </c>
      <c r="AU105" s="43">
        <f t="shared" si="591"/>
        <v>2.6336801856387204E-2</v>
      </c>
      <c r="AV105" s="43">
        <f t="shared" si="591"/>
        <v>8.4574954012344161E-3</v>
      </c>
      <c r="AW105" s="43">
        <f t="shared" si="591"/>
        <v>5.7973006513996062E-3</v>
      </c>
      <c r="AX105" s="43">
        <f t="shared" si="591"/>
        <v>-1.0291791017808416E-2</v>
      </c>
      <c r="AY105" s="244">
        <f t="shared" si="591"/>
        <v>7.0135588369986124E-3</v>
      </c>
      <c r="AZ105" s="43">
        <f t="shared" si="591"/>
        <v>-5.328557755400265E-2</v>
      </c>
      <c r="BA105" s="43">
        <f t="shared" si="591"/>
        <v>-3.4995604213676978E-2</v>
      </c>
      <c r="BB105" s="43">
        <f t="shared" si="591"/>
        <v>-1.1900750069677501E-2</v>
      </c>
      <c r="BC105" s="43">
        <f t="shared" si="591"/>
        <v>-3.5565908032356708E-3</v>
      </c>
      <c r="BD105" s="244">
        <f t="shared" si="591"/>
        <v>-2.5389479240449098E-2</v>
      </c>
      <c r="BE105" s="43">
        <f t="shared" si="591"/>
        <v>1.1887692634981351E-2</v>
      </c>
      <c r="BF105" s="43">
        <f t="shared" si="591"/>
        <v>-2.1458277086702227E-3</v>
      </c>
      <c r="BG105" s="43">
        <f t="shared" si="591"/>
        <v>2.4353245122992195E-3</v>
      </c>
      <c r="BH105" s="43">
        <f t="shared" si="591"/>
        <v>-2.3764439094262291E-2</v>
      </c>
      <c r="BI105" s="244">
        <f t="shared" si="591"/>
        <v>-3.2524318899894711E-3</v>
      </c>
      <c r="BJ105" s="43">
        <f t="shared" si="591"/>
        <v>-1.3137601830899182E-2</v>
      </c>
      <c r="BK105" s="43">
        <f t="shared" si="591"/>
        <v>-1.1868380381040544E-2</v>
      </c>
      <c r="BL105" s="43">
        <f t="shared" si="591"/>
        <v>-3.3281346134237499E-2</v>
      </c>
      <c r="BM105" s="43">
        <f t="shared" si="591"/>
        <v>1.6282346479798759E-2</v>
      </c>
      <c r="BN105" s="244">
        <f t="shared" si="591"/>
        <v>-1.0617698943915732E-2</v>
      </c>
      <c r="BO105" s="43">
        <f t="shared" si="591"/>
        <v>3.9130147032184759E-3</v>
      </c>
      <c r="BP105" s="43">
        <f t="shared" si="591"/>
        <v>4.4255803120094583E-3</v>
      </c>
      <c r="BQ105" s="43">
        <f t="shared" si="591"/>
        <v>1.760294019116948E-2</v>
      </c>
      <c r="BR105" s="43">
        <f t="shared" si="591"/>
        <v>3.0047511303940455E-2</v>
      </c>
      <c r="BS105" s="244">
        <f>BS104/BN104-1</f>
        <v>1.4183288098137181E-2</v>
      </c>
      <c r="BT105" s="43">
        <f t="shared" si="591"/>
        <v>2.9127189494804417E-2</v>
      </c>
      <c r="BU105" s="43">
        <f t="shared" si="591"/>
        <v>4.4271824677404759E-2</v>
      </c>
      <c r="BV105" s="43">
        <f t="shared" si="591"/>
        <v>6.0579056778808926E-4</v>
      </c>
      <c r="BW105" s="43">
        <f t="shared" si="591"/>
        <v>-4.5204035682691268E-2</v>
      </c>
      <c r="BX105" s="244">
        <f>BX104/BS104-1</f>
        <v>5.906767645675659E-3</v>
      </c>
      <c r="BY105" s="43">
        <f t="shared" si="591"/>
        <v>-7.4186514257387204E-3</v>
      </c>
      <c r="BZ105" s="43">
        <f t="shared" si="591"/>
        <v>-4.3443803369771827E-2</v>
      </c>
      <c r="CA105" s="43">
        <f t="shared" si="591"/>
        <v>1.2863820808108439E-2</v>
      </c>
      <c r="CB105" s="43">
        <f t="shared" si="591"/>
        <v>7.3088887048221141E-2</v>
      </c>
      <c r="CC105" s="244">
        <f>CC104/BX104-1</f>
        <v>8.6976798713949144E-3</v>
      </c>
      <c r="CD105" s="43">
        <f t="shared" si="591"/>
        <v>-1.1321196462846794E-3</v>
      </c>
      <c r="CE105" s="43">
        <f t="shared" si="591"/>
        <v>5.0176458300481563E-2</v>
      </c>
      <c r="CF105" s="43">
        <f t="shared" si="591"/>
        <v>-6.3223225352777579E-3</v>
      </c>
      <c r="CG105" s="43">
        <f t="shared" si="591"/>
        <v>-3.2090088064037459E-2</v>
      </c>
      <c r="CH105" s="244">
        <f>CH104/CC104-1</f>
        <v>1.9021281822777514E-3</v>
      </c>
      <c r="CI105" s="43">
        <f t="shared" si="591"/>
        <v>1.7554150687680625E-2</v>
      </c>
      <c r="CJ105" s="43">
        <f t="shared" si="591"/>
        <v>-1.2973526355563592E-2</v>
      </c>
      <c r="CK105" s="43">
        <f t="shared" si="591"/>
        <v>6.2763896430113597E-3</v>
      </c>
      <c r="CL105" s="43">
        <f t="shared" si="591"/>
        <v>1.7620227664447929E-2</v>
      </c>
      <c r="CM105" s="244">
        <f>CM104/CH104-1</f>
        <v>6.9413402050670925E-3</v>
      </c>
      <c r="CN105" s="43">
        <f t="shared" si="591"/>
        <v>2.4147346556706362E-2</v>
      </c>
      <c r="CO105" s="43">
        <f t="shared" si="591"/>
        <v>1.8873554984055962E-2</v>
      </c>
      <c r="CP105" s="43">
        <f t="shared" si="591"/>
        <v>6.8878276644216196E-2</v>
      </c>
      <c r="CQ105" s="43">
        <f t="shared" si="591"/>
        <v>4.3046154763906941E-2</v>
      </c>
      <c r="CR105" s="110">
        <f t="shared" ref="CR105:CW105" si="592">CR104/CM104-1</f>
        <v>3.8739478682205508E-2</v>
      </c>
      <c r="CS105" s="43">
        <f t="shared" si="591"/>
        <v>4.5786735993553096E-2</v>
      </c>
      <c r="CT105" s="43">
        <f t="shared" si="591"/>
        <v>1.1137143709142538E-2</v>
      </c>
      <c r="CU105" s="43">
        <f t="shared" si="592"/>
        <v>6.5329445746460379E-3</v>
      </c>
      <c r="CV105" s="43">
        <f t="shared" si="592"/>
        <v>5.8511722110984987E-2</v>
      </c>
      <c r="CW105" s="110">
        <f t="shared" si="592"/>
        <v>2.975680363236477E-2</v>
      </c>
      <c r="CX105" s="43">
        <f t="shared" ref="CX105:DN105" si="593">CX104/CS104-1</f>
        <v>8.6934311864226954E-2</v>
      </c>
      <c r="CY105" s="43">
        <f t="shared" si="593"/>
        <v>5.758178184847651E-2</v>
      </c>
      <c r="CZ105" s="43">
        <f t="shared" si="593"/>
        <v>5.2231253732344607E-2</v>
      </c>
      <c r="DA105" s="43">
        <f t="shared" si="593"/>
        <v>6.4057661625221973E-2</v>
      </c>
      <c r="DB105" s="110">
        <f t="shared" si="593"/>
        <v>6.497042523337071E-2</v>
      </c>
      <c r="DC105" s="43">
        <f t="shared" si="593"/>
        <v>2.7024136861640402E-2</v>
      </c>
      <c r="DD105" s="43">
        <f t="shared" si="593"/>
        <v>3.0723859598899228E-2</v>
      </c>
      <c r="DE105" s="43">
        <f t="shared" si="593"/>
        <v>1.6917743776549532E-2</v>
      </c>
      <c r="DF105" s="43">
        <f t="shared" si="593"/>
        <v>5.0258123782989106E-3</v>
      </c>
      <c r="DG105" s="110">
        <f t="shared" si="593"/>
        <v>1.9612729097291615E-2</v>
      </c>
      <c r="DH105" s="43">
        <f t="shared" si="593"/>
        <v>2.0232445492953888E-2</v>
      </c>
      <c r="DI105" s="43">
        <f t="shared" si="593"/>
        <v>4.3162781728336874E-2</v>
      </c>
      <c r="DJ105" s="43">
        <f t="shared" si="593"/>
        <v>5.6632178176608594E-2</v>
      </c>
      <c r="DK105" s="43">
        <f t="shared" si="593"/>
        <v>5.8254642671112578E-2</v>
      </c>
      <c r="DL105" s="110">
        <f t="shared" si="593"/>
        <v>4.485653000664569E-2</v>
      </c>
      <c r="DM105" s="43">
        <f t="shared" si="593"/>
        <v>3.4374660955614367E-2</v>
      </c>
      <c r="DN105" s="43">
        <f t="shared" si="593"/>
        <v>1.8776971823090793E-2</v>
      </c>
      <c r="DO105" s="43">
        <f t="shared" ref="DO105:DT105" si="594">DO104/DJ104-1</f>
        <v>2.4923315877902974E-2</v>
      </c>
      <c r="DP105" s="43">
        <f t="shared" si="594"/>
        <v>1.3766034110326952E-2</v>
      </c>
      <c r="DQ105" s="110">
        <f t="shared" si="594"/>
        <v>2.2736015036791457E-2</v>
      </c>
      <c r="DR105" s="43">
        <f t="shared" si="594"/>
        <v>4.0522388430351608E-2</v>
      </c>
      <c r="DS105" s="43">
        <f t="shared" si="594"/>
        <v>3.3017400120914031E-2</v>
      </c>
      <c r="DT105" s="43">
        <f t="shared" si="594"/>
        <v>2.6279229658307424E-2</v>
      </c>
      <c r="DU105" s="43">
        <f>DU104/DP104-1</f>
        <v>2.6700895203229269E-2</v>
      </c>
      <c r="DV105" s="110">
        <f>DV104/DQ104-1</f>
        <v>3.1572835268890431E-2</v>
      </c>
      <c r="DW105" s="43">
        <f>DW104/DR104-1</f>
        <v>-1.678674156523563E-3</v>
      </c>
      <c r="DX105" s="43">
        <f>DX104/DS104-1</f>
        <v>-1.1958219312524498E-3</v>
      </c>
      <c r="DY105" s="43">
        <f>DY104/DT104-1</f>
        <v>7.491650241609138E-3</v>
      </c>
      <c r="DZ105" s="43">
        <f t="shared" ref="DZ105:EA105" si="595">DZ104/DU104-1</f>
        <v>-5.4996904962074655E-3</v>
      </c>
      <c r="EA105" s="110">
        <f t="shared" si="595"/>
        <v>-2.2496174997643781E-4</v>
      </c>
      <c r="EB105" s="43">
        <f>EB104/DW104-1</f>
        <v>1.3637648908260136E-3</v>
      </c>
      <c r="EC105" s="43">
        <f>EC104/DX104-1</f>
        <v>2.5411712589890056E-2</v>
      </c>
      <c r="ED105" s="43">
        <f>ED104/DY104-1</f>
        <v>-2.5400634256780297E-3</v>
      </c>
      <c r="EE105" s="43">
        <f t="shared" ref="EE105" si="596">EE104/DZ104-1</f>
        <v>3.628949076179766E-2</v>
      </c>
      <c r="EF105" s="110">
        <f t="shared" ref="EF105" si="597">EF104/EA104-1</f>
        <v>1.5540180962970274E-2</v>
      </c>
      <c r="EG105" s="43">
        <f>EG104/EB104-1</f>
        <v>4.5986703502328918E-2</v>
      </c>
      <c r="EH105" s="43">
        <f>EH104/EC104-1</f>
        <v>4.4801981077538855E-2</v>
      </c>
      <c r="EI105" s="43">
        <f>EI104/ED104-1</f>
        <v>3.8819089349681146E-2</v>
      </c>
      <c r="EJ105" s="43">
        <f t="shared" ref="EJ105" si="598">EJ104/EE104-1</f>
        <v>4.0969552572028833E-2</v>
      </c>
      <c r="EK105" s="110">
        <f>EK104/EF104-1</f>
        <v>4.2452374807371296E-2</v>
      </c>
      <c r="EL105" s="43"/>
      <c r="EM105" s="43"/>
      <c r="EN105" s="43"/>
      <c r="EO105" s="43"/>
      <c r="EP105" s="110"/>
      <c r="EQ105" s="43">
        <f>EQ104/EL104-1</f>
        <v>3.2407496115149925E-3</v>
      </c>
      <c r="ER105" s="43">
        <f>ER104/EM104-1</f>
        <v>3.0222602992793224E-3</v>
      </c>
      <c r="ES105" s="43">
        <f>ES104/EN104-1</f>
        <v>1.8961761874822791E-2</v>
      </c>
      <c r="ET105" s="43">
        <f t="shared" ref="ET105" si="599">ET104/EO104-1</f>
        <v>-2.2690050559295738E-2</v>
      </c>
      <c r="EU105" s="110">
        <f>EU104/EP104-1</f>
        <v>5.1291899445193856E-4</v>
      </c>
      <c r="EV105" s="43"/>
      <c r="EW105" s="43"/>
      <c r="EX105" s="43"/>
      <c r="EY105" s="43"/>
      <c r="EZ105" s="110">
        <f>EZ104/EU104-1</f>
        <v>5.4291934629517868E-3</v>
      </c>
      <c r="FA105" s="43"/>
      <c r="FB105" s="43"/>
      <c r="FC105" s="43"/>
      <c r="FD105" s="43"/>
      <c r="FE105" s="110">
        <f>FE104/EZ104-1</f>
        <v>7.5435372992769256E-3</v>
      </c>
      <c r="FF105" s="43"/>
      <c r="FG105" s="435"/>
      <c r="FL105" s="408"/>
      <c r="FM105" s="413"/>
      <c r="FN105" s="369"/>
      <c r="FO105" s="597"/>
      <c r="FP105" s="369"/>
      <c r="FQ105" s="369"/>
      <c r="FR105" s="369"/>
      <c r="FS105" s="369"/>
      <c r="FT105" s="190"/>
    </row>
    <row r="106" spans="1:183" ht="12.75" customHeight="1" x14ac:dyDescent="0.2">
      <c r="A106" s="81" t="s">
        <v>118</v>
      </c>
      <c r="B106" s="140"/>
      <c r="C106" s="140"/>
      <c r="D106" s="140"/>
      <c r="E106" s="140"/>
      <c r="F106" s="251"/>
      <c r="G106" s="140"/>
      <c r="H106" s="140"/>
      <c r="I106" s="140"/>
      <c r="J106" s="140"/>
      <c r="K106" s="251"/>
      <c r="L106" s="140"/>
      <c r="M106" s="140"/>
      <c r="N106" s="140"/>
      <c r="O106" s="140"/>
      <c r="P106" s="251"/>
      <c r="Q106" s="140"/>
      <c r="R106" s="140"/>
      <c r="S106" s="140"/>
      <c r="T106" s="140"/>
      <c r="U106" s="251"/>
      <c r="V106" s="140"/>
      <c r="W106" s="140"/>
      <c r="X106" s="140"/>
      <c r="Y106" s="140"/>
      <c r="Z106" s="251"/>
      <c r="AA106" s="140"/>
      <c r="AB106" s="140"/>
      <c r="AC106" s="140"/>
      <c r="AD106" s="140"/>
      <c r="AE106" s="251"/>
      <c r="AF106" s="140"/>
      <c r="AG106" s="140"/>
      <c r="AH106" s="140"/>
      <c r="AI106" s="140"/>
      <c r="AJ106" s="251"/>
      <c r="AK106" s="140"/>
      <c r="AL106" s="140"/>
      <c r="AM106" s="140"/>
      <c r="AN106" s="140"/>
      <c r="AO106" s="251"/>
      <c r="AP106" s="140"/>
      <c r="AQ106" s="140"/>
      <c r="AR106" s="140"/>
      <c r="AS106" s="140"/>
      <c r="AT106" s="251"/>
      <c r="AU106" s="140"/>
      <c r="AV106" s="140"/>
      <c r="AW106" s="140"/>
      <c r="AX106" s="140"/>
      <c r="AY106" s="251"/>
      <c r="AZ106" s="140"/>
      <c r="BA106" s="140"/>
      <c r="BB106" s="140"/>
      <c r="BC106" s="140"/>
      <c r="BD106" s="251"/>
      <c r="BE106" s="140"/>
      <c r="BF106" s="140"/>
      <c r="BG106" s="140"/>
      <c r="BH106" s="140"/>
      <c r="BI106" s="251"/>
      <c r="BJ106" s="140"/>
      <c r="BK106" s="140"/>
      <c r="BL106" s="140"/>
      <c r="BM106" s="140"/>
      <c r="BN106" s="251"/>
      <c r="BO106" s="140"/>
      <c r="BP106" s="140"/>
      <c r="BQ106" s="140"/>
      <c r="BR106" s="140"/>
      <c r="BS106" s="251"/>
      <c r="BT106" s="140"/>
      <c r="BU106" s="140"/>
      <c r="BV106" s="140"/>
      <c r="BW106" s="140"/>
      <c r="BX106" s="251"/>
      <c r="BY106" s="140"/>
      <c r="BZ106" s="140"/>
      <c r="CA106" s="140"/>
      <c r="CB106" s="140"/>
      <c r="CC106" s="251"/>
      <c r="CD106" s="140"/>
      <c r="CE106" s="140"/>
      <c r="CF106" s="140"/>
      <c r="CG106" s="140"/>
      <c r="CH106" s="251"/>
      <c r="CI106" s="140"/>
      <c r="CJ106" s="140"/>
      <c r="CK106" s="140"/>
      <c r="CL106" s="140"/>
      <c r="CM106" s="251"/>
      <c r="CN106" s="140"/>
      <c r="CO106" s="140"/>
      <c r="CP106" s="140"/>
      <c r="CQ106" s="140"/>
      <c r="CR106" s="306"/>
      <c r="CS106" s="140"/>
      <c r="CT106" s="140"/>
      <c r="CU106" s="140"/>
      <c r="CV106" s="140"/>
      <c r="CW106" s="306"/>
      <c r="CX106" s="140"/>
      <c r="CY106" s="140"/>
      <c r="CZ106" s="140"/>
      <c r="DA106" s="140"/>
      <c r="DB106" s="306"/>
      <c r="DC106" s="140">
        <f t="shared" ref="DC106:EO106" si="600">((DC99-DC54-DC41)/DC8)*100</f>
        <v>7.8100170258723915</v>
      </c>
      <c r="DD106" s="140">
        <f t="shared" si="600"/>
        <v>7.3099665106027958</v>
      </c>
      <c r="DE106" s="140">
        <f t="shared" si="600"/>
        <v>7.2873327158709493</v>
      </c>
      <c r="DF106" s="140">
        <f t="shared" si="600"/>
        <v>7.7034756797822039</v>
      </c>
      <c r="DG106" s="306">
        <f t="shared" si="600"/>
        <v>7.5177124034497051</v>
      </c>
      <c r="DH106" s="140">
        <f t="shared" si="600"/>
        <v>7.9848808272858856</v>
      </c>
      <c r="DI106" s="140">
        <f t="shared" si="600"/>
        <v>7.5081425730973343</v>
      </c>
      <c r="DJ106" s="140">
        <f t="shared" si="600"/>
        <v>7.72653460358449</v>
      </c>
      <c r="DK106" s="140">
        <f t="shared" si="600"/>
        <v>8.1555726781262514</v>
      </c>
      <c r="DL106" s="306">
        <f t="shared" si="600"/>
        <v>7.83610229758796</v>
      </c>
      <c r="DM106" s="140">
        <f t="shared" si="600"/>
        <v>8.2106593513338861</v>
      </c>
      <c r="DN106" s="140">
        <f t="shared" si="600"/>
        <v>7.645062728221701</v>
      </c>
      <c r="DO106" s="140">
        <f t="shared" si="600"/>
        <v>7.8025226979962685</v>
      </c>
      <c r="DP106" s="140">
        <f t="shared" si="600"/>
        <v>8.1226060657113184</v>
      </c>
      <c r="DQ106" s="306">
        <f t="shared" si="600"/>
        <v>7.9359190190099325</v>
      </c>
      <c r="DR106" s="140">
        <f t="shared" si="600"/>
        <v>8.4988860552705869</v>
      </c>
      <c r="DS106" s="140">
        <f t="shared" si="600"/>
        <v>7.7603928553705614</v>
      </c>
      <c r="DT106" s="140">
        <f t="shared" si="600"/>
        <v>7.9234415001984262</v>
      </c>
      <c r="DU106" s="140">
        <f t="shared" si="600"/>
        <v>8.2456952539285133</v>
      </c>
      <c r="DV106" s="306">
        <f t="shared" si="600"/>
        <v>8.0951753853906538</v>
      </c>
      <c r="DW106" s="140">
        <f t="shared" si="600"/>
        <v>8.189497225246626</v>
      </c>
      <c r="DX106" s="140">
        <f t="shared" si="600"/>
        <v>7.6241849784639397</v>
      </c>
      <c r="DY106" s="140">
        <f t="shared" si="600"/>
        <v>7.7942065448232887</v>
      </c>
      <c r="DZ106" s="140">
        <f t="shared" ref="DZ106:EG106" si="601">((DZ99-DZ54-DZ41)/DZ8)*100</f>
        <v>8.1204325747646706</v>
      </c>
      <c r="EA106" s="306">
        <f t="shared" si="601"/>
        <v>7.9230522165083777</v>
      </c>
      <c r="EB106" s="140">
        <f t="shared" si="601"/>
        <v>8.1518312741618519</v>
      </c>
      <c r="EC106" s="140">
        <f t="shared" si="601"/>
        <v>7.7906554096840939</v>
      </c>
      <c r="ED106" s="140">
        <f t="shared" si="601"/>
        <v>7.993345566214229</v>
      </c>
      <c r="EE106" s="140">
        <f t="shared" si="601"/>
        <v>8.4824905216715525</v>
      </c>
      <c r="EF106" s="306">
        <f t="shared" ref="EF106" si="602">((EF99-EF54-EF41)/EF8)*100</f>
        <v>8.1011540037321073</v>
      </c>
      <c r="EG106" s="140">
        <f t="shared" si="601"/>
        <v>8.7166521298304325</v>
      </c>
      <c r="EH106" s="140">
        <f t="shared" ref="EH106:EJ106" si="603">((EH99-EH54-EH41)/EH8)*100</f>
        <v>8.199899306033112</v>
      </c>
      <c r="EI106" s="140">
        <f t="shared" si="603"/>
        <v>8.2554130569292674</v>
      </c>
      <c r="EJ106" s="140">
        <f t="shared" si="603"/>
        <v>8.8711602933938973</v>
      </c>
      <c r="EK106" s="306">
        <f t="shared" si="600"/>
        <v>8.5026388184679025</v>
      </c>
      <c r="EL106" s="140">
        <f t="shared" si="600"/>
        <v>8.6866792716159473</v>
      </c>
      <c r="EM106" s="140">
        <f t="shared" si="600"/>
        <v>8.1700271774136848</v>
      </c>
      <c r="EN106" s="140">
        <f t="shared" si="600"/>
        <v>8.2221251010545533</v>
      </c>
      <c r="EO106" s="140">
        <f t="shared" si="600"/>
        <v>8.823650360254625</v>
      </c>
      <c r="EP106" s="306">
        <f t="shared" ref="EP106" si="604">((EP99-EP54-EP41)/EP8)*100</f>
        <v>8.4675308129473894</v>
      </c>
      <c r="EQ106" s="140">
        <f>((EQ99-EQ54-EQ41)/EQ8)*100</f>
        <v>8.7183227850310505</v>
      </c>
      <c r="ER106" s="140">
        <f t="shared" ref="ER106:EU106" si="605">((ER99-ER54-ER41)/ER8)*100</f>
        <v>8.210791950528872</v>
      </c>
      <c r="ES106" s="140">
        <f t="shared" si="605"/>
        <v>8.2908335485355789</v>
      </c>
      <c r="ET106" s="140">
        <f t="shared" si="605"/>
        <v>8.5385705713351889</v>
      </c>
      <c r="EU106" s="306">
        <f t="shared" si="605"/>
        <v>8.433141700967953</v>
      </c>
      <c r="EV106" s="140"/>
      <c r="EW106" s="140"/>
      <c r="EX106" s="140"/>
      <c r="EY106" s="140"/>
      <c r="EZ106" s="306">
        <f>((EZ99-EZ54-EZ41)/EZ8)*100</f>
        <v>8.4413385290343612</v>
      </c>
      <c r="FA106" s="140"/>
      <c r="FB106" s="140"/>
      <c r="FC106" s="140"/>
      <c r="FD106" s="140"/>
      <c r="FE106" s="306">
        <f>((FE99-FE54-FE41)/FE8)*100</f>
        <v>8.4704192265195477</v>
      </c>
      <c r="FF106" s="140"/>
      <c r="FG106" s="442"/>
      <c r="FL106" s="408"/>
      <c r="FM106" s="408"/>
      <c r="FN106" s="374"/>
      <c r="FO106" s="374"/>
      <c r="FP106" s="374"/>
      <c r="FQ106" s="374"/>
      <c r="FR106" s="374"/>
      <c r="FS106" s="374"/>
      <c r="FT106" s="190"/>
    </row>
    <row r="107" spans="1:183" ht="12.75" customHeight="1" x14ac:dyDescent="0.2">
      <c r="A107" s="60" t="s">
        <v>244</v>
      </c>
      <c r="B107" s="138"/>
      <c r="C107" s="138"/>
      <c r="D107" s="138"/>
      <c r="E107" s="138"/>
      <c r="F107" s="260"/>
      <c r="G107" s="138"/>
      <c r="H107" s="138"/>
      <c r="I107" s="138"/>
      <c r="J107" s="138"/>
      <c r="K107" s="260"/>
      <c r="L107" s="138"/>
      <c r="M107" s="138"/>
      <c r="N107" s="138"/>
      <c r="O107" s="138"/>
      <c r="P107" s="260"/>
      <c r="Q107" s="138"/>
      <c r="R107" s="138"/>
      <c r="S107" s="138"/>
      <c r="T107" s="138"/>
      <c r="U107" s="260"/>
      <c r="V107" s="138"/>
      <c r="W107" s="138"/>
      <c r="X107" s="138"/>
      <c r="Y107" s="138"/>
      <c r="Z107" s="260"/>
      <c r="AA107" s="138"/>
      <c r="AB107" s="138"/>
      <c r="AC107" s="138"/>
      <c r="AD107" s="138"/>
      <c r="AE107" s="260"/>
      <c r="AF107" s="138"/>
      <c r="AG107" s="138"/>
      <c r="AH107" s="138"/>
      <c r="AI107" s="138"/>
      <c r="AJ107" s="260"/>
      <c r="AK107" s="138"/>
      <c r="AL107" s="138"/>
      <c r="AM107" s="138"/>
      <c r="AN107" s="138"/>
      <c r="AO107" s="260"/>
      <c r="AP107" s="138"/>
      <c r="AQ107" s="138"/>
      <c r="AR107" s="138"/>
      <c r="AS107" s="138"/>
      <c r="AT107" s="260"/>
      <c r="AU107" s="138"/>
      <c r="AV107" s="138"/>
      <c r="AW107" s="138"/>
      <c r="AX107" s="138"/>
      <c r="AY107" s="260"/>
      <c r="AZ107" s="138"/>
      <c r="BA107" s="138"/>
      <c r="BB107" s="138"/>
      <c r="BC107" s="138"/>
      <c r="BD107" s="260"/>
      <c r="BE107" s="138"/>
      <c r="BF107" s="138"/>
      <c r="BG107" s="138"/>
      <c r="BH107" s="138"/>
      <c r="BI107" s="260"/>
      <c r="BJ107" s="138"/>
      <c r="BK107" s="138"/>
      <c r="BL107" s="138"/>
      <c r="BM107" s="138"/>
      <c r="BN107" s="260"/>
      <c r="BO107" s="138"/>
      <c r="BP107" s="138"/>
      <c r="BQ107" s="138"/>
      <c r="BR107" s="138"/>
      <c r="BS107" s="260"/>
      <c r="BT107" s="138"/>
      <c r="BU107" s="138"/>
      <c r="BV107" s="138"/>
      <c r="BW107" s="138"/>
      <c r="BX107" s="260"/>
      <c r="BY107" s="138"/>
      <c r="BZ107" s="138"/>
      <c r="CA107" s="138"/>
      <c r="CB107" s="138"/>
      <c r="CC107" s="260"/>
      <c r="CD107" s="138"/>
      <c r="CE107" s="138"/>
      <c r="CF107" s="138"/>
      <c r="CG107" s="138"/>
      <c r="CH107" s="260"/>
      <c r="CI107" s="138"/>
      <c r="CJ107" s="138"/>
      <c r="CK107" s="138"/>
      <c r="CL107" s="138"/>
      <c r="CM107" s="260"/>
      <c r="CN107" s="138"/>
      <c r="CO107" s="138"/>
      <c r="CP107" s="138"/>
      <c r="CQ107" s="138"/>
      <c r="CR107" s="310"/>
      <c r="CS107" s="138"/>
      <c r="CT107" s="138"/>
      <c r="CU107" s="138"/>
      <c r="CV107" s="138"/>
      <c r="CW107" s="310"/>
      <c r="CX107" s="138"/>
      <c r="CY107" s="138"/>
      <c r="CZ107" s="138"/>
      <c r="DA107" s="138"/>
      <c r="DB107" s="310"/>
      <c r="DC107" s="138"/>
      <c r="DD107" s="138"/>
      <c r="DE107" s="138"/>
      <c r="DF107" s="138"/>
      <c r="DG107" s="310"/>
      <c r="DH107" s="138">
        <f t="shared" ref="DH107:DT107" si="606">DH106/DC106-1</f>
        <v>2.2389682485226325E-2</v>
      </c>
      <c r="DI107" s="138">
        <f t="shared" si="606"/>
        <v>2.7110392668296512E-2</v>
      </c>
      <c r="DJ107" s="138">
        <f t="shared" si="606"/>
        <v>6.0269223986028742E-2</v>
      </c>
      <c r="DK107" s="138">
        <f t="shared" si="606"/>
        <v>5.8687405157983097E-2</v>
      </c>
      <c r="DL107" s="310">
        <f t="shared" si="606"/>
        <v>4.2351965205818853E-2</v>
      </c>
      <c r="DM107" s="138">
        <f t="shared" si="606"/>
        <v>2.8275753756583422E-2</v>
      </c>
      <c r="DN107" s="138">
        <f t="shared" si="606"/>
        <v>1.8236222047110617E-2</v>
      </c>
      <c r="DO107" s="138">
        <f t="shared" si="606"/>
        <v>9.8346928229022801E-3</v>
      </c>
      <c r="DP107" s="138">
        <f t="shared" si="606"/>
        <v>-4.0422191936749785E-3</v>
      </c>
      <c r="DQ107" s="310">
        <f t="shared" si="606"/>
        <v>1.2738057471850084E-2</v>
      </c>
      <c r="DR107" s="138">
        <f>DR106/DM106-1</f>
        <v>3.5103965662620862E-2</v>
      </c>
      <c r="DS107" s="138">
        <f t="shared" si="606"/>
        <v>1.5085569765584728E-2</v>
      </c>
      <c r="DT107" s="138">
        <f t="shared" si="606"/>
        <v>1.5497398326468126E-2</v>
      </c>
      <c r="DU107" s="138">
        <f>DU106/DP106-1</f>
        <v>1.515390346662282E-2</v>
      </c>
      <c r="DV107" s="310">
        <f>DV106/DQ106-1</f>
        <v>2.0067791266422219E-2</v>
      </c>
      <c r="DW107" s="138">
        <f t="shared" ref="DW107:ED107" si="607">DW106/DR106-1</f>
        <v>-3.6403456642661203E-2</v>
      </c>
      <c r="DX107" s="138">
        <f t="shared" si="607"/>
        <v>-1.7551672891451542E-2</v>
      </c>
      <c r="DY107" s="138">
        <f t="shared" si="607"/>
        <v>-1.6310457440987136E-2</v>
      </c>
      <c r="DZ107" s="138">
        <f t="shared" si="607"/>
        <v>-1.5191281669567402E-2</v>
      </c>
      <c r="EA107" s="310">
        <f t="shared" si="607"/>
        <v>-2.126243851280929E-2</v>
      </c>
      <c r="EB107" s="138">
        <f t="shared" si="607"/>
        <v>-4.5992995722200503E-3</v>
      </c>
      <c r="EC107" s="138">
        <f t="shared" si="607"/>
        <v>2.1834521550878394E-2</v>
      </c>
      <c r="ED107" s="138">
        <f t="shared" si="607"/>
        <v>2.5549620765849879E-2</v>
      </c>
      <c r="EE107" s="138">
        <f t="shared" ref="EE107" si="608">EE106/DZ106-1</f>
        <v>4.4586041885505523E-2</v>
      </c>
      <c r="EF107" s="310">
        <f t="shared" ref="EF107:EJ107" si="609">EF106/EA106-1</f>
        <v>2.2478936444800812E-2</v>
      </c>
      <c r="EG107" s="138">
        <f t="shared" si="609"/>
        <v>6.9287603812267839E-2</v>
      </c>
      <c r="EH107" s="138">
        <f t="shared" si="609"/>
        <v>5.2530098538347891E-2</v>
      </c>
      <c r="EI107" s="138">
        <f t="shared" si="609"/>
        <v>3.2785707629447325E-2</v>
      </c>
      <c r="EJ107" s="138">
        <f t="shared" si="609"/>
        <v>4.5820242383926013E-2</v>
      </c>
      <c r="EK107" s="731">
        <f>EK106/EF106-1</f>
        <v>4.9558965864719529E-2</v>
      </c>
      <c r="EL107" s="138"/>
      <c r="EM107" s="138"/>
      <c r="EN107" s="138"/>
      <c r="EO107" s="138"/>
      <c r="EP107" s="731"/>
      <c r="EQ107" s="138">
        <f t="shared" ref="EQ107" si="610">EQ106/EL106-1</f>
        <v>3.6427629506823322E-3</v>
      </c>
      <c r="ER107" s="138">
        <f t="shared" ref="ER107" si="611">ER106/EM106-1</f>
        <v>4.9895517150644331E-3</v>
      </c>
      <c r="ES107" s="138">
        <f t="shared" ref="ES107" si="612">ES106/EN106-1</f>
        <v>8.356531509379872E-3</v>
      </c>
      <c r="ET107" s="138">
        <f t="shared" ref="ET107" si="613">ET106/EO106-1</f>
        <v>-3.2308599874214639E-2</v>
      </c>
      <c r="EU107" s="731">
        <f>EU106/EP106-1</f>
        <v>-4.0612916255177156E-3</v>
      </c>
      <c r="EV107" s="138"/>
      <c r="EW107" s="138"/>
      <c r="EX107" s="138"/>
      <c r="EY107" s="138"/>
      <c r="EZ107" s="310">
        <f>EZ106/EU106-1</f>
        <v>9.7197798365789012E-4</v>
      </c>
      <c r="FA107" s="138"/>
      <c r="FB107" s="138"/>
      <c r="FC107" s="138"/>
      <c r="FD107" s="138"/>
      <c r="FE107" s="310">
        <f>FE106/EZ106-1</f>
        <v>3.4450339108142991E-3</v>
      </c>
      <c r="FF107" s="43"/>
      <c r="FG107" s="435"/>
      <c r="FL107" s="408" t="s">
        <v>609</v>
      </c>
      <c r="FM107" s="408"/>
      <c r="FN107" s="369"/>
      <c r="FO107" s="369"/>
      <c r="FP107" s="369"/>
      <c r="FQ107" s="369"/>
      <c r="FR107" s="369"/>
      <c r="FS107" s="369"/>
      <c r="FT107" s="190"/>
    </row>
    <row r="108" spans="1:183" s="7" customFormat="1" ht="12.75" customHeight="1" x14ac:dyDescent="0.2">
      <c r="A108" s="7" t="s">
        <v>366</v>
      </c>
      <c r="F108" s="99"/>
      <c r="K108" s="99"/>
      <c r="P108" s="99"/>
      <c r="U108" s="99"/>
      <c r="Z108" s="99"/>
      <c r="AE108" s="99"/>
      <c r="AJ108" s="99"/>
      <c r="AO108" s="99"/>
      <c r="AT108" s="99"/>
      <c r="AY108" s="99"/>
      <c r="BD108" s="99"/>
      <c r="BI108" s="99"/>
      <c r="BN108" s="99"/>
      <c r="BS108" s="99"/>
      <c r="BX108" s="99"/>
      <c r="CC108" s="99"/>
      <c r="CH108" s="99"/>
      <c r="CM108" s="99"/>
      <c r="CR108" s="99"/>
      <c r="CW108" s="99"/>
      <c r="DB108" s="99"/>
      <c r="DG108" s="99"/>
      <c r="DL108" s="99"/>
      <c r="DQ108" s="99"/>
      <c r="DV108" s="99"/>
      <c r="EA108" s="99"/>
      <c r="EF108" s="99"/>
      <c r="EK108" s="99"/>
      <c r="EP108" s="99"/>
      <c r="EU108" s="99"/>
      <c r="EZ108" s="99"/>
      <c r="FE108" s="99"/>
      <c r="FF108" s="336"/>
      <c r="FG108" s="6"/>
      <c r="FH108" s="346"/>
      <c r="FI108" s="336"/>
      <c r="FJ108" s="336"/>
      <c r="FK108" s="336"/>
      <c r="FL108" s="408" t="s">
        <v>585</v>
      </c>
      <c r="FM108" s="425"/>
      <c r="FN108" s="373"/>
      <c r="FO108" s="373"/>
      <c r="FP108" s="373"/>
      <c r="FQ108" s="373"/>
      <c r="FR108" s="373"/>
      <c r="FS108" s="373"/>
      <c r="FT108" s="6"/>
      <c r="FU108"/>
      <c r="FV108"/>
      <c r="FW108"/>
      <c r="FX108"/>
      <c r="FY108"/>
      <c r="FZ108"/>
      <c r="GA108" s="341"/>
    </row>
    <row r="109" spans="1:183" ht="12.75" customHeight="1" x14ac:dyDescent="0.2">
      <c r="A109" s="37" t="s">
        <v>411</v>
      </c>
      <c r="B109" s="37">
        <f>B34</f>
        <v>260.57900000000001</v>
      </c>
      <c r="C109" s="37">
        <f>C34</f>
        <v>308.20999999999998</v>
      </c>
      <c r="D109" s="37">
        <f>D34</f>
        <v>316.37899999999996</v>
      </c>
      <c r="E109" s="37">
        <f>E34</f>
        <v>301.59100000000007</v>
      </c>
      <c r="F109" s="261">
        <f>SUM(B109:E109)</f>
        <v>1186.759</v>
      </c>
      <c r="G109" s="37">
        <f t="shared" ref="G109:Y109" si="614">G34</f>
        <v>282.80899999999997</v>
      </c>
      <c r="H109" s="37">
        <f t="shared" si="614"/>
        <v>324.654</v>
      </c>
      <c r="I109" s="37">
        <f t="shared" si="614"/>
        <v>355.25600000000003</v>
      </c>
      <c r="J109" s="37">
        <f t="shared" si="614"/>
        <v>416.56769999999995</v>
      </c>
      <c r="K109" s="261">
        <f t="shared" si="614"/>
        <v>1379.2866999999999</v>
      </c>
      <c r="L109" s="37">
        <f t="shared" si="614"/>
        <v>373.87799999999999</v>
      </c>
      <c r="M109" s="37">
        <f t="shared" si="614"/>
        <v>416.82799999999997</v>
      </c>
      <c r="N109" s="37">
        <f t="shared" si="614"/>
        <v>447.291</v>
      </c>
      <c r="O109" s="37">
        <f t="shared" si="614"/>
        <v>564.98199999999997</v>
      </c>
      <c r="P109" s="261">
        <f t="shared" si="614"/>
        <v>1802.9789999999998</v>
      </c>
      <c r="Q109" s="37">
        <f t="shared" si="614"/>
        <v>453.803</v>
      </c>
      <c r="R109" s="37">
        <f t="shared" si="614"/>
        <v>520.45400000000006</v>
      </c>
      <c r="S109" s="37">
        <f t="shared" si="614"/>
        <v>554.375</v>
      </c>
      <c r="T109" s="37">
        <f t="shared" si="614"/>
        <v>768.04100000000005</v>
      </c>
      <c r="U109" s="261">
        <f t="shared" si="614"/>
        <v>2296.6730000000002</v>
      </c>
      <c r="V109" s="37">
        <f t="shared" si="614"/>
        <v>619.41199999999992</v>
      </c>
      <c r="W109" s="37">
        <f t="shared" si="614"/>
        <v>661.05600000000004</v>
      </c>
      <c r="X109" s="37">
        <f t="shared" si="614"/>
        <v>685.2890000000001</v>
      </c>
      <c r="Y109" s="37">
        <f t="shared" si="614"/>
        <v>626.17599999999993</v>
      </c>
      <c r="Z109" s="261">
        <f>SUM(V109:Y109)</f>
        <v>2591.933</v>
      </c>
      <c r="AA109" s="37">
        <f>AA34</f>
        <v>620.99899999999991</v>
      </c>
      <c r="AB109" s="37">
        <f>AB34</f>
        <v>738.20499999999993</v>
      </c>
      <c r="AC109" s="37">
        <f>AC34</f>
        <v>764.97499999999991</v>
      </c>
      <c r="AD109" s="37">
        <f>AD34</f>
        <v>748.57199999999966</v>
      </c>
      <c r="AE109" s="261">
        <f>SUM(AA109:AD109)</f>
        <v>2872.7509999999993</v>
      </c>
      <c r="AF109" s="37">
        <f>AF34</f>
        <v>772.529</v>
      </c>
      <c r="AG109" s="37">
        <f>AG34</f>
        <v>910.30799999999999</v>
      </c>
      <c r="AH109" s="37">
        <f>AH34</f>
        <v>891.49200000000008</v>
      </c>
      <c r="AI109" s="37">
        <f>AI34</f>
        <v>831.84100000000001</v>
      </c>
      <c r="AJ109" s="261">
        <f>SUM(AF109:AI109)</f>
        <v>3406.17</v>
      </c>
      <c r="AK109" s="37">
        <f>AK34</f>
        <v>887.09500000000003</v>
      </c>
      <c r="AL109" s="37">
        <f>AL34</f>
        <v>956.89200000000005</v>
      </c>
      <c r="AM109" s="37">
        <f>AM34</f>
        <v>997.24099999999999</v>
      </c>
      <c r="AN109" s="37">
        <f>AN34</f>
        <v>975.59299999999996</v>
      </c>
      <c r="AO109" s="261">
        <f>SUM(AK109:AN109)</f>
        <v>3816.8209999999999</v>
      </c>
      <c r="AP109" s="37">
        <f>AP34</f>
        <v>942.65300000000002</v>
      </c>
      <c r="AQ109" s="37">
        <f>AQ34</f>
        <v>1078.8409999999999</v>
      </c>
      <c r="AR109" s="37">
        <f>AR34</f>
        <v>1094.83</v>
      </c>
      <c r="AS109" s="37">
        <f>AS34</f>
        <v>1047.6559999999999</v>
      </c>
      <c r="AT109" s="261">
        <f>SUM(AP109:AS109)</f>
        <v>4163.9799999999996</v>
      </c>
      <c r="AU109" s="37">
        <f>AU34</f>
        <v>1075.5709999999999</v>
      </c>
      <c r="AV109" s="37">
        <f>AV34</f>
        <v>1220.4319999999998</v>
      </c>
      <c r="AW109" s="37">
        <f>AW34</f>
        <v>1235.1659999999999</v>
      </c>
      <c r="AX109" s="37">
        <f>AX34</f>
        <v>1204.4180000000001</v>
      </c>
      <c r="AY109" s="261">
        <f>SUM(AU109:AX109)</f>
        <v>4735.5869999999995</v>
      </c>
      <c r="AZ109" s="37">
        <f>AZ34</f>
        <v>1242.6469999999999</v>
      </c>
      <c r="BA109" s="37">
        <f>BA34</f>
        <v>1460.6750000000002</v>
      </c>
      <c r="BB109" s="37">
        <f>BB34</f>
        <v>1478.8339999999998</v>
      </c>
      <c r="BC109" s="37">
        <f>BC34</f>
        <v>1467.404</v>
      </c>
      <c r="BD109" s="261">
        <f>SUM(AZ109:BC109)</f>
        <v>5649.5599999999995</v>
      </c>
      <c r="BE109" s="37">
        <f>BE34</f>
        <v>1428.617</v>
      </c>
      <c r="BF109" s="37">
        <f>BF34</f>
        <v>1553.7849999999999</v>
      </c>
      <c r="BG109" s="37">
        <f>BG34</f>
        <v>1335.125</v>
      </c>
      <c r="BH109" s="37">
        <f>BH34</f>
        <v>1237.6469999999999</v>
      </c>
      <c r="BI109" s="261">
        <f>SUM(BE109:BH109)</f>
        <v>5555.174</v>
      </c>
      <c r="BJ109" s="37">
        <f>BJ34</f>
        <v>1257.2430000000002</v>
      </c>
      <c r="BK109" s="37">
        <f>BK34</f>
        <v>1436.798</v>
      </c>
      <c r="BL109" s="37">
        <f>BL34</f>
        <v>1391.191</v>
      </c>
      <c r="BM109" s="37">
        <f>BM34</f>
        <v>1400.539</v>
      </c>
      <c r="BN109" s="261">
        <f>SUM(BJ109:BM109)</f>
        <v>5485.7709999999997</v>
      </c>
      <c r="BO109" s="37">
        <f>BO34</f>
        <v>1351</v>
      </c>
      <c r="BP109" s="37">
        <f>BP34</f>
        <v>1515</v>
      </c>
      <c r="BQ109" s="37">
        <f>BQ34</f>
        <v>1553</v>
      </c>
      <c r="BR109" s="37">
        <f>BR34</f>
        <v>1517</v>
      </c>
      <c r="BS109" s="261">
        <f>SUM(BO109:BR109)</f>
        <v>5936</v>
      </c>
      <c r="BT109" s="37">
        <f>BT34</f>
        <v>1484</v>
      </c>
      <c r="BU109" s="37">
        <f>BU34</f>
        <v>1716</v>
      </c>
      <c r="BV109" s="37">
        <f>BV34</f>
        <v>1674</v>
      </c>
      <c r="BW109" s="37">
        <f>BW34</f>
        <v>1655</v>
      </c>
      <c r="BX109" s="261">
        <f>SUM(BT109:BW109)</f>
        <v>6529</v>
      </c>
      <c r="BY109" s="37">
        <f>BY34</f>
        <v>1663</v>
      </c>
      <c r="BZ109" s="37">
        <f>BZ34</f>
        <v>1944</v>
      </c>
      <c r="CA109" s="37">
        <f>CA34</f>
        <v>1989</v>
      </c>
      <c r="CB109" s="37">
        <f>CB34</f>
        <v>1987</v>
      </c>
      <c r="CC109" s="261">
        <f>SUM(BY109:CB109)</f>
        <v>7583</v>
      </c>
      <c r="CD109" s="37">
        <f>CD34</f>
        <v>2019</v>
      </c>
      <c r="CE109" s="37">
        <f>CE34</f>
        <v>2449</v>
      </c>
      <c r="CF109" s="37">
        <f>CF34</f>
        <v>2342</v>
      </c>
      <c r="CG109" s="37">
        <f>CG34</f>
        <v>2276</v>
      </c>
      <c r="CH109" s="261">
        <f>SUM(CD109:CG109)</f>
        <v>9086</v>
      </c>
      <c r="CI109" s="37">
        <f>CI34</f>
        <v>2198</v>
      </c>
      <c r="CJ109" s="37">
        <f>CJ34</f>
        <v>2583</v>
      </c>
      <c r="CK109" s="37">
        <f>CK34</f>
        <v>2588</v>
      </c>
      <c r="CL109" s="37">
        <f>CL34</f>
        <v>2492</v>
      </c>
      <c r="CM109" s="261">
        <f>SUM(CI109:CL109)</f>
        <v>9861</v>
      </c>
      <c r="CN109" s="37">
        <f>CN34</f>
        <v>2530</v>
      </c>
      <c r="CO109" s="37">
        <f>CO34</f>
        <v>2869</v>
      </c>
      <c r="CP109" s="37">
        <f>CP34</f>
        <v>2891</v>
      </c>
      <c r="CQ109" s="37">
        <f>CQ34</f>
        <v>2734</v>
      </c>
      <c r="CR109" s="106">
        <f>SUM(CN109:CQ109)</f>
        <v>11024</v>
      </c>
      <c r="CS109" s="37">
        <f>CS34</f>
        <v>2898.9549999999999</v>
      </c>
      <c r="CT109" s="37">
        <f>CT34</f>
        <v>3219.6530000000002</v>
      </c>
      <c r="CU109" s="37">
        <f>CU34</f>
        <v>3263.402</v>
      </c>
      <c r="CV109" s="37">
        <f>CV34</f>
        <v>3310.4320000000002</v>
      </c>
      <c r="CW109" s="106">
        <f>SUM(CS109:CV109)</f>
        <v>12692.442000000001</v>
      </c>
      <c r="CX109" s="37">
        <f>CX34</f>
        <v>3235.1409999999996</v>
      </c>
      <c r="CY109" s="37">
        <f>CY34</f>
        <v>3869</v>
      </c>
      <c r="CZ109" s="37">
        <f>CZ34</f>
        <v>3860</v>
      </c>
      <c r="DA109" s="37">
        <f>DA34</f>
        <v>3760</v>
      </c>
      <c r="DB109" s="106">
        <f>SUM(CX109:DA109)</f>
        <v>14724.141</v>
      </c>
      <c r="DC109" s="37">
        <f>DC34</f>
        <v>3769.0309999999999</v>
      </c>
      <c r="DD109" s="37">
        <f>DD34</f>
        <v>4407</v>
      </c>
      <c r="DE109" s="37">
        <f>DE34</f>
        <v>4311</v>
      </c>
      <c r="DF109" s="37">
        <f>DF34</f>
        <v>4108</v>
      </c>
      <c r="DG109" s="106">
        <f>SUM(DC109:DF109)</f>
        <v>16595.030999999999</v>
      </c>
      <c r="DH109" s="37">
        <f>DH34</f>
        <v>3991</v>
      </c>
      <c r="DI109" s="37">
        <f>DI34</f>
        <v>4616</v>
      </c>
      <c r="DJ109" s="37">
        <f>DJ34</f>
        <v>4309</v>
      </c>
      <c r="DK109" s="37">
        <f>DK34</f>
        <v>4173</v>
      </c>
      <c r="DL109" s="106">
        <f>SUM(DH109:DK109)</f>
        <v>17089</v>
      </c>
      <c r="DM109" s="37">
        <f t="shared" ref="DM109:DR109" si="615">DM34</f>
        <v>4084</v>
      </c>
      <c r="DN109" s="37">
        <f t="shared" si="615"/>
        <v>4643</v>
      </c>
      <c r="DO109" s="37">
        <f t="shared" si="615"/>
        <v>4545</v>
      </c>
      <c r="DP109" s="37">
        <f>DP34</f>
        <v>4428</v>
      </c>
      <c r="DQ109" s="106">
        <f t="shared" si="615"/>
        <v>17700</v>
      </c>
      <c r="DR109" s="37">
        <f t="shared" si="615"/>
        <v>4166</v>
      </c>
      <c r="DS109" s="37">
        <f t="shared" ref="DS109:EA109" si="616">DS34</f>
        <v>5011</v>
      </c>
      <c r="DT109" s="37">
        <f t="shared" si="616"/>
        <v>4800</v>
      </c>
      <c r="DU109" s="37">
        <f t="shared" si="616"/>
        <v>4628</v>
      </c>
      <c r="DV109" s="106">
        <f t="shared" si="616"/>
        <v>18605</v>
      </c>
      <c r="DW109" s="37">
        <f t="shared" si="616"/>
        <v>4414</v>
      </c>
      <c r="DX109" s="37">
        <f t="shared" si="616"/>
        <v>5111</v>
      </c>
      <c r="DY109" s="37">
        <f t="shared" si="616"/>
        <v>5146</v>
      </c>
      <c r="DZ109" s="37">
        <f t="shared" si="616"/>
        <v>4977</v>
      </c>
      <c r="EA109" s="106">
        <f t="shared" si="616"/>
        <v>19648</v>
      </c>
      <c r="EB109" s="37">
        <f t="shared" ref="EB109:EO109" si="617">EB34</f>
        <v>4826</v>
      </c>
      <c r="EC109" s="37">
        <f t="shared" si="617"/>
        <v>5384</v>
      </c>
      <c r="ED109" s="37">
        <f t="shared" si="617"/>
        <v>5139</v>
      </c>
      <c r="EE109" s="37">
        <f t="shared" si="617"/>
        <v>5076</v>
      </c>
      <c r="EF109" s="106">
        <f t="shared" si="617"/>
        <v>20425</v>
      </c>
      <c r="EG109" s="37">
        <f t="shared" ref="EG109:EJ109" si="618">EG34</f>
        <v>4883</v>
      </c>
      <c r="EH109" s="37">
        <f t="shared" si="618"/>
        <v>5744</v>
      </c>
      <c r="EI109" s="37">
        <f t="shared" si="618"/>
        <v>5271</v>
      </c>
      <c r="EJ109" s="37">
        <f t="shared" si="618"/>
        <v>5274</v>
      </c>
      <c r="EK109" s="106">
        <f t="shared" si="617"/>
        <v>21172</v>
      </c>
      <c r="EL109" s="37">
        <f t="shared" si="617"/>
        <v>4854</v>
      </c>
      <c r="EM109" s="37">
        <f t="shared" si="617"/>
        <v>5731</v>
      </c>
      <c r="EN109" s="37">
        <f t="shared" si="617"/>
        <v>5303</v>
      </c>
      <c r="EO109" s="37">
        <f t="shared" si="617"/>
        <v>5258</v>
      </c>
      <c r="EP109" s="106">
        <f t="shared" ref="EP109" si="619">EP34</f>
        <v>21146</v>
      </c>
      <c r="EQ109" s="37">
        <f t="shared" ref="EQ109" si="620">EQ34</f>
        <v>4951.2838600000005</v>
      </c>
      <c r="ER109" s="37">
        <f t="shared" ref="ER109:EU109" si="621">ER34</f>
        <v>5909.1076000000012</v>
      </c>
      <c r="ES109" s="37">
        <f t="shared" si="621"/>
        <v>5600.3576000000021</v>
      </c>
      <c r="ET109" s="37">
        <f t="shared" si="621"/>
        <v>5742.03</v>
      </c>
      <c r="EU109" s="106">
        <f t="shared" si="621"/>
        <v>22202.779060000004</v>
      </c>
      <c r="EV109" s="37"/>
      <c r="EW109" s="37"/>
      <c r="EX109" s="37"/>
      <c r="EY109" s="37"/>
      <c r="EZ109" s="106">
        <f t="shared" ref="EZ109" si="622">EZ34</f>
        <v>23565.788070630002</v>
      </c>
      <c r="FA109" s="37"/>
      <c r="FB109" s="37"/>
      <c r="FC109" s="37"/>
      <c r="FD109" s="37"/>
      <c r="FE109" s="106">
        <f t="shared" ref="FE109" si="623">FE34</f>
        <v>24984.416346953123</v>
      </c>
      <c r="FF109" s="37"/>
      <c r="FG109" s="451"/>
      <c r="FL109" s="425"/>
      <c r="FM109" s="588"/>
      <c r="FN109" s="601"/>
      <c r="FO109" s="601"/>
      <c r="FP109" s="601"/>
      <c r="FQ109" s="601"/>
      <c r="FR109" s="384"/>
      <c r="FS109" s="384"/>
      <c r="FT109" s="451"/>
    </row>
    <row r="110" spans="1:183" ht="12.75" customHeight="1" x14ac:dyDescent="0.2">
      <c r="A110" s="58" t="s">
        <v>244</v>
      </c>
      <c r="B110" s="161"/>
      <c r="C110" s="161"/>
      <c r="D110" s="161"/>
      <c r="E110" s="161"/>
      <c r="F110" s="254"/>
      <c r="G110" s="161">
        <f>G109/B109-1</f>
        <v>8.5310021145218684E-2</v>
      </c>
      <c r="H110" s="161">
        <f>H109/C109-1</f>
        <v>5.3353233185166049E-2</v>
      </c>
      <c r="I110" s="161">
        <f>I109/D109-1</f>
        <v>0.12288110146375097</v>
      </c>
      <c r="J110" s="161">
        <f>J109/E109-1</f>
        <v>0.38123385644797048</v>
      </c>
      <c r="K110" s="254">
        <f t="shared" ref="K110:U110" si="624">K109/F109-1</f>
        <v>0.1622298208819144</v>
      </c>
      <c r="L110" s="161">
        <f t="shared" si="624"/>
        <v>0.32201591887104031</v>
      </c>
      <c r="M110" s="161">
        <f t="shared" si="624"/>
        <v>0.28391456750879396</v>
      </c>
      <c r="N110" s="161">
        <f t="shared" si="624"/>
        <v>0.25906670119575725</v>
      </c>
      <c r="O110" s="161">
        <f t="shared" si="624"/>
        <v>0.35627894337463051</v>
      </c>
      <c r="P110" s="254">
        <f t="shared" si="624"/>
        <v>0.30718218337057834</v>
      </c>
      <c r="Q110" s="161">
        <f t="shared" si="624"/>
        <v>0.21377294197572483</v>
      </c>
      <c r="R110" s="161">
        <f t="shared" si="624"/>
        <v>0.24860613970270729</v>
      </c>
      <c r="S110" s="161">
        <f t="shared" si="624"/>
        <v>0.23940566655711826</v>
      </c>
      <c r="T110" s="161">
        <f t="shared" si="624"/>
        <v>0.35940791034050656</v>
      </c>
      <c r="U110" s="254">
        <f t="shared" si="624"/>
        <v>0.27382127024219383</v>
      </c>
      <c r="V110" s="161">
        <f t="shared" ref="V110:CT110" si="625">V109/Q109-1</f>
        <v>0.36493588627664408</v>
      </c>
      <c r="W110" s="161">
        <f t="shared" si="625"/>
        <v>0.27015259753984022</v>
      </c>
      <c r="X110" s="161">
        <f t="shared" si="625"/>
        <v>0.23614701240135316</v>
      </c>
      <c r="Y110" s="161">
        <f t="shared" si="625"/>
        <v>-0.18471019125281085</v>
      </c>
      <c r="Z110" s="254">
        <f t="shared" si="625"/>
        <v>0.12855987770135302</v>
      </c>
      <c r="AA110" s="161">
        <f t="shared" si="625"/>
        <v>2.5621072888482033E-3</v>
      </c>
      <c r="AB110" s="161">
        <f t="shared" si="625"/>
        <v>0.11670569513021567</v>
      </c>
      <c r="AC110" s="161">
        <f t="shared" si="625"/>
        <v>0.1162808683635661</v>
      </c>
      <c r="AD110" s="161">
        <f t="shared" si="625"/>
        <v>0.19546581152902665</v>
      </c>
      <c r="AE110" s="254">
        <f t="shared" si="625"/>
        <v>0.10834307831259493</v>
      </c>
      <c r="AF110" s="161">
        <f t="shared" si="625"/>
        <v>0.24401005476659399</v>
      </c>
      <c r="AG110" s="161">
        <f t="shared" si="625"/>
        <v>0.23313713670321934</v>
      </c>
      <c r="AH110" s="161">
        <f t="shared" si="625"/>
        <v>0.1653871041537307</v>
      </c>
      <c r="AI110" s="161">
        <f t="shared" si="625"/>
        <v>0.11123712882661962</v>
      </c>
      <c r="AJ110" s="254">
        <f t="shared" si="625"/>
        <v>0.18568229547218018</v>
      </c>
      <c r="AK110" s="161">
        <f t="shared" si="625"/>
        <v>0.14829993437139577</v>
      </c>
      <c r="AL110" s="161">
        <f t="shared" si="625"/>
        <v>5.1173888398212464E-2</v>
      </c>
      <c r="AM110" s="161">
        <f t="shared" si="625"/>
        <v>0.11862024561072881</v>
      </c>
      <c r="AN110" s="161">
        <f t="shared" si="625"/>
        <v>0.1728118714994813</v>
      </c>
      <c r="AO110" s="254">
        <f t="shared" si="625"/>
        <v>0.12056092326572077</v>
      </c>
      <c r="AP110" s="161">
        <f t="shared" si="625"/>
        <v>6.2629143440104951E-2</v>
      </c>
      <c r="AQ110" s="161">
        <f t="shared" si="625"/>
        <v>0.12744280441261902</v>
      </c>
      <c r="AR110" s="161">
        <f t="shared" si="625"/>
        <v>9.785899296158096E-2</v>
      </c>
      <c r="AS110" s="161">
        <f t="shared" si="625"/>
        <v>7.3865843645864571E-2</v>
      </c>
      <c r="AT110" s="254">
        <f t="shared" si="625"/>
        <v>9.0955012037504446E-2</v>
      </c>
      <c r="AU110" s="161">
        <f t="shared" si="625"/>
        <v>0.14100416590198073</v>
      </c>
      <c r="AV110" s="161">
        <f t="shared" si="625"/>
        <v>0.1312436216272832</v>
      </c>
      <c r="AW110" s="161">
        <f t="shared" si="625"/>
        <v>0.12818063078286124</v>
      </c>
      <c r="AX110" s="161">
        <f t="shared" si="625"/>
        <v>0.14963117664576941</v>
      </c>
      <c r="AY110" s="254">
        <f t="shared" si="625"/>
        <v>0.13727419440054955</v>
      </c>
      <c r="AZ110" s="161">
        <f t="shared" si="625"/>
        <v>0.15533702563568563</v>
      </c>
      <c r="BA110" s="161">
        <f t="shared" si="625"/>
        <v>0.19685078726221561</v>
      </c>
      <c r="BB110" s="161">
        <f t="shared" si="625"/>
        <v>0.19727550790743908</v>
      </c>
      <c r="BC110" s="161">
        <f t="shared" si="625"/>
        <v>0.21835110401870428</v>
      </c>
      <c r="BD110" s="254">
        <f t="shared" si="625"/>
        <v>0.1930009943857014</v>
      </c>
      <c r="BE110" s="161">
        <f t="shared" si="625"/>
        <v>0.14965633844527049</v>
      </c>
      <c r="BF110" s="161">
        <f t="shared" si="625"/>
        <v>6.3744501685864208E-2</v>
      </c>
      <c r="BG110" s="161">
        <f t="shared" si="625"/>
        <v>-9.7177235578841059E-2</v>
      </c>
      <c r="BH110" s="161">
        <f t="shared" si="625"/>
        <v>-0.15657378608753969</v>
      </c>
      <c r="BI110" s="254">
        <f t="shared" si="625"/>
        <v>-1.6706787785243371E-2</v>
      </c>
      <c r="BJ110" s="161">
        <f t="shared" si="625"/>
        <v>-0.11995797334065028</v>
      </c>
      <c r="BK110" s="161">
        <f t="shared" si="625"/>
        <v>-7.5291626576392434E-2</v>
      </c>
      <c r="BL110" s="161">
        <f t="shared" si="625"/>
        <v>4.1993071809755644E-2</v>
      </c>
      <c r="BM110" s="161">
        <f t="shared" si="625"/>
        <v>0.13161426481056404</v>
      </c>
      <c r="BN110" s="254">
        <f t="shared" si="625"/>
        <v>-1.2493398046577897E-2</v>
      </c>
      <c r="BO110" s="161">
        <f t="shared" si="625"/>
        <v>7.457349136165381E-2</v>
      </c>
      <c r="BP110" s="161">
        <f t="shared" si="625"/>
        <v>5.4427971085705851E-2</v>
      </c>
      <c r="BQ110" s="161">
        <f t="shared" si="625"/>
        <v>0.11630969435541205</v>
      </c>
      <c r="BR110" s="161">
        <f t="shared" si="625"/>
        <v>8.3154414121991538E-2</v>
      </c>
      <c r="BS110" s="254">
        <f>BS109/BN109-1</f>
        <v>8.2072146285362635E-2</v>
      </c>
      <c r="BT110" s="161">
        <f t="shared" si="625"/>
        <v>9.8445595854922185E-2</v>
      </c>
      <c r="BU110" s="161">
        <f t="shared" si="625"/>
        <v>0.13267326732673257</v>
      </c>
      <c r="BV110" s="161">
        <f t="shared" si="625"/>
        <v>7.7913715389568594E-2</v>
      </c>
      <c r="BW110" s="161">
        <f t="shared" si="625"/>
        <v>9.0969017798286034E-2</v>
      </c>
      <c r="BX110" s="254">
        <f>BX109/BS109-1</f>
        <v>9.9898921832884069E-2</v>
      </c>
      <c r="BY110" s="161">
        <f t="shared" si="625"/>
        <v>0.12061994609164417</v>
      </c>
      <c r="BZ110" s="161">
        <f t="shared" si="625"/>
        <v>0.13286713286713292</v>
      </c>
      <c r="CA110" s="161">
        <f t="shared" si="625"/>
        <v>0.18817204301075274</v>
      </c>
      <c r="CB110" s="161">
        <f t="shared" si="625"/>
        <v>0.20060422960725077</v>
      </c>
      <c r="CC110" s="254">
        <f>CC109/BX109-1</f>
        <v>0.16143360392096806</v>
      </c>
      <c r="CD110" s="161">
        <f t="shared" si="625"/>
        <v>0.21407095610342752</v>
      </c>
      <c r="CE110" s="161">
        <f t="shared" si="625"/>
        <v>0.25977366255144041</v>
      </c>
      <c r="CF110" s="161">
        <f t="shared" si="625"/>
        <v>0.17747611865258928</v>
      </c>
      <c r="CG110" s="161">
        <f t="shared" si="625"/>
        <v>0.14544539506794152</v>
      </c>
      <c r="CH110" s="254">
        <f>CH109/CC109-1</f>
        <v>0.19820651457206906</v>
      </c>
      <c r="CI110" s="161">
        <f t="shared" si="625"/>
        <v>8.8657751362060333E-2</v>
      </c>
      <c r="CJ110" s="161">
        <f t="shared" si="625"/>
        <v>5.4716210698244172E-2</v>
      </c>
      <c r="CK110" s="161">
        <f t="shared" si="625"/>
        <v>0.1050384286934245</v>
      </c>
      <c r="CL110" s="161">
        <f t="shared" si="625"/>
        <v>9.4903339191564129E-2</v>
      </c>
      <c r="CM110" s="254">
        <f>CM109/CH109-1</f>
        <v>8.5296059872331131E-2</v>
      </c>
      <c r="CN110" s="161">
        <f t="shared" si="625"/>
        <v>0.15104640582347595</v>
      </c>
      <c r="CO110" s="161">
        <f t="shared" si="625"/>
        <v>0.11072396438250087</v>
      </c>
      <c r="CP110" s="161">
        <f t="shared" si="625"/>
        <v>0.11707882534775882</v>
      </c>
      <c r="CQ110" s="161">
        <f t="shared" si="625"/>
        <v>9.71107544141252E-2</v>
      </c>
      <c r="CR110" s="311">
        <f t="shared" ref="CR110:CW110" si="626">CR109/CM109-1</f>
        <v>0.11793935706317815</v>
      </c>
      <c r="CS110" s="161">
        <f t="shared" si="625"/>
        <v>0.14583201581027661</v>
      </c>
      <c r="CT110" s="161">
        <f t="shared" si="625"/>
        <v>0.12222133147438141</v>
      </c>
      <c r="CU110" s="161">
        <f t="shared" si="626"/>
        <v>0.12881425112417855</v>
      </c>
      <c r="CV110" s="161">
        <f t="shared" si="626"/>
        <v>0.21083833211411851</v>
      </c>
      <c r="CW110" s="311">
        <f t="shared" si="626"/>
        <v>0.15134633526850516</v>
      </c>
      <c r="CX110" s="161">
        <f t="shared" ref="CX110:DK110" si="627">CX109/CS109-1</f>
        <v>0.11596799536384661</v>
      </c>
      <c r="CY110" s="161">
        <f t="shared" si="627"/>
        <v>0.20168229309183316</v>
      </c>
      <c r="CZ110" s="161">
        <f t="shared" si="627"/>
        <v>0.18281474363256511</v>
      </c>
      <c r="DA110" s="161">
        <f t="shared" si="627"/>
        <v>0.13580342384317201</v>
      </c>
      <c r="DB110" s="311">
        <f t="shared" si="627"/>
        <v>0.16007156069730311</v>
      </c>
      <c r="DC110" s="161">
        <f>DC109/CX109-1</f>
        <v>0.16502835579654818</v>
      </c>
      <c r="DD110" s="161">
        <f>DD109/CY109-1</f>
        <v>0.13905401912638915</v>
      </c>
      <c r="DE110" s="161">
        <f>DE109/CZ109-1</f>
        <v>0.1168393782383419</v>
      </c>
      <c r="DF110" s="161">
        <f t="shared" si="627"/>
        <v>9.2553191489361808E-2</v>
      </c>
      <c r="DG110" s="311">
        <f t="shared" si="627"/>
        <v>0.12706276040143871</v>
      </c>
      <c r="DH110" s="161">
        <f t="shared" si="627"/>
        <v>5.8892856015246409E-2</v>
      </c>
      <c r="DI110" s="161">
        <f t="shared" si="627"/>
        <v>4.7424551849330587E-2</v>
      </c>
      <c r="DJ110" s="161">
        <f t="shared" si="627"/>
        <v>-4.639294827186724E-4</v>
      </c>
      <c r="DK110" s="161">
        <f t="shared" si="627"/>
        <v>1.5822784810126667E-2</v>
      </c>
      <c r="DL110" s="311">
        <f t="shared" ref="DL110:DT110" si="628">DL109/DG109-1</f>
        <v>2.9766078773820981E-2</v>
      </c>
      <c r="DM110" s="161">
        <f t="shared" si="628"/>
        <v>2.3302430468554292E-2</v>
      </c>
      <c r="DN110" s="161">
        <f t="shared" si="628"/>
        <v>5.8492201039861413E-3</v>
      </c>
      <c r="DO110" s="161">
        <f t="shared" si="628"/>
        <v>5.4769087955442108E-2</v>
      </c>
      <c r="DP110" s="161">
        <f t="shared" si="628"/>
        <v>6.1107117181883552E-2</v>
      </c>
      <c r="DQ110" s="311">
        <f t="shared" si="628"/>
        <v>3.5753993797179362E-2</v>
      </c>
      <c r="DR110" s="161">
        <f>DR109/DM109-1</f>
        <v>2.007835455435858E-2</v>
      </c>
      <c r="DS110" s="161">
        <f t="shared" si="628"/>
        <v>7.9259099720008663E-2</v>
      </c>
      <c r="DT110" s="161">
        <f t="shared" si="628"/>
        <v>5.6105610561056007E-2</v>
      </c>
      <c r="DU110" s="161">
        <f>DU109/DP109-1</f>
        <v>4.5167118337850143E-2</v>
      </c>
      <c r="DV110" s="311">
        <f>DV109/DQ109-1</f>
        <v>5.1129943502824959E-2</v>
      </c>
      <c r="DW110" s="161">
        <f t="shared" ref="DW110:ED110" si="629">DW109/DR109-1</f>
        <v>5.9529524723955785E-2</v>
      </c>
      <c r="DX110" s="161">
        <f t="shared" si="629"/>
        <v>1.995609658750741E-2</v>
      </c>
      <c r="DY110" s="161">
        <f t="shared" si="629"/>
        <v>7.2083333333333277E-2</v>
      </c>
      <c r="DZ110" s="161">
        <f t="shared" si="629"/>
        <v>7.5410544511668176E-2</v>
      </c>
      <c r="EA110" s="311">
        <f t="shared" si="629"/>
        <v>5.6060198871271227E-2</v>
      </c>
      <c r="EB110" s="161">
        <f t="shared" si="629"/>
        <v>9.3339374716810086E-2</v>
      </c>
      <c r="EC110" s="161">
        <f t="shared" si="629"/>
        <v>5.3414204656623054E-2</v>
      </c>
      <c r="ED110" s="161">
        <f t="shared" si="629"/>
        <v>-1.3602798289933382E-3</v>
      </c>
      <c r="EE110" s="161">
        <f t="shared" ref="EE110" si="630">EE109/DZ109-1</f>
        <v>1.9891500904159143E-2</v>
      </c>
      <c r="EF110" s="311">
        <f t="shared" ref="EF110:EJ110" si="631">EF109/EA109-1</f>
        <v>3.9546009771987078E-2</v>
      </c>
      <c r="EG110" s="161">
        <f t="shared" si="631"/>
        <v>1.1811023622047223E-2</v>
      </c>
      <c r="EH110" s="161">
        <f t="shared" si="631"/>
        <v>6.6864784546805334E-2</v>
      </c>
      <c r="EI110" s="161">
        <f t="shared" si="631"/>
        <v>2.5685931115002836E-2</v>
      </c>
      <c r="EJ110" s="161">
        <f t="shared" si="631"/>
        <v>3.900709219858145E-2</v>
      </c>
      <c r="EK110" s="311">
        <f>EK109/EF109-1</f>
        <v>3.657282741738066E-2</v>
      </c>
      <c r="EL110" s="161"/>
      <c r="EM110" s="161"/>
      <c r="EN110" s="161"/>
      <c r="EO110" s="161"/>
      <c r="EP110" s="311"/>
      <c r="EQ110" s="161">
        <f t="shared" ref="EQ110" si="632">EQ109/EL109-1</f>
        <v>2.0041998351874923E-2</v>
      </c>
      <c r="ER110" s="161">
        <f t="shared" ref="ER110" si="633">ER109/EM109-1</f>
        <v>3.1077927063339894E-2</v>
      </c>
      <c r="ES110" s="161">
        <f t="shared" ref="ES110" si="634">ES109/EN109-1</f>
        <v>5.607346784838807E-2</v>
      </c>
      <c r="ET110" s="161">
        <f t="shared" ref="ET110" si="635">ET109/EO109-1</f>
        <v>9.2055914796500549E-2</v>
      </c>
      <c r="EU110" s="311">
        <f>EU109/EP109-1</f>
        <v>4.9975364607963924E-2</v>
      </c>
      <c r="EV110" s="161"/>
      <c r="EW110" s="161"/>
      <c r="EX110" s="161"/>
      <c r="EY110" s="161"/>
      <c r="EZ110" s="311">
        <f>EZ109/EU109-1</f>
        <v>6.1389117413934935E-2</v>
      </c>
      <c r="FA110" s="161"/>
      <c r="FB110" s="161"/>
      <c r="FC110" s="161"/>
      <c r="FD110" s="161"/>
      <c r="FE110" s="311">
        <f>FE109/EZ109-1</f>
        <v>6.0198635075189966E-2</v>
      </c>
      <c r="FF110" s="161"/>
      <c r="FG110" s="452"/>
      <c r="FL110" s="417"/>
      <c r="FM110" s="588"/>
      <c r="FN110" s="779"/>
      <c r="FO110" s="779"/>
      <c r="FP110" s="779"/>
      <c r="FQ110" s="779"/>
      <c r="FR110" s="379"/>
      <c r="FS110" s="379"/>
      <c r="FT110" s="478"/>
    </row>
    <row r="111" spans="1:183" ht="12.75" customHeight="1" x14ac:dyDescent="0.2">
      <c r="A111" s="37" t="s">
        <v>54</v>
      </c>
      <c r="B111" s="37">
        <f>B109-B99</f>
        <v>8.1220000000000141</v>
      </c>
      <c r="C111" s="37">
        <f>C109-C99</f>
        <v>41.310999999999979</v>
      </c>
      <c r="D111" s="37">
        <f>D109-D99</f>
        <v>36.669999999999959</v>
      </c>
      <c r="E111" s="37">
        <f>E109-E99</f>
        <v>-4.2239999999999895</v>
      </c>
      <c r="F111" s="261">
        <f>SUM(B111:E111)</f>
        <v>81.878999999999962</v>
      </c>
      <c r="G111" s="37">
        <f>G109-G99</f>
        <v>-10.492000000000019</v>
      </c>
      <c r="H111" s="37">
        <f>H109-H99</f>
        <v>20.447000000000003</v>
      </c>
      <c r="I111" s="37">
        <f>I109-I99</f>
        <v>31.134000000000015</v>
      </c>
      <c r="J111" s="37">
        <f>J109-J99</f>
        <v>31.522699999999929</v>
      </c>
      <c r="K111" s="261">
        <f>SUM(G111:J111)</f>
        <v>72.611699999999928</v>
      </c>
      <c r="L111" s="37">
        <f>L109-L99</f>
        <v>31.149999999999977</v>
      </c>
      <c r="M111" s="37">
        <f>M109-M99</f>
        <v>45.423999999999978</v>
      </c>
      <c r="N111" s="37">
        <f>N109-N99</f>
        <v>53.878999999999962</v>
      </c>
      <c r="O111" s="37">
        <f>O109-O99</f>
        <v>63.351000000000056</v>
      </c>
      <c r="P111" s="261">
        <f>SUM(L111:O111)</f>
        <v>193.80399999999997</v>
      </c>
      <c r="Q111" s="37">
        <f>Q109-Q99</f>
        <v>44.666000000000054</v>
      </c>
      <c r="R111" s="37">
        <f>R109-R99</f>
        <v>74.785000000000082</v>
      </c>
      <c r="S111" s="37">
        <f>S109-S99</f>
        <v>86.778999999999996</v>
      </c>
      <c r="T111" s="37">
        <f>T109-T99</f>
        <v>85.743000000000052</v>
      </c>
      <c r="U111" s="261">
        <f>SUM(Q111:T111)</f>
        <v>291.97300000000018</v>
      </c>
      <c r="V111" s="37">
        <f>V109-V99</f>
        <v>76.045999999999935</v>
      </c>
      <c r="W111" s="37">
        <f>W109-W99</f>
        <v>101.83400000000006</v>
      </c>
      <c r="X111" s="37">
        <f>X109-X99</f>
        <v>101.71000000000004</v>
      </c>
      <c r="Y111" s="37">
        <f>Y109-Y99</f>
        <v>37.118999999999915</v>
      </c>
      <c r="Z111" s="261">
        <f>SUM(V111:Y111)</f>
        <v>316.70899999999995</v>
      </c>
      <c r="AA111" s="37">
        <f>AA109-AA99</f>
        <v>23.408999999999878</v>
      </c>
      <c r="AB111" s="37">
        <f>AB109-AB99</f>
        <v>103.42499999999995</v>
      </c>
      <c r="AC111" s="37">
        <f>AC109-AC99</f>
        <v>114.09799999999996</v>
      </c>
      <c r="AD111" s="37">
        <f>AD109-AD99</f>
        <v>72.598999999999705</v>
      </c>
      <c r="AE111" s="261">
        <f>SUM(AA111:AD111)</f>
        <v>313.53099999999949</v>
      </c>
      <c r="AF111" s="37">
        <f>AF109-AF99</f>
        <v>57.392999999999802</v>
      </c>
      <c r="AG111" s="37">
        <f>AG109-AG99</f>
        <v>142.20600000000002</v>
      </c>
      <c r="AH111" s="37">
        <f>AH109-AH99</f>
        <v>102.93399999999997</v>
      </c>
      <c r="AI111" s="37">
        <f>AI109-AI99</f>
        <v>48.302000000000021</v>
      </c>
      <c r="AJ111" s="261">
        <f>SUM(AF111:AI111)</f>
        <v>350.83499999999981</v>
      </c>
      <c r="AK111" s="37">
        <f>AK109-AK99</f>
        <v>87.203000000000202</v>
      </c>
      <c r="AL111" s="37">
        <f>AL109-AL99</f>
        <v>156.40700000000015</v>
      </c>
      <c r="AM111" s="37">
        <f>AM109-AM99</f>
        <v>151.76999999999987</v>
      </c>
      <c r="AN111" s="37">
        <f>AN109-AN99</f>
        <v>128.85600000000011</v>
      </c>
      <c r="AO111" s="261">
        <f>SUM(AK111:AN111)</f>
        <v>524.23600000000033</v>
      </c>
      <c r="AP111" s="37">
        <f>AP109-AP99</f>
        <v>111.69299999999998</v>
      </c>
      <c r="AQ111" s="37">
        <f>AQ109-AQ99</f>
        <v>208.54799999999989</v>
      </c>
      <c r="AR111" s="37">
        <f>AR109-AR99</f>
        <v>203.91899999999976</v>
      </c>
      <c r="AS111" s="37">
        <f>AS109-AS99</f>
        <v>159.45100000000002</v>
      </c>
      <c r="AT111" s="261">
        <f>SUM(AP111:AS111)</f>
        <v>683.61099999999965</v>
      </c>
      <c r="AU111" s="37">
        <f>AU109-AU99</f>
        <v>166.61699999999996</v>
      </c>
      <c r="AV111" s="37">
        <f>AV109-AV99</f>
        <v>254.33099999999979</v>
      </c>
      <c r="AW111" s="37">
        <f>AW109-AW99</f>
        <v>206.46299999999997</v>
      </c>
      <c r="AX111" s="37">
        <f>AX109-AX99</f>
        <v>154.16500000000019</v>
      </c>
      <c r="AY111" s="261">
        <f>SUM(AU111:AX111)</f>
        <v>781.57599999999991</v>
      </c>
      <c r="AZ111" s="37">
        <f>AZ109-AZ99</f>
        <v>155.4079999999999</v>
      </c>
      <c r="BA111" s="37">
        <f>BA109-BA99</f>
        <v>314.55799999999999</v>
      </c>
      <c r="BB111" s="37">
        <f>BB109-BB99</f>
        <v>300.1089999999997</v>
      </c>
      <c r="BC111" s="37">
        <f>BC109-BC99</f>
        <v>251.06999999999994</v>
      </c>
      <c r="BD111" s="261">
        <f>SUM(AZ111:BC111)</f>
        <v>1021.1449999999995</v>
      </c>
      <c r="BE111" s="37">
        <f>BE109-BE99</f>
        <v>210.15699999999993</v>
      </c>
      <c r="BF111" s="37">
        <f>BF109-BF99</f>
        <v>290.86200000000008</v>
      </c>
      <c r="BG111" s="37">
        <f>BG109-BG99</f>
        <v>92.985999999999876</v>
      </c>
      <c r="BH111" s="37">
        <f>BH109-BH99</f>
        <v>37.116999999999962</v>
      </c>
      <c r="BI111" s="261">
        <f>SUM(BE111:BH111)</f>
        <v>631.12199999999984</v>
      </c>
      <c r="BJ111" s="37">
        <f>BJ109-BJ99</f>
        <v>49.365000000000009</v>
      </c>
      <c r="BK111" s="37">
        <f>BK109-BK99</f>
        <v>158.54600000000005</v>
      </c>
      <c r="BL111" s="37">
        <f>BL109-BL99</f>
        <v>91.141000000000076</v>
      </c>
      <c r="BM111" s="37">
        <f>BM109-BM99</f>
        <v>87.832999999999856</v>
      </c>
      <c r="BN111" s="261">
        <f>SUM(BJ111:BM111)</f>
        <v>386.88499999999999</v>
      </c>
      <c r="BO111" s="37">
        <f>BO109-BO99</f>
        <v>46</v>
      </c>
      <c r="BP111" s="37">
        <f>BP109-BP99</f>
        <v>181</v>
      </c>
      <c r="BQ111" s="37">
        <f>BQ109-BQ99</f>
        <v>185</v>
      </c>
      <c r="BR111" s="37">
        <f>BR109-BR99</f>
        <v>111</v>
      </c>
      <c r="BS111" s="261">
        <f>SUM(BO111:BR111)</f>
        <v>523</v>
      </c>
      <c r="BT111" s="37">
        <f>BT109-BT99</f>
        <v>61.299999999999955</v>
      </c>
      <c r="BU111" s="37">
        <f>BU109-BU99</f>
        <v>221</v>
      </c>
      <c r="BV111" s="37">
        <f>BV109-BV99</f>
        <v>191</v>
      </c>
      <c r="BW111" s="37">
        <f>BW109-BW99</f>
        <v>120</v>
      </c>
      <c r="BX111" s="261">
        <f>SUM(BT111:BW111)</f>
        <v>593.29999999999995</v>
      </c>
      <c r="BY111" s="37">
        <f>BY109-BY99</f>
        <v>83</v>
      </c>
      <c r="BZ111" s="37">
        <f>BZ109-BZ99</f>
        <v>258</v>
      </c>
      <c r="CA111" s="37">
        <f>CA109-CA99</f>
        <v>267</v>
      </c>
      <c r="CB111" s="37">
        <f>CB109-CB99</f>
        <v>133</v>
      </c>
      <c r="CC111" s="261">
        <f>SUM(BY111:CB111)</f>
        <v>741</v>
      </c>
      <c r="CD111" s="37">
        <f>CD109-CD99</f>
        <v>114.59999999999991</v>
      </c>
      <c r="CE111" s="37">
        <f>CE109-CE99</f>
        <v>428.59999999999991</v>
      </c>
      <c r="CF111" s="37">
        <f>CF109-CF99</f>
        <v>259.59999999999991</v>
      </c>
      <c r="CG111" s="37">
        <f>CG109-CG99</f>
        <v>172.59999999999991</v>
      </c>
      <c r="CH111" s="261">
        <f>SUM(CD111:CG111)</f>
        <v>975.39999999999964</v>
      </c>
      <c r="CI111" s="37">
        <f>CI109-CI99</f>
        <v>70</v>
      </c>
      <c r="CJ111" s="37">
        <f>CJ109-CJ99</f>
        <v>328</v>
      </c>
      <c r="CK111" s="37">
        <f>CK109-CK99</f>
        <v>277</v>
      </c>
      <c r="CL111" s="37">
        <f>CL109-CL99</f>
        <v>180</v>
      </c>
      <c r="CM111" s="261">
        <f>SUM(CI111:CL111)</f>
        <v>855</v>
      </c>
      <c r="CN111" s="37">
        <f>CN109-CN99</f>
        <v>99</v>
      </c>
      <c r="CO111" s="37">
        <f>CO109-CO99</f>
        <v>242</v>
      </c>
      <c r="CP111" s="37">
        <f>CP109-CP99</f>
        <v>147</v>
      </c>
      <c r="CQ111" s="37">
        <f>CQ109-CQ99</f>
        <v>150</v>
      </c>
      <c r="CR111" s="106">
        <f>SUM(CN111:CQ111)</f>
        <v>638</v>
      </c>
      <c r="CS111" s="37">
        <f>CS109-CS99</f>
        <v>76.833999999999833</v>
      </c>
      <c r="CT111" s="37">
        <f>CT109-CT99</f>
        <v>247.92500000000018</v>
      </c>
      <c r="CU111" s="37">
        <f>CU109-CU99</f>
        <v>155.63299999999981</v>
      </c>
      <c r="CV111" s="37">
        <f>CV109-CV99</f>
        <v>229.8090000000002</v>
      </c>
      <c r="CW111" s="106">
        <f>SUM(CS111:CV111)</f>
        <v>710.20100000000002</v>
      </c>
      <c r="CX111" s="37">
        <f>CX109-CX99</f>
        <v>107.76399999999967</v>
      </c>
      <c r="CY111" s="37">
        <f>CY109-CY99</f>
        <v>488</v>
      </c>
      <c r="CZ111" s="37">
        <f>CZ109-CZ99</f>
        <v>447</v>
      </c>
      <c r="DA111" s="37">
        <f>DA109-DA99</f>
        <v>278</v>
      </c>
      <c r="DB111" s="106">
        <f>SUM(CX111:DA111)</f>
        <v>1320.7639999999997</v>
      </c>
      <c r="DC111" s="37">
        <f>DC109-DC99</f>
        <v>72.271999999999935</v>
      </c>
      <c r="DD111" s="37">
        <f>DD109-DD99</f>
        <v>295</v>
      </c>
      <c r="DE111" s="37">
        <f>DE109-DE99</f>
        <v>285</v>
      </c>
      <c r="DF111" s="37">
        <f>DF109-DF99</f>
        <v>167</v>
      </c>
      <c r="DG111" s="106">
        <f>SUM(DC111:DF111)</f>
        <v>819.27199999999993</v>
      </c>
      <c r="DH111" s="37">
        <f>DH109-DH99</f>
        <v>10</v>
      </c>
      <c r="DI111" s="37">
        <f>DI109-DI99</f>
        <v>485</v>
      </c>
      <c r="DJ111" s="37">
        <f>DJ109-DJ99</f>
        <v>208</v>
      </c>
      <c r="DK111" s="37">
        <f>DK109-DK99</f>
        <v>136</v>
      </c>
      <c r="DL111" s="106">
        <f>SUM(DH111:DK111)</f>
        <v>839</v>
      </c>
      <c r="DM111" s="37">
        <f>DM109-DM99</f>
        <v>112</v>
      </c>
      <c r="DN111" s="37">
        <f>DN109-DN99</f>
        <v>479</v>
      </c>
      <c r="DO111" s="37">
        <f>DO109-DO99</f>
        <v>439</v>
      </c>
      <c r="DP111" s="37">
        <f>DP109-DP99</f>
        <v>418</v>
      </c>
      <c r="DQ111" s="106">
        <f>SUM(DM111:DP111)</f>
        <v>1448</v>
      </c>
      <c r="DR111" s="37">
        <f>DR109-DR99</f>
        <v>242</v>
      </c>
      <c r="DS111" s="37">
        <f>DS109-DS99</f>
        <v>819</v>
      </c>
      <c r="DT111" s="37">
        <f>DT109-DT99</f>
        <v>649</v>
      </c>
      <c r="DU111" s="37">
        <f>DU109-DU99</f>
        <v>670</v>
      </c>
      <c r="DV111" s="106">
        <f>SUM(DR111:DU111)</f>
        <v>2380</v>
      </c>
      <c r="DW111" s="37">
        <f>DW109-DW99</f>
        <v>770</v>
      </c>
      <c r="DX111" s="37">
        <f>DX109-DX99</f>
        <v>1148</v>
      </c>
      <c r="DY111" s="37">
        <f>DY109-DY99</f>
        <v>1047</v>
      </c>
      <c r="DZ111" s="37">
        <f>DZ109-DZ99</f>
        <v>992</v>
      </c>
      <c r="EA111" s="106">
        <f>SUM(DW111:DZ111)</f>
        <v>3957</v>
      </c>
      <c r="EB111" s="37">
        <f t="shared" ref="EB111:EL111" si="636">EB109-EB99</f>
        <v>952</v>
      </c>
      <c r="EC111" s="37">
        <f>EC109-EC99</f>
        <v>1267</v>
      </c>
      <c r="ED111" s="37">
        <f>ED109-ED99</f>
        <v>972</v>
      </c>
      <c r="EE111" s="37">
        <f>EE109-EE99</f>
        <v>768</v>
      </c>
      <c r="EF111" s="106">
        <f>SUM(EB111:EE111)</f>
        <v>3959</v>
      </c>
      <c r="EG111" s="37">
        <f t="shared" ref="EG111" si="637">EG109-EG99</f>
        <v>626</v>
      </c>
      <c r="EH111" s="37">
        <f>EH109-EH99</f>
        <v>1212</v>
      </c>
      <c r="EI111" s="37">
        <f>EI109-EI99</f>
        <v>871</v>
      </c>
      <c r="EJ111" s="37">
        <f>EJ109-EJ99</f>
        <v>746</v>
      </c>
      <c r="EK111" s="106">
        <f t="shared" si="636"/>
        <v>3455</v>
      </c>
      <c r="EL111" s="37">
        <f t="shared" si="636"/>
        <v>574</v>
      </c>
      <c r="EM111" s="37">
        <f>EM109-EM99</f>
        <v>1177</v>
      </c>
      <c r="EN111" s="37">
        <f>EN109-EN99</f>
        <v>882</v>
      </c>
      <c r="EO111" s="37">
        <f>EO109-EO99</f>
        <v>714</v>
      </c>
      <c r="EP111" s="106">
        <f t="shared" ref="EP111" si="638">EP109-EP99</f>
        <v>3347</v>
      </c>
      <c r="EQ111" s="37">
        <f t="shared" ref="EQ111" si="639">EQ109-EQ99</f>
        <v>575.81908914748965</v>
      </c>
      <c r="ER111" s="37">
        <f t="shared" ref="ER111:EU111" si="640">ER109-ER99</f>
        <v>1162.4586749220052</v>
      </c>
      <c r="ES111" s="37">
        <f t="shared" si="640"/>
        <v>974.19753041631793</v>
      </c>
      <c r="ET111" s="37">
        <f t="shared" si="640"/>
        <v>911.43765631744918</v>
      </c>
      <c r="EU111" s="106">
        <f t="shared" si="640"/>
        <v>3623.9129508032638</v>
      </c>
      <c r="EV111" s="37"/>
      <c r="EW111" s="37"/>
      <c r="EX111" s="37"/>
      <c r="EY111" s="37"/>
      <c r="EZ111" s="106">
        <f t="shared" ref="EZ111" si="641">EZ109-EZ99</f>
        <v>4264.238724511426</v>
      </c>
      <c r="FA111" s="37"/>
      <c r="FB111" s="37"/>
      <c r="FC111" s="37"/>
      <c r="FD111" s="37"/>
      <c r="FE111" s="106">
        <f t="shared" ref="FE111" si="642">FE109-FE99</f>
        <v>4832.0235559476787</v>
      </c>
      <c r="FF111" s="37"/>
      <c r="FG111" s="451"/>
      <c r="FL111" s="425"/>
      <c r="FM111" s="588"/>
      <c r="FN111" s="728"/>
      <c r="FO111" s="728"/>
      <c r="FP111" s="728"/>
      <c r="FQ111" s="728"/>
      <c r="FR111" s="384"/>
      <c r="FS111" s="384"/>
      <c r="FT111" s="451"/>
    </row>
    <row r="112" spans="1:183" ht="12.75" customHeight="1" x14ac:dyDescent="0.2">
      <c r="A112" s="58" t="s">
        <v>244</v>
      </c>
      <c r="B112" s="161"/>
      <c r="C112" s="161"/>
      <c r="D112" s="161"/>
      <c r="E112" s="161"/>
      <c r="F112" s="254"/>
      <c r="G112" s="161">
        <f t="shared" ref="G112:AL112" si="643">G111/B111-1</f>
        <v>-2.2918000492489536</v>
      </c>
      <c r="H112" s="161">
        <f t="shared" si="643"/>
        <v>-0.50504708189102143</v>
      </c>
      <c r="I112" s="161">
        <f t="shared" si="643"/>
        <v>-0.15096809380965237</v>
      </c>
      <c r="J112" s="161">
        <f t="shared" si="643"/>
        <v>-8.4627604166666686</v>
      </c>
      <c r="K112" s="254">
        <f t="shared" si="643"/>
        <v>-0.11318286740189842</v>
      </c>
      <c r="L112" s="161">
        <f t="shared" si="643"/>
        <v>-3.9689287075867252</v>
      </c>
      <c r="M112" s="161">
        <f t="shared" si="643"/>
        <v>1.2215483934073443</v>
      </c>
      <c r="N112" s="161">
        <f t="shared" si="643"/>
        <v>0.73055180831245381</v>
      </c>
      <c r="O112" s="161">
        <f t="shared" si="643"/>
        <v>1.009694601033547</v>
      </c>
      <c r="P112" s="254">
        <f t="shared" si="643"/>
        <v>1.6690464484373755</v>
      </c>
      <c r="Q112" s="161">
        <f t="shared" si="643"/>
        <v>0.43390048154093375</v>
      </c>
      <c r="R112" s="161">
        <f t="shared" si="643"/>
        <v>0.64637636491722694</v>
      </c>
      <c r="S112" s="161">
        <f t="shared" si="643"/>
        <v>0.61062751721450015</v>
      </c>
      <c r="T112" s="161">
        <f t="shared" si="643"/>
        <v>0.35345929819576605</v>
      </c>
      <c r="U112" s="254">
        <f t="shared" si="643"/>
        <v>0.50653753276506275</v>
      </c>
      <c r="V112" s="161">
        <f t="shared" si="643"/>
        <v>0.7025477992208804</v>
      </c>
      <c r="W112" s="161">
        <f t="shared" si="643"/>
        <v>0.36169017851173302</v>
      </c>
      <c r="X112" s="161">
        <f t="shared" si="643"/>
        <v>0.17205775590868799</v>
      </c>
      <c r="Y112" s="161">
        <f t="shared" si="643"/>
        <v>-0.56709002484167925</v>
      </c>
      <c r="Z112" s="254">
        <f t="shared" si="643"/>
        <v>8.4720162480776517E-2</v>
      </c>
      <c r="AA112" s="161">
        <f t="shared" si="643"/>
        <v>-0.69217315835152537</v>
      </c>
      <c r="AB112" s="161">
        <f t="shared" si="643"/>
        <v>1.5623465640158374E-2</v>
      </c>
      <c r="AC112" s="161">
        <f t="shared" si="643"/>
        <v>0.12179726673876634</v>
      </c>
      <c r="AD112" s="161">
        <f t="shared" si="643"/>
        <v>0.95584471564427576</v>
      </c>
      <c r="AE112" s="254">
        <f t="shared" si="643"/>
        <v>-1.0034448026423171E-2</v>
      </c>
      <c r="AF112" s="161">
        <f t="shared" si="643"/>
        <v>1.4517493271818576</v>
      </c>
      <c r="AG112" s="161">
        <f t="shared" si="643"/>
        <v>0.37496736765772365</v>
      </c>
      <c r="AH112" s="161">
        <f t="shared" si="643"/>
        <v>-9.7845711581272199E-2</v>
      </c>
      <c r="AI112" s="161">
        <f t="shared" si="643"/>
        <v>-0.33467403132274254</v>
      </c>
      <c r="AJ112" s="254">
        <f t="shared" si="643"/>
        <v>0.11898026032513642</v>
      </c>
      <c r="AK112" s="161">
        <f t="shared" si="643"/>
        <v>0.51940132071856326</v>
      </c>
      <c r="AL112" s="161">
        <f t="shared" si="643"/>
        <v>9.9862171778969389E-2</v>
      </c>
      <c r="AM112" s="161">
        <f t="shared" ref="AM112:BR112" si="644">AM111/AH111-1</f>
        <v>0.47443993238385684</v>
      </c>
      <c r="AN112" s="161">
        <f t="shared" si="644"/>
        <v>1.6677156225415106</v>
      </c>
      <c r="AO112" s="254">
        <f t="shared" si="644"/>
        <v>0.49425228383713327</v>
      </c>
      <c r="AP112" s="161">
        <f t="shared" si="644"/>
        <v>0.28083896196231461</v>
      </c>
      <c r="AQ112" s="161">
        <f t="shared" si="644"/>
        <v>0.33336743240391842</v>
      </c>
      <c r="AR112" s="161">
        <f t="shared" si="644"/>
        <v>0.34360545562364053</v>
      </c>
      <c r="AS112" s="161">
        <f t="shared" si="644"/>
        <v>0.23743558701185741</v>
      </c>
      <c r="AT112" s="254">
        <f t="shared" si="644"/>
        <v>0.3040138410944675</v>
      </c>
      <c r="AU112" s="161">
        <f t="shared" si="644"/>
        <v>0.49174075367301429</v>
      </c>
      <c r="AV112" s="161">
        <f t="shared" si="644"/>
        <v>0.21953219402727386</v>
      </c>
      <c r="AW112" s="161">
        <f t="shared" si="644"/>
        <v>1.2475541759229047E-2</v>
      </c>
      <c r="AX112" s="161">
        <f t="shared" si="644"/>
        <v>-3.3151250227341555E-2</v>
      </c>
      <c r="AY112" s="254">
        <f t="shared" si="644"/>
        <v>0.14330518379604817</v>
      </c>
      <c r="AZ112" s="161">
        <f t="shared" si="644"/>
        <v>-6.7274047666204928E-2</v>
      </c>
      <c r="BA112" s="161">
        <f t="shared" si="644"/>
        <v>0.23680558012983188</v>
      </c>
      <c r="BB112" s="161">
        <f t="shared" si="644"/>
        <v>0.45357279512551774</v>
      </c>
      <c r="BC112" s="161">
        <f t="shared" si="644"/>
        <v>0.62857976842992658</v>
      </c>
      <c r="BD112" s="254">
        <f t="shared" si="644"/>
        <v>0.30652041516116113</v>
      </c>
      <c r="BE112" s="161">
        <f t="shared" si="644"/>
        <v>0.35229203129826048</v>
      </c>
      <c r="BF112" s="161">
        <f t="shared" si="644"/>
        <v>-7.5331099511059652E-2</v>
      </c>
      <c r="BG112" s="161">
        <f t="shared" si="644"/>
        <v>-0.69015924214202184</v>
      </c>
      <c r="BH112" s="161">
        <f t="shared" si="644"/>
        <v>-0.85216473493448053</v>
      </c>
      <c r="BI112" s="254">
        <f t="shared" si="644"/>
        <v>-0.38194673626174525</v>
      </c>
      <c r="BJ112" s="161">
        <f t="shared" si="644"/>
        <v>-0.76510418401480784</v>
      </c>
      <c r="BK112" s="161">
        <f t="shared" si="644"/>
        <v>-0.45490988853820713</v>
      </c>
      <c r="BL112" s="161">
        <f t="shared" si="644"/>
        <v>-1.9841696599485981E-2</v>
      </c>
      <c r="BM112" s="161">
        <f t="shared" si="644"/>
        <v>1.3663819813023665</v>
      </c>
      <c r="BN112" s="254">
        <f t="shared" si="644"/>
        <v>-0.38698856956341232</v>
      </c>
      <c r="BO112" s="161">
        <f t="shared" si="644"/>
        <v>-6.8165704446470299E-2</v>
      </c>
      <c r="BP112" s="161">
        <f t="shared" si="644"/>
        <v>0.14162451275970356</v>
      </c>
      <c r="BQ112" s="161">
        <f t="shared" si="644"/>
        <v>1.0298219242711824</v>
      </c>
      <c r="BR112" s="161">
        <f t="shared" si="644"/>
        <v>0.26376191180991415</v>
      </c>
      <c r="BS112" s="254">
        <f t="shared" ref="BS112:CX112" si="645">BS111/BN111-1</f>
        <v>0.35182289310777115</v>
      </c>
      <c r="BT112" s="161">
        <f t="shared" si="645"/>
        <v>0.33260869565217299</v>
      </c>
      <c r="BU112" s="161">
        <f t="shared" si="645"/>
        <v>0.22099447513812165</v>
      </c>
      <c r="BV112" s="161">
        <f t="shared" si="645"/>
        <v>3.2432432432432323E-2</v>
      </c>
      <c r="BW112" s="161">
        <f t="shared" si="645"/>
        <v>8.1081081081081141E-2</v>
      </c>
      <c r="BX112" s="254">
        <f t="shared" si="645"/>
        <v>0.1344168260038241</v>
      </c>
      <c r="BY112" s="161">
        <f t="shared" si="645"/>
        <v>0.35399673735726034</v>
      </c>
      <c r="BZ112" s="161">
        <f t="shared" si="645"/>
        <v>0.16742081447963808</v>
      </c>
      <c r="CA112" s="161">
        <f t="shared" si="645"/>
        <v>0.39790575916230364</v>
      </c>
      <c r="CB112" s="161">
        <f t="shared" si="645"/>
        <v>0.10833333333333339</v>
      </c>
      <c r="CC112" s="254">
        <f t="shared" si="645"/>
        <v>0.24894657003202436</v>
      </c>
      <c r="CD112" s="161">
        <f t="shared" si="645"/>
        <v>0.38072289156626393</v>
      </c>
      <c r="CE112" s="161">
        <f t="shared" si="645"/>
        <v>0.66124031007751904</v>
      </c>
      <c r="CF112" s="161">
        <f t="shared" si="645"/>
        <v>-2.7715355805243758E-2</v>
      </c>
      <c r="CG112" s="161">
        <f t="shared" si="645"/>
        <v>0.29774436090225498</v>
      </c>
      <c r="CH112" s="254">
        <f t="shared" si="645"/>
        <v>0.31632928475033695</v>
      </c>
      <c r="CI112" s="161">
        <f t="shared" si="645"/>
        <v>-0.38917975567190177</v>
      </c>
      <c r="CJ112" s="161">
        <f t="shared" si="645"/>
        <v>-0.23471768548763394</v>
      </c>
      <c r="CK112" s="161">
        <f t="shared" si="645"/>
        <v>6.702619414483868E-2</v>
      </c>
      <c r="CL112" s="161">
        <f t="shared" si="645"/>
        <v>4.2873696407879969E-2</v>
      </c>
      <c r="CM112" s="254">
        <f t="shared" si="645"/>
        <v>-0.12343653885585371</v>
      </c>
      <c r="CN112" s="161">
        <f t="shared" si="645"/>
        <v>0.41428571428571437</v>
      </c>
      <c r="CO112" s="161">
        <f t="shared" si="645"/>
        <v>-0.26219512195121952</v>
      </c>
      <c r="CP112" s="161">
        <f t="shared" si="645"/>
        <v>-0.46931407942238268</v>
      </c>
      <c r="CQ112" s="161">
        <f t="shared" si="645"/>
        <v>-0.16666666666666663</v>
      </c>
      <c r="CR112" s="311">
        <f t="shared" si="645"/>
        <v>-0.25380116959064325</v>
      </c>
      <c r="CS112" s="161">
        <f t="shared" si="645"/>
        <v>-0.2238989898989916</v>
      </c>
      <c r="CT112" s="161">
        <f t="shared" si="645"/>
        <v>2.4483471074380869E-2</v>
      </c>
      <c r="CU112" s="161">
        <f t="shared" si="645"/>
        <v>5.8727891156461265E-2</v>
      </c>
      <c r="CV112" s="161">
        <f t="shared" si="645"/>
        <v>0.53206000000000131</v>
      </c>
      <c r="CW112" s="311">
        <f t="shared" si="645"/>
        <v>0.11316771159874617</v>
      </c>
      <c r="CX112" s="161">
        <f t="shared" si="645"/>
        <v>0.4025561600333174</v>
      </c>
      <c r="CY112" s="161">
        <f t="shared" ref="CY112:DT112" si="646">CY111/CT111-1</f>
        <v>0.96833719874962032</v>
      </c>
      <c r="CZ112" s="161">
        <f t="shared" si="646"/>
        <v>1.8721415124041849</v>
      </c>
      <c r="DA112" s="161">
        <f t="shared" si="646"/>
        <v>0.20970022932086985</v>
      </c>
      <c r="DB112" s="311">
        <f t="shared" si="646"/>
        <v>0.85970450618909244</v>
      </c>
      <c r="DC112" s="161">
        <f t="shared" si="646"/>
        <v>-0.32934931888199992</v>
      </c>
      <c r="DD112" s="161">
        <f t="shared" si="646"/>
        <v>-0.39549180327868849</v>
      </c>
      <c r="DE112" s="161">
        <f t="shared" si="646"/>
        <v>-0.36241610738255037</v>
      </c>
      <c r="DF112" s="161">
        <f t="shared" si="646"/>
        <v>-0.39928057553956831</v>
      </c>
      <c r="DG112" s="311">
        <f t="shared" si="646"/>
        <v>-0.37969841697684059</v>
      </c>
      <c r="DH112" s="161">
        <f t="shared" si="646"/>
        <v>-0.86163382776178865</v>
      </c>
      <c r="DI112" s="161">
        <f t="shared" si="646"/>
        <v>0.64406779661016955</v>
      </c>
      <c r="DJ112" s="161">
        <f t="shared" si="646"/>
        <v>-0.27017543859649118</v>
      </c>
      <c r="DK112" s="161">
        <f t="shared" si="646"/>
        <v>-0.18562874251497008</v>
      </c>
      <c r="DL112" s="311">
        <f t="shared" si="646"/>
        <v>2.4079914851233841E-2</v>
      </c>
      <c r="DM112" s="161">
        <f t="shared" si="646"/>
        <v>10.199999999999999</v>
      </c>
      <c r="DN112" s="161">
        <f t="shared" si="646"/>
        <v>-1.2371134020618513E-2</v>
      </c>
      <c r="DO112" s="161">
        <f t="shared" si="646"/>
        <v>1.1105769230769229</v>
      </c>
      <c r="DP112" s="161">
        <f t="shared" si="646"/>
        <v>2.0735294117647061</v>
      </c>
      <c r="DQ112" s="311">
        <f t="shared" si="646"/>
        <v>0.72586412395709177</v>
      </c>
      <c r="DR112" s="161">
        <f>DR111/DM111-1</f>
        <v>1.1607142857142856</v>
      </c>
      <c r="DS112" s="161">
        <f t="shared" si="646"/>
        <v>0.70981210855949906</v>
      </c>
      <c r="DT112" s="161">
        <f t="shared" si="646"/>
        <v>0.47835990888382685</v>
      </c>
      <c r="DU112" s="161">
        <f>DU111/DP111-1</f>
        <v>0.60287081339712922</v>
      </c>
      <c r="DV112" s="311">
        <f>DV111/DQ111-1</f>
        <v>0.64364640883977908</v>
      </c>
      <c r="DW112" s="161">
        <f t="shared" ref="DW112:ED112" si="647">DW111/DR111-1</f>
        <v>2.1818181818181817</v>
      </c>
      <c r="DX112" s="161">
        <f t="shared" si="647"/>
        <v>0.40170940170940161</v>
      </c>
      <c r="DY112" s="161">
        <f t="shared" si="647"/>
        <v>0.61325115562403698</v>
      </c>
      <c r="DZ112" s="161">
        <f t="shared" si="647"/>
        <v>0.4805970149253731</v>
      </c>
      <c r="EA112" s="311">
        <f t="shared" si="647"/>
        <v>0.66260504201680681</v>
      </c>
      <c r="EB112" s="161">
        <f t="shared" si="647"/>
        <v>0.23636363636363633</v>
      </c>
      <c r="EC112" s="161">
        <f t="shared" si="647"/>
        <v>0.10365853658536595</v>
      </c>
      <c r="ED112" s="161">
        <f t="shared" si="647"/>
        <v>-7.1633237822349538E-2</v>
      </c>
      <c r="EE112" s="161">
        <f t="shared" ref="EE112" si="648">EE111/DZ111-1</f>
        <v>-0.22580645161290325</v>
      </c>
      <c r="EF112" s="311">
        <f t="shared" ref="EF112:EJ112" si="649">EF111/EA111-1</f>
        <v>5.0543340914832591E-4</v>
      </c>
      <c r="EG112" s="161">
        <f t="shared" si="649"/>
        <v>-0.34243697478991597</v>
      </c>
      <c r="EH112" s="161">
        <f t="shared" si="649"/>
        <v>-4.3409629044988129E-2</v>
      </c>
      <c r="EI112" s="161">
        <f t="shared" si="649"/>
        <v>-0.10390946502057619</v>
      </c>
      <c r="EJ112" s="161">
        <f t="shared" si="649"/>
        <v>-2.864583333333337E-2</v>
      </c>
      <c r="EK112" s="311">
        <f>EK111/EF111-1</f>
        <v>-0.12730487496842635</v>
      </c>
      <c r="EL112" s="161"/>
      <c r="EM112" s="161"/>
      <c r="EN112" s="161"/>
      <c r="EO112" s="161"/>
      <c r="EP112" s="311"/>
      <c r="EQ112" s="161">
        <f t="shared" ref="EQ112" si="650">EQ111/EL111-1</f>
        <v>3.1691448562536362E-3</v>
      </c>
      <c r="ER112" s="161">
        <f t="shared" ref="ER112" si="651">ER111/EM111-1</f>
        <v>-1.2354566761253016E-2</v>
      </c>
      <c r="ES112" s="161">
        <f t="shared" ref="ES112" si="652">ES111/EN111-1</f>
        <v>0.10453234741079132</v>
      </c>
      <c r="ET112" s="161">
        <f t="shared" ref="ET112" si="653">ET111/EO111-1</f>
        <v>0.27652332817569913</v>
      </c>
      <c r="EU112" s="311">
        <f>EU111/EP111-1</f>
        <v>8.2734673081345633E-2</v>
      </c>
      <c r="EV112" s="161"/>
      <c r="EW112" s="161"/>
      <c r="EX112" s="161"/>
      <c r="EY112" s="161"/>
      <c r="EZ112" s="311">
        <f>EZ111/EU111-1</f>
        <v>0.17669457914717013</v>
      </c>
      <c r="FA112" s="161"/>
      <c r="FB112" s="161"/>
      <c r="FC112" s="161"/>
      <c r="FD112" s="161"/>
      <c r="FE112" s="311">
        <f>FE111/EZ111-1</f>
        <v>0.13315033892744976</v>
      </c>
      <c r="FF112" s="161"/>
      <c r="FG112" s="452"/>
      <c r="FL112" s="417"/>
      <c r="FM112" s="417"/>
      <c r="FN112" s="728"/>
      <c r="FO112" s="728"/>
      <c r="FP112" s="728"/>
      <c r="FQ112" s="728"/>
      <c r="FR112" s="379"/>
      <c r="FS112" s="379"/>
      <c r="FT112" s="478"/>
    </row>
    <row r="113" spans="1:184" ht="12.75" customHeight="1" x14ac:dyDescent="0.2">
      <c r="A113" s="37" t="s">
        <v>332</v>
      </c>
      <c r="B113" s="163">
        <f>B111+B79+B72</f>
        <v>33.00200000000001</v>
      </c>
      <c r="C113" s="163">
        <f>C111+C79+C72</f>
        <v>66.881999999999977</v>
      </c>
      <c r="D113" s="163">
        <f>D111+D79+D72</f>
        <v>63.351999999999961</v>
      </c>
      <c r="E113" s="163">
        <f>E111+E79+E72</f>
        <v>24.157000000000014</v>
      </c>
      <c r="F113" s="262">
        <f>SUM(B113:E113)</f>
        <v>187.39299999999994</v>
      </c>
      <c r="G113" s="163">
        <f>G111+G79+G72</f>
        <v>19.32099999999998</v>
      </c>
      <c r="H113" s="163">
        <f>H111+H79+H72</f>
        <v>52.820000000000007</v>
      </c>
      <c r="I113" s="163">
        <f>I111+I79+I72</f>
        <v>65.966000000000008</v>
      </c>
      <c r="J113" s="163">
        <f>J111+J79+J72</f>
        <v>70.105699999999928</v>
      </c>
      <c r="K113" s="262">
        <f>SUM(G113:J113)</f>
        <v>208.21269999999993</v>
      </c>
      <c r="L113" s="163">
        <f>L111+L79+L72</f>
        <v>69.011999999999972</v>
      </c>
      <c r="M113" s="163">
        <f>M111+M79+M72</f>
        <v>85.825999999999979</v>
      </c>
      <c r="N113" s="163">
        <f>N111+N79+N72</f>
        <v>97.313999999999965</v>
      </c>
      <c r="O113" s="163">
        <f>O111+O79+O72</f>
        <v>121.10000000000005</v>
      </c>
      <c r="P113" s="262">
        <f>SUM(L113:O113)</f>
        <v>373.25199999999995</v>
      </c>
      <c r="Q113" s="163">
        <f>Q111+Q79+Q72</f>
        <v>90.242000000000061</v>
      </c>
      <c r="R113" s="163">
        <f>R111+R79+R72</f>
        <v>123.28900000000007</v>
      </c>
      <c r="S113" s="163">
        <f>S111+S79+S72</f>
        <v>137.672</v>
      </c>
      <c r="T113" s="163">
        <f>T111+T79+T72</f>
        <v>167.99300000000005</v>
      </c>
      <c r="U113" s="262">
        <f>SUM(Q113:T113)</f>
        <v>519.19600000000014</v>
      </c>
      <c r="V113" s="163">
        <f>V111+V79+V72</f>
        <v>139.34699999999992</v>
      </c>
      <c r="W113" s="163">
        <f>W111+W79+W72</f>
        <v>166.85000000000005</v>
      </c>
      <c r="X113" s="163">
        <f>X111+X79+X72</f>
        <v>170.96900000000005</v>
      </c>
      <c r="Y113" s="163">
        <f>Y111+Y79+Y72</f>
        <v>111.5799999999999</v>
      </c>
      <c r="Z113" s="262">
        <f>SUM(V113:Y113)</f>
        <v>588.74599999999998</v>
      </c>
      <c r="AA113" s="163">
        <f>AA111+AA79+AA72</f>
        <v>99.170999999999879</v>
      </c>
      <c r="AB113" s="163">
        <f>AB111+AB79+AB72</f>
        <v>183.69899999999996</v>
      </c>
      <c r="AC113" s="163">
        <f>AC111+AC79+AC72</f>
        <v>197.15299999999993</v>
      </c>
      <c r="AD113" s="163">
        <f>AD111+AD79+AD72</f>
        <v>159.73999999999972</v>
      </c>
      <c r="AE113" s="262">
        <f>SUM(AA113:AD113)</f>
        <v>639.76299999999947</v>
      </c>
      <c r="AF113" s="163">
        <f>AF111+AF79+AF72</f>
        <v>146.4039999999998</v>
      </c>
      <c r="AG113" s="163">
        <f>AG111+AG79+AG72</f>
        <v>234.239</v>
      </c>
      <c r="AH113" s="163">
        <f>AH111+AH79+AH72</f>
        <v>197.06499999999997</v>
      </c>
      <c r="AI113" s="163">
        <f>AI111+AI79+AI72</f>
        <v>147.26000000000002</v>
      </c>
      <c r="AJ113" s="262">
        <f>SUM(AF113:AI113)</f>
        <v>724.96799999999973</v>
      </c>
      <c r="AK113" s="163">
        <f>AK111+AK79+AK72</f>
        <v>185.9710000000002</v>
      </c>
      <c r="AL113" s="163">
        <f>AL111+AL79+AL72</f>
        <v>254.38200000000018</v>
      </c>
      <c r="AM113" s="163">
        <f>AM111+AM79+AM72</f>
        <v>252.04499999999985</v>
      </c>
      <c r="AN113" s="163">
        <f>AN111+AN79+AN72</f>
        <v>229.36000000000013</v>
      </c>
      <c r="AO113" s="262">
        <f>SUM(AK113:AN113)</f>
        <v>921.75800000000038</v>
      </c>
      <c r="AP113" s="163">
        <f>AP111+AP79+AP72</f>
        <v>214.08999999999997</v>
      </c>
      <c r="AQ113" s="163">
        <f>AQ111+AQ79+AQ72</f>
        <v>313.29099999999988</v>
      </c>
      <c r="AR113" s="163">
        <f>AR111+AR79+AR72</f>
        <v>315.04099999999977</v>
      </c>
      <c r="AS113" s="163">
        <f>AS111+AS79+AS72</f>
        <v>268.56100000000004</v>
      </c>
      <c r="AT113" s="262">
        <f>SUM(AP113:AS113)</f>
        <v>1110.9829999999997</v>
      </c>
      <c r="AU113" s="163">
        <f>AU111+AU79+AU72</f>
        <v>273.20899999999995</v>
      </c>
      <c r="AV113" s="163">
        <f>AV111+AV79+AV72</f>
        <v>363.77099999999984</v>
      </c>
      <c r="AW113" s="163">
        <f>AW111+AW79+AW72</f>
        <v>320.10599999999994</v>
      </c>
      <c r="AX113" s="163">
        <f>AX111+AX79+AX72</f>
        <v>272.89000000000021</v>
      </c>
      <c r="AY113" s="262">
        <f>SUM(AU113:AX113)</f>
        <v>1229.9760000000001</v>
      </c>
      <c r="AZ113" s="163">
        <f>AZ111+AZ79+AZ72</f>
        <v>271.45299999999992</v>
      </c>
      <c r="BA113" s="163">
        <f>BA111+BA79+BA72</f>
        <v>432.10400000000004</v>
      </c>
      <c r="BB113" s="163">
        <f>BB111+BB79+BB72</f>
        <v>421.2289999999997</v>
      </c>
      <c r="BC113" s="163">
        <f>BC111+BC79+BC72</f>
        <v>373.96299999999991</v>
      </c>
      <c r="BD113" s="262">
        <f>SUM(AZ113:BC113)</f>
        <v>1498.7489999999996</v>
      </c>
      <c r="BE113" s="163">
        <f>BE111+BE79+BE72</f>
        <v>335.89399999999995</v>
      </c>
      <c r="BF113" s="163">
        <f>BF111+BF79+BF72</f>
        <v>416.95400000000006</v>
      </c>
      <c r="BG113" s="163">
        <f>BG111+BG79+BG72</f>
        <v>223.00999999999988</v>
      </c>
      <c r="BH113" s="163">
        <f>BH111+BH79+BH72</f>
        <v>165.20499999999996</v>
      </c>
      <c r="BI113" s="262">
        <f>SUM(BE113:BH113)</f>
        <v>1141.0629999999999</v>
      </c>
      <c r="BJ113" s="163">
        <f>BJ111+BJ79+BJ72</f>
        <v>181.39500000000001</v>
      </c>
      <c r="BK113" s="163">
        <f>BK111+BK79+BK72</f>
        <v>291.54600000000005</v>
      </c>
      <c r="BL113" s="163">
        <f>BL111+BL79+BL72</f>
        <v>229.72100000000006</v>
      </c>
      <c r="BM113" s="163">
        <f>BM111+BM79+BM72</f>
        <v>227.58099999999985</v>
      </c>
      <c r="BN113" s="262">
        <f>SUM(BJ113:BM113)</f>
        <v>930.24299999999994</v>
      </c>
      <c r="BO113" s="163">
        <f>BO111+BO79+BO72</f>
        <v>184</v>
      </c>
      <c r="BP113" s="163">
        <f>BP111+BP79+BP72</f>
        <v>322</v>
      </c>
      <c r="BQ113" s="163">
        <f>BQ111+BQ79+BQ72</f>
        <v>328</v>
      </c>
      <c r="BR113" s="163">
        <f>BR111+BR79+BR72</f>
        <v>256</v>
      </c>
      <c r="BS113" s="262">
        <f>SUM(BO113:BR113)</f>
        <v>1090</v>
      </c>
      <c r="BT113" s="163">
        <f>BT111+BT79+BT72</f>
        <v>209.29999999999995</v>
      </c>
      <c r="BU113" s="163">
        <f>BU111+BU79+BU72</f>
        <v>372</v>
      </c>
      <c r="BV113" s="163">
        <f>BV111+BV79+BV72</f>
        <v>344</v>
      </c>
      <c r="BW113" s="163">
        <f>BW111+BW79+BW72</f>
        <v>278</v>
      </c>
      <c r="BX113" s="262">
        <f>SUM(BT113:BW113)</f>
        <v>1203.3</v>
      </c>
      <c r="BY113" s="163">
        <f>BY111+BY79+BY72</f>
        <v>238</v>
      </c>
      <c r="BZ113" s="163">
        <f>BZ111+BZ79+BZ72</f>
        <v>416</v>
      </c>
      <c r="CA113" s="163">
        <f>CA111+CA79+CA72</f>
        <v>424</v>
      </c>
      <c r="CB113" s="163">
        <f>CB111+CB79+CB72</f>
        <v>296</v>
      </c>
      <c r="CC113" s="262">
        <f>SUM(BY113:CB113)</f>
        <v>1374</v>
      </c>
      <c r="CD113" s="163">
        <f>CD111+CD79+CD72</f>
        <v>278.59999999999991</v>
      </c>
      <c r="CE113" s="163">
        <f>CE111+CE79+CE72</f>
        <v>594.59999999999991</v>
      </c>
      <c r="CF113" s="163">
        <f>CF111+CF79+CF72</f>
        <v>429.59999999999991</v>
      </c>
      <c r="CG113" s="163">
        <f>CG111+CG79+CG72</f>
        <v>345.59999999999991</v>
      </c>
      <c r="CH113" s="262">
        <f>SUM(CD113:CG113)</f>
        <v>1648.3999999999996</v>
      </c>
      <c r="CI113" s="163">
        <f>CI111+CI79+CI72</f>
        <v>244</v>
      </c>
      <c r="CJ113" s="163">
        <f>CJ111+CJ79+CJ72</f>
        <v>505</v>
      </c>
      <c r="CK113" s="163">
        <f>CK111+CK79+CK72</f>
        <v>455</v>
      </c>
      <c r="CL113" s="163">
        <f>CL111+CL79+CL72</f>
        <v>364</v>
      </c>
      <c r="CM113" s="262">
        <f>SUM(CI113:CL113)</f>
        <v>1568</v>
      </c>
      <c r="CN113" s="163">
        <f>CN111+CN79+CN72</f>
        <v>282</v>
      </c>
      <c r="CO113" s="163">
        <f>CO111+CO79+CO72</f>
        <v>428</v>
      </c>
      <c r="CP113" s="163">
        <f>CP111+CP79+CP72</f>
        <v>337</v>
      </c>
      <c r="CQ113" s="163">
        <f>CQ111+CQ79+CQ72</f>
        <v>343</v>
      </c>
      <c r="CR113" s="312">
        <f>SUM(CN113:CQ113)</f>
        <v>1390</v>
      </c>
      <c r="CS113" s="163">
        <f>CS111+CS79+CS72</f>
        <v>346.38199999999983</v>
      </c>
      <c r="CT113" s="163">
        <f>CT111+CT79+CT72</f>
        <v>519.58700000000022</v>
      </c>
      <c r="CU113" s="163">
        <f>CU111+CU79+CU72</f>
        <v>439.16399999999982</v>
      </c>
      <c r="CV113" s="163">
        <f>CV111+CV79+CV72</f>
        <v>505.17500000000018</v>
      </c>
      <c r="CW113" s="312">
        <f>SUM(CS113:CV113)</f>
        <v>1810.308</v>
      </c>
      <c r="CX113" s="163">
        <f>CX111+CX79+CX72</f>
        <v>384.1999999999997</v>
      </c>
      <c r="CY113" s="163">
        <f>CY111+CY79+CY72</f>
        <v>763</v>
      </c>
      <c r="CZ113" s="163">
        <f>CZ111+CZ79+CZ72</f>
        <v>726</v>
      </c>
      <c r="DA113" s="163">
        <f>DA111+DA79+DA72</f>
        <v>559</v>
      </c>
      <c r="DB113" s="312">
        <f>SUM(CX113:DA113)</f>
        <v>2432.1999999999998</v>
      </c>
      <c r="DC113" s="163">
        <f>DC111+DC79+DC72</f>
        <v>348.10299999999995</v>
      </c>
      <c r="DD113" s="163">
        <f>DD111+DD79+DD72</f>
        <v>576</v>
      </c>
      <c r="DE113" s="163">
        <f>DE111+DE79+DE72</f>
        <v>566</v>
      </c>
      <c r="DF113" s="163">
        <f>DF111+DF79+DF72</f>
        <v>452</v>
      </c>
      <c r="DG113" s="312">
        <f>SUM(DC113:DF113)</f>
        <v>1942.1030000000001</v>
      </c>
      <c r="DH113" s="163">
        <f>DH111+DH79+DH72</f>
        <v>299</v>
      </c>
      <c r="DI113" s="163">
        <f>DI111+DI79+DI72</f>
        <v>777</v>
      </c>
      <c r="DJ113" s="163">
        <f>DJ111+DJ79+DJ72</f>
        <v>517</v>
      </c>
      <c r="DK113" s="163">
        <f>DK111+DK79+DK72</f>
        <v>445</v>
      </c>
      <c r="DL113" s="312">
        <f>SUM(DH113:DK113)</f>
        <v>2038</v>
      </c>
      <c r="DM113" s="163">
        <f>DM111+DM79+DM72</f>
        <v>415</v>
      </c>
      <c r="DN113" s="163">
        <f>DN111+DN79+DN72</f>
        <v>784</v>
      </c>
      <c r="DO113" s="163">
        <f>DO111+DO79+DO72</f>
        <v>752</v>
      </c>
      <c r="DP113" s="163">
        <f>DP111+DP79+DP72</f>
        <v>725</v>
      </c>
      <c r="DQ113" s="312">
        <f>SUM(DM113:DP113)</f>
        <v>2676</v>
      </c>
      <c r="DR113" s="163">
        <f>DR111+DR79+DR72</f>
        <v>544</v>
      </c>
      <c r="DS113" s="163">
        <f>DS111+DS79+DS72</f>
        <v>1122</v>
      </c>
      <c r="DT113" s="163">
        <f>DT111+DT79+DT72</f>
        <v>958</v>
      </c>
      <c r="DU113" s="163">
        <f>DU111+DU79+DU72</f>
        <v>989</v>
      </c>
      <c r="DV113" s="312">
        <f>SUM(DR113:DU113)</f>
        <v>3613</v>
      </c>
      <c r="DW113" s="163">
        <f>DW111+DW79+DW72</f>
        <v>1074</v>
      </c>
      <c r="DX113" s="163">
        <f>DX111+DX79+DX72</f>
        <v>1457</v>
      </c>
      <c r="DY113" s="163">
        <f>DY111+DY79+DY72</f>
        <v>1365</v>
      </c>
      <c r="DZ113" s="163">
        <f>DZ111+DZ79+DZ72</f>
        <v>1314</v>
      </c>
      <c r="EA113" s="312">
        <f>SUM(DW113:DZ113)</f>
        <v>5210</v>
      </c>
      <c r="EB113" s="163">
        <f t="shared" ref="EB113:EL113" si="654">EB111+EB79+EB72</f>
        <v>1301</v>
      </c>
      <c r="EC113" s="163">
        <f>EC111+EC79+EC72</f>
        <v>1625</v>
      </c>
      <c r="ED113" s="163">
        <f>ED111+ED79+ED72</f>
        <v>1343</v>
      </c>
      <c r="EE113" s="163">
        <f>EE111+EE79+EE72</f>
        <v>1141</v>
      </c>
      <c r="EF113" s="312">
        <f>SUM(EB113:EE113)</f>
        <v>5410</v>
      </c>
      <c r="EG113" s="163">
        <f t="shared" ref="EG113" si="655">EG111+EG79+EG72</f>
        <v>993</v>
      </c>
      <c r="EH113" s="163">
        <f>EH111+EH79+EH72</f>
        <v>1584</v>
      </c>
      <c r="EI113" s="163">
        <f>EI111+EI79+EI72</f>
        <v>1224</v>
      </c>
      <c r="EJ113" s="163">
        <f>EJ111+EJ79+EJ72</f>
        <v>1065</v>
      </c>
      <c r="EK113" s="312">
        <f t="shared" si="654"/>
        <v>4866</v>
      </c>
      <c r="EL113" s="163">
        <f t="shared" si="654"/>
        <v>946</v>
      </c>
      <c r="EM113" s="163">
        <f>EM111+EM79+EM72</f>
        <v>1549</v>
      </c>
      <c r="EN113" s="163">
        <f>EN111+EN79+EN72</f>
        <v>1235</v>
      </c>
      <c r="EO113" s="163">
        <f>EO111+EO79+EO72</f>
        <v>1033</v>
      </c>
      <c r="EP113" s="312">
        <f t="shared" ref="EP113" si="656">EP111+EP79+EP72</f>
        <v>4763</v>
      </c>
      <c r="EQ113" s="163">
        <f t="shared" ref="EQ113" si="657">EQ111+EQ79+EQ72</f>
        <v>909.01473052679989</v>
      </c>
      <c r="ER113" s="163">
        <f t="shared" ref="ER113:EU113" si="658">ER111+ER79+ER72</f>
        <v>1503.539919792046</v>
      </c>
      <c r="ES113" s="163">
        <f t="shared" si="658"/>
        <v>1327.3068975049255</v>
      </c>
      <c r="ET113" s="163">
        <f t="shared" si="658"/>
        <v>1267.3003842427902</v>
      </c>
      <c r="EU113" s="312">
        <f t="shared" si="658"/>
        <v>5007.1619320665632</v>
      </c>
      <c r="EV113" s="163"/>
      <c r="EW113" s="163"/>
      <c r="EX113" s="163"/>
      <c r="EY113" s="163"/>
      <c r="EZ113" s="312">
        <f t="shared" ref="EZ113" si="659">EZ111+EZ79+EZ72</f>
        <v>5682.3304509762156</v>
      </c>
      <c r="FA113" s="163"/>
      <c r="FB113" s="163"/>
      <c r="FC113" s="163"/>
      <c r="FD113" s="163"/>
      <c r="FE113" s="312">
        <f t="shared" ref="FE113" si="660">FE111+FE79+FE72</f>
        <v>6283.9140597754304</v>
      </c>
      <c r="FF113" s="163"/>
      <c r="FG113" s="453"/>
      <c r="FL113" s="426"/>
      <c r="FM113" s="426"/>
      <c r="FN113" s="385"/>
      <c r="FO113" s="385"/>
      <c r="FP113" s="385"/>
      <c r="FQ113" s="385"/>
      <c r="FR113" s="385"/>
      <c r="FS113" s="385"/>
      <c r="FT113" s="451"/>
    </row>
    <row r="114" spans="1:184" ht="12.75" customHeight="1" x14ac:dyDescent="0.2">
      <c r="A114" s="58" t="s">
        <v>244</v>
      </c>
      <c r="B114" s="161"/>
      <c r="C114" s="161"/>
      <c r="D114" s="161"/>
      <c r="E114" s="161"/>
      <c r="F114" s="254"/>
      <c r="G114" s="161">
        <f t="shared" ref="G114:AL114" si="661">G113/B113-1</f>
        <v>-0.41455063329495256</v>
      </c>
      <c r="H114" s="161">
        <f t="shared" si="661"/>
        <v>-0.21025088962650595</v>
      </c>
      <c r="I114" s="161">
        <f t="shared" si="661"/>
        <v>4.1261522919561422E-2</v>
      </c>
      <c r="J114" s="161">
        <f t="shared" si="661"/>
        <v>1.9020863517820876</v>
      </c>
      <c r="K114" s="254">
        <f t="shared" si="661"/>
        <v>0.11110180209506226</v>
      </c>
      <c r="L114" s="161">
        <f t="shared" si="661"/>
        <v>2.5718648103100277</v>
      </c>
      <c r="M114" s="161">
        <f t="shared" si="661"/>
        <v>0.62487694055282028</v>
      </c>
      <c r="N114" s="161">
        <f t="shared" si="661"/>
        <v>0.47521450444168134</v>
      </c>
      <c r="O114" s="161">
        <f t="shared" si="661"/>
        <v>0.72739163862567779</v>
      </c>
      <c r="P114" s="254">
        <f t="shared" si="661"/>
        <v>0.7926476146748016</v>
      </c>
      <c r="Q114" s="161">
        <f t="shared" si="661"/>
        <v>0.30762765895786393</v>
      </c>
      <c r="R114" s="161">
        <f t="shared" si="661"/>
        <v>0.43649942907743688</v>
      </c>
      <c r="S114" s="161">
        <f t="shared" si="661"/>
        <v>0.41471936206506821</v>
      </c>
      <c r="T114" s="161">
        <f t="shared" si="661"/>
        <v>0.38722543352601146</v>
      </c>
      <c r="U114" s="254">
        <f t="shared" si="661"/>
        <v>0.39100661215479149</v>
      </c>
      <c r="V114" s="161">
        <f t="shared" si="661"/>
        <v>0.54414795771370117</v>
      </c>
      <c r="W114" s="161">
        <f t="shared" si="661"/>
        <v>0.35332430306028884</v>
      </c>
      <c r="X114" s="161">
        <f t="shared" si="661"/>
        <v>0.24185745830670036</v>
      </c>
      <c r="Y114" s="161">
        <f t="shared" si="661"/>
        <v>-0.33580565856910782</v>
      </c>
      <c r="Z114" s="254">
        <f t="shared" si="661"/>
        <v>0.13395711831370005</v>
      </c>
      <c r="AA114" s="161">
        <f t="shared" si="661"/>
        <v>-0.28831621778725103</v>
      </c>
      <c r="AB114" s="161">
        <f t="shared" si="661"/>
        <v>0.10098291878933119</v>
      </c>
      <c r="AC114" s="161">
        <f t="shared" si="661"/>
        <v>0.15315057115617381</v>
      </c>
      <c r="AD114" s="161">
        <f t="shared" si="661"/>
        <v>0.43161856963613432</v>
      </c>
      <c r="AE114" s="254">
        <f t="shared" si="661"/>
        <v>8.6653667286061387E-2</v>
      </c>
      <c r="AF114" s="161">
        <f t="shared" si="661"/>
        <v>0.47627834750078124</v>
      </c>
      <c r="AG114" s="161">
        <f t="shared" si="661"/>
        <v>0.27512397998900417</v>
      </c>
      <c r="AH114" s="161">
        <f t="shared" si="661"/>
        <v>-4.4635384701208203E-4</v>
      </c>
      <c r="AI114" s="161">
        <f t="shared" si="661"/>
        <v>-7.8126956303992245E-2</v>
      </c>
      <c r="AJ114" s="254">
        <f t="shared" si="661"/>
        <v>0.13318213150807456</v>
      </c>
      <c r="AK114" s="161">
        <f t="shared" si="661"/>
        <v>0.27025900931668856</v>
      </c>
      <c r="AL114" s="161">
        <f t="shared" si="661"/>
        <v>8.5993365750366868E-2</v>
      </c>
      <c r="AM114" s="161">
        <f t="shared" ref="AM114:BR114" si="662">AM113/AH113-1</f>
        <v>0.2789942404790291</v>
      </c>
      <c r="AN114" s="161">
        <f t="shared" si="662"/>
        <v>0.55751731631128676</v>
      </c>
      <c r="AO114" s="254">
        <f t="shared" si="662"/>
        <v>0.27144646384392246</v>
      </c>
      <c r="AP114" s="161">
        <f t="shared" si="662"/>
        <v>0.15120099370331785</v>
      </c>
      <c r="AQ114" s="161">
        <f t="shared" si="662"/>
        <v>0.2315769197506099</v>
      </c>
      <c r="AR114" s="161">
        <f t="shared" si="662"/>
        <v>0.24993949493146039</v>
      </c>
      <c r="AS114" s="161">
        <f t="shared" si="662"/>
        <v>0.17091471921869505</v>
      </c>
      <c r="AT114" s="254">
        <f t="shared" si="662"/>
        <v>0.20528707100996058</v>
      </c>
      <c r="AU114" s="161">
        <f t="shared" si="662"/>
        <v>0.27614087533280385</v>
      </c>
      <c r="AV114" s="161">
        <f t="shared" si="662"/>
        <v>0.16112815242059297</v>
      </c>
      <c r="AW114" s="161">
        <f t="shared" si="662"/>
        <v>1.6077272481994864E-2</v>
      </c>
      <c r="AX114" s="161">
        <f t="shared" si="662"/>
        <v>1.6119242928050559E-2</v>
      </c>
      <c r="AY114" s="254">
        <f t="shared" si="662"/>
        <v>0.1071060493274878</v>
      </c>
      <c r="AZ114" s="161">
        <f t="shared" si="662"/>
        <v>-6.4273138879027414E-3</v>
      </c>
      <c r="BA114" s="161">
        <f t="shared" si="662"/>
        <v>0.18784619994447116</v>
      </c>
      <c r="BB114" s="161">
        <f t="shared" si="662"/>
        <v>0.31590473155767085</v>
      </c>
      <c r="BC114" s="161">
        <f t="shared" si="662"/>
        <v>0.37038000659606296</v>
      </c>
      <c r="BD114" s="254">
        <f t="shared" si="662"/>
        <v>0.21851889792971524</v>
      </c>
      <c r="BE114" s="161">
        <f t="shared" si="662"/>
        <v>0.23739284517025072</v>
      </c>
      <c r="BF114" s="161">
        <f t="shared" si="662"/>
        <v>-3.506100383241062E-2</v>
      </c>
      <c r="BG114" s="161">
        <f t="shared" si="662"/>
        <v>-0.47057301372887428</v>
      </c>
      <c r="BH114" s="161">
        <f t="shared" si="662"/>
        <v>-0.55823169671865935</v>
      </c>
      <c r="BI114" s="254">
        <f t="shared" si="662"/>
        <v>-0.23865637274820517</v>
      </c>
      <c r="BJ114" s="161">
        <f t="shared" si="662"/>
        <v>-0.45996355993259763</v>
      </c>
      <c r="BK114" s="161">
        <f t="shared" si="662"/>
        <v>-0.30077178777515023</v>
      </c>
      <c r="BL114" s="161">
        <f t="shared" si="662"/>
        <v>3.0092820949733978E-2</v>
      </c>
      <c r="BM114" s="161">
        <f t="shared" si="662"/>
        <v>0.37756726491328907</v>
      </c>
      <c r="BN114" s="254">
        <f t="shared" si="662"/>
        <v>-0.18475754625292373</v>
      </c>
      <c r="BO114" s="161">
        <f t="shared" si="662"/>
        <v>1.4360925053060969E-2</v>
      </c>
      <c r="BP114" s="161">
        <f t="shared" si="662"/>
        <v>0.10445692960973552</v>
      </c>
      <c r="BQ114" s="161">
        <f t="shared" si="662"/>
        <v>0.42781896300294675</v>
      </c>
      <c r="BR114" s="161">
        <f t="shared" si="662"/>
        <v>0.12487422060716913</v>
      </c>
      <c r="BS114" s="254">
        <f t="shared" ref="BS114:CX114" si="663">BS113/BN113-1</f>
        <v>0.1717368472538896</v>
      </c>
      <c r="BT114" s="161">
        <f t="shared" si="663"/>
        <v>0.13749999999999973</v>
      </c>
      <c r="BU114" s="161">
        <f t="shared" si="663"/>
        <v>0.15527950310559002</v>
      </c>
      <c r="BV114" s="161">
        <f t="shared" si="663"/>
        <v>4.8780487804878092E-2</v>
      </c>
      <c r="BW114" s="161">
        <f t="shared" si="663"/>
        <v>8.59375E-2</v>
      </c>
      <c r="BX114" s="254">
        <f t="shared" si="663"/>
        <v>0.10394495412844029</v>
      </c>
      <c r="BY114" s="161">
        <f t="shared" si="663"/>
        <v>0.13712374581939835</v>
      </c>
      <c r="BZ114" s="161">
        <f t="shared" si="663"/>
        <v>0.11827956989247301</v>
      </c>
      <c r="CA114" s="161">
        <f t="shared" si="663"/>
        <v>0.23255813953488369</v>
      </c>
      <c r="CB114" s="161">
        <f t="shared" si="663"/>
        <v>6.4748201438848962E-2</v>
      </c>
      <c r="CC114" s="254">
        <f t="shared" si="663"/>
        <v>0.14185988531538274</v>
      </c>
      <c r="CD114" s="161">
        <f t="shared" si="663"/>
        <v>0.17058823529411726</v>
      </c>
      <c r="CE114" s="161">
        <f t="shared" si="663"/>
        <v>0.42932692307692277</v>
      </c>
      <c r="CF114" s="161">
        <f t="shared" si="663"/>
        <v>1.3207547169811207E-2</v>
      </c>
      <c r="CG114" s="161">
        <f t="shared" si="663"/>
        <v>0.16756756756756719</v>
      </c>
      <c r="CH114" s="254">
        <f t="shared" si="663"/>
        <v>0.19970887918486135</v>
      </c>
      <c r="CI114" s="161">
        <f t="shared" si="663"/>
        <v>-0.12419239052404851</v>
      </c>
      <c r="CJ114" s="161">
        <f t="shared" si="663"/>
        <v>-0.15068953918600725</v>
      </c>
      <c r="CK114" s="161">
        <f t="shared" si="663"/>
        <v>5.9124767225326114E-2</v>
      </c>
      <c r="CL114" s="161">
        <f t="shared" si="663"/>
        <v>5.3240740740740922E-2</v>
      </c>
      <c r="CM114" s="254">
        <f t="shared" si="663"/>
        <v>-4.8774569279300906E-2</v>
      </c>
      <c r="CN114" s="161">
        <f t="shared" si="663"/>
        <v>0.15573770491803285</v>
      </c>
      <c r="CO114" s="161">
        <f t="shared" si="663"/>
        <v>-0.1524752475247525</v>
      </c>
      <c r="CP114" s="161">
        <f t="shared" si="663"/>
        <v>-0.25934065934065931</v>
      </c>
      <c r="CQ114" s="161">
        <f t="shared" si="663"/>
        <v>-5.7692307692307709E-2</v>
      </c>
      <c r="CR114" s="311">
        <f t="shared" si="663"/>
        <v>-0.11352040816326525</v>
      </c>
      <c r="CS114" s="161">
        <f t="shared" si="663"/>
        <v>0.22830496453900651</v>
      </c>
      <c r="CT114" s="161">
        <f t="shared" si="663"/>
        <v>0.21398831775700988</v>
      </c>
      <c r="CU114" s="161">
        <f t="shared" si="663"/>
        <v>0.30315727002967296</v>
      </c>
      <c r="CV114" s="161">
        <f t="shared" si="663"/>
        <v>0.47281341107871766</v>
      </c>
      <c r="CW114" s="311">
        <f t="shared" si="663"/>
        <v>0.30237985611510787</v>
      </c>
      <c r="CX114" s="161">
        <f t="shared" si="663"/>
        <v>0.10918003822369493</v>
      </c>
      <c r="CY114" s="161">
        <f t="shared" ref="CY114:DT114" si="664">CY113/CT113-1</f>
        <v>0.46847399954194335</v>
      </c>
      <c r="CZ114" s="161">
        <f t="shared" si="664"/>
        <v>0.65314096783889464</v>
      </c>
      <c r="DA114" s="161">
        <f t="shared" si="664"/>
        <v>0.10654723610629935</v>
      </c>
      <c r="DB114" s="311">
        <f t="shared" si="664"/>
        <v>0.34352828358489274</v>
      </c>
      <c r="DC114" s="161">
        <f t="shared" si="664"/>
        <v>-9.3953669963560027E-2</v>
      </c>
      <c r="DD114" s="161">
        <f t="shared" si="664"/>
        <v>-0.2450851900393185</v>
      </c>
      <c r="DE114" s="161">
        <f t="shared" si="664"/>
        <v>-0.22038567493112948</v>
      </c>
      <c r="DF114" s="161">
        <f t="shared" si="664"/>
        <v>-0.19141323792486586</v>
      </c>
      <c r="DG114" s="311">
        <f t="shared" si="664"/>
        <v>-0.20150357700846966</v>
      </c>
      <c r="DH114" s="161">
        <f t="shared" si="664"/>
        <v>-0.14105882454331031</v>
      </c>
      <c r="DI114" s="161">
        <f t="shared" si="664"/>
        <v>0.34895833333333326</v>
      </c>
      <c r="DJ114" s="161">
        <f t="shared" si="664"/>
        <v>-8.6572438162544119E-2</v>
      </c>
      <c r="DK114" s="161">
        <f t="shared" si="664"/>
        <v>-1.5486725663716783E-2</v>
      </c>
      <c r="DL114" s="311">
        <f t="shared" si="664"/>
        <v>4.9377916619252504E-2</v>
      </c>
      <c r="DM114" s="161">
        <f t="shared" si="664"/>
        <v>0.38795986622073575</v>
      </c>
      <c r="DN114" s="161">
        <f t="shared" si="664"/>
        <v>9.009009009008917E-3</v>
      </c>
      <c r="DO114" s="161">
        <f t="shared" si="664"/>
        <v>0.45454545454545459</v>
      </c>
      <c r="DP114" s="161">
        <f t="shared" si="664"/>
        <v>0.6292134831460674</v>
      </c>
      <c r="DQ114" s="311">
        <f t="shared" si="664"/>
        <v>0.31305201177625119</v>
      </c>
      <c r="DR114" s="161">
        <f>DR113/DM113-1</f>
        <v>0.31084337349397595</v>
      </c>
      <c r="DS114" s="161">
        <f t="shared" si="664"/>
        <v>0.43112244897959173</v>
      </c>
      <c r="DT114" s="161">
        <f t="shared" si="664"/>
        <v>0.27393617021276606</v>
      </c>
      <c r="DU114" s="161">
        <f>DU113/DP113-1</f>
        <v>0.36413793103448278</v>
      </c>
      <c r="DV114" s="311">
        <f>DV113/DQ113-1</f>
        <v>0.3501494768310911</v>
      </c>
      <c r="DW114" s="161">
        <f t="shared" ref="DW114:ED114" si="665">DW113/DR113-1</f>
        <v>0.97426470588235303</v>
      </c>
      <c r="DX114" s="161">
        <f t="shared" si="665"/>
        <v>0.29857397504456329</v>
      </c>
      <c r="DY114" s="161">
        <f t="shared" si="665"/>
        <v>0.4248434237995824</v>
      </c>
      <c r="DZ114" s="161">
        <f t="shared" si="665"/>
        <v>0.32861476238624876</v>
      </c>
      <c r="EA114" s="311">
        <f t="shared" si="665"/>
        <v>0.44201494602823144</v>
      </c>
      <c r="EB114" s="161">
        <f t="shared" si="665"/>
        <v>0.21135940409683429</v>
      </c>
      <c r="EC114" s="161">
        <f t="shared" si="665"/>
        <v>0.11530542210020589</v>
      </c>
      <c r="ED114" s="161">
        <f t="shared" si="665"/>
        <v>-1.6117216117216171E-2</v>
      </c>
      <c r="EE114" s="161">
        <f t="shared" ref="EE114" si="666">EE113/DZ113-1</f>
        <v>-0.13165905631659058</v>
      </c>
      <c r="EF114" s="311">
        <f t="shared" ref="EF114:EJ114" si="667">EF113/EA113-1</f>
        <v>3.8387715930902067E-2</v>
      </c>
      <c r="EG114" s="161">
        <f t="shared" si="667"/>
        <v>-0.23674096848578019</v>
      </c>
      <c r="EH114" s="161">
        <f t="shared" si="667"/>
        <v>-2.5230769230769279E-2</v>
      </c>
      <c r="EI114" s="161">
        <f t="shared" si="667"/>
        <v>-8.8607594936708889E-2</v>
      </c>
      <c r="EJ114" s="161">
        <f t="shared" si="667"/>
        <v>-6.6608238387379504E-2</v>
      </c>
      <c r="EK114" s="311">
        <f>EK113/EF113-1</f>
        <v>-0.10055452865064696</v>
      </c>
      <c r="EL114" s="161"/>
      <c r="EM114" s="161"/>
      <c r="EN114" s="161"/>
      <c r="EO114" s="161"/>
      <c r="EP114" s="311"/>
      <c r="EQ114" s="161">
        <f t="shared" ref="EQ114" si="668">EQ113/EL113-1</f>
        <v>-3.909647935856253E-2</v>
      </c>
      <c r="ER114" s="161">
        <f t="shared" ref="ER114" si="669">ER113/EM113-1</f>
        <v>-2.934801821042865E-2</v>
      </c>
      <c r="ES114" s="161">
        <f t="shared" ref="ES114" si="670">ES113/EN113-1</f>
        <v>7.4742427129494304E-2</v>
      </c>
      <c r="ET114" s="161">
        <f t="shared" ref="ET114" si="671">ET113/EO113-1</f>
        <v>0.22681547361354326</v>
      </c>
      <c r="EU114" s="311">
        <f>EU113/EP113-1</f>
        <v>5.1262215424430657E-2</v>
      </c>
      <c r="EV114" s="161"/>
      <c r="EW114" s="161"/>
      <c r="EX114" s="161"/>
      <c r="EY114" s="161"/>
      <c r="EZ114" s="311">
        <f>EZ113/EU113-1</f>
        <v>0.13484055999582889</v>
      </c>
      <c r="FA114" s="161"/>
      <c r="FB114" s="161"/>
      <c r="FC114" s="161"/>
      <c r="FD114" s="161"/>
      <c r="FE114" s="311">
        <f>FE113/EZ113-1</f>
        <v>0.10586917005079566</v>
      </c>
      <c r="FF114" s="161"/>
      <c r="FG114" s="452"/>
      <c r="FL114" s="417"/>
      <c r="FM114" s="417"/>
      <c r="FN114" s="379"/>
      <c r="FO114" s="379"/>
      <c r="FP114" s="379"/>
      <c r="FQ114" s="379"/>
      <c r="FR114" s="379"/>
      <c r="FS114" s="379"/>
      <c r="FT114" s="478"/>
    </row>
    <row r="115" spans="1:184" ht="12.75" customHeight="1" x14ac:dyDescent="0.2">
      <c r="A115" s="80" t="s">
        <v>55</v>
      </c>
      <c r="B115" s="164">
        <f t="shared" ref="B115:AG115" si="672">B111/B109</f>
        <v>3.1169050460704867E-2</v>
      </c>
      <c r="C115" s="164">
        <f t="shared" si="672"/>
        <v>0.13403523571590792</v>
      </c>
      <c r="D115" s="164">
        <f t="shared" si="672"/>
        <v>0.11590529080627969</v>
      </c>
      <c r="E115" s="164">
        <f t="shared" si="672"/>
        <v>-1.4005722982449703E-2</v>
      </c>
      <c r="F115" s="263">
        <f t="shared" si="672"/>
        <v>6.8993788966420277E-2</v>
      </c>
      <c r="G115" s="164">
        <f t="shared" si="672"/>
        <v>-3.7099243659148115E-2</v>
      </c>
      <c r="H115" s="164">
        <f t="shared" si="672"/>
        <v>6.2980896585287729E-2</v>
      </c>
      <c r="I115" s="164">
        <f t="shared" si="672"/>
        <v>8.7638210192086868E-2</v>
      </c>
      <c r="J115" s="164">
        <f t="shared" si="672"/>
        <v>7.5672453721207705E-2</v>
      </c>
      <c r="K115" s="263">
        <f t="shared" si="672"/>
        <v>5.264438495636907E-2</v>
      </c>
      <c r="L115" s="164">
        <f t="shared" si="672"/>
        <v>8.3315947983031838E-2</v>
      </c>
      <c r="M115" s="164">
        <f t="shared" si="672"/>
        <v>0.10897540472329109</v>
      </c>
      <c r="N115" s="164">
        <f t="shared" si="672"/>
        <v>0.12045625778296447</v>
      </c>
      <c r="O115" s="164">
        <f t="shared" si="672"/>
        <v>0.11212923597565951</v>
      </c>
      <c r="P115" s="263">
        <f t="shared" si="672"/>
        <v>0.10749099129829022</v>
      </c>
      <c r="Q115" s="164">
        <f t="shared" si="672"/>
        <v>9.8425968977728345E-2</v>
      </c>
      <c r="R115" s="164">
        <f t="shared" si="672"/>
        <v>0.14369185365085113</v>
      </c>
      <c r="S115" s="164">
        <f t="shared" si="672"/>
        <v>0.15653483652762118</v>
      </c>
      <c r="T115" s="164">
        <f t="shared" si="672"/>
        <v>0.11163857137835095</v>
      </c>
      <c r="U115" s="263">
        <f t="shared" si="672"/>
        <v>0.12712867700364838</v>
      </c>
      <c r="V115" s="164">
        <f t="shared" si="672"/>
        <v>0.12277127340122559</v>
      </c>
      <c r="W115" s="164">
        <f t="shared" si="672"/>
        <v>0.1540474634524156</v>
      </c>
      <c r="X115" s="164">
        <f t="shared" si="672"/>
        <v>0.14841913411713895</v>
      </c>
      <c r="Y115" s="164">
        <f t="shared" si="672"/>
        <v>5.9278860895339201E-2</v>
      </c>
      <c r="Z115" s="263">
        <f t="shared" si="672"/>
        <v>0.12219027266522706</v>
      </c>
      <c r="AA115" s="164">
        <f t="shared" si="672"/>
        <v>3.7695712875543894E-2</v>
      </c>
      <c r="AB115" s="164">
        <f t="shared" si="672"/>
        <v>0.14010335882309111</v>
      </c>
      <c r="AC115" s="164">
        <f t="shared" si="672"/>
        <v>0.14915258668583936</v>
      </c>
      <c r="AD115" s="164">
        <f t="shared" si="672"/>
        <v>9.6983322913493611E-2</v>
      </c>
      <c r="AE115" s="263">
        <f t="shared" si="672"/>
        <v>0.10913963653654618</v>
      </c>
      <c r="AF115" s="164">
        <f t="shared" si="672"/>
        <v>7.4292356662338632E-2</v>
      </c>
      <c r="AG115" s="164">
        <f t="shared" si="672"/>
        <v>0.15621745606981374</v>
      </c>
      <c r="AH115" s="164">
        <f t="shared" ref="AH115:BM115" si="673">AH111/AH109</f>
        <v>0.11546261772399524</v>
      </c>
      <c r="AI115" s="164">
        <f t="shared" si="673"/>
        <v>5.80663852827644E-2</v>
      </c>
      <c r="AJ115" s="263">
        <f t="shared" si="673"/>
        <v>0.10299985027171274</v>
      </c>
      <c r="AK115" s="164">
        <f t="shared" si="673"/>
        <v>9.8301760239884337E-2</v>
      </c>
      <c r="AL115" s="164">
        <f t="shared" si="673"/>
        <v>0.16345313786717847</v>
      </c>
      <c r="AM115" s="164">
        <f t="shared" si="673"/>
        <v>0.15218989191178448</v>
      </c>
      <c r="AN115" s="164">
        <f t="shared" si="673"/>
        <v>0.13207966846830607</v>
      </c>
      <c r="AO115" s="263">
        <f t="shared" si="673"/>
        <v>0.13734885654842088</v>
      </c>
      <c r="AP115" s="164">
        <f t="shared" si="673"/>
        <v>0.11848792715877421</v>
      </c>
      <c r="AQ115" s="164">
        <f t="shared" si="673"/>
        <v>0.19330744752933926</v>
      </c>
      <c r="AR115" s="164">
        <f t="shared" si="673"/>
        <v>0.18625631376560722</v>
      </c>
      <c r="AS115" s="164">
        <f t="shared" si="673"/>
        <v>0.15219785883916098</v>
      </c>
      <c r="AT115" s="263">
        <f t="shared" si="673"/>
        <v>0.16417249842698564</v>
      </c>
      <c r="AU115" s="164">
        <f t="shared" si="673"/>
        <v>0.15491027556525788</v>
      </c>
      <c r="AV115" s="164">
        <f t="shared" si="673"/>
        <v>0.20839424072787327</v>
      </c>
      <c r="AW115" s="164">
        <f t="shared" si="673"/>
        <v>0.16715405054867116</v>
      </c>
      <c r="AX115" s="164">
        <f t="shared" si="673"/>
        <v>0.12799958154062807</v>
      </c>
      <c r="AY115" s="263">
        <f t="shared" si="673"/>
        <v>0.16504310870014635</v>
      </c>
      <c r="AZ115" s="164">
        <f t="shared" si="673"/>
        <v>0.12506206509169532</v>
      </c>
      <c r="BA115" s="164">
        <f t="shared" si="673"/>
        <v>0.21535112191281425</v>
      </c>
      <c r="BB115" s="164">
        <f t="shared" si="673"/>
        <v>0.20293623219374166</v>
      </c>
      <c r="BC115" s="164">
        <f t="shared" si="673"/>
        <v>0.17109807524035639</v>
      </c>
      <c r="BD115" s="263">
        <f t="shared" si="673"/>
        <v>0.18074770424599432</v>
      </c>
      <c r="BE115" s="164">
        <f t="shared" si="673"/>
        <v>0.14710520734388569</v>
      </c>
      <c r="BF115" s="164">
        <f t="shared" si="673"/>
        <v>0.1871957832003785</v>
      </c>
      <c r="BG115" s="164">
        <f t="shared" si="673"/>
        <v>6.9645913303997664E-2</v>
      </c>
      <c r="BH115" s="164">
        <f t="shared" si="673"/>
        <v>2.9989972908268644E-2</v>
      </c>
      <c r="BI115" s="263">
        <f t="shared" si="673"/>
        <v>0.11360976271850348</v>
      </c>
      <c r="BJ115" s="164">
        <f t="shared" si="673"/>
        <v>3.9264485863114769E-2</v>
      </c>
      <c r="BK115" s="164">
        <f t="shared" si="673"/>
        <v>0.1103467571641943</v>
      </c>
      <c r="BL115" s="164">
        <f t="shared" si="673"/>
        <v>6.5512931006597996E-2</v>
      </c>
      <c r="BM115" s="164">
        <f t="shared" si="673"/>
        <v>6.271371236359706E-2</v>
      </c>
      <c r="BN115" s="263">
        <f t="shared" ref="BN115:CS115" si="674">BN111/BN109</f>
        <v>7.0525182330797256E-2</v>
      </c>
      <c r="BO115" s="164">
        <f t="shared" si="674"/>
        <v>3.4048852701702444E-2</v>
      </c>
      <c r="BP115" s="164">
        <f t="shared" si="674"/>
        <v>0.11947194719471947</v>
      </c>
      <c r="BQ115" s="164">
        <f t="shared" si="674"/>
        <v>0.11912427559562137</v>
      </c>
      <c r="BR115" s="164">
        <f t="shared" si="674"/>
        <v>7.3170731707317069E-2</v>
      </c>
      <c r="BS115" s="263">
        <f t="shared" si="674"/>
        <v>8.810646900269542E-2</v>
      </c>
      <c r="BT115" s="164">
        <f t="shared" si="674"/>
        <v>4.1307277628032317E-2</v>
      </c>
      <c r="BU115" s="164">
        <f t="shared" si="674"/>
        <v>0.12878787878787878</v>
      </c>
      <c r="BV115" s="164">
        <f t="shared" si="674"/>
        <v>0.11409796893667862</v>
      </c>
      <c r="BW115" s="164">
        <f t="shared" si="674"/>
        <v>7.2507552870090641E-2</v>
      </c>
      <c r="BX115" s="263">
        <f t="shared" si="674"/>
        <v>9.0871496400673907E-2</v>
      </c>
      <c r="BY115" s="164">
        <f t="shared" si="674"/>
        <v>4.9909801563439569E-2</v>
      </c>
      <c r="BZ115" s="164">
        <f t="shared" si="674"/>
        <v>0.13271604938271606</v>
      </c>
      <c r="CA115" s="164">
        <f t="shared" si="674"/>
        <v>0.13423831070889894</v>
      </c>
      <c r="CB115" s="164">
        <f t="shared" si="674"/>
        <v>6.6935078007045803E-2</v>
      </c>
      <c r="CC115" s="263">
        <f t="shared" si="674"/>
        <v>9.7718581036529084E-2</v>
      </c>
      <c r="CD115" s="164">
        <f t="shared" si="674"/>
        <v>5.6760772659732499E-2</v>
      </c>
      <c r="CE115" s="164">
        <f t="shared" si="674"/>
        <v>0.17501020824826455</v>
      </c>
      <c r="CF115" s="164">
        <f t="shared" si="674"/>
        <v>0.11084543125533727</v>
      </c>
      <c r="CG115" s="164">
        <f t="shared" si="674"/>
        <v>7.5834797891036865E-2</v>
      </c>
      <c r="CH115" s="263">
        <f t="shared" si="674"/>
        <v>0.10735197006383443</v>
      </c>
      <c r="CI115" s="164">
        <f t="shared" si="674"/>
        <v>3.1847133757961783E-2</v>
      </c>
      <c r="CJ115" s="164">
        <f t="shared" si="674"/>
        <v>0.12698412698412698</v>
      </c>
      <c r="CK115" s="164">
        <f t="shared" si="674"/>
        <v>0.10703245749613602</v>
      </c>
      <c r="CL115" s="164">
        <f t="shared" si="674"/>
        <v>7.2231139646869988E-2</v>
      </c>
      <c r="CM115" s="263">
        <f t="shared" si="674"/>
        <v>8.6705202312138727E-2</v>
      </c>
      <c r="CN115" s="164">
        <f t="shared" si="674"/>
        <v>3.9130434782608699E-2</v>
      </c>
      <c r="CO115" s="164">
        <f t="shared" si="674"/>
        <v>8.4349947716974558E-2</v>
      </c>
      <c r="CP115" s="164">
        <f t="shared" si="674"/>
        <v>5.0847457627118647E-2</v>
      </c>
      <c r="CQ115" s="164">
        <f t="shared" si="674"/>
        <v>5.4864667154352599E-2</v>
      </c>
      <c r="CR115" s="313">
        <f t="shared" si="674"/>
        <v>5.7873730043541363E-2</v>
      </c>
      <c r="CS115" s="164">
        <f t="shared" si="674"/>
        <v>2.6504033349948459E-2</v>
      </c>
      <c r="CT115" s="164">
        <f t="shared" ref="CT115:DR115" si="675">CT111/CT109</f>
        <v>7.7003639833236742E-2</v>
      </c>
      <c r="CU115" s="164">
        <f t="shared" si="675"/>
        <v>4.7690416320146832E-2</v>
      </c>
      <c r="CV115" s="164">
        <f t="shared" si="675"/>
        <v>6.9419640699461632E-2</v>
      </c>
      <c r="CW115" s="313">
        <f t="shared" si="675"/>
        <v>5.5954638201222429E-2</v>
      </c>
      <c r="CX115" s="164">
        <f t="shared" si="675"/>
        <v>3.3310449219987534E-2</v>
      </c>
      <c r="CY115" s="164">
        <f t="shared" si="675"/>
        <v>0.12613078314810028</v>
      </c>
      <c r="CZ115" s="164">
        <f t="shared" si="675"/>
        <v>0.11580310880829016</v>
      </c>
      <c r="DA115" s="164">
        <f t="shared" si="675"/>
        <v>7.3936170212765953E-2</v>
      </c>
      <c r="DB115" s="313">
        <f t="shared" si="675"/>
        <v>8.9700580835241919E-2</v>
      </c>
      <c r="DC115" s="164">
        <f t="shared" si="675"/>
        <v>1.9175220368312155E-2</v>
      </c>
      <c r="DD115" s="164">
        <f t="shared" si="675"/>
        <v>6.6938960744270484E-2</v>
      </c>
      <c r="DE115" s="164">
        <f t="shared" si="675"/>
        <v>6.6109951287404309E-2</v>
      </c>
      <c r="DF115" s="164">
        <f t="shared" si="675"/>
        <v>4.0652385589094453E-2</v>
      </c>
      <c r="DG115" s="313">
        <f t="shared" si="675"/>
        <v>4.9368512779518155E-2</v>
      </c>
      <c r="DH115" s="164">
        <f t="shared" si="675"/>
        <v>2.5056376847907794E-3</v>
      </c>
      <c r="DI115" s="164">
        <f t="shared" si="675"/>
        <v>0.10506932409012132</v>
      </c>
      <c r="DJ115" s="164">
        <f t="shared" si="675"/>
        <v>4.8271060570898118E-2</v>
      </c>
      <c r="DK115" s="164">
        <f>DK111/DK109</f>
        <v>3.2590462497004556E-2</v>
      </c>
      <c r="DL115" s="313">
        <f t="shared" si="675"/>
        <v>4.9095909649482121E-2</v>
      </c>
      <c r="DM115" s="164">
        <f t="shared" si="675"/>
        <v>2.742409402546523E-2</v>
      </c>
      <c r="DN115" s="164">
        <f>DN111/DN109</f>
        <v>0.10316605642903295</v>
      </c>
      <c r="DO115" s="164">
        <f t="shared" si="675"/>
        <v>9.6589658965896594E-2</v>
      </c>
      <c r="DP115" s="164">
        <f>DP111/DP109</f>
        <v>9.439927732610659E-2</v>
      </c>
      <c r="DQ115" s="313">
        <f t="shared" si="675"/>
        <v>8.180790960451978E-2</v>
      </c>
      <c r="DR115" s="164">
        <f t="shared" si="675"/>
        <v>5.8089294287085931E-2</v>
      </c>
      <c r="DS115" s="164">
        <f>DS111/DS109</f>
        <v>0.16344043105168629</v>
      </c>
      <c r="DT115" s="164">
        <f>DT111/DT109</f>
        <v>0.13520833333333335</v>
      </c>
      <c r="DU115" s="164">
        <f t="shared" ref="DU115:EA115" si="676">DU111/DU109</f>
        <v>0.14477095937770096</v>
      </c>
      <c r="DV115" s="313">
        <f t="shared" si="676"/>
        <v>0.12792260145122278</v>
      </c>
      <c r="DW115" s="164">
        <f t="shared" si="676"/>
        <v>0.17444494789306753</v>
      </c>
      <c r="DX115" s="164">
        <f t="shared" si="676"/>
        <v>0.22461357855605557</v>
      </c>
      <c r="DY115" s="164">
        <f t="shared" si="676"/>
        <v>0.20345899727944033</v>
      </c>
      <c r="DZ115" s="164">
        <f t="shared" si="676"/>
        <v>0.19931685754470566</v>
      </c>
      <c r="EA115" s="313">
        <f t="shared" si="676"/>
        <v>0.20139454397394138</v>
      </c>
      <c r="EB115" s="164">
        <f t="shared" ref="EB115:EO115" si="677">EB111/EB109</f>
        <v>0.19726481558226275</v>
      </c>
      <c r="EC115" s="164">
        <f t="shared" si="677"/>
        <v>0.23532689450222882</v>
      </c>
      <c r="ED115" s="164">
        <f t="shared" si="677"/>
        <v>0.18914185639229422</v>
      </c>
      <c r="EE115" s="164">
        <f t="shared" si="677"/>
        <v>0.15130023640661938</v>
      </c>
      <c r="EF115" s="313">
        <f t="shared" si="677"/>
        <v>0.19383108935128518</v>
      </c>
      <c r="EG115" s="164">
        <f t="shared" ref="EG115:EJ115" si="678">EG111/EG109</f>
        <v>0.12819987712471842</v>
      </c>
      <c r="EH115" s="164">
        <f t="shared" si="678"/>
        <v>0.21100278551532034</v>
      </c>
      <c r="EI115" s="164">
        <f t="shared" si="678"/>
        <v>0.16524378675773099</v>
      </c>
      <c r="EJ115" s="164">
        <f t="shared" si="678"/>
        <v>0.14144861585134622</v>
      </c>
      <c r="EK115" s="313">
        <f t="shared" si="677"/>
        <v>0.16318722841488759</v>
      </c>
      <c r="EL115" s="164">
        <f t="shared" si="677"/>
        <v>0.11825298722702926</v>
      </c>
      <c r="EM115" s="164">
        <f t="shared" si="677"/>
        <v>0.20537428023032631</v>
      </c>
      <c r="EN115" s="164">
        <f t="shared" si="677"/>
        <v>0.16632095040543088</v>
      </c>
      <c r="EO115" s="164">
        <f t="shared" si="677"/>
        <v>0.13579307721567135</v>
      </c>
      <c r="EP115" s="313">
        <f t="shared" ref="EP115" si="679">EP111/EP109</f>
        <v>0.15828052586777641</v>
      </c>
      <c r="EQ115" s="164">
        <f t="shared" ref="EQ115" si="680">EQ111/EQ109</f>
        <v>0.1162969252882806</v>
      </c>
      <c r="ER115" s="164">
        <f t="shared" ref="ER115:EU115" si="681">ER111/ER109</f>
        <v>0.19672322008859763</v>
      </c>
      <c r="ES115" s="164">
        <f t="shared" si="681"/>
        <v>0.17395273659244859</v>
      </c>
      <c r="ET115" s="164">
        <f t="shared" si="681"/>
        <v>0.15873091159702218</v>
      </c>
      <c r="EU115" s="313">
        <f t="shared" si="681"/>
        <v>0.16321888989707684</v>
      </c>
      <c r="EV115" s="164"/>
      <c r="EW115" s="164"/>
      <c r="EX115" s="164"/>
      <c r="EY115" s="164"/>
      <c r="EZ115" s="313">
        <f t="shared" ref="EZ115" si="682">EZ111/EZ109</f>
        <v>0.18095039774315627</v>
      </c>
      <c r="FA115" s="164"/>
      <c r="FB115" s="164"/>
      <c r="FC115" s="164"/>
      <c r="FD115" s="164"/>
      <c r="FE115" s="313">
        <f t="shared" ref="FE115" si="683">FE111/FE109</f>
        <v>0.19340149831184467</v>
      </c>
      <c r="FF115" s="164"/>
      <c r="FG115" s="454"/>
      <c r="FL115" s="416"/>
      <c r="FM115" s="408"/>
      <c r="FN115" s="369"/>
      <c r="FO115" s="369"/>
      <c r="FP115" s="369"/>
      <c r="FQ115" s="369"/>
      <c r="FR115" s="369"/>
      <c r="FS115" s="369"/>
      <c r="FT115" s="432"/>
    </row>
    <row r="116" spans="1:184" ht="12.75" customHeight="1" x14ac:dyDescent="0.2">
      <c r="A116" s="58" t="s">
        <v>63</v>
      </c>
      <c r="B116" s="34"/>
      <c r="C116" s="34"/>
      <c r="D116" s="34"/>
      <c r="E116" s="34"/>
      <c r="F116" s="247"/>
      <c r="G116" s="34">
        <f>(G115-B115)*100</f>
        <v>-6.8268294119852984</v>
      </c>
      <c r="H116" s="34">
        <f>(H115-C115)*100</f>
        <v>-7.1054339130620185</v>
      </c>
      <c r="I116" s="34">
        <f>(I115-D115)*100</f>
        <v>-2.8267080614192821</v>
      </c>
      <c r="J116" s="34">
        <f>(J115-E115)*100</f>
        <v>8.96781767036574</v>
      </c>
      <c r="K116" s="247">
        <f t="shared" ref="K116:U116" si="684">(K115-F115)*100</f>
        <v>-1.6349404010051207</v>
      </c>
      <c r="L116" s="34">
        <f t="shared" si="684"/>
        <v>12.041519164217995</v>
      </c>
      <c r="M116" s="34">
        <f t="shared" si="684"/>
        <v>4.5994508138003365</v>
      </c>
      <c r="N116" s="34">
        <f t="shared" si="684"/>
        <v>3.2818047590877599</v>
      </c>
      <c r="O116" s="34">
        <f t="shared" si="684"/>
        <v>3.6456782254451801</v>
      </c>
      <c r="P116" s="247">
        <f t="shared" si="684"/>
        <v>5.4846606341921147</v>
      </c>
      <c r="Q116" s="34">
        <f t="shared" si="684"/>
        <v>1.5110020994696507</v>
      </c>
      <c r="R116" s="34">
        <f t="shared" si="684"/>
        <v>3.4716448927560037</v>
      </c>
      <c r="S116" s="34">
        <f t="shared" si="684"/>
        <v>3.6078578744656711</v>
      </c>
      <c r="T116" s="34">
        <f t="shared" si="684"/>
        <v>-4.9066459730855161E-2</v>
      </c>
      <c r="U116" s="247">
        <f t="shared" si="684"/>
        <v>1.9637685705358163</v>
      </c>
      <c r="V116" s="34">
        <f t="shared" ref="V116:CT116" si="685">(V115-Q115)*100</f>
        <v>2.4345304423497249</v>
      </c>
      <c r="W116" s="34">
        <f t="shared" si="685"/>
        <v>1.0355609801564469</v>
      </c>
      <c r="X116" s="34">
        <f t="shared" si="685"/>
        <v>-0.8115702410482234</v>
      </c>
      <c r="Y116" s="34">
        <f t="shared" si="685"/>
        <v>-5.2359710483011757</v>
      </c>
      <c r="Z116" s="247">
        <f t="shared" si="685"/>
        <v>-0.49384043384213261</v>
      </c>
      <c r="AA116" s="34">
        <f t="shared" si="685"/>
        <v>-8.5075560525681695</v>
      </c>
      <c r="AB116" s="34">
        <f t="shared" si="685"/>
        <v>-1.3944104629324494</v>
      </c>
      <c r="AC116" s="34">
        <f t="shared" si="685"/>
        <v>7.3345256870041564E-2</v>
      </c>
      <c r="AD116" s="34">
        <f t="shared" si="685"/>
        <v>3.770446201815441</v>
      </c>
      <c r="AE116" s="247">
        <f t="shared" si="685"/>
        <v>-1.3050636128680875</v>
      </c>
      <c r="AF116" s="34">
        <f t="shared" si="685"/>
        <v>3.6596643786794738</v>
      </c>
      <c r="AG116" s="34">
        <f t="shared" si="685"/>
        <v>1.6114097246722636</v>
      </c>
      <c r="AH116" s="34">
        <f t="shared" si="685"/>
        <v>-3.3689968961844121</v>
      </c>
      <c r="AI116" s="34">
        <f t="shared" si="685"/>
        <v>-3.8916937630729209</v>
      </c>
      <c r="AJ116" s="247">
        <f t="shared" si="685"/>
        <v>-0.61397862648334411</v>
      </c>
      <c r="AK116" s="34">
        <f t="shared" si="685"/>
        <v>2.4009403577545703</v>
      </c>
      <c r="AL116" s="34">
        <f t="shared" si="685"/>
        <v>0.72356817973647236</v>
      </c>
      <c r="AM116" s="34">
        <f t="shared" si="685"/>
        <v>3.6727274187789232</v>
      </c>
      <c r="AN116" s="34">
        <f t="shared" si="685"/>
        <v>7.4013283185541674</v>
      </c>
      <c r="AO116" s="247">
        <f t="shared" si="685"/>
        <v>3.4349006276708143</v>
      </c>
      <c r="AP116" s="34">
        <f t="shared" si="685"/>
        <v>2.0186166918889872</v>
      </c>
      <c r="AQ116" s="34">
        <f t="shared" si="685"/>
        <v>2.9854309662160796</v>
      </c>
      <c r="AR116" s="34">
        <f t="shared" si="685"/>
        <v>3.4066421853822746</v>
      </c>
      <c r="AS116" s="34">
        <f t="shared" si="685"/>
        <v>2.0118190370854911</v>
      </c>
      <c r="AT116" s="247">
        <f t="shared" si="685"/>
        <v>2.6823641878564759</v>
      </c>
      <c r="AU116" s="34">
        <f t="shared" si="685"/>
        <v>3.6422348406483671</v>
      </c>
      <c r="AV116" s="34">
        <f t="shared" si="685"/>
        <v>1.508679319853401</v>
      </c>
      <c r="AW116" s="34">
        <f t="shared" si="685"/>
        <v>-1.9102263216936062</v>
      </c>
      <c r="AX116" s="34">
        <f t="shared" si="685"/>
        <v>-2.4198277298532913</v>
      </c>
      <c r="AY116" s="247">
        <f t="shared" si="685"/>
        <v>8.7061027316071016E-2</v>
      </c>
      <c r="AZ116" s="34">
        <f t="shared" si="685"/>
        <v>-2.9848210473562564</v>
      </c>
      <c r="BA116" s="34">
        <f t="shared" si="685"/>
        <v>0.69568811849409773</v>
      </c>
      <c r="BB116" s="34">
        <f t="shared" si="685"/>
        <v>3.5782181645070494</v>
      </c>
      <c r="BC116" s="34">
        <f t="shared" si="685"/>
        <v>4.3098493699728317</v>
      </c>
      <c r="BD116" s="247">
        <f t="shared" si="685"/>
        <v>1.5704595545847966</v>
      </c>
      <c r="BE116" s="34">
        <f t="shared" si="685"/>
        <v>2.2043142252190369</v>
      </c>
      <c r="BF116" s="34">
        <f t="shared" si="685"/>
        <v>-2.8155338712435753</v>
      </c>
      <c r="BG116" s="34">
        <f t="shared" si="685"/>
        <v>-13.329031888974399</v>
      </c>
      <c r="BH116" s="34">
        <f t="shared" si="685"/>
        <v>-14.110810233208776</v>
      </c>
      <c r="BI116" s="247">
        <f t="shared" si="685"/>
        <v>-6.7137941527490836</v>
      </c>
      <c r="BJ116" s="34">
        <f t="shared" si="685"/>
        <v>-10.784072148077092</v>
      </c>
      <c r="BK116" s="34">
        <f t="shared" si="685"/>
        <v>-7.6849026036184194</v>
      </c>
      <c r="BL116" s="34">
        <f t="shared" si="685"/>
        <v>-0.41329822973996677</v>
      </c>
      <c r="BM116" s="34">
        <f t="shared" si="685"/>
        <v>3.2723739455328413</v>
      </c>
      <c r="BN116" s="247">
        <f t="shared" si="685"/>
        <v>-4.3084580387706222</v>
      </c>
      <c r="BO116" s="34">
        <f t="shared" si="685"/>
        <v>-0.52156331614123252</v>
      </c>
      <c r="BP116" s="34">
        <f t="shared" si="685"/>
        <v>0.9125190030525171</v>
      </c>
      <c r="BQ116" s="34">
        <f t="shared" si="685"/>
        <v>5.3611344589023373</v>
      </c>
      <c r="BR116" s="34">
        <f t="shared" si="685"/>
        <v>1.0457019343720009</v>
      </c>
      <c r="BS116" s="247">
        <f>(BS115-BN115)*100</f>
        <v>1.7581286671898164</v>
      </c>
      <c r="BT116" s="34">
        <f t="shared" si="685"/>
        <v>0.72584249263298739</v>
      </c>
      <c r="BU116" s="34">
        <f t="shared" si="685"/>
        <v>0.93159315931593123</v>
      </c>
      <c r="BV116" s="34">
        <f t="shared" si="685"/>
        <v>-0.50263066589427563</v>
      </c>
      <c r="BW116" s="34">
        <f t="shared" si="685"/>
        <v>-6.6317883722642745E-2</v>
      </c>
      <c r="BX116" s="247">
        <f>(BX115-BS115)*100</f>
        <v>0.27650273979784867</v>
      </c>
      <c r="BY116" s="34">
        <f t="shared" si="685"/>
        <v>0.86025239354072525</v>
      </c>
      <c r="BZ116" s="34">
        <f t="shared" si="685"/>
        <v>0.39281705948372714</v>
      </c>
      <c r="CA116" s="34">
        <f t="shared" si="685"/>
        <v>2.0140341772220323</v>
      </c>
      <c r="CB116" s="34">
        <f t="shared" si="685"/>
        <v>-0.55724748630448384</v>
      </c>
      <c r="CC116" s="247">
        <f>(CC115-BX115)*100</f>
        <v>0.68470846358551773</v>
      </c>
      <c r="CD116" s="34">
        <f t="shared" si="685"/>
        <v>0.68509710962929293</v>
      </c>
      <c r="CE116" s="34">
        <f t="shared" si="685"/>
        <v>4.2294158865548495</v>
      </c>
      <c r="CF116" s="34">
        <f t="shared" si="685"/>
        <v>-2.3392879453561664</v>
      </c>
      <c r="CG116" s="34">
        <f t="shared" si="685"/>
        <v>0.88997198839910618</v>
      </c>
      <c r="CH116" s="247">
        <f>(CH115-CC115)*100</f>
        <v>0.96333890273053446</v>
      </c>
      <c r="CI116" s="34">
        <f t="shared" si="685"/>
        <v>-2.4913638901770714</v>
      </c>
      <c r="CJ116" s="34">
        <f t="shared" si="685"/>
        <v>-4.802608126413757</v>
      </c>
      <c r="CK116" s="34">
        <f t="shared" si="685"/>
        <v>-0.38129737592012547</v>
      </c>
      <c r="CL116" s="34">
        <f t="shared" si="685"/>
        <v>-0.36036582441668769</v>
      </c>
      <c r="CM116" s="247">
        <f>(CM115-CH115)*100</f>
        <v>-2.0646767751695703</v>
      </c>
      <c r="CN116" s="34">
        <f t="shared" si="685"/>
        <v>0.72833010246469154</v>
      </c>
      <c r="CO116" s="34">
        <f t="shared" si="685"/>
        <v>-4.2634179267152419</v>
      </c>
      <c r="CP116" s="34">
        <f t="shared" si="685"/>
        <v>-5.6184999869017371</v>
      </c>
      <c r="CQ116" s="34">
        <f t="shared" si="685"/>
        <v>-1.7366472492517389</v>
      </c>
      <c r="CR116" s="105">
        <f t="shared" ref="CR116:CW116" si="686">(CR115-CM115)*100</f>
        <v>-2.8831472268597365</v>
      </c>
      <c r="CS116" s="34">
        <f t="shared" si="685"/>
        <v>-1.2626401432660239</v>
      </c>
      <c r="CT116" s="34">
        <f t="shared" si="685"/>
        <v>-0.73463078837378148</v>
      </c>
      <c r="CU116" s="34">
        <f t="shared" si="686"/>
        <v>-0.31570413069718151</v>
      </c>
      <c r="CV116" s="34">
        <f t="shared" si="686"/>
        <v>1.4554973545109033</v>
      </c>
      <c r="CW116" s="105">
        <f t="shared" si="686"/>
        <v>-0.19190918423189346</v>
      </c>
      <c r="CX116" s="34">
        <f t="shared" ref="CX116:DK116" si="687">(CX115-CS115)*100</f>
        <v>0.68064158700390753</v>
      </c>
      <c r="CY116" s="34">
        <f t="shared" si="687"/>
        <v>4.9127143314863533</v>
      </c>
      <c r="CZ116" s="34">
        <f t="shared" si="687"/>
        <v>6.8112692488143338</v>
      </c>
      <c r="DA116" s="34">
        <f t="shared" si="687"/>
        <v>0.4516529513304321</v>
      </c>
      <c r="DB116" s="105">
        <f t="shared" si="687"/>
        <v>3.3745942634019492</v>
      </c>
      <c r="DC116" s="34">
        <f>(DC115-CX115)*100</f>
        <v>-1.4135228851675379</v>
      </c>
      <c r="DD116" s="34">
        <f>(DD115-CY115)*100</f>
        <v>-5.9191822403829795</v>
      </c>
      <c r="DE116" s="34">
        <f>(DE115-CZ115)*100</f>
        <v>-4.9693157520885851</v>
      </c>
      <c r="DF116" s="34">
        <f t="shared" si="687"/>
        <v>-3.3283784623671502</v>
      </c>
      <c r="DG116" s="105">
        <f t="shared" si="687"/>
        <v>-4.0332068055723767</v>
      </c>
      <c r="DH116" s="34">
        <f t="shared" si="687"/>
        <v>-1.6669582683521373</v>
      </c>
      <c r="DI116" s="34">
        <f t="shared" si="687"/>
        <v>3.8130363345850835</v>
      </c>
      <c r="DJ116" s="34">
        <f t="shared" si="687"/>
        <v>-1.7838890716506191</v>
      </c>
      <c r="DK116" s="34">
        <f t="shared" si="687"/>
        <v>-0.80619230920898965</v>
      </c>
      <c r="DL116" s="105">
        <f t="shared" ref="DL116:DT116" si="688">(DL115-DG115)*100</f>
        <v>-2.7260313003603376E-2</v>
      </c>
      <c r="DM116" s="34">
        <f t="shared" si="688"/>
        <v>2.4918456340674453</v>
      </c>
      <c r="DN116" s="34">
        <f t="shared" si="688"/>
        <v>-0.19032676610883648</v>
      </c>
      <c r="DO116" s="34">
        <f t="shared" si="688"/>
        <v>4.831859839499848</v>
      </c>
      <c r="DP116" s="34">
        <f t="shared" si="688"/>
        <v>6.1808814829102037</v>
      </c>
      <c r="DQ116" s="105">
        <f t="shared" si="688"/>
        <v>3.2711999955037658</v>
      </c>
      <c r="DR116" s="34">
        <f>(DR115-DM115)*100</f>
        <v>3.06652002616207</v>
      </c>
      <c r="DS116" s="34">
        <f t="shared" si="688"/>
        <v>6.0274374622653335</v>
      </c>
      <c r="DT116" s="34">
        <f t="shared" si="688"/>
        <v>3.8618674367436752</v>
      </c>
      <c r="DU116" s="34">
        <f>(DU115-DP115)*100</f>
        <v>5.0371682051594373</v>
      </c>
      <c r="DV116" s="105">
        <f>(DV115-DQ115)*100</f>
        <v>4.6114691846703</v>
      </c>
      <c r="DW116" s="34">
        <f t="shared" ref="DW116:ED116" si="689">(DW115-DR115)*100</f>
        <v>11.635565360598161</v>
      </c>
      <c r="DX116" s="34">
        <f t="shared" si="689"/>
        <v>6.1173147504369281</v>
      </c>
      <c r="DY116" s="34">
        <f t="shared" si="689"/>
        <v>6.8250663946106984</v>
      </c>
      <c r="DZ116" s="34">
        <f t="shared" si="689"/>
        <v>5.4545898167004694</v>
      </c>
      <c r="EA116" s="105">
        <f t="shared" si="689"/>
        <v>7.3471942522718603</v>
      </c>
      <c r="EB116" s="34">
        <f t="shared" si="689"/>
        <v>2.2819867689195221</v>
      </c>
      <c r="EC116" s="34">
        <f t="shared" si="689"/>
        <v>1.0713315946173252</v>
      </c>
      <c r="ED116" s="34">
        <f t="shared" si="689"/>
        <v>-1.4317140887146111</v>
      </c>
      <c r="EE116" s="34">
        <f t="shared" ref="EE116" si="690">(EE115-DZ115)*100</f>
        <v>-4.8016621138086277</v>
      </c>
      <c r="EF116" s="105">
        <f t="shared" ref="EF116:EJ116" si="691">(EF115-EA115)*100</f>
        <v>-0.75634546226562016</v>
      </c>
      <c r="EG116" s="34">
        <f t="shared" si="691"/>
        <v>-6.9064938457544329</v>
      </c>
      <c r="EH116" s="34">
        <f t="shared" si="691"/>
        <v>-2.4324108986908484</v>
      </c>
      <c r="EI116" s="34">
        <f t="shared" si="691"/>
        <v>-2.3898069634563228</v>
      </c>
      <c r="EJ116" s="34">
        <f t="shared" si="691"/>
        <v>-0.98516205552731662</v>
      </c>
      <c r="EK116" s="105">
        <f>(EK115-EF115)*100</f>
        <v>-3.0643860936397593</v>
      </c>
      <c r="EL116" s="34"/>
      <c r="EM116" s="34"/>
      <c r="EN116" s="34"/>
      <c r="EO116" s="34"/>
      <c r="EP116" s="105"/>
      <c r="EQ116" s="34">
        <f t="shared" ref="EQ116" si="692">(EQ115-EL115)*100</f>
        <v>-0.19560619387486572</v>
      </c>
      <c r="ER116" s="34">
        <f t="shared" ref="ER116" si="693">(ER115-EM115)*100</f>
        <v>-0.86510601417286725</v>
      </c>
      <c r="ES116" s="34">
        <f t="shared" ref="ES116" si="694">(ES115-EN115)*100</f>
        <v>0.76317861870177084</v>
      </c>
      <c r="ET116" s="34">
        <f t="shared" ref="ET116" si="695">(ET115-EO115)*100</f>
        <v>2.2937834381350832</v>
      </c>
      <c r="EU116" s="105">
        <f>(EU115-EP115)*100</f>
        <v>0.49383640293004238</v>
      </c>
      <c r="EV116" s="34"/>
      <c r="EW116" s="34"/>
      <c r="EX116" s="34"/>
      <c r="EY116" s="34"/>
      <c r="EZ116" s="105">
        <f>(EZ115-EU115)*100</f>
        <v>1.7731507846079437</v>
      </c>
      <c r="FA116" s="34"/>
      <c r="FB116" s="34"/>
      <c r="FC116" s="34"/>
      <c r="FD116" s="34"/>
      <c r="FE116" s="105">
        <f>(FE115-EZ115)*100</f>
        <v>1.2451100568688394</v>
      </c>
      <c r="FF116" s="34"/>
      <c r="FG116" s="455"/>
      <c r="FL116" s="410"/>
      <c r="FM116" s="410"/>
      <c r="FN116" s="371"/>
      <c r="FO116" s="371"/>
      <c r="FP116" s="371"/>
      <c r="FQ116" s="371"/>
      <c r="FR116" s="371"/>
      <c r="FS116" s="371"/>
      <c r="FT116" s="190"/>
    </row>
    <row r="117" spans="1:184" ht="12.75" customHeight="1" x14ac:dyDescent="0.2">
      <c r="A117" s="80" t="s">
        <v>232</v>
      </c>
      <c r="B117" s="164">
        <f t="shared" ref="B117:AG117" si="696">B113/B109</f>
        <v>0.12664873224626699</v>
      </c>
      <c r="C117" s="164">
        <f t="shared" si="696"/>
        <v>0.2170013951526556</v>
      </c>
      <c r="D117" s="164">
        <f t="shared" si="696"/>
        <v>0.20024085037249617</v>
      </c>
      <c r="E117" s="164">
        <f t="shared" si="696"/>
        <v>8.0098544054696616E-2</v>
      </c>
      <c r="F117" s="263">
        <f t="shared" si="696"/>
        <v>0.15790316315275463</v>
      </c>
      <c r="G117" s="164">
        <f t="shared" si="696"/>
        <v>6.8318193551124548E-2</v>
      </c>
      <c r="H117" s="164">
        <f t="shared" si="696"/>
        <v>0.16269628589205742</v>
      </c>
      <c r="I117" s="164">
        <f t="shared" si="696"/>
        <v>0.18568581529938974</v>
      </c>
      <c r="J117" s="164">
        <f t="shared" si="696"/>
        <v>0.16829365310848618</v>
      </c>
      <c r="K117" s="263">
        <f t="shared" si="696"/>
        <v>0.15095679527686298</v>
      </c>
      <c r="L117" s="164">
        <f t="shared" si="696"/>
        <v>0.18458427615425346</v>
      </c>
      <c r="M117" s="164">
        <f t="shared" si="696"/>
        <v>0.20590267448443958</v>
      </c>
      <c r="N117" s="164">
        <f t="shared" si="696"/>
        <v>0.21756306297242728</v>
      </c>
      <c r="O117" s="164">
        <f t="shared" si="696"/>
        <v>0.21434311181595175</v>
      </c>
      <c r="P117" s="263">
        <f t="shared" si="696"/>
        <v>0.20701960477631742</v>
      </c>
      <c r="Q117" s="164">
        <f t="shared" si="696"/>
        <v>0.19885721337232248</v>
      </c>
      <c r="R117" s="164">
        <f t="shared" si="696"/>
        <v>0.23688740983833356</v>
      </c>
      <c r="S117" s="164">
        <f t="shared" si="696"/>
        <v>0.24833731679819615</v>
      </c>
      <c r="T117" s="164">
        <f t="shared" si="696"/>
        <v>0.21872920846673555</v>
      </c>
      <c r="U117" s="263">
        <f t="shared" si="696"/>
        <v>0.22606439837103501</v>
      </c>
      <c r="V117" s="164">
        <f t="shared" si="696"/>
        <v>0.22496658120927579</v>
      </c>
      <c r="W117" s="164">
        <f t="shared" si="696"/>
        <v>0.252399191596476</v>
      </c>
      <c r="X117" s="164">
        <f t="shared" si="696"/>
        <v>0.24948452404751867</v>
      </c>
      <c r="Y117" s="164">
        <f t="shared" si="696"/>
        <v>0.17819271259198677</v>
      </c>
      <c r="Z117" s="263">
        <f t="shared" si="696"/>
        <v>0.22714553192540085</v>
      </c>
      <c r="AA117" s="164">
        <f t="shared" si="696"/>
        <v>0.15969590933318717</v>
      </c>
      <c r="AB117" s="164">
        <f t="shared" si="696"/>
        <v>0.24884551039345434</v>
      </c>
      <c r="AC117" s="164">
        <f t="shared" si="696"/>
        <v>0.2577247622471322</v>
      </c>
      <c r="AD117" s="164">
        <f t="shared" si="696"/>
        <v>0.21339296687559753</v>
      </c>
      <c r="AE117" s="263">
        <f t="shared" si="696"/>
        <v>0.22270047073345361</v>
      </c>
      <c r="AF117" s="164">
        <f t="shared" si="696"/>
        <v>0.18951262671045332</v>
      </c>
      <c r="AG117" s="164">
        <f t="shared" si="696"/>
        <v>0.25731840212323742</v>
      </c>
      <c r="AH117" s="164">
        <f t="shared" ref="AH117:BM117" si="697">AH113/AH109</f>
        <v>0.22105077779722079</v>
      </c>
      <c r="AI117" s="164">
        <f t="shared" si="697"/>
        <v>0.17702902357541889</v>
      </c>
      <c r="AJ117" s="263">
        <f t="shared" si="697"/>
        <v>0.21283964100441249</v>
      </c>
      <c r="AK117" s="164">
        <f t="shared" si="697"/>
        <v>0.20964045564454786</v>
      </c>
      <c r="AL117" s="164">
        <f t="shared" si="697"/>
        <v>0.26584191319396561</v>
      </c>
      <c r="AM117" s="164">
        <f t="shared" si="697"/>
        <v>0.25274231604998176</v>
      </c>
      <c r="AN117" s="164">
        <f t="shared" si="697"/>
        <v>0.23509803780879951</v>
      </c>
      <c r="AO117" s="263">
        <f t="shared" si="697"/>
        <v>0.24149888087494814</v>
      </c>
      <c r="AP117" s="164">
        <f t="shared" si="697"/>
        <v>0.2271143252076851</v>
      </c>
      <c r="AQ117" s="164">
        <f t="shared" si="697"/>
        <v>0.29039589707843871</v>
      </c>
      <c r="AR117" s="164">
        <f t="shared" si="697"/>
        <v>0.28775334983513401</v>
      </c>
      <c r="AS117" s="164">
        <f t="shared" si="697"/>
        <v>0.25634463984361283</v>
      </c>
      <c r="AT117" s="263">
        <f t="shared" si="697"/>
        <v>0.26680795777117083</v>
      </c>
      <c r="AU117" s="164">
        <f t="shared" si="697"/>
        <v>0.25401298473090106</v>
      </c>
      <c r="AV117" s="164">
        <f t="shared" si="697"/>
        <v>0.29806740563997003</v>
      </c>
      <c r="AW117" s="164">
        <f t="shared" si="697"/>
        <v>0.25916030719757505</v>
      </c>
      <c r="AX117" s="164">
        <f t="shared" si="697"/>
        <v>0.2265741627906592</v>
      </c>
      <c r="AY117" s="263">
        <f t="shared" si="697"/>
        <v>0.25973041990359386</v>
      </c>
      <c r="AZ117" s="164">
        <f t="shared" si="697"/>
        <v>0.21844739495608964</v>
      </c>
      <c r="BA117" s="164">
        <f t="shared" si="697"/>
        <v>0.29582487548564873</v>
      </c>
      <c r="BB117" s="164">
        <f t="shared" si="697"/>
        <v>0.28483859581264681</v>
      </c>
      <c r="BC117" s="164">
        <f t="shared" si="697"/>
        <v>0.25484665436376069</v>
      </c>
      <c r="BD117" s="263">
        <f t="shared" si="697"/>
        <v>0.26528596917282049</v>
      </c>
      <c r="BE117" s="164">
        <f t="shared" si="697"/>
        <v>0.23511829972623871</v>
      </c>
      <c r="BF117" s="164">
        <f t="shared" si="697"/>
        <v>0.26834729386626854</v>
      </c>
      <c r="BG117" s="164">
        <f t="shared" si="697"/>
        <v>0.16703304933994936</v>
      </c>
      <c r="BH117" s="164">
        <f t="shared" si="697"/>
        <v>0.13348313372068124</v>
      </c>
      <c r="BI117" s="263">
        <f t="shared" si="697"/>
        <v>0.20540544724611684</v>
      </c>
      <c r="BJ117" s="164">
        <f t="shared" si="697"/>
        <v>0.14427998406036063</v>
      </c>
      <c r="BK117" s="164">
        <f t="shared" si="697"/>
        <v>0.2029137011604972</v>
      </c>
      <c r="BL117" s="164">
        <f t="shared" si="697"/>
        <v>0.16512542131166752</v>
      </c>
      <c r="BM117" s="164">
        <f t="shared" si="697"/>
        <v>0.16249529645372235</v>
      </c>
      <c r="BN117" s="263">
        <f t="shared" ref="BN117:CS117" si="698">BN113/BN109</f>
        <v>0.16957379372926795</v>
      </c>
      <c r="BO117" s="164">
        <f t="shared" si="698"/>
        <v>0.13619541080680977</v>
      </c>
      <c r="BP117" s="164">
        <f t="shared" si="698"/>
        <v>0.21254125412541255</v>
      </c>
      <c r="BQ117" s="164">
        <f t="shared" si="698"/>
        <v>0.2112041210560206</v>
      </c>
      <c r="BR117" s="164">
        <f t="shared" si="698"/>
        <v>0.16875411997363216</v>
      </c>
      <c r="BS117" s="263">
        <f t="shared" si="698"/>
        <v>0.18362533692722371</v>
      </c>
      <c r="BT117" s="164">
        <f t="shared" si="698"/>
        <v>0.14103773584905657</v>
      </c>
      <c r="BU117" s="164">
        <f t="shared" si="698"/>
        <v>0.21678321678321677</v>
      </c>
      <c r="BV117" s="164">
        <f t="shared" si="698"/>
        <v>0.20549581839904421</v>
      </c>
      <c r="BW117" s="164">
        <f t="shared" si="698"/>
        <v>0.16797583081570996</v>
      </c>
      <c r="BX117" s="263">
        <f t="shared" si="698"/>
        <v>0.18430081176290397</v>
      </c>
      <c r="BY117" s="164">
        <f t="shared" si="698"/>
        <v>0.14311485267588694</v>
      </c>
      <c r="BZ117" s="164">
        <f t="shared" si="698"/>
        <v>0.2139917695473251</v>
      </c>
      <c r="CA117" s="164">
        <f t="shared" si="698"/>
        <v>0.21317244846656611</v>
      </c>
      <c r="CB117" s="164">
        <f t="shared" si="698"/>
        <v>0.14896829391041772</v>
      </c>
      <c r="CC117" s="263">
        <f t="shared" si="698"/>
        <v>0.18119477779243043</v>
      </c>
      <c r="CD117" s="164">
        <f t="shared" si="698"/>
        <v>0.13798910351659233</v>
      </c>
      <c r="CE117" s="164">
        <f t="shared" si="698"/>
        <v>0.24279297672519393</v>
      </c>
      <c r="CF117" s="164">
        <f t="shared" si="698"/>
        <v>0.18343296327924846</v>
      </c>
      <c r="CG117" s="164">
        <f t="shared" si="698"/>
        <v>0.1518453427065026</v>
      </c>
      <c r="CH117" s="263">
        <f t="shared" si="698"/>
        <v>0.18142196786264578</v>
      </c>
      <c r="CI117" s="164">
        <f t="shared" si="698"/>
        <v>0.11101000909918107</v>
      </c>
      <c r="CJ117" s="164">
        <f t="shared" si="698"/>
        <v>0.19550909794812235</v>
      </c>
      <c r="CK117" s="164">
        <f t="shared" si="698"/>
        <v>0.1758114374034003</v>
      </c>
      <c r="CL117" s="164">
        <f t="shared" si="698"/>
        <v>0.14606741573033707</v>
      </c>
      <c r="CM117" s="263">
        <f t="shared" si="698"/>
        <v>0.15901024236892811</v>
      </c>
      <c r="CN117" s="164">
        <f t="shared" si="698"/>
        <v>0.11146245059288537</v>
      </c>
      <c r="CO117" s="164">
        <f t="shared" si="698"/>
        <v>0.14918089926803765</v>
      </c>
      <c r="CP117" s="164">
        <f t="shared" si="698"/>
        <v>0.11656866136285023</v>
      </c>
      <c r="CQ117" s="164">
        <f t="shared" si="698"/>
        <v>0.12545720555961962</v>
      </c>
      <c r="CR117" s="313">
        <f t="shared" si="698"/>
        <v>0.12608853410740203</v>
      </c>
      <c r="CS117" s="164">
        <f t="shared" si="698"/>
        <v>0.11948512481221676</v>
      </c>
      <c r="CT117" s="164">
        <f t="shared" ref="CT117:DR117" si="699">CT113/CT109</f>
        <v>0.16137981329043849</v>
      </c>
      <c r="CU117" s="164">
        <f t="shared" si="699"/>
        <v>0.13457244924161957</v>
      </c>
      <c r="CV117" s="164">
        <f t="shared" si="699"/>
        <v>0.15260092942552517</v>
      </c>
      <c r="CW117" s="313">
        <f t="shared" si="699"/>
        <v>0.1426288180005077</v>
      </c>
      <c r="CX117" s="164">
        <f t="shared" si="699"/>
        <v>0.11875834778144129</v>
      </c>
      <c r="CY117" s="164">
        <f t="shared" si="699"/>
        <v>0.19720858102868957</v>
      </c>
      <c r="CZ117" s="164">
        <f t="shared" si="699"/>
        <v>0.18808290155440416</v>
      </c>
      <c r="DA117" s="164">
        <f t="shared" si="699"/>
        <v>0.14867021276595746</v>
      </c>
      <c r="DB117" s="313">
        <f t="shared" si="699"/>
        <v>0.16518450889596886</v>
      </c>
      <c r="DC117" s="164">
        <f t="shared" si="699"/>
        <v>9.2358752156721444E-2</v>
      </c>
      <c r="DD117" s="164">
        <f t="shared" si="699"/>
        <v>0.13070115724982981</v>
      </c>
      <c r="DE117" s="164">
        <f t="shared" si="699"/>
        <v>0.13129204360937138</v>
      </c>
      <c r="DF117" s="164">
        <f t="shared" si="699"/>
        <v>0.11002921129503408</v>
      </c>
      <c r="DG117" s="313">
        <f t="shared" si="699"/>
        <v>0.11702918783339424</v>
      </c>
      <c r="DH117" s="164">
        <f t="shared" si="699"/>
        <v>7.4918566775244305E-2</v>
      </c>
      <c r="DI117" s="164">
        <f t="shared" si="699"/>
        <v>0.16832755632582322</v>
      </c>
      <c r="DJ117" s="164">
        <f t="shared" si="699"/>
        <v>0.11998143420747273</v>
      </c>
      <c r="DK117" s="164">
        <f>DK113/DK109</f>
        <v>0.10663791037622813</v>
      </c>
      <c r="DL117" s="313">
        <f t="shared" si="699"/>
        <v>0.11925800222365264</v>
      </c>
      <c r="DM117" s="164">
        <f t="shared" si="699"/>
        <v>0.10161606268364348</v>
      </c>
      <c r="DN117" s="164">
        <f>DN113/DN109</f>
        <v>0.16885634288175749</v>
      </c>
      <c r="DO117" s="164">
        <f t="shared" si="699"/>
        <v>0.16545654565456547</v>
      </c>
      <c r="DP117" s="164">
        <f>DP113/DP109</f>
        <v>0.16373080397470641</v>
      </c>
      <c r="DQ117" s="313">
        <f t="shared" si="699"/>
        <v>0.15118644067796611</v>
      </c>
      <c r="DR117" s="164">
        <f t="shared" si="699"/>
        <v>0.13058089294287087</v>
      </c>
      <c r="DS117" s="164">
        <f>DS113/DS109</f>
        <v>0.22390740371183396</v>
      </c>
      <c r="DT117" s="164">
        <f>DT113/DT109</f>
        <v>0.19958333333333333</v>
      </c>
      <c r="DU117" s="164">
        <f t="shared" ref="DU117:EA117" si="700">DU113/DU109</f>
        <v>0.21369922212618842</v>
      </c>
      <c r="DV117" s="313">
        <f t="shared" si="700"/>
        <v>0.19419510884170921</v>
      </c>
      <c r="DW117" s="164">
        <f t="shared" si="700"/>
        <v>0.2433167195287721</v>
      </c>
      <c r="DX117" s="164">
        <f t="shared" si="700"/>
        <v>0.28507141459596946</v>
      </c>
      <c r="DY117" s="164">
        <f t="shared" si="700"/>
        <v>0.26525456665371161</v>
      </c>
      <c r="DZ117" s="164">
        <f t="shared" si="700"/>
        <v>0.2640144665461121</v>
      </c>
      <c r="EA117" s="313">
        <f t="shared" si="700"/>
        <v>0.26516693811074921</v>
      </c>
      <c r="EB117" s="164">
        <f t="shared" ref="EB117:EO117" si="701">EB113/EB109</f>
        <v>0.2695814338997099</v>
      </c>
      <c r="EC117" s="164">
        <f t="shared" si="701"/>
        <v>0.30182020802377413</v>
      </c>
      <c r="ED117" s="164">
        <f t="shared" si="701"/>
        <v>0.26133489005643123</v>
      </c>
      <c r="EE117" s="164">
        <f t="shared" si="701"/>
        <v>0.22478329393223009</v>
      </c>
      <c r="EF117" s="313">
        <f t="shared" si="701"/>
        <v>0.26487148102815178</v>
      </c>
      <c r="EG117" s="164">
        <f t="shared" ref="EG117:EJ117" si="702">EG113/EG109</f>
        <v>0.20335859103010445</v>
      </c>
      <c r="EH117" s="164">
        <f t="shared" si="702"/>
        <v>0.27576601671309192</v>
      </c>
      <c r="EI117" s="164">
        <f t="shared" si="702"/>
        <v>0.23221400113830393</v>
      </c>
      <c r="EJ117" s="164">
        <f t="shared" si="702"/>
        <v>0.20193401592718999</v>
      </c>
      <c r="EK117" s="313">
        <f t="shared" si="701"/>
        <v>0.22983185339127149</v>
      </c>
      <c r="EL117" s="164">
        <f t="shared" si="701"/>
        <v>0.19489081170168931</v>
      </c>
      <c r="EM117" s="164">
        <f t="shared" si="701"/>
        <v>0.27028441807712439</v>
      </c>
      <c r="EN117" s="164">
        <f t="shared" si="701"/>
        <v>0.23288704506882896</v>
      </c>
      <c r="EO117" s="164">
        <f t="shared" si="701"/>
        <v>0.19646253328261695</v>
      </c>
      <c r="EP117" s="313">
        <f t="shared" ref="EP117" si="703">EP113/EP109</f>
        <v>0.22524354487846401</v>
      </c>
      <c r="EQ117" s="164">
        <f>EQ113/EQ109</f>
        <v>0.1835917221128178</v>
      </c>
      <c r="ER117" s="164">
        <f t="shared" ref="ER117:EU117" si="704">ER113/ER109</f>
        <v>0.25444449848773198</v>
      </c>
      <c r="ES117" s="164">
        <f t="shared" si="704"/>
        <v>0.23700395444478847</v>
      </c>
      <c r="ET117" s="164">
        <f t="shared" si="704"/>
        <v>0.22070598451119033</v>
      </c>
      <c r="EU117" s="313">
        <f t="shared" si="704"/>
        <v>0.22551960358364986</v>
      </c>
      <c r="EV117" s="164"/>
      <c r="EW117" s="164"/>
      <c r="EX117" s="164"/>
      <c r="EY117" s="164"/>
      <c r="EZ117" s="313">
        <f t="shared" ref="EZ117" si="705">EZ113/EZ109</f>
        <v>0.24112626464879797</v>
      </c>
      <c r="FA117" s="164"/>
      <c r="FB117" s="164"/>
      <c r="FC117" s="164"/>
      <c r="FD117" s="164"/>
      <c r="FE117" s="313">
        <f t="shared" ref="FE117" si="706">FE113/FE109</f>
        <v>0.25151334225751326</v>
      </c>
      <c r="FF117" s="164"/>
      <c r="FG117" s="454"/>
      <c r="FL117" s="408"/>
      <c r="FM117" s="408"/>
      <c r="FN117" s="369"/>
      <c r="FO117" s="369"/>
      <c r="FP117" s="369"/>
      <c r="FQ117" s="369"/>
      <c r="FR117" s="369"/>
      <c r="FS117" s="369"/>
      <c r="FT117" s="432"/>
    </row>
    <row r="118" spans="1:184" ht="12.75" customHeight="1" x14ac:dyDescent="0.2">
      <c r="A118" s="58" t="s">
        <v>63</v>
      </c>
      <c r="B118" s="34"/>
      <c r="C118" s="34"/>
      <c r="D118" s="34"/>
      <c r="E118" s="34"/>
      <c r="F118" s="247"/>
      <c r="G118" s="34">
        <f>(G117-B117)*100</f>
        <v>-5.8330538695142442</v>
      </c>
      <c r="H118" s="34">
        <f>(H117-C117)*100</f>
        <v>-5.4305109260598172</v>
      </c>
      <c r="I118" s="34">
        <f>(I117-D117)*100</f>
        <v>-1.455503507310643</v>
      </c>
      <c r="J118" s="34">
        <f>(J117-E117)*100</f>
        <v>8.8195109053789569</v>
      </c>
      <c r="K118" s="247">
        <f t="shared" ref="K118:U118" si="707">(K117-F117)*100</f>
        <v>-0.69463678758916458</v>
      </c>
      <c r="L118" s="34">
        <f t="shared" si="707"/>
        <v>11.626608260312892</v>
      </c>
      <c r="M118" s="34">
        <f t="shared" si="707"/>
        <v>4.3206388592382154</v>
      </c>
      <c r="N118" s="34">
        <f t="shared" si="707"/>
        <v>3.1877247673037541</v>
      </c>
      <c r="O118" s="34">
        <f t="shared" si="707"/>
        <v>4.6049458707465574</v>
      </c>
      <c r="P118" s="247">
        <f t="shared" si="707"/>
        <v>5.606280949945444</v>
      </c>
      <c r="Q118" s="34">
        <f t="shared" si="707"/>
        <v>1.4272937218069019</v>
      </c>
      <c r="R118" s="34">
        <f t="shared" si="707"/>
        <v>3.0984735353893984</v>
      </c>
      <c r="S118" s="34">
        <f t="shared" si="707"/>
        <v>3.0774253825768874</v>
      </c>
      <c r="T118" s="34">
        <f t="shared" si="707"/>
        <v>0.4386096650783794</v>
      </c>
      <c r="U118" s="247">
        <f t="shared" si="707"/>
        <v>1.9044793594717584</v>
      </c>
      <c r="V118" s="34">
        <f t="shared" ref="V118:CT118" si="708">(V117-Q117)*100</f>
        <v>2.6109367836953306</v>
      </c>
      <c r="W118" s="34">
        <f t="shared" si="708"/>
        <v>1.551178175814244</v>
      </c>
      <c r="X118" s="34">
        <f t="shared" si="708"/>
        <v>0.11472072493225183</v>
      </c>
      <c r="Y118" s="34">
        <f t="shared" si="708"/>
        <v>-4.0536495874748777</v>
      </c>
      <c r="Z118" s="247">
        <f t="shared" si="708"/>
        <v>0.10811335543658429</v>
      </c>
      <c r="AA118" s="34">
        <f t="shared" si="708"/>
        <v>-6.5270671876088624</v>
      </c>
      <c r="AB118" s="34">
        <f t="shared" si="708"/>
        <v>-0.3553681203021658</v>
      </c>
      <c r="AC118" s="34">
        <f t="shared" si="708"/>
        <v>0.8240238199613531</v>
      </c>
      <c r="AD118" s="34">
        <f t="shared" si="708"/>
        <v>3.5200254283610759</v>
      </c>
      <c r="AE118" s="247">
        <f t="shared" si="708"/>
        <v>-0.4445061191947236</v>
      </c>
      <c r="AF118" s="34">
        <f t="shared" si="708"/>
        <v>2.9816717377266153</v>
      </c>
      <c r="AG118" s="34">
        <f t="shared" si="708"/>
        <v>0.84728917297830775</v>
      </c>
      <c r="AH118" s="34">
        <f t="shared" si="708"/>
        <v>-3.6673984449911408</v>
      </c>
      <c r="AI118" s="34">
        <f t="shared" si="708"/>
        <v>-3.6363943300178643</v>
      </c>
      <c r="AJ118" s="247">
        <f t="shared" si="708"/>
        <v>-0.98608297290411207</v>
      </c>
      <c r="AK118" s="34">
        <f t="shared" si="708"/>
        <v>2.0127828934094536</v>
      </c>
      <c r="AL118" s="34">
        <f t="shared" si="708"/>
        <v>0.85235110707281847</v>
      </c>
      <c r="AM118" s="34">
        <f t="shared" si="708"/>
        <v>3.1691538252760969</v>
      </c>
      <c r="AN118" s="34">
        <f t="shared" si="708"/>
        <v>5.8069014233380623</v>
      </c>
      <c r="AO118" s="247">
        <f t="shared" si="708"/>
        <v>2.8659239870535647</v>
      </c>
      <c r="AP118" s="34">
        <f t="shared" si="708"/>
        <v>1.7473869563137234</v>
      </c>
      <c r="AQ118" s="34">
        <f t="shared" si="708"/>
        <v>2.4553983884473105</v>
      </c>
      <c r="AR118" s="34">
        <f t="shared" si="708"/>
        <v>3.5011033785152246</v>
      </c>
      <c r="AS118" s="34">
        <f t="shared" si="708"/>
        <v>2.1246602034813322</v>
      </c>
      <c r="AT118" s="247">
        <f t="shared" si="708"/>
        <v>2.5309076896222695</v>
      </c>
      <c r="AU118" s="34">
        <f t="shared" si="708"/>
        <v>2.689865952321596</v>
      </c>
      <c r="AV118" s="34">
        <f t="shared" si="708"/>
        <v>0.7671508561531315</v>
      </c>
      <c r="AW118" s="34">
        <f t="shared" si="708"/>
        <v>-2.8593042637558961</v>
      </c>
      <c r="AX118" s="34">
        <f t="shared" si="708"/>
        <v>-2.9770477052953632</v>
      </c>
      <c r="AY118" s="247">
        <f t="shared" si="708"/>
        <v>-0.70775378675769773</v>
      </c>
      <c r="AZ118" s="34">
        <f t="shared" si="708"/>
        <v>-3.5565589774811417</v>
      </c>
      <c r="BA118" s="34">
        <f t="shared" si="708"/>
        <v>-0.22425301543212983</v>
      </c>
      <c r="BB118" s="34">
        <f t="shared" si="708"/>
        <v>2.5678288615071763</v>
      </c>
      <c r="BC118" s="34">
        <f t="shared" si="708"/>
        <v>2.8272491573101495</v>
      </c>
      <c r="BD118" s="247">
        <f t="shared" si="708"/>
        <v>0.55555492692266339</v>
      </c>
      <c r="BE118" s="34">
        <f t="shared" si="708"/>
        <v>1.6670904770149071</v>
      </c>
      <c r="BF118" s="34">
        <f t="shared" si="708"/>
        <v>-2.7477581619380187</v>
      </c>
      <c r="BG118" s="34">
        <f t="shared" si="708"/>
        <v>-11.780554647269744</v>
      </c>
      <c r="BH118" s="34">
        <f t="shared" si="708"/>
        <v>-12.136352064307946</v>
      </c>
      <c r="BI118" s="247">
        <f t="shared" si="708"/>
        <v>-5.9880521926703647</v>
      </c>
      <c r="BJ118" s="34">
        <f t="shared" si="708"/>
        <v>-9.0838315665878078</v>
      </c>
      <c r="BK118" s="34">
        <f t="shared" si="708"/>
        <v>-6.5433592705771346</v>
      </c>
      <c r="BL118" s="34">
        <f t="shared" si="708"/>
        <v>-0.19076280282818436</v>
      </c>
      <c r="BM118" s="34">
        <f t="shared" si="708"/>
        <v>2.9012162733041107</v>
      </c>
      <c r="BN118" s="247">
        <f t="shared" si="708"/>
        <v>-3.5831653516848889</v>
      </c>
      <c r="BO118" s="34">
        <f t="shared" si="708"/>
        <v>-0.80845732535508585</v>
      </c>
      <c r="BP118" s="34">
        <f t="shared" si="708"/>
        <v>0.96275529649153535</v>
      </c>
      <c r="BQ118" s="34">
        <f t="shared" si="708"/>
        <v>4.6078699744353084</v>
      </c>
      <c r="BR118" s="34">
        <f t="shared" si="708"/>
        <v>0.62588235199098063</v>
      </c>
      <c r="BS118" s="247">
        <f>(BS117-BN117)*100</f>
        <v>1.4051543197955763</v>
      </c>
      <c r="BT118" s="34">
        <f t="shared" si="708"/>
        <v>0.48423250422467978</v>
      </c>
      <c r="BU118" s="34">
        <f t="shared" si="708"/>
        <v>0.42419626578042158</v>
      </c>
      <c r="BV118" s="34">
        <f t="shared" si="708"/>
        <v>-0.57083026569763884</v>
      </c>
      <c r="BW118" s="34">
        <f t="shared" si="708"/>
        <v>-7.7828915792219067E-2</v>
      </c>
      <c r="BX118" s="247">
        <f>(BX117-BS117)*100</f>
        <v>6.7547483568025646E-2</v>
      </c>
      <c r="BY118" s="34">
        <f t="shared" si="708"/>
        <v>0.20771168268303719</v>
      </c>
      <c r="BZ118" s="34">
        <f t="shared" si="708"/>
        <v>-0.27914472358916698</v>
      </c>
      <c r="CA118" s="34">
        <f t="shared" si="708"/>
        <v>0.76766300675218946</v>
      </c>
      <c r="CB118" s="34">
        <f t="shared" si="708"/>
        <v>-1.9007536905292248</v>
      </c>
      <c r="CC118" s="247">
        <f>(CC117-BX117)*100</f>
        <v>-0.31060339704735429</v>
      </c>
      <c r="CD118" s="34">
        <f t="shared" si="708"/>
        <v>-0.51257491592946181</v>
      </c>
      <c r="CE118" s="34">
        <f t="shared" si="708"/>
        <v>2.8801207177868826</v>
      </c>
      <c r="CF118" s="34">
        <f t="shared" si="708"/>
        <v>-2.9739485187317642</v>
      </c>
      <c r="CG118" s="34">
        <f t="shared" si="708"/>
        <v>0.28770487960848856</v>
      </c>
      <c r="CH118" s="247">
        <f>(CH117-CC117)*100</f>
        <v>2.2719007021534954E-2</v>
      </c>
      <c r="CI118" s="34">
        <f t="shared" si="708"/>
        <v>-2.6979094417411256</v>
      </c>
      <c r="CJ118" s="34">
        <f t="shared" si="708"/>
        <v>-4.7283878777071573</v>
      </c>
      <c r="CK118" s="34">
        <f t="shared" si="708"/>
        <v>-0.76215258758481619</v>
      </c>
      <c r="CL118" s="34">
        <f t="shared" si="708"/>
        <v>-0.57779269761655261</v>
      </c>
      <c r="CM118" s="247">
        <f>(CM117-CH117)*100</f>
        <v>-2.2411725493717674</v>
      </c>
      <c r="CN118" s="34">
        <f t="shared" si="708"/>
        <v>4.5244149370429754E-2</v>
      </c>
      <c r="CO118" s="34">
        <f t="shared" si="708"/>
        <v>-4.63281986800847</v>
      </c>
      <c r="CP118" s="34">
        <f t="shared" si="708"/>
        <v>-5.9242776040550078</v>
      </c>
      <c r="CQ118" s="34">
        <f t="shared" si="708"/>
        <v>-2.061021017071746</v>
      </c>
      <c r="CR118" s="105">
        <f t="shared" ref="CR118:CW118" si="709">(CR117-CM117)*100</f>
        <v>-3.2921708261526073</v>
      </c>
      <c r="CS118" s="34">
        <f t="shared" si="708"/>
        <v>0.80226742193313938</v>
      </c>
      <c r="CT118" s="34">
        <f t="shared" si="708"/>
        <v>1.2198914022400835</v>
      </c>
      <c r="CU118" s="34">
        <f t="shared" si="709"/>
        <v>1.8003787878769342</v>
      </c>
      <c r="CV118" s="34">
        <f t="shared" si="709"/>
        <v>2.7143723865905551</v>
      </c>
      <c r="CW118" s="105">
        <f t="shared" si="709"/>
        <v>1.6540283893105663</v>
      </c>
      <c r="CX118" s="34">
        <f t="shared" ref="CX118:DK118" si="710">(CX117-CS117)*100</f>
        <v>-7.2677703077547728E-2</v>
      </c>
      <c r="CY118" s="34">
        <f t="shared" si="710"/>
        <v>3.5828767738251082</v>
      </c>
      <c r="CZ118" s="34">
        <f t="shared" si="710"/>
        <v>5.3510452312784587</v>
      </c>
      <c r="DA118" s="34">
        <f t="shared" si="710"/>
        <v>-0.39307166595677068</v>
      </c>
      <c r="DB118" s="105">
        <f t="shared" si="710"/>
        <v>2.2555690895461167</v>
      </c>
      <c r="DC118" s="34">
        <f>(DC117-CX117)*100</f>
        <v>-2.6399595624719843</v>
      </c>
      <c r="DD118" s="34">
        <f>(DD117-CY117)*100</f>
        <v>-6.650742377885976</v>
      </c>
      <c r="DE118" s="34">
        <f>(DE117-CZ117)*100</f>
        <v>-5.6790857945032771</v>
      </c>
      <c r="DF118" s="34">
        <f t="shared" si="710"/>
        <v>-3.864100147092338</v>
      </c>
      <c r="DG118" s="105">
        <f t="shared" si="710"/>
        <v>-4.8155321062574625</v>
      </c>
      <c r="DH118" s="34">
        <f t="shared" si="710"/>
        <v>-1.7440185381477138</v>
      </c>
      <c r="DI118" s="34">
        <f t="shared" si="710"/>
        <v>3.7626399075993411</v>
      </c>
      <c r="DJ118" s="34">
        <f t="shared" si="710"/>
        <v>-1.1310609401898652</v>
      </c>
      <c r="DK118" s="34">
        <f t="shared" si="710"/>
        <v>-0.33913009188059479</v>
      </c>
      <c r="DL118" s="105">
        <f t="shared" ref="DL118:DT118" si="711">(DL117-DG117)*100</f>
        <v>0.22288143902584046</v>
      </c>
      <c r="DM118" s="34">
        <f t="shared" si="711"/>
        <v>2.6697495908399178</v>
      </c>
      <c r="DN118" s="34">
        <f t="shared" si="711"/>
        <v>5.2878655593427415E-2</v>
      </c>
      <c r="DO118" s="34">
        <f t="shared" si="711"/>
        <v>4.547511144709274</v>
      </c>
      <c r="DP118" s="34">
        <f t="shared" si="711"/>
        <v>5.7092893598478271</v>
      </c>
      <c r="DQ118" s="105">
        <f t="shared" si="711"/>
        <v>3.1928438454313466</v>
      </c>
      <c r="DR118" s="34">
        <f>(DR117-DM117)*100</f>
        <v>2.8964830259227385</v>
      </c>
      <c r="DS118" s="34">
        <f t="shared" si="711"/>
        <v>5.5051060830076466</v>
      </c>
      <c r="DT118" s="34">
        <f t="shared" si="711"/>
        <v>3.4126787678767867</v>
      </c>
      <c r="DU118" s="34">
        <f>(DU117-DP117)*100</f>
        <v>4.9968418151482012</v>
      </c>
      <c r="DV118" s="105">
        <f>(DV117-DQ117)*100</f>
        <v>4.3008668163743105</v>
      </c>
      <c r="DW118" s="34">
        <f t="shared" ref="DW118:ED118" si="712">(DW117-DR117)*100</f>
        <v>11.273582658590122</v>
      </c>
      <c r="DX118" s="34">
        <f t="shared" si="712"/>
        <v>6.1164010884135509</v>
      </c>
      <c r="DY118" s="34">
        <f t="shared" si="712"/>
        <v>6.5671233320378271</v>
      </c>
      <c r="DZ118" s="34">
        <f t="shared" si="712"/>
        <v>5.031524441992369</v>
      </c>
      <c r="EA118" s="105">
        <f t="shared" si="712"/>
        <v>7.0971829269039999</v>
      </c>
      <c r="EB118" s="34">
        <f t="shared" si="712"/>
        <v>2.6264714370937803</v>
      </c>
      <c r="EC118" s="34">
        <f t="shared" si="712"/>
        <v>1.6748793427804665</v>
      </c>
      <c r="ED118" s="34">
        <f t="shared" si="712"/>
        <v>-0.39196765972803749</v>
      </c>
      <c r="EE118" s="34">
        <f t="shared" ref="EE118" si="713">(EE117-DZ117)*100</f>
        <v>-3.9231172613882008</v>
      </c>
      <c r="EF118" s="105">
        <f t="shared" ref="EF118:EJ118" si="714">(EF117-EA117)*100</f>
        <v>-2.9545708259742787E-2</v>
      </c>
      <c r="EG118" s="34">
        <f t="shared" si="714"/>
        <v>-6.6222842869605447</v>
      </c>
      <c r="EH118" s="34">
        <f t="shared" si="714"/>
        <v>-2.6054191310682207</v>
      </c>
      <c r="EI118" s="34">
        <f t="shared" si="714"/>
        <v>-2.912088891812731</v>
      </c>
      <c r="EJ118" s="34">
        <f t="shared" si="714"/>
        <v>-2.2849278005040108</v>
      </c>
      <c r="EK118" s="105">
        <f>(EK117-EF117)*100</f>
        <v>-3.5039627636880288</v>
      </c>
      <c r="EL118" s="34"/>
      <c r="EM118" s="34"/>
      <c r="EN118" s="34"/>
      <c r="EO118" s="34"/>
      <c r="EP118" s="105"/>
      <c r="EQ118" s="34">
        <f t="shared" ref="EQ118" si="715">(EQ117-EL117)*100</f>
        <v>-1.1299089588871518</v>
      </c>
      <c r="ER118" s="34">
        <f t="shared" ref="ER118" si="716">(ER117-EM117)*100</f>
        <v>-1.5839919589392404</v>
      </c>
      <c r="ES118" s="34">
        <f t="shared" ref="ES118" si="717">(ES117-EN117)*100</f>
        <v>0.41169093759595154</v>
      </c>
      <c r="ET118" s="34">
        <f t="shared" ref="ET118" si="718">(ET117-EO117)*100</f>
        <v>2.4243451228573383</v>
      </c>
      <c r="EU118" s="105">
        <f>(EU117-EP117)*100</f>
        <v>2.7605870518584985E-2</v>
      </c>
      <c r="EV118" s="34"/>
      <c r="EW118" s="34"/>
      <c r="EX118" s="34"/>
      <c r="EY118" s="34"/>
      <c r="EZ118" s="105">
        <f>(EZ117-EU117)*100</f>
        <v>1.5606661065148102</v>
      </c>
      <c r="FA118" s="34"/>
      <c r="FB118" s="34"/>
      <c r="FC118" s="34"/>
      <c r="FD118" s="34"/>
      <c r="FE118" s="105">
        <f>(FE117-EZ117)*100</f>
        <v>1.0387077608715294</v>
      </c>
      <c r="FF118" s="34"/>
      <c r="FG118" s="455"/>
      <c r="FL118" s="410"/>
      <c r="FM118" s="410"/>
      <c r="FN118" s="371"/>
      <c r="FO118" s="371"/>
      <c r="FP118" s="371"/>
      <c r="FQ118" s="371"/>
      <c r="FR118" s="371"/>
      <c r="FS118" s="371"/>
      <c r="FT118" s="190"/>
    </row>
    <row r="119" spans="1:184" ht="12.75" customHeight="1" x14ac:dyDescent="0.2">
      <c r="A119" s="40" t="s">
        <v>190</v>
      </c>
      <c r="B119" s="827"/>
      <c r="C119" s="827"/>
      <c r="D119" s="827"/>
      <c r="E119" s="827"/>
      <c r="F119" s="247"/>
      <c r="G119" s="827"/>
      <c r="H119" s="827"/>
      <c r="I119" s="827"/>
      <c r="J119" s="827"/>
      <c r="K119" s="247"/>
      <c r="L119" s="827"/>
      <c r="M119" s="827"/>
      <c r="N119" s="827"/>
      <c r="O119" s="827"/>
      <c r="P119" s="247"/>
      <c r="Q119" s="827"/>
      <c r="R119" s="827"/>
      <c r="S119" s="827"/>
      <c r="T119" s="827"/>
      <c r="U119" s="247"/>
      <c r="V119" s="827"/>
      <c r="W119" s="827"/>
      <c r="X119" s="827"/>
      <c r="Y119" s="827"/>
      <c r="Z119" s="247"/>
      <c r="AA119" s="827"/>
      <c r="AB119" s="827"/>
      <c r="AC119" s="827"/>
      <c r="AD119" s="827"/>
      <c r="AE119" s="247"/>
      <c r="AF119" s="827"/>
      <c r="AG119" s="827"/>
      <c r="AH119" s="827"/>
      <c r="AI119" s="827"/>
      <c r="AJ119" s="247"/>
      <c r="AK119" s="827"/>
      <c r="AL119" s="827"/>
      <c r="AM119" s="827"/>
      <c r="AN119" s="827"/>
      <c r="AO119" s="247"/>
      <c r="AP119" s="827"/>
      <c r="AQ119" s="827"/>
      <c r="AR119" s="827"/>
      <c r="AS119" s="827"/>
      <c r="AT119" s="247"/>
      <c r="AU119" s="827"/>
      <c r="AV119" s="827"/>
      <c r="AW119" s="827"/>
      <c r="AX119" s="827"/>
      <c r="AY119" s="247"/>
      <c r="AZ119" s="827"/>
      <c r="BA119" s="827"/>
      <c r="BB119" s="827"/>
      <c r="BC119" s="827"/>
      <c r="BD119" s="247"/>
      <c r="BE119" s="827"/>
      <c r="BF119" s="827"/>
      <c r="BG119" s="827"/>
      <c r="BH119" s="827"/>
      <c r="BI119" s="247"/>
      <c r="BJ119" s="827"/>
      <c r="BK119" s="827"/>
      <c r="BL119" s="827"/>
      <c r="BM119" s="827"/>
      <c r="BN119" s="247"/>
      <c r="BO119" s="827"/>
      <c r="BP119" s="827"/>
      <c r="BQ119" s="827"/>
      <c r="BR119" s="827"/>
      <c r="BS119" s="247"/>
      <c r="BT119" s="827"/>
      <c r="BU119" s="827"/>
      <c r="BV119" s="827"/>
      <c r="BW119" s="827"/>
      <c r="BX119" s="247"/>
      <c r="BY119" s="827"/>
      <c r="BZ119" s="827"/>
      <c r="CA119" s="827"/>
      <c r="CB119" s="827"/>
      <c r="CC119" s="247"/>
      <c r="CD119" s="827"/>
      <c r="CE119" s="827"/>
      <c r="CF119" s="827"/>
      <c r="CG119" s="827"/>
      <c r="CH119" s="247"/>
      <c r="CI119" s="827"/>
      <c r="CJ119" s="827"/>
      <c r="CK119" s="827"/>
      <c r="CL119" s="827"/>
      <c r="CM119" s="247"/>
      <c r="CN119" s="827"/>
      <c r="CO119" s="827"/>
      <c r="CP119" s="827"/>
      <c r="CQ119" s="827"/>
      <c r="CR119" s="105"/>
      <c r="CS119" s="827"/>
      <c r="CT119" s="827"/>
      <c r="CU119" s="827"/>
      <c r="CV119" s="827"/>
      <c r="CW119" s="105"/>
      <c r="CX119" s="827"/>
      <c r="CY119" s="827"/>
      <c r="CZ119" s="827"/>
      <c r="DA119" s="827"/>
      <c r="DB119" s="105"/>
      <c r="DC119" s="827">
        <v>81</v>
      </c>
      <c r="DD119" s="827">
        <v>96</v>
      </c>
      <c r="DE119" s="827">
        <v>109</v>
      </c>
      <c r="DF119" s="827">
        <v>129</v>
      </c>
      <c r="DG119" s="486">
        <f>DF119</f>
        <v>129</v>
      </c>
      <c r="DH119" s="827">
        <v>139</v>
      </c>
      <c r="DI119" s="827">
        <v>160</v>
      </c>
      <c r="DJ119" s="827">
        <v>136</v>
      </c>
      <c r="DK119" s="827">
        <v>117</v>
      </c>
      <c r="DL119" s="486">
        <f>DK119</f>
        <v>117</v>
      </c>
      <c r="DM119" s="827">
        <v>121</v>
      </c>
      <c r="DN119" s="827">
        <v>127</v>
      </c>
      <c r="DO119" s="827">
        <v>134</v>
      </c>
      <c r="DP119" s="827">
        <v>143</v>
      </c>
      <c r="DQ119" s="486">
        <f>DP119</f>
        <v>143</v>
      </c>
      <c r="DR119" s="827">
        <v>144</v>
      </c>
      <c r="DS119" s="827">
        <v>140</v>
      </c>
      <c r="DT119" s="827">
        <v>136</v>
      </c>
      <c r="DU119" s="827">
        <v>133</v>
      </c>
      <c r="DV119" s="486">
        <f>DU119</f>
        <v>133</v>
      </c>
      <c r="DW119" s="827">
        <v>123</v>
      </c>
      <c r="DX119" s="827">
        <v>117</v>
      </c>
      <c r="DY119" s="827">
        <v>113</v>
      </c>
      <c r="DZ119" s="827">
        <v>114</v>
      </c>
      <c r="EA119" s="486">
        <f>DZ119</f>
        <v>114</v>
      </c>
      <c r="EB119" s="827">
        <v>115</v>
      </c>
      <c r="EC119" s="827">
        <v>117</v>
      </c>
      <c r="ED119" s="827">
        <v>115</v>
      </c>
      <c r="EE119" s="827">
        <v>111</v>
      </c>
      <c r="EF119" s="486">
        <f>EE119</f>
        <v>111</v>
      </c>
      <c r="EG119" s="827">
        <v>108</v>
      </c>
      <c r="EH119" s="827">
        <v>107</v>
      </c>
      <c r="EI119" s="827">
        <v>115</v>
      </c>
      <c r="EJ119" s="827">
        <v>109</v>
      </c>
      <c r="EK119" s="486">
        <f t="shared" ref="EK119:EK120" si="719">EJ119</f>
        <v>109</v>
      </c>
      <c r="EL119" s="827">
        <v>108</v>
      </c>
      <c r="EM119" s="827">
        <v>107</v>
      </c>
      <c r="EN119" s="827">
        <v>115</v>
      </c>
      <c r="EO119" s="827">
        <v>109</v>
      </c>
      <c r="EP119" s="486">
        <f t="shared" ref="EP119:EP120" si="720">EO119</f>
        <v>109</v>
      </c>
      <c r="EQ119" s="33">
        <f>EO119</f>
        <v>109</v>
      </c>
      <c r="ER119" s="33">
        <f t="shared" ref="ER119:ET120" si="721">EQ119</f>
        <v>109</v>
      </c>
      <c r="ES119" s="33">
        <f t="shared" si="721"/>
        <v>109</v>
      </c>
      <c r="ET119" s="33">
        <f t="shared" si="721"/>
        <v>109</v>
      </c>
      <c r="EU119" s="486">
        <f t="shared" ref="EU119" si="722">ET119</f>
        <v>109</v>
      </c>
      <c r="EV119" s="33"/>
      <c r="EW119" s="33"/>
      <c r="EX119" s="33"/>
      <c r="EY119" s="33"/>
      <c r="EZ119" s="564">
        <f>EU119</f>
        <v>109</v>
      </c>
      <c r="FA119" s="33"/>
      <c r="FB119" s="33"/>
      <c r="FC119" s="33"/>
      <c r="FD119" s="33"/>
      <c r="FE119" s="564">
        <f>EZ119</f>
        <v>109</v>
      </c>
      <c r="FF119" s="34"/>
      <c r="FG119" s="455"/>
      <c r="FL119" s="410"/>
      <c r="FM119" s="410"/>
      <c r="FN119" s="371"/>
      <c r="FO119" s="371"/>
      <c r="FP119" s="371"/>
      <c r="FQ119" s="371"/>
      <c r="FR119" s="371"/>
      <c r="FS119" s="371"/>
      <c r="FT119" s="190"/>
    </row>
    <row r="120" spans="1:184" ht="12.75" customHeight="1" x14ac:dyDescent="0.2">
      <c r="A120" s="40" t="s">
        <v>191</v>
      </c>
      <c r="B120" s="827"/>
      <c r="C120" s="827"/>
      <c r="D120" s="827"/>
      <c r="E120" s="827"/>
      <c r="F120" s="247"/>
      <c r="G120" s="827"/>
      <c r="H120" s="827"/>
      <c r="I120" s="827"/>
      <c r="J120" s="827"/>
      <c r="K120" s="247"/>
      <c r="L120" s="827"/>
      <c r="M120" s="827"/>
      <c r="N120" s="827"/>
      <c r="O120" s="827"/>
      <c r="P120" s="247"/>
      <c r="Q120" s="827"/>
      <c r="R120" s="827"/>
      <c r="S120" s="827"/>
      <c r="T120" s="827"/>
      <c r="U120" s="247"/>
      <c r="V120" s="827"/>
      <c r="W120" s="827"/>
      <c r="X120" s="827"/>
      <c r="Y120" s="827"/>
      <c r="Z120" s="247"/>
      <c r="AA120" s="827"/>
      <c r="AB120" s="827"/>
      <c r="AC120" s="827"/>
      <c r="AD120" s="827"/>
      <c r="AE120" s="247"/>
      <c r="AF120" s="827"/>
      <c r="AG120" s="827"/>
      <c r="AH120" s="827"/>
      <c r="AI120" s="827"/>
      <c r="AJ120" s="247"/>
      <c r="AK120" s="827"/>
      <c r="AL120" s="827"/>
      <c r="AM120" s="827"/>
      <c r="AN120" s="827"/>
      <c r="AO120" s="247"/>
      <c r="AP120" s="827"/>
      <c r="AQ120" s="827"/>
      <c r="AR120" s="827"/>
      <c r="AS120" s="827"/>
      <c r="AT120" s="247"/>
      <c r="AU120" s="827"/>
      <c r="AV120" s="827"/>
      <c r="AW120" s="827"/>
      <c r="AX120" s="827"/>
      <c r="AY120" s="247"/>
      <c r="AZ120" s="827"/>
      <c r="BA120" s="827"/>
      <c r="BB120" s="827"/>
      <c r="BC120" s="827"/>
      <c r="BD120" s="247"/>
      <c r="BE120" s="827"/>
      <c r="BF120" s="827"/>
      <c r="BG120" s="827"/>
      <c r="BH120" s="827"/>
      <c r="BI120" s="247"/>
      <c r="BJ120" s="827"/>
      <c r="BK120" s="827"/>
      <c r="BL120" s="827"/>
      <c r="BM120" s="827"/>
      <c r="BN120" s="247"/>
      <c r="BO120" s="827"/>
      <c r="BP120" s="827"/>
      <c r="BQ120" s="827"/>
      <c r="BR120" s="827"/>
      <c r="BS120" s="247"/>
      <c r="BT120" s="827"/>
      <c r="BU120" s="827"/>
      <c r="BV120" s="827"/>
      <c r="BW120" s="827"/>
      <c r="BX120" s="247"/>
      <c r="BY120" s="827"/>
      <c r="BZ120" s="827"/>
      <c r="CA120" s="827"/>
      <c r="CB120" s="827"/>
      <c r="CC120" s="247"/>
      <c r="CD120" s="827"/>
      <c r="CE120" s="827"/>
      <c r="CF120" s="827"/>
      <c r="CG120" s="827"/>
      <c r="CH120" s="247"/>
      <c r="CI120" s="827"/>
      <c r="CJ120" s="827"/>
      <c r="CK120" s="827"/>
      <c r="CL120" s="827"/>
      <c r="CM120" s="247"/>
      <c r="CN120" s="827"/>
      <c r="CO120" s="827"/>
      <c r="CP120" s="827"/>
      <c r="CQ120" s="827"/>
      <c r="CR120" s="105"/>
      <c r="CS120" s="827"/>
      <c r="CT120" s="827"/>
      <c r="CU120" s="827"/>
      <c r="CV120" s="827"/>
      <c r="CW120" s="105"/>
      <c r="CX120" s="827"/>
      <c r="CY120" s="827"/>
      <c r="CZ120" s="827"/>
      <c r="DA120" s="827"/>
      <c r="DB120" s="105"/>
      <c r="DC120" s="827">
        <v>-134</v>
      </c>
      <c r="DD120" s="827">
        <v>-130</v>
      </c>
      <c r="DE120" s="827">
        <v>-129</v>
      </c>
      <c r="DF120" s="827">
        <v>-107</v>
      </c>
      <c r="DG120" s="486">
        <f>DF120</f>
        <v>-107</v>
      </c>
      <c r="DH120" s="827">
        <v>-82</v>
      </c>
      <c r="DI120" s="827">
        <v>-68</v>
      </c>
      <c r="DJ120" s="827">
        <v>-47</v>
      </c>
      <c r="DK120" s="827">
        <v>-36</v>
      </c>
      <c r="DL120" s="486">
        <f>DK120</f>
        <v>-36</v>
      </c>
      <c r="DM120" s="827">
        <v>-35</v>
      </c>
      <c r="DN120" s="827">
        <v>-35</v>
      </c>
      <c r="DO120" s="827">
        <v>-42</v>
      </c>
      <c r="DP120" s="827">
        <v>-60</v>
      </c>
      <c r="DQ120" s="486">
        <f>DP120</f>
        <v>-60</v>
      </c>
      <c r="DR120" s="827">
        <v>-73</v>
      </c>
      <c r="DS120" s="827">
        <v>-78</v>
      </c>
      <c r="DT120" s="827">
        <v>-70</v>
      </c>
      <c r="DU120" s="827">
        <v>-62</v>
      </c>
      <c r="DV120" s="486">
        <f>DU120</f>
        <v>-62</v>
      </c>
      <c r="DW120" s="827">
        <v>-71</v>
      </c>
      <c r="DX120" s="827">
        <v>-76</v>
      </c>
      <c r="DY120" s="827">
        <v>-94</v>
      </c>
      <c r="DZ120" s="827">
        <v>-124</v>
      </c>
      <c r="EA120" s="486">
        <f>DZ120</f>
        <v>-124</v>
      </c>
      <c r="EB120" s="827">
        <v>-133</v>
      </c>
      <c r="EC120" s="827">
        <v>-159</v>
      </c>
      <c r="ED120" s="827">
        <v>-160</v>
      </c>
      <c r="EE120" s="827">
        <v>-152</v>
      </c>
      <c r="EF120" s="486">
        <f>EE120</f>
        <v>-152</v>
      </c>
      <c r="EG120" s="827">
        <v>-151</v>
      </c>
      <c r="EH120" s="827">
        <v>-137</v>
      </c>
      <c r="EI120" s="827">
        <v>-137</v>
      </c>
      <c r="EJ120" s="827">
        <v>-135</v>
      </c>
      <c r="EK120" s="486">
        <f t="shared" si="719"/>
        <v>-135</v>
      </c>
      <c r="EL120" s="827">
        <v>-151</v>
      </c>
      <c r="EM120" s="827">
        <v>-137</v>
      </c>
      <c r="EN120" s="827">
        <v>-137</v>
      </c>
      <c r="EO120" s="827">
        <v>-135</v>
      </c>
      <c r="EP120" s="486">
        <f t="shared" si="720"/>
        <v>-135</v>
      </c>
      <c r="EQ120" s="33">
        <f>EO120</f>
        <v>-135</v>
      </c>
      <c r="ER120" s="33">
        <f t="shared" si="721"/>
        <v>-135</v>
      </c>
      <c r="ES120" s="33">
        <f t="shared" si="721"/>
        <v>-135</v>
      </c>
      <c r="ET120" s="33">
        <f t="shared" si="721"/>
        <v>-135</v>
      </c>
      <c r="EU120" s="486">
        <f>ET120</f>
        <v>-135</v>
      </c>
      <c r="EV120" s="33"/>
      <c r="EW120" s="33"/>
      <c r="EX120" s="33"/>
      <c r="EY120" s="33"/>
      <c r="EZ120" s="564">
        <f>EU120</f>
        <v>-135</v>
      </c>
      <c r="FA120" s="33"/>
      <c r="FB120" s="33"/>
      <c r="FC120" s="33"/>
      <c r="FD120" s="33"/>
      <c r="FE120" s="564">
        <f>EZ120</f>
        <v>-135</v>
      </c>
      <c r="FF120" s="34"/>
      <c r="FG120" s="455"/>
      <c r="FL120" s="410"/>
      <c r="FM120" s="410"/>
      <c r="FN120" s="371"/>
      <c r="FO120" s="371"/>
      <c r="FP120" s="371"/>
      <c r="FQ120" s="371"/>
      <c r="FR120" s="371"/>
      <c r="FS120" s="371"/>
      <c r="FT120" s="190"/>
    </row>
    <row r="121" spans="1:184" ht="12.75" customHeight="1" x14ac:dyDescent="0.2">
      <c r="A121" s="80" t="s">
        <v>192</v>
      </c>
      <c r="B121" s="37"/>
      <c r="C121" s="37"/>
      <c r="D121" s="37"/>
      <c r="E121" s="37"/>
      <c r="F121" s="247"/>
      <c r="G121" s="37"/>
      <c r="H121" s="37"/>
      <c r="I121" s="37"/>
      <c r="J121" s="37"/>
      <c r="K121" s="247"/>
      <c r="L121" s="37"/>
      <c r="M121" s="37"/>
      <c r="N121" s="37"/>
      <c r="O121" s="37"/>
      <c r="P121" s="247"/>
      <c r="Q121" s="37"/>
      <c r="R121" s="37"/>
      <c r="S121" s="37"/>
      <c r="T121" s="37"/>
      <c r="U121" s="247"/>
      <c r="V121" s="37"/>
      <c r="W121" s="37"/>
      <c r="X121" s="37"/>
      <c r="Y121" s="37"/>
      <c r="Z121" s="247"/>
      <c r="AA121" s="37"/>
      <c r="AB121" s="37"/>
      <c r="AC121" s="37"/>
      <c r="AD121" s="37"/>
      <c r="AE121" s="247"/>
      <c r="AF121" s="37"/>
      <c r="AG121" s="37"/>
      <c r="AH121" s="37"/>
      <c r="AI121" s="37"/>
      <c r="AJ121" s="247"/>
      <c r="AK121" s="37"/>
      <c r="AL121" s="37"/>
      <c r="AM121" s="37"/>
      <c r="AN121" s="37"/>
      <c r="AO121" s="247"/>
      <c r="AP121" s="37"/>
      <c r="AQ121" s="37"/>
      <c r="AR121" s="37"/>
      <c r="AS121" s="37"/>
      <c r="AT121" s="247"/>
      <c r="AU121" s="37"/>
      <c r="AV121" s="37"/>
      <c r="AW121" s="37"/>
      <c r="AX121" s="37"/>
      <c r="AY121" s="247"/>
      <c r="AZ121" s="37"/>
      <c r="BA121" s="37"/>
      <c r="BB121" s="37"/>
      <c r="BC121" s="37"/>
      <c r="BD121" s="247"/>
      <c r="BE121" s="37"/>
      <c r="BF121" s="37"/>
      <c r="BG121" s="37"/>
      <c r="BH121" s="37"/>
      <c r="BI121" s="247"/>
      <c r="BJ121" s="37"/>
      <c r="BK121" s="37"/>
      <c r="BL121" s="37"/>
      <c r="BM121" s="37"/>
      <c r="BN121" s="247"/>
      <c r="BO121" s="37"/>
      <c r="BP121" s="37"/>
      <c r="BQ121" s="37"/>
      <c r="BR121" s="37"/>
      <c r="BS121" s="247"/>
      <c r="BT121" s="37"/>
      <c r="BU121" s="37"/>
      <c r="BV121" s="37"/>
      <c r="BW121" s="37"/>
      <c r="BX121" s="247"/>
      <c r="BY121" s="37"/>
      <c r="BZ121" s="37"/>
      <c r="CA121" s="37"/>
      <c r="CB121" s="37"/>
      <c r="CC121" s="247"/>
      <c r="CD121" s="37"/>
      <c r="CE121" s="37"/>
      <c r="CF121" s="37"/>
      <c r="CG121" s="37"/>
      <c r="CH121" s="247"/>
      <c r="CI121" s="37"/>
      <c r="CJ121" s="37"/>
      <c r="CK121" s="37"/>
      <c r="CL121" s="37"/>
      <c r="CM121" s="247"/>
      <c r="CN121" s="37"/>
      <c r="CO121" s="37"/>
      <c r="CP121" s="37"/>
      <c r="CQ121" s="37"/>
      <c r="CR121" s="105"/>
      <c r="CS121" s="37"/>
      <c r="CT121" s="37"/>
      <c r="CU121" s="37"/>
      <c r="CV121" s="37"/>
      <c r="CW121" s="105"/>
      <c r="CX121" s="37"/>
      <c r="CY121" s="37"/>
      <c r="CZ121" s="37"/>
      <c r="DA121" s="37"/>
      <c r="DB121" s="105"/>
      <c r="DC121" s="37">
        <f>(CY111+CZ111+DA111+DC111)+DC119+DC120</f>
        <v>1232.2719999999999</v>
      </c>
      <c r="DD121" s="37">
        <f>(CZ111+DA111+DC111+DD111)+DD119+DD120</f>
        <v>1058.2719999999999</v>
      </c>
      <c r="DE121" s="37">
        <f>(DA111+DC111+DD111+DE111)+DE119+DE120</f>
        <v>910.27199999999993</v>
      </c>
      <c r="DF121" s="37">
        <f>(DC111+DD111+DE111+DF111)+DF119+DF120</f>
        <v>841.27199999999993</v>
      </c>
      <c r="DG121" s="312">
        <f>DG111+DG119+DG120</f>
        <v>841.27199999999993</v>
      </c>
      <c r="DH121" s="37">
        <f>(DD111+DE111+DF111+DH111)+DH119+DH120</f>
        <v>814</v>
      </c>
      <c r="DI121" s="37">
        <f>(DE111+DF111+DH111+DI111)+DI119+DI120</f>
        <v>1039</v>
      </c>
      <c r="DJ121" s="37">
        <f>(DF111+DH111+DI111+DJ111)+DJ119+DJ120</f>
        <v>959</v>
      </c>
      <c r="DK121" s="37">
        <f>(DH111+DI111+DJ111+DK111)+DK119+DK120</f>
        <v>920</v>
      </c>
      <c r="DL121" s="312">
        <f>DL111+DL119+DL120</f>
        <v>920</v>
      </c>
      <c r="DM121" s="37">
        <f>(DI111+DJ111+DK111+DM111)+DM119+DM120</f>
        <v>1027</v>
      </c>
      <c r="DN121" s="37">
        <f>(DJ111+DK111+DM111+DN111)+DN119+DN120</f>
        <v>1027</v>
      </c>
      <c r="DO121" s="37">
        <f>(DK111+DM111+DN111+DO111)+DO119+DO120</f>
        <v>1258</v>
      </c>
      <c r="DP121" s="37">
        <f>(DM111+DN111+DO111+DP111)+DP119+DP120</f>
        <v>1531</v>
      </c>
      <c r="DQ121" s="312">
        <f>DQ111+DQ119+DQ120</f>
        <v>1531</v>
      </c>
      <c r="DR121" s="37">
        <f>(DN111+DO111+DP111+DR111)+DR119+DR120</f>
        <v>1649</v>
      </c>
      <c r="DS121" s="37">
        <f>(DO111+DP111+DR111+DS111)+DS119+DS120</f>
        <v>1980</v>
      </c>
      <c r="DT121" s="37">
        <f>(DP111+DR111+DS111+DT111)+DT119+DT120</f>
        <v>2194</v>
      </c>
      <c r="DU121" s="37">
        <f>(DR111+DS111+DT111+DU111)+DU119+DU120</f>
        <v>2451</v>
      </c>
      <c r="DV121" s="312">
        <f>DV111+DV119+DV120</f>
        <v>2451</v>
      </c>
      <c r="DW121" s="37">
        <f>(DS111+DT111+DU111+DW111)+DW119+DW120</f>
        <v>2960</v>
      </c>
      <c r="DX121" s="37">
        <f>(DT111+DU111+DW111+DX111)+DX119+DX120</f>
        <v>3278</v>
      </c>
      <c r="DY121" s="37">
        <f>(DU111+DW111+DX111+DY111)+DY119+DY120</f>
        <v>3654</v>
      </c>
      <c r="DZ121" s="37">
        <f>(DW111+DX111+DY111+DZ111)+DZ119+DZ120</f>
        <v>3947</v>
      </c>
      <c r="EA121" s="312">
        <f>EA111+EA119+EA120</f>
        <v>3947</v>
      </c>
      <c r="EB121" s="37">
        <f>(DX111+DY111+DZ111+EB111)+EB119+EB120</f>
        <v>4121</v>
      </c>
      <c r="EC121" s="37">
        <f>(DY111+DZ111+EB111+EC111)+EC119+EC120</f>
        <v>4216</v>
      </c>
      <c r="ED121" s="37">
        <f>(DZ111+EB111+EC111+ED111)+ED119+ED120</f>
        <v>4138</v>
      </c>
      <c r="EE121" s="37">
        <f>(EB111+EC111+ED111+EE111)+EE119+EE120</f>
        <v>3918</v>
      </c>
      <c r="EF121" s="312">
        <f>EF111+EF119+EF120</f>
        <v>3918</v>
      </c>
      <c r="EG121" s="37">
        <f>(EC111+ED111+EE111+EG111)+EG119+EG120</f>
        <v>3590</v>
      </c>
      <c r="EH121" s="37">
        <f>(ED111+EE111+EG111+EH111)+EH119+EH120</f>
        <v>3548</v>
      </c>
      <c r="EI121" s="37">
        <f>(EE111+EG111+EH111+EI111)+EI119+EI120</f>
        <v>3455</v>
      </c>
      <c r="EJ121" s="37">
        <f>(EG111+EH111+EI111+EJ111)+EJ119+EJ120</f>
        <v>3429</v>
      </c>
      <c r="EK121" s="312">
        <f>EK111+EK119+EK120</f>
        <v>3429</v>
      </c>
      <c r="EL121" s="37"/>
      <c r="EM121" s="37"/>
      <c r="EN121" s="37"/>
      <c r="EO121" s="37"/>
      <c r="EP121" s="312">
        <f>EP111+EP119+EP120</f>
        <v>3321</v>
      </c>
      <c r="EQ121" s="37">
        <f>(EM111+EN111+EO111+EQ111)+EQ119+EQ120</f>
        <v>3322.8190891474896</v>
      </c>
      <c r="ER121" s="37">
        <f>(EN111+EO111+EQ111+ER111)+ER119+ER120</f>
        <v>3308.2777640694949</v>
      </c>
      <c r="ES121" s="37">
        <f>(EO111+EQ111+ER111+ES111)+ES119+ES120</f>
        <v>3400.4752944858128</v>
      </c>
      <c r="ET121" s="37">
        <f>(EQ111+ER111+ES111+ET111)+ET119+ET120</f>
        <v>3597.912950803262</v>
      </c>
      <c r="EU121" s="312">
        <f>EU111+EU119+EU120</f>
        <v>3597.9129508032638</v>
      </c>
      <c r="EV121" s="37"/>
      <c r="EW121" s="37"/>
      <c r="EX121" s="37"/>
      <c r="EY121" s="37"/>
      <c r="EZ121" s="312">
        <f>EZ111+EZ119+EZ120</f>
        <v>4238.238724511426</v>
      </c>
      <c r="FA121" s="37"/>
      <c r="FB121" s="37"/>
      <c r="FC121" s="37"/>
      <c r="FD121" s="37"/>
      <c r="FE121" s="312">
        <f>FE111+FE119+FE120</f>
        <v>4806.0235559476787</v>
      </c>
      <c r="FF121" s="34"/>
      <c r="FG121" s="455"/>
      <c r="FL121" s="410"/>
      <c r="FM121" s="410"/>
      <c r="FN121" s="371"/>
      <c r="FO121" s="371"/>
      <c r="FP121" s="371"/>
      <c r="FQ121" s="371"/>
      <c r="FR121" s="371"/>
      <c r="FS121" s="371"/>
      <c r="FT121" s="190"/>
    </row>
    <row r="122" spans="1:184" ht="12.75" customHeight="1" x14ac:dyDescent="0.2">
      <c r="A122" s="80" t="s">
        <v>193</v>
      </c>
      <c r="B122" s="828"/>
      <c r="C122" s="828"/>
      <c r="D122" s="828"/>
      <c r="E122" s="828"/>
      <c r="F122" s="247"/>
      <c r="G122" s="828"/>
      <c r="H122" s="828"/>
      <c r="I122" s="828"/>
      <c r="J122" s="828"/>
      <c r="K122" s="247"/>
      <c r="L122" s="828"/>
      <c r="M122" s="828"/>
      <c r="N122" s="828"/>
      <c r="O122" s="828"/>
      <c r="P122" s="247"/>
      <c r="Q122" s="828"/>
      <c r="R122" s="828"/>
      <c r="S122" s="828"/>
      <c r="T122" s="828"/>
      <c r="U122" s="247"/>
      <c r="V122" s="828"/>
      <c r="W122" s="828"/>
      <c r="X122" s="828"/>
      <c r="Y122" s="828"/>
      <c r="Z122" s="247"/>
      <c r="AA122" s="828"/>
      <c r="AB122" s="828"/>
      <c r="AC122" s="828"/>
      <c r="AD122" s="828"/>
      <c r="AE122" s="247"/>
      <c r="AF122" s="828"/>
      <c r="AG122" s="828"/>
      <c r="AH122" s="828"/>
      <c r="AI122" s="828"/>
      <c r="AJ122" s="247"/>
      <c r="AK122" s="828"/>
      <c r="AL122" s="828"/>
      <c r="AM122" s="828"/>
      <c r="AN122" s="828"/>
      <c r="AO122" s="247"/>
      <c r="AP122" s="828"/>
      <c r="AQ122" s="828"/>
      <c r="AR122" s="828"/>
      <c r="AS122" s="828"/>
      <c r="AT122" s="247"/>
      <c r="AU122" s="828"/>
      <c r="AV122" s="828"/>
      <c r="AW122" s="828"/>
      <c r="AX122" s="828"/>
      <c r="AY122" s="247"/>
      <c r="AZ122" s="828"/>
      <c r="BA122" s="828"/>
      <c r="BB122" s="828"/>
      <c r="BC122" s="828"/>
      <c r="BD122" s="247"/>
      <c r="BE122" s="828"/>
      <c r="BF122" s="828"/>
      <c r="BG122" s="828"/>
      <c r="BH122" s="828"/>
      <c r="BI122" s="247"/>
      <c r="BJ122" s="828"/>
      <c r="BK122" s="828"/>
      <c r="BL122" s="828"/>
      <c r="BM122" s="828"/>
      <c r="BN122" s="247"/>
      <c r="BO122" s="828"/>
      <c r="BP122" s="828"/>
      <c r="BQ122" s="828"/>
      <c r="BR122" s="828"/>
      <c r="BS122" s="247"/>
      <c r="BT122" s="828"/>
      <c r="BU122" s="828"/>
      <c r="BV122" s="828"/>
      <c r="BW122" s="828"/>
      <c r="BX122" s="247"/>
      <c r="BY122" s="828"/>
      <c r="BZ122" s="828"/>
      <c r="CA122" s="828"/>
      <c r="CB122" s="828"/>
      <c r="CC122" s="247"/>
      <c r="CD122" s="828"/>
      <c r="CE122" s="828"/>
      <c r="CF122" s="828"/>
      <c r="CG122" s="828"/>
      <c r="CH122" s="247"/>
      <c r="CI122" s="828"/>
      <c r="CJ122" s="828"/>
      <c r="CK122" s="828"/>
      <c r="CL122" s="828"/>
      <c r="CM122" s="247"/>
      <c r="CN122" s="828"/>
      <c r="CO122" s="828"/>
      <c r="CP122" s="828"/>
      <c r="CQ122" s="828"/>
      <c r="CR122" s="105"/>
      <c r="CS122" s="828"/>
      <c r="CT122" s="828"/>
      <c r="CU122" s="828"/>
      <c r="CV122" s="828"/>
      <c r="CW122" s="105"/>
      <c r="CX122" s="828"/>
      <c r="CY122" s="828"/>
      <c r="CZ122" s="828"/>
      <c r="DA122" s="828"/>
      <c r="DB122" s="105"/>
      <c r="DC122" s="828">
        <v>10904</v>
      </c>
      <c r="DD122" s="828">
        <v>11575</v>
      </c>
      <c r="DE122" s="828">
        <v>12112</v>
      </c>
      <c r="DF122" s="828">
        <v>12623</v>
      </c>
      <c r="DG122" s="312">
        <f>DF122</f>
        <v>12623</v>
      </c>
      <c r="DH122" s="828">
        <v>12945</v>
      </c>
      <c r="DI122" s="828">
        <v>13277</v>
      </c>
      <c r="DJ122" s="828">
        <v>13019</v>
      </c>
      <c r="DK122" s="828">
        <v>12720</v>
      </c>
      <c r="DL122" s="312">
        <f>DK122</f>
        <v>12720</v>
      </c>
      <c r="DM122" s="828">
        <v>12359</v>
      </c>
      <c r="DN122" s="828">
        <v>12069</v>
      </c>
      <c r="DO122" s="828">
        <v>11850</v>
      </c>
      <c r="DP122" s="828">
        <v>11714</v>
      </c>
      <c r="DQ122" s="312">
        <f>DP122</f>
        <v>11714</v>
      </c>
      <c r="DR122" s="828">
        <v>11596</v>
      </c>
      <c r="DS122" s="828">
        <v>11556</v>
      </c>
      <c r="DT122" s="828">
        <v>11555</v>
      </c>
      <c r="DU122" s="828">
        <v>11574</v>
      </c>
      <c r="DV122" s="312">
        <f>DU122</f>
        <v>11574</v>
      </c>
      <c r="DW122" s="828">
        <v>11577</v>
      </c>
      <c r="DX122" s="828">
        <v>11669</v>
      </c>
      <c r="DY122" s="828">
        <v>11772</v>
      </c>
      <c r="DZ122" s="828">
        <v>12064</v>
      </c>
      <c r="EA122" s="312">
        <f>DZ122</f>
        <v>12064</v>
      </c>
      <c r="EB122" s="828">
        <v>12332</v>
      </c>
      <c r="EC122" s="828">
        <v>12596</v>
      </c>
      <c r="ED122" s="828">
        <v>12808</v>
      </c>
      <c r="EE122" s="828">
        <v>13038</v>
      </c>
      <c r="EF122" s="312">
        <f>EE122</f>
        <v>13038</v>
      </c>
      <c r="EG122" s="828">
        <v>12939</v>
      </c>
      <c r="EH122" s="828">
        <v>12899</v>
      </c>
      <c r="EI122" s="828">
        <v>12851</v>
      </c>
      <c r="EJ122" s="828">
        <v>13221</v>
      </c>
      <c r="EK122" s="312">
        <f>EJ122</f>
        <v>13221</v>
      </c>
      <c r="EL122" s="828">
        <v>12939</v>
      </c>
      <c r="EM122" s="828">
        <v>12899</v>
      </c>
      <c r="EN122" s="828">
        <v>12851</v>
      </c>
      <c r="EO122" s="828">
        <v>13221</v>
      </c>
      <c r="EP122" s="312">
        <f>EO122</f>
        <v>13221</v>
      </c>
      <c r="EQ122" s="37">
        <f>EO122+SUM(EQ274,EO274,EN274,EM274,EQ287,EO287,EN287,EM287)/5-SUM(EO274,EN274,EM274,EL274,EO287,EN287,EM287,EL287)/5</f>
        <v>13547.888179624102</v>
      </c>
      <c r="ER122" s="37">
        <f>EQ122+SUM(ER274,EQ274,EO274,EN274,ER287,EQ287,EO287,EN287)/5-SUM(EQ274,EO274,EN274,EM274,EQ287,EO287,EN287,EM287)/5</f>
        <v>13841.486072220676</v>
      </c>
      <c r="ES122" s="37">
        <f>ER122+SUM(ES274,ER274,EQ274,EO274,ES287,ER287,EQ287,EO287)/5-SUM(ER274,EQ274,EO274,EN274,ER287,EQ287,EO287,EN287)/5</f>
        <v>14089.509740281126</v>
      </c>
      <c r="ET122" s="37">
        <f>ES122+SUM(ET274,ES274,ER274,EQ274,ET287,ES287,ER287,EQ287)/5-SUM(ES274,ER274,EQ274,EO274,ES287,ER287,EQ287,EO287)/5</f>
        <v>14067.485966750448</v>
      </c>
      <c r="EU122" s="312">
        <f>EP122+SUM(EU274,EP274,EU287,EK287)/2-SUM(EP274,EK274,EK287,EF287)/2</f>
        <v>13765.9405661733</v>
      </c>
      <c r="EV122" s="37"/>
      <c r="EW122" s="37"/>
      <c r="EX122" s="37"/>
      <c r="EY122" s="37"/>
      <c r="EZ122" s="312">
        <f>EU122+SUM(EZ274,EU274,EZ287,EU287)/2-SUM(EU274,EG274,EU287,EG287)/2</f>
        <v>14505.430842665472</v>
      </c>
      <c r="FA122" s="37"/>
      <c r="FB122" s="37"/>
      <c r="FC122" s="37"/>
      <c r="FD122" s="37"/>
      <c r="FE122" s="312">
        <f>EZ122+SUM(FE274,EZ274,FE287,EZ287)/2-SUM(EZ274,EQ274,EZ287,EQ287)/2</f>
        <v>14445.323582810799</v>
      </c>
      <c r="FF122" s="34"/>
      <c r="FG122" s="455"/>
      <c r="FL122" s="416"/>
      <c r="FM122" s="410"/>
      <c r="FN122" s="371"/>
      <c r="FO122" s="371"/>
      <c r="FP122" s="371"/>
      <c r="FQ122" s="371"/>
      <c r="FR122" s="371"/>
      <c r="FS122" s="371"/>
      <c r="FT122" s="190"/>
    </row>
    <row r="123" spans="1:184" s="575" customFormat="1" ht="12.75" customHeight="1" x14ac:dyDescent="0.2">
      <c r="A123" s="567" t="s">
        <v>424</v>
      </c>
      <c r="B123" s="567"/>
      <c r="C123" s="567"/>
      <c r="D123" s="567"/>
      <c r="E123" s="567"/>
      <c r="F123" s="568"/>
      <c r="G123" s="567"/>
      <c r="H123" s="567"/>
      <c r="I123" s="567"/>
      <c r="J123" s="567"/>
      <c r="K123" s="568"/>
      <c r="L123" s="567"/>
      <c r="M123" s="567"/>
      <c r="N123" s="567"/>
      <c r="O123" s="567"/>
      <c r="P123" s="568"/>
      <c r="Q123" s="567"/>
      <c r="R123" s="567"/>
      <c r="S123" s="567"/>
      <c r="T123" s="567"/>
      <c r="U123" s="568"/>
      <c r="V123" s="567"/>
      <c r="W123" s="567"/>
      <c r="X123" s="567"/>
      <c r="Y123" s="567"/>
      <c r="Z123" s="568"/>
      <c r="AA123" s="567"/>
      <c r="AB123" s="567"/>
      <c r="AC123" s="567"/>
      <c r="AD123" s="567"/>
      <c r="AE123" s="568"/>
      <c r="AF123" s="567"/>
      <c r="AG123" s="567"/>
      <c r="AH123" s="567"/>
      <c r="AI123" s="567"/>
      <c r="AJ123" s="568"/>
      <c r="AK123" s="567"/>
      <c r="AL123" s="567"/>
      <c r="AM123" s="567"/>
      <c r="AN123" s="567"/>
      <c r="AO123" s="568"/>
      <c r="AP123" s="567"/>
      <c r="AQ123" s="567"/>
      <c r="AR123" s="567"/>
      <c r="AS123" s="567"/>
      <c r="AT123" s="568"/>
      <c r="AU123" s="567"/>
      <c r="AV123" s="567"/>
      <c r="AW123" s="567"/>
      <c r="AX123" s="567"/>
      <c r="AY123" s="568"/>
      <c r="AZ123" s="567"/>
      <c r="BA123" s="567"/>
      <c r="BB123" s="567"/>
      <c r="BC123" s="567"/>
      <c r="BD123" s="568"/>
      <c r="BE123" s="567"/>
      <c r="BF123" s="567"/>
      <c r="BG123" s="567"/>
      <c r="BH123" s="567"/>
      <c r="BI123" s="568"/>
      <c r="BJ123" s="567"/>
      <c r="BK123" s="567"/>
      <c r="BL123" s="567"/>
      <c r="BM123" s="567"/>
      <c r="BN123" s="568"/>
      <c r="BO123" s="567"/>
      <c r="BP123" s="567"/>
      <c r="BQ123" s="567"/>
      <c r="BR123" s="567"/>
      <c r="BS123" s="568"/>
      <c r="BT123" s="567"/>
      <c r="BU123" s="567"/>
      <c r="BV123" s="567"/>
      <c r="BW123" s="567"/>
      <c r="BX123" s="568"/>
      <c r="BY123" s="567"/>
      <c r="BZ123" s="567"/>
      <c r="CA123" s="567"/>
      <c r="CB123" s="567"/>
      <c r="CC123" s="568"/>
      <c r="CD123" s="567"/>
      <c r="CE123" s="567"/>
      <c r="CF123" s="567"/>
      <c r="CG123" s="567"/>
      <c r="CH123" s="568"/>
      <c r="CI123" s="567"/>
      <c r="CJ123" s="567"/>
      <c r="CK123" s="567"/>
      <c r="CL123" s="567"/>
      <c r="CM123" s="568"/>
      <c r="CN123" s="567"/>
      <c r="CO123" s="567"/>
      <c r="CP123" s="567"/>
      <c r="CQ123" s="567"/>
      <c r="CR123" s="569"/>
      <c r="CS123" s="567"/>
      <c r="CT123" s="567"/>
      <c r="CU123" s="567"/>
      <c r="CV123" s="567"/>
      <c r="CW123" s="569"/>
      <c r="CX123" s="567"/>
      <c r="CY123" s="567"/>
      <c r="CZ123" s="567"/>
      <c r="DA123" s="567"/>
      <c r="DB123" s="569"/>
      <c r="DC123" s="567">
        <f t="shared" ref="DC123:DS123" si="723">DC121/DC122</f>
        <v>0.11301100513572999</v>
      </c>
      <c r="DD123" s="567">
        <f t="shared" si="723"/>
        <v>9.1427386609071265E-2</v>
      </c>
      <c r="DE123" s="567">
        <f t="shared" si="723"/>
        <v>7.5154557463672389E-2</v>
      </c>
      <c r="DF123" s="567">
        <f t="shared" si="723"/>
        <v>6.664596371702447E-2</v>
      </c>
      <c r="DG123" s="569">
        <f t="shared" si="723"/>
        <v>6.664596371702447E-2</v>
      </c>
      <c r="DH123" s="567">
        <f t="shared" si="723"/>
        <v>6.2881421398223253E-2</v>
      </c>
      <c r="DI123" s="567">
        <f t="shared" si="723"/>
        <v>7.8255630036905929E-2</v>
      </c>
      <c r="DJ123" s="567">
        <f t="shared" si="723"/>
        <v>7.3661571549274135E-2</v>
      </c>
      <c r="DK123" s="567">
        <f t="shared" si="723"/>
        <v>7.2327044025157231E-2</v>
      </c>
      <c r="DL123" s="569">
        <f t="shared" si="723"/>
        <v>7.2327044025157231E-2</v>
      </c>
      <c r="DM123" s="567">
        <f t="shared" si="723"/>
        <v>8.3097337972327864E-2</v>
      </c>
      <c r="DN123" s="567">
        <f t="shared" si="723"/>
        <v>8.5094042588449742E-2</v>
      </c>
      <c r="DO123" s="567">
        <f t="shared" si="723"/>
        <v>0.10616033755274262</v>
      </c>
      <c r="DP123" s="567">
        <f t="shared" si="723"/>
        <v>0.13069830971487109</v>
      </c>
      <c r="DQ123" s="569">
        <f t="shared" si="723"/>
        <v>0.13069830971487109</v>
      </c>
      <c r="DR123" s="567">
        <f>DR121/DR122</f>
        <v>0.14220420834770611</v>
      </c>
      <c r="DS123" s="567">
        <f t="shared" si="723"/>
        <v>0.17133956386292834</v>
      </c>
      <c r="DT123" s="567">
        <f t="shared" ref="DT123:EA123" si="724">DT121/DT122</f>
        <v>0.18987451319774989</v>
      </c>
      <c r="DU123" s="567">
        <f t="shared" si="724"/>
        <v>0.21176775531363401</v>
      </c>
      <c r="DV123" s="569">
        <f t="shared" si="724"/>
        <v>0.21176775531363401</v>
      </c>
      <c r="DW123" s="567">
        <f t="shared" si="724"/>
        <v>0.25567936425671589</v>
      </c>
      <c r="DX123" s="567">
        <f t="shared" si="724"/>
        <v>0.28091524552232411</v>
      </c>
      <c r="DY123" s="567">
        <f t="shared" si="724"/>
        <v>0.31039755351681958</v>
      </c>
      <c r="DZ123" s="567">
        <f t="shared" si="724"/>
        <v>0.32717175066312998</v>
      </c>
      <c r="EA123" s="569">
        <f t="shared" si="724"/>
        <v>0.32717175066312998</v>
      </c>
      <c r="EB123" s="567">
        <f t="shared" ref="EB123:EK123" si="725">EB121/EB122</f>
        <v>0.33417126175802792</v>
      </c>
      <c r="EC123" s="567">
        <f t="shared" si="725"/>
        <v>0.33470943156557637</v>
      </c>
      <c r="ED123" s="567">
        <f t="shared" si="725"/>
        <v>0.3230793254216115</v>
      </c>
      <c r="EE123" s="567">
        <f t="shared" si="725"/>
        <v>0.30050621260929589</v>
      </c>
      <c r="EF123" s="569">
        <f t="shared" si="725"/>
        <v>0.30050621260929589</v>
      </c>
      <c r="EG123" s="567">
        <f t="shared" ref="EG123:EJ123" si="726">EG121/EG122</f>
        <v>0.27745575392225058</v>
      </c>
      <c r="EH123" s="567">
        <f t="shared" si="726"/>
        <v>0.27506008217691291</v>
      </c>
      <c r="EI123" s="567">
        <f t="shared" si="726"/>
        <v>0.26885067309936972</v>
      </c>
      <c r="EJ123" s="567">
        <f t="shared" si="726"/>
        <v>0.25936010891763106</v>
      </c>
      <c r="EK123" s="569">
        <f t="shared" si="725"/>
        <v>0.25936010891763106</v>
      </c>
      <c r="EL123" s="567"/>
      <c r="EM123" s="567"/>
      <c r="EN123" s="567"/>
      <c r="EO123" s="567"/>
      <c r="EP123" s="569"/>
      <c r="EQ123" s="567">
        <f t="shared" ref="EQ123" si="727">EQ121/EQ122</f>
        <v>0.24526472650881329</v>
      </c>
      <c r="ER123" s="567">
        <f t="shared" ref="ER123:EU123" si="728">ER121/ER122</f>
        <v>0.2390117467740028</v>
      </c>
      <c r="ES123" s="567">
        <f t="shared" si="728"/>
        <v>0.24134802112837486</v>
      </c>
      <c r="ET123" s="567">
        <f t="shared" si="728"/>
        <v>0.25576090563070031</v>
      </c>
      <c r="EU123" s="569">
        <f t="shared" si="728"/>
        <v>0.26136339420528409</v>
      </c>
      <c r="EV123" s="567"/>
      <c r="EW123" s="567"/>
      <c r="EX123" s="567"/>
      <c r="EY123" s="567"/>
      <c r="EZ123" s="569">
        <f t="shared" ref="EZ123" si="729">EZ121/EZ122</f>
        <v>0.29218289139301573</v>
      </c>
      <c r="FA123" s="567"/>
      <c r="FB123" s="567"/>
      <c r="FC123" s="567"/>
      <c r="FD123" s="567"/>
      <c r="FE123" s="569">
        <f t="shared" ref="FE123" si="730">FE121/FE122</f>
        <v>0.33270445818649591</v>
      </c>
      <c r="FF123" s="567"/>
      <c r="FG123" s="570"/>
      <c r="FH123" s="571"/>
      <c r="FI123" s="572"/>
      <c r="FJ123" s="572"/>
      <c r="FK123" s="572"/>
      <c r="FL123" s="416"/>
      <c r="FM123" s="389"/>
      <c r="FN123" s="389"/>
      <c r="FO123" s="389"/>
      <c r="FP123" s="389"/>
      <c r="FQ123" s="389"/>
      <c r="FR123" s="389"/>
      <c r="FS123" s="389"/>
      <c r="FT123" s="570"/>
      <c r="FU123"/>
      <c r="FV123"/>
      <c r="FW123"/>
      <c r="FX123"/>
      <c r="FY123"/>
      <c r="FZ123"/>
      <c r="GA123" s="573"/>
      <c r="GB123" s="574"/>
    </row>
    <row r="124" spans="1:184" s="6" customFormat="1" ht="12.75" customHeight="1" x14ac:dyDescent="0.2">
      <c r="A124" s="6" t="s">
        <v>367</v>
      </c>
      <c r="F124" s="101"/>
      <c r="K124" s="101"/>
      <c r="P124" s="101"/>
      <c r="U124" s="101"/>
      <c r="Z124" s="101"/>
      <c r="AE124" s="101"/>
      <c r="AJ124" s="101"/>
      <c r="AO124" s="101"/>
      <c r="AT124" s="101"/>
      <c r="AY124" s="101"/>
      <c r="BD124" s="101"/>
      <c r="BI124" s="101"/>
      <c r="BN124" s="101"/>
      <c r="BS124" s="101"/>
      <c r="BX124" s="101"/>
      <c r="CC124" s="101"/>
      <c r="CH124" s="101"/>
      <c r="CM124" s="101"/>
      <c r="CR124" s="101"/>
      <c r="CW124" s="101"/>
      <c r="DB124" s="101"/>
      <c r="DG124" s="101"/>
      <c r="DL124" s="101"/>
      <c r="DQ124" s="101"/>
      <c r="DV124" s="101"/>
      <c r="EA124" s="101"/>
      <c r="EF124" s="101"/>
      <c r="EK124" s="101"/>
      <c r="EP124" s="101"/>
      <c r="EU124" s="101"/>
      <c r="EZ124" s="101"/>
      <c r="FE124" s="101"/>
      <c r="FF124" s="336"/>
      <c r="FH124" s="346"/>
      <c r="FI124" s="336"/>
      <c r="FJ124" s="336"/>
      <c r="FK124" s="336"/>
      <c r="FL124" s="412"/>
      <c r="FM124" s="416"/>
      <c r="FN124" s="373"/>
      <c r="FO124" s="373"/>
      <c r="FP124" s="373"/>
      <c r="FQ124" s="373"/>
      <c r="FR124" s="373"/>
      <c r="FS124" s="373"/>
      <c r="FU124"/>
      <c r="FV124"/>
      <c r="FW124"/>
      <c r="FX124"/>
      <c r="FY124"/>
      <c r="FZ124"/>
      <c r="GA124" s="341"/>
    </row>
    <row r="125" spans="1:184" s="7" customFormat="1" ht="12.75" customHeight="1" x14ac:dyDescent="0.2">
      <c r="A125" s="7" t="s">
        <v>26</v>
      </c>
      <c r="F125" s="99"/>
      <c r="K125" s="99"/>
      <c r="P125" s="99"/>
      <c r="U125" s="99"/>
      <c r="Z125" s="99"/>
      <c r="AE125" s="99"/>
      <c r="AJ125" s="99"/>
      <c r="AO125" s="99"/>
      <c r="AT125" s="99"/>
      <c r="AY125" s="99"/>
      <c r="BD125" s="99"/>
      <c r="BI125" s="99"/>
      <c r="BN125" s="99"/>
      <c r="BS125" s="99"/>
      <c r="BX125" s="99"/>
      <c r="CC125" s="99"/>
      <c r="CH125" s="99"/>
      <c r="CM125" s="99"/>
      <c r="CR125" s="99"/>
      <c r="CW125" s="99"/>
      <c r="DB125" s="99"/>
      <c r="DG125" s="99"/>
      <c r="DL125" s="99"/>
      <c r="DQ125" s="99"/>
      <c r="DV125" s="99"/>
      <c r="EA125" s="99"/>
      <c r="EF125" s="99"/>
      <c r="EK125" s="99"/>
      <c r="EP125" s="99"/>
      <c r="EU125" s="99"/>
      <c r="EZ125" s="99"/>
      <c r="FE125" s="99"/>
      <c r="FF125" s="336"/>
      <c r="FG125" s="6"/>
      <c r="FH125" s="346"/>
      <c r="FI125" s="336"/>
      <c r="FJ125" s="336"/>
      <c r="FK125" s="336"/>
      <c r="FL125" s="412"/>
      <c r="FM125" s="412"/>
      <c r="FN125" s="373"/>
      <c r="FO125" s="373"/>
      <c r="FP125" s="373"/>
      <c r="FQ125" s="373"/>
      <c r="FR125" s="373"/>
      <c r="FS125" s="373"/>
      <c r="FT125" s="6"/>
      <c r="FU125"/>
      <c r="FV125"/>
      <c r="FW125"/>
      <c r="FX125"/>
      <c r="FY125"/>
      <c r="FZ125"/>
      <c r="GA125" s="341"/>
    </row>
    <row r="126" spans="1:184" ht="12.75" customHeight="1" x14ac:dyDescent="0.2">
      <c r="A126" s="65" t="s">
        <v>27</v>
      </c>
      <c r="B126" s="166"/>
      <c r="C126" s="166"/>
      <c r="D126" s="166"/>
      <c r="E126" s="166"/>
      <c r="F126" s="264"/>
      <c r="G126" s="166"/>
      <c r="H126" s="166"/>
      <c r="I126" s="166"/>
      <c r="J126" s="166"/>
      <c r="K126" s="264"/>
      <c r="L126" s="166"/>
      <c r="M126" s="166"/>
      <c r="N126" s="166"/>
      <c r="O126" s="166"/>
      <c r="P126" s="264"/>
      <c r="Q126" s="166"/>
      <c r="R126" s="166"/>
      <c r="S126" s="166"/>
      <c r="T126" s="166"/>
      <c r="U126" s="264"/>
      <c r="V126" s="166"/>
      <c r="W126" s="166"/>
      <c r="X126" s="166"/>
      <c r="Y126" s="166"/>
      <c r="Z126" s="264"/>
      <c r="AA126" s="166"/>
      <c r="AB126" s="166"/>
      <c r="AC126" s="166"/>
      <c r="AD126" s="166"/>
      <c r="AE126" s="264"/>
      <c r="AF126" s="166"/>
      <c r="AG126" s="166"/>
      <c r="AH126" s="166"/>
      <c r="AI126" s="166"/>
      <c r="AJ126" s="264"/>
      <c r="AK126" s="166"/>
      <c r="AL126" s="166"/>
      <c r="AM126" s="166"/>
      <c r="AN126" s="166"/>
      <c r="AO126" s="264"/>
      <c r="AP126" s="166"/>
      <c r="AQ126" s="166"/>
      <c r="AR126" s="166"/>
      <c r="AS126" s="166"/>
      <c r="AT126" s="264"/>
      <c r="AU126" s="166"/>
      <c r="AV126" s="166"/>
      <c r="AW126" s="166"/>
      <c r="AX126" s="166"/>
      <c r="AY126" s="264"/>
      <c r="AZ126" s="166"/>
      <c r="BA126" s="166"/>
      <c r="BB126" s="166"/>
      <c r="BC126" s="166"/>
      <c r="BD126" s="264"/>
      <c r="BE126" s="166"/>
      <c r="BF126" s="166"/>
      <c r="BG126" s="166"/>
      <c r="BH126" s="166"/>
      <c r="BI126" s="264"/>
      <c r="BJ126" s="166"/>
      <c r="BK126" s="166"/>
      <c r="BL126" s="166"/>
      <c r="BM126" s="166"/>
      <c r="BN126" s="264"/>
      <c r="BO126" s="166"/>
      <c r="BP126" s="166"/>
      <c r="BQ126" s="166"/>
      <c r="BR126" s="166"/>
      <c r="BS126" s="264"/>
      <c r="BT126" s="166"/>
      <c r="BU126" s="166"/>
      <c r="BV126" s="166"/>
      <c r="BW126" s="166"/>
      <c r="BX126" s="264"/>
      <c r="BY126" s="166"/>
      <c r="BZ126" s="166"/>
      <c r="CA126" s="166"/>
      <c r="CB126" s="166"/>
      <c r="CC126" s="264">
        <f>(CC248+BX248)/2</f>
        <v>1813.3519999999999</v>
      </c>
      <c r="CD126" s="166"/>
      <c r="CE126" s="166"/>
      <c r="CF126" s="166"/>
      <c r="CG126" s="166"/>
      <c r="CH126" s="264">
        <f>(CH248+CC248)/2</f>
        <v>2145.3519999999999</v>
      </c>
      <c r="CI126" s="166">
        <f>(CI248+CH248)/2</f>
        <v>1846.3519999999999</v>
      </c>
      <c r="CJ126" s="166">
        <f>(CJ248+CI248)/2</f>
        <v>2023.8519999999999</v>
      </c>
      <c r="CK126" s="166">
        <f>(CK248+CJ248)/2</f>
        <v>1835.8519999999999</v>
      </c>
      <c r="CL126" s="166">
        <f>(CL248+CK248)/2</f>
        <v>2168.3519999999999</v>
      </c>
      <c r="CM126" s="264">
        <f>(CM248+CH248)/2</f>
        <v>2269.3519999999999</v>
      </c>
      <c r="CN126" s="166">
        <f>(CN248+CM248)/2</f>
        <v>2950.8519999999999</v>
      </c>
      <c r="CO126" s="166">
        <f>(CO248+CN248)/2</f>
        <v>4480.3519999999999</v>
      </c>
      <c r="CP126" s="166">
        <f>(CP248+CO248)/2</f>
        <v>4634.8519999999999</v>
      </c>
      <c r="CQ126" s="166">
        <f>(CQ248+CP248)/2</f>
        <v>2617.3519999999999</v>
      </c>
      <c r="CR126" s="264">
        <f>(CR248+CM248)/2</f>
        <v>2291.3519999999999</v>
      </c>
      <c r="CS126" s="166">
        <f>(CS248+CR248)/2</f>
        <v>2161.0140000000001</v>
      </c>
      <c r="CT126" s="166">
        <f>(CT248+CS248)/2</f>
        <v>2551.9224999999997</v>
      </c>
      <c r="CU126" s="166">
        <f>(CU248+CT248)/2</f>
        <v>2623.8809999999999</v>
      </c>
      <c r="CV126" s="166">
        <f>(CV248+CU248)/2</f>
        <v>2900.1134999999999</v>
      </c>
      <c r="CW126" s="264">
        <f>(CW248+CR248)/2</f>
        <v>2470.4929999999999</v>
      </c>
      <c r="CX126" s="166">
        <f>(CX248+CW248)/2</f>
        <v>3222.7345</v>
      </c>
      <c r="CY126" s="166">
        <f>(CY248+CX248)/2</f>
        <v>3483.7664999999997</v>
      </c>
      <c r="CZ126" s="166">
        <f>(CZ248+CY248)/2</f>
        <v>3731.7780000000002</v>
      </c>
      <c r="DA126" s="166">
        <f>(DA248+CZ248)/2</f>
        <v>3898.0875000000001</v>
      </c>
      <c r="DB126" s="267">
        <f>(DB248+CW248)/2</f>
        <v>3564.9755</v>
      </c>
      <c r="DC126" s="166">
        <f>(DC248+DB248)/2</f>
        <v>4228.6869999999999</v>
      </c>
      <c r="DD126" s="166">
        <f>(DD248+DC248)/2</f>
        <v>4419.5569999999998</v>
      </c>
      <c r="DE126" s="166">
        <f>(DE248+DD248)/2</f>
        <v>4015.0569999999998</v>
      </c>
      <c r="DF126" s="166">
        <f>(DF248+DE248)/2</f>
        <v>3400.0569999999998</v>
      </c>
      <c r="DG126" s="267">
        <f>(DG248+DB248)/2</f>
        <v>3568.1869999999999</v>
      </c>
      <c r="DH126" s="166">
        <f>(DH248+DG248)/2</f>
        <v>3464.0569999999998</v>
      </c>
      <c r="DI126" s="166">
        <f>(DI248+DH248)/2</f>
        <v>3520.0569999999998</v>
      </c>
      <c r="DJ126" s="166">
        <f>(DJ248+DI248)/2</f>
        <v>3245.5569999999998</v>
      </c>
      <c r="DK126" s="166">
        <f>(DK248+DJ248)/2</f>
        <v>3102.5569999999998</v>
      </c>
      <c r="DL126" s="267">
        <f>(DL248+DG248)/2</f>
        <v>3057.0569999999998</v>
      </c>
      <c r="DM126" s="166">
        <f>(DM248+DL248)/2</f>
        <v>3052.5569999999998</v>
      </c>
      <c r="DN126" s="166">
        <f>(DN248+DM248)/2</f>
        <v>3264.0569999999998</v>
      </c>
      <c r="DO126" s="166">
        <f>(DO248+DN248)/2</f>
        <v>3360.5569999999998</v>
      </c>
      <c r="DP126" s="166">
        <f>(DP248+DO248)/2</f>
        <v>3240.0569999999998</v>
      </c>
      <c r="DQ126" s="267">
        <f>(DQ248+DL248)/2</f>
        <v>3061.0569999999998</v>
      </c>
      <c r="DR126" s="166">
        <f>(DR248+DQ248)/2</f>
        <v>3325.0569999999998</v>
      </c>
      <c r="DS126" s="166">
        <f>(DS248+DR248)/2</f>
        <v>3746.0569999999998</v>
      </c>
      <c r="DT126" s="166">
        <f>(DT248+DS248)/2</f>
        <v>3777.0569999999998</v>
      </c>
      <c r="DU126" s="166">
        <f>(DU248+DT248)/2</f>
        <v>3274.0569999999998</v>
      </c>
      <c r="DV126" s="267">
        <f>(DV248+DQ248)/2</f>
        <v>3070.0569999999998</v>
      </c>
      <c r="DW126" s="166">
        <f>(DW248+DV248)/2</f>
        <v>3213.0569999999998</v>
      </c>
      <c r="DX126" s="166">
        <f>(DX248+DW248)/2</f>
        <v>3285.0569999999998</v>
      </c>
      <c r="DY126" s="166">
        <f>(DY248+DX248)/2</f>
        <v>3114.0569999999998</v>
      </c>
      <c r="DZ126" s="166">
        <f>(DZ248+DY248)/2</f>
        <v>3073.5569999999998</v>
      </c>
      <c r="EA126" s="267">
        <f>(EA248+DV248)/2</f>
        <v>3019.5569999999998</v>
      </c>
      <c r="EB126" s="166">
        <f>(EB248+EA248)/2</f>
        <v>3316.5569999999998</v>
      </c>
      <c r="EC126" s="166">
        <f>(EC248+EB248)/2</f>
        <v>3498.5569999999998</v>
      </c>
      <c r="ED126" s="166">
        <f>(ED248+EC248)/2</f>
        <v>3430.5569999999998</v>
      </c>
      <c r="EE126" s="166">
        <f>(EE248+ED248)/2</f>
        <v>3375.5569999999998</v>
      </c>
      <c r="EF126" s="267">
        <f>(EF248+EA248)/2</f>
        <v>3178.0569999999998</v>
      </c>
      <c r="EG126" s="166">
        <f>(EG248+EF248)/2</f>
        <v>3393.5569999999998</v>
      </c>
      <c r="EH126" s="166">
        <f>(EH248+EG248)/2</f>
        <v>3317.0569999999998</v>
      </c>
      <c r="EI126" s="166">
        <f>(EI248+EH248)/2</f>
        <v>3096.0569999999998</v>
      </c>
      <c r="EJ126" s="166">
        <f>(EJ248+EI248)/2</f>
        <v>3156.5569999999998</v>
      </c>
      <c r="EK126" s="267">
        <f>(EK248+EF248)/2</f>
        <v>3289.0569999999998</v>
      </c>
      <c r="EL126" s="166">
        <f>(EL248+EK248)/2</f>
        <v>3377.5569999999998</v>
      </c>
      <c r="EM126" s="166">
        <f>(EM248+EL248)/2</f>
        <v>3317.0569999999998</v>
      </c>
      <c r="EN126" s="166">
        <f>(EN248+EM248)/2</f>
        <v>3096.0569999999998</v>
      </c>
      <c r="EO126" s="166">
        <f>(EO248+EN248)/2</f>
        <v>3156.5569999999998</v>
      </c>
      <c r="EP126" s="267">
        <f>(EP248+EK248)/2</f>
        <v>3273.0569999999998</v>
      </c>
      <c r="EQ126" s="166">
        <f>(EQ248+EP248)/2</f>
        <v>3907.2839544023209</v>
      </c>
      <c r="ER126" s="166">
        <f>(ER248+EQ248)/2</f>
        <v>4410.46310607347</v>
      </c>
      <c r="ES126" s="166">
        <f t="shared" ref="ES126:ET126" si="731">(ES248+ER248)/2</f>
        <v>4186.6550708243794</v>
      </c>
      <c r="ET126" s="166">
        <f t="shared" si="731"/>
        <v>3607.1870127033194</v>
      </c>
      <c r="EU126" s="267">
        <f>(EU248+EP248)/2</f>
        <v>3196.7680935500885</v>
      </c>
      <c r="EV126" s="166"/>
      <c r="EW126" s="166"/>
      <c r="EX126" s="166"/>
      <c r="EY126" s="166"/>
      <c r="EZ126" s="267">
        <f>(EZ248+EU248)/2</f>
        <v>2965.6767673270033</v>
      </c>
      <c r="FA126" s="166"/>
      <c r="FB126" s="166"/>
      <c r="FC126" s="166"/>
      <c r="FD126" s="166"/>
      <c r="FE126" s="267">
        <f>(FE248+EZ248)/2</f>
        <v>2902.5902592867278</v>
      </c>
      <c r="FF126" s="167"/>
      <c r="FG126" s="456"/>
      <c r="FL126" s="427"/>
      <c r="FM126" s="427"/>
      <c r="FN126" s="386"/>
      <c r="FO126" s="386"/>
      <c r="FP126" s="386"/>
      <c r="FQ126" s="386"/>
      <c r="FR126" s="386"/>
      <c r="FS126" s="386"/>
      <c r="FT126" s="470"/>
    </row>
    <row r="127" spans="1:184" ht="12.75" customHeight="1" x14ac:dyDescent="0.2">
      <c r="A127" s="66" t="s">
        <v>119</v>
      </c>
      <c r="B127" s="43"/>
      <c r="C127" s="43"/>
      <c r="D127" s="43"/>
      <c r="E127" s="43"/>
      <c r="F127" s="244"/>
      <c r="G127" s="43"/>
      <c r="H127" s="43"/>
      <c r="I127" s="43"/>
      <c r="J127" s="43"/>
      <c r="K127" s="244"/>
      <c r="L127" s="43"/>
      <c r="M127" s="43"/>
      <c r="N127" s="43"/>
      <c r="O127" s="43"/>
      <c r="P127" s="244"/>
      <c r="Q127" s="43"/>
      <c r="R127" s="43"/>
      <c r="S127" s="43"/>
      <c r="T127" s="43"/>
      <c r="U127" s="244"/>
      <c r="V127" s="43"/>
      <c r="W127" s="43"/>
      <c r="X127" s="43"/>
      <c r="Y127" s="43"/>
      <c r="Z127" s="244"/>
      <c r="AA127" s="43"/>
      <c r="AB127" s="43"/>
      <c r="AC127" s="43"/>
      <c r="AD127" s="43"/>
      <c r="AE127" s="244"/>
      <c r="AF127" s="43"/>
      <c r="AG127" s="43"/>
      <c r="AH127" s="43"/>
      <c r="AI127" s="43"/>
      <c r="AJ127" s="244"/>
      <c r="AK127" s="43"/>
      <c r="AL127" s="43"/>
      <c r="AM127" s="43"/>
      <c r="AN127" s="43"/>
      <c r="AO127" s="244"/>
      <c r="AP127" s="43"/>
      <c r="AQ127" s="43"/>
      <c r="AR127" s="43"/>
      <c r="AS127" s="43"/>
      <c r="AT127" s="244"/>
      <c r="AU127" s="43"/>
      <c r="AV127" s="43"/>
      <c r="AW127" s="43"/>
      <c r="AX127" s="43"/>
      <c r="AY127" s="244"/>
      <c r="AZ127" s="43"/>
      <c r="BA127" s="43"/>
      <c r="BB127" s="43"/>
      <c r="BC127" s="43"/>
      <c r="BD127" s="244"/>
      <c r="BE127" s="43"/>
      <c r="BF127" s="43"/>
      <c r="BG127" s="43"/>
      <c r="BH127" s="43"/>
      <c r="BI127" s="244"/>
      <c r="BJ127" s="43"/>
      <c r="BK127" s="43"/>
      <c r="BL127" s="43"/>
      <c r="BM127" s="43"/>
      <c r="BN127" s="244"/>
      <c r="BO127" s="43"/>
      <c r="BP127" s="43"/>
      <c r="BQ127" s="43"/>
      <c r="BR127" s="43"/>
      <c r="BS127" s="244"/>
      <c r="BT127" s="43"/>
      <c r="BU127" s="43"/>
      <c r="BV127" s="43"/>
      <c r="BW127" s="43"/>
      <c r="BX127" s="244"/>
      <c r="BY127" s="43"/>
      <c r="BZ127" s="43"/>
      <c r="CA127" s="43"/>
      <c r="CB127" s="43"/>
      <c r="CC127" s="244">
        <f>CC129/CC126</f>
        <v>2.5367385923968432E-2</v>
      </c>
      <c r="CD127" s="43"/>
      <c r="CE127" s="43"/>
      <c r="CF127" s="43"/>
      <c r="CG127" s="43"/>
      <c r="CH127" s="244">
        <f>CH129/CH126</f>
        <v>3.915441382113518E-2</v>
      </c>
      <c r="CI127" s="43">
        <f>(CI129*4)/CI126</f>
        <v>2.8163643768902138E-2</v>
      </c>
      <c r="CJ127" s="43">
        <f>(CJ129*4)/CJ126</f>
        <v>2.7670007490666317E-2</v>
      </c>
      <c r="CK127" s="43">
        <f>(CK129*4)/CK126</f>
        <v>1.9609423853338942E-2</v>
      </c>
      <c r="CL127" s="43">
        <f>(CL129*4)/CL126</f>
        <v>1.4757751508980092E-2</v>
      </c>
      <c r="CM127" s="244">
        <f>CM129/CM126</f>
        <v>1.9388794686765212E-2</v>
      </c>
      <c r="CN127" s="43">
        <f>(CN129*4)/CN126</f>
        <v>9.4887849339783913E-3</v>
      </c>
      <c r="CO127" s="43">
        <f>(CO129*4)/CO126</f>
        <v>4.4639349765375575E-3</v>
      </c>
      <c r="CP127" s="43">
        <f>(CP129*4)/CP126</f>
        <v>6.0411853496077118E-3</v>
      </c>
      <c r="CQ127" s="43">
        <f>(CQ129*4)/CQ126</f>
        <v>1.0697835063835511E-2</v>
      </c>
      <c r="CR127" s="244">
        <f>CR129/CR126</f>
        <v>1.1347012593438285E-2</v>
      </c>
      <c r="CS127" s="43">
        <f>(CS129*4)/CS126</f>
        <v>8.6588980913589637E-3</v>
      </c>
      <c r="CT127" s="43">
        <f>(CT129*4)/CT126</f>
        <v>5.7979817177049855E-3</v>
      </c>
      <c r="CU127" s="43">
        <f>(CU129*4)/CU126</f>
        <v>1.0419679855908101E-2</v>
      </c>
      <c r="CV127" s="43">
        <f>(CV129*4)/CV126</f>
        <v>4.8136047089191517E-3</v>
      </c>
      <c r="CW127" s="244">
        <f>CW129/CW126</f>
        <v>7.5701489540751579E-3</v>
      </c>
      <c r="CX127" s="43">
        <f>(CX129*4)/CX126</f>
        <v>4.3776488568946651E-3</v>
      </c>
      <c r="CY127" s="43">
        <f>(CY129*4)/CY126</f>
        <v>5.2965662308309125E-3</v>
      </c>
      <c r="CZ127" s="43">
        <f>(CZ129*4)/CZ126</f>
        <v>2.703269058341627E-3</v>
      </c>
      <c r="DA127" s="43">
        <f>(DA129*4)/DA126</f>
        <v>3.4365570295689877E-3</v>
      </c>
      <c r="DB127" s="244">
        <f>DB129/DB126</f>
        <v>3.9301812873608812E-3</v>
      </c>
      <c r="DC127" s="43">
        <f>(DC129*4)/DC126</f>
        <v>3.1101852655446003E-3</v>
      </c>
      <c r="DD127" s="43">
        <f>(DD129*4)/DD126</f>
        <v>2.7152042614225816E-3</v>
      </c>
      <c r="DE127" s="43">
        <f>(DE129*4)/DE126</f>
        <v>9.9624986644025228E-4</v>
      </c>
      <c r="DF127" s="43">
        <f>(DF129*4)/DF126</f>
        <v>2.3529017307651022E-3</v>
      </c>
      <c r="DG127" s="244">
        <f>DG129/DG126</f>
        <v>2.6030025892701254E-3</v>
      </c>
      <c r="DH127" s="43">
        <f>(DH129*4)/DH126</f>
        <v>2.3094308205667516E-3</v>
      </c>
      <c r="DI127" s="43">
        <f>(DI129*4)/DI126</f>
        <v>2.2726904706372652E-3</v>
      </c>
      <c r="DJ127" s="43">
        <f>(DJ129*4)/DJ126</f>
        <v>2.4649081806297039E-3</v>
      </c>
      <c r="DK127" s="43">
        <f>(DK129*4)/DK126</f>
        <v>2.5785182995832151E-3</v>
      </c>
      <c r="DL127" s="244">
        <f>DL129/DL126</f>
        <v>2.6168959231051303E-3</v>
      </c>
      <c r="DM127" s="43">
        <f>(DM129*4)/DM126</f>
        <v>2.6207536828960114E-3</v>
      </c>
      <c r="DN127" s="43">
        <f>(DN129*4)/DN126</f>
        <v>2.4509375908570224E-3</v>
      </c>
      <c r="DO127" s="43">
        <f>(DO129*4)/DO126</f>
        <v>1.1902788734129491E-3</v>
      </c>
      <c r="DP127" s="43">
        <f>(DP129*4)/DP126</f>
        <v>1.2345461823665448E-3</v>
      </c>
      <c r="DQ127" s="244">
        <f>DQ129/DQ126</f>
        <v>1.9601072440010104E-3</v>
      </c>
      <c r="DR127" s="43">
        <f>(DR129*4)/DR126</f>
        <v>2.4059737923289738E-3</v>
      </c>
      <c r="DS127" s="43">
        <f>(DS129*4)/DS126</f>
        <v>2.1355788232800517E-3</v>
      </c>
      <c r="DT127" s="43">
        <f>(DT129*4)/DT126</f>
        <v>2.1180511705277418E-3</v>
      </c>
      <c r="DU127" s="43">
        <f>(DU129*4)/DU126</f>
        <v>1.2217258282308464E-3</v>
      </c>
      <c r="DV127" s="244">
        <f>DV129/DV126</f>
        <v>2.280087959278932E-3</v>
      </c>
      <c r="DW127" s="43">
        <f>(DW129*4)/DW126</f>
        <v>1.2449203359915495E-3</v>
      </c>
      <c r="DX127" s="43">
        <f>(DX129*4)/DX126</f>
        <v>2.4352697685306526E-3</v>
      </c>
      <c r="DY127" s="43">
        <f>(DY129*4)/DY126</f>
        <v>2.5689960074590803E-3</v>
      </c>
      <c r="DZ127" s="43">
        <f>(DZ129*4)/DZ126</f>
        <v>5.2056949000783134E-3</v>
      </c>
      <c r="EA127" s="244">
        <f>EA129/EA126</f>
        <v>2.9805696663450965E-3</v>
      </c>
      <c r="EB127" s="43">
        <f>(EB129*4)/EB126</f>
        <v>6.030350149266242E-3</v>
      </c>
      <c r="EC127" s="43">
        <f>(EC129*4)/EC126</f>
        <v>6.8599711252382055E-3</v>
      </c>
      <c r="ED127" s="43">
        <f>(ED129*4)/ED126</f>
        <v>6.9959484713415345E-3</v>
      </c>
      <c r="EE127" s="43">
        <f>(EE129*4)/EE126</f>
        <v>8.2949273260679648E-3</v>
      </c>
      <c r="EF127" s="244">
        <f>EF129/EF126</f>
        <v>7.5517839988395426E-3</v>
      </c>
      <c r="EG127" s="43">
        <f>(EG129*4)/EG126</f>
        <v>8.2509296292945719E-3</v>
      </c>
      <c r="EH127" s="43">
        <f>(EH129*4)/EH126</f>
        <v>9.6471058531704471E-3</v>
      </c>
      <c r="EI127" s="43">
        <f>(EI129*4)/EI126</f>
        <v>1.1627692901002792E-2</v>
      </c>
      <c r="EJ127" s="43">
        <f>(EJ129*4)/EJ126</f>
        <v>1.3939238226966915E-2</v>
      </c>
      <c r="EK127" s="244">
        <f>EK129/EK126</f>
        <v>1.0641347960828895E-2</v>
      </c>
      <c r="EL127" s="43">
        <f>(EL129*4)/EL126</f>
        <v>8.2900155348969683E-3</v>
      </c>
      <c r="EM127" s="43">
        <f>(EM129*4)/EM126</f>
        <v>9.6471058531704471E-3</v>
      </c>
      <c r="EN127" s="43">
        <f>(EN129*4)/EN126</f>
        <v>1.1627692901002792E-2</v>
      </c>
      <c r="EO127" s="43">
        <f>(EO129*4)/EO126</f>
        <v>1.3939238226966915E-2</v>
      </c>
      <c r="EP127" s="244">
        <f>EP129/EP126</f>
        <v>1.0693367087710359E-2</v>
      </c>
      <c r="EQ127" s="43">
        <f t="shared" ref="EQ127" si="732">(EQ129*4)/EQ126</f>
        <v>1.2284748321380276E-2</v>
      </c>
      <c r="ER127" s="43">
        <f t="shared" ref="ER127:ET127" si="733">(ER129*4)/ER126</f>
        <v>1.269707934363733E-2</v>
      </c>
      <c r="ES127" s="43">
        <f t="shared" si="733"/>
        <v>1.2420416566526668E-2</v>
      </c>
      <c r="ET127" s="43">
        <f t="shared" si="733"/>
        <v>1.3306767802988832E-2</v>
      </c>
      <c r="EU127" s="244">
        <f>EU129/EU126</f>
        <v>1.5953612682414901E-2</v>
      </c>
      <c r="EV127" s="43"/>
      <c r="EW127" s="43"/>
      <c r="EX127" s="43"/>
      <c r="EY127" s="43"/>
      <c r="EZ127" s="360">
        <f>EU127</f>
        <v>1.5953612682414901E-2</v>
      </c>
      <c r="FA127" s="43"/>
      <c r="FB127" s="43"/>
      <c r="FC127" s="43"/>
      <c r="FD127" s="43"/>
      <c r="FE127" s="360">
        <f>EZ127</f>
        <v>1.5953612682414901E-2</v>
      </c>
      <c r="FF127" s="133"/>
      <c r="FG127" s="437"/>
      <c r="FL127" s="408"/>
      <c r="FM127" s="408"/>
      <c r="FN127" s="369"/>
      <c r="FO127" s="369"/>
      <c r="FP127" s="369"/>
      <c r="FQ127" s="369"/>
      <c r="FR127" s="369"/>
      <c r="FS127" s="369"/>
      <c r="FT127" s="468"/>
    </row>
    <row r="128" spans="1:184" ht="12.75" customHeight="1" x14ac:dyDescent="0.2">
      <c r="A128" s="67" t="s">
        <v>71</v>
      </c>
      <c r="B128" s="171"/>
      <c r="C128" s="171"/>
      <c r="D128" s="171"/>
      <c r="E128" s="171"/>
      <c r="F128" s="265"/>
      <c r="G128" s="171"/>
      <c r="H128" s="171"/>
      <c r="I128" s="171"/>
      <c r="J128" s="171"/>
      <c r="K128" s="265"/>
      <c r="L128" s="171"/>
      <c r="M128" s="171"/>
      <c r="N128" s="171"/>
      <c r="O128" s="171"/>
      <c r="P128" s="265"/>
      <c r="Q128" s="171"/>
      <c r="R128" s="171"/>
      <c r="S128" s="171"/>
      <c r="T128" s="171"/>
      <c r="U128" s="265"/>
      <c r="V128" s="171"/>
      <c r="W128" s="171"/>
      <c r="X128" s="171"/>
      <c r="Y128" s="171"/>
      <c r="Z128" s="265"/>
      <c r="AA128" s="171"/>
      <c r="AB128" s="171"/>
      <c r="AC128" s="171"/>
      <c r="AD128" s="171"/>
      <c r="AE128" s="265"/>
      <c r="AF128" s="171"/>
      <c r="AG128" s="171"/>
      <c r="AH128" s="171"/>
      <c r="AI128" s="171"/>
      <c r="AJ128" s="265"/>
      <c r="AK128" s="171"/>
      <c r="AL128" s="171"/>
      <c r="AM128" s="171"/>
      <c r="AN128" s="171"/>
      <c r="AO128" s="265"/>
      <c r="AP128" s="171"/>
      <c r="AQ128" s="171"/>
      <c r="AR128" s="171"/>
      <c r="AS128" s="171"/>
      <c r="AT128" s="265"/>
      <c r="AU128" s="171"/>
      <c r="AV128" s="171"/>
      <c r="AW128" s="171"/>
      <c r="AX128" s="171"/>
      <c r="AY128" s="265"/>
      <c r="AZ128" s="171"/>
      <c r="BA128" s="171"/>
      <c r="BB128" s="171"/>
      <c r="BC128" s="171"/>
      <c r="BD128" s="265"/>
      <c r="BE128" s="171"/>
      <c r="BF128" s="171"/>
      <c r="BG128" s="171"/>
      <c r="BH128" s="171"/>
      <c r="BI128" s="265"/>
      <c r="BJ128" s="171"/>
      <c r="BK128" s="171"/>
      <c r="BL128" s="171"/>
      <c r="BM128" s="171"/>
      <c r="BN128" s="265"/>
      <c r="BO128" s="171"/>
      <c r="BP128" s="171"/>
      <c r="BQ128" s="171"/>
      <c r="BR128" s="171"/>
      <c r="BS128" s="265"/>
      <c r="BT128" s="171"/>
      <c r="BU128" s="171"/>
      <c r="BV128" s="171"/>
      <c r="BW128" s="171"/>
      <c r="BX128" s="265"/>
      <c r="BY128" s="171"/>
      <c r="BZ128" s="171"/>
      <c r="CA128" s="171"/>
      <c r="CB128" s="171"/>
      <c r="CC128" s="265"/>
      <c r="CD128" s="171"/>
      <c r="CE128" s="171"/>
      <c r="CF128" s="171"/>
      <c r="CG128" s="171"/>
      <c r="CH128" s="265"/>
      <c r="CI128" s="171"/>
      <c r="CJ128" s="171"/>
      <c r="CK128" s="171"/>
      <c r="CL128" s="171"/>
      <c r="CM128" s="265"/>
      <c r="CN128" s="171"/>
      <c r="CO128" s="171"/>
      <c r="CP128" s="171"/>
      <c r="CQ128" s="171"/>
      <c r="CR128" s="315"/>
      <c r="CS128" s="171"/>
      <c r="CT128" s="171"/>
      <c r="CU128" s="171"/>
      <c r="CV128" s="171"/>
      <c r="CW128" s="315"/>
      <c r="CX128" s="171"/>
      <c r="CY128" s="171"/>
      <c r="CZ128" s="171"/>
      <c r="DA128" s="171"/>
      <c r="DB128" s="315"/>
      <c r="DC128" s="171"/>
      <c r="DD128" s="171"/>
      <c r="DE128" s="171"/>
      <c r="DF128" s="171"/>
      <c r="DG128" s="361"/>
      <c r="DH128" s="171"/>
      <c r="DI128" s="171"/>
      <c r="DJ128" s="171"/>
      <c r="DK128" s="171"/>
      <c r="DL128" s="361"/>
      <c r="DM128" s="171"/>
      <c r="DN128" s="171"/>
      <c r="DO128" s="171"/>
      <c r="DP128" s="171"/>
      <c r="DQ128" s="361">
        <f>DQ126*DQ127</f>
        <v>6</v>
      </c>
      <c r="DR128" s="171"/>
      <c r="DS128" s="171"/>
      <c r="DT128" s="171"/>
      <c r="DU128" s="171"/>
      <c r="DV128" s="361">
        <f>DV126*DV127</f>
        <v>7</v>
      </c>
      <c r="DW128" s="171"/>
      <c r="DX128" s="171"/>
      <c r="DY128" s="171"/>
      <c r="DZ128" s="171"/>
      <c r="EA128" s="361">
        <f>EA126*EA127</f>
        <v>9</v>
      </c>
      <c r="EB128" s="171"/>
      <c r="EC128" s="171"/>
      <c r="ED128" s="171"/>
      <c r="EE128" s="171"/>
      <c r="EF128" s="361">
        <f>EF126*EF127</f>
        <v>24</v>
      </c>
      <c r="EG128" s="171"/>
      <c r="EH128" s="171"/>
      <c r="EI128" s="171"/>
      <c r="EJ128" s="171"/>
      <c r="EK128" s="361">
        <f>EK126*EK127</f>
        <v>35</v>
      </c>
      <c r="EL128" s="171"/>
      <c r="EM128" s="171"/>
      <c r="EN128" s="171"/>
      <c r="EO128" s="171"/>
      <c r="EP128" s="361">
        <f>EP126*EP127</f>
        <v>35</v>
      </c>
      <c r="EQ128" s="171"/>
      <c r="ER128" s="171"/>
      <c r="ES128" s="171"/>
      <c r="ET128" s="171"/>
      <c r="EU128" s="361">
        <f>EU126*EU127</f>
        <v>51</v>
      </c>
      <c r="EV128" s="171"/>
      <c r="EW128" s="171"/>
      <c r="EX128" s="171"/>
      <c r="EY128" s="171"/>
      <c r="EZ128" s="361">
        <f>EZ126*EZ127</f>
        <v>47.313258487171304</v>
      </c>
      <c r="FA128" s="171"/>
      <c r="FB128" s="171"/>
      <c r="FC128" s="171"/>
      <c r="FD128" s="171"/>
      <c r="FE128" s="361">
        <f>FE126*FE127</f>
        <v>46.306800772410696</v>
      </c>
      <c r="FF128" s="173"/>
      <c r="FG128" s="457"/>
      <c r="FL128" s="427"/>
      <c r="FM128" s="427"/>
      <c r="FN128" s="386"/>
      <c r="FO128" s="386"/>
      <c r="FP128" s="386"/>
      <c r="FQ128" s="386"/>
      <c r="FR128" s="386"/>
      <c r="FS128" s="386"/>
      <c r="FT128" s="479"/>
    </row>
    <row r="129" spans="1:184" ht="12.75" customHeight="1" x14ac:dyDescent="0.2">
      <c r="A129" s="25" t="s">
        <v>264</v>
      </c>
      <c r="B129" s="827">
        <v>2.3330000000000002</v>
      </c>
      <c r="C129" s="827">
        <v>1.742</v>
      </c>
      <c r="D129" s="827">
        <v>1.6120000000000001</v>
      </c>
      <c r="E129" s="827">
        <f>F129-D129-C129-B129</f>
        <v>1.9079999999999995</v>
      </c>
      <c r="F129" s="266">
        <v>7.5949999999999998</v>
      </c>
      <c r="G129" s="827">
        <v>1.9059999999999999</v>
      </c>
      <c r="H129" s="827">
        <v>2.1019999999999999</v>
      </c>
      <c r="I129" s="827">
        <v>2.7610000000000001</v>
      </c>
      <c r="J129" s="827">
        <f>K129-I129-H129-G129</f>
        <v>4.2190000000000003</v>
      </c>
      <c r="K129" s="266">
        <v>10.988</v>
      </c>
      <c r="L129" s="827">
        <v>2.8519999999999999</v>
      </c>
      <c r="M129" s="827">
        <v>2.9689999999999999</v>
      </c>
      <c r="N129" s="827">
        <v>1.8859999999999999</v>
      </c>
      <c r="O129" s="827">
        <f>P129-N129-M129-L129</f>
        <v>2.9650000000000021</v>
      </c>
      <c r="P129" s="266">
        <v>10.672000000000001</v>
      </c>
      <c r="Q129" s="827">
        <v>2.8940000000000001</v>
      </c>
      <c r="R129" s="827">
        <v>2.8519999999999999</v>
      </c>
      <c r="S129" s="827">
        <v>2.2050000000000001</v>
      </c>
      <c r="T129" s="827">
        <f>U129-S129-R129-Q129</f>
        <v>3.1419999999999995</v>
      </c>
      <c r="U129" s="266">
        <v>11.093</v>
      </c>
      <c r="V129" s="827">
        <v>2.1139999999999999</v>
      </c>
      <c r="W129" s="827">
        <v>2.0310000000000001</v>
      </c>
      <c r="X129" s="827">
        <v>1.792</v>
      </c>
      <c r="Y129" s="827">
        <v>3.2290000000000001</v>
      </c>
      <c r="Z129" s="266">
        <f>SUM(V129:Y129)</f>
        <v>9.1660000000000004</v>
      </c>
      <c r="AA129" s="827">
        <v>1.8919999999999999</v>
      </c>
      <c r="AB129" s="827">
        <v>5.5179999999999998</v>
      </c>
      <c r="AC129" s="827">
        <v>6.8490000000000002</v>
      </c>
      <c r="AD129" s="827">
        <f>(-20.095-SUM(AA129:AC129))*-1</f>
        <v>34.353999999999999</v>
      </c>
      <c r="AE129" s="266">
        <f>SUM(AA129:AD129)</f>
        <v>48.613</v>
      </c>
      <c r="AF129" s="827">
        <v>4.0529999999999999</v>
      </c>
      <c r="AG129" s="827">
        <v>5.3449999999999998</v>
      </c>
      <c r="AH129" s="827">
        <v>7.48</v>
      </c>
      <c r="AI129" s="827">
        <v>8.9190000000000005</v>
      </c>
      <c r="AJ129" s="266">
        <f>SUM(AF129:AI129)</f>
        <v>25.797000000000001</v>
      </c>
      <c r="AK129" s="827">
        <v>7.9619999999999997</v>
      </c>
      <c r="AL129" s="827">
        <v>9.5329999999999995</v>
      </c>
      <c r="AM129" s="827">
        <v>9.4779999999999998</v>
      </c>
      <c r="AN129" s="827">
        <v>9.6430000000000007</v>
      </c>
      <c r="AO129" s="266">
        <f>SUM(AK129:AN129)</f>
        <v>36.616</v>
      </c>
      <c r="AP129" s="827">
        <v>7.8150000000000004</v>
      </c>
      <c r="AQ129" s="827">
        <v>8.4730000000000008</v>
      </c>
      <c r="AR129" s="827">
        <v>8.5329999999999995</v>
      </c>
      <c r="AS129" s="827">
        <v>6.2619999999999996</v>
      </c>
      <c r="AT129" s="266">
        <f>SUM(AP129:AS129)</f>
        <v>31.082999999999998</v>
      </c>
      <c r="AU129" s="827">
        <v>5.5350000000000001</v>
      </c>
      <c r="AV129" s="827">
        <v>6.8380000000000001</v>
      </c>
      <c r="AW129" s="827">
        <v>6.4649999999999999</v>
      </c>
      <c r="AX129" s="827">
        <v>6.3620000000000001</v>
      </c>
      <c r="AY129" s="266">
        <f>SUM(AU129:AX129)</f>
        <v>25.200000000000003</v>
      </c>
      <c r="AZ129" s="827">
        <v>6.649</v>
      </c>
      <c r="BA129" s="827">
        <v>10.510999999999999</v>
      </c>
      <c r="BB129" s="827">
        <v>11.609</v>
      </c>
      <c r="BC129" s="827">
        <v>11.303000000000001</v>
      </c>
      <c r="BD129" s="266">
        <f>SUM(AZ129:BC129)</f>
        <v>40.072000000000003</v>
      </c>
      <c r="BE129" s="827">
        <v>8.8819999999999997</v>
      </c>
      <c r="BF129" s="827">
        <v>10.236000000000001</v>
      </c>
      <c r="BG129" s="827">
        <v>10.250999999999999</v>
      </c>
      <c r="BH129" s="827">
        <v>13.193</v>
      </c>
      <c r="BI129" s="266">
        <f>SUM(BE129:BH129)</f>
        <v>42.561999999999998</v>
      </c>
      <c r="BJ129" s="827">
        <v>9.5909999999999993</v>
      </c>
      <c r="BK129" s="827">
        <v>9</v>
      </c>
      <c r="BL129" s="827">
        <v>9.9600000000000009</v>
      </c>
      <c r="BM129" s="827">
        <v>7.8920000000000003</v>
      </c>
      <c r="BN129" s="266">
        <f>SUM(BJ129:BM129)</f>
        <v>36.443000000000005</v>
      </c>
      <c r="BO129" s="827">
        <v>5</v>
      </c>
      <c r="BP129" s="827">
        <v>7</v>
      </c>
      <c r="BQ129" s="827">
        <v>6</v>
      </c>
      <c r="BR129" s="827">
        <v>6</v>
      </c>
      <c r="BS129" s="266">
        <f>SUM(BO129:BR129)</f>
        <v>24</v>
      </c>
      <c r="BT129" s="827">
        <v>4</v>
      </c>
      <c r="BU129" s="827">
        <v>5</v>
      </c>
      <c r="BV129" s="827">
        <v>5</v>
      </c>
      <c r="BW129" s="827">
        <v>7</v>
      </c>
      <c r="BX129" s="266">
        <f>SUM(BT129:BW129)</f>
        <v>21</v>
      </c>
      <c r="BY129" s="827">
        <v>7</v>
      </c>
      <c r="BZ129" s="827">
        <v>10</v>
      </c>
      <c r="CA129" s="827">
        <v>13</v>
      </c>
      <c r="CB129" s="827">
        <v>16</v>
      </c>
      <c r="CC129" s="266">
        <f>SUM(BY129:CB129)</f>
        <v>46</v>
      </c>
      <c r="CD129" s="827">
        <v>18</v>
      </c>
      <c r="CE129" s="827">
        <v>21</v>
      </c>
      <c r="CF129" s="827">
        <v>23</v>
      </c>
      <c r="CG129" s="827">
        <v>22</v>
      </c>
      <c r="CH129" s="266">
        <f>SUM(CD129:CG129)</f>
        <v>84</v>
      </c>
      <c r="CI129" s="827">
        <v>13</v>
      </c>
      <c r="CJ129" s="827">
        <v>14</v>
      </c>
      <c r="CK129" s="827">
        <v>9</v>
      </c>
      <c r="CL129" s="827">
        <v>8</v>
      </c>
      <c r="CM129" s="266">
        <f>SUM(CI129:CL129)</f>
        <v>44</v>
      </c>
      <c r="CN129" s="827">
        <v>7</v>
      </c>
      <c r="CO129" s="827">
        <v>5</v>
      </c>
      <c r="CP129" s="827">
        <v>7</v>
      </c>
      <c r="CQ129" s="827">
        <v>7</v>
      </c>
      <c r="CR129" s="103">
        <f>SUM(CN129:CQ129)</f>
        <v>26</v>
      </c>
      <c r="CS129" s="827">
        <v>4.6779999999999999</v>
      </c>
      <c r="CT129" s="827">
        <v>3.6989999999999998</v>
      </c>
      <c r="CU129" s="827">
        <v>6.835</v>
      </c>
      <c r="CV129" s="827">
        <v>3.49</v>
      </c>
      <c r="CW129" s="103">
        <f>SUM(CS129:CV129)</f>
        <v>18.701999999999998</v>
      </c>
      <c r="CX129" s="827">
        <v>3.5270000000000001</v>
      </c>
      <c r="CY129" s="827">
        <v>4.6129999999999995</v>
      </c>
      <c r="CZ129" s="827">
        <v>2.5220000000000002</v>
      </c>
      <c r="DA129" s="827">
        <v>3.3490000000000002</v>
      </c>
      <c r="DB129" s="103">
        <f>SUM(CX129:DA129)</f>
        <v>14.011000000000001</v>
      </c>
      <c r="DC129" s="827">
        <v>3.2879999999999998</v>
      </c>
      <c r="DD129" s="827">
        <v>3</v>
      </c>
      <c r="DE129" s="827">
        <v>1</v>
      </c>
      <c r="DF129" s="827">
        <v>2</v>
      </c>
      <c r="DG129" s="103">
        <f>SUM(DC129:DF129)</f>
        <v>9.2880000000000003</v>
      </c>
      <c r="DH129" s="827">
        <v>2</v>
      </c>
      <c r="DI129" s="827">
        <v>2</v>
      </c>
      <c r="DJ129" s="827">
        <v>2</v>
      </c>
      <c r="DK129" s="827">
        <v>2</v>
      </c>
      <c r="DL129" s="103">
        <f>SUM(DH129:DK129)</f>
        <v>8</v>
      </c>
      <c r="DM129" s="827">
        <v>2</v>
      </c>
      <c r="DN129" s="827">
        <v>2</v>
      </c>
      <c r="DO129" s="827">
        <v>1</v>
      </c>
      <c r="DP129" s="827">
        <v>1</v>
      </c>
      <c r="DQ129" s="103">
        <f>SUM(DM129:DP129)</f>
        <v>6</v>
      </c>
      <c r="DR129" s="827">
        <v>2</v>
      </c>
      <c r="DS129" s="827">
        <v>2</v>
      </c>
      <c r="DT129" s="827">
        <v>2</v>
      </c>
      <c r="DU129" s="827">
        <v>1</v>
      </c>
      <c r="DV129" s="103">
        <f>SUM(DR129:DU129)</f>
        <v>7</v>
      </c>
      <c r="DW129" s="827">
        <v>1</v>
      </c>
      <c r="DX129" s="827">
        <v>2</v>
      </c>
      <c r="DY129" s="827">
        <v>2</v>
      </c>
      <c r="DZ129" s="827">
        <v>4</v>
      </c>
      <c r="EA129" s="103">
        <f>SUM(DW129:DZ129)</f>
        <v>9</v>
      </c>
      <c r="EB129" s="827">
        <v>5</v>
      </c>
      <c r="EC129" s="827">
        <v>6</v>
      </c>
      <c r="ED129" s="827">
        <v>6</v>
      </c>
      <c r="EE129" s="827">
        <v>7</v>
      </c>
      <c r="EF129" s="103">
        <f>SUM(EB129:EE129)</f>
        <v>24</v>
      </c>
      <c r="EG129" s="827">
        <v>7</v>
      </c>
      <c r="EH129" s="827">
        <v>8</v>
      </c>
      <c r="EI129" s="827">
        <v>9</v>
      </c>
      <c r="EJ129" s="827">
        <v>11</v>
      </c>
      <c r="EK129" s="889">
        <f>SUM(EG129:EJ129)</f>
        <v>35</v>
      </c>
      <c r="EL129" s="827">
        <v>7</v>
      </c>
      <c r="EM129" s="827">
        <v>8</v>
      </c>
      <c r="EN129" s="827">
        <v>9</v>
      </c>
      <c r="EO129" s="827">
        <v>11</v>
      </c>
      <c r="EP129" s="103">
        <f>SUM(EL129:EO129)</f>
        <v>35</v>
      </c>
      <c r="EQ129" s="47">
        <f>EO129+1</f>
        <v>12</v>
      </c>
      <c r="ER129" s="47">
        <f>EQ129+2</f>
        <v>14</v>
      </c>
      <c r="ES129" s="47">
        <f>ER129-1</f>
        <v>13</v>
      </c>
      <c r="ET129" s="47">
        <f>ES129-1</f>
        <v>12</v>
      </c>
      <c r="EU129" s="103">
        <f>SUM(EQ129:ET129)</f>
        <v>51</v>
      </c>
      <c r="EV129" s="47"/>
      <c r="EW129" s="47"/>
      <c r="EX129" s="47"/>
      <c r="EY129" s="47"/>
      <c r="EZ129" s="118">
        <v>50.95961543903347</v>
      </c>
      <c r="FA129" s="47"/>
      <c r="FB129" s="47"/>
      <c r="FC129" s="47"/>
      <c r="FD129" s="47"/>
      <c r="FE129" s="118">
        <v>50.425371776406344</v>
      </c>
      <c r="FF129" s="47"/>
      <c r="FG129" s="458"/>
      <c r="FL129" s="425"/>
      <c r="FM129" s="425"/>
      <c r="FN129" s="384"/>
      <c r="FO129" s="384"/>
      <c r="FP129" s="384"/>
      <c r="FQ129" s="384"/>
      <c r="FR129" s="384"/>
      <c r="FS129" s="384"/>
      <c r="FT129" s="460"/>
    </row>
    <row r="130" spans="1:184" ht="12.75" customHeight="1" x14ac:dyDescent="0.2">
      <c r="A130" s="65" t="s">
        <v>35</v>
      </c>
      <c r="B130" s="23"/>
      <c r="C130" s="23"/>
      <c r="D130" s="23"/>
      <c r="E130" s="23"/>
      <c r="F130" s="267"/>
      <c r="G130" s="23"/>
      <c r="H130" s="23"/>
      <c r="I130" s="23"/>
      <c r="J130" s="23"/>
      <c r="K130" s="267"/>
      <c r="L130" s="23"/>
      <c r="M130" s="23"/>
      <c r="N130" s="23"/>
      <c r="O130" s="23"/>
      <c r="P130" s="267"/>
      <c r="Q130" s="23"/>
      <c r="R130" s="23"/>
      <c r="S130" s="23"/>
      <c r="T130" s="23"/>
      <c r="U130" s="267"/>
      <c r="V130" s="23"/>
      <c r="W130" s="23"/>
      <c r="X130" s="23"/>
      <c r="Y130" s="23"/>
      <c r="Z130" s="267"/>
      <c r="AA130" s="23"/>
      <c r="AB130" s="23"/>
      <c r="AC130" s="23"/>
      <c r="AD130" s="23"/>
      <c r="AE130" s="267"/>
      <c r="AF130" s="23"/>
      <c r="AG130" s="23"/>
      <c r="AH130" s="23"/>
      <c r="AI130" s="23"/>
      <c r="AJ130" s="267"/>
      <c r="AK130" s="23"/>
      <c r="AL130" s="23"/>
      <c r="AM130" s="23"/>
      <c r="AN130" s="23"/>
      <c r="AO130" s="267"/>
      <c r="AP130" s="23"/>
      <c r="AQ130" s="23"/>
      <c r="AR130" s="23"/>
      <c r="AS130" s="23"/>
      <c r="AT130" s="267"/>
      <c r="AU130" s="23"/>
      <c r="AV130" s="23"/>
      <c r="AW130" s="23"/>
      <c r="AX130" s="23"/>
      <c r="AY130" s="267"/>
      <c r="AZ130" s="23"/>
      <c r="BA130" s="23"/>
      <c r="BB130" s="23"/>
      <c r="BC130" s="23"/>
      <c r="BD130" s="267"/>
      <c r="BE130" s="23"/>
      <c r="BF130" s="23"/>
      <c r="BG130" s="23"/>
      <c r="BH130" s="23"/>
      <c r="BI130" s="267"/>
      <c r="BJ130" s="23"/>
      <c r="BK130" s="23"/>
      <c r="BL130" s="23"/>
      <c r="BM130" s="23"/>
      <c r="BN130" s="267"/>
      <c r="BO130" s="23"/>
      <c r="BP130" s="23"/>
      <c r="BQ130" s="23"/>
      <c r="BR130" s="23"/>
      <c r="BS130" s="267"/>
      <c r="BT130" s="23"/>
      <c r="BU130" s="23"/>
      <c r="BV130" s="23"/>
      <c r="BW130" s="23"/>
      <c r="BX130" s="267"/>
      <c r="BY130" s="23"/>
      <c r="BZ130" s="23"/>
      <c r="CA130" s="23"/>
      <c r="CB130" s="23"/>
      <c r="CC130" s="267">
        <f>(CC267+CC268+CC274+BX267+BX268+BX274)/2</f>
        <v>1920.5</v>
      </c>
      <c r="CD130" s="23"/>
      <c r="CE130" s="23"/>
      <c r="CF130" s="23"/>
      <c r="CG130" s="23"/>
      <c r="CH130" s="267">
        <f>(CH267+CH268+CH274+CC267+CC268+CC274)/2</f>
        <v>1842</v>
      </c>
      <c r="CI130" s="23">
        <f>(CI267+CI268+CI274+CH267+CH268+CH274)/2</f>
        <v>1684</v>
      </c>
      <c r="CJ130" s="23">
        <f>(CJ267+CJ268+CJ274+CI267+CI268+CI274)/2</f>
        <v>1660</v>
      </c>
      <c r="CK130" s="23">
        <f>(CK267+CK268+CK274+CJ267+CJ268+CJ274)/2</f>
        <v>1610</v>
      </c>
      <c r="CL130" s="23">
        <f>(CL267+CL268+CL274+CK267+CK268+CK274)/2</f>
        <v>1835</v>
      </c>
      <c r="CM130" s="267">
        <f>(CM267+CM268+CM274+CH267+CH268+CH274)/2</f>
        <v>1890</v>
      </c>
      <c r="CN130" s="23">
        <f>(CN267+CN268+CN274+CM267+CM268+CM274)/2</f>
        <v>2105</v>
      </c>
      <c r="CO130" s="23">
        <f>(CO267+CO268+CO274+CN267+CN268+CN274)/2</f>
        <v>2390</v>
      </c>
      <c r="CP130" s="23">
        <f>(CP267+CP268+CP274+CO267+CO268+CO274)/2</f>
        <v>2656.5</v>
      </c>
      <c r="CQ130" s="23">
        <f>(CQ267+CQ268+CQ274+CP267+CP268+CP274)/2</f>
        <v>3156.5</v>
      </c>
      <c r="CR130" s="267">
        <f>(CR267+CR268+CR274+CM267+CM268+CM274)/2</f>
        <v>2876</v>
      </c>
      <c r="CS130" s="23">
        <f>(CS267+CS268+CS274+CR267+CR268+CR274)/2</f>
        <v>4179.3964999999998</v>
      </c>
      <c r="CT130" s="23">
        <f>(CT267+CT268+CT274+CS267+CS268+CS274)/2</f>
        <v>4564.8419999999996</v>
      </c>
      <c r="CU130" s="23">
        <f>(CU267+CU268+CU274+CT267+CT268+CT274)/2</f>
        <v>4560.0239999999994</v>
      </c>
      <c r="CV130" s="23">
        <f>(CV267+CV268+CV274+CU267+CU268+CU274)/2</f>
        <v>4708.5869999999995</v>
      </c>
      <c r="CW130" s="267">
        <f>(CW267+CW268+CW274+CR267+CR268+CR274)/2</f>
        <v>4195.0084999999999</v>
      </c>
      <c r="CX130" s="23">
        <f>(CX267+CX268+CX274+CW267+CW268+CW274)/2</f>
        <v>4643.0574999999999</v>
      </c>
      <c r="CY130" s="23">
        <f>(CY267+CY268+CY274+CX267+CX268+CX274)/2</f>
        <v>4537.3665000000001</v>
      </c>
      <c r="CZ130" s="23">
        <f>(CZ267+CZ268+CZ274+CY267+CY268+CY274)/2</f>
        <v>4473.601999999999</v>
      </c>
      <c r="DA130" s="23">
        <f>(DA267+DA268+DA274+CZ267+CZ268+CZ274)/2</f>
        <v>4403.0294999999996</v>
      </c>
      <c r="DB130" s="267">
        <f>(DB267+DB268+DB274+CW267+CW268+CW274)/2</f>
        <v>4552.7534999999998</v>
      </c>
      <c r="DC130" s="23">
        <f>(DC267+DC268+DC274+DB267+DB268+DB274)/2</f>
        <v>4339.4445000000005</v>
      </c>
      <c r="DD130" s="23">
        <f>(DD267+DD268+DD274+DC267+DC268+DC274)/2</f>
        <v>4267.1995000000006</v>
      </c>
      <c r="DE130" s="23">
        <f>(DE267+DE268+DE274+DD267+DD268+DD274)/2</f>
        <v>4219</v>
      </c>
      <c r="DF130" s="23">
        <f>(DF267+DF268+DF274+DE267+DE268+DE274)/2</f>
        <v>3978.5</v>
      </c>
      <c r="DG130" s="267">
        <f>(DG267+DG268+DG274+DB267+DB268+DB274)/2</f>
        <v>4063.7449999999999</v>
      </c>
      <c r="DH130" s="23">
        <f>(DH267+DH268+DH274+DG267+DG268+DG274)/2</f>
        <v>3529</v>
      </c>
      <c r="DI130" s="23">
        <f>(DI267+DI268+DI274+DH267+DH268+DH274)/2</f>
        <v>3291.5</v>
      </c>
      <c r="DJ130" s="23">
        <f>(DJ267+DJ268+DJ274+DI267+DI268+DI274)/2</f>
        <v>3251</v>
      </c>
      <c r="DK130" s="23">
        <f>(DK267+DK268+DK274+DJ267+DJ268+DJ274)/2</f>
        <v>3190</v>
      </c>
      <c r="DL130" s="267">
        <f>(DL267+DL268+DL274+DG267+DG268+DG274)/2</f>
        <v>3452.5</v>
      </c>
      <c r="DM130" s="23">
        <f>(DM267+DM268+DM274+DL267+DL268+DL274)/2</f>
        <v>3071</v>
      </c>
      <c r="DN130" s="23">
        <f>(DN267+DN268+DN274+DM267+DM268+DM274)/2</f>
        <v>2961</v>
      </c>
      <c r="DO130" s="23">
        <f>(DO267+DO268+DO274+DN267+DN268+DN274)/2</f>
        <v>2904.5</v>
      </c>
      <c r="DP130" s="23">
        <f>(DP267+DP268+DP274+DO267+DO268+DO274)/2</f>
        <v>2847.5</v>
      </c>
      <c r="DQ130" s="267">
        <f>(DQ267+DQ268+DQ274+DL267+DL268+DL274)/2</f>
        <v>2987</v>
      </c>
      <c r="DR130" s="23">
        <f>(DR267+DR268+DR274+DQ267+DQ268+DQ274)/2</f>
        <v>2817</v>
      </c>
      <c r="DS130" s="23">
        <f>(DS267+DS268+DS274+DR267+DR268+DR274)/2</f>
        <v>2786</v>
      </c>
      <c r="DT130" s="23">
        <f>(DT267+DT268+DT274+DS267+DS268+DS274)/2</f>
        <v>2745</v>
      </c>
      <c r="DU130" s="23">
        <f>(DU267+DU268+DU274+DT267+DT268+DT274)/2</f>
        <v>2712</v>
      </c>
      <c r="DV130" s="267">
        <f>(DV267+DV268+DV274+DQ267+DQ268+DQ274)/2</f>
        <v>2756</v>
      </c>
      <c r="DW130" s="23">
        <f>(DW267+DW268+DW274+DV267+DV268+DV274)/2</f>
        <v>2689.5</v>
      </c>
      <c r="DX130" s="23">
        <f>(DX267+DX268+DX274+DW267+DW268+DW274)/2</f>
        <v>2687</v>
      </c>
      <c r="DY130" s="23">
        <f>(DY267+DY268+DY274+DX267+DX268+DX274)/2</f>
        <v>2677.5</v>
      </c>
      <c r="DZ130" s="23">
        <f>(DZ267+DZ268+DZ274+DY267+DY268+DY274)/2</f>
        <v>2923</v>
      </c>
      <c r="EA130" s="267">
        <f>(EA267+EA268+EA274+DV267+DV268+DV274)/2</f>
        <v>2935</v>
      </c>
      <c r="EB130" s="23">
        <f>(EB267+EB268+EB274+EA267+EA268+EA274)/2</f>
        <v>3243</v>
      </c>
      <c r="EC130" s="23">
        <f>(EC267+EC268+EC274+EB267+EB268+EB274)/2</f>
        <v>3331</v>
      </c>
      <c r="ED130" s="23">
        <f>(ED267+ED268+ED274+EC267+EC268+EC274)/2</f>
        <v>3324.5</v>
      </c>
      <c r="EE130" s="23">
        <f>(EE267+EE268+EE274+ED267+ED268+ED274)/2</f>
        <v>3341</v>
      </c>
      <c r="EF130" s="267">
        <f>(EF267+EF268+EF274+EA267+EA268+EA274)/2</f>
        <v>3282.5</v>
      </c>
      <c r="EG130" s="23">
        <f>(EG267+EG268+EG274+EF267+EF268+EF274)/2</f>
        <v>3226.5</v>
      </c>
      <c r="EH130" s="23">
        <f>(EH267+EH268+EH274+EG267+EG268+EG274)/2</f>
        <v>3080.5</v>
      </c>
      <c r="EI130" s="23">
        <f>(EI267+EI268+EI274+EH267+EH268+EH274)/2</f>
        <v>3087</v>
      </c>
      <c r="EJ130" s="23">
        <f>(EJ267+EJ268+EJ274+EI267+EI268+EI274)/2</f>
        <v>3373.5</v>
      </c>
      <c r="EK130" s="267">
        <f>(EK267+EK268+EK274+EF267+EF268+EF274)/2</f>
        <v>3527.5</v>
      </c>
      <c r="EL130" s="23">
        <f>(EL267+EL268+EL274+EF267+EF268+EF274)/2</f>
        <v>3226.5</v>
      </c>
      <c r="EM130" s="23">
        <f>(EM267+EM268+EM274+EL267+EL268+EL274)/2</f>
        <v>3080.5</v>
      </c>
      <c r="EN130" s="23">
        <f>(EN267+EN268+EN274+EM267+EM268+EM274)/2</f>
        <v>3087</v>
      </c>
      <c r="EO130" s="23">
        <f>(EO267+EO268+EO274+EN267+EN268+EN274)/2</f>
        <v>3373.5</v>
      </c>
      <c r="EP130" s="267">
        <f>(EP267+EP268+EP274+EF267+EF268+EF274)/2</f>
        <v>3527.5</v>
      </c>
      <c r="EQ130" s="166">
        <f>(EQ267+EQ268+EQ274+EP267+EP268+EP274)/2</f>
        <v>3698.5</v>
      </c>
      <c r="ER130" s="166">
        <f t="shared" ref="ER130:ET130" si="734">(ER267+ER268+ER274+EQ267+EQ268+EQ274)/2</f>
        <v>3759.5</v>
      </c>
      <c r="ES130" s="166">
        <f t="shared" si="734"/>
        <v>3820.5</v>
      </c>
      <c r="ET130" s="166">
        <f t="shared" si="734"/>
        <v>3881.5</v>
      </c>
      <c r="EU130" s="267">
        <f>(EU267+EU268+EU274+EP267+EP268+EP274)/2</f>
        <v>3790</v>
      </c>
      <c r="EV130" s="166"/>
      <c r="EW130" s="166"/>
      <c r="EX130" s="166"/>
      <c r="EY130" s="166"/>
      <c r="EZ130" s="267">
        <f>(EZ267+EZ268+EZ274+EU267+EU268+EU274)/2</f>
        <v>3902.25</v>
      </c>
      <c r="FA130" s="166"/>
      <c r="FB130" s="166"/>
      <c r="FC130" s="166"/>
      <c r="FD130" s="166"/>
      <c r="FE130" s="267">
        <f>(FE267+FE268+FE274+EZ267+EZ268+EZ274)/2</f>
        <v>3882.75</v>
      </c>
      <c r="FF130" s="166"/>
      <c r="FG130" s="459"/>
      <c r="FL130" s="427"/>
      <c r="FM130" s="427"/>
      <c r="FN130" s="386"/>
      <c r="FO130" s="386"/>
      <c r="FP130" s="386"/>
      <c r="FQ130" s="386"/>
      <c r="FR130" s="386"/>
      <c r="FS130" s="386"/>
      <c r="FT130" s="444"/>
    </row>
    <row r="131" spans="1:184" ht="12.75" customHeight="1" x14ac:dyDescent="0.2">
      <c r="A131" s="66" t="s">
        <v>119</v>
      </c>
      <c r="B131" s="169"/>
      <c r="C131" s="169"/>
      <c r="D131" s="169"/>
      <c r="E131" s="169"/>
      <c r="F131" s="268"/>
      <c r="G131" s="169"/>
      <c r="H131" s="169"/>
      <c r="I131" s="169"/>
      <c r="J131" s="169"/>
      <c r="K131" s="268"/>
      <c r="L131" s="169"/>
      <c r="M131" s="169"/>
      <c r="N131" s="169"/>
      <c r="O131" s="169"/>
      <c r="P131" s="268"/>
      <c r="Q131" s="169"/>
      <c r="R131" s="169"/>
      <c r="S131" s="169"/>
      <c r="T131" s="169"/>
      <c r="U131" s="268"/>
      <c r="V131" s="169"/>
      <c r="W131" s="169"/>
      <c r="X131" s="169"/>
      <c r="Y131" s="169"/>
      <c r="Z131" s="268"/>
      <c r="AA131" s="169"/>
      <c r="AB131" s="169"/>
      <c r="AC131" s="169"/>
      <c r="AD131" s="169"/>
      <c r="AE131" s="268"/>
      <c r="AF131" s="169"/>
      <c r="AG131" s="169"/>
      <c r="AH131" s="169"/>
      <c r="AI131" s="169"/>
      <c r="AJ131" s="268"/>
      <c r="AK131" s="169"/>
      <c r="AL131" s="169"/>
      <c r="AM131" s="169"/>
      <c r="AN131" s="169"/>
      <c r="AO131" s="268"/>
      <c r="AP131" s="169"/>
      <c r="AQ131" s="169"/>
      <c r="AR131" s="169"/>
      <c r="AS131" s="169"/>
      <c r="AT131" s="268"/>
      <c r="AU131" s="169"/>
      <c r="AV131" s="169"/>
      <c r="AW131" s="169"/>
      <c r="AX131" s="169"/>
      <c r="AY131" s="268"/>
      <c r="AZ131" s="169"/>
      <c r="BA131" s="169"/>
      <c r="BB131" s="169"/>
      <c r="BC131" s="169"/>
      <c r="BD131" s="268"/>
      <c r="BE131" s="169"/>
      <c r="BF131" s="169"/>
      <c r="BG131" s="169"/>
      <c r="BH131" s="169"/>
      <c r="BI131" s="268"/>
      <c r="BJ131" s="169"/>
      <c r="BK131" s="169"/>
      <c r="BL131" s="169"/>
      <c r="BM131" s="169"/>
      <c r="BN131" s="268"/>
      <c r="BO131" s="169"/>
      <c r="BP131" s="169"/>
      <c r="BQ131" s="169"/>
      <c r="BR131" s="169"/>
      <c r="BS131" s="268"/>
      <c r="BT131" s="169"/>
      <c r="BU131" s="169"/>
      <c r="BV131" s="169"/>
      <c r="BW131" s="169"/>
      <c r="BX131" s="268"/>
      <c r="BY131" s="169"/>
      <c r="BZ131" s="169"/>
      <c r="CA131" s="169"/>
      <c r="CB131" s="169"/>
      <c r="CC131" s="244">
        <f>CC133/CC130</f>
        <v>6.2483728195782351E-2</v>
      </c>
      <c r="CD131" s="169"/>
      <c r="CE131" s="169"/>
      <c r="CF131" s="169"/>
      <c r="CG131" s="169"/>
      <c r="CH131" s="244">
        <f>CH133/CH130</f>
        <v>6.9489685124864281E-2</v>
      </c>
      <c r="CI131" s="169">
        <f>(CI133*4)/CI130</f>
        <v>6.8883610451306407E-2</v>
      </c>
      <c r="CJ131" s="169">
        <f>(CJ133*4)/CJ130</f>
        <v>6.9879518072289162E-2</v>
      </c>
      <c r="CK131" s="169">
        <f>(CK133*4)/CK130</f>
        <v>6.9565217391304349E-2</v>
      </c>
      <c r="CL131" s="169">
        <f>(CL133*4)/CL130</f>
        <v>7.1934604904632146E-2</v>
      </c>
      <c r="CM131" s="244">
        <f>CM133/CM130</f>
        <v>6.2962962962962957E-2</v>
      </c>
      <c r="CN131" s="169">
        <f>(CN133*4)/CN130</f>
        <v>5.3206650831353917E-2</v>
      </c>
      <c r="CO131" s="169">
        <f>(CO133*4)/CO130</f>
        <v>5.3556485355648532E-2</v>
      </c>
      <c r="CP131" s="169">
        <f>(CP133*4)/CP130</f>
        <v>5.2700922266139656E-2</v>
      </c>
      <c r="CQ131" s="169">
        <f>(CQ133*4)/CQ130</f>
        <v>4.3085696182480593E-2</v>
      </c>
      <c r="CR131" s="244">
        <f>CR133/CR130</f>
        <v>4.4853963838664815E-2</v>
      </c>
      <c r="CS131" s="169">
        <f>(CS133*4)/CS130</f>
        <v>6.2430066159073448E-2</v>
      </c>
      <c r="CT131" s="169">
        <f>(CT133*4)/CT130</f>
        <v>5.8489647615404872E-2</v>
      </c>
      <c r="CU131" s="169">
        <f>(CU133*4)/CU130</f>
        <v>5.9726878630463352E-2</v>
      </c>
      <c r="CV131" s="169">
        <f>(CV133*4)/CV130</f>
        <v>5.8530510320824493E-2</v>
      </c>
      <c r="CW131" s="244">
        <f>CW133/CW130</f>
        <v>6.4115960670878255E-2</v>
      </c>
      <c r="CX131" s="169">
        <f>(CX133*4)/CX130</f>
        <v>5.5124882687754777E-2</v>
      </c>
      <c r="CY131" s="169">
        <f>(CY133*4)/CY130</f>
        <v>5.7288737861488595E-2</v>
      </c>
      <c r="CZ131" s="169">
        <f>(CZ133*4)/CZ130</f>
        <v>5.4206878484049328E-2</v>
      </c>
      <c r="DA131" s="169">
        <f>(DA133*4)/DA130</f>
        <v>5.289812389401434E-2</v>
      </c>
      <c r="DB131" s="244">
        <f>DB133/DB130</f>
        <v>5.4434091369102239E-2</v>
      </c>
      <c r="DC131" s="169">
        <f>(DC133*4)/DC130</f>
        <v>5.4265931964333221E-2</v>
      </c>
      <c r="DD131" s="169">
        <f>(DD133*4)/DD130</f>
        <v>5.2493444471016643E-2</v>
      </c>
      <c r="DE131" s="169">
        <f>(DE133*4)/DE130</f>
        <v>4.7404598246029862E-2</v>
      </c>
      <c r="DF131" s="169">
        <f>(DF133*4)/DF130</f>
        <v>5.1275606384315699E-2</v>
      </c>
      <c r="DG131" s="244">
        <f>DG133/DG130</f>
        <v>5.3121197319221561E-2</v>
      </c>
      <c r="DH131" s="169">
        <f>(DH133*4)/DH130</f>
        <v>4.5338622839331252E-2</v>
      </c>
      <c r="DI131" s="169">
        <f>(DI133*4)/DI130</f>
        <v>4.6179553395108611E-2</v>
      </c>
      <c r="DJ131" s="169">
        <f>(DJ133*4)/DJ130</f>
        <v>4.306367271608736E-2</v>
      </c>
      <c r="DK131" s="169">
        <f>(DK133*4)/DK130</f>
        <v>4.3887147335423198E-2</v>
      </c>
      <c r="DL131" s="244">
        <f>DL133/DL130</f>
        <v>4.2867487328023174E-2</v>
      </c>
      <c r="DM131" s="169">
        <f>(DM133*4)/DM130</f>
        <v>3.7772712471507652E-2</v>
      </c>
      <c r="DN131" s="169">
        <f>(DN133*4)/DN130</f>
        <v>4.4579533941236066E-2</v>
      </c>
      <c r="DO131" s="169">
        <f>(DO133*4)/DO130</f>
        <v>4.8201067309347562E-2</v>
      </c>
      <c r="DP131" s="169">
        <f>(DP133*4)/DP130</f>
        <v>4.6356453028972781E-2</v>
      </c>
      <c r="DQ131" s="244">
        <f>DQ133/DQ130</f>
        <v>4.3521928356210243E-2</v>
      </c>
      <c r="DR131" s="169">
        <f>(DR133*4)/DR130</f>
        <v>4.6858359957401494E-2</v>
      </c>
      <c r="DS131" s="169">
        <f>(DS133*4)/DS130</f>
        <v>4.8815506101938265E-2</v>
      </c>
      <c r="DT131" s="169">
        <f>(DT133*4)/DT130</f>
        <v>4.5173041894353373E-2</v>
      </c>
      <c r="DU131" s="169">
        <f>(DU133*4)/DU130</f>
        <v>4.71976401179941E-2</v>
      </c>
      <c r="DV131" s="244">
        <f>DV133/DV130</f>
        <v>4.716981132075472E-2</v>
      </c>
      <c r="DW131" s="169">
        <f>(DW133*4)/DW130</f>
        <v>4.7592489310280719E-2</v>
      </c>
      <c r="DX131" s="169">
        <f>(DX133*4)/DX130</f>
        <v>4.3170822478600671E-2</v>
      </c>
      <c r="DY131" s="169">
        <f>(DY133*4)/DY130</f>
        <v>4.6311858076563961E-2</v>
      </c>
      <c r="DZ131" s="169">
        <f>(DZ133*4)/DZ130</f>
        <v>3.8316797810468699E-2</v>
      </c>
      <c r="EA131" s="244">
        <f>EA133/EA130</f>
        <v>4.0885860306643949E-2</v>
      </c>
      <c r="EB131" s="169">
        <f>(EB133*4)/EB130</f>
        <v>3.7002775208140611E-2</v>
      </c>
      <c r="EC131" s="169">
        <f>(EC133*4)/EC130</f>
        <v>3.8426898829180427E-2</v>
      </c>
      <c r="ED131" s="169">
        <f>(ED133*4)/ED130</f>
        <v>3.729884193111746E-2</v>
      </c>
      <c r="EE131" s="169">
        <f>(EE133*4)/EE130</f>
        <v>3.5917390002993113E-2</v>
      </c>
      <c r="EF131" s="244">
        <f>EF133/EF130</f>
        <v>3.7471439451637473E-2</v>
      </c>
      <c r="EG131" s="169">
        <f>(EG133*4)/EG130</f>
        <v>3.5952270261893696E-2</v>
      </c>
      <c r="EH131" s="169">
        <f>(EH133*4)/EH130</f>
        <v>3.5059243629280958E-2</v>
      </c>
      <c r="EI131" s="169">
        <f>(EI133*4)/EI130</f>
        <v>3.6281179138321996E-2</v>
      </c>
      <c r="EJ131" s="169">
        <f>(EJ133*4)/EJ130</f>
        <v>3.5571365051133834E-2</v>
      </c>
      <c r="EK131" s="244">
        <f>EK133/EK130</f>
        <v>3.2317505315379164E-2</v>
      </c>
      <c r="EL131" s="169">
        <f>(EL133*4)/EL130</f>
        <v>3.5952270261893696E-2</v>
      </c>
      <c r="EM131" s="169">
        <f>(EM133*4)/EM130</f>
        <v>3.5059243629280958E-2</v>
      </c>
      <c r="EN131" s="169">
        <f>(EN133*4)/EN130</f>
        <v>3.6281179138321996E-2</v>
      </c>
      <c r="EO131" s="169">
        <f>(EO133*4)/EO130</f>
        <v>3.5571365051133834E-2</v>
      </c>
      <c r="EP131" s="244">
        <f>EP133/EP130</f>
        <v>3.2317505315379164E-2</v>
      </c>
      <c r="EQ131" s="43">
        <f t="shared" ref="EQ131" si="735">(EQ133*4)/EQ130</f>
        <v>3.5690144653237797E-2</v>
      </c>
      <c r="ER131" s="43">
        <f t="shared" ref="ER131:ET131" si="736">(ER133*4)/ER130</f>
        <v>3.5111052001595956E-2</v>
      </c>
      <c r="ES131" s="43">
        <f t="shared" si="736"/>
        <v>3.5597434890721112E-2</v>
      </c>
      <c r="ET131" s="43">
        <f t="shared" si="736"/>
        <v>3.5038000772897072E-2</v>
      </c>
      <c r="EU131" s="244">
        <f>EU133/EU130</f>
        <v>3.5356200527704489E-2</v>
      </c>
      <c r="EV131" s="43"/>
      <c r="EW131" s="43"/>
      <c r="EX131" s="43"/>
      <c r="EY131" s="43"/>
      <c r="EZ131" s="360">
        <f>EU131</f>
        <v>3.5356200527704489E-2</v>
      </c>
      <c r="FA131" s="43"/>
      <c r="FB131" s="43"/>
      <c r="FC131" s="43"/>
      <c r="FD131" s="43"/>
      <c r="FE131" s="360">
        <f>EZ131</f>
        <v>3.5356200527704489E-2</v>
      </c>
      <c r="FF131" s="173"/>
      <c r="FG131" s="457"/>
      <c r="FL131" s="427"/>
      <c r="FM131" s="427"/>
      <c r="FN131" s="379"/>
      <c r="FO131" s="379"/>
      <c r="FP131" s="386"/>
      <c r="FQ131" s="386"/>
      <c r="FR131" s="386"/>
      <c r="FS131" s="386"/>
      <c r="FT131" s="479"/>
    </row>
    <row r="132" spans="1:184" ht="12.75" customHeight="1" x14ac:dyDescent="0.2">
      <c r="A132" s="67" t="s">
        <v>36</v>
      </c>
      <c r="B132" s="171"/>
      <c r="C132" s="171"/>
      <c r="D132" s="171"/>
      <c r="E132" s="171"/>
      <c r="F132" s="265"/>
      <c r="G132" s="171"/>
      <c r="H132" s="171"/>
      <c r="I132" s="171"/>
      <c r="J132" s="171"/>
      <c r="K132" s="265"/>
      <c r="L132" s="171"/>
      <c r="M132" s="171"/>
      <c r="N132" s="171"/>
      <c r="O132" s="171"/>
      <c r="P132" s="265"/>
      <c r="Q132" s="171"/>
      <c r="R132" s="171"/>
      <c r="S132" s="171"/>
      <c r="T132" s="171"/>
      <c r="U132" s="265"/>
      <c r="V132" s="171"/>
      <c r="W132" s="171"/>
      <c r="X132" s="171"/>
      <c r="Y132" s="171"/>
      <c r="Z132" s="265"/>
      <c r="AA132" s="171"/>
      <c r="AB132" s="171"/>
      <c r="AC132" s="171"/>
      <c r="AD132" s="171"/>
      <c r="AE132" s="265"/>
      <c r="AF132" s="171"/>
      <c r="AG132" s="171"/>
      <c r="AH132" s="171"/>
      <c r="AI132" s="171"/>
      <c r="AJ132" s="265"/>
      <c r="AK132" s="171"/>
      <c r="AL132" s="171"/>
      <c r="AM132" s="171"/>
      <c r="AN132" s="171"/>
      <c r="AO132" s="265"/>
      <c r="AP132" s="171"/>
      <c r="AQ132" s="171"/>
      <c r="AR132" s="171"/>
      <c r="AS132" s="171"/>
      <c r="AT132" s="265"/>
      <c r="AU132" s="171"/>
      <c r="AV132" s="171"/>
      <c r="AW132" s="171"/>
      <c r="AX132" s="171"/>
      <c r="AY132" s="265"/>
      <c r="AZ132" s="171"/>
      <c r="BA132" s="171"/>
      <c r="BB132" s="171"/>
      <c r="BC132" s="171"/>
      <c r="BD132" s="265"/>
      <c r="BE132" s="171"/>
      <c r="BF132" s="171"/>
      <c r="BG132" s="171"/>
      <c r="BH132" s="171"/>
      <c r="BI132" s="265"/>
      <c r="BJ132" s="171"/>
      <c r="BK132" s="171"/>
      <c r="BL132" s="171"/>
      <c r="BM132" s="171"/>
      <c r="BN132" s="265"/>
      <c r="BO132" s="171"/>
      <c r="BP132" s="171"/>
      <c r="BQ132" s="171"/>
      <c r="BR132" s="171"/>
      <c r="BS132" s="265"/>
      <c r="BT132" s="171"/>
      <c r="BU132" s="171"/>
      <c r="BV132" s="171"/>
      <c r="BW132" s="171"/>
      <c r="BX132" s="265"/>
      <c r="BY132" s="171"/>
      <c r="BZ132" s="171"/>
      <c r="CA132" s="171"/>
      <c r="CB132" s="171"/>
      <c r="CC132" s="265"/>
      <c r="CD132" s="171"/>
      <c r="CE132" s="171"/>
      <c r="CF132" s="171"/>
      <c r="CG132" s="171"/>
      <c r="CH132" s="265"/>
      <c r="CI132" s="171"/>
      <c r="CJ132" s="171"/>
      <c r="CK132" s="171"/>
      <c r="CL132" s="171"/>
      <c r="CM132" s="265"/>
      <c r="CN132" s="171"/>
      <c r="CO132" s="171"/>
      <c r="CP132" s="171"/>
      <c r="CQ132" s="171"/>
      <c r="CR132" s="315"/>
      <c r="CS132" s="171"/>
      <c r="CT132" s="171"/>
      <c r="CU132" s="171"/>
      <c r="CV132" s="171"/>
      <c r="CW132" s="315"/>
      <c r="CX132" s="171"/>
      <c r="CY132" s="171"/>
      <c r="CZ132" s="171"/>
      <c r="DA132" s="171"/>
      <c r="DB132" s="315"/>
      <c r="DC132" s="171"/>
      <c r="DD132" s="171"/>
      <c r="DE132" s="171"/>
      <c r="DF132" s="171"/>
      <c r="DG132" s="361"/>
      <c r="DH132" s="171"/>
      <c r="DI132" s="171"/>
      <c r="DJ132" s="171"/>
      <c r="DK132" s="171"/>
      <c r="DL132" s="361"/>
      <c r="DM132" s="171"/>
      <c r="DN132" s="171"/>
      <c r="DO132" s="171"/>
      <c r="DP132" s="171"/>
      <c r="DQ132" s="361">
        <f>DQ131*DQ130</f>
        <v>130</v>
      </c>
      <c r="DR132" s="171"/>
      <c r="DS132" s="171"/>
      <c r="DT132" s="171"/>
      <c r="DU132" s="171"/>
      <c r="DV132" s="361">
        <f>DV131*DV130</f>
        <v>130</v>
      </c>
      <c r="DW132" s="171"/>
      <c r="DX132" s="171"/>
      <c r="DY132" s="171"/>
      <c r="DZ132" s="171"/>
      <c r="EA132" s="361">
        <f>EA131*EA130</f>
        <v>119.99999999999999</v>
      </c>
      <c r="EB132" s="171"/>
      <c r="EC132" s="171"/>
      <c r="ED132" s="171"/>
      <c r="EE132" s="171"/>
      <c r="EF132" s="361">
        <f>EF131*EF130</f>
        <v>123</v>
      </c>
      <c r="EG132" s="171"/>
      <c r="EH132" s="171"/>
      <c r="EI132" s="171"/>
      <c r="EJ132" s="171"/>
      <c r="EK132" s="361">
        <f>EK131*EK130</f>
        <v>114</v>
      </c>
      <c r="EL132" s="171"/>
      <c r="EM132" s="171"/>
      <c r="EN132" s="171"/>
      <c r="EO132" s="171"/>
      <c r="EP132" s="361">
        <f>EP131*EP130</f>
        <v>114</v>
      </c>
      <c r="EQ132" s="171"/>
      <c r="ER132" s="171"/>
      <c r="ES132" s="171"/>
      <c r="ET132" s="171"/>
      <c r="EU132" s="361">
        <f>EU131*EU130</f>
        <v>134</v>
      </c>
      <c r="EV132" s="171"/>
      <c r="EW132" s="171"/>
      <c r="EX132" s="171"/>
      <c r="EY132" s="171"/>
      <c r="EZ132" s="361">
        <f>EZ131*EZ130</f>
        <v>137.96873350923485</v>
      </c>
      <c r="FA132" s="171"/>
      <c r="FB132" s="171"/>
      <c r="FC132" s="171"/>
      <c r="FD132" s="171"/>
      <c r="FE132" s="361">
        <f>FE131*FE130</f>
        <v>137.27928759894459</v>
      </c>
      <c r="FF132" s="173"/>
      <c r="FG132" s="457"/>
      <c r="FL132" s="423"/>
      <c r="FM132" s="427"/>
      <c r="FN132" s="386"/>
      <c r="FO132" s="386"/>
      <c r="FP132" s="386"/>
      <c r="FQ132" s="386"/>
      <c r="FR132" s="386"/>
      <c r="FS132" s="386"/>
      <c r="FT132" s="479"/>
    </row>
    <row r="133" spans="1:184" ht="12.75" customHeight="1" x14ac:dyDescent="0.2">
      <c r="A133" s="25" t="s">
        <v>263</v>
      </c>
      <c r="B133" s="829">
        <v>8.1300000000000008</v>
      </c>
      <c r="C133" s="829">
        <v>8.1479999999999997</v>
      </c>
      <c r="D133" s="829">
        <v>7.96</v>
      </c>
      <c r="E133" s="829">
        <f>F133-SUM(B133:D133)</f>
        <v>7.7629999999999981</v>
      </c>
      <c r="F133" s="266">
        <v>32.000999999999998</v>
      </c>
      <c r="G133" s="829">
        <v>8.2929999999999993</v>
      </c>
      <c r="H133" s="829">
        <v>9.6609999999999996</v>
      </c>
      <c r="I133" s="829">
        <v>12.018000000000001</v>
      </c>
      <c r="J133" s="829">
        <f>K133-SUM(G133:I133)</f>
        <v>14.082000000000001</v>
      </c>
      <c r="K133" s="266">
        <v>44.054000000000002</v>
      </c>
      <c r="L133" s="829">
        <v>14.173</v>
      </c>
      <c r="M133" s="829">
        <v>13.952</v>
      </c>
      <c r="N133" s="829">
        <v>15.048999999999999</v>
      </c>
      <c r="O133" s="829">
        <f>P133-SUM(L133:N133)</f>
        <v>15.880000000000003</v>
      </c>
      <c r="P133" s="266">
        <v>59.054000000000002</v>
      </c>
      <c r="Q133" s="829">
        <v>15.423999999999999</v>
      </c>
      <c r="R133" s="829">
        <v>13.302</v>
      </c>
      <c r="S133" s="829">
        <v>13.401</v>
      </c>
      <c r="T133" s="829">
        <f>U133-SUM(Q133:S133)</f>
        <v>16.333000000000006</v>
      </c>
      <c r="U133" s="266">
        <v>58.46</v>
      </c>
      <c r="V133" s="829">
        <v>13.978999999999999</v>
      </c>
      <c r="W133" s="829">
        <v>13.153</v>
      </c>
      <c r="X133" s="829">
        <v>13.102</v>
      </c>
      <c r="Y133" s="829">
        <v>13.134</v>
      </c>
      <c r="Z133" s="266">
        <f>SUM(V133:Y133)</f>
        <v>53.367999999999995</v>
      </c>
      <c r="AA133" s="829">
        <v>13.686</v>
      </c>
      <c r="AB133" s="829">
        <v>15.087</v>
      </c>
      <c r="AC133" s="829">
        <v>15.038</v>
      </c>
      <c r="AD133" s="829">
        <v>14.999000000000002</v>
      </c>
      <c r="AE133" s="266">
        <f>SUM(AA133:AD133)</f>
        <v>58.81</v>
      </c>
      <c r="AF133" s="829">
        <v>14.901999999999999</v>
      </c>
      <c r="AG133" s="829">
        <v>15.022</v>
      </c>
      <c r="AH133" s="829">
        <v>14.717000000000001</v>
      </c>
      <c r="AI133" s="829">
        <v>14.628</v>
      </c>
      <c r="AJ133" s="266">
        <f>SUM(AF133:AI133)</f>
        <v>59.268999999999998</v>
      </c>
      <c r="AK133" s="829">
        <v>15.225</v>
      </c>
      <c r="AL133" s="829">
        <v>16.219000000000001</v>
      </c>
      <c r="AM133" s="829">
        <v>16.428000000000001</v>
      </c>
      <c r="AN133" s="829">
        <v>15.582000000000001</v>
      </c>
      <c r="AO133" s="266">
        <f>SUM(AK133:AN133)</f>
        <v>63.454000000000001</v>
      </c>
      <c r="AP133" s="829">
        <v>15.711</v>
      </c>
      <c r="AQ133" s="829">
        <v>13.561</v>
      </c>
      <c r="AR133" s="829">
        <v>13.459</v>
      </c>
      <c r="AS133" s="829">
        <v>13.545</v>
      </c>
      <c r="AT133" s="266">
        <f>SUM(AP133:AS133)</f>
        <v>56.275999999999996</v>
      </c>
      <c r="AU133" s="829">
        <v>13.387</v>
      </c>
      <c r="AV133" s="829">
        <v>13.295</v>
      </c>
      <c r="AW133" s="829">
        <v>13.254</v>
      </c>
      <c r="AX133" s="829">
        <v>14.209</v>
      </c>
      <c r="AY133" s="266">
        <f>SUM(AU133:AX133)</f>
        <v>54.144999999999996</v>
      </c>
      <c r="AZ133" s="829">
        <v>17.222999999999999</v>
      </c>
      <c r="BA133" s="829">
        <v>17.442</v>
      </c>
      <c r="BB133" s="829">
        <v>17.463999999999999</v>
      </c>
      <c r="BC133" s="829">
        <v>17.760000000000002</v>
      </c>
      <c r="BD133" s="266">
        <f>SUM(AZ133:BC133)</f>
        <v>69.888999999999996</v>
      </c>
      <c r="BE133" s="829">
        <v>17.012</v>
      </c>
      <c r="BF133" s="829">
        <v>16.46</v>
      </c>
      <c r="BG133" s="829">
        <v>14.271000000000001</v>
      </c>
      <c r="BH133" s="829">
        <v>22.084</v>
      </c>
      <c r="BI133" s="266">
        <f>SUM(BE133:BH133)</f>
        <v>69.826999999999998</v>
      </c>
      <c r="BJ133" s="829">
        <v>26.478999999999999</v>
      </c>
      <c r="BK133" s="829">
        <v>27</v>
      </c>
      <c r="BL133" s="829">
        <v>26.847000000000001</v>
      </c>
      <c r="BM133" s="829">
        <v>26.434999999999999</v>
      </c>
      <c r="BN133" s="266">
        <f>SUM(BJ133:BM133)</f>
        <v>106.761</v>
      </c>
      <c r="BO133" s="829">
        <v>26</v>
      </c>
      <c r="BP133" s="829">
        <v>23</v>
      </c>
      <c r="BQ133" s="829">
        <v>21</v>
      </c>
      <c r="BR133" s="829">
        <v>20</v>
      </c>
      <c r="BS133" s="266">
        <f>SUM(BO133:BR133)</f>
        <v>90</v>
      </c>
      <c r="BT133" s="829">
        <v>19</v>
      </c>
      <c r="BU133" s="829">
        <v>22</v>
      </c>
      <c r="BV133" s="829">
        <v>21</v>
      </c>
      <c r="BW133" s="829">
        <v>26</v>
      </c>
      <c r="BX133" s="266">
        <f>SUM(BT133:BW133)</f>
        <v>88</v>
      </c>
      <c r="BY133" s="829">
        <v>27</v>
      </c>
      <c r="BZ133" s="829">
        <v>29</v>
      </c>
      <c r="CA133" s="829">
        <v>32</v>
      </c>
      <c r="CB133" s="829">
        <v>32</v>
      </c>
      <c r="CC133" s="266">
        <f>SUM(BY133:CB133)</f>
        <v>120</v>
      </c>
      <c r="CD133" s="829">
        <v>34</v>
      </c>
      <c r="CE133" s="829">
        <v>34</v>
      </c>
      <c r="CF133" s="829">
        <v>32</v>
      </c>
      <c r="CG133" s="829">
        <v>28</v>
      </c>
      <c r="CH133" s="266">
        <f>SUM(CD133:CG133)</f>
        <v>128</v>
      </c>
      <c r="CI133" s="829">
        <v>29</v>
      </c>
      <c r="CJ133" s="829">
        <v>29</v>
      </c>
      <c r="CK133" s="829">
        <v>28</v>
      </c>
      <c r="CL133" s="829">
        <v>33</v>
      </c>
      <c r="CM133" s="266">
        <f>SUM(CI133:CL133)</f>
        <v>119</v>
      </c>
      <c r="CN133" s="829">
        <v>28</v>
      </c>
      <c r="CO133" s="829">
        <v>32</v>
      </c>
      <c r="CP133" s="829">
        <v>35</v>
      </c>
      <c r="CQ133" s="829">
        <v>34</v>
      </c>
      <c r="CR133" s="103">
        <f>SUM(CN133:CQ133)</f>
        <v>129</v>
      </c>
      <c r="CS133" s="829">
        <v>65.23</v>
      </c>
      <c r="CT133" s="829">
        <v>66.748999999999995</v>
      </c>
      <c r="CU133" s="829">
        <v>68.088999999999999</v>
      </c>
      <c r="CV133" s="829">
        <v>68.899000000000001</v>
      </c>
      <c r="CW133" s="103">
        <f>SUM(CS133:CV133)</f>
        <v>268.96699999999998</v>
      </c>
      <c r="CX133" s="829">
        <v>63.986999999999995</v>
      </c>
      <c r="CY133" s="829">
        <v>64.984999999999999</v>
      </c>
      <c r="CZ133" s="829">
        <v>60.625</v>
      </c>
      <c r="DA133" s="829">
        <v>58.228000000000002</v>
      </c>
      <c r="DB133" s="103">
        <f>SUM(CX133:DA133)</f>
        <v>247.82499999999999</v>
      </c>
      <c r="DC133" s="829">
        <v>58.871000000000002</v>
      </c>
      <c r="DD133" s="829">
        <v>56</v>
      </c>
      <c r="DE133" s="829">
        <v>50</v>
      </c>
      <c r="DF133" s="829">
        <v>51</v>
      </c>
      <c r="DG133" s="103">
        <f>SUM(DC133:DF133)</f>
        <v>215.87100000000001</v>
      </c>
      <c r="DH133" s="829">
        <v>40</v>
      </c>
      <c r="DI133" s="829">
        <v>38</v>
      </c>
      <c r="DJ133" s="829">
        <v>35</v>
      </c>
      <c r="DK133" s="829">
        <v>35</v>
      </c>
      <c r="DL133" s="103">
        <f>SUM(DH133:DK133)</f>
        <v>148</v>
      </c>
      <c r="DM133" s="829">
        <v>29</v>
      </c>
      <c r="DN133" s="829">
        <v>33</v>
      </c>
      <c r="DO133" s="829">
        <v>35</v>
      </c>
      <c r="DP133" s="829">
        <v>33</v>
      </c>
      <c r="DQ133" s="103">
        <f>SUM(DM133:DP133)</f>
        <v>130</v>
      </c>
      <c r="DR133" s="829">
        <v>33</v>
      </c>
      <c r="DS133" s="829">
        <v>34</v>
      </c>
      <c r="DT133" s="829">
        <v>31</v>
      </c>
      <c r="DU133" s="829">
        <v>32</v>
      </c>
      <c r="DV133" s="103">
        <f>SUM(DR133:DU133)</f>
        <v>130</v>
      </c>
      <c r="DW133" s="829">
        <v>32</v>
      </c>
      <c r="DX133" s="829">
        <v>29</v>
      </c>
      <c r="DY133" s="829">
        <v>31</v>
      </c>
      <c r="DZ133" s="829">
        <v>28</v>
      </c>
      <c r="EA133" s="103">
        <f>SUM(DW133:DZ133)</f>
        <v>120</v>
      </c>
      <c r="EB133" s="829">
        <v>30</v>
      </c>
      <c r="EC133" s="829">
        <v>32</v>
      </c>
      <c r="ED133" s="829">
        <v>31</v>
      </c>
      <c r="EE133" s="829">
        <v>30</v>
      </c>
      <c r="EF133" s="103">
        <f>SUM(EB133:EE133)</f>
        <v>123</v>
      </c>
      <c r="EG133" s="829">
        <v>29</v>
      </c>
      <c r="EH133" s="829">
        <v>27</v>
      </c>
      <c r="EI133" s="829">
        <v>28</v>
      </c>
      <c r="EJ133" s="829">
        <v>30</v>
      </c>
      <c r="EK133" s="889">
        <f>SUM(EG133:EJ133)</f>
        <v>114</v>
      </c>
      <c r="EL133" s="829">
        <v>29</v>
      </c>
      <c r="EM133" s="829">
        <v>27</v>
      </c>
      <c r="EN133" s="829">
        <v>28</v>
      </c>
      <c r="EO133" s="829">
        <v>30</v>
      </c>
      <c r="EP133" s="103">
        <f>SUM(EL133:EO133)</f>
        <v>114</v>
      </c>
      <c r="EQ133" s="47">
        <f>+EO133+3</f>
        <v>33</v>
      </c>
      <c r="ER133" s="47">
        <f>+EQ133</f>
        <v>33</v>
      </c>
      <c r="ES133" s="47">
        <f>+ER133+1</f>
        <v>34</v>
      </c>
      <c r="ET133" s="47">
        <f>+ES133</f>
        <v>34</v>
      </c>
      <c r="EU133" s="103">
        <f>SUM(EQ133:ET133)</f>
        <v>134</v>
      </c>
      <c r="EV133" s="47"/>
      <c r="EW133" s="47"/>
      <c r="EX133" s="47"/>
      <c r="EY133" s="47"/>
      <c r="EZ133" s="118">
        <v>137.96873350923485</v>
      </c>
      <c r="FA133" s="47"/>
      <c r="FB133" s="47"/>
      <c r="FC133" s="47"/>
      <c r="FD133" s="47"/>
      <c r="FE133" s="118">
        <v>137.27928759894459</v>
      </c>
      <c r="FF133" s="47"/>
      <c r="FG133" s="458"/>
      <c r="FL133" s="425"/>
      <c r="FN133" s="425"/>
      <c r="FO133" s="384"/>
      <c r="FP133" s="384"/>
      <c r="FQ133" s="384"/>
      <c r="FR133" s="384"/>
      <c r="FS133" s="384"/>
      <c r="FT133" s="460"/>
    </row>
    <row r="134" spans="1:184" ht="12.75" customHeight="1" x14ac:dyDescent="0.2">
      <c r="A134" s="26" t="s">
        <v>37</v>
      </c>
      <c r="B134" s="175">
        <f t="shared" ref="B134:AG134" si="737">B133-B135-B129</f>
        <v>2.3960000000000008</v>
      </c>
      <c r="C134" s="175">
        <f t="shared" si="737"/>
        <v>3.2059999999999995</v>
      </c>
      <c r="D134" s="175">
        <f t="shared" si="737"/>
        <v>2.8100000000000005</v>
      </c>
      <c r="E134" s="175">
        <f t="shared" si="737"/>
        <v>-18.021999999999998</v>
      </c>
      <c r="F134" s="269">
        <f t="shared" si="737"/>
        <v>38.143999999999998</v>
      </c>
      <c r="G134" s="175">
        <f t="shared" si="737"/>
        <v>2.8039999999999994</v>
      </c>
      <c r="H134" s="175">
        <f t="shared" si="737"/>
        <v>3.5900000000000003</v>
      </c>
      <c r="I134" s="175">
        <f t="shared" si="737"/>
        <v>5.2969999999999997</v>
      </c>
      <c r="J134" s="175">
        <f t="shared" si="737"/>
        <v>-16.950000000000003</v>
      </c>
      <c r="K134" s="269">
        <f t="shared" si="737"/>
        <v>48.367000000000004</v>
      </c>
      <c r="L134" s="175">
        <f t="shared" si="737"/>
        <v>7.3460000000000001</v>
      </c>
      <c r="M134" s="175">
        <f t="shared" si="737"/>
        <v>7.1750000000000007</v>
      </c>
      <c r="N134" s="175">
        <f t="shared" si="737"/>
        <v>9.9540000000000006</v>
      </c>
      <c r="O134" s="175">
        <f t="shared" si="737"/>
        <v>-13.426999999999998</v>
      </c>
      <c r="P134" s="269">
        <f t="shared" si="737"/>
        <v>63.731999999999999</v>
      </c>
      <c r="Q134" s="175">
        <f t="shared" si="737"/>
        <v>7.9089999999999989</v>
      </c>
      <c r="R134" s="175">
        <f t="shared" si="737"/>
        <v>6.1400000000000006</v>
      </c>
      <c r="S134" s="175">
        <f t="shared" si="737"/>
        <v>7.1739999999999995</v>
      </c>
      <c r="T134" s="175">
        <f t="shared" si="737"/>
        <v>-17.531999999999993</v>
      </c>
      <c r="U134" s="269">
        <f t="shared" si="737"/>
        <v>65.137</v>
      </c>
      <c r="V134" s="175">
        <f t="shared" si="737"/>
        <v>6.355999999999999</v>
      </c>
      <c r="W134" s="175">
        <f t="shared" si="737"/>
        <v>4.8149999999999995</v>
      </c>
      <c r="X134" s="175">
        <f t="shared" si="737"/>
        <v>4.7280000000000006</v>
      </c>
      <c r="Y134" s="175">
        <f t="shared" si="737"/>
        <v>1.9800000000000004</v>
      </c>
      <c r="Z134" s="269">
        <f t="shared" si="737"/>
        <v>17.878999999999994</v>
      </c>
      <c r="AA134" s="175">
        <f t="shared" si="737"/>
        <v>3.3090000000000006</v>
      </c>
      <c r="AB134" s="175">
        <f t="shared" si="737"/>
        <v>1.1540000000000008</v>
      </c>
      <c r="AC134" s="175">
        <f t="shared" si="737"/>
        <v>-6.6000000000000725E-2</v>
      </c>
      <c r="AD134" s="175">
        <f t="shared" si="737"/>
        <v>-75.881</v>
      </c>
      <c r="AE134" s="269">
        <f t="shared" si="737"/>
        <v>-71.483999999999995</v>
      </c>
      <c r="AF134" s="175">
        <f t="shared" si="737"/>
        <v>3.9449999999999994</v>
      </c>
      <c r="AG134" s="175">
        <f t="shared" si="737"/>
        <v>3.8600000000000003</v>
      </c>
      <c r="AH134" s="175">
        <f t="shared" ref="AH134:BM134" si="738">AH133-AH135-AH129</f>
        <v>2.2279999999999998</v>
      </c>
      <c r="AI134" s="175">
        <f t="shared" si="738"/>
        <v>1.1720000000000006</v>
      </c>
      <c r="AJ134" s="269">
        <f t="shared" si="738"/>
        <v>11.204999999999995</v>
      </c>
      <c r="AK134" s="175">
        <f t="shared" si="738"/>
        <v>2.8410000000000011</v>
      </c>
      <c r="AL134" s="175">
        <f t="shared" si="738"/>
        <v>2.3690000000000015</v>
      </c>
      <c r="AM134" s="175">
        <f t="shared" si="738"/>
        <v>1.2410000000000014</v>
      </c>
      <c r="AN134" s="175">
        <f t="shared" si="738"/>
        <v>0.60800000000000054</v>
      </c>
      <c r="AO134" s="269">
        <f t="shared" si="738"/>
        <v>7.0589999999999975</v>
      </c>
      <c r="AP134" s="175">
        <f t="shared" si="738"/>
        <v>1.660000000000001</v>
      </c>
      <c r="AQ134" s="175">
        <f t="shared" si="738"/>
        <v>-1.3930000000000007</v>
      </c>
      <c r="AR134" s="175">
        <f t="shared" si="738"/>
        <v>-1.1669999999999998</v>
      </c>
      <c r="AS134" s="175">
        <f t="shared" si="738"/>
        <v>0.50500000000000078</v>
      </c>
      <c r="AT134" s="269">
        <f t="shared" si="738"/>
        <v>-0.39499999999999957</v>
      </c>
      <c r="AU134" s="175">
        <f t="shared" si="738"/>
        <v>0.86800000000000033</v>
      </c>
      <c r="AV134" s="175">
        <f t="shared" si="738"/>
        <v>-2.6520000000000001</v>
      </c>
      <c r="AW134" s="175">
        <f t="shared" si="738"/>
        <v>-1.548</v>
      </c>
      <c r="AX134" s="175">
        <f t="shared" si="738"/>
        <v>1.0149999999999997</v>
      </c>
      <c r="AY134" s="269">
        <f t="shared" si="738"/>
        <v>-2.3170000000000073</v>
      </c>
      <c r="AZ134" s="175">
        <f t="shared" si="738"/>
        <v>3.5729999999999977</v>
      </c>
      <c r="BA134" s="175">
        <f t="shared" si="738"/>
        <v>2.5999999999999801E-2</v>
      </c>
      <c r="BB134" s="175">
        <f t="shared" si="738"/>
        <v>-1.1750000000000025</v>
      </c>
      <c r="BC134" s="175">
        <f t="shared" si="738"/>
        <v>-0.15799999999999947</v>
      </c>
      <c r="BD134" s="269">
        <f t="shared" si="738"/>
        <v>2.2659999999999911</v>
      </c>
      <c r="BE134" s="175">
        <f t="shared" si="738"/>
        <v>1.9310000000000009</v>
      </c>
      <c r="BF134" s="175">
        <f t="shared" si="738"/>
        <v>0.58399999999999963</v>
      </c>
      <c r="BG134" s="175">
        <f t="shared" si="738"/>
        <v>-2.0499999999999989</v>
      </c>
      <c r="BH134" s="175">
        <f t="shared" si="738"/>
        <v>6.224000000000002</v>
      </c>
      <c r="BI134" s="269">
        <f t="shared" si="738"/>
        <v>6.6890000000000001</v>
      </c>
      <c r="BJ134" s="175">
        <f t="shared" si="738"/>
        <v>12.500999999999999</v>
      </c>
      <c r="BK134" s="175">
        <f t="shared" si="738"/>
        <v>13</v>
      </c>
      <c r="BL134" s="175">
        <f t="shared" si="738"/>
        <v>12.542999999999999</v>
      </c>
      <c r="BM134" s="175">
        <f t="shared" si="738"/>
        <v>14.646000000000001</v>
      </c>
      <c r="BN134" s="269">
        <f t="shared" ref="BN134:CS134" si="739">BN133-BN135-BN129</f>
        <v>52.689999999999991</v>
      </c>
      <c r="BO134" s="175">
        <f t="shared" si="739"/>
        <v>14</v>
      </c>
      <c r="BP134" s="175">
        <f t="shared" si="739"/>
        <v>8</v>
      </c>
      <c r="BQ134" s="175">
        <f t="shared" si="739"/>
        <v>7</v>
      </c>
      <c r="BR134" s="175">
        <f t="shared" si="739"/>
        <v>4</v>
      </c>
      <c r="BS134" s="269">
        <f t="shared" si="739"/>
        <v>33</v>
      </c>
      <c r="BT134" s="175">
        <f t="shared" si="739"/>
        <v>5</v>
      </c>
      <c r="BU134" s="175">
        <f t="shared" si="739"/>
        <v>7</v>
      </c>
      <c r="BV134" s="175">
        <f t="shared" si="739"/>
        <v>6</v>
      </c>
      <c r="BW134" s="175">
        <f t="shared" si="739"/>
        <v>10</v>
      </c>
      <c r="BX134" s="269">
        <f t="shared" si="739"/>
        <v>28</v>
      </c>
      <c r="BY134" s="175">
        <f t="shared" si="739"/>
        <v>11</v>
      </c>
      <c r="BZ134" s="175">
        <f t="shared" si="739"/>
        <v>10</v>
      </c>
      <c r="CA134" s="175">
        <f t="shared" si="739"/>
        <v>9</v>
      </c>
      <c r="CB134" s="175">
        <f t="shared" si="739"/>
        <v>5</v>
      </c>
      <c r="CC134" s="269">
        <f t="shared" si="739"/>
        <v>35</v>
      </c>
      <c r="CD134" s="175">
        <f t="shared" si="739"/>
        <v>4</v>
      </c>
      <c r="CE134" s="175">
        <f t="shared" si="739"/>
        <v>-1</v>
      </c>
      <c r="CF134" s="175">
        <f t="shared" si="739"/>
        <v>-3</v>
      </c>
      <c r="CG134" s="175">
        <f t="shared" si="739"/>
        <v>-7</v>
      </c>
      <c r="CH134" s="269">
        <f t="shared" si="739"/>
        <v>-7</v>
      </c>
      <c r="CI134" s="175">
        <f t="shared" si="739"/>
        <v>4</v>
      </c>
      <c r="CJ134" s="175">
        <f t="shared" si="739"/>
        <v>1</v>
      </c>
      <c r="CK134" s="175">
        <f t="shared" si="739"/>
        <v>6</v>
      </c>
      <c r="CL134" s="175">
        <f t="shared" si="739"/>
        <v>15</v>
      </c>
      <c r="CM134" s="269">
        <f t="shared" si="739"/>
        <v>26</v>
      </c>
      <c r="CN134" s="175">
        <f t="shared" si="739"/>
        <v>13</v>
      </c>
      <c r="CO134" s="175">
        <f t="shared" si="739"/>
        <v>21</v>
      </c>
      <c r="CP134" s="175">
        <f t="shared" si="739"/>
        <v>22</v>
      </c>
      <c r="CQ134" s="175">
        <f t="shared" si="739"/>
        <v>22</v>
      </c>
      <c r="CR134" s="316">
        <f t="shared" si="739"/>
        <v>78</v>
      </c>
      <c r="CS134" s="175">
        <f t="shared" si="739"/>
        <v>54.212000000000003</v>
      </c>
      <c r="CT134" s="175">
        <f t="shared" ref="CT134:DS134" si="740">CT133-CT135-CT129</f>
        <v>57.324999999999996</v>
      </c>
      <c r="CU134" s="175">
        <f t="shared" si="740"/>
        <v>56.074999999999996</v>
      </c>
      <c r="CV134" s="175">
        <f t="shared" si="740"/>
        <v>59.960999999999999</v>
      </c>
      <c r="CW134" s="316">
        <f t="shared" si="740"/>
        <v>227.57299999999998</v>
      </c>
      <c r="CX134" s="175">
        <f t="shared" si="740"/>
        <v>54.948999999999991</v>
      </c>
      <c r="CY134" s="175">
        <f t="shared" si="740"/>
        <v>54.85</v>
      </c>
      <c r="CZ134" s="175">
        <f t="shared" si="740"/>
        <v>52.713000000000001</v>
      </c>
      <c r="DA134" s="175">
        <f t="shared" si="740"/>
        <v>50.247</v>
      </c>
      <c r="DB134" s="316">
        <f t="shared" si="740"/>
        <v>212.75899999999999</v>
      </c>
      <c r="DC134" s="175">
        <f t="shared" si="740"/>
        <v>52.265000000000008</v>
      </c>
      <c r="DD134" s="175">
        <f t="shared" si="740"/>
        <v>50</v>
      </c>
      <c r="DE134" s="175">
        <f t="shared" si="740"/>
        <v>46</v>
      </c>
      <c r="DF134" s="175">
        <f t="shared" si="740"/>
        <v>45</v>
      </c>
      <c r="DG134" s="316">
        <f t="shared" si="740"/>
        <v>193.26499999999999</v>
      </c>
      <c r="DH134" s="175">
        <f t="shared" si="740"/>
        <v>33</v>
      </c>
      <c r="DI134" s="175">
        <f t="shared" si="740"/>
        <v>30</v>
      </c>
      <c r="DJ134" s="175">
        <f t="shared" si="740"/>
        <v>28</v>
      </c>
      <c r="DK134" s="175">
        <f t="shared" si="740"/>
        <v>28</v>
      </c>
      <c r="DL134" s="316">
        <f t="shared" si="740"/>
        <v>119</v>
      </c>
      <c r="DM134" s="175">
        <f t="shared" si="740"/>
        <v>22</v>
      </c>
      <c r="DN134" s="175">
        <f t="shared" si="740"/>
        <v>23</v>
      </c>
      <c r="DO134" s="175">
        <f t="shared" si="740"/>
        <v>30</v>
      </c>
      <c r="DP134" s="175">
        <f t="shared" si="740"/>
        <v>25</v>
      </c>
      <c r="DQ134" s="316">
        <f t="shared" si="740"/>
        <v>100</v>
      </c>
      <c r="DR134" s="175">
        <f t="shared" si="740"/>
        <v>24</v>
      </c>
      <c r="DS134" s="175">
        <f t="shared" si="740"/>
        <v>26</v>
      </c>
      <c r="DT134" s="175">
        <f t="shared" ref="DT134:DY134" si="741">DT133-DT135-DT129</f>
        <v>23</v>
      </c>
      <c r="DU134" s="175">
        <f t="shared" si="741"/>
        <v>26</v>
      </c>
      <c r="DV134" s="316">
        <f t="shared" si="741"/>
        <v>99</v>
      </c>
      <c r="DW134" s="175">
        <f t="shared" si="741"/>
        <v>25</v>
      </c>
      <c r="DX134" s="175">
        <f t="shared" si="741"/>
        <v>20</v>
      </c>
      <c r="DY134" s="175">
        <f t="shared" si="741"/>
        <v>20</v>
      </c>
      <c r="DZ134" s="175">
        <f t="shared" ref="DZ134:ED134" si="742">DZ133-DZ135-DZ129</f>
        <v>15</v>
      </c>
      <c r="EA134" s="316">
        <f t="shared" si="742"/>
        <v>80</v>
      </c>
      <c r="EB134" s="175">
        <f t="shared" si="742"/>
        <v>14</v>
      </c>
      <c r="EC134" s="175">
        <f t="shared" si="742"/>
        <v>15</v>
      </c>
      <c r="ED134" s="175">
        <f t="shared" si="742"/>
        <v>13</v>
      </c>
      <c r="EE134" s="175">
        <f t="shared" ref="EE134:EI134" si="743">EE133-EE135-EE129</f>
        <v>11</v>
      </c>
      <c r="EF134" s="316">
        <f t="shared" si="743"/>
        <v>53</v>
      </c>
      <c r="EG134" s="175">
        <f t="shared" si="743"/>
        <v>11</v>
      </c>
      <c r="EH134" s="175">
        <f t="shared" si="743"/>
        <v>6</v>
      </c>
      <c r="EI134" s="175">
        <f t="shared" si="743"/>
        <v>4</v>
      </c>
      <c r="EJ134" s="175">
        <f t="shared" ref="EJ134" si="744">EJ133-EJ135-EJ129</f>
        <v>8</v>
      </c>
      <c r="EK134" s="316">
        <f t="shared" ref="EK134:EO134" si="745">EK133-EK135-EK129</f>
        <v>29</v>
      </c>
      <c r="EL134" s="175">
        <f t="shared" si="745"/>
        <v>11</v>
      </c>
      <c r="EM134" s="175">
        <f t="shared" si="745"/>
        <v>6</v>
      </c>
      <c r="EN134" s="175">
        <f t="shared" si="745"/>
        <v>4</v>
      </c>
      <c r="EO134" s="175">
        <f t="shared" si="745"/>
        <v>8</v>
      </c>
      <c r="EP134" s="316">
        <f t="shared" ref="EP134" si="746">EP133-EP135-EP129</f>
        <v>29</v>
      </c>
      <c r="EQ134" s="175">
        <f t="shared" ref="EQ134:EU134" si="747">EQ133-EQ135-EQ129</f>
        <v>10</v>
      </c>
      <c r="ER134" s="175">
        <f t="shared" si="747"/>
        <v>8</v>
      </c>
      <c r="ES134" s="175">
        <f t="shared" si="747"/>
        <v>10</v>
      </c>
      <c r="ET134" s="175">
        <f t="shared" si="747"/>
        <v>11</v>
      </c>
      <c r="EU134" s="316">
        <f t="shared" si="747"/>
        <v>39</v>
      </c>
      <c r="EV134" s="175"/>
      <c r="EW134" s="175"/>
      <c r="EX134" s="175"/>
      <c r="EY134" s="175"/>
      <c r="EZ134" s="316">
        <f t="shared" ref="EZ134" si="748">EZ133-EZ135-EZ129</f>
        <v>43.009118070201382</v>
      </c>
      <c r="FA134" s="175"/>
      <c r="FB134" s="175"/>
      <c r="FC134" s="175"/>
      <c r="FD134" s="175"/>
      <c r="FE134" s="316">
        <f t="shared" ref="FE134" si="749">FE133-FE135-FE129</f>
        <v>42.853915822538248</v>
      </c>
      <c r="FF134" s="33"/>
      <c r="FG134" s="460"/>
      <c r="FL134" s="525"/>
      <c r="FM134" s="425"/>
      <c r="FN134" s="384"/>
      <c r="FO134" s="384"/>
      <c r="FP134" s="384"/>
      <c r="FQ134" s="384"/>
      <c r="FR134" s="384"/>
      <c r="FS134" s="384"/>
      <c r="FT134" s="460"/>
    </row>
    <row r="135" spans="1:184" ht="12.75" customHeight="1" x14ac:dyDescent="0.2">
      <c r="A135" s="25" t="s">
        <v>64</v>
      </c>
      <c r="B135" s="827">
        <v>3.4009999999999998</v>
      </c>
      <c r="C135" s="827">
        <v>3.2</v>
      </c>
      <c r="D135" s="827">
        <v>3.5379999999999998</v>
      </c>
      <c r="E135" s="827">
        <f>(F135-SUM(B135:D135))*-1</f>
        <v>23.876999999999999</v>
      </c>
      <c r="F135" s="266">
        <v>-13.738</v>
      </c>
      <c r="G135" s="827">
        <v>3.5830000000000002</v>
      </c>
      <c r="H135" s="827">
        <v>3.9689999999999999</v>
      </c>
      <c r="I135" s="827">
        <v>3.96</v>
      </c>
      <c r="J135" s="827">
        <f>(K135-SUM(G135:I135))*-1</f>
        <v>26.813000000000002</v>
      </c>
      <c r="K135" s="266">
        <v>-15.301</v>
      </c>
      <c r="L135" s="827">
        <v>3.9750000000000001</v>
      </c>
      <c r="M135" s="827">
        <v>3.8079999999999998</v>
      </c>
      <c r="N135" s="827">
        <v>3.2090000000000001</v>
      </c>
      <c r="O135" s="827">
        <f>(P135-SUM(L135:N135))*-1</f>
        <v>26.341999999999999</v>
      </c>
      <c r="P135" s="266">
        <v>-15.35</v>
      </c>
      <c r="Q135" s="827">
        <v>4.6210000000000004</v>
      </c>
      <c r="R135" s="827">
        <v>4.3099999999999996</v>
      </c>
      <c r="S135" s="827">
        <v>4.0220000000000002</v>
      </c>
      <c r="T135" s="827">
        <f>(U135-SUM(Q135:S135))*-1</f>
        <v>30.722999999999999</v>
      </c>
      <c r="U135" s="266">
        <v>-17.77</v>
      </c>
      <c r="V135" s="827">
        <v>5.5090000000000003</v>
      </c>
      <c r="W135" s="827">
        <v>6.3070000000000004</v>
      </c>
      <c r="X135" s="827">
        <v>6.5819999999999999</v>
      </c>
      <c r="Y135" s="827">
        <v>7.9249999999999998</v>
      </c>
      <c r="Z135" s="266">
        <f>SUM(V135:Y135)</f>
        <v>26.323</v>
      </c>
      <c r="AA135" s="827">
        <v>8.4849999999999994</v>
      </c>
      <c r="AB135" s="827">
        <v>8.4149999999999991</v>
      </c>
      <c r="AC135" s="827">
        <v>8.2550000000000008</v>
      </c>
      <c r="AD135" s="827">
        <f>(-31.371-SUM(AA135:AC135))*-1</f>
        <v>56.525999999999996</v>
      </c>
      <c r="AE135" s="266">
        <f>SUM(AA135:AD135)</f>
        <v>81.680999999999997</v>
      </c>
      <c r="AF135" s="827">
        <v>6.9039999999999999</v>
      </c>
      <c r="AG135" s="827">
        <v>5.8170000000000002</v>
      </c>
      <c r="AH135" s="827">
        <v>5.0090000000000003</v>
      </c>
      <c r="AI135" s="827">
        <v>4.5369999999999999</v>
      </c>
      <c r="AJ135" s="266">
        <f>SUM(AF135:AI135)</f>
        <v>22.266999999999999</v>
      </c>
      <c r="AK135" s="827">
        <v>4.4219999999999997</v>
      </c>
      <c r="AL135" s="827">
        <v>4.3170000000000002</v>
      </c>
      <c r="AM135" s="827">
        <v>5.7089999999999996</v>
      </c>
      <c r="AN135" s="827">
        <v>5.3310000000000004</v>
      </c>
      <c r="AO135" s="266">
        <f>SUM(AK135:AN135)</f>
        <v>19.779</v>
      </c>
      <c r="AP135" s="827">
        <v>6.2359999999999998</v>
      </c>
      <c r="AQ135" s="827">
        <v>6.4809999999999999</v>
      </c>
      <c r="AR135" s="827">
        <v>6.093</v>
      </c>
      <c r="AS135" s="827">
        <v>6.7779999999999996</v>
      </c>
      <c r="AT135" s="266">
        <f>SUM(AP135:AS135)</f>
        <v>25.587999999999997</v>
      </c>
      <c r="AU135" s="827">
        <v>6.984</v>
      </c>
      <c r="AV135" s="827">
        <v>9.109</v>
      </c>
      <c r="AW135" s="827">
        <v>8.3369999999999997</v>
      </c>
      <c r="AX135" s="827">
        <v>6.8319999999999999</v>
      </c>
      <c r="AY135" s="266">
        <f>SUM(AU135:AX135)</f>
        <v>31.262</v>
      </c>
      <c r="AZ135" s="827">
        <v>7.0010000000000003</v>
      </c>
      <c r="BA135" s="827">
        <v>6.9050000000000002</v>
      </c>
      <c r="BB135" s="827">
        <v>7.03</v>
      </c>
      <c r="BC135" s="827">
        <v>6.6150000000000002</v>
      </c>
      <c r="BD135" s="266">
        <f>SUM(AZ135:BC135)</f>
        <v>27.551000000000002</v>
      </c>
      <c r="BE135" s="827">
        <v>6.1989999999999998</v>
      </c>
      <c r="BF135" s="827">
        <v>5.64</v>
      </c>
      <c r="BG135" s="827">
        <v>6.07</v>
      </c>
      <c r="BH135" s="827">
        <v>2.6669999999999998</v>
      </c>
      <c r="BI135" s="266">
        <f>SUM(BE135:BH135)</f>
        <v>20.576000000000001</v>
      </c>
      <c r="BJ135" s="827">
        <v>4.3869999999999996</v>
      </c>
      <c r="BK135" s="827">
        <v>5</v>
      </c>
      <c r="BL135" s="827">
        <v>4.3440000000000003</v>
      </c>
      <c r="BM135" s="827">
        <v>3.8969999999999998</v>
      </c>
      <c r="BN135" s="266">
        <f>SUM(BJ135:BM135)</f>
        <v>17.628</v>
      </c>
      <c r="BO135" s="827">
        <v>7</v>
      </c>
      <c r="BP135" s="827">
        <v>8</v>
      </c>
      <c r="BQ135" s="827">
        <v>8</v>
      </c>
      <c r="BR135" s="827">
        <v>10</v>
      </c>
      <c r="BS135" s="266">
        <f>SUM(BO135:BR135)</f>
        <v>33</v>
      </c>
      <c r="BT135" s="827">
        <v>10</v>
      </c>
      <c r="BU135" s="827">
        <v>10</v>
      </c>
      <c r="BV135" s="827">
        <v>10</v>
      </c>
      <c r="BW135" s="827">
        <v>9</v>
      </c>
      <c r="BX135" s="266">
        <f>SUM(BT135:BW135)</f>
        <v>39</v>
      </c>
      <c r="BY135" s="827">
        <v>9</v>
      </c>
      <c r="BZ135" s="827">
        <v>9</v>
      </c>
      <c r="CA135" s="827">
        <v>10</v>
      </c>
      <c r="CB135" s="827">
        <v>11</v>
      </c>
      <c r="CC135" s="266">
        <f>SUM(BY135:CB135)</f>
        <v>39</v>
      </c>
      <c r="CD135" s="827">
        <v>12</v>
      </c>
      <c r="CE135" s="827">
        <v>14</v>
      </c>
      <c r="CF135" s="827">
        <v>12</v>
      </c>
      <c r="CG135" s="827">
        <v>13</v>
      </c>
      <c r="CH135" s="266">
        <f>SUM(CD135:CG135)</f>
        <v>51</v>
      </c>
      <c r="CI135" s="827">
        <v>12</v>
      </c>
      <c r="CJ135" s="827">
        <v>14</v>
      </c>
      <c r="CK135" s="827">
        <v>13</v>
      </c>
      <c r="CL135" s="827">
        <v>10</v>
      </c>
      <c r="CM135" s="266">
        <f>SUM(CI135:CL135)</f>
        <v>49</v>
      </c>
      <c r="CN135" s="827">
        <v>8</v>
      </c>
      <c r="CO135" s="827">
        <v>6</v>
      </c>
      <c r="CP135" s="827">
        <v>6</v>
      </c>
      <c r="CQ135" s="827">
        <v>5</v>
      </c>
      <c r="CR135" s="103">
        <f>SUM(CN135:CQ135)</f>
        <v>25</v>
      </c>
      <c r="CS135" s="827">
        <v>6.34</v>
      </c>
      <c r="CT135" s="827">
        <v>5.7249999999999996</v>
      </c>
      <c r="CU135" s="827">
        <v>5.1790000000000003</v>
      </c>
      <c r="CV135" s="827">
        <v>5.4480000000000004</v>
      </c>
      <c r="CW135" s="103">
        <f>SUM(CS135:CV135)</f>
        <v>22.692</v>
      </c>
      <c r="CX135" s="827">
        <v>5.5110000000000001</v>
      </c>
      <c r="CY135" s="827">
        <v>5.5220000000000002</v>
      </c>
      <c r="CZ135" s="827">
        <v>5.39</v>
      </c>
      <c r="DA135" s="827">
        <v>4.6319999999999997</v>
      </c>
      <c r="DB135" s="103">
        <f>SUM(CX135:DA135)</f>
        <v>21.055</v>
      </c>
      <c r="DC135" s="827">
        <v>3.3180000000000001</v>
      </c>
      <c r="DD135" s="827">
        <v>3</v>
      </c>
      <c r="DE135" s="827">
        <v>3</v>
      </c>
      <c r="DF135" s="827">
        <v>4</v>
      </c>
      <c r="DG135" s="103">
        <f>SUM(DC135:DF135)</f>
        <v>13.318</v>
      </c>
      <c r="DH135" s="827">
        <v>5</v>
      </c>
      <c r="DI135" s="827">
        <v>6</v>
      </c>
      <c r="DJ135" s="827">
        <v>5</v>
      </c>
      <c r="DK135" s="827">
        <v>5</v>
      </c>
      <c r="DL135" s="103">
        <f>SUM(DH135:DK135)</f>
        <v>21</v>
      </c>
      <c r="DM135" s="827">
        <v>5</v>
      </c>
      <c r="DN135" s="827">
        <v>8</v>
      </c>
      <c r="DO135" s="827">
        <v>4</v>
      </c>
      <c r="DP135" s="827">
        <v>7</v>
      </c>
      <c r="DQ135" s="103">
        <f>SUM(DM135:DP135)</f>
        <v>24</v>
      </c>
      <c r="DR135" s="827">
        <v>7</v>
      </c>
      <c r="DS135" s="827">
        <v>6</v>
      </c>
      <c r="DT135" s="827">
        <v>6</v>
      </c>
      <c r="DU135" s="827">
        <v>5</v>
      </c>
      <c r="DV135" s="103">
        <f>SUM(DR135:DU135)</f>
        <v>24</v>
      </c>
      <c r="DW135" s="827">
        <v>6</v>
      </c>
      <c r="DX135" s="827">
        <v>7</v>
      </c>
      <c r="DY135" s="827">
        <v>9</v>
      </c>
      <c r="DZ135" s="827">
        <v>9</v>
      </c>
      <c r="EA135" s="103">
        <f>SUM(DW135:DZ135)</f>
        <v>31</v>
      </c>
      <c r="EB135" s="827">
        <v>11</v>
      </c>
      <c r="EC135" s="827">
        <v>11</v>
      </c>
      <c r="ED135" s="827">
        <v>12</v>
      </c>
      <c r="EE135" s="827">
        <v>12</v>
      </c>
      <c r="EF135" s="103">
        <f>SUM(EB135:EE135)</f>
        <v>46</v>
      </c>
      <c r="EG135" s="827">
        <v>11</v>
      </c>
      <c r="EH135" s="827">
        <v>13</v>
      </c>
      <c r="EI135" s="827">
        <v>15</v>
      </c>
      <c r="EJ135" s="827">
        <v>11</v>
      </c>
      <c r="EK135" s="889">
        <f>SUM(EG135:EJ135)</f>
        <v>50</v>
      </c>
      <c r="EL135" s="827">
        <v>11</v>
      </c>
      <c r="EM135" s="827">
        <v>13</v>
      </c>
      <c r="EN135" s="827">
        <v>15</v>
      </c>
      <c r="EO135" s="827">
        <v>11</v>
      </c>
      <c r="EP135" s="103">
        <f>SUM(EL135:EO135)</f>
        <v>50</v>
      </c>
      <c r="EQ135" s="47">
        <f>EO135</f>
        <v>11</v>
      </c>
      <c r="ER135" s="47">
        <f>EQ135</f>
        <v>11</v>
      </c>
      <c r="ES135" s="47">
        <f>ER135</f>
        <v>11</v>
      </c>
      <c r="ET135" s="47">
        <f>ES135</f>
        <v>11</v>
      </c>
      <c r="EU135" s="103">
        <f>SUM(EQ135:ET135)</f>
        <v>44</v>
      </c>
      <c r="EV135" s="47"/>
      <c r="EW135" s="47"/>
      <c r="EX135" s="47"/>
      <c r="EY135" s="47"/>
      <c r="EZ135" s="118">
        <f>EU135</f>
        <v>44</v>
      </c>
      <c r="FA135" s="47"/>
      <c r="FB135" s="47"/>
      <c r="FC135" s="47"/>
      <c r="FD135" s="47"/>
      <c r="FE135" s="118">
        <f>EZ135</f>
        <v>44</v>
      </c>
      <c r="FF135" s="47"/>
      <c r="FG135" s="458"/>
      <c r="FL135" s="423"/>
      <c r="FM135" s="425"/>
      <c r="FN135" s="384"/>
      <c r="FO135" s="384"/>
      <c r="FP135" s="384"/>
      <c r="FQ135" s="384"/>
      <c r="FR135" s="384"/>
      <c r="FS135" s="384"/>
      <c r="FT135" s="460"/>
    </row>
    <row r="136" spans="1:184" ht="12.75" customHeight="1" x14ac:dyDescent="0.2">
      <c r="A136" s="25" t="s">
        <v>57</v>
      </c>
      <c r="B136" s="827">
        <v>-2.274</v>
      </c>
      <c r="C136" s="827">
        <v>0.70099999999999996</v>
      </c>
      <c r="D136" s="827">
        <v>-2.6920000000000002</v>
      </c>
      <c r="E136" s="827">
        <f>F136-SUM(B136:D136)</f>
        <v>0.72300000000000075</v>
      </c>
      <c r="F136" s="266">
        <v>-3.5419999999999998</v>
      </c>
      <c r="G136" s="827">
        <v>-0.23899999999999999</v>
      </c>
      <c r="H136" s="827">
        <v>-1.7999999999999999E-2</v>
      </c>
      <c r="I136" s="827">
        <v>4.4999999999999998E-2</v>
      </c>
      <c r="J136" s="827">
        <f>K136-SUM(G136:I136)</f>
        <v>1.1719999999999999</v>
      </c>
      <c r="K136" s="266">
        <v>0.96</v>
      </c>
      <c r="L136" s="827">
        <v>1.86</v>
      </c>
      <c r="M136" s="827">
        <v>1.2E-2</v>
      </c>
      <c r="N136" s="827">
        <v>1.2999999999999999E-2</v>
      </c>
      <c r="O136" s="827">
        <f>P136-SUM(L136:N136)</f>
        <v>1.4139999999999999</v>
      </c>
      <c r="P136" s="266">
        <v>3.2989999999999999</v>
      </c>
      <c r="Q136" s="827">
        <v>1.7999999999999999E-2</v>
      </c>
      <c r="R136" s="827">
        <v>0.82799999999999996</v>
      </c>
      <c r="S136" s="827">
        <v>1.722</v>
      </c>
      <c r="T136" s="827">
        <f>U136-SUM(Q136:S136)</f>
        <v>0.17099999999999982</v>
      </c>
      <c r="U136" s="266">
        <v>2.7389999999999999</v>
      </c>
      <c r="V136" s="827">
        <v>0.152</v>
      </c>
      <c r="W136" s="827">
        <v>-0.13700000000000001</v>
      </c>
      <c r="X136" s="827">
        <v>-0.14599999999999999</v>
      </c>
      <c r="Y136" s="827">
        <v>-0.56200000000000006</v>
      </c>
      <c r="Z136" s="266">
        <f>SUM(V136:Y136)</f>
        <v>-0.69300000000000006</v>
      </c>
      <c r="AA136" s="827">
        <v>6.6000000000000003E-2</v>
      </c>
      <c r="AB136" s="827">
        <v>1.47</v>
      </c>
      <c r="AC136" s="827">
        <v>-5.0999999999999997E-2</v>
      </c>
      <c r="AD136" s="827">
        <f>1.047-SUM(AA136:AC136)</f>
        <v>-0.43800000000000017</v>
      </c>
      <c r="AE136" s="266">
        <f>SUM(AA136:AD136)</f>
        <v>1.0469999999999999</v>
      </c>
      <c r="AF136" s="827">
        <v>-1.323</v>
      </c>
      <c r="AG136" s="827">
        <v>-1.643</v>
      </c>
      <c r="AH136" s="827">
        <v>0.46300000000000002</v>
      </c>
      <c r="AI136" s="827">
        <v>0.77100000000000002</v>
      </c>
      <c r="AJ136" s="266">
        <f>SUM(AF136:AI136)</f>
        <v>-1.7320000000000002</v>
      </c>
      <c r="AK136" s="827">
        <v>0.96099999999999997</v>
      </c>
      <c r="AL136" s="827">
        <v>0.215</v>
      </c>
      <c r="AM136" s="827">
        <v>0.14199999999999999</v>
      </c>
      <c r="AN136" s="827">
        <v>-1.097</v>
      </c>
      <c r="AO136" s="266">
        <f>SUM(AK136:AN136)</f>
        <v>0.22099999999999986</v>
      </c>
      <c r="AP136" s="827">
        <v>-4.024</v>
      </c>
      <c r="AQ136" s="827">
        <v>-6.6059999999999999</v>
      </c>
      <c r="AR136" s="827">
        <v>-5.9690000000000003</v>
      </c>
      <c r="AS136" s="827">
        <v>-4.5069999999999997</v>
      </c>
      <c r="AT136" s="266">
        <f>SUM(AP136:AS136)</f>
        <v>-21.106000000000002</v>
      </c>
      <c r="AU136" s="827">
        <v>9.6470000000000002</v>
      </c>
      <c r="AV136" s="827">
        <v>0.38500000000000001</v>
      </c>
      <c r="AW136" s="827">
        <v>6.2E-2</v>
      </c>
      <c r="AX136" s="827">
        <v>0.188</v>
      </c>
      <c r="AY136" s="266">
        <f>SUM(AU136:AX136)</f>
        <v>10.282</v>
      </c>
      <c r="AZ136" s="827">
        <v>-4.1379999999999999</v>
      </c>
      <c r="BA136" s="827">
        <v>3.6669999999999998</v>
      </c>
      <c r="BB136" s="827">
        <v>0.21099999999999999</v>
      </c>
      <c r="BC136" s="827">
        <v>1.7749999999999999</v>
      </c>
      <c r="BD136" s="266">
        <f>SUM(AZ136:BC136)</f>
        <v>1.5149999999999997</v>
      </c>
      <c r="BE136" s="827">
        <v>11.724</v>
      </c>
      <c r="BF136" s="827">
        <v>2.827</v>
      </c>
      <c r="BG136" s="827">
        <f>-150.834</f>
        <v>-150.834</v>
      </c>
      <c r="BH136" s="827">
        <f>BI136-BG136-BF136-BE136</f>
        <v>-66.942999999999998</v>
      </c>
      <c r="BI136" s="266">
        <v>-203.226</v>
      </c>
      <c r="BJ136" s="827">
        <v>1.6679999999999999</v>
      </c>
      <c r="BK136" s="827">
        <v>7</v>
      </c>
      <c r="BL136" s="827">
        <f>-45.726+48</f>
        <v>2.2740000000000009</v>
      </c>
      <c r="BM136" s="827">
        <v>9.2629999999999999</v>
      </c>
      <c r="BN136" s="266">
        <f>SUM(BJ136:BM136)</f>
        <v>20.204999999999998</v>
      </c>
      <c r="BO136" s="827">
        <v>-7</v>
      </c>
      <c r="BP136" s="827">
        <f>-265+271</f>
        <v>6</v>
      </c>
      <c r="BQ136" s="827">
        <v>7</v>
      </c>
      <c r="BR136" s="827">
        <v>6</v>
      </c>
      <c r="BS136" s="266">
        <f>SUM(BO136:BR136)</f>
        <v>12</v>
      </c>
      <c r="BT136" s="827">
        <v>0</v>
      </c>
      <c r="BU136" s="827">
        <v>11</v>
      </c>
      <c r="BV136" s="827">
        <v>4</v>
      </c>
      <c r="BW136" s="827">
        <v>21</v>
      </c>
      <c r="BX136" s="266">
        <f>SUM(BT136:BW136)</f>
        <v>36</v>
      </c>
      <c r="BY136" s="827">
        <f>-19+10+13+4</f>
        <v>8</v>
      </c>
      <c r="BZ136" s="827">
        <v>11</v>
      </c>
      <c r="CA136" s="827">
        <f>-104+87+55</f>
        <v>38</v>
      </c>
      <c r="CB136" s="827">
        <f>22-24</f>
        <v>-2</v>
      </c>
      <c r="CC136" s="266">
        <f>SUM(BY136:CB136)</f>
        <v>55</v>
      </c>
      <c r="CD136" s="827">
        <f>-2+40-17-10</f>
        <v>11</v>
      </c>
      <c r="CE136" s="827">
        <f>-112+88+7+28+1</f>
        <v>12</v>
      </c>
      <c r="CF136" s="827">
        <f>186-123-18-32</f>
        <v>13</v>
      </c>
      <c r="CG136" s="827">
        <f>80-34-28-2</f>
        <v>16</v>
      </c>
      <c r="CH136" s="266">
        <f>SUM(CD136:CG136)</f>
        <v>52</v>
      </c>
      <c r="CI136" s="827">
        <f>-68+85-6+4</f>
        <v>15</v>
      </c>
      <c r="CJ136" s="827">
        <f>-120+129-4+9</f>
        <v>14</v>
      </c>
      <c r="CK136" s="827">
        <f>-32+44+11-7</f>
        <v>16</v>
      </c>
      <c r="CL136" s="827">
        <f>-72+38+45+11</f>
        <v>22</v>
      </c>
      <c r="CM136" s="266">
        <f>SUM(CI136:CL136)</f>
        <v>67</v>
      </c>
      <c r="CN136" s="827">
        <f>38-7-16</f>
        <v>15</v>
      </c>
      <c r="CO136" s="827">
        <f>-345+369-14+6</f>
        <v>16</v>
      </c>
      <c r="CP136" s="827">
        <f>269-202-36-9</f>
        <v>22</v>
      </c>
      <c r="CQ136" s="827">
        <f>131-51-62+3</f>
        <v>21</v>
      </c>
      <c r="CR136" s="103">
        <f>SUM(CN136:CQ136)</f>
        <v>74</v>
      </c>
      <c r="CS136" s="827">
        <v>35.395000000000003</v>
      </c>
      <c r="CT136" s="827">
        <v>40.707999999999998</v>
      </c>
      <c r="CU136" s="827">
        <v>41.232999999999997</v>
      </c>
      <c r="CV136" s="827">
        <v>40.002000000000002</v>
      </c>
      <c r="CW136" s="103">
        <f>SUM(CS136:CV136)</f>
        <v>157.33800000000002</v>
      </c>
      <c r="CX136" s="827">
        <v>31.3</v>
      </c>
      <c r="CY136" s="827">
        <v>31</v>
      </c>
      <c r="CZ136" s="827">
        <v>40.921999999999997</v>
      </c>
      <c r="DA136" s="827">
        <v>60.268000000000001</v>
      </c>
      <c r="DB136" s="103">
        <f>SUM(CX136:DA136)</f>
        <v>163.49</v>
      </c>
      <c r="DC136" s="827">
        <v>30</v>
      </c>
      <c r="DD136" s="827">
        <v>30</v>
      </c>
      <c r="DE136" s="827">
        <v>36</v>
      </c>
      <c r="DF136" s="827">
        <v>15</v>
      </c>
      <c r="DG136" s="103">
        <f>SUM(DC136:DF136)</f>
        <v>111</v>
      </c>
      <c r="DH136" s="827">
        <v>6</v>
      </c>
      <c r="DI136" s="827">
        <v>14</v>
      </c>
      <c r="DJ136" s="827">
        <v>18</v>
      </c>
      <c r="DK136" s="827">
        <v>3</v>
      </c>
      <c r="DL136" s="103">
        <f>SUM(DH136:DK136)</f>
        <v>41</v>
      </c>
      <c r="DM136" s="827">
        <v>5</v>
      </c>
      <c r="DN136" s="827">
        <v>12</v>
      </c>
      <c r="DO136" s="827">
        <v>19</v>
      </c>
      <c r="DP136" s="827">
        <v>21</v>
      </c>
      <c r="DQ136" s="103">
        <f>SUM(DM136:DP136)</f>
        <v>57</v>
      </c>
      <c r="DR136" s="827">
        <v>16</v>
      </c>
      <c r="DS136" s="827">
        <v>15</v>
      </c>
      <c r="DT136" s="827">
        <v>16</v>
      </c>
      <c r="DU136" s="827">
        <v>11</v>
      </c>
      <c r="DV136" s="103">
        <f>SUM(DR136:DU136)</f>
        <v>58</v>
      </c>
      <c r="DW136" s="827">
        <v>26</v>
      </c>
      <c r="DX136" s="827">
        <v>19</v>
      </c>
      <c r="DY136" s="827">
        <v>33</v>
      </c>
      <c r="DZ136" s="827">
        <v>44</v>
      </c>
      <c r="EA136" s="103">
        <f>SUM(DW136:DZ136)</f>
        <v>122</v>
      </c>
      <c r="EB136" s="827">
        <v>34</v>
      </c>
      <c r="EC136" s="827">
        <v>48</v>
      </c>
      <c r="ED136" s="827">
        <v>33</v>
      </c>
      <c r="EE136" s="827">
        <v>43</v>
      </c>
      <c r="EF136" s="103">
        <f>SUM(EB136:EE136)</f>
        <v>158</v>
      </c>
      <c r="EG136" s="827">
        <v>29</v>
      </c>
      <c r="EH136" s="827">
        <v>34</v>
      </c>
      <c r="EI136" s="827">
        <v>35</v>
      </c>
      <c r="EJ136" s="827">
        <v>31</v>
      </c>
      <c r="EK136" s="103">
        <f>SUM(EG136:EJ136)</f>
        <v>129</v>
      </c>
      <c r="EL136" s="827">
        <f>63-65</f>
        <v>-2</v>
      </c>
      <c r="EM136" s="827">
        <f>44-41</f>
        <v>3</v>
      </c>
      <c r="EN136" s="827">
        <f>9-4</f>
        <v>5</v>
      </c>
      <c r="EO136" s="827">
        <f>+-3+4</f>
        <v>1</v>
      </c>
      <c r="EP136" s="103">
        <f>SUM(EL136:EO136)</f>
        <v>7</v>
      </c>
      <c r="EQ136" s="47">
        <f>+EO136</f>
        <v>1</v>
      </c>
      <c r="ER136" s="47">
        <f>+EQ136</f>
        <v>1</v>
      </c>
      <c r="ES136" s="47">
        <f>+ER136</f>
        <v>1</v>
      </c>
      <c r="ET136" s="47">
        <f>+ES136</f>
        <v>1</v>
      </c>
      <c r="EU136" s="103">
        <f>SUM(EQ136:ET136)</f>
        <v>4</v>
      </c>
      <c r="EV136" s="47"/>
      <c r="EW136" s="47"/>
      <c r="EX136" s="47"/>
      <c r="EY136" s="47"/>
      <c r="EZ136" s="118">
        <v>75</v>
      </c>
      <c r="FA136" s="47"/>
      <c r="FB136" s="47"/>
      <c r="FC136" s="47"/>
      <c r="FD136" s="47"/>
      <c r="FE136" s="118">
        <v>50</v>
      </c>
      <c r="FF136" s="47"/>
      <c r="FG136" s="458"/>
      <c r="FL136" s="425"/>
      <c r="FM136" s="425"/>
      <c r="FN136" s="384"/>
      <c r="FO136" s="384"/>
      <c r="FP136" s="384"/>
      <c r="FQ136" s="384"/>
      <c r="FR136" s="384"/>
      <c r="FS136" s="384"/>
      <c r="FT136" s="460"/>
    </row>
    <row r="137" spans="1:184" ht="12.75" customHeight="1" x14ac:dyDescent="0.2">
      <c r="A137" s="27" t="s">
        <v>72</v>
      </c>
      <c r="B137" s="175">
        <f t="shared" ref="B137:BM137" si="750">-B134-B136</f>
        <v>-0.12200000000000077</v>
      </c>
      <c r="C137" s="175">
        <f t="shared" si="750"/>
        <v>-3.9069999999999996</v>
      </c>
      <c r="D137" s="175">
        <f t="shared" si="750"/>
        <v>-0.11800000000000033</v>
      </c>
      <c r="E137" s="175">
        <f t="shared" si="750"/>
        <v>17.298999999999999</v>
      </c>
      <c r="F137" s="269">
        <f t="shared" si="750"/>
        <v>-34.601999999999997</v>
      </c>
      <c r="G137" s="175">
        <f t="shared" si="750"/>
        <v>-2.5649999999999995</v>
      </c>
      <c r="H137" s="175">
        <f t="shared" si="750"/>
        <v>-3.5720000000000005</v>
      </c>
      <c r="I137" s="175">
        <f t="shared" si="750"/>
        <v>-5.3419999999999996</v>
      </c>
      <c r="J137" s="175">
        <f t="shared" si="750"/>
        <v>15.778000000000002</v>
      </c>
      <c r="K137" s="269">
        <f t="shared" si="750"/>
        <v>-49.327000000000005</v>
      </c>
      <c r="L137" s="175">
        <f t="shared" si="750"/>
        <v>-9.2059999999999995</v>
      </c>
      <c r="M137" s="175">
        <f t="shared" si="750"/>
        <v>-7.1870000000000003</v>
      </c>
      <c r="N137" s="175">
        <f t="shared" si="750"/>
        <v>-9.9670000000000005</v>
      </c>
      <c r="O137" s="175">
        <f t="shared" si="750"/>
        <v>12.012999999999998</v>
      </c>
      <c r="P137" s="269">
        <f t="shared" si="750"/>
        <v>-67.031000000000006</v>
      </c>
      <c r="Q137" s="175">
        <f t="shared" si="750"/>
        <v>-7.9269999999999987</v>
      </c>
      <c r="R137" s="175">
        <f t="shared" si="750"/>
        <v>-6.9680000000000009</v>
      </c>
      <c r="S137" s="175">
        <f t="shared" si="750"/>
        <v>-8.895999999999999</v>
      </c>
      <c r="T137" s="175">
        <f t="shared" si="750"/>
        <v>17.360999999999994</v>
      </c>
      <c r="U137" s="269">
        <f t="shared" si="750"/>
        <v>-67.876000000000005</v>
      </c>
      <c r="V137" s="175">
        <f t="shared" si="750"/>
        <v>-6.5079999999999991</v>
      </c>
      <c r="W137" s="175">
        <f t="shared" si="750"/>
        <v>-4.677999999999999</v>
      </c>
      <c r="X137" s="175">
        <f t="shared" si="750"/>
        <v>-4.5820000000000007</v>
      </c>
      <c r="Y137" s="175">
        <f t="shared" si="750"/>
        <v>-1.4180000000000004</v>
      </c>
      <c r="Z137" s="269">
        <f t="shared" si="750"/>
        <v>-17.185999999999993</v>
      </c>
      <c r="AA137" s="175">
        <f t="shared" si="750"/>
        <v>-3.3750000000000004</v>
      </c>
      <c r="AB137" s="175">
        <f t="shared" si="750"/>
        <v>-2.6240000000000006</v>
      </c>
      <c r="AC137" s="175">
        <f t="shared" si="750"/>
        <v>0.11700000000000071</v>
      </c>
      <c r="AD137" s="175">
        <f t="shared" si="750"/>
        <v>76.319000000000003</v>
      </c>
      <c r="AE137" s="269">
        <f t="shared" si="750"/>
        <v>70.436999999999998</v>
      </c>
      <c r="AF137" s="175">
        <f t="shared" si="750"/>
        <v>-2.6219999999999994</v>
      </c>
      <c r="AG137" s="175">
        <f t="shared" si="750"/>
        <v>-2.2170000000000005</v>
      </c>
      <c r="AH137" s="175">
        <f t="shared" si="750"/>
        <v>-2.6909999999999998</v>
      </c>
      <c r="AI137" s="175">
        <f t="shared" si="750"/>
        <v>-1.9430000000000005</v>
      </c>
      <c r="AJ137" s="269">
        <f t="shared" si="750"/>
        <v>-9.4729999999999954</v>
      </c>
      <c r="AK137" s="175">
        <f t="shared" si="750"/>
        <v>-3.8020000000000009</v>
      </c>
      <c r="AL137" s="175">
        <f t="shared" si="750"/>
        <v>-2.5840000000000014</v>
      </c>
      <c r="AM137" s="175">
        <f t="shared" si="750"/>
        <v>-1.3830000000000013</v>
      </c>
      <c r="AN137" s="175">
        <f t="shared" si="750"/>
        <v>0.48899999999999944</v>
      </c>
      <c r="AO137" s="269">
        <f t="shared" si="750"/>
        <v>-7.2799999999999976</v>
      </c>
      <c r="AP137" s="175">
        <f t="shared" si="750"/>
        <v>2.363999999999999</v>
      </c>
      <c r="AQ137" s="175">
        <f t="shared" si="750"/>
        <v>7.9990000000000006</v>
      </c>
      <c r="AR137" s="175">
        <f t="shared" si="750"/>
        <v>7.1360000000000001</v>
      </c>
      <c r="AS137" s="175">
        <f t="shared" si="750"/>
        <v>4.0019999999999989</v>
      </c>
      <c r="AT137" s="269">
        <f t="shared" si="750"/>
        <v>21.501000000000001</v>
      </c>
      <c r="AU137" s="175">
        <f t="shared" si="750"/>
        <v>-10.515000000000001</v>
      </c>
      <c r="AV137" s="175">
        <f t="shared" si="750"/>
        <v>2.2670000000000003</v>
      </c>
      <c r="AW137" s="175">
        <f t="shared" si="750"/>
        <v>1.486</v>
      </c>
      <c r="AX137" s="175">
        <f t="shared" si="750"/>
        <v>-1.2029999999999996</v>
      </c>
      <c r="AY137" s="269">
        <f t="shared" si="750"/>
        <v>-7.9649999999999928</v>
      </c>
      <c r="AZ137" s="175">
        <f t="shared" si="750"/>
        <v>0.56500000000000217</v>
      </c>
      <c r="BA137" s="175">
        <f t="shared" si="750"/>
        <v>-3.6929999999999996</v>
      </c>
      <c r="BB137" s="175">
        <f t="shared" si="750"/>
        <v>0.96400000000000252</v>
      </c>
      <c r="BC137" s="175">
        <f t="shared" si="750"/>
        <v>-1.6170000000000004</v>
      </c>
      <c r="BD137" s="269">
        <f t="shared" si="750"/>
        <v>-3.7809999999999908</v>
      </c>
      <c r="BE137" s="175">
        <f t="shared" si="750"/>
        <v>-13.655000000000001</v>
      </c>
      <c r="BF137" s="175">
        <f t="shared" si="750"/>
        <v>-3.4109999999999996</v>
      </c>
      <c r="BG137" s="175">
        <f t="shared" si="750"/>
        <v>152.88400000000001</v>
      </c>
      <c r="BH137" s="175">
        <f t="shared" si="750"/>
        <v>60.718999999999994</v>
      </c>
      <c r="BI137" s="269">
        <f t="shared" si="750"/>
        <v>196.53700000000001</v>
      </c>
      <c r="BJ137" s="175">
        <f t="shared" si="750"/>
        <v>-14.168999999999999</v>
      </c>
      <c r="BK137" s="175">
        <f t="shared" si="750"/>
        <v>-20</v>
      </c>
      <c r="BL137" s="175">
        <f t="shared" si="750"/>
        <v>-14.817</v>
      </c>
      <c r="BM137" s="175">
        <f t="shared" si="750"/>
        <v>-23.908999999999999</v>
      </c>
      <c r="BN137" s="269">
        <f t="shared" ref="BN137:CQ137" si="751">-BN134-BN136</f>
        <v>-72.894999999999982</v>
      </c>
      <c r="BO137" s="175">
        <f t="shared" si="751"/>
        <v>-7</v>
      </c>
      <c r="BP137" s="175">
        <f t="shared" si="751"/>
        <v>-14</v>
      </c>
      <c r="BQ137" s="175">
        <f t="shared" si="751"/>
        <v>-14</v>
      </c>
      <c r="BR137" s="175">
        <f t="shared" si="751"/>
        <v>-10</v>
      </c>
      <c r="BS137" s="269">
        <f t="shared" si="751"/>
        <v>-45</v>
      </c>
      <c r="BT137" s="175">
        <f t="shared" si="751"/>
        <v>-5</v>
      </c>
      <c r="BU137" s="175">
        <f t="shared" si="751"/>
        <v>-18</v>
      </c>
      <c r="BV137" s="175">
        <f t="shared" si="751"/>
        <v>-10</v>
      </c>
      <c r="BW137" s="175">
        <f t="shared" si="751"/>
        <v>-31</v>
      </c>
      <c r="BX137" s="269">
        <f t="shared" si="751"/>
        <v>-64</v>
      </c>
      <c r="BY137" s="175">
        <f t="shared" si="751"/>
        <v>-19</v>
      </c>
      <c r="BZ137" s="175">
        <f t="shared" si="751"/>
        <v>-21</v>
      </c>
      <c r="CA137" s="175">
        <f t="shared" si="751"/>
        <v>-47</v>
      </c>
      <c r="CB137" s="175">
        <f t="shared" si="751"/>
        <v>-3</v>
      </c>
      <c r="CC137" s="269">
        <f t="shared" si="751"/>
        <v>-90</v>
      </c>
      <c r="CD137" s="175">
        <f t="shared" si="751"/>
        <v>-15</v>
      </c>
      <c r="CE137" s="175">
        <f t="shared" si="751"/>
        <v>-11</v>
      </c>
      <c r="CF137" s="175">
        <f t="shared" si="751"/>
        <v>-10</v>
      </c>
      <c r="CG137" s="175">
        <f t="shared" si="751"/>
        <v>-9</v>
      </c>
      <c r="CH137" s="269">
        <f t="shared" si="751"/>
        <v>-45</v>
      </c>
      <c r="CI137" s="175">
        <f t="shared" si="751"/>
        <v>-19</v>
      </c>
      <c r="CJ137" s="175">
        <f t="shared" si="751"/>
        <v>-15</v>
      </c>
      <c r="CK137" s="175">
        <f t="shared" si="751"/>
        <v>-22</v>
      </c>
      <c r="CL137" s="175">
        <f t="shared" si="751"/>
        <v>-37</v>
      </c>
      <c r="CM137" s="269">
        <f t="shared" si="751"/>
        <v>-93</v>
      </c>
      <c r="CN137" s="175">
        <f>-CN134-CN136</f>
        <v>-28</v>
      </c>
      <c r="CO137" s="175">
        <f t="shared" si="751"/>
        <v>-37</v>
      </c>
      <c r="CP137" s="175">
        <f t="shared" si="751"/>
        <v>-44</v>
      </c>
      <c r="CQ137" s="175">
        <f t="shared" si="751"/>
        <v>-43</v>
      </c>
      <c r="CR137" s="316">
        <f t="shared" ref="CR137:DS137" si="752">-CR134-CR136</f>
        <v>-152</v>
      </c>
      <c r="CS137" s="175">
        <f t="shared" si="752"/>
        <v>-89.606999999999999</v>
      </c>
      <c r="CT137" s="175">
        <f t="shared" si="752"/>
        <v>-98.032999999999987</v>
      </c>
      <c r="CU137" s="175">
        <f t="shared" si="752"/>
        <v>-97.307999999999993</v>
      </c>
      <c r="CV137" s="175">
        <f t="shared" si="752"/>
        <v>-99.962999999999994</v>
      </c>
      <c r="CW137" s="316">
        <f t="shared" si="752"/>
        <v>-384.911</v>
      </c>
      <c r="CX137" s="175">
        <f t="shared" si="752"/>
        <v>-86.248999999999995</v>
      </c>
      <c r="CY137" s="175">
        <f t="shared" si="752"/>
        <v>-85.85</v>
      </c>
      <c r="CZ137" s="175">
        <f t="shared" si="752"/>
        <v>-93.634999999999991</v>
      </c>
      <c r="DA137" s="175">
        <f t="shared" si="752"/>
        <v>-110.515</v>
      </c>
      <c r="DB137" s="316">
        <f t="shared" si="752"/>
        <v>-376.24900000000002</v>
      </c>
      <c r="DC137" s="175">
        <f t="shared" si="752"/>
        <v>-82.265000000000015</v>
      </c>
      <c r="DD137" s="175">
        <f t="shared" si="752"/>
        <v>-80</v>
      </c>
      <c r="DE137" s="175">
        <f t="shared" si="752"/>
        <v>-82</v>
      </c>
      <c r="DF137" s="175">
        <f t="shared" si="752"/>
        <v>-60</v>
      </c>
      <c r="DG137" s="316">
        <f t="shared" si="752"/>
        <v>-304.26499999999999</v>
      </c>
      <c r="DH137" s="175">
        <f t="shared" si="752"/>
        <v>-39</v>
      </c>
      <c r="DI137" s="175">
        <f t="shared" si="752"/>
        <v>-44</v>
      </c>
      <c r="DJ137" s="175">
        <f t="shared" si="752"/>
        <v>-46</v>
      </c>
      <c r="DK137" s="175">
        <f t="shared" si="752"/>
        <v>-31</v>
      </c>
      <c r="DL137" s="316">
        <f>-DL134-DL136</f>
        <v>-160</v>
      </c>
      <c r="DM137" s="175">
        <f t="shared" si="752"/>
        <v>-27</v>
      </c>
      <c r="DN137" s="175">
        <f t="shared" si="752"/>
        <v>-35</v>
      </c>
      <c r="DO137" s="175">
        <f t="shared" si="752"/>
        <v>-49</v>
      </c>
      <c r="DP137" s="175">
        <f t="shared" si="752"/>
        <v>-46</v>
      </c>
      <c r="DQ137" s="316">
        <f>-DQ134-DQ136</f>
        <v>-157</v>
      </c>
      <c r="DR137" s="175">
        <f t="shared" si="752"/>
        <v>-40</v>
      </c>
      <c r="DS137" s="175">
        <f t="shared" si="752"/>
        <v>-41</v>
      </c>
      <c r="DT137" s="175">
        <f t="shared" ref="DT137:EA137" si="753">-DT134-DT136</f>
        <v>-39</v>
      </c>
      <c r="DU137" s="175">
        <f t="shared" si="753"/>
        <v>-37</v>
      </c>
      <c r="DV137" s="316">
        <f t="shared" si="753"/>
        <v>-157</v>
      </c>
      <c r="DW137" s="175">
        <f t="shared" si="753"/>
        <v>-51</v>
      </c>
      <c r="DX137" s="175">
        <f t="shared" si="753"/>
        <v>-39</v>
      </c>
      <c r="DY137" s="175">
        <f t="shared" si="753"/>
        <v>-53</v>
      </c>
      <c r="DZ137" s="175">
        <f t="shared" si="753"/>
        <v>-59</v>
      </c>
      <c r="EA137" s="316">
        <f t="shared" si="753"/>
        <v>-202</v>
      </c>
      <c r="EB137" s="175">
        <f t="shared" ref="EB137:EF137" si="754">-EB134-EB136</f>
        <v>-48</v>
      </c>
      <c r="EC137" s="175">
        <f t="shared" si="754"/>
        <v>-63</v>
      </c>
      <c r="ED137" s="175">
        <f t="shared" si="754"/>
        <v>-46</v>
      </c>
      <c r="EE137" s="175">
        <f t="shared" si="754"/>
        <v>-54</v>
      </c>
      <c r="EF137" s="316">
        <f t="shared" si="754"/>
        <v>-211</v>
      </c>
      <c r="EG137" s="175">
        <f t="shared" ref="EG137:EJ137" si="755">-EG134-EG136</f>
        <v>-40</v>
      </c>
      <c r="EH137" s="175">
        <f t="shared" si="755"/>
        <v>-40</v>
      </c>
      <c r="EI137" s="175">
        <f t="shared" si="755"/>
        <v>-39</v>
      </c>
      <c r="EJ137" s="175">
        <f t="shared" si="755"/>
        <v>-39</v>
      </c>
      <c r="EK137" s="316">
        <f t="shared" ref="EK137:EO137" si="756">-EK134-EK136</f>
        <v>-158</v>
      </c>
      <c r="EL137" s="175">
        <f t="shared" si="756"/>
        <v>-9</v>
      </c>
      <c r="EM137" s="175">
        <f t="shared" si="756"/>
        <v>-9</v>
      </c>
      <c r="EN137" s="175">
        <f t="shared" si="756"/>
        <v>-9</v>
      </c>
      <c r="EO137" s="175">
        <f t="shared" si="756"/>
        <v>-9</v>
      </c>
      <c r="EP137" s="316">
        <f t="shared" ref="EP137" si="757">-EP134-EP136</f>
        <v>-36</v>
      </c>
      <c r="EQ137" s="175">
        <f t="shared" ref="EQ137:EU137" si="758">-EQ134-EQ136</f>
        <v>-11</v>
      </c>
      <c r="ER137" s="175">
        <f t="shared" si="758"/>
        <v>-9</v>
      </c>
      <c r="ES137" s="175">
        <f t="shared" si="758"/>
        <v>-11</v>
      </c>
      <c r="ET137" s="175">
        <f t="shared" si="758"/>
        <v>-12</v>
      </c>
      <c r="EU137" s="316">
        <f t="shared" si="758"/>
        <v>-43</v>
      </c>
      <c r="EV137" s="175"/>
      <c r="EW137" s="175"/>
      <c r="EX137" s="175"/>
      <c r="EY137" s="175"/>
      <c r="EZ137" s="316">
        <f t="shared" ref="EZ137" si="759">-EZ134-EZ136</f>
        <v>-118.00911807020138</v>
      </c>
      <c r="FA137" s="175"/>
      <c r="FB137" s="175"/>
      <c r="FC137" s="175"/>
      <c r="FD137" s="175"/>
      <c r="FE137" s="316">
        <f t="shared" ref="FE137" si="760">-FE134-FE136</f>
        <v>-92.853915822538255</v>
      </c>
      <c r="FF137" s="33"/>
      <c r="FG137" s="460"/>
      <c r="FL137" s="425"/>
      <c r="FM137" s="425"/>
      <c r="FN137" s="384"/>
      <c r="FO137" s="384"/>
      <c r="FP137" s="384"/>
      <c r="FQ137" s="384"/>
      <c r="FR137" s="384"/>
      <c r="FS137" s="384"/>
      <c r="FT137" s="460"/>
    </row>
    <row r="138" spans="1:184" ht="12.75" customHeight="1" x14ac:dyDescent="0.2">
      <c r="A138" s="58" t="s">
        <v>244</v>
      </c>
      <c r="B138" s="176"/>
      <c r="C138" s="176"/>
      <c r="D138" s="176"/>
      <c r="E138" s="176"/>
      <c r="F138" s="270"/>
      <c r="G138" s="176">
        <f>G137/B137-1</f>
        <v>20.024590163934288</v>
      </c>
      <c r="H138" s="176">
        <f>H137/C137-1</f>
        <v>-8.5743537240849488E-2</v>
      </c>
      <c r="I138" s="176">
        <f>I137/D137-1</f>
        <v>44.271186440677837</v>
      </c>
      <c r="J138" s="176">
        <f>J137/E137-1</f>
        <v>-8.7924157465749331E-2</v>
      </c>
      <c r="K138" s="270">
        <f t="shared" ref="K138:U138" si="761">K137/F137-1</f>
        <v>0.42555343621755992</v>
      </c>
      <c r="L138" s="176">
        <f t="shared" si="761"/>
        <v>2.5890838206627684</v>
      </c>
      <c r="M138" s="176">
        <f t="shared" si="761"/>
        <v>1.0120380739081747</v>
      </c>
      <c r="N138" s="176">
        <f t="shared" si="761"/>
        <v>0.86578060651441424</v>
      </c>
      <c r="O138" s="176">
        <f t="shared" si="761"/>
        <v>-0.23862339967042745</v>
      </c>
      <c r="P138" s="270">
        <f t="shared" si="761"/>
        <v>0.3589109412694873</v>
      </c>
      <c r="Q138" s="176">
        <f t="shared" si="761"/>
        <v>-0.13893113187051931</v>
      </c>
      <c r="R138" s="176">
        <f t="shared" si="761"/>
        <v>-3.0471684986781655E-2</v>
      </c>
      <c r="S138" s="176">
        <f t="shared" si="761"/>
        <v>-0.10745460018059616</v>
      </c>
      <c r="T138" s="176">
        <f t="shared" si="761"/>
        <v>0.44518438358444978</v>
      </c>
      <c r="U138" s="270">
        <f t="shared" si="761"/>
        <v>1.2606107621846663E-2</v>
      </c>
      <c r="V138" s="176">
        <f t="shared" ref="V138:BH138" si="762">V137/Q137-1</f>
        <v>-0.17900845212564653</v>
      </c>
      <c r="W138" s="176">
        <f t="shared" si="762"/>
        <v>-0.32864523536165346</v>
      </c>
      <c r="X138" s="176">
        <f t="shared" si="762"/>
        <v>-0.48493705035971213</v>
      </c>
      <c r="Y138" s="176">
        <f t="shared" si="762"/>
        <v>-1.0816773227348655</v>
      </c>
      <c r="Z138" s="270">
        <f t="shared" si="762"/>
        <v>-0.74680299369438408</v>
      </c>
      <c r="AA138" s="176">
        <f t="shared" si="762"/>
        <v>-0.48140749846342945</v>
      </c>
      <c r="AB138" s="176">
        <f t="shared" si="762"/>
        <v>-0.43907652843095313</v>
      </c>
      <c r="AC138" s="176">
        <f t="shared" si="762"/>
        <v>-1.0255347010039286</v>
      </c>
      <c r="AD138" s="176">
        <f t="shared" si="762"/>
        <v>-54.821579689703796</v>
      </c>
      <c r="AE138" s="270">
        <f t="shared" si="762"/>
        <v>-5.0985104154544416</v>
      </c>
      <c r="AF138" s="176">
        <f t="shared" si="762"/>
        <v>-0.22311111111111137</v>
      </c>
      <c r="AG138" s="176">
        <f t="shared" si="762"/>
        <v>-0.1551067073170731</v>
      </c>
      <c r="AH138" s="176">
        <f t="shared" si="762"/>
        <v>-23.999999999999858</v>
      </c>
      <c r="AI138" s="176">
        <f t="shared" si="762"/>
        <v>-1.0254589289691951</v>
      </c>
      <c r="AJ138" s="270">
        <f t="shared" si="762"/>
        <v>-1.1344889759643368</v>
      </c>
      <c r="AK138" s="176">
        <f t="shared" si="762"/>
        <v>0.45003813882532495</v>
      </c>
      <c r="AL138" s="176">
        <f t="shared" si="762"/>
        <v>0.16553901668922011</v>
      </c>
      <c r="AM138" s="176">
        <f t="shared" si="762"/>
        <v>-0.48606465997770287</v>
      </c>
      <c r="AN138" s="176">
        <f t="shared" si="762"/>
        <v>-1.2516726711271227</v>
      </c>
      <c r="AO138" s="270">
        <f t="shared" si="762"/>
        <v>-0.23150005278158969</v>
      </c>
      <c r="AP138" s="176">
        <f t="shared" si="762"/>
        <v>-1.6217780115728559</v>
      </c>
      <c r="AQ138" s="176">
        <f t="shared" si="762"/>
        <v>-4.095588235294116</v>
      </c>
      <c r="AR138" s="176">
        <f t="shared" si="762"/>
        <v>-6.1597975415762782</v>
      </c>
      <c r="AS138" s="176">
        <f t="shared" si="762"/>
        <v>7.1840490797546082</v>
      </c>
      <c r="AT138" s="270">
        <f t="shared" si="762"/>
        <v>-3.9534340659340672</v>
      </c>
      <c r="AU138" s="176">
        <f t="shared" si="762"/>
        <v>-5.4479695431472104</v>
      </c>
      <c r="AV138" s="176">
        <f t="shared" si="762"/>
        <v>-0.71658957369671206</v>
      </c>
      <c r="AW138" s="176">
        <f t="shared" si="762"/>
        <v>-0.79176008968609868</v>
      </c>
      <c r="AX138" s="176">
        <f t="shared" si="762"/>
        <v>-1.300599700149925</v>
      </c>
      <c r="AY138" s="270">
        <f t="shared" si="762"/>
        <v>-1.3704478861448302</v>
      </c>
      <c r="AZ138" s="176">
        <f t="shared" si="762"/>
        <v>-1.0537327627199242</v>
      </c>
      <c r="BA138" s="176">
        <f t="shared" si="762"/>
        <v>-2.6290251433612699</v>
      </c>
      <c r="BB138" s="176">
        <f t="shared" si="762"/>
        <v>-0.35127860026917734</v>
      </c>
      <c r="BC138" s="176">
        <f t="shared" si="762"/>
        <v>0.34413965087281873</v>
      </c>
      <c r="BD138" s="270">
        <f t="shared" si="762"/>
        <v>-0.52529817953546831</v>
      </c>
      <c r="BE138" s="176" t="s">
        <v>437</v>
      </c>
      <c r="BF138" s="176">
        <f t="shared" si="762"/>
        <v>-7.6360682372055289E-2</v>
      </c>
      <c r="BG138" s="176">
        <f t="shared" si="762"/>
        <v>157.59336099585022</v>
      </c>
      <c r="BH138" s="176">
        <f t="shared" si="762"/>
        <v>-38.55040197897339</v>
      </c>
      <c r="BI138" s="270">
        <f t="shared" ref="BI138:BR138" si="763">BI137/BD137-1</f>
        <v>-52.980163977783782</v>
      </c>
      <c r="BJ138" s="176">
        <f t="shared" si="763"/>
        <v>3.7641889417795449E-2</v>
      </c>
      <c r="BK138" s="176">
        <f t="shared" si="763"/>
        <v>4.8633831720902965</v>
      </c>
      <c r="BL138" s="176">
        <f t="shared" si="763"/>
        <v>-1.0969166165197142</v>
      </c>
      <c r="BM138" s="176">
        <f t="shared" si="763"/>
        <v>-1.3937647194453135</v>
      </c>
      <c r="BN138" s="270">
        <f t="shared" si="763"/>
        <v>-1.3708970829920064</v>
      </c>
      <c r="BO138" s="176">
        <f t="shared" si="763"/>
        <v>-0.5059637236219916</v>
      </c>
      <c r="BP138" s="176">
        <f t="shared" si="763"/>
        <v>-0.30000000000000004</v>
      </c>
      <c r="BQ138" s="176">
        <f t="shared" si="763"/>
        <v>-5.5139366943375845E-2</v>
      </c>
      <c r="BR138" s="176">
        <f t="shared" si="763"/>
        <v>-0.58174745911581405</v>
      </c>
      <c r="BS138" s="270">
        <f t="shared" ref="BS138:CT138" si="764">BS137/BN137-1</f>
        <v>-0.38267370875917395</v>
      </c>
      <c r="BT138" s="176">
        <f t="shared" si="764"/>
        <v>-0.2857142857142857</v>
      </c>
      <c r="BU138" s="176">
        <f t="shared" si="764"/>
        <v>0.28571428571428581</v>
      </c>
      <c r="BV138" s="176">
        <f t="shared" si="764"/>
        <v>-0.2857142857142857</v>
      </c>
      <c r="BW138" s="176">
        <f t="shared" si="764"/>
        <v>2.1</v>
      </c>
      <c r="BX138" s="270">
        <f t="shared" si="764"/>
        <v>0.42222222222222228</v>
      </c>
      <c r="BY138" s="176">
        <f t="shared" si="764"/>
        <v>2.8</v>
      </c>
      <c r="BZ138" s="176">
        <f t="shared" si="764"/>
        <v>0.16666666666666674</v>
      </c>
      <c r="CA138" s="176">
        <f t="shared" si="764"/>
        <v>3.7</v>
      </c>
      <c r="CB138" s="176">
        <f t="shared" si="764"/>
        <v>-0.90322580645161288</v>
      </c>
      <c r="CC138" s="270">
        <f>CC137/BX137-1</f>
        <v>0.40625</v>
      </c>
      <c r="CD138" s="176">
        <f t="shared" si="764"/>
        <v>-0.21052631578947367</v>
      </c>
      <c r="CE138" s="176">
        <f t="shared" si="764"/>
        <v>-0.47619047619047616</v>
      </c>
      <c r="CF138" s="176">
        <f t="shared" si="764"/>
        <v>-0.78723404255319152</v>
      </c>
      <c r="CG138" s="176">
        <f t="shared" si="764"/>
        <v>2</v>
      </c>
      <c r="CH138" s="270">
        <f>CH137/CC137-1</f>
        <v>-0.5</v>
      </c>
      <c r="CI138" s="176">
        <f t="shared" si="764"/>
        <v>0.26666666666666661</v>
      </c>
      <c r="CJ138" s="176">
        <f t="shared" si="764"/>
        <v>0.36363636363636354</v>
      </c>
      <c r="CK138" s="176">
        <f t="shared" si="764"/>
        <v>1.2000000000000002</v>
      </c>
      <c r="CL138" s="176">
        <f t="shared" si="764"/>
        <v>3.1111111111111107</v>
      </c>
      <c r="CM138" s="270">
        <f>CM137/CH137-1</f>
        <v>1.0666666666666669</v>
      </c>
      <c r="CN138" s="176">
        <f t="shared" si="764"/>
        <v>0.47368421052631571</v>
      </c>
      <c r="CO138" s="176">
        <f t="shared" si="764"/>
        <v>1.4666666666666668</v>
      </c>
      <c r="CP138" s="176">
        <f t="shared" si="764"/>
        <v>1</v>
      </c>
      <c r="CQ138" s="176">
        <f t="shared" si="764"/>
        <v>0.16216216216216206</v>
      </c>
      <c r="CR138" s="317">
        <f t="shared" ref="CR138:CW138" si="765">CR137/CM137-1</f>
        <v>0.63440860215053774</v>
      </c>
      <c r="CS138" s="176">
        <f t="shared" si="764"/>
        <v>2.20025</v>
      </c>
      <c r="CT138" s="176">
        <f t="shared" si="764"/>
        <v>1.6495405405405403</v>
      </c>
      <c r="CU138" s="176">
        <f t="shared" si="765"/>
        <v>1.2115454545454543</v>
      </c>
      <c r="CV138" s="176">
        <f t="shared" si="765"/>
        <v>1.3247209302325582</v>
      </c>
      <c r="CW138" s="317">
        <f t="shared" si="765"/>
        <v>1.5323092105263156</v>
      </c>
      <c r="CX138" s="176">
        <f t="shared" ref="CX138:DT138" si="766">CX137/CS137-1</f>
        <v>-3.7474750856517969E-2</v>
      </c>
      <c r="CY138" s="176">
        <f t="shared" si="766"/>
        <v>-0.12427447900196864</v>
      </c>
      <c r="CZ138" s="176">
        <f t="shared" si="766"/>
        <v>-3.7746125703950417E-2</v>
      </c>
      <c r="DA138" s="176">
        <f t="shared" si="766"/>
        <v>0.10555905685103495</v>
      </c>
      <c r="DB138" s="317">
        <f t="shared" si="766"/>
        <v>-2.250390349977005E-2</v>
      </c>
      <c r="DC138" s="176">
        <f>DC137/CX137-1</f>
        <v>-4.6191839905389998E-2</v>
      </c>
      <c r="DD138" s="176">
        <f>DD137/CY137-1</f>
        <v>-6.8142108328479889E-2</v>
      </c>
      <c r="DE138" s="176">
        <f>DE137/CZ137-1</f>
        <v>-0.12425909115181277</v>
      </c>
      <c r="DF138" s="176">
        <f t="shared" si="766"/>
        <v>-0.45708727322082976</v>
      </c>
      <c r="DG138" s="317">
        <f t="shared" si="766"/>
        <v>-0.19132010982088998</v>
      </c>
      <c r="DH138" s="176">
        <f t="shared" si="766"/>
        <v>-0.52592232419619533</v>
      </c>
      <c r="DI138" s="176">
        <f t="shared" si="766"/>
        <v>-0.44999999999999996</v>
      </c>
      <c r="DJ138" s="176">
        <f t="shared" si="766"/>
        <v>-0.43902439024390238</v>
      </c>
      <c r="DK138" s="176">
        <f t="shared" si="766"/>
        <v>-0.48333333333333328</v>
      </c>
      <c r="DL138" s="317">
        <f>DL137/DG137-1</f>
        <v>-0.47414260595204838</v>
      </c>
      <c r="DM138" s="176">
        <f t="shared" si="766"/>
        <v>-0.30769230769230771</v>
      </c>
      <c r="DN138" s="176">
        <f t="shared" si="766"/>
        <v>-0.20454545454545459</v>
      </c>
      <c r="DO138" s="176">
        <f t="shared" si="766"/>
        <v>6.5217391304347894E-2</v>
      </c>
      <c r="DP138" s="176">
        <f t="shared" si="766"/>
        <v>0.4838709677419355</v>
      </c>
      <c r="DQ138" s="317">
        <f>DQ137/DL137-1</f>
        <v>-1.8750000000000044E-2</v>
      </c>
      <c r="DR138" s="176">
        <f t="shared" si="766"/>
        <v>0.4814814814814814</v>
      </c>
      <c r="DS138" s="176">
        <f t="shared" si="766"/>
        <v>0.17142857142857149</v>
      </c>
      <c r="DT138" s="176">
        <f t="shared" si="766"/>
        <v>-0.20408163265306123</v>
      </c>
      <c r="DU138" s="176">
        <f>DU137/DP137-1</f>
        <v>-0.19565217391304346</v>
      </c>
      <c r="DV138" s="317">
        <f>DV137/DQ137-1</f>
        <v>0</v>
      </c>
      <c r="DW138" s="176">
        <f>DW137/DR137-1</f>
        <v>0.27499999999999991</v>
      </c>
      <c r="DX138" s="176">
        <f>DX137/DS137-1</f>
        <v>-4.8780487804878092E-2</v>
      </c>
      <c r="DY138" s="176">
        <f>DY137/DT137-1</f>
        <v>0.35897435897435903</v>
      </c>
      <c r="DZ138" s="176">
        <f t="shared" ref="DZ138:EA138" si="767">DZ137/DU137-1</f>
        <v>0.59459459459459452</v>
      </c>
      <c r="EA138" s="317">
        <f t="shared" si="767"/>
        <v>0.28662420382165599</v>
      </c>
      <c r="EB138" s="176">
        <f>EB137/DW137-1</f>
        <v>-5.8823529411764719E-2</v>
      </c>
      <c r="EC138" s="176">
        <f>EC137/DX137-1</f>
        <v>0.61538461538461542</v>
      </c>
      <c r="ED138" s="176">
        <f>ED137/DY137-1</f>
        <v>-0.13207547169811318</v>
      </c>
      <c r="EE138" s="176">
        <f t="shared" ref="EE138" si="768">EE137/DZ137-1</f>
        <v>-8.4745762711864403E-2</v>
      </c>
      <c r="EF138" s="317">
        <f t="shared" ref="EF138" si="769">EF137/EA137-1</f>
        <v>4.4554455445544594E-2</v>
      </c>
      <c r="EG138" s="176">
        <f>EG137/EB137-1</f>
        <v>-0.16666666666666663</v>
      </c>
      <c r="EH138" s="176">
        <f>EH137/EC137-1</f>
        <v>-0.36507936507936511</v>
      </c>
      <c r="EI138" s="176">
        <f>EI137/ED137-1</f>
        <v>-0.15217391304347827</v>
      </c>
      <c r="EJ138" s="176">
        <f t="shared" ref="EJ138" si="770">EJ137/EE137-1</f>
        <v>-0.27777777777777779</v>
      </c>
      <c r="EK138" s="317">
        <f t="shared" ref="EK138" si="771">EK137/EF137-1</f>
        <v>-0.25118483412322279</v>
      </c>
      <c r="EL138" s="176"/>
      <c r="EM138" s="176"/>
      <c r="EN138" s="176"/>
      <c r="EO138" s="176"/>
      <c r="EP138" s="317"/>
      <c r="EQ138" s="176">
        <f>EQ137/EL137-1</f>
        <v>0.22222222222222232</v>
      </c>
      <c r="ER138" s="176">
        <f>ER137/EM137-1</f>
        <v>0</v>
      </c>
      <c r="ES138" s="176">
        <f>ES137/EN137-1</f>
        <v>0.22222222222222232</v>
      </c>
      <c r="ET138" s="176">
        <f>ET137/EO137-1</f>
        <v>0.33333333333333326</v>
      </c>
      <c r="EU138" s="317">
        <f>EU137/EP137-1</f>
        <v>0.19444444444444442</v>
      </c>
      <c r="EV138" s="176"/>
      <c r="EW138" s="176"/>
      <c r="EX138" s="176"/>
      <c r="EY138" s="176"/>
      <c r="EZ138" s="317">
        <f>EZ137/EU137-1</f>
        <v>1.7443980946558462</v>
      </c>
      <c r="FA138" s="176"/>
      <c r="FB138" s="176"/>
      <c r="FC138" s="176"/>
      <c r="FD138" s="176"/>
      <c r="FE138" s="317">
        <f>FE137/EZ137-1</f>
        <v>-0.21316320856409399</v>
      </c>
      <c r="FF138" s="161"/>
      <c r="FG138" s="452"/>
      <c r="FL138" s="417"/>
      <c r="FM138" s="425"/>
      <c r="FN138" s="384"/>
      <c r="FO138" s="384"/>
      <c r="FP138" s="384"/>
      <c r="FQ138" s="384"/>
      <c r="FR138" s="379"/>
      <c r="FS138" s="379"/>
      <c r="FT138" s="478"/>
    </row>
    <row r="139" spans="1:184" s="7" customFormat="1" ht="12.75" customHeight="1" x14ac:dyDescent="0.2">
      <c r="A139" s="7" t="s">
        <v>243</v>
      </c>
      <c r="F139" s="99"/>
      <c r="K139" s="99"/>
      <c r="P139" s="99"/>
      <c r="U139" s="99"/>
      <c r="Z139" s="99"/>
      <c r="AE139" s="99"/>
      <c r="AJ139" s="99"/>
      <c r="AO139" s="99"/>
      <c r="AT139" s="99"/>
      <c r="AY139" s="99"/>
      <c r="BD139" s="99"/>
      <c r="BI139" s="99"/>
      <c r="BN139" s="99"/>
      <c r="BS139" s="99"/>
      <c r="BX139" s="99"/>
      <c r="CC139" s="99"/>
      <c r="CH139" s="99"/>
      <c r="CM139" s="99"/>
      <c r="CR139" s="99"/>
      <c r="CW139" s="99"/>
      <c r="DB139" s="99"/>
      <c r="DG139" s="99"/>
      <c r="DL139" s="507"/>
      <c r="DQ139" s="99"/>
      <c r="DV139" s="99"/>
      <c r="EA139" s="99"/>
      <c r="EF139" s="99"/>
      <c r="EK139" s="99"/>
      <c r="EP139" s="99"/>
      <c r="EU139" s="799"/>
      <c r="EZ139" s="99"/>
      <c r="FE139" s="99"/>
      <c r="FF139" s="336"/>
      <c r="FG139" s="6"/>
      <c r="FH139" s="346"/>
      <c r="FI139" s="336"/>
      <c r="FJ139" s="336"/>
      <c r="FK139" s="336"/>
      <c r="FL139" s="412"/>
      <c r="FM139" s="425"/>
      <c r="FN139" s="384"/>
      <c r="FO139" s="384"/>
      <c r="FP139" s="384"/>
      <c r="FQ139" s="384"/>
      <c r="FR139" s="373"/>
      <c r="FS139" s="373"/>
      <c r="FT139" s="6"/>
      <c r="FU139"/>
      <c r="FV139"/>
      <c r="FW139"/>
      <c r="FX139"/>
      <c r="FY139"/>
      <c r="FZ139"/>
      <c r="GA139" s="341"/>
    </row>
    <row r="140" spans="1:184" ht="12.75" customHeight="1" x14ac:dyDescent="0.2">
      <c r="A140" s="177" t="s">
        <v>438</v>
      </c>
      <c r="B140" s="177">
        <f t="shared" ref="B140:AG140" si="772">B111+B137</f>
        <v>8.0000000000000142</v>
      </c>
      <c r="C140" s="177">
        <f t="shared" si="772"/>
        <v>37.403999999999982</v>
      </c>
      <c r="D140" s="177">
        <f t="shared" si="772"/>
        <v>36.551999999999957</v>
      </c>
      <c r="E140" s="177">
        <f t="shared" si="772"/>
        <v>13.07500000000001</v>
      </c>
      <c r="F140" s="271">
        <f t="shared" si="772"/>
        <v>47.276999999999965</v>
      </c>
      <c r="G140" s="177">
        <f t="shared" si="772"/>
        <v>-13.057000000000018</v>
      </c>
      <c r="H140" s="177">
        <f t="shared" si="772"/>
        <v>16.875000000000004</v>
      </c>
      <c r="I140" s="177">
        <f t="shared" si="772"/>
        <v>25.792000000000016</v>
      </c>
      <c r="J140" s="177">
        <f t="shared" si="772"/>
        <v>47.300699999999935</v>
      </c>
      <c r="K140" s="271">
        <f t="shared" si="772"/>
        <v>23.284699999999923</v>
      </c>
      <c r="L140" s="177">
        <f t="shared" si="772"/>
        <v>21.943999999999978</v>
      </c>
      <c r="M140" s="177">
        <f t="shared" si="772"/>
        <v>38.236999999999981</v>
      </c>
      <c r="N140" s="177">
        <f t="shared" si="772"/>
        <v>43.911999999999964</v>
      </c>
      <c r="O140" s="177">
        <f t="shared" si="772"/>
        <v>75.364000000000061</v>
      </c>
      <c r="P140" s="271">
        <f t="shared" si="772"/>
        <v>126.77299999999997</v>
      </c>
      <c r="Q140" s="177">
        <f t="shared" si="772"/>
        <v>36.739000000000054</v>
      </c>
      <c r="R140" s="177">
        <f t="shared" si="772"/>
        <v>67.817000000000078</v>
      </c>
      <c r="S140" s="177">
        <f t="shared" si="772"/>
        <v>77.882999999999996</v>
      </c>
      <c r="T140" s="177">
        <f t="shared" si="772"/>
        <v>103.10400000000004</v>
      </c>
      <c r="U140" s="271">
        <f t="shared" si="772"/>
        <v>224.09700000000018</v>
      </c>
      <c r="V140" s="177">
        <f t="shared" si="772"/>
        <v>69.53799999999994</v>
      </c>
      <c r="W140" s="177">
        <f t="shared" si="772"/>
        <v>97.156000000000063</v>
      </c>
      <c r="X140" s="177">
        <f t="shared" si="772"/>
        <v>97.128000000000043</v>
      </c>
      <c r="Y140" s="177">
        <f t="shared" si="772"/>
        <v>35.700999999999915</v>
      </c>
      <c r="Z140" s="271">
        <f t="shared" si="772"/>
        <v>299.52299999999997</v>
      </c>
      <c r="AA140" s="177">
        <f t="shared" si="772"/>
        <v>20.033999999999878</v>
      </c>
      <c r="AB140" s="177">
        <f t="shared" si="772"/>
        <v>100.80099999999996</v>
      </c>
      <c r="AC140" s="177">
        <f t="shared" si="772"/>
        <v>114.21499999999996</v>
      </c>
      <c r="AD140" s="177">
        <f t="shared" si="772"/>
        <v>148.91799999999972</v>
      </c>
      <c r="AE140" s="271">
        <f t="shared" si="772"/>
        <v>383.96799999999951</v>
      </c>
      <c r="AF140" s="177">
        <f t="shared" si="772"/>
        <v>54.770999999999802</v>
      </c>
      <c r="AG140" s="177">
        <f t="shared" si="772"/>
        <v>139.989</v>
      </c>
      <c r="AH140" s="177">
        <f t="shared" ref="AH140:BM140" si="773">AH111+AH137</f>
        <v>100.24299999999997</v>
      </c>
      <c r="AI140" s="177">
        <f t="shared" si="773"/>
        <v>46.359000000000023</v>
      </c>
      <c r="AJ140" s="271">
        <f t="shared" si="773"/>
        <v>341.3619999999998</v>
      </c>
      <c r="AK140" s="177">
        <f t="shared" si="773"/>
        <v>83.401000000000195</v>
      </c>
      <c r="AL140" s="177">
        <f t="shared" si="773"/>
        <v>153.82300000000015</v>
      </c>
      <c r="AM140" s="177">
        <f t="shared" si="773"/>
        <v>150.38699999999986</v>
      </c>
      <c r="AN140" s="177">
        <f t="shared" si="773"/>
        <v>129.34500000000011</v>
      </c>
      <c r="AO140" s="271">
        <f t="shared" si="773"/>
        <v>516.95600000000036</v>
      </c>
      <c r="AP140" s="177">
        <f t="shared" si="773"/>
        <v>114.05699999999999</v>
      </c>
      <c r="AQ140" s="177">
        <f t="shared" si="773"/>
        <v>216.54699999999988</v>
      </c>
      <c r="AR140" s="177">
        <f t="shared" si="773"/>
        <v>211.05499999999975</v>
      </c>
      <c r="AS140" s="177">
        <f t="shared" si="773"/>
        <v>163.45300000000003</v>
      </c>
      <c r="AT140" s="271">
        <f t="shared" si="773"/>
        <v>705.11199999999963</v>
      </c>
      <c r="AU140" s="177">
        <f t="shared" si="773"/>
        <v>156.10199999999998</v>
      </c>
      <c r="AV140" s="177">
        <f t="shared" si="773"/>
        <v>256.59799999999979</v>
      </c>
      <c r="AW140" s="177">
        <f t="shared" si="773"/>
        <v>207.94899999999996</v>
      </c>
      <c r="AX140" s="177">
        <f t="shared" si="773"/>
        <v>152.96200000000019</v>
      </c>
      <c r="AY140" s="271">
        <f t="shared" si="773"/>
        <v>773.61099999999988</v>
      </c>
      <c r="AZ140" s="177">
        <f t="shared" si="773"/>
        <v>155.9729999999999</v>
      </c>
      <c r="BA140" s="177">
        <f t="shared" si="773"/>
        <v>310.86500000000001</v>
      </c>
      <c r="BB140" s="177">
        <f t="shared" si="773"/>
        <v>301.07299999999969</v>
      </c>
      <c r="BC140" s="177">
        <f t="shared" si="773"/>
        <v>249.45299999999995</v>
      </c>
      <c r="BD140" s="271">
        <f t="shared" si="773"/>
        <v>1017.3639999999996</v>
      </c>
      <c r="BE140" s="177">
        <f t="shared" si="773"/>
        <v>196.50199999999992</v>
      </c>
      <c r="BF140" s="177">
        <f t="shared" si="773"/>
        <v>287.45100000000008</v>
      </c>
      <c r="BG140" s="177">
        <f t="shared" si="773"/>
        <v>245.86999999999989</v>
      </c>
      <c r="BH140" s="177">
        <f t="shared" si="773"/>
        <v>97.835999999999956</v>
      </c>
      <c r="BI140" s="271">
        <f t="shared" si="773"/>
        <v>827.65899999999988</v>
      </c>
      <c r="BJ140" s="177">
        <f t="shared" si="773"/>
        <v>35.196000000000012</v>
      </c>
      <c r="BK140" s="177">
        <f t="shared" si="773"/>
        <v>138.54600000000005</v>
      </c>
      <c r="BL140" s="177">
        <f t="shared" si="773"/>
        <v>76.324000000000069</v>
      </c>
      <c r="BM140" s="177">
        <f t="shared" si="773"/>
        <v>63.923999999999857</v>
      </c>
      <c r="BN140" s="271">
        <f t="shared" ref="BN140:CS140" si="774">BN111+BN137</f>
        <v>313.99</v>
      </c>
      <c r="BO140" s="177">
        <f t="shared" si="774"/>
        <v>39</v>
      </c>
      <c r="BP140" s="177">
        <f t="shared" si="774"/>
        <v>167</v>
      </c>
      <c r="BQ140" s="177">
        <f t="shared" si="774"/>
        <v>171</v>
      </c>
      <c r="BR140" s="177">
        <f t="shared" si="774"/>
        <v>101</v>
      </c>
      <c r="BS140" s="271">
        <f t="shared" si="774"/>
        <v>478</v>
      </c>
      <c r="BT140" s="177">
        <f t="shared" si="774"/>
        <v>56.299999999999955</v>
      </c>
      <c r="BU140" s="177">
        <f t="shared" si="774"/>
        <v>203</v>
      </c>
      <c r="BV140" s="177">
        <f t="shared" si="774"/>
        <v>181</v>
      </c>
      <c r="BW140" s="177">
        <f t="shared" si="774"/>
        <v>89</v>
      </c>
      <c r="BX140" s="271">
        <f t="shared" si="774"/>
        <v>529.29999999999995</v>
      </c>
      <c r="BY140" s="177">
        <f t="shared" si="774"/>
        <v>64</v>
      </c>
      <c r="BZ140" s="177">
        <f t="shared" si="774"/>
        <v>237</v>
      </c>
      <c r="CA140" s="177">
        <f t="shared" si="774"/>
        <v>220</v>
      </c>
      <c r="CB140" s="177">
        <f t="shared" si="774"/>
        <v>130</v>
      </c>
      <c r="CC140" s="271">
        <f t="shared" si="774"/>
        <v>651</v>
      </c>
      <c r="CD140" s="177">
        <f t="shared" si="774"/>
        <v>99.599999999999909</v>
      </c>
      <c r="CE140" s="177">
        <f t="shared" si="774"/>
        <v>417.59999999999991</v>
      </c>
      <c r="CF140" s="177">
        <f t="shared" si="774"/>
        <v>249.59999999999991</v>
      </c>
      <c r="CG140" s="177">
        <f t="shared" si="774"/>
        <v>163.59999999999991</v>
      </c>
      <c r="CH140" s="271">
        <f t="shared" si="774"/>
        <v>930.39999999999964</v>
      </c>
      <c r="CI140" s="177">
        <f t="shared" si="774"/>
        <v>51</v>
      </c>
      <c r="CJ140" s="177">
        <f t="shared" si="774"/>
        <v>313</v>
      </c>
      <c r="CK140" s="177">
        <f t="shared" si="774"/>
        <v>255</v>
      </c>
      <c r="CL140" s="177">
        <f t="shared" si="774"/>
        <v>143</v>
      </c>
      <c r="CM140" s="271">
        <f t="shared" si="774"/>
        <v>762</v>
      </c>
      <c r="CN140" s="177">
        <f t="shared" si="774"/>
        <v>71</v>
      </c>
      <c r="CO140" s="177">
        <f t="shared" si="774"/>
        <v>205</v>
      </c>
      <c r="CP140" s="177">
        <f t="shared" si="774"/>
        <v>103</v>
      </c>
      <c r="CQ140" s="177">
        <f t="shared" si="774"/>
        <v>107</v>
      </c>
      <c r="CR140" s="318">
        <f t="shared" si="774"/>
        <v>486</v>
      </c>
      <c r="CS140" s="177">
        <f t="shared" si="774"/>
        <v>-12.773000000000167</v>
      </c>
      <c r="CT140" s="177">
        <f t="shared" ref="CT140:DQ140" si="775">CT111+CT137</f>
        <v>149.89200000000019</v>
      </c>
      <c r="CU140" s="177">
        <f t="shared" si="775"/>
        <v>58.324999999999818</v>
      </c>
      <c r="CV140" s="177">
        <f t="shared" si="775"/>
        <v>129.8460000000002</v>
      </c>
      <c r="CW140" s="318">
        <f t="shared" si="775"/>
        <v>325.29000000000002</v>
      </c>
      <c r="CX140" s="177">
        <f t="shared" si="775"/>
        <v>21.514999999999674</v>
      </c>
      <c r="CY140" s="177">
        <f t="shared" si="775"/>
        <v>402.15</v>
      </c>
      <c r="CZ140" s="177">
        <f t="shared" si="775"/>
        <v>353.36500000000001</v>
      </c>
      <c r="DA140" s="177">
        <f t="shared" si="775"/>
        <v>167.48500000000001</v>
      </c>
      <c r="DB140" s="318">
        <f t="shared" si="775"/>
        <v>944.51499999999965</v>
      </c>
      <c r="DC140" s="177">
        <f t="shared" si="775"/>
        <v>-9.9930000000000803</v>
      </c>
      <c r="DD140" s="177">
        <f t="shared" si="775"/>
        <v>215</v>
      </c>
      <c r="DE140" s="177">
        <f t="shared" si="775"/>
        <v>203</v>
      </c>
      <c r="DF140" s="177">
        <f t="shared" si="775"/>
        <v>107</v>
      </c>
      <c r="DG140" s="318">
        <f t="shared" si="775"/>
        <v>515.00699999999995</v>
      </c>
      <c r="DH140" s="177">
        <f t="shared" si="775"/>
        <v>-29</v>
      </c>
      <c r="DI140" s="177">
        <f t="shared" si="775"/>
        <v>441</v>
      </c>
      <c r="DJ140" s="177">
        <f t="shared" si="775"/>
        <v>162</v>
      </c>
      <c r="DK140" s="177">
        <f t="shared" si="775"/>
        <v>105</v>
      </c>
      <c r="DL140" s="318">
        <f t="shared" si="775"/>
        <v>679</v>
      </c>
      <c r="DM140" s="177">
        <f t="shared" si="775"/>
        <v>85</v>
      </c>
      <c r="DN140" s="177">
        <f>DN111+DN137</f>
        <v>444</v>
      </c>
      <c r="DO140" s="177">
        <f>DO111+DO137</f>
        <v>390</v>
      </c>
      <c r="DP140" s="177">
        <f>DP111+DP137</f>
        <v>372</v>
      </c>
      <c r="DQ140" s="318">
        <f t="shared" si="775"/>
        <v>1291</v>
      </c>
      <c r="DR140" s="177">
        <f>DR111+DR137</f>
        <v>202</v>
      </c>
      <c r="DS140" s="177">
        <f>DS111+DS137</f>
        <v>778</v>
      </c>
      <c r="DT140" s="177">
        <f>DT111+DT137</f>
        <v>610</v>
      </c>
      <c r="DU140" s="177">
        <f t="shared" ref="DU140:EA140" si="776">DU111+DU137</f>
        <v>633</v>
      </c>
      <c r="DV140" s="318">
        <f t="shared" si="776"/>
        <v>2223</v>
      </c>
      <c r="DW140" s="177">
        <f t="shared" si="776"/>
        <v>719</v>
      </c>
      <c r="DX140" s="177">
        <f t="shared" si="776"/>
        <v>1109</v>
      </c>
      <c r="DY140" s="177">
        <f t="shared" si="776"/>
        <v>994</v>
      </c>
      <c r="DZ140" s="177">
        <f t="shared" si="776"/>
        <v>933</v>
      </c>
      <c r="EA140" s="318">
        <f t="shared" si="776"/>
        <v>3755</v>
      </c>
      <c r="EB140" s="177">
        <f t="shared" ref="EB140:EF140" si="777">EB111+EB137</f>
        <v>904</v>
      </c>
      <c r="EC140" s="177">
        <f t="shared" si="777"/>
        <v>1204</v>
      </c>
      <c r="ED140" s="177">
        <f t="shared" si="777"/>
        <v>926</v>
      </c>
      <c r="EE140" s="177">
        <f t="shared" si="777"/>
        <v>714</v>
      </c>
      <c r="EF140" s="318">
        <f t="shared" si="777"/>
        <v>3748</v>
      </c>
      <c r="EG140" s="177">
        <f t="shared" ref="EG140:EJ140" si="778">EG111+EG137</f>
        <v>586</v>
      </c>
      <c r="EH140" s="177">
        <f t="shared" si="778"/>
        <v>1172</v>
      </c>
      <c r="EI140" s="177">
        <f t="shared" si="778"/>
        <v>832</v>
      </c>
      <c r="EJ140" s="177">
        <f t="shared" si="778"/>
        <v>707</v>
      </c>
      <c r="EK140" s="318">
        <f t="shared" ref="EK140:EO140" si="779">EK111+EK137</f>
        <v>3297</v>
      </c>
      <c r="EL140" s="177">
        <f t="shared" si="779"/>
        <v>565</v>
      </c>
      <c r="EM140" s="177">
        <f t="shared" si="779"/>
        <v>1168</v>
      </c>
      <c r="EN140" s="177">
        <f t="shared" si="779"/>
        <v>873</v>
      </c>
      <c r="EO140" s="177">
        <f t="shared" si="779"/>
        <v>705</v>
      </c>
      <c r="EP140" s="318">
        <f t="shared" ref="EP140" si="780">EP111+EP137</f>
        <v>3311</v>
      </c>
      <c r="EQ140" s="177">
        <f t="shared" ref="EQ140:EU140" si="781">EQ111+EQ137</f>
        <v>564.81908914748965</v>
      </c>
      <c r="ER140" s="177">
        <f t="shared" si="781"/>
        <v>1153.4586749220052</v>
      </c>
      <c r="ES140" s="177">
        <f t="shared" si="781"/>
        <v>963.19753041631793</v>
      </c>
      <c r="ET140" s="177">
        <f t="shared" si="781"/>
        <v>899.43765631744918</v>
      </c>
      <c r="EU140" s="318">
        <f t="shared" si="781"/>
        <v>3580.9129508032638</v>
      </c>
      <c r="EV140" s="177"/>
      <c r="EW140" s="177"/>
      <c r="EX140" s="177"/>
      <c r="EY140" s="177"/>
      <c r="EZ140" s="318">
        <f t="shared" ref="EZ140" si="782">EZ111+EZ137</f>
        <v>4146.2296064412249</v>
      </c>
      <c r="FA140" s="177"/>
      <c r="FB140" s="177"/>
      <c r="FC140" s="177"/>
      <c r="FD140" s="177"/>
      <c r="FE140" s="318">
        <f t="shared" ref="FE140" si="783">FE111+FE137</f>
        <v>4739.1696401251402</v>
      </c>
      <c r="FF140" s="33"/>
      <c r="FG140" s="460"/>
      <c r="FL140" s="408"/>
      <c r="FM140" s="425"/>
      <c r="FN140" s="384"/>
      <c r="FO140" s="384"/>
      <c r="FP140" s="384"/>
      <c r="FQ140" s="384"/>
      <c r="FR140" s="384"/>
      <c r="FS140" s="384"/>
      <c r="FT140" s="460"/>
    </row>
    <row r="141" spans="1:184" s="583" customFormat="1" ht="12.75" customHeight="1" x14ac:dyDescent="0.2">
      <c r="A141" s="576" t="s">
        <v>227</v>
      </c>
      <c r="B141" s="148">
        <f t="shared" ref="B141:AG141" si="784">B142/B140</f>
        <v>0.36324999999999935</v>
      </c>
      <c r="C141" s="148">
        <f t="shared" si="784"/>
        <v>0.37084269062132413</v>
      </c>
      <c r="D141" s="148">
        <f t="shared" si="784"/>
        <v>0.36977456773911183</v>
      </c>
      <c r="E141" s="148">
        <f t="shared" si="784"/>
        <v>-0.20061185468451209</v>
      </c>
      <c r="F141" s="254">
        <f t="shared" si="784"/>
        <v>0.58527402330943212</v>
      </c>
      <c r="G141" s="148">
        <f t="shared" si="784"/>
        <v>0.37083556712874266</v>
      </c>
      <c r="H141" s="148">
        <f t="shared" si="784"/>
        <v>0.37386666666666662</v>
      </c>
      <c r="I141" s="148">
        <f t="shared" si="784"/>
        <v>0.39027605459057052</v>
      </c>
      <c r="J141" s="148">
        <f t="shared" si="784"/>
        <v>0.11390951930943952</v>
      </c>
      <c r="K141" s="254">
        <f t="shared" si="784"/>
        <v>0.72670036547604455</v>
      </c>
      <c r="L141" s="148">
        <f t="shared" si="784"/>
        <v>0.38552679547940255</v>
      </c>
      <c r="M141" s="148">
        <f t="shared" si="784"/>
        <v>0.38596124172921531</v>
      </c>
      <c r="N141" s="148">
        <f t="shared" si="784"/>
        <v>0.38768445982874877</v>
      </c>
      <c r="O141" s="148">
        <f t="shared" si="784"/>
        <v>0.20665039010668204</v>
      </c>
      <c r="P141" s="254">
        <f t="shared" si="784"/>
        <v>0.44028302556538079</v>
      </c>
      <c r="Q141" s="148">
        <f t="shared" si="784"/>
        <v>0.38201910776014536</v>
      </c>
      <c r="R141" s="148">
        <f t="shared" si="784"/>
        <v>0.38230827078756019</v>
      </c>
      <c r="S141" s="148">
        <f t="shared" si="784"/>
        <v>0.43579471771760209</v>
      </c>
      <c r="T141" s="148">
        <f t="shared" si="784"/>
        <v>0.30503181253879552</v>
      </c>
      <c r="U141" s="254">
        <f t="shared" si="784"/>
        <v>0.47012231310548519</v>
      </c>
      <c r="V141" s="148">
        <f t="shared" si="784"/>
        <v>0.39821392619862556</v>
      </c>
      <c r="W141" s="148">
        <f t="shared" si="784"/>
        <v>0.39764914158672626</v>
      </c>
      <c r="X141" s="148">
        <f t="shared" si="784"/>
        <v>0.39647681410097996</v>
      </c>
      <c r="Y141" s="148">
        <f t="shared" si="784"/>
        <v>0.43018402845858761</v>
      </c>
      <c r="Z141" s="254">
        <f t="shared" si="784"/>
        <v>0.40127803207099294</v>
      </c>
      <c r="AA141" s="148">
        <f t="shared" si="784"/>
        <v>0.40970350404312916</v>
      </c>
      <c r="AB141" s="148">
        <f t="shared" si="784"/>
        <v>0.40750587791787796</v>
      </c>
      <c r="AC141" s="148">
        <f t="shared" si="784"/>
        <v>0.40710939894059461</v>
      </c>
      <c r="AD141" s="148">
        <f t="shared" si="784"/>
        <v>0.17950147060798599</v>
      </c>
      <c r="AE141" s="254">
        <f t="shared" si="784"/>
        <v>0.31907346445537166</v>
      </c>
      <c r="AF141" s="148">
        <f t="shared" si="784"/>
        <v>0.3974913731719355</v>
      </c>
      <c r="AG141" s="148">
        <f t="shared" si="784"/>
        <v>0.39055211480902069</v>
      </c>
      <c r="AH141" s="148">
        <f t="shared" ref="AH141:BK141" si="785">AH142/AH140</f>
        <v>0.39289526450724749</v>
      </c>
      <c r="AI141" s="148">
        <f t="shared" si="785"/>
        <v>0.3925019952975688</v>
      </c>
      <c r="AJ141" s="254">
        <f t="shared" si="785"/>
        <v>0.39261839337711896</v>
      </c>
      <c r="AK141" s="148">
        <f t="shared" si="785"/>
        <v>0.3900073140609816</v>
      </c>
      <c r="AL141" s="148">
        <f t="shared" si="785"/>
        <v>0.39000019502935152</v>
      </c>
      <c r="AM141" s="148">
        <f t="shared" si="785"/>
        <v>0.38484709449620014</v>
      </c>
      <c r="AN141" s="148">
        <f t="shared" si="785"/>
        <v>0.37720824152460442</v>
      </c>
      <c r="AO141" s="254">
        <f t="shared" si="785"/>
        <v>0.38530165043059728</v>
      </c>
      <c r="AP141" s="148">
        <f t="shared" si="785"/>
        <v>0.38620163602409324</v>
      </c>
      <c r="AQ141" s="148">
        <f t="shared" si="785"/>
        <v>0.38399977833911364</v>
      </c>
      <c r="AR141" s="148">
        <f t="shared" si="785"/>
        <v>0.38572883845443173</v>
      </c>
      <c r="AS141" s="148">
        <f t="shared" si="785"/>
        <v>0.38584791958544651</v>
      </c>
      <c r="AT141" s="254">
        <f t="shared" si="785"/>
        <v>0.3853019094838836</v>
      </c>
      <c r="AU141" s="148">
        <f t="shared" si="785"/>
        <v>0.38599761694276824</v>
      </c>
      <c r="AV141" s="148">
        <f t="shared" si="785"/>
        <v>0.38519785812827878</v>
      </c>
      <c r="AW141" s="148">
        <f t="shared" si="785"/>
        <v>0.38937912661277535</v>
      </c>
      <c r="AX141" s="148">
        <f t="shared" si="785"/>
        <v>0.38680195081131213</v>
      </c>
      <c r="AY141" s="254">
        <f t="shared" si="785"/>
        <v>0.38680034280794878</v>
      </c>
      <c r="AZ141" s="148">
        <f t="shared" si="785"/>
        <v>0.38679771498913296</v>
      </c>
      <c r="BA141" s="148">
        <f t="shared" si="785"/>
        <v>0.38680134463513099</v>
      </c>
      <c r="BB141" s="148">
        <f t="shared" si="785"/>
        <v>0.38786274425139461</v>
      </c>
      <c r="BC141" s="148">
        <f t="shared" si="785"/>
        <v>0.37999943877203329</v>
      </c>
      <c r="BD141" s="254">
        <f t="shared" si="785"/>
        <v>0.38544709661438792</v>
      </c>
      <c r="BE141" s="148">
        <f t="shared" si="785"/>
        <v>0.38400118064956096</v>
      </c>
      <c r="BF141" s="148">
        <f t="shared" si="785"/>
        <v>0.38899847278318728</v>
      </c>
      <c r="BG141" s="148">
        <f t="shared" si="785"/>
        <v>0.38600073209419633</v>
      </c>
      <c r="BH141" s="148">
        <f t="shared" si="785"/>
        <v>0.35090355288441899</v>
      </c>
      <c r="BI141" s="254">
        <f t="shared" si="785"/>
        <v>0.38241836311814414</v>
      </c>
      <c r="BJ141" s="148">
        <f t="shared" si="785"/>
        <v>0.39240254574383437</v>
      </c>
      <c r="BK141" s="148">
        <f t="shared" si="785"/>
        <v>0.39337115470673983</v>
      </c>
      <c r="BL141" s="148">
        <v>0.33834704680048272</v>
      </c>
      <c r="BM141" s="148">
        <f t="shared" ref="BM141:DA141" si="786">BM142/BM140</f>
        <v>0.33672798948751714</v>
      </c>
      <c r="BN141" s="254">
        <f t="shared" si="786"/>
        <v>0.36835568011720143</v>
      </c>
      <c r="BO141" s="148">
        <f t="shared" si="786"/>
        <v>0.38461538461538464</v>
      </c>
      <c r="BP141" s="148">
        <f t="shared" si="786"/>
        <v>0.38023952095808383</v>
      </c>
      <c r="BQ141" s="148">
        <f t="shared" si="786"/>
        <v>0.38011695906432746</v>
      </c>
      <c r="BR141" s="148">
        <f t="shared" si="786"/>
        <v>0.34653465346534651</v>
      </c>
      <c r="BS141" s="254">
        <f t="shared" si="786"/>
        <v>0.37343096234309625</v>
      </c>
      <c r="BT141" s="148">
        <f t="shared" si="786"/>
        <v>0.36599999999999999</v>
      </c>
      <c r="BU141" s="148">
        <f t="shared" si="786"/>
        <v>0.38423645320197042</v>
      </c>
      <c r="BV141" s="148">
        <f t="shared" si="786"/>
        <v>0.34254143646408841</v>
      </c>
      <c r="BW141" s="148">
        <f t="shared" si="786"/>
        <v>0.3707865168539326</v>
      </c>
      <c r="BX141" s="254">
        <f t="shared" si="786"/>
        <v>0.36577706404685434</v>
      </c>
      <c r="BY141" s="148">
        <f t="shared" si="786"/>
        <v>0.328125</v>
      </c>
      <c r="BZ141" s="148">
        <f t="shared" si="786"/>
        <v>0.38396624472573837</v>
      </c>
      <c r="CA141" s="148">
        <f t="shared" si="786"/>
        <v>0.29545454545454547</v>
      </c>
      <c r="CB141" s="148">
        <f t="shared" si="786"/>
        <v>0.37692307692307692</v>
      </c>
      <c r="CC141" s="254">
        <f t="shared" si="786"/>
        <v>0.34715821812596004</v>
      </c>
      <c r="CD141" s="148">
        <f t="shared" si="786"/>
        <v>0.30240963855421715</v>
      </c>
      <c r="CE141" s="148">
        <f t="shared" si="786"/>
        <v>0.34722222222222232</v>
      </c>
      <c r="CF141" s="148">
        <f t="shared" si="786"/>
        <v>0.38461538461538475</v>
      </c>
      <c r="CG141" s="148">
        <f t="shared" si="786"/>
        <v>0.41564792176039145</v>
      </c>
      <c r="CH141" s="254">
        <f t="shared" si="786"/>
        <v>0.36448839208942407</v>
      </c>
      <c r="CI141" s="148">
        <f t="shared" si="786"/>
        <v>0.37254901960784315</v>
      </c>
      <c r="CJ141" s="148">
        <f t="shared" si="786"/>
        <v>0.3769968051118211</v>
      </c>
      <c r="CK141" s="148">
        <f t="shared" si="786"/>
        <v>0.37029411764705883</v>
      </c>
      <c r="CL141" s="148">
        <f t="shared" si="786"/>
        <v>0.39160839160839161</v>
      </c>
      <c r="CM141" s="254">
        <f t="shared" si="786"/>
        <v>0.37719816272965878</v>
      </c>
      <c r="CN141" s="148">
        <f t="shared" si="786"/>
        <v>0.39436619718309857</v>
      </c>
      <c r="CO141" s="148">
        <f t="shared" si="786"/>
        <v>0.40975609756097559</v>
      </c>
      <c r="CP141" s="148">
        <f t="shared" si="786"/>
        <v>0.3300970873786408</v>
      </c>
      <c r="CQ141" s="148">
        <f t="shared" si="786"/>
        <v>0.42990654205607476</v>
      </c>
      <c r="CR141" s="311">
        <f>CR142/CR140</f>
        <v>0.39506172839506171</v>
      </c>
      <c r="CS141" s="148">
        <f t="shared" si="786"/>
        <v>1.2526422923353786</v>
      </c>
      <c r="CT141" s="148">
        <f t="shared" si="786"/>
        <v>0.30496624236116632</v>
      </c>
      <c r="CU141" s="148">
        <f t="shared" si="786"/>
        <v>0.4326275182168895</v>
      </c>
      <c r="CV141" s="148">
        <f t="shared" si="786"/>
        <v>0.35220183910170455</v>
      </c>
      <c r="CW141" s="311">
        <f>CW142/CW140</f>
        <v>0.30949921608410957</v>
      </c>
      <c r="CX141" s="148">
        <f t="shared" si="786"/>
        <v>0.65070880780851559</v>
      </c>
      <c r="CY141" s="148">
        <f t="shared" si="786"/>
        <v>0.34887479796095988</v>
      </c>
      <c r="CZ141" s="148">
        <f t="shared" si="786"/>
        <v>0.39324494502851159</v>
      </c>
      <c r="DA141" s="148">
        <f t="shared" si="786"/>
        <v>0.45575424664895359</v>
      </c>
      <c r="DB141" s="311">
        <f t="shared" ref="DB141:DS141" si="787">DB142/DB140</f>
        <v>0.39130241446668412</v>
      </c>
      <c r="DC141" s="148">
        <f t="shared" si="787"/>
        <v>0.12778945261683086</v>
      </c>
      <c r="DD141" s="148">
        <f t="shared" si="787"/>
        <v>0.38604651162790699</v>
      </c>
      <c r="DE141" s="148">
        <f t="shared" si="787"/>
        <v>0.39901477832512317</v>
      </c>
      <c r="DF141" s="148">
        <f t="shared" si="787"/>
        <v>0.38317757009345793</v>
      </c>
      <c r="DG141" s="311">
        <f t="shared" si="787"/>
        <v>0.3955732640527217</v>
      </c>
      <c r="DH141" s="148">
        <f t="shared" si="787"/>
        <v>0.37931034482758619</v>
      </c>
      <c r="DI141" s="148">
        <f t="shared" si="787"/>
        <v>0.38095238095238093</v>
      </c>
      <c r="DJ141" s="148">
        <f t="shared" si="787"/>
        <v>0.40123456790123457</v>
      </c>
      <c r="DK141" s="148">
        <f t="shared" si="787"/>
        <v>0.38095238095238093</v>
      </c>
      <c r="DL141" s="311">
        <f>DL142/DL140</f>
        <v>0.38586156111929309</v>
      </c>
      <c r="DM141" s="148">
        <f t="shared" si="787"/>
        <v>0.37647058823529411</v>
      </c>
      <c r="DN141" s="148">
        <f t="shared" si="787"/>
        <v>0.38288288288288286</v>
      </c>
      <c r="DO141" s="148">
        <f t="shared" si="787"/>
        <v>0.38205128205128203</v>
      </c>
      <c r="DP141" s="148">
        <f t="shared" si="787"/>
        <v>0.36559139784946237</v>
      </c>
      <c r="DQ141" s="311">
        <f>DQ142/DQ140</f>
        <v>0.37722695584817972</v>
      </c>
      <c r="DR141" s="148">
        <f t="shared" si="787"/>
        <v>0.36633663366336633</v>
      </c>
      <c r="DS141" s="148">
        <f t="shared" si="787"/>
        <v>0.37660668380462725</v>
      </c>
      <c r="DT141" s="148">
        <f t="shared" ref="DT141:DY141" si="788">DT142/DT140</f>
        <v>0.3737704918032787</v>
      </c>
      <c r="DU141" s="148">
        <f t="shared" si="788"/>
        <v>0.3617693522906793</v>
      </c>
      <c r="DV141" s="311">
        <f t="shared" si="788"/>
        <v>0.37067026540710751</v>
      </c>
      <c r="DW141" s="148">
        <f t="shared" si="788"/>
        <v>0.37273991655076494</v>
      </c>
      <c r="DX141" s="148">
        <f t="shared" si="788"/>
        <v>0.37691614066726781</v>
      </c>
      <c r="DY141" s="148">
        <f t="shared" si="788"/>
        <v>0.37323943661971831</v>
      </c>
      <c r="DZ141" s="148">
        <f>DZ142/DZ140</f>
        <v>0.36655948553054662</v>
      </c>
      <c r="EA141" s="311">
        <f>EA142/EA140</f>
        <v>0.37256990679094543</v>
      </c>
      <c r="EB141" s="148">
        <f>EB142/EB140</f>
        <v>0.37278761061946902</v>
      </c>
      <c r="EC141" s="148">
        <f t="shared" ref="EC141:ED141" si="789">EC142/EC140</f>
        <v>0.37126245847176081</v>
      </c>
      <c r="ED141" s="148">
        <f t="shared" si="789"/>
        <v>0.37149028077753782</v>
      </c>
      <c r="EE141" s="148">
        <f>EE142/EE140</f>
        <v>0.35154061624649857</v>
      </c>
      <c r="EF141" s="311">
        <f>EF142/EF140</f>
        <v>0.36792956243329777</v>
      </c>
      <c r="EG141" s="148">
        <f>EG142/EG140</f>
        <v>0.3651877133105802</v>
      </c>
      <c r="EH141" s="148">
        <f t="shared" ref="EH141:EI141" si="790">EH142/EH140</f>
        <v>0.36177474402730375</v>
      </c>
      <c r="EI141" s="148">
        <f t="shared" si="790"/>
        <v>0.36538461538461536</v>
      </c>
      <c r="EJ141" s="148">
        <f>EJ142/EJ140</f>
        <v>0.35077793493635079</v>
      </c>
      <c r="EK141" s="311">
        <f>EK142/EK140</f>
        <v>0.36093418259023352</v>
      </c>
      <c r="EL141" s="148">
        <f>EL142/EL140</f>
        <v>0.36460176991150445</v>
      </c>
      <c r="EM141" s="148">
        <f t="shared" ref="EM141:EN141" si="791">EM142/EM140</f>
        <v>0.36215753424657532</v>
      </c>
      <c r="EN141" s="148">
        <f t="shared" si="791"/>
        <v>0.3654066437571592</v>
      </c>
      <c r="EO141" s="148">
        <f>EO142/EO140</f>
        <v>0.35035460992907802</v>
      </c>
      <c r="EP141" s="311">
        <f>EP142/EP140</f>
        <v>0.36091815161582602</v>
      </c>
      <c r="EQ141" s="149">
        <f>+AVERAGE(23%,23.5%)</f>
        <v>0.23249999999999998</v>
      </c>
      <c r="ER141" s="149">
        <f t="shared" ref="ER141:ET141" si="792">+AVERAGE(23%,23.5%)</f>
        <v>0.23249999999999998</v>
      </c>
      <c r="ES141" s="149">
        <f t="shared" si="792"/>
        <v>0.23249999999999998</v>
      </c>
      <c r="ET141" s="149">
        <f t="shared" si="792"/>
        <v>0.23249999999999998</v>
      </c>
      <c r="EU141" s="311">
        <f>EU142/EU140</f>
        <v>0.23249999999999987</v>
      </c>
      <c r="EV141" s="149"/>
      <c r="EW141" s="149"/>
      <c r="EX141" s="149"/>
      <c r="EY141" s="149"/>
      <c r="EZ141" s="577">
        <f t="shared" ref="EZ141" si="793">+AVERAGE(23%,23.5%)</f>
        <v>0.23249999999999998</v>
      </c>
      <c r="FA141" s="149"/>
      <c r="FB141" s="149"/>
      <c r="FC141" s="149"/>
      <c r="FD141" s="149"/>
      <c r="FE141" s="577">
        <f t="shared" ref="FE141" si="794">+AVERAGE(23%,23.5%)</f>
        <v>0.23249999999999998</v>
      </c>
      <c r="FF141" s="149"/>
      <c r="FG141" s="578"/>
      <c r="FH141" s="579"/>
      <c r="FI141" s="580"/>
      <c r="FJ141" s="580"/>
      <c r="FK141" s="580"/>
      <c r="FL141" s="818" t="s">
        <v>584</v>
      </c>
      <c r="FM141" s="417"/>
      <c r="FN141" s="379"/>
      <c r="FO141" s="379"/>
      <c r="FP141" s="379"/>
      <c r="FQ141" s="379"/>
      <c r="FR141" s="379"/>
      <c r="FS141" s="379"/>
      <c r="FT141" s="478"/>
      <c r="FU141"/>
      <c r="FV141"/>
      <c r="FW141"/>
      <c r="FX141"/>
      <c r="FY141"/>
      <c r="FZ141"/>
      <c r="GA141" s="581"/>
      <c r="GB141" s="582"/>
    </row>
    <row r="142" spans="1:184" ht="12.75" customHeight="1" x14ac:dyDescent="0.2">
      <c r="A142" s="25" t="s">
        <v>228</v>
      </c>
      <c r="B142" s="827">
        <v>2.9060000000000001</v>
      </c>
      <c r="C142" s="827">
        <v>13.871</v>
      </c>
      <c r="D142" s="827">
        <v>13.516</v>
      </c>
      <c r="E142" s="827">
        <f>F142-SUM(B142:D142)</f>
        <v>-2.6229999999999976</v>
      </c>
      <c r="F142" s="266">
        <v>27.67</v>
      </c>
      <c r="G142" s="827">
        <v>-4.8419999999999996</v>
      </c>
      <c r="H142" s="827">
        <v>6.3090000000000002</v>
      </c>
      <c r="I142" s="827">
        <v>10.066000000000001</v>
      </c>
      <c r="J142" s="827">
        <f>K142-SUM(G142:I142)</f>
        <v>5.3879999999999981</v>
      </c>
      <c r="K142" s="266">
        <v>16.920999999999999</v>
      </c>
      <c r="L142" s="827">
        <v>8.4600000000000009</v>
      </c>
      <c r="M142" s="827">
        <v>14.757999999999999</v>
      </c>
      <c r="N142" s="827">
        <v>17.024000000000001</v>
      </c>
      <c r="O142" s="827">
        <f>P142-SUM(L142:N142)</f>
        <v>15.573999999999998</v>
      </c>
      <c r="P142" s="266">
        <v>55.816000000000003</v>
      </c>
      <c r="Q142" s="827">
        <v>14.035</v>
      </c>
      <c r="R142" s="827">
        <v>25.927</v>
      </c>
      <c r="S142" s="827">
        <v>33.941000000000003</v>
      </c>
      <c r="T142" s="827">
        <f>U142-SUM(Q142:S142)</f>
        <v>31.449999999999989</v>
      </c>
      <c r="U142" s="266">
        <v>105.35299999999999</v>
      </c>
      <c r="V142" s="827">
        <v>27.690999999999999</v>
      </c>
      <c r="W142" s="827">
        <v>38.634</v>
      </c>
      <c r="X142" s="827">
        <v>38.509</v>
      </c>
      <c r="Y142" s="827">
        <v>15.358000000000001</v>
      </c>
      <c r="Z142" s="266">
        <f>SUM(V142:Y142)</f>
        <v>120.19200000000001</v>
      </c>
      <c r="AA142" s="827">
        <v>8.2080000000000002</v>
      </c>
      <c r="AB142" s="827">
        <v>41.076999999999998</v>
      </c>
      <c r="AC142" s="827">
        <v>46.497999999999998</v>
      </c>
      <c r="AD142" s="827">
        <f>122.514-SUM(AA142:AC142)</f>
        <v>26.731000000000009</v>
      </c>
      <c r="AE142" s="266">
        <f>SUM(AA142:AD142)</f>
        <v>122.514</v>
      </c>
      <c r="AF142" s="827">
        <v>21.771000000000001</v>
      </c>
      <c r="AG142" s="827">
        <v>54.673000000000002</v>
      </c>
      <c r="AH142" s="827">
        <v>39.384999999999998</v>
      </c>
      <c r="AI142" s="827">
        <v>18.196000000000002</v>
      </c>
      <c r="AJ142" s="266">
        <f>SUM(AF142:AI142)</f>
        <v>134.02500000000001</v>
      </c>
      <c r="AK142" s="827">
        <v>32.527000000000001</v>
      </c>
      <c r="AL142" s="827">
        <v>59.991</v>
      </c>
      <c r="AM142" s="827">
        <v>57.875999999999998</v>
      </c>
      <c r="AN142" s="827">
        <v>48.79</v>
      </c>
      <c r="AO142" s="266">
        <f>SUM(AK142:AN142)</f>
        <v>199.184</v>
      </c>
      <c r="AP142" s="827">
        <v>44.048999999999999</v>
      </c>
      <c r="AQ142" s="827">
        <v>83.153999999999996</v>
      </c>
      <c r="AR142" s="827">
        <v>81.41</v>
      </c>
      <c r="AS142" s="827">
        <v>63.067999999999998</v>
      </c>
      <c r="AT142" s="266">
        <f>SUM(AP142:AS142)</f>
        <v>271.68099999999998</v>
      </c>
      <c r="AU142" s="827">
        <v>60.255000000000003</v>
      </c>
      <c r="AV142" s="827">
        <v>98.840999999999994</v>
      </c>
      <c r="AW142" s="827">
        <v>80.971000000000004</v>
      </c>
      <c r="AX142" s="827">
        <v>59.165999999999997</v>
      </c>
      <c r="AY142" s="266">
        <f>SUM(AU142:AX142)</f>
        <v>299.233</v>
      </c>
      <c r="AZ142" s="827">
        <v>60.33</v>
      </c>
      <c r="BA142" s="827">
        <v>120.24299999999999</v>
      </c>
      <c r="BB142" s="827">
        <v>116.77500000000001</v>
      </c>
      <c r="BC142" s="827">
        <v>94.792000000000002</v>
      </c>
      <c r="BD142" s="266">
        <f>SUM(AZ142:BC142)</f>
        <v>392.14</v>
      </c>
      <c r="BE142" s="827">
        <v>75.456999999999994</v>
      </c>
      <c r="BF142" s="827">
        <v>111.818</v>
      </c>
      <c r="BG142" s="827">
        <v>94.906000000000006</v>
      </c>
      <c r="BH142" s="827">
        <f>BI142-BG142-BF142-BE142</f>
        <v>34.331000000000003</v>
      </c>
      <c r="BI142" s="266">
        <v>316.512</v>
      </c>
      <c r="BJ142" s="827">
        <v>13.811</v>
      </c>
      <c r="BK142" s="827">
        <v>54.5</v>
      </c>
      <c r="BL142" s="827">
        <f>BL140*BL141</f>
        <v>25.824000000000066</v>
      </c>
      <c r="BM142" s="827">
        <v>21.524999999999999</v>
      </c>
      <c r="BN142" s="266">
        <f>SUM(BJ142:BM142)</f>
        <v>115.66000000000008</v>
      </c>
      <c r="BO142" s="827">
        <v>15</v>
      </c>
      <c r="BP142" s="827">
        <v>63.5</v>
      </c>
      <c r="BQ142" s="827">
        <v>65</v>
      </c>
      <c r="BR142" s="827">
        <v>35</v>
      </c>
      <c r="BS142" s="266">
        <f>SUM(BO142:BR142)</f>
        <v>178.5</v>
      </c>
      <c r="BT142" s="827">
        <f>BT140*0.366</f>
        <v>20.605799999999984</v>
      </c>
      <c r="BU142" s="827">
        <v>78</v>
      </c>
      <c r="BV142" s="827">
        <v>62</v>
      </c>
      <c r="BW142" s="827">
        <v>33</v>
      </c>
      <c r="BX142" s="266">
        <f>SUM(BT142:BW142)</f>
        <v>193.60579999999999</v>
      </c>
      <c r="BY142" s="827">
        <f>30-9</f>
        <v>21</v>
      </c>
      <c r="BZ142" s="827">
        <f>91</f>
        <v>91</v>
      </c>
      <c r="CA142" s="827">
        <v>65</v>
      </c>
      <c r="CB142" s="827">
        <v>49</v>
      </c>
      <c r="CC142" s="266">
        <f>SUM(BY142:CB142)</f>
        <v>226</v>
      </c>
      <c r="CD142" s="827">
        <f>29.12+1</f>
        <v>30.12</v>
      </c>
      <c r="CE142" s="827">
        <v>145</v>
      </c>
      <c r="CF142" s="827">
        <f>30+66</f>
        <v>96</v>
      </c>
      <c r="CG142" s="827">
        <f>44+24</f>
        <v>68</v>
      </c>
      <c r="CH142" s="266">
        <f>SUM(CD142:CG142)</f>
        <v>339.12</v>
      </c>
      <c r="CI142" s="827">
        <f>56-37</f>
        <v>19</v>
      </c>
      <c r="CJ142" s="827">
        <f>169-51</f>
        <v>118</v>
      </c>
      <c r="CK142" s="827">
        <f>115-18-11+(25*0.337)</f>
        <v>94.424999999999997</v>
      </c>
      <c r="CL142" s="827">
        <f>72-16</f>
        <v>56</v>
      </c>
      <c r="CM142" s="266">
        <f>SUM(CI142:CL142)</f>
        <v>287.42500000000001</v>
      </c>
      <c r="CN142" s="827">
        <f>3+12+13</f>
        <v>28</v>
      </c>
      <c r="CO142" s="827">
        <f>208-124</f>
        <v>84</v>
      </c>
      <c r="CP142" s="827">
        <f>-85+119</f>
        <v>34</v>
      </c>
      <c r="CQ142" s="827">
        <f>-27+73</f>
        <v>46</v>
      </c>
      <c r="CR142" s="103">
        <f>SUM(CN142:CQ142)</f>
        <v>192</v>
      </c>
      <c r="CS142" s="827">
        <v>-16</v>
      </c>
      <c r="CT142" s="827">
        <v>45.712000000000003</v>
      </c>
      <c r="CU142" s="827">
        <v>25.233000000000001</v>
      </c>
      <c r="CV142" s="827">
        <v>45.731999999999999</v>
      </c>
      <c r="CW142" s="103">
        <f>SUM(CS142:CV142)</f>
        <v>100.67700000000001</v>
      </c>
      <c r="CX142" s="827">
        <v>14</v>
      </c>
      <c r="CY142" s="827">
        <v>140.30000000000001</v>
      </c>
      <c r="CZ142" s="827">
        <v>138.959</v>
      </c>
      <c r="DA142" s="827">
        <v>76.331999999999994</v>
      </c>
      <c r="DB142" s="103">
        <f>SUM(CX142:DA142)</f>
        <v>369.59100000000001</v>
      </c>
      <c r="DC142" s="827">
        <v>-1.277000000000001</v>
      </c>
      <c r="DD142" s="827">
        <v>83</v>
      </c>
      <c r="DE142" s="827">
        <v>81</v>
      </c>
      <c r="DF142" s="827">
        <v>41</v>
      </c>
      <c r="DG142" s="103">
        <f>SUM(DC142:DF142)</f>
        <v>203.72300000000001</v>
      </c>
      <c r="DH142" s="827">
        <v>-11</v>
      </c>
      <c r="DI142" s="827">
        <v>168</v>
      </c>
      <c r="DJ142" s="827">
        <v>65</v>
      </c>
      <c r="DK142" s="827">
        <v>40</v>
      </c>
      <c r="DL142" s="103">
        <f>SUM(DH142:DK142)</f>
        <v>262</v>
      </c>
      <c r="DM142" s="827">
        <v>32</v>
      </c>
      <c r="DN142" s="827">
        <v>170</v>
      </c>
      <c r="DO142" s="827">
        <v>149</v>
      </c>
      <c r="DP142" s="827">
        <v>136</v>
      </c>
      <c r="DQ142" s="103">
        <f>SUM(DM142:DP142)</f>
        <v>487</v>
      </c>
      <c r="DR142" s="827">
        <v>74</v>
      </c>
      <c r="DS142" s="827">
        <v>293</v>
      </c>
      <c r="DT142" s="827">
        <v>228</v>
      </c>
      <c r="DU142" s="827">
        <v>229</v>
      </c>
      <c r="DV142" s="103">
        <f>SUM(DR142:DU142)</f>
        <v>824</v>
      </c>
      <c r="DW142" s="827">
        <v>268</v>
      </c>
      <c r="DX142" s="827">
        <v>418</v>
      </c>
      <c r="DY142" s="827">
        <v>371</v>
      </c>
      <c r="DZ142" s="827">
        <v>342</v>
      </c>
      <c r="EA142" s="103">
        <f>SUM(DW142:DZ142)</f>
        <v>1399</v>
      </c>
      <c r="EB142" s="827">
        <v>337</v>
      </c>
      <c r="EC142" s="827">
        <v>447</v>
      </c>
      <c r="ED142" s="827">
        <v>344</v>
      </c>
      <c r="EE142" s="827">
        <v>251</v>
      </c>
      <c r="EF142" s="103">
        <f>SUM(EB142:EE142)</f>
        <v>1379</v>
      </c>
      <c r="EG142" s="827">
        <v>214</v>
      </c>
      <c r="EH142" s="827">
        <v>424</v>
      </c>
      <c r="EI142" s="827">
        <v>304</v>
      </c>
      <c r="EJ142" s="827">
        <v>248</v>
      </c>
      <c r="EK142" s="103">
        <f>SUM(EG142:EJ142)</f>
        <v>1190</v>
      </c>
      <c r="EL142" s="827">
        <v>206</v>
      </c>
      <c r="EM142" s="827">
        <v>423</v>
      </c>
      <c r="EN142" s="827">
        <v>319</v>
      </c>
      <c r="EO142" s="827">
        <v>247</v>
      </c>
      <c r="EP142" s="103">
        <f>SUM(EL142:EO142)</f>
        <v>1195</v>
      </c>
      <c r="EQ142" s="33">
        <f t="shared" ref="EQ142" si="795">EQ140*EQ141</f>
        <v>131.32043822679134</v>
      </c>
      <c r="ER142" s="33">
        <f t="shared" ref="ER142:ET142" si="796">ER140*ER141</f>
        <v>268.1791419193662</v>
      </c>
      <c r="ES142" s="33">
        <f t="shared" si="796"/>
        <v>223.94342582179391</v>
      </c>
      <c r="ET142" s="33">
        <f t="shared" si="796"/>
        <v>209.11925509380691</v>
      </c>
      <c r="EU142" s="103">
        <f>SUM(EQ142:ET142)</f>
        <v>832.56226106175836</v>
      </c>
      <c r="EV142" s="33"/>
      <c r="EW142" s="33"/>
      <c r="EX142" s="33"/>
      <c r="EY142" s="33"/>
      <c r="EZ142" s="103">
        <f>EZ140*EZ141</f>
        <v>963.99838349758477</v>
      </c>
      <c r="FA142" s="33"/>
      <c r="FB142" s="33"/>
      <c r="FC142" s="33"/>
      <c r="FD142" s="33"/>
      <c r="FE142" s="103">
        <f>FE140*FE141</f>
        <v>1101.856941329095</v>
      </c>
      <c r="FF142" s="33"/>
      <c r="FG142" s="460"/>
      <c r="FL142" s="425"/>
      <c r="FN142" s="425"/>
      <c r="FO142" s="384"/>
      <c r="FP142" s="384"/>
      <c r="FQ142" s="384"/>
      <c r="FR142" s="384"/>
      <c r="FS142" s="384"/>
      <c r="FT142" s="460"/>
    </row>
    <row r="143" spans="1:184" ht="12.75" customHeight="1" x14ac:dyDescent="0.2">
      <c r="A143" s="27" t="s">
        <v>295</v>
      </c>
      <c r="B143" s="175">
        <f>B140-B142</f>
        <v>5.0940000000000136</v>
      </c>
      <c r="C143" s="175">
        <f>C140-C142</f>
        <v>23.53299999999998</v>
      </c>
      <c r="D143" s="175">
        <f>D140-D142</f>
        <v>23.035999999999959</v>
      </c>
      <c r="E143" s="175">
        <f>E140-E142</f>
        <v>15.698000000000008</v>
      </c>
      <c r="F143" s="269">
        <f>SUM(B143:E143)</f>
        <v>67.360999999999962</v>
      </c>
      <c r="G143" s="175">
        <f t="shared" ref="G143:Y143" si="797">G140-G142</f>
        <v>-8.2150000000000176</v>
      </c>
      <c r="H143" s="175">
        <f t="shared" si="797"/>
        <v>10.566000000000003</v>
      </c>
      <c r="I143" s="175">
        <f t="shared" si="797"/>
        <v>15.726000000000015</v>
      </c>
      <c r="J143" s="175">
        <f t="shared" si="797"/>
        <v>41.912699999999937</v>
      </c>
      <c r="K143" s="269">
        <f t="shared" si="797"/>
        <v>6.3636999999999233</v>
      </c>
      <c r="L143" s="175">
        <f t="shared" si="797"/>
        <v>13.483999999999977</v>
      </c>
      <c r="M143" s="175">
        <f t="shared" si="797"/>
        <v>23.478999999999981</v>
      </c>
      <c r="N143" s="175">
        <f t="shared" si="797"/>
        <v>26.887999999999963</v>
      </c>
      <c r="O143" s="175">
        <f t="shared" si="797"/>
        <v>59.790000000000063</v>
      </c>
      <c r="P143" s="269">
        <f t="shared" si="797"/>
        <v>70.956999999999965</v>
      </c>
      <c r="Q143" s="175">
        <f t="shared" si="797"/>
        <v>22.704000000000054</v>
      </c>
      <c r="R143" s="175">
        <f t="shared" si="797"/>
        <v>41.890000000000079</v>
      </c>
      <c r="S143" s="175">
        <f t="shared" si="797"/>
        <v>43.941999999999993</v>
      </c>
      <c r="T143" s="175">
        <f t="shared" si="797"/>
        <v>71.654000000000053</v>
      </c>
      <c r="U143" s="269">
        <f t="shared" si="797"/>
        <v>118.74400000000018</v>
      </c>
      <c r="V143" s="175">
        <f t="shared" si="797"/>
        <v>41.846999999999937</v>
      </c>
      <c r="W143" s="175">
        <f t="shared" si="797"/>
        <v>58.522000000000062</v>
      </c>
      <c r="X143" s="175">
        <f t="shared" si="797"/>
        <v>58.619000000000042</v>
      </c>
      <c r="Y143" s="175">
        <f t="shared" si="797"/>
        <v>20.342999999999915</v>
      </c>
      <c r="Z143" s="269">
        <f>SUM(V143:Y143)</f>
        <v>179.33099999999996</v>
      </c>
      <c r="AA143" s="175">
        <f>AA140-AA142</f>
        <v>11.825999999999878</v>
      </c>
      <c r="AB143" s="175">
        <f>AB140-AB142</f>
        <v>59.723999999999961</v>
      </c>
      <c r="AC143" s="175">
        <f>AC140-AC142</f>
        <v>67.716999999999956</v>
      </c>
      <c r="AD143" s="175">
        <f>AD140-AD142</f>
        <v>122.18699999999971</v>
      </c>
      <c r="AE143" s="269">
        <f>SUM(AA143:AD143)</f>
        <v>261.4539999999995</v>
      </c>
      <c r="AF143" s="175">
        <f>AF140-AF142</f>
        <v>32.999999999999801</v>
      </c>
      <c r="AG143" s="175">
        <f>AG140-AG142</f>
        <v>85.316000000000003</v>
      </c>
      <c r="AH143" s="175">
        <f>AH140-AH142</f>
        <v>60.857999999999969</v>
      </c>
      <c r="AI143" s="175">
        <f>AI140-AI142</f>
        <v>28.163000000000022</v>
      </c>
      <c r="AJ143" s="269">
        <f>SUM(AF143:AI143)</f>
        <v>207.33699999999979</v>
      </c>
      <c r="AK143" s="175">
        <f>AK140-AK142</f>
        <v>50.874000000000194</v>
      </c>
      <c r="AL143" s="175">
        <f>AL140-AL142</f>
        <v>93.83200000000015</v>
      </c>
      <c r="AM143" s="175">
        <f>AM140-AM142</f>
        <v>92.510999999999854</v>
      </c>
      <c r="AN143" s="175">
        <f>AN140-AN142</f>
        <v>80.555000000000121</v>
      </c>
      <c r="AO143" s="269">
        <f>SUM(AK143:AN143)</f>
        <v>317.77200000000033</v>
      </c>
      <c r="AP143" s="175">
        <f>AP140-AP142</f>
        <v>70.007999999999981</v>
      </c>
      <c r="AQ143" s="175">
        <f>AQ140-AQ142</f>
        <v>133.39299999999989</v>
      </c>
      <c r="AR143" s="175">
        <f>AR140-AR142</f>
        <v>129.64499999999975</v>
      </c>
      <c r="AS143" s="175">
        <f>AS140-AS142</f>
        <v>100.38500000000003</v>
      </c>
      <c r="AT143" s="269">
        <f>SUM(AP143:AS143)</f>
        <v>433.43099999999964</v>
      </c>
      <c r="AU143" s="175">
        <f>AU140-AU142</f>
        <v>95.84699999999998</v>
      </c>
      <c r="AV143" s="175">
        <f>AV140-AV142</f>
        <v>157.75699999999978</v>
      </c>
      <c r="AW143" s="175">
        <f>AW140-AW142</f>
        <v>126.97799999999995</v>
      </c>
      <c r="AX143" s="175">
        <f>AX140-AX142</f>
        <v>93.796000000000191</v>
      </c>
      <c r="AY143" s="269">
        <f>SUM(AU143:AX143)</f>
        <v>474.37799999999993</v>
      </c>
      <c r="AZ143" s="175">
        <f>AZ140-AZ142</f>
        <v>95.642999999999901</v>
      </c>
      <c r="BA143" s="175">
        <f>BA140-BA142</f>
        <v>190.62200000000001</v>
      </c>
      <c r="BB143" s="175">
        <f>BB140-BB142</f>
        <v>184.29799999999969</v>
      </c>
      <c r="BC143" s="175">
        <f>BC140-BC142</f>
        <v>154.66099999999994</v>
      </c>
      <c r="BD143" s="269">
        <f>SUM(AZ143:BC143)</f>
        <v>625.22399999999959</v>
      </c>
      <c r="BE143" s="175">
        <f>BE140-BE142</f>
        <v>121.04499999999993</v>
      </c>
      <c r="BF143" s="175">
        <f>BF140-BF142</f>
        <v>175.6330000000001</v>
      </c>
      <c r="BG143" s="175">
        <f>BG140-BG142</f>
        <v>150.96399999999988</v>
      </c>
      <c r="BH143" s="175">
        <f>BH140-BH142</f>
        <v>63.504999999999953</v>
      </c>
      <c r="BI143" s="269">
        <f>SUM(BE143:BH143)</f>
        <v>511.14699999999982</v>
      </c>
      <c r="BJ143" s="175">
        <f>BJ140-BJ142</f>
        <v>21.385000000000012</v>
      </c>
      <c r="BK143" s="175">
        <f>BK140-BK142</f>
        <v>84.046000000000049</v>
      </c>
      <c r="BL143" s="175">
        <f>BL140-BL142</f>
        <v>50.5</v>
      </c>
      <c r="BM143" s="175">
        <f>BM140-BM142</f>
        <v>42.398999999999859</v>
      </c>
      <c r="BN143" s="269">
        <f>SUM(BJ143:BM143)</f>
        <v>198.32999999999993</v>
      </c>
      <c r="BO143" s="175">
        <f>BO140-BO142</f>
        <v>24</v>
      </c>
      <c r="BP143" s="175">
        <f>BP140-BP142</f>
        <v>103.5</v>
      </c>
      <c r="BQ143" s="175">
        <f>BQ140-BQ142</f>
        <v>106</v>
      </c>
      <c r="BR143" s="175">
        <f>BR140-BR142</f>
        <v>66</v>
      </c>
      <c r="BS143" s="269">
        <f>SUM(BO143:BR143)</f>
        <v>299.5</v>
      </c>
      <c r="BT143" s="175">
        <f>BT140-BT142</f>
        <v>35.694199999999967</v>
      </c>
      <c r="BU143" s="175">
        <f>BU140-BU142</f>
        <v>125</v>
      </c>
      <c r="BV143" s="175">
        <f>BV140-BV142</f>
        <v>119</v>
      </c>
      <c r="BW143" s="175">
        <f>BW140-BW142</f>
        <v>56</v>
      </c>
      <c r="BX143" s="269">
        <f>SUM(BT143:BW143)</f>
        <v>335.69419999999997</v>
      </c>
      <c r="BY143" s="175">
        <f>BY140-BY142</f>
        <v>43</v>
      </c>
      <c r="BZ143" s="175">
        <f>BZ140-BZ142</f>
        <v>146</v>
      </c>
      <c r="CA143" s="175">
        <f>CA140-CA142</f>
        <v>155</v>
      </c>
      <c r="CB143" s="175">
        <f>CB140-CB142</f>
        <v>81</v>
      </c>
      <c r="CC143" s="269">
        <f>SUM(BY143:CB143)</f>
        <v>425</v>
      </c>
      <c r="CD143" s="175">
        <f>CD140-CD142</f>
        <v>69.479999999999905</v>
      </c>
      <c r="CE143" s="175">
        <f>CE140-CE142</f>
        <v>272.59999999999991</v>
      </c>
      <c r="CF143" s="175">
        <f>CF140-CF142</f>
        <v>153.59999999999991</v>
      </c>
      <c r="CG143" s="175">
        <f>CG140-CG142</f>
        <v>95.599999999999909</v>
      </c>
      <c r="CH143" s="269">
        <f>SUM(CD143:CG143)</f>
        <v>591.27999999999963</v>
      </c>
      <c r="CI143" s="175">
        <f>CI140-CI142</f>
        <v>32</v>
      </c>
      <c r="CJ143" s="175">
        <f>CJ140-CJ142</f>
        <v>195</v>
      </c>
      <c r="CK143" s="175">
        <f>CK140-CK142</f>
        <v>160.57499999999999</v>
      </c>
      <c r="CL143" s="175">
        <f>CL140-CL142</f>
        <v>87</v>
      </c>
      <c r="CM143" s="269">
        <f>SUM(CI143:CL143)</f>
        <v>474.57499999999999</v>
      </c>
      <c r="CN143" s="175">
        <f>CN140-CN142</f>
        <v>43</v>
      </c>
      <c r="CO143" s="175">
        <f>CO140-CO142</f>
        <v>121</v>
      </c>
      <c r="CP143" s="175">
        <f>CP140-CP142</f>
        <v>69</v>
      </c>
      <c r="CQ143" s="175">
        <f>CQ140-CQ142</f>
        <v>61</v>
      </c>
      <c r="CR143" s="316">
        <f>SUM(CN143:CQ143)</f>
        <v>294</v>
      </c>
      <c r="CS143" s="175">
        <f>CS140-CS142</f>
        <v>3.2269999999998333</v>
      </c>
      <c r="CT143" s="175">
        <f>CT140-CT142</f>
        <v>104.18000000000019</v>
      </c>
      <c r="CU143" s="175">
        <f>CU140-CU142</f>
        <v>33.091999999999814</v>
      </c>
      <c r="CV143" s="175">
        <f>CV140-CV142</f>
        <v>84.114000000000203</v>
      </c>
      <c r="CW143" s="316">
        <f>SUM(CS143:CV143)</f>
        <v>224.61300000000006</v>
      </c>
      <c r="CX143" s="175">
        <f>CX140-CX142</f>
        <v>7.5149999999996737</v>
      </c>
      <c r="CY143" s="175">
        <f>CY140-CY142</f>
        <v>261.84999999999997</v>
      </c>
      <c r="CZ143" s="175">
        <f>CZ140-CZ142</f>
        <v>214.40600000000001</v>
      </c>
      <c r="DA143" s="175">
        <f>DA140-DA142</f>
        <v>91.15300000000002</v>
      </c>
      <c r="DB143" s="316">
        <f>SUM(CX143:DA143)</f>
        <v>574.92399999999975</v>
      </c>
      <c r="DC143" s="175">
        <f>DC140-DC142</f>
        <v>-8.7160000000000792</v>
      </c>
      <c r="DD143" s="175">
        <f>DD140-DD142</f>
        <v>132</v>
      </c>
      <c r="DE143" s="175">
        <f>DE140-DE142</f>
        <v>122</v>
      </c>
      <c r="DF143" s="175">
        <f>DF140-DF142</f>
        <v>66</v>
      </c>
      <c r="DG143" s="316">
        <f>SUM(DC143:DF143)</f>
        <v>311.28399999999993</v>
      </c>
      <c r="DH143" s="175">
        <f>DH140-DH142</f>
        <v>-18</v>
      </c>
      <c r="DI143" s="175">
        <f>DI140-DI142</f>
        <v>273</v>
      </c>
      <c r="DJ143" s="175">
        <f>DJ140-DJ142</f>
        <v>97</v>
      </c>
      <c r="DK143" s="175">
        <f>DK140-DK142</f>
        <v>65</v>
      </c>
      <c r="DL143" s="316">
        <f>SUM(DH143:DK143)</f>
        <v>417</v>
      </c>
      <c r="DM143" s="175">
        <f>DM140-DM142</f>
        <v>53</v>
      </c>
      <c r="DN143" s="175">
        <f>DN140-DN142</f>
        <v>274</v>
      </c>
      <c r="DO143" s="175">
        <f>DO140-DO142</f>
        <v>241</v>
      </c>
      <c r="DP143" s="175">
        <f>DP140-DP142</f>
        <v>236</v>
      </c>
      <c r="DQ143" s="316">
        <f>SUM(DM143:DP143)</f>
        <v>804</v>
      </c>
      <c r="DR143" s="175">
        <f>DR140-DR142</f>
        <v>128</v>
      </c>
      <c r="DS143" s="175">
        <f>DS140-DS142</f>
        <v>485</v>
      </c>
      <c r="DT143" s="175">
        <f>DT140-DT142</f>
        <v>382</v>
      </c>
      <c r="DU143" s="175">
        <f>DU140-DU142</f>
        <v>404</v>
      </c>
      <c r="DV143" s="316">
        <f>SUM(DR143:DU143)</f>
        <v>1399</v>
      </c>
      <c r="DW143" s="175">
        <f>DW140-DW142</f>
        <v>451</v>
      </c>
      <c r="DX143" s="175">
        <f>DX140-DX142</f>
        <v>691</v>
      </c>
      <c r="DY143" s="175">
        <f>DY140-DY142</f>
        <v>623</v>
      </c>
      <c r="DZ143" s="175">
        <f>DZ140-DZ142</f>
        <v>591</v>
      </c>
      <c r="EA143" s="316">
        <f>SUM(DW143:DZ143)</f>
        <v>2356</v>
      </c>
      <c r="EB143" s="175">
        <f t="shared" ref="EB143" si="798">EB140-EB142</f>
        <v>567</v>
      </c>
      <c r="EC143" s="175">
        <f>EC140-EC142</f>
        <v>757</v>
      </c>
      <c r="ED143" s="175">
        <f>ED140-ED142</f>
        <v>582</v>
      </c>
      <c r="EE143" s="175">
        <f>EE140-EE142</f>
        <v>463</v>
      </c>
      <c r="EF143" s="316">
        <f>SUM(EB143:EE143)</f>
        <v>2369</v>
      </c>
      <c r="EG143" s="175">
        <f t="shared" ref="EG143" si="799">EG140-EG142</f>
        <v>372</v>
      </c>
      <c r="EH143" s="175">
        <f>EH140-EH142</f>
        <v>748</v>
      </c>
      <c r="EI143" s="175">
        <f>EI140-EI142</f>
        <v>528</v>
      </c>
      <c r="EJ143" s="887">
        <f>EJ140-EJ142</f>
        <v>459</v>
      </c>
      <c r="EK143" s="888">
        <f t="shared" ref="EK143:EL143" si="800">EK140-EK142</f>
        <v>2107</v>
      </c>
      <c r="EL143" s="175">
        <f t="shared" si="800"/>
        <v>359</v>
      </c>
      <c r="EM143" s="175">
        <f>EM140-EM142</f>
        <v>745</v>
      </c>
      <c r="EN143" s="175">
        <f>EN140-EN142</f>
        <v>554</v>
      </c>
      <c r="EO143" s="175">
        <f>EO140-EO142</f>
        <v>458</v>
      </c>
      <c r="EP143" s="316">
        <f t="shared" ref="EP143" si="801">EP140-EP142</f>
        <v>2116</v>
      </c>
      <c r="EQ143" s="175">
        <f t="shared" ref="EQ143:EU143" si="802">EQ140-EQ142</f>
        <v>433.49865092069831</v>
      </c>
      <c r="ER143" s="175">
        <f t="shared" si="802"/>
        <v>885.27953300263903</v>
      </c>
      <c r="ES143" s="175">
        <f t="shared" si="802"/>
        <v>739.25410459452405</v>
      </c>
      <c r="ET143" s="175">
        <f t="shared" si="802"/>
        <v>690.31840122364224</v>
      </c>
      <c r="EU143" s="316">
        <f t="shared" si="802"/>
        <v>2748.3506897415054</v>
      </c>
      <c r="EV143" s="175"/>
      <c r="EW143" s="175"/>
      <c r="EX143" s="175"/>
      <c r="EY143" s="175"/>
      <c r="EZ143" s="316">
        <f t="shared" ref="EZ143" si="803">EZ140-EZ142</f>
        <v>3182.2312229436402</v>
      </c>
      <c r="FA143" s="175"/>
      <c r="FB143" s="175"/>
      <c r="FC143" s="175"/>
      <c r="FD143" s="175"/>
      <c r="FE143" s="316">
        <f t="shared" ref="FE143" si="804">FE140-FE142</f>
        <v>3637.312698796045</v>
      </c>
      <c r="FF143" s="33"/>
      <c r="FG143" s="460"/>
      <c r="FL143" s="425"/>
      <c r="FM143" s="425"/>
      <c r="FN143" s="384"/>
      <c r="FO143" s="384"/>
      <c r="FP143" s="384"/>
      <c r="FQ143" s="384"/>
      <c r="FR143" s="384"/>
      <c r="FS143" s="384"/>
      <c r="FT143" s="460"/>
    </row>
    <row r="144" spans="1:184" ht="12.75" customHeight="1" x14ac:dyDescent="0.2">
      <c r="A144" s="58" t="s">
        <v>244</v>
      </c>
      <c r="B144" s="161"/>
      <c r="C144" s="161"/>
      <c r="D144" s="161"/>
      <c r="E144" s="161"/>
      <c r="F144" s="254"/>
      <c r="G144" s="161">
        <f>G143/B143-1</f>
        <v>-2.6126815861798187</v>
      </c>
      <c r="H144" s="161">
        <f>H143/C143-1</f>
        <v>-0.55101347044575655</v>
      </c>
      <c r="I144" s="161">
        <f>I143/D143-1</f>
        <v>-0.31732939746483579</v>
      </c>
      <c r="J144" s="161">
        <f>J143/E143-1</f>
        <v>1.6699388457128244</v>
      </c>
      <c r="K144" s="254">
        <f t="shared" ref="K144:U144" si="805">K143/F143-1</f>
        <v>-0.90552842149018087</v>
      </c>
      <c r="L144" s="161">
        <f t="shared" si="805"/>
        <v>-2.6413877054169141</v>
      </c>
      <c r="M144" s="161">
        <f t="shared" si="805"/>
        <v>1.2221275790270658</v>
      </c>
      <c r="N144" s="161">
        <f t="shared" si="805"/>
        <v>0.70977998219508698</v>
      </c>
      <c r="O144" s="161">
        <f t="shared" si="805"/>
        <v>0.42653658676248862</v>
      </c>
      <c r="P144" s="254">
        <f t="shared" si="805"/>
        <v>10.150274211543728</v>
      </c>
      <c r="Q144" s="161">
        <f t="shared" si="805"/>
        <v>0.68377336102047548</v>
      </c>
      <c r="R144" s="161">
        <f t="shared" si="805"/>
        <v>0.78414753609609056</v>
      </c>
      <c r="S144" s="161">
        <f t="shared" si="805"/>
        <v>0.63426063671526522</v>
      </c>
      <c r="T144" s="161">
        <f t="shared" si="805"/>
        <v>0.19842783074092618</v>
      </c>
      <c r="U144" s="254">
        <f t="shared" si="805"/>
        <v>0.67346421071917129</v>
      </c>
      <c r="V144" s="161">
        <f t="shared" ref="V144:CT144" si="806">V143/Q143-1</f>
        <v>0.84315539112050031</v>
      </c>
      <c r="W144" s="161">
        <f t="shared" si="806"/>
        <v>0.3970398663165422</v>
      </c>
      <c r="X144" s="161">
        <f t="shared" si="806"/>
        <v>0.33400846570479392</v>
      </c>
      <c r="Y144" s="161">
        <f t="shared" si="806"/>
        <v>-0.71609400731292183</v>
      </c>
      <c r="Z144" s="254">
        <f t="shared" si="806"/>
        <v>0.5102320959374762</v>
      </c>
      <c r="AA144" s="161">
        <f t="shared" si="806"/>
        <v>-0.71739909670944402</v>
      </c>
      <c r="AB144" s="161">
        <f t="shared" si="806"/>
        <v>2.0539284371687616E-2</v>
      </c>
      <c r="AC144" s="161">
        <f t="shared" si="806"/>
        <v>0.1552056500452057</v>
      </c>
      <c r="AD144" s="161">
        <f t="shared" si="806"/>
        <v>5.0063412476036095</v>
      </c>
      <c r="AE144" s="254">
        <f t="shared" si="806"/>
        <v>0.45794090257679687</v>
      </c>
      <c r="AF144" s="161">
        <f t="shared" si="806"/>
        <v>1.7904616945712957</v>
      </c>
      <c r="AG144" s="161">
        <f t="shared" si="806"/>
        <v>0.4285044538209104</v>
      </c>
      <c r="AH144" s="161">
        <f t="shared" si="806"/>
        <v>-0.1012891888299835</v>
      </c>
      <c r="AI144" s="161">
        <f t="shared" si="806"/>
        <v>-0.76950903123900183</v>
      </c>
      <c r="AJ144" s="254">
        <f t="shared" si="806"/>
        <v>-0.20698478508647722</v>
      </c>
      <c r="AK144" s="161">
        <f t="shared" si="806"/>
        <v>0.54163636363637879</v>
      </c>
      <c r="AL144" s="161">
        <f t="shared" si="806"/>
        <v>9.9817150358668227E-2</v>
      </c>
      <c r="AM144" s="161">
        <f t="shared" si="806"/>
        <v>0.52011239278319854</v>
      </c>
      <c r="AN144" s="161">
        <f t="shared" si="806"/>
        <v>1.8603131768632624</v>
      </c>
      <c r="AO144" s="254">
        <f t="shared" si="806"/>
        <v>0.53263527493887075</v>
      </c>
      <c r="AP144" s="161">
        <f t="shared" si="806"/>
        <v>0.37610567283877261</v>
      </c>
      <c r="AQ144" s="161">
        <f t="shared" si="806"/>
        <v>0.42161522721459277</v>
      </c>
      <c r="AR144" s="161">
        <f t="shared" si="806"/>
        <v>0.40140091448584458</v>
      </c>
      <c r="AS144" s="161">
        <f t="shared" si="806"/>
        <v>0.24616721494630855</v>
      </c>
      <c r="AT144" s="254">
        <f t="shared" si="806"/>
        <v>0.36396850572108042</v>
      </c>
      <c r="AU144" s="161">
        <f t="shared" si="806"/>
        <v>0.36908639012684263</v>
      </c>
      <c r="AV144" s="161">
        <f t="shared" si="806"/>
        <v>0.18264826490145603</v>
      </c>
      <c r="AW144" s="161">
        <f t="shared" si="806"/>
        <v>-2.0571560800646482E-2</v>
      </c>
      <c r="AX144" s="161">
        <f t="shared" si="806"/>
        <v>-6.563729640882443E-2</v>
      </c>
      <c r="AY144" s="254">
        <f t="shared" si="806"/>
        <v>9.4471784436277684E-2</v>
      </c>
      <c r="AZ144" s="161">
        <f t="shared" si="806"/>
        <v>-2.1283921249499738E-3</v>
      </c>
      <c r="BA144" s="161">
        <f t="shared" si="806"/>
        <v>0.20832673035111138</v>
      </c>
      <c r="BB144" s="161">
        <f t="shared" si="806"/>
        <v>0.45141678085967452</v>
      </c>
      <c r="BC144" s="161">
        <f t="shared" si="806"/>
        <v>0.64890826900933551</v>
      </c>
      <c r="BD144" s="254">
        <f t="shared" si="806"/>
        <v>0.31798692182183763</v>
      </c>
      <c r="BE144" s="161">
        <f t="shared" si="806"/>
        <v>0.26559183630793748</v>
      </c>
      <c r="BF144" s="161">
        <f t="shared" si="806"/>
        <v>-7.8632057160243352E-2</v>
      </c>
      <c r="BG144" s="161">
        <f t="shared" si="806"/>
        <v>-0.18087011253513252</v>
      </c>
      <c r="BH144" s="161">
        <f t="shared" si="806"/>
        <v>-0.58939228376901753</v>
      </c>
      <c r="BI144" s="254">
        <f t="shared" si="806"/>
        <v>-0.18245780712192727</v>
      </c>
      <c r="BJ144" s="161">
        <f t="shared" si="806"/>
        <v>-0.82333016646701618</v>
      </c>
      <c r="BK144" s="161">
        <f t="shared" si="806"/>
        <v>-0.52146806124133849</v>
      </c>
      <c r="BL144" s="161">
        <f t="shared" si="806"/>
        <v>-0.66548316154844844</v>
      </c>
      <c r="BM144" s="161">
        <f t="shared" si="806"/>
        <v>-0.33235178332414939</v>
      </c>
      <c r="BN144" s="254">
        <f t="shared" si="806"/>
        <v>-0.61199028850800263</v>
      </c>
      <c r="BO144" s="161">
        <f t="shared" si="806"/>
        <v>0.12228197334580249</v>
      </c>
      <c r="BP144" s="161">
        <f t="shared" si="806"/>
        <v>0.23146848154581945</v>
      </c>
      <c r="BQ144" s="161">
        <f t="shared" si="806"/>
        <v>1.0990099009900991</v>
      </c>
      <c r="BR144" s="161">
        <f t="shared" si="806"/>
        <v>0.55664048680393918</v>
      </c>
      <c r="BS144" s="254">
        <f>BS143/BN143-1</f>
        <v>0.51010941360359063</v>
      </c>
      <c r="BT144" s="161">
        <f t="shared" si="806"/>
        <v>0.48725833333333202</v>
      </c>
      <c r="BU144" s="161">
        <f t="shared" si="806"/>
        <v>0.20772946859903385</v>
      </c>
      <c r="BV144" s="161">
        <f t="shared" si="806"/>
        <v>0.12264150943396235</v>
      </c>
      <c r="BW144" s="161">
        <f t="shared" si="806"/>
        <v>-0.15151515151515149</v>
      </c>
      <c r="BX144" s="254">
        <f>BX143/BS143-1</f>
        <v>0.12084874791318856</v>
      </c>
      <c r="BY144" s="161">
        <f t="shared" si="806"/>
        <v>0.20467751063198047</v>
      </c>
      <c r="BZ144" s="161">
        <f t="shared" si="806"/>
        <v>0.16799999999999993</v>
      </c>
      <c r="CA144" s="161">
        <f t="shared" si="806"/>
        <v>0.30252100840336138</v>
      </c>
      <c r="CB144" s="161">
        <f t="shared" si="806"/>
        <v>0.4464285714285714</v>
      </c>
      <c r="CC144" s="254">
        <f>CC143/BX143-1</f>
        <v>0.26603319330509745</v>
      </c>
      <c r="CD144" s="161">
        <f t="shared" si="806"/>
        <v>0.61581395348836998</v>
      </c>
      <c r="CE144" s="161">
        <f t="shared" si="806"/>
        <v>0.86712328767123226</v>
      </c>
      <c r="CF144" s="161">
        <f t="shared" si="806"/>
        <v>-9.032258064516685E-3</v>
      </c>
      <c r="CG144" s="161">
        <f t="shared" si="806"/>
        <v>0.1802469135802458</v>
      </c>
      <c r="CH144" s="254">
        <f>CH143/CC143-1</f>
        <v>0.39124705882352862</v>
      </c>
      <c r="CI144" s="161">
        <f t="shared" si="806"/>
        <v>-0.53943580886586007</v>
      </c>
      <c r="CJ144" s="161">
        <f t="shared" si="806"/>
        <v>-0.28466617754952284</v>
      </c>
      <c r="CK144" s="161">
        <f t="shared" si="806"/>
        <v>4.5410156250000444E-2</v>
      </c>
      <c r="CL144" s="161">
        <f t="shared" si="806"/>
        <v>-8.9958158995815052E-2</v>
      </c>
      <c r="CM144" s="254">
        <f>CM143/CH143-1</f>
        <v>-0.19737687728318176</v>
      </c>
      <c r="CN144" s="161">
        <f t="shared" si="806"/>
        <v>0.34375</v>
      </c>
      <c r="CO144" s="161">
        <f t="shared" si="806"/>
        <v>-0.37948717948717947</v>
      </c>
      <c r="CP144" s="161">
        <f t="shared" si="806"/>
        <v>-0.57029425502101816</v>
      </c>
      <c r="CQ144" s="161">
        <f t="shared" si="806"/>
        <v>-0.29885057471264365</v>
      </c>
      <c r="CR144" s="311">
        <f t="shared" ref="CR144:CW144" si="807">CR143/CM143-1</f>
        <v>-0.38049834062055521</v>
      </c>
      <c r="CS144" s="161">
        <f t="shared" si="806"/>
        <v>-0.9249534883720969</v>
      </c>
      <c r="CT144" s="161">
        <f t="shared" si="806"/>
        <v>-0.13900826446280834</v>
      </c>
      <c r="CU144" s="161">
        <f t="shared" si="807"/>
        <v>-0.52040579710145196</v>
      </c>
      <c r="CV144" s="161">
        <f t="shared" si="807"/>
        <v>0.37891803278688863</v>
      </c>
      <c r="CW144" s="311">
        <f t="shared" si="807"/>
        <v>-0.23601020408163242</v>
      </c>
      <c r="CX144" s="161">
        <f t="shared" ref="CX144:DK144" si="808">CX143/CS143-1</f>
        <v>1.3287883483111442</v>
      </c>
      <c r="CY144" s="161">
        <f t="shared" si="808"/>
        <v>1.5134382799001678</v>
      </c>
      <c r="CZ144" s="161">
        <f t="shared" si="808"/>
        <v>5.4790886014747135</v>
      </c>
      <c r="DA144" s="161">
        <f t="shared" si="808"/>
        <v>8.3684047839833964E-2</v>
      </c>
      <c r="DB144" s="311">
        <f t="shared" si="808"/>
        <v>1.5596203247363225</v>
      </c>
      <c r="DC144" s="161">
        <f>DC143/CX143-1</f>
        <v>-2.1598137059215512</v>
      </c>
      <c r="DD144" s="161">
        <f>DD143/CY143-1</f>
        <v>-0.49589459614282982</v>
      </c>
      <c r="DE144" s="161">
        <f>DE143/CZ143-1</f>
        <v>-0.43098607315093795</v>
      </c>
      <c r="DF144" s="161">
        <f t="shared" si="808"/>
        <v>-0.27594264588110118</v>
      </c>
      <c r="DG144" s="311">
        <f t="shared" si="808"/>
        <v>-0.4585649581509903</v>
      </c>
      <c r="DH144" s="161">
        <f t="shared" si="808"/>
        <v>1.065167508031188</v>
      </c>
      <c r="DI144" s="161">
        <f t="shared" si="808"/>
        <v>1.0681818181818183</v>
      </c>
      <c r="DJ144" s="161">
        <f t="shared" si="808"/>
        <v>-0.20491803278688525</v>
      </c>
      <c r="DK144" s="161">
        <f t="shared" si="808"/>
        <v>-1.5151515151515138E-2</v>
      </c>
      <c r="DL144" s="311">
        <f t="shared" ref="DL144:DT144" si="809">DL143/DG143-1</f>
        <v>0.33961270094190543</v>
      </c>
      <c r="DM144" s="161">
        <f t="shared" si="809"/>
        <v>-3.9444444444444446</v>
      </c>
      <c r="DN144" s="161">
        <f t="shared" si="809"/>
        <v>3.66300366300365E-3</v>
      </c>
      <c r="DO144" s="161">
        <f t="shared" si="809"/>
        <v>1.4845360824742269</v>
      </c>
      <c r="DP144" s="161">
        <f t="shared" si="809"/>
        <v>2.6307692307692307</v>
      </c>
      <c r="DQ144" s="311">
        <f t="shared" si="809"/>
        <v>0.92805755395683454</v>
      </c>
      <c r="DR144" s="161">
        <f t="shared" si="809"/>
        <v>1.4150943396226414</v>
      </c>
      <c r="DS144" s="161">
        <f t="shared" si="809"/>
        <v>0.77007299270072993</v>
      </c>
      <c r="DT144" s="161">
        <f t="shared" si="809"/>
        <v>0.58506224066390033</v>
      </c>
      <c r="DU144" s="161">
        <f>DU143/DP143-1</f>
        <v>0.71186440677966112</v>
      </c>
      <c r="DV144" s="311">
        <f>DV143/DQ143-1</f>
        <v>0.74004975124378114</v>
      </c>
      <c r="DW144" s="161">
        <f>DW143/DR143-1</f>
        <v>2.5234375</v>
      </c>
      <c r="DX144" s="161">
        <f>DX143/DS143-1</f>
        <v>0.42474226804123716</v>
      </c>
      <c r="DY144" s="161">
        <f>DY143/DT143-1</f>
        <v>0.63089005235602102</v>
      </c>
      <c r="DZ144" s="161">
        <f t="shared" ref="DZ144:EA144" si="810">DZ143/DU143-1</f>
        <v>0.46287128712871284</v>
      </c>
      <c r="EA144" s="311">
        <f t="shared" si="810"/>
        <v>0.684060042887777</v>
      </c>
      <c r="EB144" s="161">
        <f>EB143/DW143-1</f>
        <v>0.25720620842572073</v>
      </c>
      <c r="EC144" s="161">
        <f>EC143/DX143-1</f>
        <v>9.5513748191027537E-2</v>
      </c>
      <c r="ED144" s="161">
        <f>ED143/DY143-1</f>
        <v>-6.5810593900481495E-2</v>
      </c>
      <c r="EE144" s="161">
        <f t="shared" ref="EE144" si="811">EE143/DZ143-1</f>
        <v>-0.21658206429780036</v>
      </c>
      <c r="EF144" s="311">
        <f t="shared" ref="EF144" si="812">EF143/EA143-1</f>
        <v>5.5178268251272478E-3</v>
      </c>
      <c r="EG144" s="161">
        <f>EG143/EB143-1</f>
        <v>-0.34391534391534395</v>
      </c>
      <c r="EH144" s="161">
        <f>EH143/EC143-1</f>
        <v>-1.1889035667106973E-2</v>
      </c>
      <c r="EI144" s="161">
        <f>EI143/ED143-1</f>
        <v>-9.2783505154639179E-2</v>
      </c>
      <c r="EJ144" s="161">
        <f t="shared" ref="EJ144" si="813">EJ143/EE143-1</f>
        <v>-8.6393088552916275E-3</v>
      </c>
      <c r="EK144" s="311">
        <f t="shared" ref="EK144" si="814">EK143/EF143-1</f>
        <v>-0.11059518784297173</v>
      </c>
      <c r="EL144" s="161"/>
      <c r="EM144" s="161"/>
      <c r="EN144" s="161"/>
      <c r="EO144" s="161"/>
      <c r="EP144" s="311"/>
      <c r="EQ144" s="161">
        <f>EQ143/EL143-1</f>
        <v>0.20751713348383927</v>
      </c>
      <c r="ER144" s="161">
        <f>ER143/EM143-1</f>
        <v>0.18829467517132747</v>
      </c>
      <c r="ES144" s="161">
        <f>ES143/EN143-1</f>
        <v>0.33439369060383406</v>
      </c>
      <c r="ET144" s="161">
        <f>ET143/EO143-1</f>
        <v>0.50724541751886942</v>
      </c>
      <c r="EU144" s="311">
        <f>EU143/EP143-1</f>
        <v>0.29884248097424648</v>
      </c>
      <c r="EV144" s="161"/>
      <c r="EW144" s="161"/>
      <c r="EX144" s="161"/>
      <c r="EY144" s="161"/>
      <c r="EZ144" s="311">
        <f>EZ143/EU143-1</f>
        <v>0.15786942140303895</v>
      </c>
      <c r="FA144" s="161"/>
      <c r="FB144" s="161"/>
      <c r="FC144" s="161"/>
      <c r="FD144" s="161"/>
      <c r="FE144" s="311">
        <f>FE143/EZ143-1</f>
        <v>0.14300704253396246</v>
      </c>
      <c r="FF144" s="161"/>
      <c r="FG144" s="452"/>
      <c r="FL144" s="417"/>
      <c r="FM144" s="417"/>
      <c r="FN144" s="379"/>
      <c r="FO144" s="379"/>
      <c r="FP144" s="379"/>
      <c r="FQ144" s="379"/>
      <c r="FR144" s="379"/>
      <c r="FS144" s="379"/>
      <c r="FT144" s="478"/>
    </row>
    <row r="145" spans="1:184" s="223" customFormat="1" ht="12.75" customHeight="1" x14ac:dyDescent="0.2">
      <c r="A145" s="69" t="s">
        <v>419</v>
      </c>
      <c r="B145" s="222">
        <f>B143/B150</f>
        <v>0.1167679083094559</v>
      </c>
      <c r="C145" s="222">
        <f>C143/C150</f>
        <v>0.52295555555555506</v>
      </c>
      <c r="D145" s="222">
        <f>D143/D150</f>
        <v>0.53964907348841473</v>
      </c>
      <c r="E145" s="222">
        <f>E143/E150</f>
        <v>0.25634714449013551</v>
      </c>
      <c r="F145" s="272">
        <f>F148</f>
        <v>1.1000000000000001</v>
      </c>
      <c r="G145" s="222">
        <f>G143/G150</f>
        <v>-0.19483445593397253</v>
      </c>
      <c r="H145" s="222">
        <f>H143/H150</f>
        <v>0.24631093083432415</v>
      </c>
      <c r="I145" s="222">
        <f>I143/I150</f>
        <v>0.3662831322494996</v>
      </c>
      <c r="J145" s="222">
        <f>J143/J150</f>
        <v>1.8441403585964335</v>
      </c>
      <c r="K145" s="272">
        <f>K148</f>
        <v>0.28000000000000003</v>
      </c>
      <c r="L145" s="222">
        <f>L143/L150</f>
        <v>0.1487659837376844</v>
      </c>
      <c r="M145" s="222">
        <f>M143/M150</f>
        <v>0.1653427416515259</v>
      </c>
      <c r="N145" s="222">
        <f>N143/N150</f>
        <v>0.18860433632850013</v>
      </c>
      <c r="O145" s="222">
        <f>O143/O150</f>
        <v>0.59826232788872225</v>
      </c>
      <c r="P145" s="272">
        <f>P148</f>
        <v>0.71</v>
      </c>
      <c r="Q145" s="222">
        <f>Q143/Q150</f>
        <v>0.23792008551039068</v>
      </c>
      <c r="R145" s="222">
        <f>R143/R150</f>
        <v>0.29197538178447269</v>
      </c>
      <c r="S145" s="222">
        <f>S143/S150</f>
        <v>0.3062373684577322</v>
      </c>
      <c r="T145" s="222">
        <f>T143/T150</f>
        <v>0.63360422421343343</v>
      </c>
      <c r="U145" s="272">
        <f>U148</f>
        <v>1.05</v>
      </c>
      <c r="V145" s="222">
        <f>V143/V150</f>
        <v>5.6005085653104837E-2</v>
      </c>
      <c r="W145" s="222">
        <f>W143/W150</f>
        <v>7.8437206808738863E-2</v>
      </c>
      <c r="X145" s="222">
        <f>X143/X150</f>
        <v>7.8598820058997113E-2</v>
      </c>
      <c r="Y145" s="222">
        <f>Y143/Y150</f>
        <v>2.7350094111320136E-2</v>
      </c>
      <c r="Z145" s="272">
        <f>SUM(V145:Y145)</f>
        <v>0.24039120663216093</v>
      </c>
      <c r="AA145" s="222">
        <f>AA143/AA150</f>
        <v>1.5942302507414234E-2</v>
      </c>
      <c r="AB145" s="222">
        <f>AB143/AB150</f>
        <v>8.0069714438932779E-2</v>
      </c>
      <c r="AC145" s="222">
        <f>AC143/AC150</f>
        <v>8.8207633190048138E-2</v>
      </c>
      <c r="AD145" s="222">
        <f>AD143/AD150</f>
        <v>0.16104784499802255</v>
      </c>
      <c r="AE145" s="272">
        <f>SUM(AA145:AD145)</f>
        <v>0.34526749513441768</v>
      </c>
      <c r="AF145" s="222">
        <f>AF143/AF150</f>
        <v>4.2792721471590092E-2</v>
      </c>
      <c r="AG145" s="222">
        <f>AG143/AG150</f>
        <v>0.10971771312976991</v>
      </c>
      <c r="AH145" s="222">
        <f>AH143/AH150</f>
        <v>7.9752219559126328E-2</v>
      </c>
      <c r="AI145" s="222">
        <f>AI143/AI150</f>
        <v>3.6969020740351827E-2</v>
      </c>
      <c r="AJ145" s="272">
        <f>SUM(AF145:AI145)</f>
        <v>0.2692316749008381</v>
      </c>
      <c r="AK145" s="222">
        <f>AK143/AK150</f>
        <v>6.9150468941144752E-2</v>
      </c>
      <c r="AL145" s="222">
        <f>AL143/AL150</f>
        <v>0.12729887396554082</v>
      </c>
      <c r="AM145" s="222">
        <f>AM143/AM150</f>
        <v>0.12506556712180594</v>
      </c>
      <c r="AN145" s="222">
        <f>AN143/AN150</f>
        <v>0.10809849704777257</v>
      </c>
      <c r="AO145" s="272">
        <f>SUM(AK145:AN145)</f>
        <v>0.42961340707626411</v>
      </c>
      <c r="AP145" s="222">
        <f>AP143/AP150</f>
        <v>9.3332333458317679E-2</v>
      </c>
      <c r="AQ145" s="222">
        <f>AQ143/AQ150</f>
        <v>0.17709088398743555</v>
      </c>
      <c r="AR145" s="222">
        <f>AR143/AR150</f>
        <v>0.17285550575684999</v>
      </c>
      <c r="AS145" s="222">
        <f>AS143/AS150</f>
        <v>0.13442658294549356</v>
      </c>
      <c r="AT145" s="272">
        <f>SUM(AP145:AS145)</f>
        <v>0.57770530614809679</v>
      </c>
      <c r="AU145" s="222">
        <f>AU143/AU150</f>
        <v>0.12750172601635423</v>
      </c>
      <c r="AV145" s="222">
        <f>AV143/AV150</f>
        <v>0.20886764336919311</v>
      </c>
      <c r="AW145" s="222">
        <f>AW143/AW150</f>
        <v>0.16788903124466986</v>
      </c>
      <c r="AX145" s="222">
        <f>AX143/AX150</f>
        <v>0.12423516945644822</v>
      </c>
      <c r="AY145" s="272">
        <f>SUM(AU145:AX145)</f>
        <v>0.6284935700866654</v>
      </c>
      <c r="AZ145" s="222">
        <f>AZ143/AZ150</f>
        <v>0.12825316197689249</v>
      </c>
      <c r="BA145" s="222">
        <f>BA143/BA150</f>
        <v>0.25554516601480681</v>
      </c>
      <c r="BB145" s="222">
        <f>BB143/BB150</f>
        <v>0.24617427270608261</v>
      </c>
      <c r="BC145" s="222">
        <f>BC143/BC150</f>
        <v>0.20509811254198801</v>
      </c>
      <c r="BD145" s="272">
        <f>SUM(AZ145:BC145)</f>
        <v>0.83507071323976989</v>
      </c>
      <c r="BE145" s="222">
        <f>BE143/BE150</f>
        <v>0.15922259857279086</v>
      </c>
      <c r="BF145" s="222">
        <f>BF143/BF150</f>
        <v>0.23044746430769203</v>
      </c>
      <c r="BG145" s="222">
        <f>BG143/BG150</f>
        <v>0.1976457526796549</v>
      </c>
      <c r="BH145" s="222">
        <f>BH143/BH150</f>
        <v>8.2943031113595522E-2</v>
      </c>
      <c r="BI145" s="272">
        <f>SUM(BE145:BH145)</f>
        <v>0.67025884667373337</v>
      </c>
      <c r="BJ145" s="222">
        <f>BJ143/BJ150</f>
        <v>2.7795505147724969E-2</v>
      </c>
      <c r="BK145" s="222">
        <f>BK143/BK150</f>
        <v>0.10886618342720068</v>
      </c>
      <c r="BL145" s="222">
        <f>BL143/BL150</f>
        <v>6.5300063489764706E-2</v>
      </c>
      <c r="BM145" s="222">
        <f>BM143/BM150</f>
        <v>5.4678966285237308E-2</v>
      </c>
      <c r="BN145" s="272">
        <f>SUM(BJ145:BM145)</f>
        <v>0.25664071834992769</v>
      </c>
      <c r="BO145" s="222">
        <f>BO143/BO150</f>
        <v>3.0848329048843187E-2</v>
      </c>
      <c r="BP145" s="222">
        <f>BP143/BP150</f>
        <v>0.13269230769230769</v>
      </c>
      <c r="BQ145" s="222">
        <f>BQ143/BQ150</f>
        <v>0.13520408163265307</v>
      </c>
      <c r="BR145" s="222">
        <f>BR143/BR150</f>
        <v>8.3756345177664976E-2</v>
      </c>
      <c r="BS145" s="272">
        <f>SUM(BO145:BR145)</f>
        <v>0.38250106355146896</v>
      </c>
      <c r="BT145" s="222">
        <f>BT143/BT150</f>
        <v>4.5470318471337534E-2</v>
      </c>
      <c r="BU145" s="222">
        <f>BU143/BU150</f>
        <v>0.15943877551020408</v>
      </c>
      <c r="BV145" s="222">
        <f>BV143/BV150</f>
        <v>0.15236875800256081</v>
      </c>
      <c r="BW145" s="222">
        <f>BW143/BW150</f>
        <v>7.1611253196930943E-2</v>
      </c>
      <c r="BX145" s="272">
        <f>SUM(BT145:BW145)</f>
        <v>0.4288891051810334</v>
      </c>
      <c r="BY145" s="222">
        <f t="shared" ref="BY145:CG145" si="815">BY143/BY150</f>
        <v>5.4846938775510203E-2</v>
      </c>
      <c r="BZ145" s="222">
        <f t="shared" si="815"/>
        <v>0.18575063613231552</v>
      </c>
      <c r="CA145" s="222">
        <f t="shared" si="815"/>
        <v>0.1964512040557668</v>
      </c>
      <c r="CB145" s="222">
        <f t="shared" si="815"/>
        <v>0.10163111668757842</v>
      </c>
      <c r="CC145" s="272">
        <f t="shared" si="815"/>
        <v>0.53865652724968316</v>
      </c>
      <c r="CD145" s="222">
        <f t="shared" si="815"/>
        <v>8.6525529265255169E-2</v>
      </c>
      <c r="CE145" s="222">
        <f t="shared" si="815"/>
        <v>0.34160401002506252</v>
      </c>
      <c r="CF145" s="222">
        <f t="shared" si="815"/>
        <v>0.19467680608365007</v>
      </c>
      <c r="CG145" s="222">
        <f t="shared" si="815"/>
        <v>0.12101265822784799</v>
      </c>
      <c r="CH145" s="272">
        <f>SUM(CD145:CG145)</f>
        <v>0.74381900360181585</v>
      </c>
      <c r="CI145" s="222">
        <f>CI143/CI150</f>
        <v>4.0712468193384227E-2</v>
      </c>
      <c r="CJ145" s="222">
        <f>CJ143/CJ150</f>
        <v>0.25357607282184658</v>
      </c>
      <c r="CK145" s="222">
        <f>CK143/CK150</f>
        <v>0.21728687415426251</v>
      </c>
      <c r="CL145" s="222">
        <f>CL143/CL150</f>
        <v>0.11852861035422343</v>
      </c>
      <c r="CM145" s="272">
        <f>SUM(CI145:CL145)</f>
        <v>0.6301040255237168</v>
      </c>
      <c r="CN145" s="222">
        <f>CN143/CN150</f>
        <v>5.8663028649386086E-2</v>
      </c>
      <c r="CO145" s="222">
        <f>CO143/CO150</f>
        <v>0.16530054644808742</v>
      </c>
      <c r="CP145" s="222">
        <f>CP143/CP150</f>
        <v>9.375E-2</v>
      </c>
      <c r="CQ145" s="222">
        <f>CQ143/CQ150</f>
        <v>8.2432432432432437E-2</v>
      </c>
      <c r="CR145" s="319">
        <f>SUM(CN145:CQ145)</f>
        <v>0.40014600752990592</v>
      </c>
      <c r="CS145" s="222">
        <f>CS143/CS150</f>
        <v>4.1453384273044775E-3</v>
      </c>
      <c r="CT145" s="222">
        <f>CT143/CT150</f>
        <v>0.13363781666978627</v>
      </c>
      <c r="CU145" s="222">
        <f>CU143/CU150</f>
        <v>4.2388973368090964E-2</v>
      </c>
      <c r="CV145" s="222">
        <f>CV143/CV150</f>
        <v>0.10715366868083377</v>
      </c>
      <c r="CW145" s="319">
        <f>SUM(CS145:CV145)</f>
        <v>0.28732579714601547</v>
      </c>
      <c r="CX145" s="222">
        <f>CX143/CX150</f>
        <v>9.5568939932247788E-3</v>
      </c>
      <c r="CY145" s="222">
        <f>CY143/CY150</f>
        <v>0.33211260695156336</v>
      </c>
      <c r="CZ145" s="222">
        <f>CZ143/CZ150</f>
        <v>0.27157961244251966</v>
      </c>
      <c r="DA145" s="222">
        <f>DA143/DA150</f>
        <v>0.11530822263741433</v>
      </c>
      <c r="DB145" s="319">
        <f>SUM(CX145:DA145)</f>
        <v>0.72855733602472217</v>
      </c>
      <c r="DC145" s="222">
        <f>DC143/DC150</f>
        <v>-1.1009903982117146E-2</v>
      </c>
      <c r="DD145" s="222">
        <f>DD143/DD150</f>
        <v>0.16923076923076924</v>
      </c>
      <c r="DE145" s="222">
        <f>DE143/DE150</f>
        <v>0.15404040404040403</v>
      </c>
      <c r="DF145" s="222">
        <f>DF143/DF150</f>
        <v>8.4942084942084939E-2</v>
      </c>
      <c r="DG145" s="319">
        <f>SUM(DC145:DF145)</f>
        <v>0.39720335423114106</v>
      </c>
      <c r="DH145" s="222">
        <f>DH143/DH150</f>
        <v>-2.3346303501945526E-2</v>
      </c>
      <c r="DI145" s="222">
        <f>DI143/DI150</f>
        <v>0.36063408190224572</v>
      </c>
      <c r="DJ145" s="222">
        <f>DJ143/DJ150</f>
        <v>0.13125845737483086</v>
      </c>
      <c r="DK145" s="222">
        <f>DK143/DK150</f>
        <v>8.8435374149659865E-2</v>
      </c>
      <c r="DL145" s="319">
        <f>SUM(DH145:DK145)</f>
        <v>0.55698160992479095</v>
      </c>
      <c r="DM145" s="222">
        <f>DM143/DM150</f>
        <v>7.3103448275862071E-2</v>
      </c>
      <c r="DN145" s="222">
        <f>DN143/DN150</f>
        <v>0.38375350140056025</v>
      </c>
      <c r="DO145" s="222">
        <f>DO143/DO150</f>
        <v>0.34281650071123754</v>
      </c>
      <c r="DP145" s="222">
        <f>DP143/DP150</f>
        <v>0.33762517882689558</v>
      </c>
      <c r="DQ145" s="319">
        <f>SUM(DM145:DP145)</f>
        <v>1.1372986292145555</v>
      </c>
      <c r="DR145" s="222">
        <f>DR143/DR150</f>
        <v>0.18338108882521489</v>
      </c>
      <c r="DS145" s="222">
        <f>DS143/DS150</f>
        <v>0.70289855072463769</v>
      </c>
      <c r="DT145" s="222">
        <f>DT143/DT150</f>
        <v>0.55929721815519762</v>
      </c>
      <c r="DU145" s="222">
        <f>DU143/DU150</f>
        <v>0.59675036927621861</v>
      </c>
      <c r="DV145" s="319">
        <f>SUM(DR145:DU145)</f>
        <v>2.0423272269812687</v>
      </c>
      <c r="DW145" s="222">
        <f>DW143/DW150</f>
        <v>0.66913946587537088</v>
      </c>
      <c r="DX145" s="222">
        <f>DX143/DX150</f>
        <v>1.0390977443609022</v>
      </c>
      <c r="DY145" s="222">
        <f>DY143/DY150</f>
        <v>0.95114503816793894</v>
      </c>
      <c r="DZ145" s="222">
        <f>DZ143/DZ150</f>
        <v>0.91203703703703709</v>
      </c>
      <c r="EA145" s="319">
        <f>SUM(DW145:DZ145)</f>
        <v>3.571419285441249</v>
      </c>
      <c r="EB145" s="222">
        <f t="shared" ref="EB145" si="816">EB143/EB150</f>
        <v>0.88455538221528862</v>
      </c>
      <c r="EC145" s="222">
        <f>EC143/EC150</f>
        <v>1.1977848101265822</v>
      </c>
      <c r="ED145" s="222">
        <f>ED143/ED150</f>
        <v>0.94174757281553401</v>
      </c>
      <c r="EE145" s="222">
        <f>EE143/EE150</f>
        <v>0.75040518638573739</v>
      </c>
      <c r="EF145" s="319">
        <f>SUM(EB145:EE145)</f>
        <v>3.774492951543142</v>
      </c>
      <c r="EG145" s="222">
        <f t="shared" ref="EG145" si="817">EG143/EG150</f>
        <v>0.60685154975530176</v>
      </c>
      <c r="EH145" s="222">
        <f>EH143/EH150</f>
        <v>1.2384105960264902</v>
      </c>
      <c r="EI145" s="222">
        <f>EI143/EI150</f>
        <v>0.88442211055276387</v>
      </c>
      <c r="EJ145" s="222">
        <f>EJ143/EJ150</f>
        <v>0.77533783783783783</v>
      </c>
      <c r="EK145" s="319">
        <f t="shared" ref="EK145:EL145" si="818">EK143/EK150</f>
        <v>3.5029093931837072</v>
      </c>
      <c r="EL145" s="222">
        <f t="shared" si="818"/>
        <v>0.58564437194127239</v>
      </c>
      <c r="EM145" s="222">
        <f>EM143/EM150</f>
        <v>1.2334437086092715</v>
      </c>
      <c r="EN145" s="222">
        <f>EN143/EN150</f>
        <v>0.92797319932998323</v>
      </c>
      <c r="EO145" s="222">
        <f>EO143/EO150</f>
        <v>0.77364864864864868</v>
      </c>
      <c r="EP145" s="319">
        <f t="shared" ref="EP145" si="819">EP143/EP150</f>
        <v>3.5178719866999169</v>
      </c>
      <c r="EQ145" s="222">
        <f t="shared" ref="EQ145:EU145" si="820">EQ143/EQ150</f>
        <v>0.74534890676782062</v>
      </c>
      <c r="ER145" s="222">
        <f t="shared" si="820"/>
        <v>1.5493385776660586</v>
      </c>
      <c r="ES145" s="222">
        <f t="shared" si="820"/>
        <v>1.3169041714781498</v>
      </c>
      <c r="ET145" s="222">
        <f t="shared" si="820"/>
        <v>1.2517133404178482</v>
      </c>
      <c r="EU145" s="319">
        <f t="shared" si="820"/>
        <v>4.8517717085661287</v>
      </c>
      <c r="EV145" s="222"/>
      <c r="EW145" s="222"/>
      <c r="EX145" s="222"/>
      <c r="EY145" s="222"/>
      <c r="EZ145" s="319">
        <f t="shared" ref="EZ145" si="821">EZ143/EZ150</f>
        <v>6.0749478407321753</v>
      </c>
      <c r="FA145" s="222"/>
      <c r="FB145" s="222"/>
      <c r="FC145" s="222"/>
      <c r="FD145" s="222"/>
      <c r="FE145" s="319">
        <f t="shared" ref="FE145" si="822">FE143/FE150</f>
        <v>7.5090361099421807</v>
      </c>
      <c r="FF145" s="222"/>
      <c r="FG145" s="461"/>
      <c r="FH145" s="348"/>
      <c r="FI145" s="351"/>
      <c r="FJ145" s="351"/>
      <c r="FK145" s="351"/>
      <c r="FL145" s="416"/>
      <c r="FM145" s="416"/>
      <c r="FN145" s="378"/>
      <c r="FO145" s="378"/>
      <c r="FP145" s="378"/>
      <c r="FQ145" s="378"/>
      <c r="FR145" s="378"/>
      <c r="FS145" s="378"/>
      <c r="FT145" s="461"/>
      <c r="FU145"/>
      <c r="FV145"/>
      <c r="FW145"/>
      <c r="FX145"/>
      <c r="FY145"/>
      <c r="FZ145"/>
      <c r="GA145" s="343"/>
    </row>
    <row r="146" spans="1:184" ht="12.75" customHeight="1" x14ac:dyDescent="0.2">
      <c r="A146" s="58" t="s">
        <v>244</v>
      </c>
      <c r="B146" s="161"/>
      <c r="C146" s="161"/>
      <c r="D146" s="161"/>
      <c r="E146" s="161"/>
      <c r="F146" s="254"/>
      <c r="G146" s="161">
        <f>G145/B145-1</f>
        <v>-2.6685616686532252</v>
      </c>
      <c r="H146" s="161">
        <f>H145/C145-1</f>
        <v>-0.52900217194813259</v>
      </c>
      <c r="I146" s="161">
        <f>I145/D145-1</f>
        <v>-0.32125681253974581</v>
      </c>
      <c r="J146" s="161">
        <f>J145/E145-1</f>
        <v>6.1939180842617025</v>
      </c>
      <c r="K146" s="254">
        <f t="shared" ref="K146:U146" si="823">K145/F145-1</f>
        <v>-0.74545454545454537</v>
      </c>
      <c r="L146" s="161">
        <f t="shared" si="823"/>
        <v>-1.763550692430397</v>
      </c>
      <c r="M146" s="161">
        <f t="shared" si="823"/>
        <v>-0.32872349151755587</v>
      </c>
      <c r="N146" s="161">
        <f t="shared" si="823"/>
        <v>-0.48508593565256164</v>
      </c>
      <c r="O146" s="161">
        <f t="shared" si="823"/>
        <v>-0.67558742202027577</v>
      </c>
      <c r="P146" s="254">
        <f t="shared" si="823"/>
        <v>1.5357142857142851</v>
      </c>
      <c r="Q146" s="161">
        <f t="shared" si="823"/>
        <v>0.59929091001011114</v>
      </c>
      <c r="R146" s="161">
        <f t="shared" si="823"/>
        <v>0.76587964411426057</v>
      </c>
      <c r="S146" s="161">
        <f t="shared" si="823"/>
        <v>0.6237026911425072</v>
      </c>
      <c r="T146" s="161">
        <f t="shared" si="823"/>
        <v>5.907424665937655E-2</v>
      </c>
      <c r="U146" s="254">
        <f t="shared" si="823"/>
        <v>0.47887323943661975</v>
      </c>
      <c r="V146" s="161">
        <f t="shared" ref="V146:CT146" si="824">V145/Q145-1</f>
        <v>-0.76460547442658466</v>
      </c>
      <c r="W146" s="161">
        <f t="shared" si="824"/>
        <v>-0.73135677970741098</v>
      </c>
      <c r="X146" s="161">
        <f t="shared" si="824"/>
        <v>-0.74334020549211466</v>
      </c>
      <c r="Y146" s="161">
        <f t="shared" si="824"/>
        <v>-0.95683410389936563</v>
      </c>
      <c r="Z146" s="254">
        <f t="shared" si="824"/>
        <v>-0.77105599368365629</v>
      </c>
      <c r="AA146" s="161">
        <f t="shared" si="824"/>
        <v>-0.71534187794728576</v>
      </c>
      <c r="AB146" s="161">
        <f t="shared" si="824"/>
        <v>2.0812924077914019E-2</v>
      </c>
      <c r="AC146" s="161">
        <f t="shared" si="824"/>
        <v>0.12225136616349386</v>
      </c>
      <c r="AD146" s="161">
        <f t="shared" si="824"/>
        <v>4.8883835771287254</v>
      </c>
      <c r="AE146" s="254">
        <f t="shared" si="824"/>
        <v>0.43627339773178631</v>
      </c>
      <c r="AF146" s="161">
        <f t="shared" si="824"/>
        <v>1.684224656487896</v>
      </c>
      <c r="AG146" s="161">
        <f t="shared" si="824"/>
        <v>0.37027731269666186</v>
      </c>
      <c r="AH146" s="161">
        <f t="shared" si="824"/>
        <v>-9.585807174651384E-2</v>
      </c>
      <c r="AI146" s="161">
        <f t="shared" si="824"/>
        <v>-0.77044697033477383</v>
      </c>
      <c r="AJ146" s="254">
        <f t="shared" si="824"/>
        <v>-0.22022293237878565</v>
      </c>
      <c r="AK146" s="161">
        <f t="shared" si="824"/>
        <v>0.61593996743239288</v>
      </c>
      <c r="AL146" s="161">
        <f t="shared" si="824"/>
        <v>0.16023994972422173</v>
      </c>
      <c r="AM146" s="161">
        <f t="shared" si="824"/>
        <v>0.56817663274042696</v>
      </c>
      <c r="AN146" s="161">
        <f t="shared" si="824"/>
        <v>1.9240292245496957</v>
      </c>
      <c r="AO146" s="254">
        <f t="shared" si="824"/>
        <v>0.59570157276069735</v>
      </c>
      <c r="AP146" s="161">
        <f t="shared" si="824"/>
        <v>0.34969921227511214</v>
      </c>
      <c r="AQ146" s="161">
        <f t="shared" si="824"/>
        <v>0.3911425802193127</v>
      </c>
      <c r="AR146" s="161">
        <f t="shared" si="824"/>
        <v>0.38211907349766117</v>
      </c>
      <c r="AS146" s="161">
        <f t="shared" si="824"/>
        <v>0.24355644728423642</v>
      </c>
      <c r="AT146" s="254">
        <f t="shared" si="824"/>
        <v>0.34470967766037086</v>
      </c>
      <c r="AU146" s="161">
        <f t="shared" si="824"/>
        <v>0.36610455660895536</v>
      </c>
      <c r="AV146" s="161">
        <f t="shared" si="824"/>
        <v>0.17943757841319541</v>
      </c>
      <c r="AW146" s="161">
        <f t="shared" si="824"/>
        <v>-2.8731942846913383E-2</v>
      </c>
      <c r="AX146" s="161">
        <f t="shared" si="824"/>
        <v>-7.581397418379443E-2</v>
      </c>
      <c r="AY146" s="254">
        <f t="shared" si="824"/>
        <v>8.7913791682482589E-2</v>
      </c>
      <c r="AZ146" s="161">
        <f t="shared" si="824"/>
        <v>5.8935355937210776E-3</v>
      </c>
      <c r="BA146" s="161">
        <f t="shared" si="824"/>
        <v>0.22347895486667979</v>
      </c>
      <c r="BB146" s="161">
        <f t="shared" si="824"/>
        <v>0.46629157891396278</v>
      </c>
      <c r="BC146" s="161">
        <f t="shared" si="824"/>
        <v>0.65088608515068702</v>
      </c>
      <c r="BD146" s="254">
        <f t="shared" si="824"/>
        <v>0.32868616798198702</v>
      </c>
      <c r="BE146" s="161">
        <f t="shared" si="824"/>
        <v>0.24147113504677709</v>
      </c>
      <c r="BF146" s="161">
        <f t="shared" si="824"/>
        <v>-9.8212390782068559E-2</v>
      </c>
      <c r="BG146" s="161">
        <f t="shared" si="824"/>
        <v>-0.19713075413192294</v>
      </c>
      <c r="BH146" s="161">
        <f t="shared" si="824"/>
        <v>-0.59559339632335573</v>
      </c>
      <c r="BI146" s="254">
        <f t="shared" si="824"/>
        <v>-0.19736276695254529</v>
      </c>
      <c r="BJ146" s="161">
        <f t="shared" si="824"/>
        <v>-0.82542989879029105</v>
      </c>
      <c r="BK146" s="161">
        <f t="shared" si="824"/>
        <v>-0.52758784413508142</v>
      </c>
      <c r="BL146" s="161">
        <f t="shared" si="824"/>
        <v>-0.66961059064293005</v>
      </c>
      <c r="BM146" s="161">
        <f t="shared" si="824"/>
        <v>-0.34076479300170326</v>
      </c>
      <c r="BN146" s="254">
        <f t="shared" si="824"/>
        <v>-0.61710207985534504</v>
      </c>
      <c r="BO146" s="161">
        <f t="shared" si="824"/>
        <v>0.1098315675463839</v>
      </c>
      <c r="BP146" s="161">
        <f t="shared" si="824"/>
        <v>0.21885698125019371</v>
      </c>
      <c r="BQ146" s="161">
        <f t="shared" si="824"/>
        <v>1.0705045968882603</v>
      </c>
      <c r="BR146" s="161">
        <f t="shared" si="824"/>
        <v>0.53178362481732266</v>
      </c>
      <c r="BS146" s="254">
        <f>BS145/BN145-1</f>
        <v>0.49041456091130331</v>
      </c>
      <c r="BT146" s="161">
        <f t="shared" si="824"/>
        <v>0.47399615711252507</v>
      </c>
      <c r="BU146" s="161">
        <f t="shared" si="824"/>
        <v>0.20156758355516113</v>
      </c>
      <c r="BV146" s="161">
        <f t="shared" si="824"/>
        <v>0.12695383277365724</v>
      </c>
      <c r="BW146" s="161">
        <f t="shared" si="824"/>
        <v>-0.14500503758815786</v>
      </c>
      <c r="BX146" s="254">
        <f>BX145/BS145-1</f>
        <v>0.12127558861891252</v>
      </c>
      <c r="BY146" s="161">
        <f t="shared" si="824"/>
        <v>0.20621408908941929</v>
      </c>
      <c r="BZ146" s="161">
        <f t="shared" si="824"/>
        <v>0.16502798982188294</v>
      </c>
      <c r="CA146" s="161">
        <f t="shared" si="824"/>
        <v>0.28931420476936043</v>
      </c>
      <c r="CB146" s="161">
        <f t="shared" si="824"/>
        <v>0.41920595088725587</v>
      </c>
      <c r="CC146" s="254">
        <f>CC145/BX145-1</f>
        <v>0.25593427471727703</v>
      </c>
      <c r="CD146" s="161">
        <f t="shared" si="824"/>
        <v>0.57758174288279207</v>
      </c>
      <c r="CE146" s="161">
        <f t="shared" si="824"/>
        <v>0.83904624575136411</v>
      </c>
      <c r="CF146" s="161">
        <f t="shared" si="824"/>
        <v>-9.032258064516796E-3</v>
      </c>
      <c r="CG146" s="161">
        <f t="shared" si="824"/>
        <v>0.19070479762462766</v>
      </c>
      <c r="CH146" s="254">
        <f>CH145/CC145-1</f>
        <v>0.38087810315725346</v>
      </c>
      <c r="CI146" s="161">
        <f t="shared" si="824"/>
        <v>-0.52947449684387471</v>
      </c>
      <c r="CJ146" s="161">
        <f t="shared" si="824"/>
        <v>-0.25768999958975181</v>
      </c>
      <c r="CK146" s="161">
        <f t="shared" si="824"/>
        <v>0.11614156059709124</v>
      </c>
      <c r="CL146" s="161">
        <f t="shared" si="824"/>
        <v>-2.0527173851081604E-2</v>
      </c>
      <c r="CM146" s="254">
        <f>CM145/CH145-1</f>
        <v>-0.15287990428780895</v>
      </c>
      <c r="CN146" s="161">
        <f t="shared" si="824"/>
        <v>0.44091064120054568</v>
      </c>
      <c r="CO146" s="161">
        <f t="shared" si="824"/>
        <v>-0.34812246041754247</v>
      </c>
      <c r="CP146" s="161">
        <f t="shared" si="824"/>
        <v>-0.5685427370387669</v>
      </c>
      <c r="CQ146" s="161">
        <f t="shared" si="824"/>
        <v>-0.3045355700528114</v>
      </c>
      <c r="CR146" s="311">
        <f t="shared" ref="CR146:CW146" si="825">CR145/CM145-1</f>
        <v>-0.36495246606729603</v>
      </c>
      <c r="CS146" s="161">
        <f t="shared" si="824"/>
        <v>-0.92933644029734463</v>
      </c>
      <c r="CT146" s="161">
        <f t="shared" si="824"/>
        <v>-0.19154643138608629</v>
      </c>
      <c r="CU146" s="161">
        <f t="shared" si="825"/>
        <v>-0.54785095074036305</v>
      </c>
      <c r="CV146" s="161">
        <f t="shared" si="825"/>
        <v>0.29989696432486856</v>
      </c>
      <c r="CW146" s="311">
        <f t="shared" si="825"/>
        <v>-0.28194760977456101</v>
      </c>
      <c r="CX146" s="161">
        <f t="shared" ref="CX146:DK146" si="826">CX145/CS145-1</f>
        <v>1.3054556728771569</v>
      </c>
      <c r="CY146" s="161">
        <f t="shared" si="826"/>
        <v>1.4851693572052316</v>
      </c>
      <c r="CZ146" s="161">
        <f t="shared" si="826"/>
        <v>5.4068457163191388</v>
      </c>
      <c r="DA146" s="161">
        <f t="shared" si="826"/>
        <v>7.6101491035921454E-2</v>
      </c>
      <c r="DB146" s="311">
        <f t="shared" si="826"/>
        <v>1.5356488810313063</v>
      </c>
      <c r="DC146" s="161">
        <f>DC145/CX145-1</f>
        <v>-2.1520378890801193</v>
      </c>
      <c r="DD146" s="161">
        <f>DD145/CY145-1</f>
        <v>-0.49044159815513855</v>
      </c>
      <c r="DE146" s="161">
        <f>DE145/CZ145-1</f>
        <v>-0.43279835089606744</v>
      </c>
      <c r="DF146" s="161">
        <f t="shared" si="826"/>
        <v>-0.26334754799590865</v>
      </c>
      <c r="DG146" s="311">
        <f t="shared" si="826"/>
        <v>-0.4548083800810665</v>
      </c>
      <c r="DH146" s="161">
        <f t="shared" si="826"/>
        <v>1.1204820259891273</v>
      </c>
      <c r="DI146" s="161">
        <f t="shared" si="826"/>
        <v>1.1310195748769063</v>
      </c>
      <c r="DJ146" s="161">
        <f t="shared" si="826"/>
        <v>-0.14789591605847507</v>
      </c>
      <c r="DK146" s="161">
        <f t="shared" si="826"/>
        <v>4.1125541125541121E-2</v>
      </c>
      <c r="DL146" s="311">
        <f t="shared" ref="DL146:DT146" si="827">DL145/DG145-1</f>
        <v>0.40225807257577073</v>
      </c>
      <c r="DM146" s="161">
        <f t="shared" si="827"/>
        <v>-4.1312643678160921</v>
      </c>
      <c r="DN146" s="161">
        <f t="shared" si="827"/>
        <v>6.4107694359795131E-2</v>
      </c>
      <c r="DO146" s="161">
        <f t="shared" si="827"/>
        <v>1.6117669487175723</v>
      </c>
      <c r="DP146" s="161">
        <f t="shared" si="827"/>
        <v>2.8177616375041268</v>
      </c>
      <c r="DQ146" s="311">
        <f t="shared" si="827"/>
        <v>1.0418961936070468</v>
      </c>
      <c r="DR146" s="161">
        <f t="shared" si="827"/>
        <v>1.5085148943071847</v>
      </c>
      <c r="DS146" s="161">
        <f t="shared" si="827"/>
        <v>0.83164074896858131</v>
      </c>
      <c r="DT146" s="161">
        <f t="shared" si="827"/>
        <v>0.63147694756474659</v>
      </c>
      <c r="DU146" s="161">
        <f>DU145/DP145-1</f>
        <v>0.76749367849185091</v>
      </c>
      <c r="DV146" s="311">
        <f>DV145/DQ145-1</f>
        <v>0.79577041114675984</v>
      </c>
      <c r="DW146" s="161">
        <f>DW145/DR145-1</f>
        <v>2.6489011498516319</v>
      </c>
      <c r="DX146" s="161">
        <f>DX145/DS145-1</f>
        <v>0.47830400744128343</v>
      </c>
      <c r="DY146" s="161">
        <f>DY145/DT145-1</f>
        <v>0.70060748970864495</v>
      </c>
      <c r="DZ146" s="161">
        <f t="shared" ref="DZ146:EA146" si="828">DZ145/DU145-1</f>
        <v>0.5283392922625596</v>
      </c>
      <c r="EA146" s="311">
        <f t="shared" si="828"/>
        <v>0.74870081457030113</v>
      </c>
      <c r="EB146" s="161">
        <f>EB145/DW145-1</f>
        <v>0.3219297729780588</v>
      </c>
      <c r="EC146" s="161">
        <f>EC145/DX145-1</f>
        <v>0.15271620656176155</v>
      </c>
      <c r="ED146" s="161">
        <f>ED145/DY145-1</f>
        <v>-9.8801602019666923E-3</v>
      </c>
      <c r="EE146" s="161">
        <f t="shared" ref="EE146" si="829">EE145/DZ145-1</f>
        <v>-0.17722070934355705</v>
      </c>
      <c r="EF146" s="311">
        <f t="shared" ref="EF146" si="830">EF145/EA145-1</f>
        <v>5.6860774350890431E-2</v>
      </c>
      <c r="EG146" s="161">
        <f>EG145/EB145-1</f>
        <v>-0.31394736614965002</v>
      </c>
      <c r="EH146" s="161">
        <f>EH145/EC145-1</f>
        <v>3.3917432878126652E-2</v>
      </c>
      <c r="EI146" s="161">
        <f>EI145/ED145-1</f>
        <v>-6.0871367145003297E-2</v>
      </c>
      <c r="EJ146" s="161">
        <f t="shared" ref="EJ146" si="831">EJ145/EE145-1</f>
        <v>3.3225585196427598E-2</v>
      </c>
      <c r="EK146" s="311">
        <f>EK145/EF145-1</f>
        <v>-7.1952328921001785E-2</v>
      </c>
      <c r="EL146" s="161"/>
      <c r="EM146" s="161"/>
      <c r="EN146" s="161"/>
      <c r="EO146" s="161"/>
      <c r="EP146" s="311"/>
      <c r="EQ146" s="161">
        <f>EQ145/EL145-1</f>
        <v>0.27269882966204473</v>
      </c>
      <c r="ER146" s="161">
        <f>ER145/EM145-1</f>
        <v>0.25610805491315358</v>
      </c>
      <c r="ES146" s="161">
        <f>ES145/EN145-1</f>
        <v>0.41911875518493757</v>
      </c>
      <c r="ET146" s="161">
        <f>ET145/EO145-1</f>
        <v>0.61793514743966393</v>
      </c>
      <c r="EU146" s="311">
        <f>EU145/EP145-1</f>
        <v>0.37917801640005977</v>
      </c>
      <c r="EV146" s="161"/>
      <c r="EW146" s="161"/>
      <c r="EX146" s="161"/>
      <c r="EY146" s="161"/>
      <c r="EZ146" s="311">
        <f>EZ145/EU145-1</f>
        <v>0.25210916869943545</v>
      </c>
      <c r="FA146" s="161"/>
      <c r="FB146" s="161"/>
      <c r="FC146" s="161"/>
      <c r="FD146" s="161"/>
      <c r="FE146" s="311">
        <f>FE145/EZ145-1</f>
        <v>0.23606593946280929</v>
      </c>
      <c r="FF146" s="161"/>
      <c r="FG146" s="452"/>
      <c r="FL146" s="417"/>
      <c r="FM146" s="417"/>
      <c r="FN146" s="379"/>
      <c r="FO146" s="379"/>
      <c r="FP146" s="379"/>
      <c r="FQ146" s="379"/>
      <c r="FR146" s="379"/>
      <c r="FS146" s="379"/>
      <c r="FT146" s="478"/>
    </row>
    <row r="147" spans="1:184" s="17" customFormat="1" ht="12.75" customHeight="1" x14ac:dyDescent="0.2">
      <c r="A147" s="28" t="s">
        <v>423</v>
      </c>
      <c r="B147" s="830">
        <v>0</v>
      </c>
      <c r="C147" s="830">
        <v>0</v>
      </c>
      <c r="D147" s="830">
        <v>0</v>
      </c>
      <c r="E147" s="830">
        <v>0</v>
      </c>
      <c r="F147" s="485">
        <v>0</v>
      </c>
      <c r="G147" s="830">
        <v>0</v>
      </c>
      <c r="H147" s="830">
        <v>0</v>
      </c>
      <c r="I147" s="830">
        <v>0</v>
      </c>
      <c r="J147" s="830">
        <v>0</v>
      </c>
      <c r="K147" s="485">
        <v>0</v>
      </c>
      <c r="L147" s="830">
        <v>0</v>
      </c>
      <c r="M147" s="830">
        <v>0</v>
      </c>
      <c r="N147" s="830">
        <v>0</v>
      </c>
      <c r="O147" s="830">
        <v>0</v>
      </c>
      <c r="P147" s="485">
        <v>0</v>
      </c>
      <c r="Q147" s="830">
        <v>0</v>
      </c>
      <c r="R147" s="830">
        <v>0</v>
      </c>
      <c r="S147" s="830">
        <v>0</v>
      </c>
      <c r="T147" s="830">
        <v>0</v>
      </c>
      <c r="U147" s="485">
        <v>0</v>
      </c>
      <c r="V147" s="830">
        <v>0</v>
      </c>
      <c r="W147" s="830">
        <v>0</v>
      </c>
      <c r="X147" s="830">
        <v>0</v>
      </c>
      <c r="Y147" s="830">
        <v>0</v>
      </c>
      <c r="Z147" s="485">
        <v>0</v>
      </c>
      <c r="AA147" s="830">
        <v>0</v>
      </c>
      <c r="AB147" s="830">
        <v>0</v>
      </c>
      <c r="AC147" s="830">
        <v>0</v>
      </c>
      <c r="AD147" s="830">
        <v>0</v>
      </c>
      <c r="AE147" s="485">
        <v>0</v>
      </c>
      <c r="AF147" s="830">
        <v>0</v>
      </c>
      <c r="AG147" s="830">
        <v>0</v>
      </c>
      <c r="AH147" s="830">
        <v>0</v>
      </c>
      <c r="AI147" s="830">
        <v>0</v>
      </c>
      <c r="AJ147" s="485">
        <v>0</v>
      </c>
      <c r="AK147" s="830">
        <v>0</v>
      </c>
      <c r="AL147" s="830">
        <v>0</v>
      </c>
      <c r="AM147" s="830">
        <v>0</v>
      </c>
      <c r="AN147" s="830">
        <v>0</v>
      </c>
      <c r="AO147" s="485">
        <v>0</v>
      </c>
      <c r="AP147" s="830">
        <v>0</v>
      </c>
      <c r="AQ147" s="830">
        <v>0</v>
      </c>
      <c r="AR147" s="830">
        <v>0</v>
      </c>
      <c r="AS147" s="830">
        <v>0</v>
      </c>
      <c r="AT147" s="485">
        <v>0</v>
      </c>
      <c r="AU147" s="830">
        <v>0</v>
      </c>
      <c r="AV147" s="830">
        <v>0</v>
      </c>
      <c r="AW147" s="830">
        <v>0</v>
      </c>
      <c r="AX147" s="830">
        <v>0</v>
      </c>
      <c r="AY147" s="485">
        <v>0</v>
      </c>
      <c r="AZ147" s="830">
        <v>0</v>
      </c>
      <c r="BA147" s="830">
        <v>0</v>
      </c>
      <c r="BB147" s="830">
        <v>0</v>
      </c>
      <c r="BC147" s="830">
        <v>0</v>
      </c>
      <c r="BD147" s="485">
        <v>0</v>
      </c>
      <c r="BE147" s="830">
        <v>0</v>
      </c>
      <c r="BF147" s="830">
        <v>0</v>
      </c>
      <c r="BG147" s="830">
        <v>0</v>
      </c>
      <c r="BH147" s="830">
        <v>0</v>
      </c>
      <c r="BI147" s="485">
        <v>0</v>
      </c>
      <c r="BJ147" s="830">
        <v>0</v>
      </c>
      <c r="BK147" s="830">
        <v>0</v>
      </c>
      <c r="BL147" s="830">
        <v>0</v>
      </c>
      <c r="BM147" s="830">
        <v>0</v>
      </c>
      <c r="BN147" s="485">
        <v>0</v>
      </c>
      <c r="BO147" s="830">
        <v>0</v>
      </c>
      <c r="BP147" s="830">
        <v>0</v>
      </c>
      <c r="BQ147" s="830">
        <v>0</v>
      </c>
      <c r="BR147" s="830">
        <v>0</v>
      </c>
      <c r="BS147" s="485">
        <v>0</v>
      </c>
      <c r="BT147" s="830">
        <v>0</v>
      </c>
      <c r="BU147" s="830">
        <v>0</v>
      </c>
      <c r="BV147" s="830">
        <v>0</v>
      </c>
      <c r="BW147" s="830">
        <v>0</v>
      </c>
      <c r="BX147" s="485">
        <v>0</v>
      </c>
      <c r="BY147" s="830">
        <v>0</v>
      </c>
      <c r="BZ147" s="830">
        <v>0</v>
      </c>
      <c r="CA147" s="830">
        <v>0</v>
      </c>
      <c r="CB147" s="830">
        <v>0</v>
      </c>
      <c r="CC147" s="485">
        <v>0</v>
      </c>
      <c r="CD147" s="830">
        <v>0</v>
      </c>
      <c r="CE147" s="830">
        <v>0</v>
      </c>
      <c r="CF147" s="830">
        <v>0</v>
      </c>
      <c r="CG147" s="830">
        <v>0</v>
      </c>
      <c r="CH147" s="485">
        <v>0</v>
      </c>
      <c r="CI147" s="830">
        <v>0</v>
      </c>
      <c r="CJ147" s="830">
        <v>0</v>
      </c>
      <c r="CK147" s="830">
        <v>0</v>
      </c>
      <c r="CL147" s="830">
        <v>0</v>
      </c>
      <c r="CM147" s="485">
        <v>0</v>
      </c>
      <c r="CN147" s="830">
        <v>0</v>
      </c>
      <c r="CO147" s="830">
        <v>0</v>
      </c>
      <c r="CP147" s="830">
        <v>0</v>
      </c>
      <c r="CQ147" s="830">
        <v>0</v>
      </c>
      <c r="CR147" s="486">
        <v>0</v>
      </c>
      <c r="CS147" s="830">
        <v>0</v>
      </c>
      <c r="CT147" s="830">
        <v>0</v>
      </c>
      <c r="CU147" s="830">
        <v>0</v>
      </c>
      <c r="CV147" s="830">
        <v>0</v>
      </c>
      <c r="CW147" s="486">
        <v>0</v>
      </c>
      <c r="CX147" s="830">
        <v>0</v>
      </c>
      <c r="CY147" s="830">
        <v>0</v>
      </c>
      <c r="CZ147" s="830">
        <v>0</v>
      </c>
      <c r="DA147" s="830">
        <v>0</v>
      </c>
      <c r="DB147" s="486">
        <v>0</v>
      </c>
      <c r="DC147" s="830">
        <v>0</v>
      </c>
      <c r="DD147" s="830">
        <v>0</v>
      </c>
      <c r="DE147" s="830">
        <v>0</v>
      </c>
      <c r="DF147" s="830">
        <v>1</v>
      </c>
      <c r="DG147" s="486">
        <f>SUM(DC147:DF147)</f>
        <v>1</v>
      </c>
      <c r="DH147" s="830">
        <v>1</v>
      </c>
      <c r="DI147" s="830">
        <v>1</v>
      </c>
      <c r="DJ147" s="830">
        <v>0</v>
      </c>
      <c r="DK147" s="830">
        <v>1</v>
      </c>
      <c r="DL147" s="486">
        <f>SUM(DH147:DK147)</f>
        <v>3</v>
      </c>
      <c r="DM147" s="830">
        <v>0</v>
      </c>
      <c r="DN147" s="830">
        <v>1</v>
      </c>
      <c r="DO147" s="830">
        <v>1</v>
      </c>
      <c r="DP147" s="830">
        <v>1</v>
      </c>
      <c r="DQ147" s="486">
        <f>SUM(DM147:DP147)</f>
        <v>3</v>
      </c>
      <c r="DR147" s="830">
        <v>1</v>
      </c>
      <c r="DS147" s="830">
        <v>1</v>
      </c>
      <c r="DT147" s="830">
        <v>1</v>
      </c>
      <c r="DU147" s="830">
        <v>1</v>
      </c>
      <c r="DV147" s="486">
        <f>SUM(DR147:DU147)</f>
        <v>4</v>
      </c>
      <c r="DW147" s="830">
        <v>1</v>
      </c>
      <c r="DX147" s="830">
        <v>1</v>
      </c>
      <c r="DY147" s="830">
        <v>1</v>
      </c>
      <c r="DZ147" s="830">
        <v>1</v>
      </c>
      <c r="EA147" s="486">
        <f>SUM(DW147:DZ147)</f>
        <v>4</v>
      </c>
      <c r="EB147" s="830">
        <v>1</v>
      </c>
      <c r="EC147" s="830">
        <v>1</v>
      </c>
      <c r="ED147" s="830">
        <v>1</v>
      </c>
      <c r="EE147" s="830">
        <v>1</v>
      </c>
      <c r="EF147" s="486">
        <f>SUM(EB147:EE147)</f>
        <v>4</v>
      </c>
      <c r="EG147" s="830">
        <v>0</v>
      </c>
      <c r="EH147" s="830">
        <v>0</v>
      </c>
      <c r="EI147" s="830">
        <v>0</v>
      </c>
      <c r="EJ147" s="830">
        <v>0</v>
      </c>
      <c r="EK147" s="486">
        <v>0</v>
      </c>
      <c r="EL147" s="830">
        <v>0</v>
      </c>
      <c r="EM147" s="830">
        <v>0</v>
      </c>
      <c r="EN147" s="830">
        <v>0</v>
      </c>
      <c r="EO147" s="830">
        <v>0</v>
      </c>
      <c r="EP147" s="486">
        <v>0</v>
      </c>
      <c r="EQ147" s="487">
        <v>0</v>
      </c>
      <c r="ER147" s="487">
        <v>0</v>
      </c>
      <c r="ES147" s="487">
        <v>0</v>
      </c>
      <c r="ET147" s="487">
        <v>0</v>
      </c>
      <c r="EU147" s="486">
        <v>0</v>
      </c>
      <c r="EV147" s="487"/>
      <c r="EW147" s="487"/>
      <c r="EX147" s="487"/>
      <c r="EY147" s="487"/>
      <c r="EZ147" s="486">
        <v>0</v>
      </c>
      <c r="FA147" s="487"/>
      <c r="FB147" s="487"/>
      <c r="FC147" s="487"/>
      <c r="FD147" s="487"/>
      <c r="FE147" s="486">
        <v>0</v>
      </c>
      <c r="FF147" s="487"/>
      <c r="FG147" s="488"/>
      <c r="FH147" s="401"/>
      <c r="FI147" s="402"/>
      <c r="FJ147" s="402"/>
      <c r="FK147" s="402"/>
      <c r="FL147" s="426"/>
      <c r="FM147" s="426"/>
      <c r="FN147" s="385"/>
      <c r="FO147" s="385"/>
      <c r="FP147" s="385"/>
      <c r="FQ147" s="385"/>
      <c r="FR147" s="385"/>
      <c r="FS147" s="385"/>
      <c r="FT147" s="460"/>
      <c r="FU147"/>
      <c r="FV147"/>
      <c r="FW147"/>
      <c r="FX147"/>
      <c r="FY147"/>
      <c r="FZ147"/>
      <c r="GA147" s="403"/>
      <c r="GB147" s="405"/>
    </row>
    <row r="148" spans="1:184" ht="12.75" customHeight="1" x14ac:dyDescent="0.2">
      <c r="A148" s="178" t="s">
        <v>420</v>
      </c>
      <c r="B148" s="178">
        <f>B143/B151</f>
        <v>0.1167679083094559</v>
      </c>
      <c r="C148" s="178">
        <f>C143/C151</f>
        <v>0.52295555555555506</v>
      </c>
      <c r="D148" s="178">
        <f>D143/D151</f>
        <v>0.53964907348841473</v>
      </c>
      <c r="E148" s="178">
        <f>E143/E151</f>
        <v>0.25634714449013551</v>
      </c>
      <c r="F148" s="273">
        <v>1.1000000000000001</v>
      </c>
      <c r="G148" s="178">
        <f>G143/G151</f>
        <v>-0.19483445593397253</v>
      </c>
      <c r="H148" s="178">
        <f>H143/H151</f>
        <v>0.24631093083432415</v>
      </c>
      <c r="I148" s="178">
        <f>I143/I151</f>
        <v>0.3662831322494996</v>
      </c>
      <c r="J148" s="178">
        <f>J143/J151</f>
        <v>1.8441403585964335</v>
      </c>
      <c r="K148" s="273">
        <v>0.28000000000000003</v>
      </c>
      <c r="L148" s="178">
        <f>L143/L151</f>
        <v>0.1487659837376844</v>
      </c>
      <c r="M148" s="178">
        <f>M143/M151</f>
        <v>0.1648481970603449</v>
      </c>
      <c r="N148" s="178">
        <f>N143/N151</f>
        <v>0.18804021568145579</v>
      </c>
      <c r="O148" s="178">
        <f>O143/O151</f>
        <v>0.59826232788872225</v>
      </c>
      <c r="P148" s="273">
        <v>0.71</v>
      </c>
      <c r="Q148" s="178">
        <f>Q143/Q151</f>
        <v>0.23792008551039068</v>
      </c>
      <c r="R148" s="178">
        <f>R143/R151</f>
        <v>0.29110207555779927</v>
      </c>
      <c r="S148" s="178">
        <f>S143/S151</f>
        <v>0.30536483669214726</v>
      </c>
      <c r="T148" s="178">
        <f>T143/T151</f>
        <v>0.63360422421343343</v>
      </c>
      <c r="U148" s="273">
        <v>1.05</v>
      </c>
      <c r="V148" s="178">
        <f>V143/V151</f>
        <v>5.2700785599571649E-2</v>
      </c>
      <c r="W148" s="178">
        <f>W143/W151</f>
        <v>7.3809411607023256E-2</v>
      </c>
      <c r="X148" s="178">
        <f>X143/X151</f>
        <v>7.3961489675516287E-2</v>
      </c>
      <c r="Y148" s="178">
        <f>Y143/Y151</f>
        <v>2.5736438558752243E-2</v>
      </c>
      <c r="Z148" s="273">
        <f>SUM(V148:Y148)</f>
        <v>0.22620812544086344</v>
      </c>
      <c r="AA148" s="178">
        <f>AA143/AA151</f>
        <v>1.5001706659476793E-2</v>
      </c>
      <c r="AB148" s="178">
        <f>AB143/AB151</f>
        <v>7.5345601287035754E-2</v>
      </c>
      <c r="AC148" s="178">
        <f>AC143/AC151</f>
        <v>8.3003382831835282E-2</v>
      </c>
      <c r="AD148" s="178">
        <f>AD143/AD151</f>
        <v>0.15154602214313923</v>
      </c>
      <c r="AE148" s="273">
        <f>SUM(AA148:AD148)</f>
        <v>0.32489671292148703</v>
      </c>
      <c r="AF148" s="178">
        <f>AF143/AF151</f>
        <v>4.0267950904766273E-2</v>
      </c>
      <c r="AG148" s="178">
        <f>AG143/AG151</f>
        <v>0.10324436805511349</v>
      </c>
      <c r="AH148" s="178">
        <f>AH143/AH151</f>
        <v>7.5046838605137861E-2</v>
      </c>
      <c r="AI148" s="178">
        <f>AI143/AI151</f>
        <v>3.478784851667107E-2</v>
      </c>
      <c r="AJ148" s="273">
        <f>SUM(AF148:AI148)</f>
        <v>0.2533470060816887</v>
      </c>
      <c r="AK148" s="178">
        <f>AK143/AK151</f>
        <v>6.5070591273617209E-2</v>
      </c>
      <c r="AL148" s="178">
        <f>AL143/AL151</f>
        <v>0.11978824040157392</v>
      </c>
      <c r="AM148" s="178">
        <f>AM143/AM151</f>
        <v>0.11768669866161938</v>
      </c>
      <c r="AN148" s="178">
        <f>AN143/AN151</f>
        <v>0.10172068572195399</v>
      </c>
      <c r="AO148" s="273">
        <f>SUM(AK148:AN148)</f>
        <v>0.4042662160587645</v>
      </c>
      <c r="AP148" s="178">
        <f>AP143/AP151</f>
        <v>8.8160139705260793E-2</v>
      </c>
      <c r="AQ148" s="178">
        <f>AQ143/AQ151</f>
        <v>0.16743918360955487</v>
      </c>
      <c r="AR148" s="178">
        <f>AR143/AR151</f>
        <v>0.16297030972466794</v>
      </c>
      <c r="AS148" s="178">
        <f>AS143/AS151</f>
        <v>0.12670650187311303</v>
      </c>
      <c r="AT148" s="273">
        <f>SUM(AP148:AS148)</f>
        <v>0.54527613491259663</v>
      </c>
      <c r="AU148" s="178">
        <f>AU143/AU151</f>
        <v>0.1192298147308475</v>
      </c>
      <c r="AV148" s="178">
        <f>AV143/AV151</f>
        <v>0.1951017111917864</v>
      </c>
      <c r="AW148" s="178">
        <f>AW143/AW151</f>
        <v>0.15800004479517399</v>
      </c>
      <c r="AX148" s="178">
        <f>AX143/AX151</f>
        <v>0.11733637570257863</v>
      </c>
      <c r="AY148" s="273">
        <f>SUM(AU148:AX148)</f>
        <v>0.58966794642038656</v>
      </c>
      <c r="AZ148" s="178">
        <f>AZ143/AZ151</f>
        <v>0.12113854501516072</v>
      </c>
      <c r="BA148" s="178">
        <f>BA143/BA151</f>
        <v>0.240359766703927</v>
      </c>
      <c r="BB148" s="178">
        <f>BB143/BB151</f>
        <v>0.23137086528369877</v>
      </c>
      <c r="BC148" s="178">
        <f>BC143/BC151</f>
        <v>0.19187400363498763</v>
      </c>
      <c r="BD148" s="273">
        <f>SUM(AZ148:BC148)</f>
        <v>0.78474318063777415</v>
      </c>
      <c r="BE148" s="178">
        <f>BE143/BE151</f>
        <v>0.14985564733380863</v>
      </c>
      <c r="BF148" s="178">
        <f>BF143/BF151</f>
        <v>0.21776537338008553</v>
      </c>
      <c r="BG148" s="178">
        <f>BG143/BG151</f>
        <v>0.18710061224995647</v>
      </c>
      <c r="BH148" s="178">
        <f>BH143/BH151</f>
        <v>7.866744130446357E-2</v>
      </c>
      <c r="BI148" s="273">
        <f>SUM(BE148:BH148)</f>
        <v>0.63338907426831415</v>
      </c>
      <c r="BJ148" s="178">
        <f>BJ143/BJ151</f>
        <v>2.6376388661051395E-2</v>
      </c>
      <c r="BK148" s="178">
        <f>BK143/BK151</f>
        <v>0.10383728213827269</v>
      </c>
      <c r="BL148" s="178">
        <f>BL143/BL151</f>
        <v>6.2763716357715896E-2</v>
      </c>
      <c r="BM148" s="178">
        <f>BM143/BM151</f>
        <v>5.216174952665769E-2</v>
      </c>
      <c r="BN148" s="273">
        <f>SUM(BJ148:BM148)</f>
        <v>0.24513913668369769</v>
      </c>
      <c r="BO148" s="178">
        <f>BO143/BO151</f>
        <v>2.9702970297029702E-2</v>
      </c>
      <c r="BP148" s="178">
        <f>BP143/BP151</f>
        <v>0.12621951219512195</v>
      </c>
      <c r="BQ148" s="178">
        <f>BQ143/BQ151</f>
        <v>0.12817412333736397</v>
      </c>
      <c r="BR148" s="178">
        <f>BR143/BR151</f>
        <v>7.9231692677070822E-2</v>
      </c>
      <c r="BS148" s="273">
        <f>SUM(BO148:BR148)</f>
        <v>0.36332829850658643</v>
      </c>
      <c r="BT148" s="178">
        <f>BT143/BT151</f>
        <v>4.3689351285189679E-2</v>
      </c>
      <c r="BU148" s="178">
        <f>BU143/BU151</f>
        <v>0.15299877600979192</v>
      </c>
      <c r="BV148" s="178">
        <f>BV143/BV151</f>
        <v>0.14655172413793102</v>
      </c>
      <c r="BW148" s="178">
        <f>BW143/BW151</f>
        <v>6.8880688806888066E-2</v>
      </c>
      <c r="BX148" s="273">
        <f>SUM(BT148:BW148)</f>
        <v>0.41212054023980066</v>
      </c>
      <c r="BY148" s="178">
        <f t="shared" ref="BY148:CG148" si="832">BY143/BY151</f>
        <v>5.3615960099750622E-2</v>
      </c>
      <c r="BZ148" s="178">
        <f t="shared" si="832"/>
        <v>0.18204488778054864</v>
      </c>
      <c r="CA148" s="178">
        <f t="shared" si="832"/>
        <v>0.19326683291770574</v>
      </c>
      <c r="CB148" s="178">
        <f t="shared" si="832"/>
        <v>9.9264705882352935E-2</v>
      </c>
      <c r="CC148" s="273">
        <f t="shared" si="832"/>
        <v>0.52762259466170081</v>
      </c>
      <c r="CD148" s="178">
        <f t="shared" si="832"/>
        <v>8.3110047846889842E-2</v>
      </c>
      <c r="CE148" s="178">
        <f t="shared" si="832"/>
        <v>0.33042424242424229</v>
      </c>
      <c r="CF148" s="178">
        <f t="shared" si="832"/>
        <v>0.18708891595615093</v>
      </c>
      <c r="CG148" s="178">
        <f t="shared" si="832"/>
        <v>0.11758917589175881</v>
      </c>
      <c r="CH148" s="273">
        <f>SUM(CD148:CG148)</f>
        <v>0.71821238211904181</v>
      </c>
      <c r="CI148" s="178">
        <f>CI143/CI151</f>
        <v>0.04</v>
      </c>
      <c r="CJ148" s="178">
        <f>CJ143/CJ151</f>
        <v>0.25</v>
      </c>
      <c r="CK148" s="178">
        <f>CK143/CK151</f>
        <v>0.21353058510638295</v>
      </c>
      <c r="CL148" s="178">
        <f>CL143/CL151</f>
        <v>0.11725067385444744</v>
      </c>
      <c r="CM148" s="273">
        <f>SUM(CI148:CL148)</f>
        <v>0.62078125896083036</v>
      </c>
      <c r="CN148" s="178">
        <f t="shared" ref="CN148:CW148" si="833">CN143/CN151</f>
        <v>5.858310626702997E-2</v>
      </c>
      <c r="CO148" s="178">
        <f t="shared" si="833"/>
        <v>0.16417910447761194</v>
      </c>
      <c r="CP148" s="178">
        <f t="shared" si="833"/>
        <v>9.375E-2</v>
      </c>
      <c r="CQ148" s="178">
        <f t="shared" si="833"/>
        <v>8.2432432432432437E-2</v>
      </c>
      <c r="CR148" s="320">
        <f t="shared" si="833"/>
        <v>0.39622641509433965</v>
      </c>
      <c r="CS148" s="178">
        <f>CS143/CS151</f>
        <v>4.114366044837294E-3</v>
      </c>
      <c r="CT148" s="178">
        <f>CT143/CT151</f>
        <v>0.13254750196865761</v>
      </c>
      <c r="CU148" s="178">
        <f t="shared" si="833"/>
        <v>4.2040772574785876E-2</v>
      </c>
      <c r="CV148" s="178">
        <f t="shared" si="833"/>
        <v>0.10634942748178927</v>
      </c>
      <c r="CW148" s="320">
        <f t="shared" si="833"/>
        <v>0.2851037471329439</v>
      </c>
      <c r="CX148" s="178">
        <f t="shared" ref="CX148:DD148" si="834">CX143/CX151</f>
        <v>9.5447558402299293E-3</v>
      </c>
      <c r="CY148" s="178">
        <f t="shared" si="834"/>
        <v>0.32672194640624874</v>
      </c>
      <c r="CZ148" s="178">
        <f t="shared" si="834"/>
        <v>0.26716683583997286</v>
      </c>
      <c r="DA148" s="178">
        <f t="shared" si="834"/>
        <v>0.11481701187837935</v>
      </c>
      <c r="DB148" s="320">
        <f t="shared" si="834"/>
        <v>0.7221285284880935</v>
      </c>
      <c r="DC148" s="178">
        <f t="shared" si="834"/>
        <v>-1.1009903982117146E-2</v>
      </c>
      <c r="DD148" s="178">
        <f t="shared" si="834"/>
        <v>0.16772554002541296</v>
      </c>
      <c r="DE148" s="178">
        <f>DE143/DE151</f>
        <v>0.15404040404040403</v>
      </c>
      <c r="DF148" s="178">
        <f t="shared" ref="DF148:DS148" si="835">(DF143+DF147)/DF151</f>
        <v>8.5568326947637288E-2</v>
      </c>
      <c r="DG148" s="320">
        <f t="shared" si="835"/>
        <v>0.39609203867787429</v>
      </c>
      <c r="DH148" s="178">
        <f t="shared" si="835"/>
        <v>-2.2020725388601035E-2</v>
      </c>
      <c r="DI148" s="178">
        <f t="shared" si="835"/>
        <v>0.3586387434554974</v>
      </c>
      <c r="DJ148" s="178">
        <f t="shared" si="835"/>
        <v>0.13108108108108107</v>
      </c>
      <c r="DK148" s="178">
        <f t="shared" si="835"/>
        <v>8.9673913043478257E-2</v>
      </c>
      <c r="DL148" s="320">
        <f t="shared" si="835"/>
        <v>0.55776892430278879</v>
      </c>
      <c r="DM148" s="178">
        <f t="shared" si="835"/>
        <v>7.2902338376891335E-2</v>
      </c>
      <c r="DN148" s="178">
        <f t="shared" si="835"/>
        <v>0.38088642659279781</v>
      </c>
      <c r="DO148" s="178">
        <f t="shared" si="835"/>
        <v>0.34036568213783402</v>
      </c>
      <c r="DP148" s="178">
        <f t="shared" si="835"/>
        <v>0.33521923620933519</v>
      </c>
      <c r="DQ148" s="320">
        <f t="shared" si="835"/>
        <v>1.1239554317548746</v>
      </c>
      <c r="DR148" s="178">
        <f t="shared" si="835"/>
        <v>0.18246110325318246</v>
      </c>
      <c r="DS148" s="178">
        <f t="shared" si="835"/>
        <v>0.69627507163323787</v>
      </c>
      <c r="DT148" s="178">
        <f t="shared" ref="DT148:EA148" si="836">(DT143+DT147)/DT151</f>
        <v>0.55426917510853835</v>
      </c>
      <c r="DU148" s="178">
        <f t="shared" si="836"/>
        <v>0.59037900874635574</v>
      </c>
      <c r="DV148" s="320">
        <f t="shared" si="836"/>
        <v>1.9540389972144847</v>
      </c>
      <c r="DW148" s="178">
        <f t="shared" si="836"/>
        <v>0.66275659824046917</v>
      </c>
      <c r="DX148" s="178">
        <f t="shared" si="836"/>
        <v>1.0282317979197622</v>
      </c>
      <c r="DY148" s="178">
        <f t="shared" si="836"/>
        <v>0.94117647058823528</v>
      </c>
      <c r="DZ148" s="178">
        <f t="shared" si="836"/>
        <v>0.90243902439024393</v>
      </c>
      <c r="EA148" s="320">
        <f t="shared" si="836"/>
        <v>3.5302916978309646</v>
      </c>
      <c r="EB148" s="178">
        <f t="shared" ref="EB148:EO148" si="837">(EB143+EB147)/EB151</f>
        <v>0.87654320987654322</v>
      </c>
      <c r="EC148" s="178">
        <f t="shared" si="837"/>
        <v>1.1862284820031299</v>
      </c>
      <c r="ED148" s="178">
        <f t="shared" si="837"/>
        <v>0.93279999999999996</v>
      </c>
      <c r="EE148" s="178">
        <f t="shared" si="837"/>
        <v>0.74718196457326891</v>
      </c>
      <c r="EF148" s="320">
        <f t="shared" si="837"/>
        <v>3.7473351756810107</v>
      </c>
      <c r="EG148" s="178">
        <f t="shared" ref="EG148:EJ148" si="838">(EG143+EG147)/EG151</f>
        <v>0.60586319218241047</v>
      </c>
      <c r="EH148" s="178">
        <f t="shared" si="838"/>
        <v>1.2363636363636363</v>
      </c>
      <c r="EI148" s="178">
        <f t="shared" si="838"/>
        <v>0.882943143812709</v>
      </c>
      <c r="EJ148" s="178">
        <f t="shared" si="838"/>
        <v>0.77272727272727271</v>
      </c>
      <c r="EK148" s="320">
        <f t="shared" si="837"/>
        <v>3.4956449605972626</v>
      </c>
      <c r="EL148" s="178">
        <f t="shared" si="837"/>
        <v>0.58469055374592838</v>
      </c>
      <c r="EM148" s="178">
        <f t="shared" si="837"/>
        <v>1.2314049586776858</v>
      </c>
      <c r="EN148" s="178">
        <f t="shared" si="837"/>
        <v>0.9264214046822743</v>
      </c>
      <c r="EO148" s="178">
        <f t="shared" si="837"/>
        <v>0.77104377104377109</v>
      </c>
      <c r="EP148" s="320">
        <f t="shared" ref="EP148" si="839">(EP143+EP147)/EP151</f>
        <v>3.510576524263791</v>
      </c>
      <c r="EQ148" s="178">
        <f t="shared" ref="EQ148" si="840">(EQ143+EQ147)/EQ151</f>
        <v>0.74279461437221805</v>
      </c>
      <c r="ER148" s="178">
        <f t="shared" ref="ER148:EU148" si="841">(ER143+ER147)/ER151</f>
        <v>1.5439344603637726</v>
      </c>
      <c r="ES148" s="178">
        <f>(ES143+ES147)/ES151</f>
        <v>1.3122289730644436</v>
      </c>
      <c r="ET148" s="178">
        <f t="shared" si="841"/>
        <v>1.2471904278204813</v>
      </c>
      <c r="EU148" s="320">
        <f t="shared" si="841"/>
        <v>4.8347019291331961</v>
      </c>
      <c r="EV148" s="178"/>
      <c r="EW148" s="178"/>
      <c r="EX148" s="178"/>
      <c r="EY148" s="178"/>
      <c r="EZ148" s="320">
        <f t="shared" ref="EZ148" si="842">(EZ143+EZ147)/EZ151</f>
        <v>6.0518416490179563</v>
      </c>
      <c r="FA148" s="178"/>
      <c r="FB148" s="178"/>
      <c r="FC148" s="178"/>
      <c r="FD148" s="178"/>
      <c r="FE148" s="320">
        <f t="shared" ref="FE148" si="843">(FE143+FE147)/FE151</f>
        <v>7.4781595947328361</v>
      </c>
      <c r="FF148" s="222"/>
      <c r="FG148" s="461"/>
      <c r="FL148" s="416"/>
      <c r="FM148" s="416"/>
      <c r="FN148" s="598"/>
      <c r="FO148" s="808"/>
      <c r="FP148" s="605"/>
      <c r="FQ148" s="378"/>
      <c r="FR148" s="378"/>
      <c r="FS148" s="378"/>
      <c r="FT148" s="461"/>
    </row>
    <row r="149" spans="1:184" ht="12.75" customHeight="1" x14ac:dyDescent="0.2">
      <c r="A149" s="58" t="s">
        <v>244</v>
      </c>
      <c r="B149" s="161"/>
      <c r="C149" s="161"/>
      <c r="D149" s="161"/>
      <c r="E149" s="161"/>
      <c r="F149" s="254"/>
      <c r="G149" s="161">
        <f>G148/B148-1</f>
        <v>-2.6685616686532252</v>
      </c>
      <c r="H149" s="161">
        <f>H148/C148-1</f>
        <v>-0.52900217194813259</v>
      </c>
      <c r="I149" s="161">
        <f>I148/D148-1</f>
        <v>-0.32125681253974581</v>
      </c>
      <c r="J149" s="161">
        <f>J148/E148-1</f>
        <v>6.1939180842617025</v>
      </c>
      <c r="K149" s="254">
        <f t="shared" ref="K149:U149" si="844">K148/F148-1</f>
        <v>-0.74545454545454537</v>
      </c>
      <c r="L149" s="161">
        <f t="shared" si="844"/>
        <v>-1.763550692430397</v>
      </c>
      <c r="M149" s="161">
        <f t="shared" si="844"/>
        <v>-0.33073129762468167</v>
      </c>
      <c r="N149" s="161">
        <f t="shared" si="844"/>
        <v>-0.48662605748012111</v>
      </c>
      <c r="O149" s="161">
        <f t="shared" si="844"/>
        <v>-0.67558742202027577</v>
      </c>
      <c r="P149" s="254">
        <f t="shared" si="844"/>
        <v>1.5357142857142851</v>
      </c>
      <c r="Q149" s="161">
        <f t="shared" si="844"/>
        <v>0.59929091001011114</v>
      </c>
      <c r="R149" s="161">
        <f t="shared" si="844"/>
        <v>0.76587964411426013</v>
      </c>
      <c r="S149" s="161">
        <f t="shared" si="844"/>
        <v>0.62393366538912032</v>
      </c>
      <c r="T149" s="161">
        <f t="shared" si="844"/>
        <v>5.907424665937655E-2</v>
      </c>
      <c r="U149" s="254">
        <f t="shared" si="844"/>
        <v>0.47887323943661975</v>
      </c>
      <c r="V149" s="161">
        <f t="shared" ref="V149:CT149" si="845">V148/Q148-1</f>
        <v>-0.7784937514354161</v>
      </c>
      <c r="W149" s="161">
        <f t="shared" si="845"/>
        <v>-0.74644834989378783</v>
      </c>
      <c r="X149" s="161">
        <f t="shared" si="845"/>
        <v>-0.75779303708736978</v>
      </c>
      <c r="Y149" s="161">
        <f t="shared" si="845"/>
        <v>-0.95938089176930308</v>
      </c>
      <c r="Z149" s="254">
        <f t="shared" si="845"/>
        <v>-0.78456369005632054</v>
      </c>
      <c r="AA149" s="161">
        <f t="shared" si="845"/>
        <v>-0.71534187794728576</v>
      </c>
      <c r="AB149" s="161">
        <f t="shared" si="845"/>
        <v>2.0812924077914241E-2</v>
      </c>
      <c r="AC149" s="161">
        <f t="shared" si="845"/>
        <v>0.12225136616349364</v>
      </c>
      <c r="AD149" s="161">
        <f t="shared" si="845"/>
        <v>4.8883835771287272</v>
      </c>
      <c r="AE149" s="254">
        <f t="shared" si="845"/>
        <v>0.43627339773178608</v>
      </c>
      <c r="AF149" s="161">
        <f t="shared" si="845"/>
        <v>1.684224656487896</v>
      </c>
      <c r="AG149" s="161">
        <f t="shared" si="845"/>
        <v>0.37027731269666164</v>
      </c>
      <c r="AH149" s="161">
        <f t="shared" si="845"/>
        <v>-9.585807174651384E-2</v>
      </c>
      <c r="AI149" s="161">
        <f t="shared" si="845"/>
        <v>-0.77044697033477383</v>
      </c>
      <c r="AJ149" s="254">
        <f t="shared" si="845"/>
        <v>-0.22022293237878554</v>
      </c>
      <c r="AK149" s="161">
        <f t="shared" si="845"/>
        <v>0.61593996743239288</v>
      </c>
      <c r="AL149" s="161">
        <f t="shared" si="845"/>
        <v>0.16023994972422173</v>
      </c>
      <c r="AM149" s="161">
        <f t="shared" si="845"/>
        <v>0.56817663274042696</v>
      </c>
      <c r="AN149" s="161">
        <f t="shared" si="845"/>
        <v>1.9240292245496957</v>
      </c>
      <c r="AO149" s="254">
        <f t="shared" si="845"/>
        <v>0.59570157276069691</v>
      </c>
      <c r="AP149" s="161">
        <f t="shared" si="845"/>
        <v>0.35483846050443391</v>
      </c>
      <c r="AQ149" s="161">
        <f t="shared" si="845"/>
        <v>0.39779316440610191</v>
      </c>
      <c r="AR149" s="161">
        <f t="shared" si="845"/>
        <v>0.38478104643967459</v>
      </c>
      <c r="AS149" s="161">
        <f t="shared" si="845"/>
        <v>0.24563161341102169</v>
      </c>
      <c r="AT149" s="254">
        <f t="shared" si="845"/>
        <v>0.34880460758891307</v>
      </c>
      <c r="AU149" s="161">
        <f t="shared" si="845"/>
        <v>0.35242316005237329</v>
      </c>
      <c r="AV149" s="161">
        <f t="shared" si="845"/>
        <v>0.1652094031152036</v>
      </c>
      <c r="AW149" s="161">
        <f t="shared" si="845"/>
        <v>-3.0497978054352504E-2</v>
      </c>
      <c r="AX149" s="161">
        <f t="shared" si="845"/>
        <v>-7.3951423423541995E-2</v>
      </c>
      <c r="AY149" s="254">
        <f t="shared" si="845"/>
        <v>8.1411616363708195E-2</v>
      </c>
      <c r="AZ149" s="161">
        <f t="shared" si="845"/>
        <v>1.6008833768818898E-2</v>
      </c>
      <c r="BA149" s="161">
        <f t="shared" si="845"/>
        <v>0.23197159694643377</v>
      </c>
      <c r="BB149" s="161">
        <f t="shared" si="845"/>
        <v>0.46437214991704767</v>
      </c>
      <c r="BC149" s="161">
        <f t="shared" si="845"/>
        <v>0.63524740291403892</v>
      </c>
      <c r="BD149" s="254">
        <f t="shared" si="845"/>
        <v>0.33082217780634537</v>
      </c>
      <c r="BE149" s="161">
        <f t="shared" si="845"/>
        <v>0.23705999040234382</v>
      </c>
      <c r="BF149" s="161">
        <f t="shared" si="845"/>
        <v>-9.4002393302673792E-2</v>
      </c>
      <c r="BG149" s="161">
        <f t="shared" si="845"/>
        <v>-0.19133892670306474</v>
      </c>
      <c r="BH149" s="161">
        <f t="shared" si="845"/>
        <v>-0.59000469154687085</v>
      </c>
      <c r="BI149" s="254">
        <f t="shared" si="845"/>
        <v>-0.1928708781469779</v>
      </c>
      <c r="BJ149" s="161">
        <f t="shared" si="845"/>
        <v>-0.8239880236058299</v>
      </c>
      <c r="BK149" s="161">
        <f t="shared" si="845"/>
        <v>-0.52316899364420011</v>
      </c>
      <c r="BL149" s="161">
        <f t="shared" si="845"/>
        <v>-0.66454563882523854</v>
      </c>
      <c r="BM149" s="161">
        <f t="shared" si="845"/>
        <v>-0.33693344207321962</v>
      </c>
      <c r="BN149" s="254">
        <f t="shared" si="845"/>
        <v>-0.61297226832199403</v>
      </c>
      <c r="BO149" s="161">
        <f t="shared" si="845"/>
        <v>0.12611967766802334</v>
      </c>
      <c r="BP149" s="161">
        <f t="shared" si="845"/>
        <v>0.21555100052642406</v>
      </c>
      <c r="BQ149" s="161">
        <f t="shared" si="845"/>
        <v>1.0421691189675197</v>
      </c>
      <c r="BR149" s="161">
        <f t="shared" si="845"/>
        <v>0.51896156467257315</v>
      </c>
      <c r="BS149" s="254">
        <f>BS148/BN148-1</f>
        <v>0.4821309376453744</v>
      </c>
      <c r="BT149" s="161">
        <f t="shared" si="845"/>
        <v>0.47087482660138602</v>
      </c>
      <c r="BU149" s="161">
        <f t="shared" si="845"/>
        <v>0.2121642157297523</v>
      </c>
      <c r="BV149" s="161">
        <f t="shared" si="845"/>
        <v>0.14337996096291472</v>
      </c>
      <c r="BW149" s="161">
        <f t="shared" si="845"/>
        <v>-0.13064221551306421</v>
      </c>
      <c r="BX149" s="254">
        <f>BX148/BS148-1</f>
        <v>0.13429243451106987</v>
      </c>
      <c r="BY149" s="161">
        <f t="shared" si="845"/>
        <v>0.22720888551911234</v>
      </c>
      <c r="BZ149" s="161">
        <f t="shared" si="845"/>
        <v>0.18984538653366601</v>
      </c>
      <c r="CA149" s="161">
        <f t="shared" si="845"/>
        <v>0.31876191873258053</v>
      </c>
      <c r="CB149" s="161">
        <f t="shared" si="845"/>
        <v>0.44111081932773111</v>
      </c>
      <c r="CC149" s="254">
        <f>CC148/BX148-1</f>
        <v>0.28026279484806293</v>
      </c>
      <c r="CD149" s="161">
        <f t="shared" si="845"/>
        <v>0.55009903193501519</v>
      </c>
      <c r="CE149" s="161">
        <f t="shared" si="845"/>
        <v>0.81507015359070056</v>
      </c>
      <c r="CF149" s="161">
        <f t="shared" si="845"/>
        <v>-3.1965738084948181E-2</v>
      </c>
      <c r="CG149" s="161">
        <f t="shared" si="845"/>
        <v>0.18460206824290371</v>
      </c>
      <c r="CH149" s="254">
        <f>CH148/CC148-1</f>
        <v>0.36122370305150153</v>
      </c>
      <c r="CI149" s="161">
        <f t="shared" si="845"/>
        <v>-0.51871042026482383</v>
      </c>
      <c r="CJ149" s="161">
        <f t="shared" si="845"/>
        <v>-0.2433969185619953</v>
      </c>
      <c r="CK149" s="161">
        <f t="shared" si="845"/>
        <v>0.14133209877825847</v>
      </c>
      <c r="CL149" s="161">
        <f t="shared" si="845"/>
        <v>-2.8786836436626162E-3</v>
      </c>
      <c r="CM149" s="254">
        <f>CM148/CH148-1</f>
        <v>-0.13565781596628401</v>
      </c>
      <c r="CN149" s="161">
        <f t="shared" si="845"/>
        <v>0.46457765667574913</v>
      </c>
      <c r="CO149" s="161">
        <f t="shared" si="845"/>
        <v>-0.34328358208955223</v>
      </c>
      <c r="CP149" s="161">
        <f t="shared" si="845"/>
        <v>-0.56095282578234462</v>
      </c>
      <c r="CQ149" s="161">
        <f t="shared" si="845"/>
        <v>-0.29695557626592106</v>
      </c>
      <c r="CR149" s="311">
        <f t="shared" ref="CR149:CW149" si="846">CR148/CM148-1</f>
        <v>-0.36172941857553653</v>
      </c>
      <c r="CS149" s="161">
        <f t="shared" si="845"/>
        <v>-0.9297687284439401</v>
      </c>
      <c r="CT149" s="161">
        <f t="shared" si="845"/>
        <v>-0.1926652152818128</v>
      </c>
      <c r="CU149" s="161">
        <f t="shared" si="846"/>
        <v>-0.55156509253561725</v>
      </c>
      <c r="CV149" s="161">
        <f t="shared" si="846"/>
        <v>0.29014059568072215</v>
      </c>
      <c r="CW149" s="311">
        <f t="shared" si="846"/>
        <v>-0.28045244771209399</v>
      </c>
      <c r="CX149" s="161">
        <f t="shared" ref="CX149:DK149" si="847">CX148/CS148-1</f>
        <v>1.3198606386047462</v>
      </c>
      <c r="CY149" s="161">
        <f t="shared" si="847"/>
        <v>1.4649423154236882</v>
      </c>
      <c r="CZ149" s="161">
        <f t="shared" si="847"/>
        <v>5.3549459126782857</v>
      </c>
      <c r="DA149" s="161">
        <f t="shared" si="847"/>
        <v>7.9620404144065793E-2</v>
      </c>
      <c r="DB149" s="311">
        <f t="shared" si="847"/>
        <v>1.532862285220562</v>
      </c>
      <c r="DC149" s="161">
        <f>DC148/CX148-1</f>
        <v>-2.153502946163568</v>
      </c>
      <c r="DD149" s="161">
        <f>DD148/CY148-1</f>
        <v>-0.48664134175773532</v>
      </c>
      <c r="DE149" s="161">
        <f>DE148/CZ148-1</f>
        <v>-0.42342991952537512</v>
      </c>
      <c r="DF149" s="161">
        <f t="shared" si="847"/>
        <v>-0.25474173602187034</v>
      </c>
      <c r="DG149" s="311">
        <f t="shared" si="847"/>
        <v>-0.45149371191972643</v>
      </c>
      <c r="DH149" s="161">
        <f t="shared" si="847"/>
        <v>1.0000833271905218</v>
      </c>
      <c r="DI149" s="161">
        <f t="shared" si="847"/>
        <v>1.1382476598445188</v>
      </c>
      <c r="DJ149" s="161">
        <f t="shared" si="847"/>
        <v>-0.14904740806380146</v>
      </c>
      <c r="DK149" s="161">
        <f t="shared" si="847"/>
        <v>4.7980207657365437E-2</v>
      </c>
      <c r="DL149" s="311">
        <f t="shared" ref="DL149:DT149" si="848">DL148/DG148-1</f>
        <v>0.40818009411292366</v>
      </c>
      <c r="DM149" s="161">
        <f t="shared" si="848"/>
        <v>-4.3106238368800067</v>
      </c>
      <c r="DN149" s="161">
        <f t="shared" si="848"/>
        <v>6.203368582809321E-2</v>
      </c>
      <c r="DO149" s="161">
        <f t="shared" si="848"/>
        <v>1.5966041730102805</v>
      </c>
      <c r="DP149" s="161">
        <f t="shared" si="848"/>
        <v>2.738202391667738</v>
      </c>
      <c r="DQ149" s="311">
        <f t="shared" si="848"/>
        <v>1.0150915240748111</v>
      </c>
      <c r="DR149" s="161">
        <f t="shared" si="848"/>
        <v>1.5028155106615784</v>
      </c>
      <c r="DS149" s="161">
        <f t="shared" si="848"/>
        <v>0.82803855170617346</v>
      </c>
      <c r="DT149" s="161">
        <f t="shared" si="848"/>
        <v>0.62845199794285445</v>
      </c>
      <c r="DU149" s="161">
        <f>DU148/DP148-1</f>
        <v>0.76117282355980387</v>
      </c>
      <c r="DV149" s="311">
        <f>DV148/DQ148-1</f>
        <v>0.73853779429987632</v>
      </c>
      <c r="DW149" s="161">
        <f>DW148/DR148-1</f>
        <v>2.6323171702016412</v>
      </c>
      <c r="DX149" s="161">
        <f>DX148/DS148-1</f>
        <v>0.47676089495471996</v>
      </c>
      <c r="DY149" s="161">
        <f>DY148/DT148-1</f>
        <v>0.69804945476885272</v>
      </c>
      <c r="DZ149" s="161">
        <f t="shared" ref="DZ149:EA149" si="849">DZ148/DU148-1</f>
        <v>0.52857573020174642</v>
      </c>
      <c r="EA149" s="311">
        <f t="shared" si="849"/>
        <v>0.80666389097835545</v>
      </c>
      <c r="EB149" s="161">
        <f>EB148/DW148-1</f>
        <v>0.32257183437124448</v>
      </c>
      <c r="EC149" s="161">
        <f>EC148/DX148-1</f>
        <v>0.15365862483830428</v>
      </c>
      <c r="ED149" s="161">
        <f>ED148/DY148-1</f>
        <v>-8.900000000000019E-3</v>
      </c>
      <c r="EE149" s="161">
        <f t="shared" ref="EE149" si="850">EE148/DZ148-1</f>
        <v>-0.17204160682421554</v>
      </c>
      <c r="EF149" s="311">
        <f t="shared" ref="EF149" si="851">EF148/EA148-1</f>
        <v>6.1480324128286412E-2</v>
      </c>
      <c r="EG149" s="161">
        <f>EG148/EB148-1</f>
        <v>-0.30880396384823594</v>
      </c>
      <c r="EH149" s="161">
        <f>EH148/EC148-1</f>
        <v>4.2264331974094516E-2</v>
      </c>
      <c r="EI149" s="161">
        <f>EI148/ED148-1</f>
        <v>-5.344860225910264E-2</v>
      </c>
      <c r="EJ149" s="161">
        <f t="shared" ref="EJ149" si="852">EJ148/EE148-1</f>
        <v>3.4188871473354254E-2</v>
      </c>
      <c r="EK149" s="509">
        <f t="shared" ref="EK149" si="853">EK148/EF148-1</f>
        <v>-6.7165119554059571E-2</v>
      </c>
      <c r="EL149" s="161"/>
      <c r="EM149" s="161"/>
      <c r="EN149" s="161"/>
      <c r="EO149" s="161"/>
      <c r="EP149" s="509"/>
      <c r="EQ149" s="161">
        <f>EQ148/EL148-1</f>
        <v>0.27040638781209436</v>
      </c>
      <c r="ER149" s="161">
        <f>ER148/EM148-1</f>
        <v>0.25379912553031203</v>
      </c>
      <c r="ES149" s="161">
        <f>ES148/EN148-1</f>
        <v>0.41644932471577123</v>
      </c>
      <c r="ET149" s="161">
        <f>ET148/EO148-1</f>
        <v>0.61753518367983817</v>
      </c>
      <c r="EU149" s="311">
        <f>EU148/EP148-1</f>
        <v>0.37718175226135808</v>
      </c>
      <c r="EV149" s="161"/>
      <c r="EW149" s="161"/>
      <c r="EX149" s="161"/>
      <c r="EY149" s="161"/>
      <c r="EZ149" s="509">
        <f>EZ148/EU148-1</f>
        <v>0.25175072584112312</v>
      </c>
      <c r="FA149" s="161"/>
      <c r="FB149" s="161"/>
      <c r="FC149" s="161"/>
      <c r="FD149" s="161"/>
      <c r="FE149" s="509">
        <f>FE148/EZ148-1</f>
        <v>0.23568328922590553</v>
      </c>
      <c r="FF149" s="222"/>
      <c r="FG149" s="461"/>
      <c r="FL149" s="417"/>
      <c r="FM149" s="417"/>
      <c r="FN149" s="600"/>
      <c r="FO149" s="602"/>
      <c r="FP149" s="604"/>
      <c r="FR149" s="379"/>
      <c r="FS149" s="379"/>
      <c r="FT149" s="478"/>
    </row>
    <row r="150" spans="1:184" ht="12.75" customHeight="1" x14ac:dyDescent="0.2">
      <c r="A150" s="70" t="s">
        <v>296</v>
      </c>
      <c r="B150" s="831">
        <v>43.625</v>
      </c>
      <c r="C150" s="831">
        <f>C151</f>
        <v>45</v>
      </c>
      <c r="D150" s="831">
        <f>D151</f>
        <v>42.686999999999998</v>
      </c>
      <c r="E150" s="831">
        <f>F150</f>
        <v>61.237272727272689</v>
      </c>
      <c r="F150" s="274">
        <f>F143/F145</f>
        <v>61.237272727272689</v>
      </c>
      <c r="G150" s="831">
        <v>42.164000000000001</v>
      </c>
      <c r="H150" s="831">
        <v>42.896999999999998</v>
      </c>
      <c r="I150" s="831">
        <f>I151</f>
        <v>42.933999999999997</v>
      </c>
      <c r="J150" s="831">
        <f>K150</f>
        <v>22.727499999999726</v>
      </c>
      <c r="K150" s="274">
        <f>K143/K145</f>
        <v>22.727499999999726</v>
      </c>
      <c r="L150" s="831">
        <f>L151</f>
        <v>90.638999999999996</v>
      </c>
      <c r="M150" s="831">
        <v>142.00200000000001</v>
      </c>
      <c r="N150" s="831">
        <v>142.56299999999999</v>
      </c>
      <c r="O150" s="831">
        <f>P150</f>
        <v>99.939436619718265</v>
      </c>
      <c r="P150" s="274">
        <f>P143/P145</f>
        <v>99.939436619718265</v>
      </c>
      <c r="Q150" s="831">
        <f>Q151</f>
        <v>95.427000000000007</v>
      </c>
      <c r="R150" s="831">
        <v>143.471</v>
      </c>
      <c r="S150" s="831">
        <v>143.49</v>
      </c>
      <c r="T150" s="831">
        <f>U150</f>
        <v>113.08952380952398</v>
      </c>
      <c r="U150" s="274">
        <f>U143/U145</f>
        <v>113.08952380952398</v>
      </c>
      <c r="V150" s="831">
        <v>747.2</v>
      </c>
      <c r="W150" s="831">
        <v>746.1</v>
      </c>
      <c r="X150" s="831">
        <v>745.8</v>
      </c>
      <c r="Y150" s="831">
        <v>743.8</v>
      </c>
      <c r="Z150" s="274">
        <f>Z143/Z145</f>
        <v>745.99650508184607</v>
      </c>
      <c r="AA150" s="831">
        <v>741.8</v>
      </c>
      <c r="AB150" s="831">
        <v>745.9</v>
      </c>
      <c r="AC150" s="831">
        <v>767.7</v>
      </c>
      <c r="AD150" s="831">
        <v>758.7</v>
      </c>
      <c r="AE150" s="274">
        <f>AE143/AE145</f>
        <v>757.25054829795556</v>
      </c>
      <c r="AF150" s="831">
        <f>152.403*5.06</f>
        <v>771.15917999999988</v>
      </c>
      <c r="AG150" s="831">
        <f>153.675*5.06</f>
        <v>777.59550000000002</v>
      </c>
      <c r="AH150" s="831">
        <f>150.808*5.06</f>
        <v>763.08847999999989</v>
      </c>
      <c r="AI150" s="831">
        <v>761.8</v>
      </c>
      <c r="AJ150" s="274">
        <f>AJ143/AJ145</f>
        <v>770.10626656898739</v>
      </c>
      <c r="AK150" s="831">
        <v>735.7</v>
      </c>
      <c r="AL150" s="831">
        <v>737.1</v>
      </c>
      <c r="AM150" s="831">
        <v>739.7</v>
      </c>
      <c r="AN150" s="831">
        <v>745.2</v>
      </c>
      <c r="AO150" s="274">
        <f>AO143/AO145</f>
        <v>739.66965361392943</v>
      </c>
      <c r="AP150" s="831">
        <v>750.09375</v>
      </c>
      <c r="AQ150" s="831">
        <v>753.24599999999998</v>
      </c>
      <c r="AR150" s="831">
        <v>750.01949999999999</v>
      </c>
      <c r="AS150" s="831">
        <v>746.7645</v>
      </c>
      <c r="AT150" s="274">
        <f>AT143/AT145</f>
        <v>750.26314521834786</v>
      </c>
      <c r="AU150" s="831">
        <v>751.73099999999999</v>
      </c>
      <c r="AV150" s="831">
        <v>755.29650000000004</v>
      </c>
      <c r="AW150" s="831">
        <v>756.32100000000003</v>
      </c>
      <c r="AX150" s="831">
        <v>754.98749999999995</v>
      </c>
      <c r="AY150" s="274">
        <f>AY143/AY145</f>
        <v>754.78576484813698</v>
      </c>
      <c r="AZ150" s="831">
        <v>745.73599999999999</v>
      </c>
      <c r="BA150" s="831">
        <v>745.9425</v>
      </c>
      <c r="BB150" s="831">
        <v>748.64850000000001</v>
      </c>
      <c r="BC150" s="831">
        <v>754.08299999999997</v>
      </c>
      <c r="BD150" s="274">
        <f>BD143/BD145</f>
        <v>748.70785202651689</v>
      </c>
      <c r="BE150" s="831">
        <v>760.22500000000002</v>
      </c>
      <c r="BF150" s="831">
        <v>762.13900000000001</v>
      </c>
      <c r="BG150" s="831">
        <v>763.81100000000004</v>
      </c>
      <c r="BH150" s="831">
        <v>765.64599999999996</v>
      </c>
      <c r="BI150" s="274">
        <f>BI143/BI145</f>
        <v>762.61134416449477</v>
      </c>
      <c r="BJ150" s="831">
        <v>769.36900000000003</v>
      </c>
      <c r="BK150" s="831">
        <v>772.01199999999994</v>
      </c>
      <c r="BL150" s="831">
        <v>773.35299999999995</v>
      </c>
      <c r="BM150" s="831">
        <v>775.41700000000003</v>
      </c>
      <c r="BN150" s="274">
        <f>BN143/BN145</f>
        <v>772.79241297002011</v>
      </c>
      <c r="BO150" s="831">
        <v>778</v>
      </c>
      <c r="BP150" s="831">
        <v>780</v>
      </c>
      <c r="BQ150" s="831">
        <v>784</v>
      </c>
      <c r="BR150" s="831">
        <v>788</v>
      </c>
      <c r="BS150" s="274">
        <f>BS143/BS145</f>
        <v>783.00435878317387</v>
      </c>
      <c r="BT150" s="831">
        <v>785</v>
      </c>
      <c r="BU150" s="831">
        <v>784</v>
      </c>
      <c r="BV150" s="831">
        <v>781</v>
      </c>
      <c r="BW150" s="831">
        <v>782</v>
      </c>
      <c r="BX150" s="274">
        <f>BX143/BX145</f>
        <v>782.7062892126952</v>
      </c>
      <c r="BY150" s="831">
        <v>784</v>
      </c>
      <c r="BZ150" s="831">
        <v>786</v>
      </c>
      <c r="CA150" s="831">
        <v>789</v>
      </c>
      <c r="CB150" s="831">
        <v>797</v>
      </c>
      <c r="CC150" s="274">
        <f>AVERAGE(BY150:CB150)</f>
        <v>789</v>
      </c>
      <c r="CD150" s="831">
        <v>803</v>
      </c>
      <c r="CE150" s="831">
        <v>798</v>
      </c>
      <c r="CF150" s="831">
        <v>789</v>
      </c>
      <c r="CG150" s="831">
        <v>790</v>
      </c>
      <c r="CH150" s="274">
        <f>AVERAGE(CD150:CG150)</f>
        <v>795</v>
      </c>
      <c r="CI150" s="831">
        <v>786</v>
      </c>
      <c r="CJ150" s="831">
        <v>769</v>
      </c>
      <c r="CK150" s="831">
        <v>739</v>
      </c>
      <c r="CL150" s="831">
        <v>734</v>
      </c>
      <c r="CM150" s="274">
        <f>AVERAGE(CI150:CL150)</f>
        <v>757</v>
      </c>
      <c r="CN150" s="831">
        <v>733</v>
      </c>
      <c r="CO150" s="831">
        <v>732</v>
      </c>
      <c r="CP150" s="831">
        <v>736</v>
      </c>
      <c r="CQ150" s="831">
        <v>740</v>
      </c>
      <c r="CR150" s="102">
        <v>734</v>
      </c>
      <c r="CS150" s="831">
        <v>778.464788</v>
      </c>
      <c r="CT150" s="831">
        <v>779.56975499999999</v>
      </c>
      <c r="CU150" s="831">
        <v>780.67472199999997</v>
      </c>
      <c r="CV150" s="831">
        <v>784.98478899999998</v>
      </c>
      <c r="CW150" s="102">
        <v>779.68330400000002</v>
      </c>
      <c r="CX150" s="831">
        <v>786.343346</v>
      </c>
      <c r="CY150" s="831">
        <v>788.43739900000003</v>
      </c>
      <c r="CZ150" s="831">
        <v>789.47752400000002</v>
      </c>
      <c r="DA150" s="831">
        <v>790.51604399999997</v>
      </c>
      <c r="DB150" s="102">
        <f>AVERAGE(CX150:DA150)</f>
        <v>788.69357824999997</v>
      </c>
      <c r="DC150" s="831">
        <v>791.65086399999996</v>
      </c>
      <c r="DD150" s="831">
        <v>780</v>
      </c>
      <c r="DE150" s="831">
        <v>792</v>
      </c>
      <c r="DF150" s="831">
        <v>777</v>
      </c>
      <c r="DG150" s="102">
        <f>AVERAGE(DC150:DF150)</f>
        <v>785.16271600000005</v>
      </c>
      <c r="DH150" s="831">
        <v>771</v>
      </c>
      <c r="DI150" s="831">
        <v>757</v>
      </c>
      <c r="DJ150" s="831">
        <v>739</v>
      </c>
      <c r="DK150" s="831">
        <v>735</v>
      </c>
      <c r="DL150" s="102">
        <f>AVERAGE(DH150:DK150)</f>
        <v>750.5</v>
      </c>
      <c r="DM150" s="831">
        <v>725</v>
      </c>
      <c r="DN150" s="831">
        <v>714</v>
      </c>
      <c r="DO150" s="831">
        <v>703</v>
      </c>
      <c r="DP150" s="831">
        <v>699</v>
      </c>
      <c r="DQ150" s="102">
        <f>AVERAGE(DM150:DP150)</f>
        <v>710.25</v>
      </c>
      <c r="DR150" s="831">
        <v>698</v>
      </c>
      <c r="DS150" s="831">
        <v>690</v>
      </c>
      <c r="DT150" s="831">
        <v>683</v>
      </c>
      <c r="DU150" s="831">
        <v>677</v>
      </c>
      <c r="DV150" s="102">
        <f>AVERAGE(DR150:DU150)</f>
        <v>687</v>
      </c>
      <c r="DW150" s="831">
        <v>674</v>
      </c>
      <c r="DX150" s="831">
        <v>665</v>
      </c>
      <c r="DY150" s="831">
        <v>655</v>
      </c>
      <c r="DZ150" s="831">
        <v>648</v>
      </c>
      <c r="EA150" s="102">
        <f>AVERAGE(DW150:DZ150)</f>
        <v>660.5</v>
      </c>
      <c r="EB150" s="831">
        <v>641</v>
      </c>
      <c r="EC150" s="831">
        <v>632</v>
      </c>
      <c r="ED150" s="831">
        <v>618</v>
      </c>
      <c r="EE150" s="831">
        <v>617</v>
      </c>
      <c r="EF150" s="102">
        <f>AVERAGE(EB150:EE150)</f>
        <v>627</v>
      </c>
      <c r="EG150" s="831">
        <v>613</v>
      </c>
      <c r="EH150" s="831">
        <v>604</v>
      </c>
      <c r="EI150" s="831">
        <v>597</v>
      </c>
      <c r="EJ150" s="831">
        <v>592</v>
      </c>
      <c r="EK150" s="102">
        <f>AVERAGE(EG150:EJ150)</f>
        <v>601.5</v>
      </c>
      <c r="EL150" s="831">
        <v>613</v>
      </c>
      <c r="EM150" s="831">
        <v>604</v>
      </c>
      <c r="EN150" s="831">
        <v>597</v>
      </c>
      <c r="EO150" s="831">
        <v>592</v>
      </c>
      <c r="EP150" s="102">
        <f>AVERAGE(EL150:EO150)</f>
        <v>601.5</v>
      </c>
      <c r="EQ150" s="29">
        <f>EQ151-(EO151-EO150)</f>
        <v>581.60500000000002</v>
      </c>
      <c r="ER150" s="29">
        <f>ER151-(EQ151-EQ150)</f>
        <v>571.39191249999999</v>
      </c>
      <c r="ES150" s="29">
        <f t="shared" ref="ES150" si="854">ES151-(ER151-ER150)</f>
        <v>561.35755403125006</v>
      </c>
      <c r="ET150" s="29">
        <f>ET151-(ES151-ES150)</f>
        <v>551.49879683570316</v>
      </c>
      <c r="EU150" s="102">
        <f>AVERAGE(EQ150:ET150)</f>
        <v>566.46331584173834</v>
      </c>
      <c r="EV150" s="29"/>
      <c r="EW150" s="29"/>
      <c r="EX150" s="29"/>
      <c r="EY150" s="29"/>
      <c r="EZ150" s="274">
        <f>EZ151-(EU151-EU150)</f>
        <v>523.82856715360799</v>
      </c>
      <c r="FA150" s="29"/>
      <c r="FB150" s="29"/>
      <c r="FC150" s="29"/>
      <c r="FD150" s="29"/>
      <c r="FE150" s="274">
        <f>FE151-(EZ151-EZ150)</f>
        <v>484.39142461708741</v>
      </c>
      <c r="FF150" s="70"/>
      <c r="FG150" s="462"/>
      <c r="FL150" s="428"/>
      <c r="FM150" s="428"/>
      <c r="FN150" s="599"/>
      <c r="FO150" s="601"/>
      <c r="FP150" s="387"/>
      <c r="FQ150" s="387"/>
      <c r="FR150" s="387"/>
      <c r="FS150" s="387"/>
      <c r="FT150" s="462"/>
    </row>
    <row r="151" spans="1:184" ht="12.75" customHeight="1" x14ac:dyDescent="0.2">
      <c r="A151" s="70" t="s">
        <v>421</v>
      </c>
      <c r="B151" s="831">
        <f>B150</f>
        <v>43.625</v>
      </c>
      <c r="C151" s="831">
        <v>45</v>
      </c>
      <c r="D151" s="831">
        <v>42.686999999999998</v>
      </c>
      <c r="E151" s="831">
        <f>E150</f>
        <v>61.237272727272689</v>
      </c>
      <c r="F151" s="274">
        <f>F143/F148</f>
        <v>61.237272727272689</v>
      </c>
      <c r="G151" s="831">
        <f>G150</f>
        <v>42.164000000000001</v>
      </c>
      <c r="H151" s="831">
        <f>H150</f>
        <v>42.896999999999998</v>
      </c>
      <c r="I151" s="831">
        <v>42.933999999999997</v>
      </c>
      <c r="J151" s="831">
        <f>J150</f>
        <v>22.727499999999726</v>
      </c>
      <c r="K151" s="274">
        <f>K143/K148</f>
        <v>22.727499999999726</v>
      </c>
      <c r="L151" s="831">
        <v>90.638999999999996</v>
      </c>
      <c r="M151" s="831">
        <f>M150*1.003</f>
        <v>142.42800599999998</v>
      </c>
      <c r="N151" s="831">
        <f>N150*1.003</f>
        <v>142.99068899999997</v>
      </c>
      <c r="O151" s="831">
        <f>O150</f>
        <v>99.939436619718265</v>
      </c>
      <c r="P151" s="274">
        <f>P143/P148</f>
        <v>99.939436619718265</v>
      </c>
      <c r="Q151" s="831">
        <v>95.427000000000007</v>
      </c>
      <c r="R151" s="831">
        <f>R150*1.003</f>
        <v>143.90141299999999</v>
      </c>
      <c r="S151" s="831">
        <v>143.9</v>
      </c>
      <c r="T151" s="831">
        <f>T150</f>
        <v>113.08952380952398</v>
      </c>
      <c r="U151" s="274">
        <f>U143/U148</f>
        <v>113.08952380952398</v>
      </c>
      <c r="V151" s="831">
        <f>V150/0.941</f>
        <v>794.04888416578115</v>
      </c>
      <c r="W151" s="831">
        <f>W150/0.941</f>
        <v>792.87991498405961</v>
      </c>
      <c r="X151" s="831">
        <f>X150/0.941</f>
        <v>792.56110520722632</v>
      </c>
      <c r="Y151" s="831">
        <f>Y150/0.941</f>
        <v>790.43570669500536</v>
      </c>
      <c r="Z151" s="274">
        <f>Z143/Z148</f>
        <v>792.76993101152618</v>
      </c>
      <c r="AA151" s="831">
        <f>AA150/0.941</f>
        <v>788.3103081827843</v>
      </c>
      <c r="AB151" s="831">
        <f>AB150/0.941</f>
        <v>792.66737513283738</v>
      </c>
      <c r="AC151" s="831">
        <f>AC150/0.941</f>
        <v>815.83421891604689</v>
      </c>
      <c r="AD151" s="831">
        <f>AD150/0.941</f>
        <v>806.26992561105214</v>
      </c>
      <c r="AE151" s="274">
        <f>AE143/AE148</f>
        <v>804.72959436552139</v>
      </c>
      <c r="AF151" s="831">
        <f>AF150/0.941</f>
        <v>819.51028692879902</v>
      </c>
      <c r="AG151" s="831">
        <f>AG150/0.941</f>
        <v>826.35015940488847</v>
      </c>
      <c r="AH151" s="831">
        <f>AH150/0.941</f>
        <v>810.93356004250791</v>
      </c>
      <c r="AI151" s="831">
        <f>AI150/0.941</f>
        <v>809.56429330499464</v>
      </c>
      <c r="AJ151" s="274">
        <f>AJ143/AJ148</f>
        <v>818.39135660891316</v>
      </c>
      <c r="AK151" s="831">
        <f>AK150/0.941</f>
        <v>781.82784272051015</v>
      </c>
      <c r="AL151" s="831">
        <f>AL150/0.941</f>
        <v>783.31562167906486</v>
      </c>
      <c r="AM151" s="831">
        <f>AM150/0.941</f>
        <v>786.07863974495228</v>
      </c>
      <c r="AN151" s="831">
        <f>AN150/0.941</f>
        <v>791.92348565356008</v>
      </c>
      <c r="AO151" s="274">
        <f>AO143/AO148</f>
        <v>786.04639066304935</v>
      </c>
      <c r="AP151" s="831">
        <v>794.10037499999999</v>
      </c>
      <c r="AQ151" s="831">
        <v>796.66537500000004</v>
      </c>
      <c r="AR151" s="831">
        <v>795.51299999999992</v>
      </c>
      <c r="AS151" s="831">
        <v>792.26400000000012</v>
      </c>
      <c r="AT151" s="274">
        <f>AT143/AT148</f>
        <v>794.88349525782041</v>
      </c>
      <c r="AU151" s="831">
        <v>803.8845</v>
      </c>
      <c r="AV151" s="831">
        <v>808.58849999999995</v>
      </c>
      <c r="AW151" s="831">
        <v>803.65800000000013</v>
      </c>
      <c r="AX151" s="831">
        <v>799.37699999999995</v>
      </c>
      <c r="AY151" s="274">
        <f>AY143/AY148</f>
        <v>804.48327381493107</v>
      </c>
      <c r="AZ151" s="831">
        <v>789.53399999999999</v>
      </c>
      <c r="BA151" s="831">
        <v>793.06949999999995</v>
      </c>
      <c r="BB151" s="831">
        <v>796.548</v>
      </c>
      <c r="BC151" s="831">
        <v>806.05499999999995</v>
      </c>
      <c r="BD151" s="274">
        <f>BD143/BD148</f>
        <v>796.72434934938769</v>
      </c>
      <c r="BE151" s="831">
        <v>807.74400000000003</v>
      </c>
      <c r="BF151" s="831">
        <v>806.524</v>
      </c>
      <c r="BG151" s="831">
        <v>806.86</v>
      </c>
      <c r="BH151" s="831">
        <v>807.25900000000001</v>
      </c>
      <c r="BI151" s="274">
        <f>BI143/BI148</f>
        <v>807.00318455993681</v>
      </c>
      <c r="BJ151" s="831">
        <v>810.76300000000003</v>
      </c>
      <c r="BK151" s="831">
        <v>809.40099999999995</v>
      </c>
      <c r="BL151" s="831">
        <v>804.60500000000002</v>
      </c>
      <c r="BM151" s="831">
        <v>812.83699999999999</v>
      </c>
      <c r="BN151" s="274">
        <f>BN143/BN148</f>
        <v>809.05074025737702</v>
      </c>
      <c r="BO151" s="831">
        <v>808</v>
      </c>
      <c r="BP151" s="831">
        <v>820</v>
      </c>
      <c r="BQ151" s="831">
        <v>827</v>
      </c>
      <c r="BR151" s="831">
        <v>833</v>
      </c>
      <c r="BS151" s="274">
        <f>BS143/BS148</f>
        <v>824.32334951903192</v>
      </c>
      <c r="BT151" s="831">
        <v>817</v>
      </c>
      <c r="BU151" s="831">
        <v>817</v>
      </c>
      <c r="BV151" s="831">
        <v>812</v>
      </c>
      <c r="BW151" s="831">
        <v>813</v>
      </c>
      <c r="BX151" s="274">
        <f>BX143/BX148</f>
        <v>814.55343090802876</v>
      </c>
      <c r="BY151" s="831">
        <v>802</v>
      </c>
      <c r="BZ151" s="831">
        <v>802</v>
      </c>
      <c r="CA151" s="831">
        <v>802</v>
      </c>
      <c r="CB151" s="831">
        <v>816</v>
      </c>
      <c r="CC151" s="274">
        <f>AVERAGE(BY151:CB151)</f>
        <v>805.5</v>
      </c>
      <c r="CD151" s="831">
        <v>836</v>
      </c>
      <c r="CE151" s="831">
        <v>825</v>
      </c>
      <c r="CF151" s="831">
        <v>821</v>
      </c>
      <c r="CG151" s="831">
        <v>813</v>
      </c>
      <c r="CH151" s="274">
        <v>824</v>
      </c>
      <c r="CI151" s="831">
        <v>800</v>
      </c>
      <c r="CJ151" s="831">
        <v>780</v>
      </c>
      <c r="CK151" s="831">
        <v>752</v>
      </c>
      <c r="CL151" s="831">
        <v>742</v>
      </c>
      <c r="CM151" s="274">
        <f>CM143/CM148</f>
        <v>764.48023059591821</v>
      </c>
      <c r="CN151" s="831">
        <v>734</v>
      </c>
      <c r="CO151" s="831">
        <v>737</v>
      </c>
      <c r="CP151" s="831">
        <v>736</v>
      </c>
      <c r="CQ151" s="831">
        <v>740</v>
      </c>
      <c r="CR151" s="102">
        <v>742</v>
      </c>
      <c r="CS151" s="831">
        <v>784.32496400000002</v>
      </c>
      <c r="CT151" s="831">
        <v>785.98237200000005</v>
      </c>
      <c r="CU151" s="831">
        <v>787.140625</v>
      </c>
      <c r="CV151" s="831">
        <v>790.92104199999994</v>
      </c>
      <c r="CW151" s="102">
        <v>787.82899999999995</v>
      </c>
      <c r="CX151" s="831">
        <v>787.343346</v>
      </c>
      <c r="CY151" s="831">
        <v>801.446009</v>
      </c>
      <c r="CZ151" s="831">
        <v>802.51727100000005</v>
      </c>
      <c r="DA151" s="831">
        <v>793.89803400000005</v>
      </c>
      <c r="DB151" s="102">
        <v>796.15189999999996</v>
      </c>
      <c r="DC151" s="831">
        <f>DC150</f>
        <v>791.65086399999996</v>
      </c>
      <c r="DD151" s="831">
        <v>787</v>
      </c>
      <c r="DE151" s="831">
        <v>792</v>
      </c>
      <c r="DF151" s="831">
        <v>783</v>
      </c>
      <c r="DG151" s="102">
        <f>AVERAGE(DC151:DF151)</f>
        <v>788.41271600000005</v>
      </c>
      <c r="DH151" s="831">
        <v>772</v>
      </c>
      <c r="DI151" s="831">
        <v>764</v>
      </c>
      <c r="DJ151" s="831">
        <v>740</v>
      </c>
      <c r="DK151" s="831">
        <v>736</v>
      </c>
      <c r="DL151" s="102">
        <f>AVERAGE(DH151:DK151)</f>
        <v>753</v>
      </c>
      <c r="DM151" s="831">
        <v>727</v>
      </c>
      <c r="DN151" s="831">
        <v>722</v>
      </c>
      <c r="DO151" s="831">
        <v>711</v>
      </c>
      <c r="DP151" s="831">
        <v>707</v>
      </c>
      <c r="DQ151" s="102">
        <v>718</v>
      </c>
      <c r="DR151" s="831">
        <v>707</v>
      </c>
      <c r="DS151" s="831">
        <v>698</v>
      </c>
      <c r="DT151" s="831">
        <v>691</v>
      </c>
      <c r="DU151" s="831">
        <v>686</v>
      </c>
      <c r="DV151" s="102">
        <v>718</v>
      </c>
      <c r="DW151" s="831">
        <v>682</v>
      </c>
      <c r="DX151" s="831">
        <v>673</v>
      </c>
      <c r="DY151" s="831">
        <v>663</v>
      </c>
      <c r="DZ151" s="831">
        <v>656</v>
      </c>
      <c r="EA151" s="102">
        <f>AVERAGE(DW151:DZ151)</f>
        <v>668.5</v>
      </c>
      <c r="EB151" s="831">
        <v>648</v>
      </c>
      <c r="EC151" s="831">
        <v>639</v>
      </c>
      <c r="ED151" s="831">
        <v>625</v>
      </c>
      <c r="EE151" s="831">
        <v>621</v>
      </c>
      <c r="EF151" s="102">
        <f>AVERAGE(EB151:EE151)</f>
        <v>633.25</v>
      </c>
      <c r="EG151" s="831">
        <v>614</v>
      </c>
      <c r="EH151" s="831">
        <v>605</v>
      </c>
      <c r="EI151" s="831">
        <v>598</v>
      </c>
      <c r="EJ151" s="831">
        <v>594</v>
      </c>
      <c r="EK151" s="102">
        <f>AVERAGE(EG151:EJ151)</f>
        <v>602.75</v>
      </c>
      <c r="EL151" s="831">
        <v>614</v>
      </c>
      <c r="EM151" s="831">
        <v>605</v>
      </c>
      <c r="EN151" s="831">
        <v>598</v>
      </c>
      <c r="EO151" s="831">
        <v>594</v>
      </c>
      <c r="EP151" s="102">
        <f>AVERAGE(EL151:EO151)</f>
        <v>602.75</v>
      </c>
      <c r="EQ151" s="494">
        <f>EO151*(1+(EQ152/4))</f>
        <v>583.60500000000002</v>
      </c>
      <c r="ER151" s="494">
        <f>EQ151*(1+(ER152/4))</f>
        <v>573.39191249999999</v>
      </c>
      <c r="ES151" s="494">
        <f t="shared" ref="ES151" si="855">ER151*(1+(ES152/4))</f>
        <v>563.35755403125006</v>
      </c>
      <c r="ET151" s="494">
        <f>ES151*(1+(ET152/4))</f>
        <v>553.49879683570316</v>
      </c>
      <c r="EU151" s="102">
        <f>AVERAGE(EQ151:ET151)</f>
        <v>568.46331584173834</v>
      </c>
      <c r="EV151" s="494"/>
      <c r="EW151" s="494"/>
      <c r="EX151" s="494"/>
      <c r="EY151" s="494"/>
      <c r="EZ151" s="510">
        <f>EU151*(1+(EZ152))</f>
        <v>525.82856715360799</v>
      </c>
      <c r="FA151" s="494"/>
      <c r="FB151" s="494"/>
      <c r="FC151" s="494"/>
      <c r="FD151" s="494"/>
      <c r="FE151" s="510">
        <f>EZ151*(1+(FE152))</f>
        <v>486.39142461708741</v>
      </c>
      <c r="FF151" s="29"/>
      <c r="FG151" s="463"/>
      <c r="FL151" s="428"/>
      <c r="FM151" s="428"/>
      <c r="FN151" s="599"/>
      <c r="FO151" s="599"/>
      <c r="FP151" s="599"/>
      <c r="FQ151" s="599"/>
      <c r="FR151" s="387"/>
      <c r="FS151" s="387"/>
      <c r="FT151" s="462"/>
    </row>
    <row r="152" spans="1:184" ht="12.75" customHeight="1" x14ac:dyDescent="0.2">
      <c r="A152" s="491" t="s">
        <v>177</v>
      </c>
      <c r="B152" s="492"/>
      <c r="C152" s="492"/>
      <c r="D152" s="492"/>
      <c r="E152" s="492"/>
      <c r="F152" s="274"/>
      <c r="G152" s="492">
        <f>(G151/E151-1)*4</f>
        <v>-1.2458603643057535</v>
      </c>
      <c r="H152" s="492">
        <f>(H151/G151-1)*4</f>
        <v>6.9537994497675726E-2</v>
      </c>
      <c r="I152" s="492">
        <f>(I151/H151-1)*4</f>
        <v>3.4501247173457372E-3</v>
      </c>
      <c r="J152" s="492">
        <f>(J151/I151-1)*4</f>
        <v>-1.8825639353426444</v>
      </c>
      <c r="K152" s="493">
        <f>K151/F151-1</f>
        <v>-0.62886165585428189</v>
      </c>
      <c r="L152" s="492">
        <f>(L151/J151-1)*4</f>
        <v>11.952304476955423</v>
      </c>
      <c r="M152" s="492">
        <f>(M151/L151-1)*4</f>
        <v>2.285506503822857</v>
      </c>
      <c r="N152" s="492">
        <f>(N151/M151-1)*4</f>
        <v>1.580259432965736E-2</v>
      </c>
      <c r="O152" s="492">
        <f>(O151/N151-1)*4</f>
        <v>-1.2043092506612574</v>
      </c>
      <c r="P152" s="493">
        <f>P151/K151-1</f>
        <v>3.3972912383552734</v>
      </c>
      <c r="Q152" s="492">
        <f>(Q151/O151-1)*4</f>
        <v>-0.18060684639993019</v>
      </c>
      <c r="R152" s="492">
        <f>(R151/Q151-1)*4</f>
        <v>2.0318950821046444</v>
      </c>
      <c r="S152" s="492">
        <f>(S151/R151-1)*4</f>
        <v>-3.9276890213102433E-5</v>
      </c>
      <c r="T152" s="492">
        <f>(T151/S151-1)*4</f>
        <v>-0.85644131175749871</v>
      </c>
      <c r="U152" s="493">
        <f>U151/P151-1</f>
        <v>0.13158056153391584</v>
      </c>
      <c r="V152" s="492">
        <f>(V151/T151-1)*4</f>
        <v>24.085674337198306</v>
      </c>
      <c r="W152" s="492">
        <f>(W151/V151-1)*4</f>
        <v>-5.8886509635973638E-3</v>
      </c>
      <c r="X152" s="492">
        <f>(X151/W151-1)*4</f>
        <v>-1.6083634901495891E-3</v>
      </c>
      <c r="Y152" s="492">
        <f>(Y151/X151-1)*4</f>
        <v>-1.0726736390452629E-2</v>
      </c>
      <c r="Z152" s="493">
        <f>Z151/U151-1</f>
        <v>6.0101093744702991</v>
      </c>
      <c r="AA152" s="492">
        <f>(AA151/Y151-1)*4</f>
        <v>-1.0755579456843467E-2</v>
      </c>
      <c r="AB152" s="492">
        <f>(AB151/AA151-1)*4</f>
        <v>2.2108385009436127E-2</v>
      </c>
      <c r="AC152" s="492">
        <f>(AC151/AB151-1)*4</f>
        <v>0.1169057514412124</v>
      </c>
      <c r="AD152" s="492">
        <f>(AD151/AC151-1)*4</f>
        <v>-4.6893317702227932E-2</v>
      </c>
      <c r="AE152" s="493">
        <f>AE151/Z151-1</f>
        <v>1.5085919490835709E-2</v>
      </c>
      <c r="AF152" s="492">
        <f>(AF151/AD151-1)*4</f>
        <v>6.5686990905494902E-2</v>
      </c>
      <c r="AG152" s="492">
        <f>(AG151/AF151-1)*4</f>
        <v>3.3385169583277197E-2</v>
      </c>
      <c r="AH152" s="492">
        <f>(AH151/AG151-1)*4</f>
        <v>-7.4625020335123526E-2</v>
      </c>
      <c r="AI152" s="492">
        <f>(AI151/AH151-1)*4</f>
        <v>-6.7540267414334387E-3</v>
      </c>
      <c r="AJ152" s="493">
        <f>AJ151/AE151-1</f>
        <v>1.697683587014498E-2</v>
      </c>
      <c r="AK152" s="492">
        <f>(AK151/AI151-1)*4</f>
        <v>-0.13704384352848464</v>
      </c>
      <c r="AL152" s="492">
        <f>(AL151/AK151-1)*4</f>
        <v>7.6117982873453727E-3</v>
      </c>
      <c r="AM152" s="492">
        <f>(AM151/AL151-1)*4</f>
        <v>1.4109347442681219E-2</v>
      </c>
      <c r="AN152" s="492">
        <f>(AN151/AM151-1)*4</f>
        <v>2.9741787211031046E-2</v>
      </c>
      <c r="AO152" s="493">
        <f>AO151/AJ151-1</f>
        <v>-3.9522614314853488E-2</v>
      </c>
      <c r="AP152" s="492">
        <f>(AP151/AN151-1)*4</f>
        <v>1.0995452898550084E-2</v>
      </c>
      <c r="AQ152" s="492">
        <f>(AQ151/AP151-1)*4</f>
        <v>1.2920281016111979E-2</v>
      </c>
      <c r="AR152" s="492">
        <f>(AR151/AQ151-1)*4</f>
        <v>-5.7859926446539589E-3</v>
      </c>
      <c r="AS152" s="492">
        <f>(AS151/AR151-1)*4</f>
        <v>-1.6336628062645353E-2</v>
      </c>
      <c r="AT152" s="493">
        <f>AT151/AO151-1</f>
        <v>1.1242472072566567E-2</v>
      </c>
      <c r="AU152" s="492">
        <f>(AU151/AS151-1)*4</f>
        <v>5.8669837326950969E-2</v>
      </c>
      <c r="AV152" s="492">
        <f>(AV151/AU151-1)*4</f>
        <v>2.3406347553659224E-2</v>
      </c>
      <c r="AW152" s="492">
        <f>(AW151/AV151-1)*4</f>
        <v>-2.4390651116110718E-2</v>
      </c>
      <c r="AX152" s="492">
        <f>(AX151/AW151-1)*4</f>
        <v>-2.1307571131004455E-2</v>
      </c>
      <c r="AY152" s="493">
        <f>AY151/AT151-1</f>
        <v>1.2076962994428397E-2</v>
      </c>
      <c r="AZ152" s="492">
        <f>(AZ151/AX151-1)*4</f>
        <v>-4.9253356051024433E-2</v>
      </c>
      <c r="BA152" s="492">
        <f>(BA151/AZ151-1)*4</f>
        <v>1.7911831536070011E-2</v>
      </c>
      <c r="BB152" s="492">
        <f>(BB151/BA151-1)*4</f>
        <v>1.7544490110892319E-2</v>
      </c>
      <c r="BC152" s="492">
        <f>(BC151/BB151-1)*4</f>
        <v>4.7741002425465418E-2</v>
      </c>
      <c r="BD152" s="493">
        <f>BD151/AY151-1</f>
        <v>-9.6446063182269448E-3</v>
      </c>
      <c r="BE152" s="492">
        <f>(BE151/BC151-1)*4</f>
        <v>8.3815620522180723E-3</v>
      </c>
      <c r="BF152" s="492">
        <f>(BF151/BE151-1)*4</f>
        <v>-6.0415181047464017E-3</v>
      </c>
      <c r="BG152" s="492">
        <f>(BG151/BF151-1)*4</f>
        <v>1.6664104230006416E-3</v>
      </c>
      <c r="BH152" s="492">
        <f>(BH151/BG151-1)*4</f>
        <v>1.9780383213943153E-3</v>
      </c>
      <c r="BI152" s="493">
        <f>BI151/BD151-1</f>
        <v>1.2901369487380299E-2</v>
      </c>
      <c r="BJ152" s="492">
        <f>(BJ151/BH151-1)*4</f>
        <v>1.7362457402147591E-2</v>
      </c>
      <c r="BK152" s="492">
        <f>(BK151/BJ151-1)*4</f>
        <v>-6.7195962321915381E-3</v>
      </c>
      <c r="BL152" s="492">
        <f>(BL151/BK151-1)*4</f>
        <v>-2.3701478006574739E-2</v>
      </c>
      <c r="BM152" s="492">
        <f>(BM151/BL151-1)*4</f>
        <v>4.0924428756967224E-2</v>
      </c>
      <c r="BN152" s="493">
        <f>BN151/BI151-1</f>
        <v>2.5372337267253187E-3</v>
      </c>
      <c r="BO152" s="492">
        <f>(BO151/BM151-1)*4</f>
        <v>-2.3803050304058271E-2</v>
      </c>
      <c r="BP152" s="492">
        <f>(BP151/BO151-1)*4</f>
        <v>5.9405940594059459E-2</v>
      </c>
      <c r="BQ152" s="492">
        <f>(BQ151/BP151-1)*4</f>
        <v>3.4146341463414664E-2</v>
      </c>
      <c r="BR152" s="492">
        <f>(BR151/BQ151-1)*4</f>
        <v>2.9020556227327354E-2</v>
      </c>
      <c r="BS152" s="493">
        <f>BS151/BN151-1</f>
        <v>1.8877195831742632E-2</v>
      </c>
      <c r="BT152" s="492">
        <f>(BT151/BR151-1)*4</f>
        <v>-7.6830732292917148E-2</v>
      </c>
      <c r="BU152" s="492">
        <f>(BU151/BT151-1)*4</f>
        <v>0</v>
      </c>
      <c r="BV152" s="492">
        <f>(BV151/BU151-1)*4</f>
        <v>-2.4479804161566587E-2</v>
      </c>
      <c r="BW152" s="492">
        <f>(BW151/BV151-1)*4</f>
        <v>4.9261083743843415E-3</v>
      </c>
      <c r="BX152" s="493">
        <f>BX151/BS151-1</f>
        <v>-1.1852046428993734E-2</v>
      </c>
      <c r="BY152" s="492">
        <f>(BY151/BW151-1)*4</f>
        <v>-5.4120541205412209E-2</v>
      </c>
      <c r="BZ152" s="492">
        <f>(BZ151/BY151-1)*4</f>
        <v>0</v>
      </c>
      <c r="CA152" s="492">
        <f>(CA151/BZ151-1)*4</f>
        <v>0</v>
      </c>
      <c r="CB152" s="492">
        <f>(CB151/CA151-1)*4</f>
        <v>6.9825436408977204E-2</v>
      </c>
      <c r="CC152" s="493">
        <f>CC151/BX151-1</f>
        <v>-1.1114594285038359E-2</v>
      </c>
      <c r="CD152" s="492">
        <f>(CD151/CB151-1)*4</f>
        <v>9.8039215686274161E-2</v>
      </c>
      <c r="CE152" s="492">
        <f>(CE151/CD151-1)*4</f>
        <v>-5.2631578947368585E-2</v>
      </c>
      <c r="CF152" s="492">
        <f>(CF151/CE151-1)*4</f>
        <v>-1.9393939393939519E-2</v>
      </c>
      <c r="CG152" s="492">
        <f>(CG151/CF151-1)*4</f>
        <v>-3.897685749086488E-2</v>
      </c>
      <c r="CH152" s="493">
        <f>CH151/CC151-1</f>
        <v>2.2967101179391713E-2</v>
      </c>
      <c r="CI152" s="492">
        <f>(CI151/CG151-1)*4</f>
        <v>-6.3960639606396086E-2</v>
      </c>
      <c r="CJ152" s="492">
        <f>(CJ151/CI151-1)*4</f>
        <v>-0.10000000000000009</v>
      </c>
      <c r="CK152" s="492">
        <f>(CK151/CJ151-1)*4</f>
        <v>-0.14358974358974352</v>
      </c>
      <c r="CL152" s="492">
        <f>(CL151/CK151-1)*4</f>
        <v>-5.319148936170226E-2</v>
      </c>
      <c r="CM152" s="493">
        <f>CM151/CH151-1</f>
        <v>-7.2232729859322609E-2</v>
      </c>
      <c r="CN152" s="492">
        <f>(CN151/CL151-1)*4</f>
        <v>-4.3126684636118462E-2</v>
      </c>
      <c r="CO152" s="492">
        <f>(CO151/CN151-1)*4</f>
        <v>1.6348773841961872E-2</v>
      </c>
      <c r="CP152" s="492">
        <f>(CP151/CO151-1)*4</f>
        <v>-5.4274084124830146E-3</v>
      </c>
      <c r="CQ152" s="492">
        <f>(CQ151/CP151-1)*4</f>
        <v>2.1739130434782261E-2</v>
      </c>
      <c r="CR152" s="493">
        <f>CR151/CM151-1</f>
        <v>-2.9405901809121615E-2</v>
      </c>
      <c r="CS152" s="492">
        <f>(CS151/CQ151-1)*4</f>
        <v>0.23959440000000054</v>
      </c>
      <c r="CT152" s="492">
        <f>(CT151/CS151-1)*4</f>
        <v>8.452659680994401E-3</v>
      </c>
      <c r="CU152" s="492">
        <f>(CU151/CT151-1)*4</f>
        <v>5.894549502695412E-3</v>
      </c>
      <c r="CV152" s="492">
        <f>(CV151/CU151-1)*4</f>
        <v>1.9210884967345798E-2</v>
      </c>
      <c r="CW152" s="493">
        <f>CW151/CR151-1</f>
        <v>6.1764150943396157E-2</v>
      </c>
      <c r="CX152" s="492">
        <f>(CX151/CV151-1)*4</f>
        <v>-1.8093821304604685E-2</v>
      </c>
      <c r="CY152" s="492">
        <f>(CY151/CX151-1)*4</f>
        <v>7.1646826364364813E-2</v>
      </c>
      <c r="CZ152" s="492">
        <f>(CZ151/CY151-1)*4</f>
        <v>5.3466458774273917E-3</v>
      </c>
      <c r="DA152" s="492">
        <f>(DA151/CZ151-1)*4</f>
        <v>-4.2961004386907309E-2</v>
      </c>
      <c r="DB152" s="493">
        <f>DB151/CW151-1</f>
        <v>1.0564348354782593E-2</v>
      </c>
      <c r="DC152" s="492">
        <f>(DC151/DA151-1)*4</f>
        <v>-1.1322209673088057E-2</v>
      </c>
      <c r="DD152" s="492">
        <f>(DD151/DC151-1)*4</f>
        <v>-2.349957139691794E-2</v>
      </c>
      <c r="DE152" s="492">
        <f>(DE151/DD151-1)*4</f>
        <v>2.541296060991094E-2</v>
      </c>
      <c r="DF152" s="492">
        <f>(DF151/DE151-1)*4</f>
        <v>-4.5454545454545414E-2</v>
      </c>
      <c r="DG152" s="493">
        <f>DG151/DB151-1</f>
        <v>-9.7207379647022973E-3</v>
      </c>
      <c r="DH152" s="492">
        <f>(DH151/DF151-1)*4</f>
        <v>-5.6194125159642283E-2</v>
      </c>
      <c r="DI152" s="492">
        <f>(DI151/DH151-1)*4</f>
        <v>-4.1450777202072686E-2</v>
      </c>
      <c r="DJ152" s="492">
        <f>(DJ151/DI151-1)*4</f>
        <v>-0.12565445026178024</v>
      </c>
      <c r="DK152" s="492">
        <f>(DK151/DJ151-1)*4</f>
        <v>-2.1621621621621401E-2</v>
      </c>
      <c r="DL152" s="493">
        <f>DL151/DG151-1</f>
        <v>-4.4916469865765141E-2</v>
      </c>
      <c r="DM152" s="492">
        <f>(DM151/DK151-1)*4</f>
        <v>-4.8913043478260754E-2</v>
      </c>
      <c r="DN152" s="492">
        <f>(DN151/DM151-1)*4</f>
        <v>-2.7510316368638321E-2</v>
      </c>
      <c r="DO152" s="492">
        <f>(DO151/DN151-1)*4</f>
        <v>-6.0941828254847508E-2</v>
      </c>
      <c r="DP152" s="492">
        <f>(DP151/DO151-1)*4</f>
        <v>-2.2503516174402272E-2</v>
      </c>
      <c r="DQ152" s="493">
        <f>DQ151/DL151-1</f>
        <v>-4.6480743691899029E-2</v>
      </c>
      <c r="DR152" s="492">
        <f>(DR151/DP151-1)*4</f>
        <v>0</v>
      </c>
      <c r="DS152" s="492">
        <f>(DS151/DR151-1)*4</f>
        <v>-5.0919377652050901E-2</v>
      </c>
      <c r="DT152" s="492">
        <f>(DT151/DS151-1)*4</f>
        <v>-4.0114613180515679E-2</v>
      </c>
      <c r="DU152" s="492">
        <f>(DU151/DT151-1)*4</f>
        <v>-2.8943560057887119E-2</v>
      </c>
      <c r="DV152" s="493">
        <f>DV151/DQ151-1</f>
        <v>0</v>
      </c>
      <c r="DW152" s="492">
        <f>(DW151/DU151-1)*4</f>
        <v>-2.3323615160349753E-2</v>
      </c>
      <c r="DX152" s="492">
        <f>(DX151/DW151-1)*4</f>
        <v>-5.2785923753665642E-2</v>
      </c>
      <c r="DY152" s="492">
        <f>(DY151/DX151-1)*4</f>
        <v>-5.9435364041604544E-2</v>
      </c>
      <c r="DZ152" s="492">
        <f>(DZ151/DY151-1)*4</f>
        <v>-4.2232277526395023E-2</v>
      </c>
      <c r="EA152" s="493">
        <f>EA151/DV151-1</f>
        <v>-6.8941504178272939E-2</v>
      </c>
      <c r="EB152" s="492">
        <f>(EB151/DZ151-1)*4</f>
        <v>-4.8780487804878092E-2</v>
      </c>
      <c r="EC152" s="492">
        <f>(EC151/EB151-1)*4</f>
        <v>-5.5555555555555358E-2</v>
      </c>
      <c r="ED152" s="492">
        <f>(ED151/EC151-1)*4</f>
        <v>-8.7636932707355175E-2</v>
      </c>
      <c r="EE152" s="492">
        <f>(EE151/ED151-1)*4</f>
        <v>-2.5599999999999845E-2</v>
      </c>
      <c r="EF152" s="493">
        <f>EF151/EA151-1</f>
        <v>-5.2729992520568425E-2</v>
      </c>
      <c r="EG152" s="492">
        <f>(EG151/EE151-1)*4</f>
        <v>-4.5088566827697463E-2</v>
      </c>
      <c r="EH152" s="492">
        <f>(EH151/EG151-1)*4</f>
        <v>-5.8631921824104261E-2</v>
      </c>
      <c r="EI152" s="492">
        <f>(EI151/EH151-1)*4</f>
        <v>-4.6280991735537125E-2</v>
      </c>
      <c r="EJ152" s="492">
        <f>(EJ151/EI151-1)*4</f>
        <v>-2.6755852842809347E-2</v>
      </c>
      <c r="EK152" s="493">
        <f>EK151/EF151-1</f>
        <v>-4.8164232135807339E-2</v>
      </c>
      <c r="EL152" s="492"/>
      <c r="EM152" s="492">
        <f>(EM151/EL151-1)*4</f>
        <v>-5.8631921824104261E-2</v>
      </c>
      <c r="EN152" s="492">
        <f>(EN151/EM151-1)*4</f>
        <v>-4.6280991735537125E-2</v>
      </c>
      <c r="EO152" s="492">
        <f>(EO151/EN151-1)*4</f>
        <v>-2.6755852842809347E-2</v>
      </c>
      <c r="EP152" s="493"/>
      <c r="EQ152" s="495">
        <v>-7.0000000000000007E-2</v>
      </c>
      <c r="ER152" s="495">
        <v>-7.0000000000000007E-2</v>
      </c>
      <c r="ES152" s="495">
        <v>-7.0000000000000007E-2</v>
      </c>
      <c r="ET152" s="495">
        <v>-7.0000000000000007E-2</v>
      </c>
      <c r="EU152" s="493">
        <f>EU151/EP151-1</f>
        <v>-5.6883756380359474E-2</v>
      </c>
      <c r="EV152" s="495"/>
      <c r="EW152" s="495"/>
      <c r="EX152" s="495"/>
      <c r="EY152" s="495"/>
      <c r="EZ152" s="504">
        <v>-7.4999999999999997E-2</v>
      </c>
      <c r="FA152" s="495"/>
      <c r="FB152" s="495"/>
      <c r="FC152" s="495"/>
      <c r="FD152" s="495"/>
      <c r="FE152" s="504">
        <v>-7.4999999999999997E-2</v>
      </c>
      <c r="FF152" s="29"/>
      <c r="FG152" s="463"/>
      <c r="FM152" s="428"/>
      <c r="FN152" s="387"/>
      <c r="FO152" s="601"/>
      <c r="FP152" s="387"/>
      <c r="FQ152" s="387"/>
      <c r="FR152" s="387"/>
      <c r="FS152" s="387"/>
      <c r="FT152" s="462"/>
    </row>
    <row r="153" spans="1:184" ht="12.75" customHeight="1" x14ac:dyDescent="0.2">
      <c r="A153" s="70" t="s">
        <v>0</v>
      </c>
      <c r="B153" s="137"/>
      <c r="C153" s="137"/>
      <c r="D153" s="137"/>
      <c r="E153" s="137"/>
      <c r="F153" s="275"/>
      <c r="G153" s="137"/>
      <c r="H153" s="137"/>
      <c r="I153" s="137"/>
      <c r="J153" s="137"/>
      <c r="K153" s="275"/>
      <c r="L153" s="137"/>
      <c r="M153" s="137"/>
      <c r="N153" s="137"/>
      <c r="O153" s="137"/>
      <c r="P153" s="275"/>
      <c r="Q153" s="137"/>
      <c r="R153" s="137"/>
      <c r="S153" s="137"/>
      <c r="T153" s="137"/>
      <c r="U153" s="275"/>
      <c r="V153" s="137"/>
      <c r="W153" s="137"/>
      <c r="X153" s="137"/>
      <c r="Y153" s="137"/>
      <c r="Z153" s="275">
        <v>725.2</v>
      </c>
      <c r="AA153" s="137"/>
      <c r="AB153" s="137"/>
      <c r="AC153" s="137"/>
      <c r="AD153" s="137"/>
      <c r="AE153" s="275">
        <v>729.2</v>
      </c>
      <c r="AF153" s="137"/>
      <c r="AG153" s="137"/>
      <c r="AH153" s="137"/>
      <c r="AI153" s="137"/>
      <c r="AJ153" s="275">
        <v>734.6</v>
      </c>
      <c r="AK153" s="137"/>
      <c r="AL153" s="137"/>
      <c r="AM153" s="137"/>
      <c r="AN153" s="137"/>
      <c r="AO153" s="275">
        <v>746.6</v>
      </c>
      <c r="AP153" s="137"/>
      <c r="AQ153" s="137"/>
      <c r="AR153" s="137"/>
      <c r="AS153" s="137"/>
      <c r="AT153" s="275">
        <v>747.7</v>
      </c>
      <c r="AU153" s="137"/>
      <c r="AV153" s="137"/>
      <c r="AW153" s="137"/>
      <c r="AX153" s="137"/>
      <c r="AY153" s="275">
        <v>749.1</v>
      </c>
      <c r="AZ153" s="137"/>
      <c r="BA153" s="137"/>
      <c r="BB153" s="137"/>
      <c r="BC153" s="137"/>
      <c r="BD153" s="275">
        <v>756.2</v>
      </c>
      <c r="BE153" s="137"/>
      <c r="BF153" s="137"/>
      <c r="BG153" s="137"/>
      <c r="BH153" s="137"/>
      <c r="BI153" s="275">
        <v>766.8</v>
      </c>
      <c r="BJ153" s="137"/>
      <c r="BK153" s="137"/>
      <c r="BL153" s="137"/>
      <c r="BM153" s="137"/>
      <c r="BN153" s="275">
        <v>776.7</v>
      </c>
      <c r="BO153" s="137"/>
      <c r="BP153" s="137"/>
      <c r="BQ153" s="137"/>
      <c r="BR153" s="137"/>
      <c r="BS153" s="275">
        <v>789.4</v>
      </c>
      <c r="BT153" s="137"/>
      <c r="BU153" s="137"/>
      <c r="BV153" s="137"/>
      <c r="BW153" s="137"/>
      <c r="BX153" s="275">
        <v>783.8</v>
      </c>
      <c r="BY153" s="137"/>
      <c r="BZ153" s="137"/>
      <c r="CA153" s="137"/>
      <c r="CB153" s="137"/>
      <c r="CC153" s="275">
        <v>801.6</v>
      </c>
      <c r="CD153" s="137"/>
      <c r="CE153" s="137"/>
      <c r="CF153" s="137"/>
      <c r="CG153" s="137"/>
      <c r="CH153" s="275">
        <f>CC153+(CH150-CC150)</f>
        <v>807.6</v>
      </c>
      <c r="CI153" s="137"/>
      <c r="CJ153" s="137"/>
      <c r="CK153" s="137"/>
      <c r="CL153" s="137"/>
      <c r="CM153" s="275">
        <f>CH153+(CM150-CH150)</f>
        <v>769.6</v>
      </c>
      <c r="CN153" s="137"/>
      <c r="CO153" s="137"/>
      <c r="CP153" s="137"/>
      <c r="CQ153" s="137"/>
      <c r="CR153" s="321">
        <f>CM153+(CR150-CM150)</f>
        <v>746.6</v>
      </c>
      <c r="CS153" s="137"/>
      <c r="CT153" s="137"/>
      <c r="CU153" s="137"/>
      <c r="CV153" s="137"/>
      <c r="CW153" s="321">
        <f>CR153+(CW150-CR150)</f>
        <v>792.28330400000004</v>
      </c>
      <c r="CX153" s="137"/>
      <c r="CY153" s="137"/>
      <c r="CZ153" s="137"/>
      <c r="DA153" s="137"/>
      <c r="DB153" s="321">
        <f>CW153+(DB150-CW150)</f>
        <v>801.29357825</v>
      </c>
      <c r="DC153" s="137"/>
      <c r="DD153" s="137"/>
      <c r="DE153" s="137"/>
      <c r="DF153" s="137"/>
      <c r="DG153" s="321">
        <f>DB153+(DG150-DB150)</f>
        <v>797.76271600000007</v>
      </c>
      <c r="DH153" s="137"/>
      <c r="DI153" s="137"/>
      <c r="DJ153" s="137"/>
      <c r="DK153" s="137"/>
      <c r="DL153" s="321">
        <f>DG153+(DL150-DG150)</f>
        <v>763.1</v>
      </c>
      <c r="DM153" s="137"/>
      <c r="DN153" s="137"/>
      <c r="DO153" s="137"/>
      <c r="DP153" s="137"/>
      <c r="DQ153" s="321">
        <f>DL153+(DQ150-DL150)</f>
        <v>722.85</v>
      </c>
      <c r="DR153" s="137"/>
      <c r="DS153" s="137"/>
      <c r="DT153" s="137"/>
      <c r="DU153" s="137"/>
      <c r="DV153" s="321">
        <f>DQ153+(DV150-DQ150)</f>
        <v>699.6</v>
      </c>
      <c r="DW153" s="137"/>
      <c r="DX153" s="137"/>
      <c r="DY153" s="137"/>
      <c r="DZ153" s="137"/>
      <c r="EA153" s="321">
        <f>DV153+(EA150-DV150)</f>
        <v>673.1</v>
      </c>
      <c r="EB153" s="137"/>
      <c r="EC153" s="137"/>
      <c r="ED153" s="137"/>
      <c r="EE153" s="137"/>
      <c r="EF153" s="321">
        <f>EA153+(EF150-EA150)</f>
        <v>639.6</v>
      </c>
      <c r="EG153" s="137"/>
      <c r="EH153" s="137"/>
      <c r="EI153" s="137"/>
      <c r="EJ153" s="137"/>
      <c r="EK153" s="321">
        <f>EF153+(EK150-EF150)</f>
        <v>614.1</v>
      </c>
      <c r="EL153" s="137"/>
      <c r="EM153" s="137"/>
      <c r="EN153" s="137"/>
      <c r="EO153" s="137"/>
      <c r="EP153" s="321">
        <f>EF153+(EP150-EF150)</f>
        <v>614.1</v>
      </c>
      <c r="EQ153" s="137"/>
      <c r="ER153" s="137"/>
      <c r="ES153" s="137"/>
      <c r="ET153" s="137"/>
      <c r="EU153" s="321">
        <f>EP153+(EU150-EP150)</f>
        <v>579.06331584173836</v>
      </c>
      <c r="EV153" s="137"/>
      <c r="EW153" s="137"/>
      <c r="EX153" s="137"/>
      <c r="EY153" s="137"/>
      <c r="EZ153" s="321">
        <f>EU153+(EZ150-EU150)</f>
        <v>536.42856715360801</v>
      </c>
      <c r="FA153" s="137"/>
      <c r="FB153" s="137"/>
      <c r="FC153" s="137"/>
      <c r="FD153" s="137"/>
      <c r="FE153" s="321">
        <f>EZ153+(FE150-EZ150)</f>
        <v>496.99142461708743</v>
      </c>
      <c r="FF153" s="137"/>
      <c r="FG153" s="440"/>
      <c r="FM153" s="411"/>
      <c r="FN153" s="603"/>
      <c r="FO153" s="599"/>
      <c r="FP153" s="599"/>
      <c r="FQ153" s="599"/>
      <c r="FR153" s="387"/>
      <c r="FS153" s="372"/>
      <c r="FT153" s="462"/>
    </row>
    <row r="154" spans="1:184" ht="12.75" customHeight="1" x14ac:dyDescent="0.2">
      <c r="A154" s="340" t="s">
        <v>178</v>
      </c>
      <c r="B154" s="501"/>
      <c r="C154" s="501"/>
      <c r="D154" s="501"/>
      <c r="E154" s="501"/>
      <c r="F154" s="499"/>
      <c r="G154" s="501"/>
      <c r="H154" s="501"/>
      <c r="I154" s="501"/>
      <c r="J154" s="501"/>
      <c r="K154" s="499"/>
      <c r="L154" s="501"/>
      <c r="M154" s="501"/>
      <c r="N154" s="501"/>
      <c r="O154" s="501"/>
      <c r="P154" s="499"/>
      <c r="Q154" s="501"/>
      <c r="R154" s="501"/>
      <c r="S154" s="501"/>
      <c r="T154" s="501"/>
      <c r="U154" s="499"/>
      <c r="V154" s="501"/>
      <c r="W154" s="501"/>
      <c r="X154" s="501"/>
      <c r="Y154" s="501"/>
      <c r="Z154" s="499"/>
      <c r="AA154" s="501"/>
      <c r="AB154" s="501"/>
      <c r="AC154" s="501"/>
      <c r="AD154" s="501"/>
      <c r="AE154" s="499"/>
      <c r="AF154" s="501"/>
      <c r="AG154" s="501"/>
      <c r="AH154" s="501"/>
      <c r="AI154" s="501"/>
      <c r="AJ154" s="499"/>
      <c r="AK154" s="501"/>
      <c r="AL154" s="501"/>
      <c r="AM154" s="501"/>
      <c r="AN154" s="501"/>
      <c r="AO154" s="499"/>
      <c r="AP154" s="501"/>
      <c r="AQ154" s="501"/>
      <c r="AR154" s="501"/>
      <c r="AS154" s="501"/>
      <c r="AT154" s="499"/>
      <c r="AU154" s="501"/>
      <c r="AV154" s="501"/>
      <c r="AW154" s="501"/>
      <c r="AX154" s="501"/>
      <c r="AY154" s="499"/>
      <c r="AZ154" s="501"/>
      <c r="BA154" s="501"/>
      <c r="BB154" s="501"/>
      <c r="BC154" s="501"/>
      <c r="BD154" s="499"/>
      <c r="BE154" s="501"/>
      <c r="BF154" s="501"/>
      <c r="BG154" s="501"/>
      <c r="BH154" s="501"/>
      <c r="BI154" s="499"/>
      <c r="BJ154" s="501"/>
      <c r="BK154" s="501"/>
      <c r="BL154" s="501"/>
      <c r="BM154" s="501"/>
      <c r="BN154" s="499"/>
      <c r="BO154" s="501"/>
      <c r="BP154" s="501"/>
      <c r="BQ154" s="501"/>
      <c r="BR154" s="501"/>
      <c r="BS154" s="499"/>
      <c r="BT154" s="501"/>
      <c r="BU154" s="501"/>
      <c r="BV154" s="501"/>
      <c r="BW154" s="501"/>
      <c r="BX154" s="499"/>
      <c r="BY154" s="501"/>
      <c r="BZ154" s="501"/>
      <c r="CA154" s="501"/>
      <c r="CB154" s="501"/>
      <c r="CC154" s="499"/>
      <c r="CD154" s="501"/>
      <c r="CE154" s="501"/>
      <c r="CF154" s="501"/>
      <c r="CG154" s="501"/>
      <c r="CH154" s="499"/>
      <c r="CI154" s="501"/>
      <c r="CJ154" s="501"/>
      <c r="CK154" s="501"/>
      <c r="CL154" s="501"/>
      <c r="CM154" s="499"/>
      <c r="CN154" s="501"/>
      <c r="CO154" s="501"/>
      <c r="CP154" s="501"/>
      <c r="CQ154" s="501"/>
      <c r="CR154" s="500"/>
      <c r="CS154" s="501"/>
      <c r="CT154" s="501"/>
      <c r="CU154" s="501"/>
      <c r="CV154" s="501"/>
      <c r="CW154" s="500"/>
      <c r="CX154" s="501"/>
      <c r="CY154" s="501"/>
      <c r="CZ154" s="501"/>
      <c r="DA154" s="501"/>
      <c r="DB154" s="500"/>
      <c r="DC154" s="501"/>
      <c r="DD154" s="501"/>
      <c r="DE154" s="501"/>
      <c r="DF154" s="501"/>
      <c r="DG154" s="500"/>
      <c r="DH154" s="501"/>
      <c r="DI154" s="501"/>
      <c r="DJ154" s="501"/>
      <c r="DK154" s="501"/>
      <c r="DL154" s="500"/>
      <c r="DM154" s="501"/>
      <c r="DN154" s="501"/>
      <c r="DO154" s="501"/>
      <c r="DP154" s="501"/>
      <c r="DQ154" s="500"/>
      <c r="DR154" s="501"/>
      <c r="DS154" s="501"/>
      <c r="DT154" s="501"/>
      <c r="DU154" s="501"/>
      <c r="DV154" s="500"/>
      <c r="DW154" s="501"/>
      <c r="DX154" s="501"/>
      <c r="DY154" s="501"/>
      <c r="DZ154" s="501"/>
      <c r="EA154" s="500"/>
      <c r="EB154" s="501"/>
      <c r="EC154" s="501"/>
      <c r="ED154" s="501"/>
      <c r="EE154" s="501"/>
      <c r="EF154" s="500"/>
      <c r="EG154" s="501"/>
      <c r="EH154" s="501"/>
      <c r="EI154" s="501"/>
      <c r="EJ154" s="501"/>
      <c r="EK154" s="500"/>
      <c r="EL154" s="501"/>
      <c r="EM154" s="501"/>
      <c r="EN154" s="501"/>
      <c r="EO154" s="501"/>
      <c r="EP154" s="500"/>
      <c r="EQ154" s="501"/>
      <c r="ER154" s="501"/>
      <c r="ES154" s="501"/>
      <c r="ET154" s="501"/>
      <c r="EU154" s="500"/>
      <c r="EV154" s="501"/>
      <c r="EW154" s="501"/>
      <c r="EX154" s="501"/>
      <c r="EY154" s="501"/>
      <c r="EZ154" s="500"/>
      <c r="FA154" s="501"/>
      <c r="FB154" s="501"/>
      <c r="FC154" s="501"/>
      <c r="FD154" s="501"/>
      <c r="FE154" s="500"/>
      <c r="FF154" s="137"/>
      <c r="FG154" s="440"/>
      <c r="FM154" s="411"/>
      <c r="FN154" s="372"/>
      <c r="FO154" s="601"/>
      <c r="FP154" s="387"/>
      <c r="FQ154" s="387"/>
      <c r="FR154" s="387"/>
      <c r="FS154" s="372"/>
      <c r="FT154" s="462"/>
    </row>
    <row r="155" spans="1:184" ht="12.75" customHeight="1" x14ac:dyDescent="0.2">
      <c r="A155" s="496" t="s">
        <v>179</v>
      </c>
      <c r="B155" s="502"/>
      <c r="C155" s="502"/>
      <c r="D155" s="502"/>
      <c r="E155" s="502"/>
      <c r="F155" s="275"/>
      <c r="G155" s="502"/>
      <c r="H155" s="502"/>
      <c r="I155" s="502"/>
      <c r="J155" s="502"/>
      <c r="K155" s="275"/>
      <c r="L155" s="502"/>
      <c r="M155" s="502"/>
      <c r="N155" s="502"/>
      <c r="O155" s="502"/>
      <c r="P155" s="275"/>
      <c r="Q155" s="502"/>
      <c r="R155" s="502"/>
      <c r="S155" s="502"/>
      <c r="T155" s="502"/>
      <c r="U155" s="275"/>
      <c r="V155" s="502"/>
      <c r="W155" s="502"/>
      <c r="X155" s="502"/>
      <c r="Y155" s="502"/>
      <c r="Z155" s="275"/>
      <c r="AA155" s="502"/>
      <c r="AB155" s="502"/>
      <c r="AC155" s="502"/>
      <c r="AD155" s="502"/>
      <c r="AE155" s="275"/>
      <c r="AF155" s="502"/>
      <c r="AG155" s="502"/>
      <c r="AH155" s="502"/>
      <c r="AI155" s="502"/>
      <c r="AJ155" s="275"/>
      <c r="AK155" s="502"/>
      <c r="AL155" s="502"/>
      <c r="AM155" s="502"/>
      <c r="AN155" s="502"/>
      <c r="AO155" s="275"/>
      <c r="AP155" s="502"/>
      <c r="AQ155" s="502"/>
      <c r="AR155" s="502"/>
      <c r="AS155" s="502"/>
      <c r="AT155" s="275"/>
      <c r="AU155" s="502"/>
      <c r="AV155" s="502"/>
      <c r="AW155" s="502"/>
      <c r="AX155" s="502"/>
      <c r="AY155" s="275"/>
      <c r="AZ155" s="502"/>
      <c r="BA155" s="502"/>
      <c r="BB155" s="502"/>
      <c r="BC155" s="502"/>
      <c r="BD155" s="275"/>
      <c r="BE155" s="502"/>
      <c r="BF155" s="502"/>
      <c r="BG155" s="502"/>
      <c r="BH155" s="502"/>
      <c r="BI155" s="275"/>
      <c r="BJ155" s="502"/>
      <c r="BK155" s="502"/>
      <c r="BL155" s="502"/>
      <c r="BM155" s="502"/>
      <c r="BN155" s="275"/>
      <c r="BO155" s="502"/>
      <c r="BP155" s="502"/>
      <c r="BQ155" s="502"/>
      <c r="BR155" s="502"/>
      <c r="BS155" s="275"/>
      <c r="BT155" s="502">
        <f>AVERAGE(BS158,BT158)</f>
        <v>14.21</v>
      </c>
      <c r="BU155" s="502">
        <f>AVERAGE(BT158,BU158)</f>
        <v>15.49</v>
      </c>
      <c r="BV155" s="502">
        <f>AVERAGE(BU158,BV158)</f>
        <v>15.195</v>
      </c>
      <c r="BW155" s="502">
        <f>AVERAGE(BV158,BW158)</f>
        <v>14.95</v>
      </c>
      <c r="BX155" s="503">
        <f>AVERAGE(BS158,BX158)</f>
        <v>16.28</v>
      </c>
      <c r="BY155" s="502">
        <f>AVERAGE(BX158,BY158)</f>
        <v>15.260000000000002</v>
      </c>
      <c r="BZ155" s="502">
        <f>AVERAGE(BY158,BZ158)</f>
        <v>14.085000000000001</v>
      </c>
      <c r="CA155" s="502">
        <f>AVERAGE(BZ158,CA158)</f>
        <v>14.39</v>
      </c>
      <c r="CB155" s="502">
        <f>AVERAGE(CA158,CB158)</f>
        <v>15.64</v>
      </c>
      <c r="CC155" s="503">
        <f>AVERAGE(BX158,CC158)</f>
        <v>16.355</v>
      </c>
      <c r="CD155" s="502">
        <f>AVERAGE(CC158,CD158)</f>
        <v>17.21</v>
      </c>
      <c r="CE155" s="502">
        <f>AVERAGE(CD158,CE158)</f>
        <v>17.18</v>
      </c>
      <c r="CF155" s="502">
        <f>AVERAGE(CE158,CF158)</f>
        <v>16.515000000000001</v>
      </c>
      <c r="CG155" s="502">
        <f>AVERAGE(CF158,CG158)</f>
        <v>15.99</v>
      </c>
      <c r="CH155" s="503">
        <f>AVERAGE(CC158,CH158)</f>
        <v>15.875</v>
      </c>
      <c r="CI155" s="502">
        <f>AVERAGE(CH158,CI158)</f>
        <v>15.01</v>
      </c>
      <c r="CJ155" s="502">
        <f>AVERAGE(CI158,CJ158)</f>
        <v>14.805</v>
      </c>
      <c r="CK155" s="502">
        <f>AVERAGE(CJ158,CK158)</f>
        <v>14.855</v>
      </c>
      <c r="CL155" s="502">
        <f>AVERAGE(CK158,CL158)</f>
        <v>13.5</v>
      </c>
      <c r="CM155" s="503">
        <f>AVERAGE(CH158,CM158)</f>
        <v>13.76</v>
      </c>
      <c r="CN155" s="502">
        <f>AVERAGE(CM158,CN158)</f>
        <v>12.3</v>
      </c>
      <c r="CO155" s="502">
        <f>AVERAGE(CN158,CO158)</f>
        <v>12.719999999999999</v>
      </c>
      <c r="CP155" s="502">
        <f>AVERAGE(CO158,CP158)</f>
        <v>13.774999999999999</v>
      </c>
      <c r="CQ155" s="502">
        <f>AVERAGE(CP158,CQ158)</f>
        <v>11.565</v>
      </c>
      <c r="CR155" s="503">
        <f>AVERAGE(CM158,CR158)</f>
        <v>10.41</v>
      </c>
      <c r="CS155" s="502">
        <f>AVERAGE(CR158,CS158)</f>
        <v>7.4749999999999996</v>
      </c>
      <c r="CT155" s="502">
        <f>AVERAGE(CS158,CT158)</f>
        <v>6.53</v>
      </c>
      <c r="CU155" s="502">
        <f>AVERAGE(CT158,CU158)</f>
        <v>8.1649999999999991</v>
      </c>
      <c r="CV155" s="502">
        <f>AVERAGE(CU158,CV158)</f>
        <v>10.515000000000001</v>
      </c>
      <c r="CW155" s="503">
        <f>AVERAGE(CR158,CW158)</f>
        <v>10.024999999999999</v>
      </c>
      <c r="CX155" s="502">
        <f>AVERAGE(CW158,CX158)</f>
        <v>12.324999999999999</v>
      </c>
      <c r="CY155" s="502">
        <f>AVERAGE(CX158,CY158)</f>
        <v>12.164999999999999</v>
      </c>
      <c r="CZ155" s="502">
        <f>AVERAGE(CY158,CZ158)</f>
        <v>12.09</v>
      </c>
      <c r="DA155" s="502">
        <f>AVERAGE(CZ158,DA158)</f>
        <v>13.025</v>
      </c>
      <c r="DB155" s="503">
        <f>AVERAGE(CW158,DB158)</f>
        <v>12.205</v>
      </c>
      <c r="DC155" s="502">
        <f>AVERAGE(DB158,DC158)</f>
        <v>12.805</v>
      </c>
      <c r="DD155" s="502">
        <f>AVERAGE(DC158,DD158)</f>
        <v>12.025</v>
      </c>
      <c r="DE155" s="502">
        <f>AVERAGE(DD158,DE158)</f>
        <v>9.73</v>
      </c>
      <c r="DF155" s="502">
        <f>AVERAGE(DE158,DF158)</f>
        <v>8.3000000000000007</v>
      </c>
      <c r="DG155" s="503">
        <f>AVERAGE(DB158,DG158)</f>
        <v>10.77</v>
      </c>
      <c r="DH155" s="502">
        <f>AVERAGE(DG158,DH158)</f>
        <v>8.4</v>
      </c>
      <c r="DI155" s="502">
        <f>AVERAGE(DH158,DI158)</f>
        <v>8.73</v>
      </c>
      <c r="DJ155" s="502">
        <f>AVERAGE(DI158,DJ158)</f>
        <v>8.995000000000001</v>
      </c>
      <c r="DK155" s="502">
        <f>AVERAGE(DJ158,DK158)</f>
        <v>9.504999999999999</v>
      </c>
      <c r="DL155" s="503">
        <f>AVERAGE(DG158,DL158)</f>
        <v>9.4</v>
      </c>
      <c r="DM155" s="502">
        <f>AVERAGE(DL158,DM158)</f>
        <v>11.86</v>
      </c>
      <c r="DN155" s="502">
        <f>AVERAGE(DM158,DN158)</f>
        <v>13.185</v>
      </c>
      <c r="DO155" s="502">
        <f>AVERAGE(DN158,DO158)</f>
        <v>13.725000000000001</v>
      </c>
      <c r="DP155" s="502">
        <f>AVERAGE(DO158,DP158)</f>
        <v>16.7</v>
      </c>
      <c r="DQ155" s="503">
        <f>AVERAGE(DL158:DP158)</f>
        <v>14.002000000000001</v>
      </c>
      <c r="DR155" s="502">
        <f>AVERAGE(DQ158,DR158)</f>
        <v>21.224992999999998</v>
      </c>
      <c r="DS155" s="502">
        <f>AVERAGE(DR158,DS158)</f>
        <v>25.234985999999999</v>
      </c>
      <c r="DT155" s="502">
        <f>AVERAGE(DS158,DT158)</f>
        <v>30.314988</v>
      </c>
      <c r="DU155" s="502">
        <f>AVERAGE(DT158,DU158)</f>
        <v>38.044999000000004</v>
      </c>
      <c r="DV155" s="503">
        <f>AVERAGE(DQ158:DU158)</f>
        <v>29.079993999999999</v>
      </c>
      <c r="DW155" s="502">
        <f>AVERAGE(DV158,DW158)</f>
        <v>43.310006000000001</v>
      </c>
      <c r="DX155" s="502">
        <f>AVERAGE(DW158,DX158)</f>
        <v>38.695000499999999</v>
      </c>
      <c r="DY155" s="502">
        <f>AVERAGE(DX158,DY158)</f>
        <v>35.564995499999995</v>
      </c>
      <c r="DZ155" s="502">
        <f>AVERAGE(DY158,DZ158)</f>
        <v>40.549996</v>
      </c>
      <c r="EA155" s="503">
        <f>AVERAGE(DV158:DZ158)</f>
        <v>40.162000200000001</v>
      </c>
      <c r="EB155" s="502">
        <f>AVERAGE(EA158,EB158)</f>
        <v>43.930001000000004</v>
      </c>
      <c r="EC155" s="502">
        <f>AVERAGE(EB158,EC158)</f>
        <v>42.005005499999996</v>
      </c>
      <c r="ED155" s="502">
        <f>AVERAGE(EC158,ED158)</f>
        <v>39.050003500000003</v>
      </c>
      <c r="EE155" s="502">
        <f>AVERAGE(ED158,EE158)</f>
        <v>44.365000000000002</v>
      </c>
      <c r="EF155" s="503">
        <f>AVERAGE(EA158:EE158)</f>
        <v>43.160001800000003</v>
      </c>
      <c r="EG155" s="502">
        <f>AVERAGE(EF158,EG158)</f>
        <v>51.799997500000003</v>
      </c>
      <c r="EH155" s="502">
        <f>AVERAGE(EG158,EH158)</f>
        <v>57.949997500000002</v>
      </c>
      <c r="EI155" s="502">
        <f>AVERAGE(EH158,EI158)</f>
        <v>59.059998</v>
      </c>
      <c r="EJ155" s="502">
        <f>AVERAGE(EI158,EJ158)</f>
        <v>60.714996499999998</v>
      </c>
      <c r="EK155" s="503">
        <f>AVERAGE(EF158:EJ158)</f>
        <v>57.433997599999998</v>
      </c>
      <c r="EL155" s="502">
        <f>AVERAGE(EF158,EL158)</f>
        <v>51.799997500000003</v>
      </c>
      <c r="EM155" s="502">
        <f>AVERAGE(EL158,EM158)</f>
        <v>57.949997500000002</v>
      </c>
      <c r="EN155" s="502">
        <f>AVERAGE(EM158,EN158)</f>
        <v>59.059998</v>
      </c>
      <c r="EO155" s="502">
        <f>AVERAGE(EN158,EO158)</f>
        <v>60.714996499999998</v>
      </c>
      <c r="EP155" s="503">
        <f>AVERAGE(EF158,EL158:EO158)</f>
        <v>57.433997599999998</v>
      </c>
      <c r="EQ155" s="591">
        <f>AVERAGE(EO158,EQ158)</f>
        <v>66.26812196249999</v>
      </c>
      <c r="ER155" s="591">
        <f>AVERAGE(EQ158,ER158)</f>
        <v>67.92482501156249</v>
      </c>
      <c r="ES155" s="591">
        <f>AVERAGE(ER158,ES158)</f>
        <v>69.62294563685154</v>
      </c>
      <c r="ET155" s="591">
        <f>AVERAGE(ES158,ET158)</f>
        <v>71.363519277772824</v>
      </c>
      <c r="EU155" s="503">
        <f>AVERAGE(EP158:ET158)</f>
        <v>68.805337115734133</v>
      </c>
      <c r="EV155" s="591"/>
      <c r="EW155" s="591"/>
      <c r="EX155" s="591"/>
      <c r="EY155" s="591"/>
      <c r="EZ155" s="592">
        <f>AVERAGE(EU158,EZ158)</f>
        <v>75.85677789896593</v>
      </c>
      <c r="FA155" s="591"/>
      <c r="FB155" s="591"/>
      <c r="FC155" s="591"/>
      <c r="FD155" s="591"/>
      <c r="FE155" s="592">
        <f>AVERAGE(EZ158,FE158)</f>
        <v>83.442455688862537</v>
      </c>
      <c r="FF155" s="137"/>
      <c r="FG155" s="440"/>
      <c r="FM155" s="411"/>
      <c r="FN155" s="372"/>
      <c r="FO155" s="601"/>
      <c r="FP155" s="387"/>
      <c r="FQ155" s="387"/>
      <c r="FR155" s="387"/>
      <c r="FS155" s="372"/>
      <c r="FT155" s="462"/>
    </row>
    <row r="156" spans="1:184" ht="12.75" customHeight="1" x14ac:dyDescent="0.2">
      <c r="A156" s="497" t="s">
        <v>180</v>
      </c>
      <c r="B156" s="492"/>
      <c r="C156" s="492"/>
      <c r="D156" s="492"/>
      <c r="E156" s="492"/>
      <c r="F156" s="275"/>
      <c r="G156" s="492"/>
      <c r="H156" s="492"/>
      <c r="I156" s="492"/>
      <c r="J156" s="492"/>
      <c r="K156" s="275"/>
      <c r="L156" s="492"/>
      <c r="M156" s="492"/>
      <c r="N156" s="492"/>
      <c r="O156" s="492"/>
      <c r="P156" s="275"/>
      <c r="Q156" s="492"/>
      <c r="R156" s="492"/>
      <c r="S156" s="492"/>
      <c r="T156" s="492"/>
      <c r="U156" s="275"/>
      <c r="V156" s="492"/>
      <c r="W156" s="492"/>
      <c r="X156" s="492"/>
      <c r="Y156" s="492"/>
      <c r="Z156" s="275"/>
      <c r="AA156" s="492"/>
      <c r="AB156" s="492"/>
      <c r="AC156" s="492"/>
      <c r="AD156" s="492"/>
      <c r="AE156" s="275"/>
      <c r="AF156" s="492"/>
      <c r="AG156" s="492"/>
      <c r="AH156" s="492"/>
      <c r="AI156" s="492"/>
      <c r="AJ156" s="275"/>
      <c r="AK156" s="492"/>
      <c r="AL156" s="492"/>
      <c r="AM156" s="492"/>
      <c r="AN156" s="492"/>
      <c r="AO156" s="275"/>
      <c r="AP156" s="492"/>
      <c r="AQ156" s="492"/>
      <c r="AR156" s="492"/>
      <c r="AS156" s="492"/>
      <c r="AT156" s="275"/>
      <c r="AU156" s="492"/>
      <c r="AV156" s="492"/>
      <c r="AW156" s="492"/>
      <c r="AX156" s="492"/>
      <c r="AY156" s="275"/>
      <c r="AZ156" s="492"/>
      <c r="BA156" s="492"/>
      <c r="BB156" s="492"/>
      <c r="BC156" s="492"/>
      <c r="BD156" s="275"/>
      <c r="BE156" s="492"/>
      <c r="BF156" s="492"/>
      <c r="BG156" s="492"/>
      <c r="BH156" s="492"/>
      <c r="BI156" s="275"/>
      <c r="BJ156" s="492"/>
      <c r="BK156" s="492"/>
      <c r="BL156" s="492"/>
      <c r="BM156" s="492"/>
      <c r="BN156" s="275"/>
      <c r="BO156" s="492"/>
      <c r="BP156" s="492"/>
      <c r="BQ156" s="492"/>
      <c r="BR156" s="492"/>
      <c r="BS156" s="275"/>
      <c r="BT156" s="492"/>
      <c r="BU156" s="492"/>
      <c r="BV156" s="492"/>
      <c r="BW156" s="492"/>
      <c r="BX156" s="493"/>
      <c r="BY156" s="492">
        <f>BY155/BW155-1</f>
        <v>2.0735785953177377E-2</v>
      </c>
      <c r="BZ156" s="492">
        <f>BZ155/BY155-1</f>
        <v>-7.6998689384010555E-2</v>
      </c>
      <c r="CA156" s="492">
        <f>CA155/BZ155-1</f>
        <v>2.1654242101526444E-2</v>
      </c>
      <c r="CB156" s="492">
        <f>CB155/CA155-1</f>
        <v>8.6865879082696384E-2</v>
      </c>
      <c r="CC156" s="493">
        <f>CC157</f>
        <v>4.6068796068796658E-3</v>
      </c>
      <c r="CD156" s="492">
        <f>CD155/CB155-1</f>
        <v>0.10038363171355491</v>
      </c>
      <c r="CE156" s="492">
        <f>CE155/CD155-1</f>
        <v>-1.7431725740848503E-3</v>
      </c>
      <c r="CF156" s="492">
        <f>CF155/CE155-1</f>
        <v>-3.8707799767171092E-2</v>
      </c>
      <c r="CG156" s="492">
        <f>CG155/CF155-1</f>
        <v>-3.1789282470481406E-2</v>
      </c>
      <c r="CH156" s="493">
        <f>CH157</f>
        <v>-2.9348822989911372E-2</v>
      </c>
      <c r="CI156" s="492">
        <f>CI155/CG155-1</f>
        <v>-6.1288305190744241E-2</v>
      </c>
      <c r="CJ156" s="492">
        <f>CJ155/CI155-1</f>
        <v>-1.3657561625582959E-2</v>
      </c>
      <c r="CK156" s="492">
        <f>CK155/CJ155-1</f>
        <v>3.3772374197906796E-3</v>
      </c>
      <c r="CL156" s="492">
        <f>CL155/CK155-1</f>
        <v>-9.1215079097946794E-2</v>
      </c>
      <c r="CM156" s="493">
        <f>CM157</f>
        <v>-0.1332283464566929</v>
      </c>
      <c r="CN156" s="492">
        <f>CN155/CL155-1</f>
        <v>-8.8888888888888795E-2</v>
      </c>
      <c r="CO156" s="492">
        <f>CO155/CN155-1</f>
        <v>3.4146341463414442E-2</v>
      </c>
      <c r="CP156" s="492">
        <f>CP155/CO155-1</f>
        <v>8.2940251572326984E-2</v>
      </c>
      <c r="CQ156" s="492">
        <f>CQ155/CP155-1</f>
        <v>-0.16043557168784028</v>
      </c>
      <c r="CR156" s="493">
        <f>CR157</f>
        <v>-0.24345930232558133</v>
      </c>
      <c r="CS156" s="492">
        <f>CS155/CQ155-1</f>
        <v>-0.3536532641591007</v>
      </c>
      <c r="CT156" s="492">
        <f>CT155/CS155-1</f>
        <v>-0.12642140468227414</v>
      </c>
      <c r="CU156" s="492">
        <f>CU155/CT155-1</f>
        <v>0.25038284839203651</v>
      </c>
      <c r="CV156" s="492">
        <f>CV155/CU155-1</f>
        <v>0.2878138395590939</v>
      </c>
      <c r="CW156" s="493">
        <f>CW157</f>
        <v>-3.6983669548511178E-2</v>
      </c>
      <c r="CX156" s="492">
        <f>CX155/CV155-1</f>
        <v>0.17213504517356149</v>
      </c>
      <c r="CY156" s="492">
        <f>CY155/CX155-1</f>
        <v>-1.2981744421906694E-2</v>
      </c>
      <c r="CZ156" s="492">
        <f>CZ155/CY155-1</f>
        <v>-6.1652281134401132E-3</v>
      </c>
      <c r="DA156" s="492">
        <f>DA155/CZ155-1</f>
        <v>7.7336641852771004E-2</v>
      </c>
      <c r="DB156" s="493">
        <f>DB157</f>
        <v>0.21745635910224448</v>
      </c>
      <c r="DC156" s="492">
        <f>DC155/DA155-1</f>
        <v>-1.6890595009596998E-2</v>
      </c>
      <c r="DD156" s="492">
        <f>DD155/DC155-1</f>
        <v>-6.0913705583756306E-2</v>
      </c>
      <c r="DE156" s="492">
        <f>DE155/DD155-1</f>
        <v>-0.19085239085239081</v>
      </c>
      <c r="DF156" s="492">
        <f>DF155/DE155-1</f>
        <v>-0.14696813977389511</v>
      </c>
      <c r="DG156" s="493">
        <f>DG157</f>
        <v>-0.11757476444080295</v>
      </c>
      <c r="DH156" s="492">
        <f>DH155/DF155-1</f>
        <v>1.2048192771084265E-2</v>
      </c>
      <c r="DI156" s="492">
        <f>DI155/DH155-1</f>
        <v>3.9285714285714368E-2</v>
      </c>
      <c r="DJ156" s="492">
        <f>DJ155/DI155-1</f>
        <v>3.0355097365406758E-2</v>
      </c>
      <c r="DK156" s="492">
        <f>DK155/DJ155-1</f>
        <v>5.6698165647581789E-2</v>
      </c>
      <c r="DL156" s="493">
        <f>DL157</f>
        <v>-0.12720519962859789</v>
      </c>
      <c r="DM156" s="492">
        <f>DM155/DK155-1</f>
        <v>0.24776433456075764</v>
      </c>
      <c r="DN156" s="492">
        <f>DN155/DM155-1</f>
        <v>0.11172006745362584</v>
      </c>
      <c r="DO156" s="492">
        <f>DO155/DN155-1</f>
        <v>4.0955631399317571E-2</v>
      </c>
      <c r="DP156" s="492">
        <f>DP155/DO155-1</f>
        <v>0.21675774134790515</v>
      </c>
      <c r="DQ156" s="493">
        <f>DQ157</f>
        <v>0.48957446808510641</v>
      </c>
      <c r="DR156" s="492">
        <f>DR155/DP155-1</f>
        <v>0.27095766467065863</v>
      </c>
      <c r="DS156" s="492">
        <f>DS155/DR155-1</f>
        <v>0.18892788327421361</v>
      </c>
      <c r="DT156" s="492">
        <f>DT155/DS155-1</f>
        <v>0.20130789848664876</v>
      </c>
      <c r="DU156" s="492">
        <f>DU155/DT155-1</f>
        <v>0.25498974302744259</v>
      </c>
      <c r="DV156" s="493">
        <f>DV157</f>
        <v>1.0768457363233823</v>
      </c>
      <c r="DW156" s="492">
        <f>DW155/DU155-1</f>
        <v>0.13838893779442585</v>
      </c>
      <c r="DX156" s="492">
        <f>DX155/DW155-1</f>
        <v>-0.10655748927857467</v>
      </c>
      <c r="DY156" s="492">
        <f>DY155/DX155-1</f>
        <v>-8.0889131917700974E-2</v>
      </c>
      <c r="DZ156" s="492">
        <f>DZ155/DY155-1</f>
        <v>0.14016592522836135</v>
      </c>
      <c r="EA156" s="493">
        <f>EA157</f>
        <v>0.38108694933018228</v>
      </c>
      <c r="EB156" s="492">
        <f>EB155/DZ155-1</f>
        <v>8.335401562061806E-2</v>
      </c>
      <c r="EC156" s="492">
        <f>EC155/EB155-1</f>
        <v>-4.381960974687904E-2</v>
      </c>
      <c r="ED156" s="492">
        <f>ED155/EC155-1</f>
        <v>-7.0348806405941211E-2</v>
      </c>
      <c r="EE156" s="492">
        <f>EE155/ED155-1</f>
        <v>0.13610745258960089</v>
      </c>
      <c r="EF156" s="493">
        <f>EF157</f>
        <v>7.4647716375440876E-2</v>
      </c>
      <c r="EG156" s="492">
        <f>EG155/EE155-1</f>
        <v>0.16758700552237116</v>
      </c>
      <c r="EH156" s="492">
        <f>EH155/EG155-1</f>
        <v>0.1187258744558819</v>
      </c>
      <c r="EI156" s="492">
        <f>EI155/EH155-1</f>
        <v>1.9154452940226552E-2</v>
      </c>
      <c r="EJ156" s="492">
        <f>EJ155/EI155-1</f>
        <v>2.8022325703431328E-2</v>
      </c>
      <c r="EK156" s="493">
        <f>EK157</f>
        <v>0.33072278046105152</v>
      </c>
      <c r="EL156" s="492"/>
      <c r="EM156" s="492">
        <f>EM155/EL155-1</f>
        <v>0.1187258744558819</v>
      </c>
      <c r="EN156" s="492">
        <f>EN155/EM155-1</f>
        <v>1.9154452940226552E-2</v>
      </c>
      <c r="EO156" s="492">
        <f>EO155/EN155-1</f>
        <v>2.8022325703431328E-2</v>
      </c>
      <c r="EP156" s="493">
        <f>EP157</f>
        <v>0.33072278046105152</v>
      </c>
      <c r="EQ156" s="492">
        <f>EQ155/EO155-1</f>
        <v>9.1462172158734978E-2</v>
      </c>
      <c r="ER156" s="492">
        <f>ER155/EQ155-1</f>
        <v>2.4999999999999911E-2</v>
      </c>
      <c r="ES156" s="492">
        <f t="shared" ref="ES156" si="856">ES155/ER155-1</f>
        <v>2.4999999999999911E-2</v>
      </c>
      <c r="ET156" s="492">
        <f>ET155/ES155-1</f>
        <v>2.4999999999999911E-2</v>
      </c>
      <c r="EU156" s="493">
        <f>EU157</f>
        <v>0.19798969235834862</v>
      </c>
      <c r="EV156" s="492"/>
      <c r="EW156" s="492"/>
      <c r="EX156" s="492"/>
      <c r="EY156" s="492"/>
      <c r="EZ156" s="493">
        <f>EZ157</f>
        <v>0.10248392172500953</v>
      </c>
      <c r="FA156" s="492"/>
      <c r="FB156" s="492"/>
      <c r="FC156" s="492"/>
      <c r="FD156" s="492"/>
      <c r="FE156" s="493">
        <f>FE157</f>
        <v>0.10000000000000009</v>
      </c>
      <c r="FF156" s="137"/>
      <c r="FG156" s="440"/>
      <c r="FM156" s="411"/>
      <c r="FN156" s="372"/>
      <c r="FO156" s="601"/>
      <c r="FP156" s="387"/>
      <c r="FQ156" s="387"/>
      <c r="FR156" s="387"/>
      <c r="FS156" s="372"/>
      <c r="FT156" s="462"/>
    </row>
    <row r="157" spans="1:184" ht="12.75" customHeight="1" x14ac:dyDescent="0.2">
      <c r="A157" s="49" t="s">
        <v>181</v>
      </c>
      <c r="B157" s="492"/>
      <c r="C157" s="492"/>
      <c r="D157" s="492"/>
      <c r="E157" s="492"/>
      <c r="F157" s="275"/>
      <c r="G157" s="492"/>
      <c r="H157" s="492"/>
      <c r="I157" s="492"/>
      <c r="J157" s="492"/>
      <c r="K157" s="275"/>
      <c r="L157" s="492"/>
      <c r="M157" s="492"/>
      <c r="N157" s="492"/>
      <c r="O157" s="492"/>
      <c r="P157" s="275"/>
      <c r="Q157" s="492"/>
      <c r="R157" s="492"/>
      <c r="S157" s="492"/>
      <c r="T157" s="492"/>
      <c r="U157" s="275"/>
      <c r="V157" s="492"/>
      <c r="W157" s="492"/>
      <c r="X157" s="492"/>
      <c r="Y157" s="492"/>
      <c r="Z157" s="275"/>
      <c r="AA157" s="492"/>
      <c r="AB157" s="492"/>
      <c r="AC157" s="492"/>
      <c r="AD157" s="492"/>
      <c r="AE157" s="275"/>
      <c r="AF157" s="492"/>
      <c r="AG157" s="492"/>
      <c r="AH157" s="492"/>
      <c r="AI157" s="492"/>
      <c r="AJ157" s="275"/>
      <c r="AK157" s="492"/>
      <c r="AL157" s="492"/>
      <c r="AM157" s="492"/>
      <c r="AN157" s="492"/>
      <c r="AO157" s="275"/>
      <c r="AP157" s="492"/>
      <c r="AQ157" s="492"/>
      <c r="AR157" s="492"/>
      <c r="AS157" s="492"/>
      <c r="AT157" s="275"/>
      <c r="AU157" s="492"/>
      <c r="AV157" s="492"/>
      <c r="AW157" s="492"/>
      <c r="AX157" s="492"/>
      <c r="AY157" s="275"/>
      <c r="AZ157" s="492"/>
      <c r="BA157" s="492"/>
      <c r="BB157" s="492"/>
      <c r="BC157" s="492"/>
      <c r="BD157" s="275"/>
      <c r="BE157" s="492"/>
      <c r="BF157" s="492"/>
      <c r="BG157" s="492"/>
      <c r="BH157" s="492"/>
      <c r="BI157" s="275"/>
      <c r="BJ157" s="492"/>
      <c r="BK157" s="492"/>
      <c r="BL157" s="492"/>
      <c r="BM157" s="492"/>
      <c r="BN157" s="275"/>
      <c r="BO157" s="492"/>
      <c r="BP157" s="492"/>
      <c r="BQ157" s="492"/>
      <c r="BR157" s="492"/>
      <c r="BS157" s="275"/>
      <c r="BT157" s="492"/>
      <c r="BU157" s="492"/>
      <c r="BV157" s="492"/>
      <c r="BW157" s="492"/>
      <c r="BX157" s="493"/>
      <c r="BY157" s="492">
        <f t="shared" ref="BY157:DB157" si="857">BY155/BT155-1</f>
        <v>7.3891625615763568E-2</v>
      </c>
      <c r="BZ157" s="492">
        <f t="shared" si="857"/>
        <v>-9.0703679793415093E-2</v>
      </c>
      <c r="CA157" s="492">
        <f t="shared" si="857"/>
        <v>-5.2977953274103262E-2</v>
      </c>
      <c r="CB157" s="492">
        <f t="shared" si="857"/>
        <v>4.6153846153846212E-2</v>
      </c>
      <c r="CC157" s="493">
        <f t="shared" si="857"/>
        <v>4.6068796068796658E-3</v>
      </c>
      <c r="CD157" s="492">
        <f t="shared" si="857"/>
        <v>0.12778505897771941</v>
      </c>
      <c r="CE157" s="492">
        <f t="shared" si="857"/>
        <v>0.21973730919417811</v>
      </c>
      <c r="CF157" s="492">
        <f t="shared" si="857"/>
        <v>0.14767199444058376</v>
      </c>
      <c r="CG157" s="492">
        <f t="shared" si="857"/>
        <v>2.2378516624040889E-2</v>
      </c>
      <c r="CH157" s="493">
        <f t="shared" si="857"/>
        <v>-2.9348822989911372E-2</v>
      </c>
      <c r="CI157" s="492">
        <f t="shared" si="857"/>
        <v>-0.12783265543288791</v>
      </c>
      <c r="CJ157" s="492">
        <f t="shared" si="857"/>
        <v>-0.13824214202561114</v>
      </c>
      <c r="CK157" s="492">
        <f t="shared" si="857"/>
        <v>-0.10051468362095062</v>
      </c>
      <c r="CL157" s="492">
        <f t="shared" si="857"/>
        <v>-0.15572232645403383</v>
      </c>
      <c r="CM157" s="493">
        <f t="shared" si="857"/>
        <v>-0.1332283464566929</v>
      </c>
      <c r="CN157" s="492">
        <f t="shared" si="857"/>
        <v>-0.18054630246502323</v>
      </c>
      <c r="CO157" s="492">
        <f t="shared" si="857"/>
        <v>-0.14083080040526852</v>
      </c>
      <c r="CP157" s="492">
        <f t="shared" si="857"/>
        <v>-7.2702793672164367E-2</v>
      </c>
      <c r="CQ157" s="492">
        <f t="shared" si="857"/>
        <v>-0.14333333333333342</v>
      </c>
      <c r="CR157" s="493">
        <f t="shared" si="857"/>
        <v>-0.24345930232558133</v>
      </c>
      <c r="CS157" s="492">
        <f t="shared" si="857"/>
        <v>-0.39227642276422769</v>
      </c>
      <c r="CT157" s="492">
        <f t="shared" si="857"/>
        <v>-0.48663522012578608</v>
      </c>
      <c r="CU157" s="492">
        <f t="shared" si="857"/>
        <v>-0.40725952813067146</v>
      </c>
      <c r="CV157" s="492">
        <f t="shared" si="857"/>
        <v>-9.0791180285343609E-2</v>
      </c>
      <c r="CW157" s="493">
        <f t="shared" si="857"/>
        <v>-3.6983669548511178E-2</v>
      </c>
      <c r="CX157" s="492">
        <f t="shared" si="857"/>
        <v>0.6488294314381271</v>
      </c>
      <c r="CY157" s="492">
        <f t="shared" si="857"/>
        <v>0.86294027565084197</v>
      </c>
      <c r="CZ157" s="492">
        <f t="shared" si="857"/>
        <v>0.48071034905082688</v>
      </c>
      <c r="DA157" s="492">
        <f t="shared" si="857"/>
        <v>0.23870660960532564</v>
      </c>
      <c r="DB157" s="493">
        <f t="shared" si="857"/>
        <v>0.21745635910224448</v>
      </c>
      <c r="DC157" s="492">
        <f t="shared" ref="DC157:DN157" si="858">DC155/CX155-1</f>
        <v>3.8945233265720081E-2</v>
      </c>
      <c r="DD157" s="492">
        <f t="shared" si="858"/>
        <v>-1.150842581175493E-2</v>
      </c>
      <c r="DE157" s="492">
        <f t="shared" si="858"/>
        <v>-0.19520264681555</v>
      </c>
      <c r="DF157" s="492">
        <f t="shared" si="858"/>
        <v>-0.36276391554702492</v>
      </c>
      <c r="DG157" s="493">
        <f t="shared" si="858"/>
        <v>-0.11757476444080295</v>
      </c>
      <c r="DH157" s="492">
        <f t="shared" si="858"/>
        <v>-0.34400624755954701</v>
      </c>
      <c r="DI157" s="492">
        <f t="shared" si="858"/>
        <v>-0.27401247401247397</v>
      </c>
      <c r="DJ157" s="492">
        <f t="shared" si="858"/>
        <v>-7.5539568345323715E-2</v>
      </c>
      <c r="DK157" s="492">
        <f t="shared" si="858"/>
        <v>0.14518072289156603</v>
      </c>
      <c r="DL157" s="493">
        <f t="shared" si="858"/>
        <v>-0.12720519962859789</v>
      </c>
      <c r="DM157" s="492">
        <f t="shared" si="858"/>
        <v>0.41190476190476177</v>
      </c>
      <c r="DN157" s="492">
        <f t="shared" si="858"/>
        <v>0.51030927835051543</v>
      </c>
      <c r="DO157" s="492">
        <f t="shared" ref="DO157:DT157" si="859">DO155/DJ155-1</f>
        <v>0.52584769316286817</v>
      </c>
      <c r="DP157" s="492">
        <f t="shared" si="859"/>
        <v>0.75697001578116785</v>
      </c>
      <c r="DQ157" s="493">
        <f t="shared" si="859"/>
        <v>0.48957446808510641</v>
      </c>
      <c r="DR157" s="492">
        <f t="shared" si="859"/>
        <v>0.78962841483979762</v>
      </c>
      <c r="DS157" s="492">
        <f t="shared" si="859"/>
        <v>0.91391626848691687</v>
      </c>
      <c r="DT157" s="492">
        <f t="shared" si="859"/>
        <v>1.2087422950819668</v>
      </c>
      <c r="DU157" s="492">
        <f>DU155/DP155-1</f>
        <v>1.2781436526946113</v>
      </c>
      <c r="DV157" s="493">
        <f>DV155/DQ155-1</f>
        <v>1.0768457363233823</v>
      </c>
      <c r="DW157" s="492">
        <f>DW155/DR155-1</f>
        <v>1.0405192124209419</v>
      </c>
      <c r="DX157" s="492">
        <f>DX155/DS155-1</f>
        <v>0.53338704051589336</v>
      </c>
      <c r="DY157" s="492">
        <f>DY155/DT155-1</f>
        <v>0.17318190922589172</v>
      </c>
      <c r="DZ157" s="492">
        <f t="shared" ref="DZ157:EA157" si="860">DZ155/DU155-1</f>
        <v>6.5843003439164161E-2</v>
      </c>
      <c r="EA157" s="493">
        <f t="shared" si="860"/>
        <v>0.38108694933018228</v>
      </c>
      <c r="EB157" s="492">
        <f>EB155/DW155-1</f>
        <v>1.4315283170360349E-2</v>
      </c>
      <c r="EC157" s="492">
        <f>EC155/DX155-1</f>
        <v>8.5540895651364579E-2</v>
      </c>
      <c r="ED157" s="492">
        <f>ED155/DY155-1</f>
        <v>9.7989833852221597E-2</v>
      </c>
      <c r="EE157" s="492">
        <f t="shared" ref="EE157" si="861">EE155/DZ155-1</f>
        <v>9.4081488935288782E-2</v>
      </c>
      <c r="EF157" s="493">
        <f t="shared" ref="EF157" si="862">EF155/EA155-1</f>
        <v>7.4647716375440876E-2</v>
      </c>
      <c r="EG157" s="492">
        <f>EG155/EB155-1</f>
        <v>0.17914856182224992</v>
      </c>
      <c r="EH157" s="492">
        <f>EH155/EC155-1</f>
        <v>0.37959742678762431</v>
      </c>
      <c r="EI157" s="492">
        <f>EI155/ED155-1</f>
        <v>0.51241978761922513</v>
      </c>
      <c r="EJ157" s="492">
        <f t="shared" ref="EJ157" si="863">EJ155/EE155-1</f>
        <v>0.36853367519440994</v>
      </c>
      <c r="EK157" s="493">
        <f t="shared" ref="EK157" si="864">EK155/EF155-1</f>
        <v>0.33072278046105152</v>
      </c>
      <c r="EL157" s="492">
        <f>EL155/EB155-1</f>
        <v>0.17914856182224992</v>
      </c>
      <c r="EM157" s="492">
        <f>EM155/EC155-1</f>
        <v>0.37959742678762431</v>
      </c>
      <c r="EN157" s="492">
        <f>EN155/ED155-1</f>
        <v>0.51241978761922513</v>
      </c>
      <c r="EO157" s="492">
        <f>EO155/EE155-1</f>
        <v>0.36853367519440994</v>
      </c>
      <c r="EP157" s="493">
        <f>EP155/EF155-1</f>
        <v>0.33072278046105152</v>
      </c>
      <c r="EQ157" s="492">
        <f>EQ155/EL155-1</f>
        <v>0.27930743553607296</v>
      </c>
      <c r="ER157" s="492">
        <f>ER155/EM155-1</f>
        <v>0.1721281784621731</v>
      </c>
      <c r="ES157" s="492">
        <f>ES155/EN155-1</f>
        <v>0.17885113434733846</v>
      </c>
      <c r="ET157" s="492">
        <f>ET155/EO155-1</f>
        <v>0.17538538073987753</v>
      </c>
      <c r="EU157" s="493">
        <f>EU155/EP155-1</f>
        <v>0.19798969235834862</v>
      </c>
      <c r="EV157" s="492"/>
      <c r="EW157" s="492"/>
      <c r="EX157" s="492"/>
      <c r="EY157" s="492"/>
      <c r="EZ157" s="493">
        <f>EZ155/EU155-1</f>
        <v>0.10248392172500953</v>
      </c>
      <c r="FA157" s="492"/>
      <c r="FB157" s="492"/>
      <c r="FC157" s="492"/>
      <c r="FD157" s="492"/>
      <c r="FE157" s="493">
        <f>FE155/EZ155-1</f>
        <v>0.10000000000000009</v>
      </c>
      <c r="FF157" s="137"/>
      <c r="FG157" s="440"/>
      <c r="FL157" s="411"/>
      <c r="FM157" s="411"/>
      <c r="FN157" s="372"/>
      <c r="FO157" s="601"/>
      <c r="FP157" s="387"/>
      <c r="FQ157" s="387"/>
      <c r="FR157" s="387"/>
      <c r="FS157" s="372"/>
      <c r="FT157" s="462"/>
    </row>
    <row r="158" spans="1:184" ht="12.75" customHeight="1" x14ac:dyDescent="0.2">
      <c r="A158" s="496" t="s">
        <v>182</v>
      </c>
      <c r="B158" s="832"/>
      <c r="C158" s="832"/>
      <c r="D158" s="832"/>
      <c r="E158" s="832"/>
      <c r="F158" s="275"/>
      <c r="G158" s="832"/>
      <c r="H158" s="832"/>
      <c r="I158" s="832"/>
      <c r="J158" s="832"/>
      <c r="K158" s="275"/>
      <c r="L158" s="832"/>
      <c r="M158" s="832"/>
      <c r="N158" s="832"/>
      <c r="O158" s="832"/>
      <c r="P158" s="275"/>
      <c r="Q158" s="832"/>
      <c r="R158" s="832"/>
      <c r="S158" s="832"/>
      <c r="T158" s="832"/>
      <c r="U158" s="275"/>
      <c r="V158" s="832"/>
      <c r="W158" s="832"/>
      <c r="X158" s="832"/>
      <c r="Y158" s="832"/>
      <c r="Z158" s="275"/>
      <c r="AA158" s="832"/>
      <c r="AB158" s="832"/>
      <c r="AC158" s="832"/>
      <c r="AD158" s="832"/>
      <c r="AE158" s="275"/>
      <c r="AF158" s="832"/>
      <c r="AG158" s="832"/>
      <c r="AH158" s="832"/>
      <c r="AI158" s="832"/>
      <c r="AJ158" s="275"/>
      <c r="AK158" s="832"/>
      <c r="AL158" s="832"/>
      <c r="AM158" s="832"/>
      <c r="AN158" s="832"/>
      <c r="AO158" s="275"/>
      <c r="AP158" s="832"/>
      <c r="AQ158" s="832"/>
      <c r="AR158" s="832"/>
      <c r="AS158" s="832"/>
      <c r="AT158" s="275"/>
      <c r="AU158" s="832"/>
      <c r="AV158" s="832"/>
      <c r="AW158" s="832"/>
      <c r="AX158" s="832"/>
      <c r="AY158" s="275"/>
      <c r="AZ158" s="832"/>
      <c r="BA158" s="832"/>
      <c r="BB158" s="832"/>
      <c r="BC158" s="832"/>
      <c r="BD158" s="275"/>
      <c r="BE158" s="832"/>
      <c r="BF158" s="832"/>
      <c r="BG158" s="832"/>
      <c r="BH158" s="832"/>
      <c r="BI158" s="275"/>
      <c r="BJ158" s="832"/>
      <c r="BK158" s="832"/>
      <c r="BL158" s="832"/>
      <c r="BM158" s="832"/>
      <c r="BN158" s="275"/>
      <c r="BO158" s="832"/>
      <c r="BP158" s="832"/>
      <c r="BQ158" s="832"/>
      <c r="BR158" s="832"/>
      <c r="BS158" s="275"/>
      <c r="BT158" s="832">
        <v>14.21</v>
      </c>
      <c r="BU158" s="832">
        <v>16.77</v>
      </c>
      <c r="BV158" s="832">
        <v>13.62</v>
      </c>
      <c r="BW158" s="832">
        <v>16.28</v>
      </c>
      <c r="BX158" s="503">
        <f>BW158</f>
        <v>16.28</v>
      </c>
      <c r="BY158" s="832">
        <v>14.24</v>
      </c>
      <c r="BZ158" s="832">
        <v>13.93</v>
      </c>
      <c r="CA158" s="832">
        <v>14.85</v>
      </c>
      <c r="CB158" s="832">
        <v>16.43</v>
      </c>
      <c r="CC158" s="503">
        <f>CB158</f>
        <v>16.43</v>
      </c>
      <c r="CD158" s="832">
        <v>17.989999999999998</v>
      </c>
      <c r="CE158" s="832">
        <v>16.37</v>
      </c>
      <c r="CF158" s="832">
        <v>16.66</v>
      </c>
      <c r="CG158" s="832">
        <v>15.32</v>
      </c>
      <c r="CH158" s="503">
        <f>CG158</f>
        <v>15.32</v>
      </c>
      <c r="CI158" s="832">
        <v>14.7</v>
      </c>
      <c r="CJ158" s="832">
        <v>14.91</v>
      </c>
      <c r="CK158" s="832">
        <v>14.8</v>
      </c>
      <c r="CL158" s="832">
        <v>12.2</v>
      </c>
      <c r="CM158" s="503">
        <f>CL158</f>
        <v>12.2</v>
      </c>
      <c r="CN158" s="832">
        <v>12.4</v>
      </c>
      <c r="CO158" s="832">
        <v>13.04</v>
      </c>
      <c r="CP158" s="832">
        <v>14.51</v>
      </c>
      <c r="CQ158" s="832">
        <v>8.6199999999999992</v>
      </c>
      <c r="CR158" s="503">
        <f>CQ158</f>
        <v>8.6199999999999992</v>
      </c>
      <c r="CS158" s="832">
        <v>6.33</v>
      </c>
      <c r="CT158" s="832">
        <v>6.73</v>
      </c>
      <c r="CU158" s="832">
        <v>9.6</v>
      </c>
      <c r="CV158" s="832">
        <v>11.43</v>
      </c>
      <c r="CW158" s="503">
        <f>CV158</f>
        <v>11.43</v>
      </c>
      <c r="CX158" s="832">
        <v>13.22</v>
      </c>
      <c r="CY158" s="832">
        <v>11.11</v>
      </c>
      <c r="CZ158" s="832">
        <v>13.07</v>
      </c>
      <c r="DA158" s="832">
        <v>12.98</v>
      </c>
      <c r="DB158" s="503">
        <f>DA158</f>
        <v>12.98</v>
      </c>
      <c r="DC158" s="832">
        <v>12.63</v>
      </c>
      <c r="DD158" s="832">
        <v>11.42</v>
      </c>
      <c r="DE158" s="832">
        <v>8.0399999999999991</v>
      </c>
      <c r="DF158" s="832">
        <v>8.56</v>
      </c>
      <c r="DG158" s="503">
        <f>DF158</f>
        <v>8.56</v>
      </c>
      <c r="DH158" s="832">
        <v>8.24</v>
      </c>
      <c r="DI158" s="832">
        <v>9.2200000000000006</v>
      </c>
      <c r="DJ158" s="832">
        <v>8.77</v>
      </c>
      <c r="DK158" s="832">
        <v>10.24</v>
      </c>
      <c r="DL158" s="503">
        <f>DK158</f>
        <v>10.24</v>
      </c>
      <c r="DM158" s="832">
        <v>13.48</v>
      </c>
      <c r="DN158" s="832">
        <v>12.89</v>
      </c>
      <c r="DO158" s="832">
        <v>14.56</v>
      </c>
      <c r="DP158" s="832">
        <v>18.84</v>
      </c>
      <c r="DQ158" s="503">
        <f>DP158</f>
        <v>18.84</v>
      </c>
      <c r="DR158" s="832">
        <v>23.609985999999999</v>
      </c>
      <c r="DS158" s="832">
        <v>26.859985999999999</v>
      </c>
      <c r="DT158" s="832">
        <v>33.76999</v>
      </c>
      <c r="DU158" s="832">
        <v>42.320008000000001</v>
      </c>
      <c r="DV158" s="503">
        <f>DU158</f>
        <v>42.320008000000001</v>
      </c>
      <c r="DW158" s="832">
        <v>44.300004000000001</v>
      </c>
      <c r="DX158" s="832">
        <v>33.089996999999997</v>
      </c>
      <c r="DY158" s="832">
        <v>38.039994</v>
      </c>
      <c r="DZ158" s="832">
        <v>43.059998</v>
      </c>
      <c r="EA158" s="503">
        <f>DZ158</f>
        <v>43.059998</v>
      </c>
      <c r="EB158" s="832">
        <v>44.800004000000001</v>
      </c>
      <c r="EC158" s="832">
        <v>39.210006999999997</v>
      </c>
      <c r="ED158" s="832">
        <v>38.89</v>
      </c>
      <c r="EE158" s="832">
        <v>49.84</v>
      </c>
      <c r="EF158" s="503">
        <f>EE158</f>
        <v>49.84</v>
      </c>
      <c r="EG158" s="832">
        <v>53.759995000000004</v>
      </c>
      <c r="EH158" s="832">
        <v>62.14</v>
      </c>
      <c r="EI158" s="832">
        <v>55.979996</v>
      </c>
      <c r="EJ158" s="832">
        <v>65.449996999999996</v>
      </c>
      <c r="EK158" s="503">
        <f>EJ158</f>
        <v>65.449996999999996</v>
      </c>
      <c r="EL158" s="832">
        <v>53.759995000000004</v>
      </c>
      <c r="EM158" s="832">
        <v>62.14</v>
      </c>
      <c r="EN158" s="832">
        <v>55.979996</v>
      </c>
      <c r="EO158" s="832">
        <v>65.449996999999996</v>
      </c>
      <c r="EP158" s="503">
        <f>EO158</f>
        <v>65.449996999999996</v>
      </c>
      <c r="EQ158" s="502">
        <f>EO158*(1+EQ160)</f>
        <v>67.086246924999983</v>
      </c>
      <c r="ER158" s="502">
        <f>EQ158*(1+ER160)</f>
        <v>68.763403098124982</v>
      </c>
      <c r="ES158" s="502">
        <f t="shared" ref="ES158" si="865">ER158*(1+ES160)</f>
        <v>70.482488175578098</v>
      </c>
      <c r="ET158" s="502">
        <f>ES158*(1+ET160)</f>
        <v>72.244550379967549</v>
      </c>
      <c r="EU158" s="503">
        <f>ET158</f>
        <v>72.244550379967549</v>
      </c>
      <c r="EV158" s="502"/>
      <c r="EW158" s="502"/>
      <c r="EX158" s="502"/>
      <c r="EY158" s="502"/>
      <c r="EZ158" s="503">
        <f>EU158*(1+EZ160)</f>
        <v>79.469005417964311</v>
      </c>
      <c r="FA158" s="502"/>
      <c r="FB158" s="502"/>
      <c r="FC158" s="502"/>
      <c r="FD158" s="502"/>
      <c r="FE158" s="503">
        <f>EZ158*(1+FE160)</f>
        <v>87.41590595976075</v>
      </c>
      <c r="FF158" s="137"/>
      <c r="FG158" s="440"/>
      <c r="FL158" s="411"/>
      <c r="FM158" s="411"/>
      <c r="FN158" s="372"/>
      <c r="FO158" s="601"/>
      <c r="FP158" s="387"/>
      <c r="FQ158" s="387"/>
      <c r="FR158" s="387"/>
      <c r="FS158" s="372"/>
      <c r="FT158" s="462"/>
    </row>
    <row r="159" spans="1:184" ht="12.75" customHeight="1" x14ac:dyDescent="0.2">
      <c r="A159" s="498" t="s">
        <v>183</v>
      </c>
      <c r="B159" s="502"/>
      <c r="C159" s="502"/>
      <c r="D159" s="502"/>
      <c r="E159" s="502"/>
      <c r="F159" s="275"/>
      <c r="G159" s="502"/>
      <c r="H159" s="502"/>
      <c r="I159" s="502"/>
      <c r="J159" s="502"/>
      <c r="K159" s="275"/>
      <c r="L159" s="502"/>
      <c r="M159" s="502"/>
      <c r="N159" s="502"/>
      <c r="O159" s="502"/>
      <c r="P159" s="275"/>
      <c r="Q159" s="502"/>
      <c r="R159" s="502"/>
      <c r="S159" s="502"/>
      <c r="T159" s="502"/>
      <c r="U159" s="275"/>
      <c r="V159" s="502"/>
      <c r="W159" s="502"/>
      <c r="X159" s="502"/>
      <c r="Y159" s="502"/>
      <c r="Z159" s="275"/>
      <c r="AA159" s="502"/>
      <c r="AB159" s="502"/>
      <c r="AC159" s="502"/>
      <c r="AD159" s="502"/>
      <c r="AE159" s="275"/>
      <c r="AF159" s="502"/>
      <c r="AG159" s="502"/>
      <c r="AH159" s="502"/>
      <c r="AI159" s="502"/>
      <c r="AJ159" s="275"/>
      <c r="AK159" s="502"/>
      <c r="AL159" s="502"/>
      <c r="AM159" s="502"/>
      <c r="AN159" s="502"/>
      <c r="AO159" s="275"/>
      <c r="AP159" s="502"/>
      <c r="AQ159" s="502"/>
      <c r="AR159" s="502"/>
      <c r="AS159" s="502"/>
      <c r="AT159" s="275"/>
      <c r="AU159" s="502"/>
      <c r="AV159" s="502"/>
      <c r="AW159" s="502"/>
      <c r="AX159" s="502"/>
      <c r="AY159" s="275"/>
      <c r="AZ159" s="502"/>
      <c r="BA159" s="502"/>
      <c r="BB159" s="502"/>
      <c r="BC159" s="502"/>
      <c r="BD159" s="275"/>
      <c r="BE159" s="502"/>
      <c r="BF159" s="502"/>
      <c r="BG159" s="502"/>
      <c r="BH159" s="502"/>
      <c r="BI159" s="275"/>
      <c r="BJ159" s="502"/>
      <c r="BK159" s="502"/>
      <c r="BL159" s="502"/>
      <c r="BM159" s="502"/>
      <c r="BN159" s="275"/>
      <c r="BO159" s="502"/>
      <c r="BP159" s="502"/>
      <c r="BQ159" s="502"/>
      <c r="BR159" s="502"/>
      <c r="BS159" s="275"/>
      <c r="BT159" s="502"/>
      <c r="BU159" s="502"/>
      <c r="BV159" s="502"/>
      <c r="BW159" s="502"/>
      <c r="BX159" s="503">
        <f>BX158-BS158</f>
        <v>16.28</v>
      </c>
      <c r="BY159" s="502">
        <f>BY158-BX158</f>
        <v>-2.0400000000000009</v>
      </c>
      <c r="BZ159" s="502">
        <f>BZ158-BY158</f>
        <v>-0.3100000000000005</v>
      </c>
      <c r="CA159" s="502">
        <f>CA158-BZ158</f>
        <v>0.91999999999999993</v>
      </c>
      <c r="CB159" s="502">
        <f>CB158-CA158</f>
        <v>1.58</v>
      </c>
      <c r="CC159" s="503">
        <f>CC158-BX158</f>
        <v>0.14999999999999858</v>
      </c>
      <c r="CD159" s="502">
        <f>CD158-CC158</f>
        <v>1.5599999999999987</v>
      </c>
      <c r="CE159" s="502">
        <f>CE158-CD158</f>
        <v>-1.6199999999999974</v>
      </c>
      <c r="CF159" s="502">
        <f>CF158-CE158</f>
        <v>0.28999999999999915</v>
      </c>
      <c r="CG159" s="502">
        <f>CG158-CF158</f>
        <v>-1.3399999999999999</v>
      </c>
      <c r="CH159" s="503">
        <f>CH158-CC158</f>
        <v>-1.1099999999999994</v>
      </c>
      <c r="CI159" s="502">
        <f>CI158-CH158</f>
        <v>-0.62000000000000099</v>
      </c>
      <c r="CJ159" s="502">
        <f>CJ158-CI158</f>
        <v>0.21000000000000085</v>
      </c>
      <c r="CK159" s="502">
        <f>CK158-CJ158</f>
        <v>-0.10999999999999943</v>
      </c>
      <c r="CL159" s="502">
        <f>CL158-CK158</f>
        <v>-2.6000000000000014</v>
      </c>
      <c r="CM159" s="503">
        <f>CM158-CH158</f>
        <v>-3.120000000000001</v>
      </c>
      <c r="CN159" s="502">
        <f>CN158-CM158</f>
        <v>0.20000000000000107</v>
      </c>
      <c r="CO159" s="502">
        <f>CO158-CN158</f>
        <v>0.63999999999999879</v>
      </c>
      <c r="CP159" s="502">
        <f>CP158-CO158</f>
        <v>1.4700000000000006</v>
      </c>
      <c r="CQ159" s="502">
        <f>CQ158-CP158</f>
        <v>-5.8900000000000006</v>
      </c>
      <c r="CR159" s="503">
        <f>CR158-CM158</f>
        <v>-3.58</v>
      </c>
      <c r="CS159" s="502">
        <f>CS158-CR158</f>
        <v>-2.2899999999999991</v>
      </c>
      <c r="CT159" s="502">
        <f>CT158-CS158</f>
        <v>0.40000000000000036</v>
      </c>
      <c r="CU159" s="502">
        <f>CU158-CT158</f>
        <v>2.8699999999999992</v>
      </c>
      <c r="CV159" s="502">
        <f>CV158-CU158</f>
        <v>1.83</v>
      </c>
      <c r="CW159" s="503">
        <f>CW158-CR158</f>
        <v>2.8100000000000005</v>
      </c>
      <c r="CX159" s="502">
        <f>CX158-CW158</f>
        <v>1.7900000000000009</v>
      </c>
      <c r="CY159" s="502">
        <f>CY158-CX158</f>
        <v>-2.1100000000000012</v>
      </c>
      <c r="CZ159" s="502">
        <f>CZ158-CY158</f>
        <v>1.9600000000000009</v>
      </c>
      <c r="DA159" s="502">
        <f>DA158-CZ158</f>
        <v>-8.9999999999999858E-2</v>
      </c>
      <c r="DB159" s="503">
        <f>DB158-CW158</f>
        <v>1.5500000000000007</v>
      </c>
      <c r="DC159" s="502">
        <f>DC158-DB158</f>
        <v>-0.34999999999999964</v>
      </c>
      <c r="DD159" s="502">
        <f>DD158-DC158</f>
        <v>-1.2100000000000009</v>
      </c>
      <c r="DE159" s="502">
        <f>DE158-DD158</f>
        <v>-3.3800000000000008</v>
      </c>
      <c r="DF159" s="502">
        <f>DF158-DE158</f>
        <v>0.52000000000000135</v>
      </c>
      <c r="DG159" s="503">
        <f>DG158-DB158</f>
        <v>-4.42</v>
      </c>
      <c r="DH159" s="502">
        <f>DH158-DG158</f>
        <v>-0.32000000000000028</v>
      </c>
      <c r="DI159" s="502">
        <f>DI158-DH158</f>
        <v>0.98000000000000043</v>
      </c>
      <c r="DJ159" s="502">
        <f>DJ158-DI158</f>
        <v>-0.45000000000000107</v>
      </c>
      <c r="DK159" s="502">
        <f>DK158-DJ158</f>
        <v>1.4700000000000006</v>
      </c>
      <c r="DL159" s="503">
        <f>DL158-DG158</f>
        <v>1.6799999999999997</v>
      </c>
      <c r="DM159" s="502">
        <f>DM158-DL158</f>
        <v>3.24</v>
      </c>
      <c r="DN159" s="502">
        <f>DN158-DM158</f>
        <v>-0.58999999999999986</v>
      </c>
      <c r="DO159" s="502">
        <f>DO158-DN158</f>
        <v>1.67</v>
      </c>
      <c r="DP159" s="502">
        <f>DP158-DO158</f>
        <v>4.2799999999999994</v>
      </c>
      <c r="DQ159" s="503">
        <f>DQ158-DL158</f>
        <v>8.6</v>
      </c>
      <c r="DR159" s="502">
        <f>DR158-DQ158</f>
        <v>4.7699859999999994</v>
      </c>
      <c r="DS159" s="502">
        <f>DS158-DR158</f>
        <v>3.25</v>
      </c>
      <c r="DT159" s="502">
        <f>DT158-DS158</f>
        <v>6.9100040000000007</v>
      </c>
      <c r="DU159" s="502">
        <f>DU158-DT158</f>
        <v>8.5500180000000015</v>
      </c>
      <c r="DV159" s="503">
        <f>DV158-DQ158</f>
        <v>23.480008000000002</v>
      </c>
      <c r="DW159" s="502">
        <f>DW158-DV158</f>
        <v>1.9799959999999999</v>
      </c>
      <c r="DX159" s="502">
        <f>DX158-DW158</f>
        <v>-11.210007000000004</v>
      </c>
      <c r="DY159" s="502">
        <f>DY158-DX158</f>
        <v>4.9499970000000033</v>
      </c>
      <c r="DZ159" s="502">
        <f>DZ158-DY158</f>
        <v>5.0200040000000001</v>
      </c>
      <c r="EA159" s="503">
        <f>EA158-DV158</f>
        <v>0.73998999999999882</v>
      </c>
      <c r="EB159" s="502">
        <f>EB158-EA158</f>
        <v>1.7400060000000011</v>
      </c>
      <c r="EC159" s="502">
        <f>EC158-EB158</f>
        <v>-5.5899970000000039</v>
      </c>
      <c r="ED159" s="502">
        <f>ED158-EC158</f>
        <v>-0.32000699999999682</v>
      </c>
      <c r="EE159" s="502">
        <f>EE158-ED158</f>
        <v>10.950000000000003</v>
      </c>
      <c r="EF159" s="503">
        <f>EF158-EA158</f>
        <v>6.7800020000000032</v>
      </c>
      <c r="EG159" s="502">
        <f>EG158-EF158</f>
        <v>3.9199950000000001</v>
      </c>
      <c r="EH159" s="502">
        <f>EH158-EG158</f>
        <v>8.380004999999997</v>
      </c>
      <c r="EI159" s="502">
        <f>EI158-EH158</f>
        <v>-6.1600040000000007</v>
      </c>
      <c r="EJ159" s="502">
        <f>EJ158-EI158</f>
        <v>9.4700009999999963</v>
      </c>
      <c r="EK159" s="503">
        <f>EK158-EF158</f>
        <v>15.609996999999993</v>
      </c>
      <c r="EL159" s="502">
        <f>EL158-EF158</f>
        <v>3.9199950000000001</v>
      </c>
      <c r="EM159" s="502">
        <f>EM158-EL158</f>
        <v>8.380004999999997</v>
      </c>
      <c r="EN159" s="502">
        <f>EN158-EM158</f>
        <v>-6.1600040000000007</v>
      </c>
      <c r="EO159" s="502">
        <f>EO158-EN158</f>
        <v>9.4700009999999963</v>
      </c>
      <c r="EP159" s="503">
        <f>EP158-EF158</f>
        <v>15.609996999999993</v>
      </c>
      <c r="EQ159" s="502">
        <f>EQ158-EO158</f>
        <v>1.6362499249999871</v>
      </c>
      <c r="ER159" s="502">
        <f t="shared" ref="ER159:ET159" si="866">ER158-EQ158</f>
        <v>1.6771561731249989</v>
      </c>
      <c r="ES159" s="502">
        <f>ES158-ER158</f>
        <v>1.7190850774531157</v>
      </c>
      <c r="ET159" s="502">
        <f t="shared" si="866"/>
        <v>1.7620622043894514</v>
      </c>
      <c r="EU159" s="503">
        <f>EU158-EP158</f>
        <v>6.794553379967553</v>
      </c>
      <c r="EV159" s="502"/>
      <c r="EW159" s="502"/>
      <c r="EX159" s="502"/>
      <c r="EY159" s="502"/>
      <c r="EZ159" s="503">
        <f>EZ158-EU158</f>
        <v>7.224455037996762</v>
      </c>
      <c r="FA159" s="502"/>
      <c r="FB159" s="502"/>
      <c r="FC159" s="502"/>
      <c r="FD159" s="502"/>
      <c r="FE159" s="503">
        <f>FE158-EZ158</f>
        <v>7.9469005417964382</v>
      </c>
      <c r="FF159" s="137"/>
      <c r="FG159" s="440"/>
      <c r="FL159" s="411"/>
      <c r="FM159" s="411"/>
      <c r="FN159" s="372"/>
      <c r="FO159" s="601"/>
      <c r="FP159" s="387"/>
      <c r="FQ159" s="387"/>
      <c r="FR159" s="387"/>
      <c r="FS159" s="372"/>
      <c r="FT159" s="462"/>
    </row>
    <row r="160" spans="1:184" ht="12.75" customHeight="1" x14ac:dyDescent="0.2">
      <c r="A160" s="497" t="s">
        <v>184</v>
      </c>
      <c r="B160" s="492"/>
      <c r="C160" s="492"/>
      <c r="D160" s="492"/>
      <c r="E160" s="492"/>
      <c r="F160" s="275"/>
      <c r="G160" s="492"/>
      <c r="H160" s="492"/>
      <c r="I160" s="492"/>
      <c r="J160" s="492"/>
      <c r="K160" s="275"/>
      <c r="L160" s="492"/>
      <c r="M160" s="492"/>
      <c r="N160" s="492"/>
      <c r="O160" s="492"/>
      <c r="P160" s="275"/>
      <c r="Q160" s="492"/>
      <c r="R160" s="492"/>
      <c r="S160" s="492"/>
      <c r="T160" s="492"/>
      <c r="U160" s="275"/>
      <c r="V160" s="492"/>
      <c r="W160" s="492"/>
      <c r="X160" s="492"/>
      <c r="Y160" s="492"/>
      <c r="Z160" s="275"/>
      <c r="AA160" s="492"/>
      <c r="AB160" s="492"/>
      <c r="AC160" s="492"/>
      <c r="AD160" s="492"/>
      <c r="AE160" s="275"/>
      <c r="AF160" s="492"/>
      <c r="AG160" s="492"/>
      <c r="AH160" s="492"/>
      <c r="AI160" s="492"/>
      <c r="AJ160" s="275"/>
      <c r="AK160" s="492"/>
      <c r="AL160" s="492"/>
      <c r="AM160" s="492"/>
      <c r="AN160" s="492"/>
      <c r="AO160" s="275"/>
      <c r="AP160" s="492"/>
      <c r="AQ160" s="492"/>
      <c r="AR160" s="492"/>
      <c r="AS160" s="492"/>
      <c r="AT160" s="275"/>
      <c r="AU160" s="492"/>
      <c r="AV160" s="492"/>
      <c r="AW160" s="492"/>
      <c r="AX160" s="492"/>
      <c r="AY160" s="275"/>
      <c r="AZ160" s="492"/>
      <c r="BA160" s="492"/>
      <c r="BB160" s="492"/>
      <c r="BC160" s="492"/>
      <c r="BD160" s="275"/>
      <c r="BE160" s="492"/>
      <c r="BF160" s="492"/>
      <c r="BG160" s="492"/>
      <c r="BH160" s="492"/>
      <c r="BI160" s="275"/>
      <c r="BJ160" s="492"/>
      <c r="BK160" s="492"/>
      <c r="BL160" s="492"/>
      <c r="BM160" s="492"/>
      <c r="BN160" s="275"/>
      <c r="BO160" s="492"/>
      <c r="BP160" s="492"/>
      <c r="BQ160" s="492"/>
      <c r="BR160" s="492"/>
      <c r="BS160" s="275"/>
      <c r="BT160" s="492"/>
      <c r="BU160" s="492"/>
      <c r="BV160" s="492"/>
      <c r="BW160" s="492"/>
      <c r="BX160" s="493"/>
      <c r="BY160" s="492">
        <f>BY158/BW158-1</f>
        <v>-0.1253071253071254</v>
      </c>
      <c r="BZ160" s="492">
        <f>BZ158/BY158-1</f>
        <v>-2.1769662921348298E-2</v>
      </c>
      <c r="CA160" s="492">
        <f>CA158/BZ158-1</f>
        <v>6.6044508255563628E-2</v>
      </c>
      <c r="CB160" s="492">
        <f>CB158/CA158-1</f>
        <v>0.10639730639730649</v>
      </c>
      <c r="CC160" s="493">
        <f>CC159/BX158</f>
        <v>9.2137592137591252E-3</v>
      </c>
      <c r="CD160" s="492">
        <f>CD158/CB158-1</f>
        <v>9.4948265368228757E-2</v>
      </c>
      <c r="CE160" s="492">
        <f>CE158/CD158-1</f>
        <v>-9.0050027793218357E-2</v>
      </c>
      <c r="CF160" s="492">
        <f>CF158/CE158-1</f>
        <v>1.7715332926084182E-2</v>
      </c>
      <c r="CG160" s="492">
        <f>CG158/CF158-1</f>
        <v>-8.0432172869147611E-2</v>
      </c>
      <c r="CH160" s="493">
        <f>CH159/CC158</f>
        <v>-6.7559342665855115E-2</v>
      </c>
      <c r="CI160" s="492">
        <f>CI158/CG158-1</f>
        <v>-4.0469973890339461E-2</v>
      </c>
      <c r="CJ160" s="492">
        <f>CJ158/CI158-1</f>
        <v>1.4285714285714235E-2</v>
      </c>
      <c r="CK160" s="492">
        <f>CK158/CJ158-1</f>
        <v>-7.3775989268947129E-3</v>
      </c>
      <c r="CL160" s="492">
        <f>CL158/CK158-1</f>
        <v>-0.17567567567567577</v>
      </c>
      <c r="CM160" s="493">
        <f>CM159/CH158</f>
        <v>-0.20365535248041783</v>
      </c>
      <c r="CN160" s="492">
        <f>CN158/CL158-1</f>
        <v>1.6393442622950838E-2</v>
      </c>
      <c r="CO160" s="492">
        <f>CO158/CN158-1</f>
        <v>5.1612903225806361E-2</v>
      </c>
      <c r="CP160" s="492">
        <f>CP158/CO158-1</f>
        <v>0.11273006134969332</v>
      </c>
      <c r="CQ160" s="492">
        <f>CQ158/CP158-1</f>
        <v>-0.40592694693314957</v>
      </c>
      <c r="CR160" s="493">
        <f>CR159/CM158</f>
        <v>-0.29344262295081969</v>
      </c>
      <c r="CS160" s="492">
        <f>CS158/CQ158-1</f>
        <v>-0.2656612529002319</v>
      </c>
      <c r="CT160" s="492">
        <f>CT158/CS158-1</f>
        <v>6.3191153238546738E-2</v>
      </c>
      <c r="CU160" s="492">
        <f>CU158/CT158-1</f>
        <v>0.42644873699851393</v>
      </c>
      <c r="CV160" s="492">
        <f>CV158/CU158-1</f>
        <v>0.19062500000000004</v>
      </c>
      <c r="CW160" s="493">
        <f>CW159/CR158</f>
        <v>0.32598607888631098</v>
      </c>
      <c r="CX160" s="492">
        <f>CX158/CV158-1</f>
        <v>0.1566054243219599</v>
      </c>
      <c r="CY160" s="492">
        <f>CY158/CX158-1</f>
        <v>-0.15960665658093809</v>
      </c>
      <c r="CZ160" s="492">
        <f>CZ158/CY158-1</f>
        <v>0.17641764176417651</v>
      </c>
      <c r="DA160" s="492">
        <f>DA158/CZ158-1</f>
        <v>-6.8859984697781096E-3</v>
      </c>
      <c r="DB160" s="493">
        <f>DB159/CW158</f>
        <v>0.13560804899387582</v>
      </c>
      <c r="DC160" s="492">
        <f>DC158/DA158-1</f>
        <v>-2.6964560862865916E-2</v>
      </c>
      <c r="DD160" s="492">
        <f>DD158/DC158-1</f>
        <v>-9.5803642121931931E-2</v>
      </c>
      <c r="DE160" s="492">
        <f>DE158/DD158-1</f>
        <v>-0.29597197898423822</v>
      </c>
      <c r="DF160" s="492">
        <f>DF158/DE158-1</f>
        <v>6.4676616915423146E-2</v>
      </c>
      <c r="DG160" s="493">
        <f>DG159/DB158</f>
        <v>-0.34052388289676422</v>
      </c>
      <c r="DH160" s="492">
        <f>DH158/DF158-1</f>
        <v>-3.7383177570093462E-2</v>
      </c>
      <c r="DI160" s="492">
        <f>DI158/DH158-1</f>
        <v>0.11893203883495151</v>
      </c>
      <c r="DJ160" s="492">
        <f>DJ158/DI158-1</f>
        <v>-4.8806941431670414E-2</v>
      </c>
      <c r="DK160" s="492">
        <f>DK158/DJ158-1</f>
        <v>0.16761687571265682</v>
      </c>
      <c r="DL160" s="493">
        <f>DL159/DG158</f>
        <v>0.19626168224299062</v>
      </c>
      <c r="DM160" s="492">
        <f>DM158/DK158-1</f>
        <v>0.31640625</v>
      </c>
      <c r="DN160" s="492">
        <f>DN158/DM158-1</f>
        <v>-4.3768545994065322E-2</v>
      </c>
      <c r="DO160" s="492">
        <f>DO158/DN158-1</f>
        <v>0.12955779674166013</v>
      </c>
      <c r="DP160" s="492">
        <f>DP158/DO158-1</f>
        <v>0.2939560439560438</v>
      </c>
      <c r="DQ160" s="493">
        <f>DQ159/DL158</f>
        <v>0.83984375</v>
      </c>
      <c r="DR160" s="492">
        <f>DR158/DP158-1</f>
        <v>0.25318397027600836</v>
      </c>
      <c r="DS160" s="492">
        <f>DS158/DR158-1</f>
        <v>0.13765361826135769</v>
      </c>
      <c r="DT160" s="492">
        <f>DT158/DS158-1</f>
        <v>0.25726014898146254</v>
      </c>
      <c r="DU160" s="492">
        <f>DU158/DT158-1</f>
        <v>0.25318390677640124</v>
      </c>
      <c r="DV160" s="493">
        <f>DV159/DQ158</f>
        <v>1.2462849256900213</v>
      </c>
      <c r="DW160" s="492">
        <f>DW158/DU158-1</f>
        <v>4.6786286051741843E-2</v>
      </c>
      <c r="DX160" s="492">
        <f>DX158/DW158-1</f>
        <v>-0.25304753922821321</v>
      </c>
      <c r="DY160" s="492">
        <f>DY158/DX158-1</f>
        <v>0.14959194465928793</v>
      </c>
      <c r="DZ160" s="492">
        <f>DZ158/DY158-1</f>
        <v>0.13196647717662624</v>
      </c>
      <c r="EA160" s="493">
        <f>EA159/DV158</f>
        <v>1.748558270593897E-2</v>
      </c>
      <c r="EB160" s="492">
        <f>EB158/DZ158-1</f>
        <v>4.0408873219176744E-2</v>
      </c>
      <c r="EC160" s="492">
        <f>EC158/EB158-1</f>
        <v>-0.12477670760922266</v>
      </c>
      <c r="ED160" s="492">
        <f>ED158/EC158-1</f>
        <v>-8.1613604404608964E-3</v>
      </c>
      <c r="EE160" s="492">
        <f>EE158/ED158-1</f>
        <v>0.28156338390331714</v>
      </c>
      <c r="EF160" s="493">
        <f>EF159/EA158</f>
        <v>0.15745476811215836</v>
      </c>
      <c r="EG160" s="492">
        <f>EG158/EE158-1</f>
        <v>7.8651585072231134E-2</v>
      </c>
      <c r="EH160" s="492">
        <f>EH158/EG158-1</f>
        <v>0.15587808369401812</v>
      </c>
      <c r="EI160" s="492">
        <f>EI158/EH158-1</f>
        <v>-9.9131058899259772E-2</v>
      </c>
      <c r="EJ160" s="492">
        <f>EJ158/EI158-1</f>
        <v>0.1691675897940399</v>
      </c>
      <c r="EK160" s="493">
        <f>EK159/EF158</f>
        <v>0.31320218699839469</v>
      </c>
      <c r="EL160" s="492">
        <f>EL158/EB158-1</f>
        <v>0.1999997812500196</v>
      </c>
      <c r="EM160" s="492">
        <f>EM158/EL158-1</f>
        <v>0.15587808369401812</v>
      </c>
      <c r="EN160" s="492">
        <f>EN158/EM158-1</f>
        <v>-9.9131058899259772E-2</v>
      </c>
      <c r="EO160" s="492">
        <f>EO158/EN158-1</f>
        <v>0.1691675897940399</v>
      </c>
      <c r="EP160" s="493">
        <f>EP159/EF158</f>
        <v>0.31320218699839469</v>
      </c>
      <c r="EQ160" s="495">
        <v>2.5000000000000001E-2</v>
      </c>
      <c r="ER160" s="495">
        <v>2.5000000000000001E-2</v>
      </c>
      <c r="ES160" s="495">
        <v>2.5000000000000001E-2</v>
      </c>
      <c r="ET160" s="495">
        <v>2.5000000000000001E-2</v>
      </c>
      <c r="EU160" s="493">
        <f>EU159/EP158</f>
        <v>0.10381289062499963</v>
      </c>
      <c r="EV160" s="495"/>
      <c r="EW160" s="495"/>
      <c r="EX160" s="495"/>
      <c r="EY160" s="495"/>
      <c r="EZ160" s="504">
        <v>0.1</v>
      </c>
      <c r="FA160" s="495"/>
      <c r="FB160" s="495"/>
      <c r="FC160" s="495"/>
      <c r="FD160" s="495"/>
      <c r="FE160" s="504">
        <v>0.1</v>
      </c>
      <c r="FF160" s="137"/>
      <c r="FG160" s="440"/>
      <c r="FL160" s="411"/>
      <c r="FM160" s="411"/>
      <c r="FN160" s="372"/>
      <c r="FO160" s="601"/>
      <c r="FP160" s="387"/>
      <c r="FQ160" s="387"/>
      <c r="FR160" s="387"/>
      <c r="FS160" s="372"/>
      <c r="FT160" s="462"/>
    </row>
    <row r="161" spans="1:183" ht="12.75" customHeight="1" x14ac:dyDescent="0.2">
      <c r="A161" s="565" t="s">
        <v>73</v>
      </c>
      <c r="B161" s="833"/>
      <c r="C161" s="833"/>
      <c r="D161" s="833"/>
      <c r="E161" s="833"/>
      <c r="F161" s="275"/>
      <c r="G161" s="833"/>
      <c r="H161" s="833"/>
      <c r="I161" s="833"/>
      <c r="J161" s="833"/>
      <c r="K161" s="275"/>
      <c r="L161" s="833"/>
      <c r="M161" s="833"/>
      <c r="N161" s="833"/>
      <c r="O161" s="833"/>
      <c r="P161" s="275"/>
      <c r="Q161" s="833"/>
      <c r="R161" s="833"/>
      <c r="S161" s="833"/>
      <c r="T161" s="833"/>
      <c r="U161" s="275"/>
      <c r="V161" s="833"/>
      <c r="W161" s="833"/>
      <c r="X161" s="833"/>
      <c r="Y161" s="833"/>
      <c r="Z161" s="275"/>
      <c r="AA161" s="833"/>
      <c r="AB161" s="833"/>
      <c r="AC161" s="833"/>
      <c r="AD161" s="833"/>
      <c r="AE161" s="275"/>
      <c r="AF161" s="833"/>
      <c r="AG161" s="833"/>
      <c r="AH161" s="833"/>
      <c r="AI161" s="833"/>
      <c r="AJ161" s="275"/>
      <c r="AK161" s="833"/>
      <c r="AL161" s="833"/>
      <c r="AM161" s="833"/>
      <c r="AN161" s="833"/>
      <c r="AO161" s="275"/>
      <c r="AP161" s="833"/>
      <c r="AQ161" s="833"/>
      <c r="AR161" s="833"/>
      <c r="AS161" s="833"/>
      <c r="AT161" s="275"/>
      <c r="AU161" s="833"/>
      <c r="AV161" s="833"/>
      <c r="AW161" s="833"/>
      <c r="AX161" s="833"/>
      <c r="AY161" s="275"/>
      <c r="AZ161" s="833"/>
      <c r="BA161" s="833"/>
      <c r="BB161" s="833"/>
      <c r="BC161" s="833"/>
      <c r="BD161" s="275"/>
      <c r="BE161" s="833"/>
      <c r="BF161" s="833"/>
      <c r="BG161" s="833"/>
      <c r="BH161" s="833"/>
      <c r="BI161" s="275"/>
      <c r="BJ161" s="833"/>
      <c r="BK161" s="833"/>
      <c r="BL161" s="833"/>
      <c r="BM161" s="833"/>
      <c r="BN161" s="275"/>
      <c r="BO161" s="833"/>
      <c r="BP161" s="833"/>
      <c r="BQ161" s="833"/>
      <c r="BR161" s="833"/>
      <c r="BS161" s="275"/>
      <c r="BT161" s="833"/>
      <c r="BU161" s="833"/>
      <c r="BV161" s="833"/>
      <c r="BW161" s="833"/>
      <c r="BX161" s="493"/>
      <c r="BY161" s="833"/>
      <c r="BZ161" s="833"/>
      <c r="CA161" s="833"/>
      <c r="CB161" s="833"/>
      <c r="CC161" s="493"/>
      <c r="CD161" s="833"/>
      <c r="CE161" s="833"/>
      <c r="CF161" s="833"/>
      <c r="CG161" s="833"/>
      <c r="CH161" s="493"/>
      <c r="CI161" s="833"/>
      <c r="CJ161" s="833"/>
      <c r="CK161" s="833"/>
      <c r="CL161" s="833"/>
      <c r="CM161" s="493"/>
      <c r="CN161" s="833"/>
      <c r="CO161" s="833"/>
      <c r="CP161" s="833"/>
      <c r="CQ161" s="833"/>
      <c r="CR161" s="493"/>
      <c r="CS161" s="833"/>
      <c r="CT161" s="833"/>
      <c r="CU161" s="833"/>
      <c r="CV161" s="833"/>
      <c r="CW161" s="493"/>
      <c r="CX161" s="833"/>
      <c r="CY161" s="833"/>
      <c r="CZ161" s="833"/>
      <c r="DA161" s="833"/>
      <c r="DB161" s="493"/>
      <c r="DC161" s="833"/>
      <c r="DD161" s="833"/>
      <c r="DE161" s="833"/>
      <c r="DF161" s="833"/>
      <c r="DG161" s="493"/>
      <c r="DH161" s="833"/>
      <c r="DI161" s="833"/>
      <c r="DJ161" s="833"/>
      <c r="DK161" s="833"/>
      <c r="DL161" s="493"/>
      <c r="DM161" s="833">
        <v>0.01</v>
      </c>
      <c r="DN161" s="833">
        <v>0.04</v>
      </c>
      <c r="DO161" s="833">
        <v>0.04</v>
      </c>
      <c r="DP161" s="833">
        <v>0.04</v>
      </c>
      <c r="DQ161" s="100">
        <f>SUM(DM161:DP161)</f>
        <v>0.13</v>
      </c>
      <c r="DR161" s="833">
        <v>0.04</v>
      </c>
      <c r="DS161" s="833">
        <v>0.06</v>
      </c>
      <c r="DT161" s="833">
        <v>0.06</v>
      </c>
      <c r="DU161" s="833">
        <v>0.06</v>
      </c>
      <c r="DV161" s="100">
        <f>SUM(DR161:DU161)</f>
        <v>0.22</v>
      </c>
      <c r="DW161" s="833">
        <v>0.06</v>
      </c>
      <c r="DX161" s="833">
        <v>7.4999999999999997E-2</v>
      </c>
      <c r="DY161" s="833">
        <v>7.4999999999999997E-2</v>
      </c>
      <c r="DZ161" s="833">
        <v>7.4999999999999997E-2</v>
      </c>
      <c r="EA161" s="100">
        <f>SUM(DW161:DZ161)</f>
        <v>0.28500000000000003</v>
      </c>
      <c r="EB161" s="833">
        <v>7.4999999999999997E-2</v>
      </c>
      <c r="EC161" s="833">
        <v>0.1</v>
      </c>
      <c r="ED161" s="833">
        <v>0.1</v>
      </c>
      <c r="EE161" s="833">
        <v>0.1</v>
      </c>
      <c r="EF161" s="100">
        <f>SUM(EB161:EE161)</f>
        <v>0.375</v>
      </c>
      <c r="EG161" s="833">
        <v>0.1</v>
      </c>
      <c r="EH161" s="833">
        <v>0.125</v>
      </c>
      <c r="EI161" s="833">
        <v>0.125</v>
      </c>
      <c r="EJ161" s="833">
        <v>0.125</v>
      </c>
      <c r="EK161" s="100">
        <f>SUM(EG161:EJ161)</f>
        <v>0.47499999999999998</v>
      </c>
      <c r="EL161" s="833">
        <v>0.1</v>
      </c>
      <c r="EM161" s="833">
        <v>0.125</v>
      </c>
      <c r="EN161" s="833">
        <v>0.125</v>
      </c>
      <c r="EO161" s="833">
        <v>0.125</v>
      </c>
      <c r="EP161" s="100">
        <f>SUM(EL161:EO161)</f>
        <v>0.47499999999999998</v>
      </c>
      <c r="EQ161" s="566">
        <v>0.125</v>
      </c>
      <c r="ER161" s="566">
        <v>0.15</v>
      </c>
      <c r="ES161" s="566">
        <f t="shared" ref="ES161:ET161" si="867">ER161</f>
        <v>0.15</v>
      </c>
      <c r="ET161" s="566">
        <f t="shared" si="867"/>
        <v>0.15</v>
      </c>
      <c r="EU161" s="100">
        <f>SUM(EQ161:ET161)</f>
        <v>0.57500000000000007</v>
      </c>
      <c r="EV161" s="566">
        <f>+ET161</f>
        <v>0.15</v>
      </c>
      <c r="EW161" s="566">
        <v>0.15</v>
      </c>
      <c r="EX161" s="566">
        <f>+EW161</f>
        <v>0.15</v>
      </c>
      <c r="EY161" s="566">
        <f>+EX161</f>
        <v>0.15</v>
      </c>
      <c r="EZ161" s="100">
        <f>SUM(EV161:EY161)</f>
        <v>0.6</v>
      </c>
      <c r="FA161" s="566">
        <f>+EY161</f>
        <v>0.15</v>
      </c>
      <c r="FB161" s="566">
        <v>0.15</v>
      </c>
      <c r="FC161" s="566">
        <f>+FB161</f>
        <v>0.15</v>
      </c>
      <c r="FD161" s="566">
        <f>+FC161</f>
        <v>0.15</v>
      </c>
      <c r="FE161" s="100">
        <f>SUM(FA161:FD161)</f>
        <v>0.6</v>
      </c>
      <c r="FF161" s="137"/>
      <c r="FG161" s="440"/>
      <c r="FL161" s="411"/>
      <c r="FM161" s="411"/>
      <c r="FN161" s="372"/>
      <c r="FO161" s="601"/>
      <c r="FP161" s="387"/>
      <c r="FQ161" s="387"/>
      <c r="FR161" s="387"/>
      <c r="FS161" s="372"/>
      <c r="FT161" s="462"/>
    </row>
    <row r="162" spans="1:183" s="225" customFormat="1" ht="12.75" customHeight="1" x14ac:dyDescent="0.2">
      <c r="A162" s="165" t="s">
        <v>77</v>
      </c>
      <c r="B162" s="224"/>
      <c r="C162" s="224"/>
      <c r="D162" s="224"/>
      <c r="E162" s="224"/>
      <c r="F162" s="276"/>
      <c r="G162" s="224"/>
      <c r="H162" s="224"/>
      <c r="I162" s="224"/>
      <c r="J162" s="224"/>
      <c r="K162" s="276"/>
      <c r="L162" s="224"/>
      <c r="M162" s="224"/>
      <c r="N162" s="224"/>
      <c r="O162" s="224"/>
      <c r="P162" s="276"/>
      <c r="Q162" s="224"/>
      <c r="R162" s="224"/>
      <c r="S162" s="224"/>
      <c r="T162" s="224"/>
      <c r="U162" s="276"/>
      <c r="V162" s="224"/>
      <c r="W162" s="224"/>
      <c r="X162" s="224"/>
      <c r="Y162" s="224"/>
      <c r="Z162" s="276"/>
      <c r="AA162" s="224"/>
      <c r="AB162" s="224"/>
      <c r="AC162" s="224"/>
      <c r="AD162" s="224"/>
      <c r="AE162" s="276"/>
      <c r="AF162" s="224"/>
      <c r="AG162" s="224"/>
      <c r="AH162" s="224"/>
      <c r="AI162" s="224"/>
      <c r="AJ162" s="276"/>
      <c r="AK162" s="224"/>
      <c r="AL162" s="224"/>
      <c r="AM162" s="224"/>
      <c r="AN162" s="224"/>
      <c r="AO162" s="276"/>
      <c r="AP162" s="224"/>
      <c r="AQ162" s="224"/>
      <c r="AR162" s="224"/>
      <c r="AS162" s="224"/>
      <c r="AT162" s="276"/>
      <c r="AU162" s="224"/>
      <c r="AV162" s="224"/>
      <c r="AW162" s="224"/>
      <c r="AX162" s="224"/>
      <c r="AY162" s="276"/>
      <c r="AZ162" s="224"/>
      <c r="BA162" s="224"/>
      <c r="BB162" s="224"/>
      <c r="BC162" s="224"/>
      <c r="BD162" s="276"/>
      <c r="BE162" s="224"/>
      <c r="BF162" s="224"/>
      <c r="BG162" s="224"/>
      <c r="BH162" s="224"/>
      <c r="BI162" s="276"/>
      <c r="BJ162" s="224"/>
      <c r="BK162" s="224"/>
      <c r="BL162" s="224"/>
      <c r="BM162" s="224"/>
      <c r="BN162" s="276"/>
      <c r="BO162" s="224"/>
      <c r="BP162" s="224"/>
      <c r="BQ162" s="224"/>
      <c r="BR162" s="224"/>
      <c r="BS162" s="276"/>
      <c r="BT162" s="224"/>
      <c r="BU162" s="224"/>
      <c r="BV162" s="224"/>
      <c r="BW162" s="224"/>
      <c r="BX162" s="276"/>
      <c r="BY162" s="224"/>
      <c r="BZ162" s="224"/>
      <c r="CA162" s="224"/>
      <c r="CB162" s="224"/>
      <c r="CC162" s="276"/>
      <c r="CD162" s="224"/>
      <c r="CE162" s="224"/>
      <c r="CF162" s="224"/>
      <c r="CG162" s="224"/>
      <c r="CH162" s="276"/>
      <c r="CI162" s="224"/>
      <c r="CJ162" s="224"/>
      <c r="CK162" s="224"/>
      <c r="CL162" s="224"/>
      <c r="CM162" s="276"/>
      <c r="CN162" s="224"/>
      <c r="CO162" s="224"/>
      <c r="CP162" s="224"/>
      <c r="CQ162" s="224"/>
      <c r="CR162" s="322"/>
      <c r="CS162" s="224"/>
      <c r="CT162" s="224"/>
      <c r="CU162" s="224"/>
      <c r="CV162" s="224"/>
      <c r="CW162" s="322"/>
      <c r="CX162" s="224"/>
      <c r="CY162" s="224"/>
      <c r="CZ162" s="224"/>
      <c r="DA162" s="224"/>
      <c r="DB162" s="322"/>
      <c r="DC162" s="224"/>
      <c r="DD162" s="224"/>
      <c r="DE162" s="224"/>
      <c r="DF162" s="224"/>
      <c r="DG162" s="322"/>
      <c r="DH162" s="224"/>
      <c r="DI162" s="224"/>
      <c r="DJ162" s="224"/>
      <c r="DK162" s="224"/>
      <c r="DL162" s="322"/>
      <c r="DM162" s="224"/>
      <c r="DN162" s="224"/>
      <c r="DO162" s="224"/>
      <c r="DP162" s="224"/>
      <c r="DQ162" s="322"/>
      <c r="DR162" s="224"/>
      <c r="DS162" s="224"/>
      <c r="DT162" s="224"/>
      <c r="DU162" s="224"/>
      <c r="DV162" s="322"/>
      <c r="DW162" s="224"/>
      <c r="DX162" s="224"/>
      <c r="DY162" s="224"/>
      <c r="DZ162" s="224"/>
      <c r="EA162" s="322"/>
      <c r="EB162" s="224"/>
      <c r="EC162" s="224"/>
      <c r="ED162" s="224"/>
      <c r="EE162" s="224"/>
      <c r="EF162" s="322"/>
      <c r="EG162" s="224"/>
      <c r="EH162" s="224"/>
      <c r="EI162" s="224"/>
      <c r="EJ162" s="224"/>
      <c r="EK162" s="322"/>
      <c r="EL162" s="224"/>
      <c r="EM162" s="224"/>
      <c r="EN162" s="224"/>
      <c r="EO162" s="224"/>
      <c r="EP162" s="322"/>
      <c r="EQ162" s="224"/>
      <c r="ER162" s="224"/>
      <c r="ES162" s="224"/>
      <c r="ET162" s="224"/>
      <c r="EU162" s="322"/>
      <c r="EV162" s="224"/>
      <c r="EW162" s="224"/>
      <c r="EX162" s="224"/>
      <c r="EY162" s="224"/>
      <c r="EZ162" s="322"/>
      <c r="FA162" s="224"/>
      <c r="FB162" s="224"/>
      <c r="FC162" s="224"/>
      <c r="FD162" s="224"/>
      <c r="FE162" s="322"/>
      <c r="FF162" s="40"/>
      <c r="FG162" s="190"/>
      <c r="FH162" s="239"/>
      <c r="FI162" s="231"/>
      <c r="FJ162" s="231"/>
      <c r="FK162" s="231"/>
      <c r="FL162" s="406"/>
      <c r="FM162" s="406"/>
      <c r="FN162" s="368"/>
      <c r="FO162" s="601"/>
      <c r="FP162" s="387"/>
      <c r="FQ162" s="387"/>
      <c r="FR162" s="387"/>
      <c r="FS162" s="368"/>
      <c r="FT162" s="190"/>
      <c r="FU162"/>
      <c r="FV162"/>
      <c r="FW162"/>
      <c r="FX162"/>
      <c r="FY162"/>
      <c r="FZ162"/>
      <c r="GA162" s="240"/>
    </row>
    <row r="163" spans="1:183" ht="12.75" customHeight="1" x14ac:dyDescent="0.2">
      <c r="A163" s="21" t="s">
        <v>447</v>
      </c>
      <c r="B163" s="800"/>
      <c r="C163" s="800"/>
      <c r="D163" s="800"/>
      <c r="E163" s="800"/>
      <c r="F163" s="244">
        <v>0.37</v>
      </c>
      <c r="G163" s="800"/>
      <c r="H163" s="800"/>
      <c r="I163" s="800"/>
      <c r="J163" s="800"/>
      <c r="K163" s="244">
        <v>0.37</v>
      </c>
      <c r="L163" s="800"/>
      <c r="M163" s="800"/>
      <c r="N163" s="800"/>
      <c r="O163" s="800"/>
      <c r="P163" s="244">
        <v>0.37</v>
      </c>
      <c r="Q163" s="800"/>
      <c r="R163" s="800"/>
      <c r="S163" s="800"/>
      <c r="T163" s="800"/>
      <c r="U163" s="244">
        <v>0.37</v>
      </c>
      <c r="V163" s="800"/>
      <c r="W163" s="800"/>
      <c r="X163" s="800"/>
      <c r="Y163" s="800"/>
      <c r="Z163" s="244">
        <v>0.37</v>
      </c>
      <c r="AA163" s="800"/>
      <c r="AB163" s="800"/>
      <c r="AC163" s="800"/>
      <c r="AD163" s="800"/>
      <c r="AE163" s="244">
        <v>0.37</v>
      </c>
      <c r="AF163" s="800"/>
      <c r="AG163" s="800"/>
      <c r="AH163" s="800"/>
      <c r="AI163" s="800"/>
      <c r="AJ163" s="244">
        <v>0.37</v>
      </c>
      <c r="AK163" s="800"/>
      <c r="AL163" s="800"/>
      <c r="AM163" s="800"/>
      <c r="AN163" s="800"/>
      <c r="AO163" s="244">
        <v>0.37</v>
      </c>
      <c r="AP163" s="800"/>
      <c r="AQ163" s="800"/>
      <c r="AR163" s="800"/>
      <c r="AS163" s="800"/>
      <c r="AT163" s="244">
        <v>0.37</v>
      </c>
      <c r="AU163" s="800"/>
      <c r="AV163" s="800"/>
      <c r="AW163" s="800"/>
      <c r="AX163" s="800"/>
      <c r="AY163" s="244">
        <v>0.37</v>
      </c>
      <c r="AZ163" s="800"/>
      <c r="BA163" s="800"/>
      <c r="BB163" s="800"/>
      <c r="BC163" s="800"/>
      <c r="BD163" s="244">
        <v>0.37</v>
      </c>
      <c r="BE163" s="800"/>
      <c r="BF163" s="800"/>
      <c r="BG163" s="800"/>
      <c r="BH163" s="800"/>
      <c r="BI163" s="244">
        <v>0.37</v>
      </c>
      <c r="BJ163" s="800"/>
      <c r="BK163" s="800"/>
      <c r="BL163" s="800"/>
      <c r="BM163" s="800"/>
      <c r="BN163" s="244">
        <v>0.37</v>
      </c>
      <c r="BO163" s="800"/>
      <c r="BP163" s="800"/>
      <c r="BQ163" s="800"/>
      <c r="BR163" s="800"/>
      <c r="BS163" s="244">
        <v>0.37</v>
      </c>
      <c r="BT163" s="800"/>
      <c r="BU163" s="800"/>
      <c r="BV163" s="800"/>
      <c r="BW163" s="800"/>
      <c r="BX163" s="244">
        <v>0.37</v>
      </c>
      <c r="BY163" s="800"/>
      <c r="BZ163" s="800"/>
      <c r="CA163" s="800"/>
      <c r="CB163" s="800"/>
      <c r="CC163" s="244">
        <v>0.37</v>
      </c>
      <c r="CD163" s="800"/>
      <c r="CE163" s="800"/>
      <c r="CF163" s="800"/>
      <c r="CG163" s="800"/>
      <c r="CH163" s="244">
        <v>0.37</v>
      </c>
      <c r="CI163" s="800"/>
      <c r="CJ163" s="800"/>
      <c r="CK163" s="800"/>
      <c r="CL163" s="800"/>
      <c r="CM163" s="244">
        <v>0.37</v>
      </c>
      <c r="CN163" s="800"/>
      <c r="CO163" s="800"/>
      <c r="CP163" s="800"/>
      <c r="CQ163" s="800"/>
      <c r="CR163" s="110">
        <v>0.37</v>
      </c>
      <c r="CS163" s="800"/>
      <c r="CT163" s="800"/>
      <c r="CU163" s="800"/>
      <c r="CV163" s="800"/>
      <c r="CW163" s="110">
        <v>0.37</v>
      </c>
      <c r="CX163" s="800"/>
      <c r="CY163" s="800"/>
      <c r="CZ163" s="800"/>
      <c r="DA163" s="800"/>
      <c r="DB163" s="110">
        <v>0.37</v>
      </c>
      <c r="DC163" s="800">
        <v>0.37</v>
      </c>
      <c r="DD163" s="800">
        <v>0.37</v>
      </c>
      <c r="DE163" s="800">
        <v>0.37</v>
      </c>
      <c r="DF163" s="800">
        <v>0.37</v>
      </c>
      <c r="DG163" s="110">
        <v>0.37</v>
      </c>
      <c r="DH163" s="800">
        <v>0.37</v>
      </c>
      <c r="DI163" s="800">
        <v>0.37</v>
      </c>
      <c r="DJ163" s="800">
        <v>0.37</v>
      </c>
      <c r="DK163" s="800">
        <v>0.37</v>
      </c>
      <c r="DL163" s="110">
        <v>0.37</v>
      </c>
      <c r="DM163" s="800">
        <v>0.37</v>
      </c>
      <c r="DN163" s="800">
        <v>0.37</v>
      </c>
      <c r="DO163" s="800">
        <v>0.37</v>
      </c>
      <c r="DP163" s="800">
        <v>0.37</v>
      </c>
      <c r="DQ163" s="110">
        <v>0.37</v>
      </c>
      <c r="DR163" s="800">
        <v>0.37</v>
      </c>
      <c r="DS163" s="800">
        <v>0.37</v>
      </c>
      <c r="DT163" s="800">
        <v>0.37</v>
      </c>
      <c r="DU163" s="800">
        <v>0.37</v>
      </c>
      <c r="DV163" s="110">
        <v>0.37</v>
      </c>
      <c r="DW163" s="800">
        <v>0.37</v>
      </c>
      <c r="DX163" s="800">
        <v>0.37</v>
      </c>
      <c r="DY163" s="800">
        <v>0.37</v>
      </c>
      <c r="DZ163" s="800">
        <v>0.37</v>
      </c>
      <c r="EA163" s="110">
        <v>0.37</v>
      </c>
      <c r="EB163" s="800">
        <v>0.37</v>
      </c>
      <c r="EC163" s="800">
        <v>0.37</v>
      </c>
      <c r="ED163" s="800">
        <v>0.37</v>
      </c>
      <c r="EE163" s="800">
        <v>0.37</v>
      </c>
      <c r="EF163" s="110">
        <v>0.37</v>
      </c>
      <c r="EG163" s="800">
        <v>0.37</v>
      </c>
      <c r="EH163" s="800">
        <v>0.37</v>
      </c>
      <c r="EI163" s="800">
        <v>0.37</v>
      </c>
      <c r="EJ163" s="800">
        <v>0.37</v>
      </c>
      <c r="EK163" s="110">
        <v>0.37</v>
      </c>
      <c r="EL163" s="800">
        <v>0.37</v>
      </c>
      <c r="EM163" s="800">
        <v>0.37</v>
      </c>
      <c r="EN163" s="800">
        <v>0.37</v>
      </c>
      <c r="EO163" s="800">
        <v>0.37</v>
      </c>
      <c r="EP163" s="110">
        <v>0.37</v>
      </c>
      <c r="EQ163" s="133">
        <v>0.21</v>
      </c>
      <c r="ER163" s="133">
        <v>0.21</v>
      </c>
      <c r="ES163" s="133">
        <v>0.21</v>
      </c>
      <c r="ET163" s="133">
        <v>0.21</v>
      </c>
      <c r="EU163" s="110">
        <v>0.21</v>
      </c>
      <c r="EV163" s="133"/>
      <c r="EW163" s="133"/>
      <c r="EX163" s="133"/>
      <c r="EY163" s="133"/>
      <c r="EZ163" s="327">
        <v>0.21</v>
      </c>
      <c r="FA163" s="133"/>
      <c r="FB163" s="133"/>
      <c r="FC163" s="133"/>
      <c r="FD163" s="133"/>
      <c r="FE163" s="327">
        <v>0.21</v>
      </c>
      <c r="FF163" s="133"/>
      <c r="FG163" s="437"/>
      <c r="FL163" s="408"/>
      <c r="FM163" s="408"/>
      <c r="FN163" s="369"/>
      <c r="FO163" s="601"/>
      <c r="FP163" s="387"/>
      <c r="FQ163" s="387"/>
      <c r="FR163" s="387"/>
      <c r="FS163" s="369"/>
      <c r="FT163" s="190"/>
    </row>
    <row r="164" spans="1:183" ht="12.75" customHeight="1" x14ac:dyDescent="0.2">
      <c r="A164" s="174" t="s">
        <v>137</v>
      </c>
      <c r="B164" s="834"/>
      <c r="C164" s="834"/>
      <c r="D164" s="834"/>
      <c r="E164" s="834"/>
      <c r="F164" s="114"/>
      <c r="G164" s="834"/>
      <c r="H164" s="834"/>
      <c r="I164" s="834"/>
      <c r="J164" s="834"/>
      <c r="K164" s="114"/>
      <c r="L164" s="834"/>
      <c r="M164" s="834"/>
      <c r="N164" s="834"/>
      <c r="O164" s="834"/>
      <c r="P164" s="114"/>
      <c r="Q164" s="834"/>
      <c r="R164" s="834"/>
      <c r="S164" s="834"/>
      <c r="T164" s="834"/>
      <c r="U164" s="114"/>
      <c r="V164" s="834"/>
      <c r="W164" s="834"/>
      <c r="X164" s="834"/>
      <c r="Y164" s="834"/>
      <c r="Z164" s="114"/>
      <c r="AA164" s="834"/>
      <c r="AB164" s="834"/>
      <c r="AC164" s="834"/>
      <c r="AD164" s="834"/>
      <c r="AE164" s="114"/>
      <c r="AF164" s="834"/>
      <c r="AG164" s="834"/>
      <c r="AH164" s="834"/>
      <c r="AI164" s="834"/>
      <c r="AJ164" s="114"/>
      <c r="AK164" s="834"/>
      <c r="AL164" s="834"/>
      <c r="AM164" s="834"/>
      <c r="AN164" s="834"/>
      <c r="AO164" s="114"/>
      <c r="AP164" s="834"/>
      <c r="AQ164" s="834"/>
      <c r="AR164" s="834"/>
      <c r="AS164" s="834"/>
      <c r="AT164" s="114"/>
      <c r="AU164" s="834"/>
      <c r="AV164" s="834"/>
      <c r="AW164" s="834"/>
      <c r="AX164" s="834"/>
      <c r="AY164" s="114"/>
      <c r="AZ164" s="834"/>
      <c r="BA164" s="834"/>
      <c r="BB164" s="834"/>
      <c r="BC164" s="834"/>
      <c r="BD164" s="114"/>
      <c r="BE164" s="834"/>
      <c r="BF164" s="834"/>
      <c r="BG164" s="834"/>
      <c r="BH164" s="834"/>
      <c r="BI164" s="114"/>
      <c r="BJ164" s="834"/>
      <c r="BK164" s="834"/>
      <c r="BL164" s="834"/>
      <c r="BM164" s="834"/>
      <c r="BN164" s="120">
        <f>SUM(BJ164:BM164)</f>
        <v>0</v>
      </c>
      <c r="BO164" s="834"/>
      <c r="BP164" s="834"/>
      <c r="BQ164" s="834"/>
      <c r="BR164" s="834"/>
      <c r="BS164" s="120">
        <f>SUM(BO164:BR164)</f>
        <v>0</v>
      </c>
      <c r="BT164" s="834"/>
      <c r="BU164" s="834">
        <v>-12</v>
      </c>
      <c r="BV164" s="834"/>
      <c r="BW164" s="834"/>
      <c r="BX164" s="120">
        <f>SUM(BT164:BW164)</f>
        <v>-12</v>
      </c>
      <c r="BY164" s="834">
        <v>0</v>
      </c>
      <c r="BZ164" s="834">
        <v>0</v>
      </c>
      <c r="CA164" s="834">
        <v>0</v>
      </c>
      <c r="CB164" s="834">
        <v>0</v>
      </c>
      <c r="CC164" s="120">
        <f>SUM(BY164:CB164)</f>
        <v>0</v>
      </c>
      <c r="CD164" s="834">
        <v>0</v>
      </c>
      <c r="CE164" s="834">
        <v>0</v>
      </c>
      <c r="CF164" s="834">
        <v>0</v>
      </c>
      <c r="CG164" s="834">
        <v>0</v>
      </c>
      <c r="CH164" s="120">
        <f>SUM(CD164:CG164)</f>
        <v>0</v>
      </c>
      <c r="CI164" s="834">
        <v>0</v>
      </c>
      <c r="CJ164" s="834">
        <v>0</v>
      </c>
      <c r="CK164" s="834">
        <v>0</v>
      </c>
      <c r="CL164" s="834">
        <v>0</v>
      </c>
      <c r="CM164" s="120">
        <f>SUM(CI164:CL164)</f>
        <v>0</v>
      </c>
      <c r="CN164" s="834">
        <v>0</v>
      </c>
      <c r="CO164" s="834">
        <v>0</v>
      </c>
      <c r="CP164" s="834">
        <v>0</v>
      </c>
      <c r="CQ164" s="834">
        <v>0</v>
      </c>
      <c r="CR164" s="120">
        <f>SUM(CN164:CQ164)</f>
        <v>0</v>
      </c>
      <c r="CS164" s="834">
        <v>0</v>
      </c>
      <c r="CT164" s="834">
        <v>0</v>
      </c>
      <c r="CU164" s="834">
        <v>0</v>
      </c>
      <c r="CV164" s="834">
        <v>0</v>
      </c>
      <c r="CW164" s="120">
        <f>SUM(CS164:CV164)</f>
        <v>0</v>
      </c>
      <c r="CX164" s="834">
        <v>0</v>
      </c>
      <c r="CY164" s="834">
        <v>0</v>
      </c>
      <c r="CZ164" s="834">
        <v>0</v>
      </c>
      <c r="DA164" s="834">
        <v>0</v>
      </c>
      <c r="DB164" s="120">
        <f>SUM(CX164:DA164)</f>
        <v>0</v>
      </c>
      <c r="DC164" s="834">
        <v>0</v>
      </c>
      <c r="DD164" s="834">
        <v>0</v>
      </c>
      <c r="DE164" s="834">
        <v>0</v>
      </c>
      <c r="DF164" s="834">
        <v>0</v>
      </c>
      <c r="DG164" s="120">
        <f>SUM(DC164:DF164)</f>
        <v>0</v>
      </c>
      <c r="DH164" s="834">
        <v>0</v>
      </c>
      <c r="DI164" s="834">
        <v>0</v>
      </c>
      <c r="DJ164" s="834">
        <v>0</v>
      </c>
      <c r="DK164" s="834">
        <v>0</v>
      </c>
      <c r="DL164" s="120">
        <f>SUM(DH164:DK164)</f>
        <v>0</v>
      </c>
      <c r="DM164" s="834">
        <v>0</v>
      </c>
      <c r="DN164" s="834">
        <v>0</v>
      </c>
      <c r="DO164" s="834">
        <v>0</v>
      </c>
      <c r="DP164" s="834">
        <v>0</v>
      </c>
      <c r="DQ164" s="120">
        <f>SUM(DM164:DP164)</f>
        <v>0</v>
      </c>
      <c r="DR164" s="834">
        <v>0</v>
      </c>
      <c r="DS164" s="834">
        <v>0</v>
      </c>
      <c r="DT164" s="834">
        <v>0</v>
      </c>
      <c r="DU164" s="834">
        <v>0</v>
      </c>
      <c r="DV164" s="120">
        <f>SUM(DR164:DU164)</f>
        <v>0</v>
      </c>
      <c r="DW164" s="834">
        <v>0</v>
      </c>
      <c r="DX164" s="834">
        <v>0</v>
      </c>
      <c r="DY164" s="834">
        <v>0</v>
      </c>
      <c r="DZ164" s="834">
        <v>0</v>
      </c>
      <c r="EA164" s="120">
        <f>SUM(DW164:DZ164)</f>
        <v>0</v>
      </c>
      <c r="EB164" s="834">
        <v>0</v>
      </c>
      <c r="EC164" s="834">
        <v>0</v>
      </c>
      <c r="ED164" s="834">
        <v>0</v>
      </c>
      <c r="EE164" s="834">
        <v>0</v>
      </c>
      <c r="EF164" s="120">
        <f>SUM(EB164:EE164)</f>
        <v>0</v>
      </c>
      <c r="EG164" s="834">
        <v>0</v>
      </c>
      <c r="EH164" s="834">
        <v>0</v>
      </c>
      <c r="EI164" s="834">
        <v>0</v>
      </c>
      <c r="EJ164" s="834">
        <v>0</v>
      </c>
      <c r="EK164" s="120">
        <f>SUM(EG164:EJ164)</f>
        <v>0</v>
      </c>
      <c r="EL164" s="834">
        <v>0</v>
      </c>
      <c r="EM164" s="834">
        <v>0</v>
      </c>
      <c r="EN164" s="834">
        <v>0</v>
      </c>
      <c r="EO164" s="834">
        <v>0</v>
      </c>
      <c r="EP164" s="120">
        <f>SUM(EL164:EO164)</f>
        <v>0</v>
      </c>
      <c r="EQ164" s="168">
        <v>0</v>
      </c>
      <c r="ER164" s="168">
        <v>0</v>
      </c>
      <c r="ES164" s="168">
        <v>0</v>
      </c>
      <c r="ET164" s="168">
        <v>0</v>
      </c>
      <c r="EU164" s="120">
        <f>SUM(EQ164:ET164)</f>
        <v>0</v>
      </c>
      <c r="EV164" s="168"/>
      <c r="EW164" s="168"/>
      <c r="EX164" s="168"/>
      <c r="EY164" s="168"/>
      <c r="EZ164" s="365">
        <v>0</v>
      </c>
      <c r="FA164" s="168"/>
      <c r="FB164" s="168"/>
      <c r="FC164" s="168"/>
      <c r="FD164" s="168"/>
      <c r="FE164" s="365">
        <v>0</v>
      </c>
      <c r="FF164" s="23"/>
      <c r="FG164" s="444"/>
      <c r="FL164" s="376"/>
      <c r="FM164" s="376"/>
      <c r="FN164" s="377"/>
      <c r="FO164" s="601"/>
      <c r="FP164" s="387"/>
      <c r="FQ164" s="387"/>
      <c r="FR164" s="387"/>
      <c r="FS164" s="377"/>
      <c r="FT164" s="444"/>
    </row>
    <row r="165" spans="1:183" ht="12.75" customHeight="1" x14ac:dyDescent="0.2">
      <c r="A165" s="174" t="s">
        <v>416</v>
      </c>
      <c r="B165" s="834"/>
      <c r="C165" s="834"/>
      <c r="D165" s="834"/>
      <c r="E165" s="834"/>
      <c r="F165" s="114"/>
      <c r="G165" s="834"/>
      <c r="H165" s="834"/>
      <c r="I165" s="834"/>
      <c r="J165" s="834"/>
      <c r="K165" s="114"/>
      <c r="L165" s="834"/>
      <c r="M165" s="834"/>
      <c r="N165" s="834"/>
      <c r="O165" s="834"/>
      <c r="P165" s="114"/>
      <c r="Q165" s="834"/>
      <c r="R165" s="834"/>
      <c r="S165" s="834"/>
      <c r="T165" s="834"/>
      <c r="U165" s="114"/>
      <c r="V165" s="834"/>
      <c r="W165" s="834"/>
      <c r="X165" s="834"/>
      <c r="Y165" s="834"/>
      <c r="Z165" s="114"/>
      <c r="AA165" s="834"/>
      <c r="AB165" s="834"/>
      <c r="AC165" s="834"/>
      <c r="AD165" s="834"/>
      <c r="AE165" s="114"/>
      <c r="AF165" s="834"/>
      <c r="AG165" s="834"/>
      <c r="AH165" s="834"/>
      <c r="AI165" s="834"/>
      <c r="AJ165" s="114"/>
      <c r="AK165" s="834"/>
      <c r="AL165" s="834"/>
      <c r="AM165" s="834"/>
      <c r="AN165" s="834"/>
      <c r="AO165" s="114"/>
      <c r="AP165" s="834"/>
      <c r="AQ165" s="834"/>
      <c r="AR165" s="834"/>
      <c r="AS165" s="834"/>
      <c r="AT165" s="114"/>
      <c r="AU165" s="834"/>
      <c r="AV165" s="834"/>
      <c r="AW165" s="834"/>
      <c r="AX165" s="834"/>
      <c r="AY165" s="114"/>
      <c r="AZ165" s="834"/>
      <c r="BA165" s="834"/>
      <c r="BB165" s="834"/>
      <c r="BC165" s="834"/>
      <c r="BD165" s="114"/>
      <c r="BE165" s="834"/>
      <c r="BF165" s="834"/>
      <c r="BG165" s="834"/>
      <c r="BH165" s="834"/>
      <c r="BI165" s="114"/>
      <c r="BJ165" s="834"/>
      <c r="BK165" s="834"/>
      <c r="BL165" s="834"/>
      <c r="BM165" s="834"/>
      <c r="BN165" s="120">
        <f>SUM(BJ165:BM165)</f>
        <v>0</v>
      </c>
      <c r="BO165" s="834"/>
      <c r="BP165" s="834"/>
      <c r="BQ165" s="834"/>
      <c r="BR165" s="834"/>
      <c r="BS165" s="120">
        <f>SUM(BO165:BR165)</f>
        <v>0</v>
      </c>
      <c r="BT165" s="834"/>
      <c r="BU165" s="834">
        <v>4</v>
      </c>
      <c r="BV165" s="834"/>
      <c r="BW165" s="834"/>
      <c r="BX165" s="120">
        <f>SUM(BT165:BW165)</f>
        <v>4</v>
      </c>
      <c r="BY165" s="834">
        <v>0</v>
      </c>
      <c r="BZ165" s="834">
        <v>0</v>
      </c>
      <c r="CA165" s="834">
        <v>0</v>
      </c>
      <c r="CB165" s="834">
        <v>0</v>
      </c>
      <c r="CC165" s="120">
        <f>SUM(BY165:CB165)</f>
        <v>0</v>
      </c>
      <c r="CD165" s="834">
        <v>0</v>
      </c>
      <c r="CE165" s="834">
        <v>0</v>
      </c>
      <c r="CF165" s="834">
        <v>0</v>
      </c>
      <c r="CG165" s="834">
        <v>0</v>
      </c>
      <c r="CH165" s="120">
        <f>SUM(CD165:CG165)</f>
        <v>0</v>
      </c>
      <c r="CI165" s="834">
        <v>0</v>
      </c>
      <c r="CJ165" s="834">
        <v>0</v>
      </c>
      <c r="CK165" s="834">
        <v>0</v>
      </c>
      <c r="CL165" s="834">
        <v>0</v>
      </c>
      <c r="CM165" s="120">
        <f>SUM(CI165:CL165)</f>
        <v>0</v>
      </c>
      <c r="CN165" s="834">
        <v>0</v>
      </c>
      <c r="CO165" s="834">
        <v>0</v>
      </c>
      <c r="CP165" s="834">
        <v>0</v>
      </c>
      <c r="CQ165" s="834">
        <v>0</v>
      </c>
      <c r="CR165" s="120">
        <f>SUM(CN165:CQ165)</f>
        <v>0</v>
      </c>
      <c r="CS165" s="834">
        <v>0</v>
      </c>
      <c r="CT165" s="834">
        <v>0</v>
      </c>
      <c r="CU165" s="834">
        <v>0</v>
      </c>
      <c r="CV165" s="834">
        <v>0</v>
      </c>
      <c r="CW165" s="120">
        <f>SUM(CS165:CV165)</f>
        <v>0</v>
      </c>
      <c r="CX165" s="834">
        <v>0</v>
      </c>
      <c r="CY165" s="834">
        <v>0</v>
      </c>
      <c r="CZ165" s="834">
        <v>0</v>
      </c>
      <c r="DA165" s="834">
        <v>0</v>
      </c>
      <c r="DB165" s="120">
        <f>SUM(CX165:DA165)</f>
        <v>0</v>
      </c>
      <c r="DC165" s="834">
        <v>0</v>
      </c>
      <c r="DD165" s="834">
        <v>0</v>
      </c>
      <c r="DE165" s="834">
        <v>0</v>
      </c>
      <c r="DF165" s="834">
        <v>0</v>
      </c>
      <c r="DG165" s="120">
        <f>SUM(DC165:DF165)</f>
        <v>0</v>
      </c>
      <c r="DH165" s="834">
        <v>0</v>
      </c>
      <c r="DI165" s="834">
        <v>0</v>
      </c>
      <c r="DJ165" s="834">
        <v>0</v>
      </c>
      <c r="DK165" s="834">
        <v>0</v>
      </c>
      <c r="DL165" s="120">
        <f>SUM(DH165:DK165)</f>
        <v>0</v>
      </c>
      <c r="DM165" s="834">
        <v>0</v>
      </c>
      <c r="DN165" s="834">
        <v>0</v>
      </c>
      <c r="DO165" s="834">
        <v>0</v>
      </c>
      <c r="DP165" s="834">
        <v>0</v>
      </c>
      <c r="DQ165" s="120">
        <f>SUM(DM165:DP165)</f>
        <v>0</v>
      </c>
      <c r="DR165" s="834">
        <v>0</v>
      </c>
      <c r="DS165" s="834">
        <v>0</v>
      </c>
      <c r="DT165" s="834">
        <v>0</v>
      </c>
      <c r="DU165" s="834">
        <v>0</v>
      </c>
      <c r="DV165" s="120">
        <f>SUM(DR165:DU165)</f>
        <v>0</v>
      </c>
      <c r="DW165" s="834">
        <v>0</v>
      </c>
      <c r="DX165" s="834">
        <v>0</v>
      </c>
      <c r="DY165" s="834">
        <v>0</v>
      </c>
      <c r="DZ165" s="834">
        <v>0</v>
      </c>
      <c r="EA165" s="120">
        <f>SUM(DW165:DZ165)</f>
        <v>0</v>
      </c>
      <c r="EB165" s="834">
        <v>0</v>
      </c>
      <c r="EC165" s="834">
        <v>0</v>
      </c>
      <c r="ED165" s="834">
        <v>0</v>
      </c>
      <c r="EE165" s="834">
        <v>0</v>
      </c>
      <c r="EF165" s="120">
        <f>SUM(EB165:EE165)</f>
        <v>0</v>
      </c>
      <c r="EG165" s="834">
        <v>0</v>
      </c>
      <c r="EH165" s="834">
        <v>0</v>
      </c>
      <c r="EI165" s="834">
        <v>0</v>
      </c>
      <c r="EJ165" s="834">
        <v>0</v>
      </c>
      <c r="EK165" s="120">
        <f>SUM(EG165:EJ165)</f>
        <v>0</v>
      </c>
      <c r="EL165" s="834">
        <v>0</v>
      </c>
      <c r="EM165" s="834">
        <v>0</v>
      </c>
      <c r="EN165" s="834">
        <v>0</v>
      </c>
      <c r="EO165" s="834">
        <v>0</v>
      </c>
      <c r="EP165" s="120">
        <f>SUM(EL165:EO165)</f>
        <v>0</v>
      </c>
      <c r="EQ165" s="168">
        <v>0</v>
      </c>
      <c r="ER165" s="168">
        <v>0</v>
      </c>
      <c r="ES165" s="168">
        <v>0</v>
      </c>
      <c r="ET165" s="168">
        <v>0</v>
      </c>
      <c r="EU165" s="120">
        <f>SUM(EQ165:ET165)</f>
        <v>0</v>
      </c>
      <c r="EV165" s="168"/>
      <c r="EW165" s="168"/>
      <c r="EX165" s="168"/>
      <c r="EY165" s="168"/>
      <c r="EZ165" s="365">
        <v>0</v>
      </c>
      <c r="FA165" s="168"/>
      <c r="FB165" s="168"/>
      <c r="FC165" s="168"/>
      <c r="FD165" s="168"/>
      <c r="FE165" s="365">
        <v>0</v>
      </c>
      <c r="FF165" s="23"/>
      <c r="FG165" s="444"/>
      <c r="FL165" s="376"/>
      <c r="FM165" s="376"/>
      <c r="FN165" s="377"/>
      <c r="FO165" s="601"/>
      <c r="FP165" s="387"/>
      <c r="FQ165" s="387"/>
      <c r="FR165" s="387"/>
      <c r="FS165" s="377"/>
      <c r="FT165" s="444"/>
    </row>
    <row r="166" spans="1:183" ht="12.75" customHeight="1" x14ac:dyDescent="0.2">
      <c r="A166" s="174" t="s">
        <v>302</v>
      </c>
      <c r="B166" s="834"/>
      <c r="C166" s="834"/>
      <c r="D166" s="834"/>
      <c r="E166" s="834"/>
      <c r="F166" s="114"/>
      <c r="G166" s="834"/>
      <c r="H166" s="834"/>
      <c r="I166" s="834"/>
      <c r="J166" s="834"/>
      <c r="K166" s="114"/>
      <c r="L166" s="834"/>
      <c r="M166" s="834"/>
      <c r="N166" s="834"/>
      <c r="O166" s="834"/>
      <c r="P166" s="114"/>
      <c r="Q166" s="834"/>
      <c r="R166" s="834"/>
      <c r="S166" s="834"/>
      <c r="T166" s="834"/>
      <c r="U166" s="114"/>
      <c r="V166" s="834"/>
      <c r="W166" s="834"/>
      <c r="X166" s="834"/>
      <c r="Y166" s="834"/>
      <c r="Z166" s="114"/>
      <c r="AA166" s="834"/>
      <c r="AB166" s="834"/>
      <c r="AC166" s="834"/>
      <c r="AD166" s="834"/>
      <c r="AE166" s="114"/>
      <c r="AF166" s="834"/>
      <c r="AG166" s="834"/>
      <c r="AH166" s="834"/>
      <c r="AI166" s="834"/>
      <c r="AJ166" s="114"/>
      <c r="AK166" s="834"/>
      <c r="AL166" s="834"/>
      <c r="AM166" s="834"/>
      <c r="AN166" s="834"/>
      <c r="AO166" s="114"/>
      <c r="AP166" s="834"/>
      <c r="AQ166" s="834"/>
      <c r="AR166" s="834"/>
      <c r="AS166" s="834"/>
      <c r="AT166" s="114"/>
      <c r="AU166" s="834"/>
      <c r="AV166" s="834"/>
      <c r="AW166" s="834"/>
      <c r="AX166" s="834"/>
      <c r="AY166" s="114"/>
      <c r="AZ166" s="834"/>
      <c r="BA166" s="834"/>
      <c r="BB166" s="834"/>
      <c r="BC166" s="834"/>
      <c r="BD166" s="114"/>
      <c r="BE166" s="834"/>
      <c r="BF166" s="834"/>
      <c r="BG166" s="834"/>
      <c r="BH166" s="834"/>
      <c r="BI166" s="114"/>
      <c r="BJ166" s="834"/>
      <c r="BK166" s="834"/>
      <c r="BL166" s="834"/>
      <c r="BM166" s="834"/>
      <c r="BN166" s="120">
        <f>SUM(BJ166:BM166)</f>
        <v>0</v>
      </c>
      <c r="BO166" s="834"/>
      <c r="BP166" s="834"/>
      <c r="BQ166" s="834"/>
      <c r="BR166" s="834"/>
      <c r="BS166" s="120">
        <f>SUM(BO166:BR166)</f>
        <v>0</v>
      </c>
      <c r="BT166" s="834">
        <v>5.6</v>
      </c>
      <c r="BU166" s="834">
        <v>-12</v>
      </c>
      <c r="BV166" s="834"/>
      <c r="BW166" s="834"/>
      <c r="BX166" s="120">
        <f>SUM(BT166:BW166)</f>
        <v>-6.4</v>
      </c>
      <c r="BY166" s="834">
        <v>0</v>
      </c>
      <c r="BZ166" s="834">
        <v>0</v>
      </c>
      <c r="CA166" s="834">
        <v>0</v>
      </c>
      <c r="CB166" s="834">
        <v>0</v>
      </c>
      <c r="CC166" s="120">
        <f>SUM(BY166:CB166)</f>
        <v>0</v>
      </c>
      <c r="CD166" s="834">
        <v>0</v>
      </c>
      <c r="CE166" s="834">
        <v>0</v>
      </c>
      <c r="CF166" s="834">
        <v>0</v>
      </c>
      <c r="CG166" s="834">
        <v>0</v>
      </c>
      <c r="CH166" s="120">
        <f>SUM(CD166:CG166)</f>
        <v>0</v>
      </c>
      <c r="CI166" s="834">
        <v>0</v>
      </c>
      <c r="CJ166" s="834">
        <v>0</v>
      </c>
      <c r="CK166" s="834">
        <v>0</v>
      </c>
      <c r="CL166" s="834">
        <v>0</v>
      </c>
      <c r="CM166" s="120">
        <f>SUM(CI166:CL166)</f>
        <v>0</v>
      </c>
      <c r="CN166" s="834">
        <v>0</v>
      </c>
      <c r="CO166" s="834">
        <v>0</v>
      </c>
      <c r="CP166" s="834">
        <v>0</v>
      </c>
      <c r="CQ166" s="834">
        <v>0</v>
      </c>
      <c r="CR166" s="120">
        <f>SUM(CN166:CQ166)</f>
        <v>0</v>
      </c>
      <c r="CS166" s="834">
        <v>0</v>
      </c>
      <c r="CT166" s="834">
        <v>0</v>
      </c>
      <c r="CU166" s="834">
        <v>0</v>
      </c>
      <c r="CV166" s="834">
        <v>0</v>
      </c>
      <c r="CW166" s="120">
        <f>SUM(CS166:CV166)</f>
        <v>0</v>
      </c>
      <c r="CX166" s="834">
        <v>0</v>
      </c>
      <c r="CY166" s="834">
        <v>0</v>
      </c>
      <c r="CZ166" s="834">
        <v>0</v>
      </c>
      <c r="DA166" s="834">
        <v>0</v>
      </c>
      <c r="DB166" s="120">
        <f>SUM(CX166:DA166)</f>
        <v>0</v>
      </c>
      <c r="DC166" s="834">
        <v>0</v>
      </c>
      <c r="DD166" s="834">
        <v>0</v>
      </c>
      <c r="DE166" s="834">
        <v>0</v>
      </c>
      <c r="DF166" s="834">
        <v>0</v>
      </c>
      <c r="DG166" s="120">
        <f>SUM(DC166:DF166)</f>
        <v>0</v>
      </c>
      <c r="DH166" s="834">
        <v>0</v>
      </c>
      <c r="DI166" s="834">
        <v>0</v>
      </c>
      <c r="DJ166" s="834">
        <v>0</v>
      </c>
      <c r="DK166" s="834">
        <v>0</v>
      </c>
      <c r="DL166" s="120">
        <f>SUM(DH166:DK166)</f>
        <v>0</v>
      </c>
      <c r="DM166" s="834">
        <v>0</v>
      </c>
      <c r="DN166" s="834">
        <v>0</v>
      </c>
      <c r="DO166" s="834">
        <v>0</v>
      </c>
      <c r="DP166" s="834">
        <v>0</v>
      </c>
      <c r="DQ166" s="120">
        <f>SUM(DM166:DP166)</f>
        <v>0</v>
      </c>
      <c r="DR166" s="834">
        <v>0</v>
      </c>
      <c r="DS166" s="834">
        <v>0</v>
      </c>
      <c r="DT166" s="834">
        <v>0</v>
      </c>
      <c r="DU166" s="834">
        <v>0</v>
      </c>
      <c r="DV166" s="120">
        <f>SUM(DR166:DU166)</f>
        <v>0</v>
      </c>
      <c r="DW166" s="834">
        <v>0</v>
      </c>
      <c r="DX166" s="834">
        <v>0</v>
      </c>
      <c r="DY166" s="834">
        <v>0</v>
      </c>
      <c r="DZ166" s="834">
        <v>0</v>
      </c>
      <c r="EA166" s="120">
        <f>SUM(DW166:DZ166)</f>
        <v>0</v>
      </c>
      <c r="EB166" s="834">
        <v>0</v>
      </c>
      <c r="EC166" s="834">
        <v>0</v>
      </c>
      <c r="ED166" s="834">
        <v>0</v>
      </c>
      <c r="EE166" s="834">
        <v>0</v>
      </c>
      <c r="EF166" s="120">
        <f>SUM(EB166:EE166)</f>
        <v>0</v>
      </c>
      <c r="EG166" s="834">
        <v>0</v>
      </c>
      <c r="EH166" s="834">
        <v>0</v>
      </c>
      <c r="EI166" s="834">
        <v>0</v>
      </c>
      <c r="EJ166" s="834">
        <v>0</v>
      </c>
      <c r="EK166" s="120">
        <f>SUM(EG166:EJ166)</f>
        <v>0</v>
      </c>
      <c r="EL166" s="834">
        <v>0</v>
      </c>
      <c r="EM166" s="834">
        <v>0</v>
      </c>
      <c r="EN166" s="834">
        <v>0</v>
      </c>
      <c r="EO166" s="834">
        <v>0</v>
      </c>
      <c r="EP166" s="120">
        <f>SUM(EL166:EO166)</f>
        <v>0</v>
      </c>
      <c r="EQ166" s="168">
        <v>0</v>
      </c>
      <c r="ER166" s="168">
        <v>0</v>
      </c>
      <c r="ES166" s="168">
        <v>0</v>
      </c>
      <c r="ET166" s="168">
        <v>0</v>
      </c>
      <c r="EU166" s="120">
        <f>SUM(EQ166:ET166)</f>
        <v>0</v>
      </c>
      <c r="EV166" s="168"/>
      <c r="EW166" s="168"/>
      <c r="EX166" s="168"/>
      <c r="EY166" s="168"/>
      <c r="EZ166" s="365">
        <v>0</v>
      </c>
      <c r="FA166" s="168"/>
      <c r="FB166" s="168"/>
      <c r="FC166" s="168"/>
      <c r="FD166" s="168"/>
      <c r="FE166" s="365">
        <v>0</v>
      </c>
      <c r="FF166" s="23"/>
      <c r="FG166" s="444"/>
      <c r="FL166" s="376"/>
      <c r="FM166" s="376"/>
      <c r="FN166" s="377"/>
      <c r="FO166" s="601"/>
      <c r="FP166" s="387"/>
      <c r="FQ166" s="387"/>
      <c r="FR166" s="387"/>
      <c r="FS166" s="377"/>
      <c r="FT166" s="444"/>
    </row>
    <row r="167" spans="1:183" ht="12.75" customHeight="1" x14ac:dyDescent="0.2">
      <c r="A167" s="174" t="s">
        <v>78</v>
      </c>
      <c r="B167" s="834"/>
      <c r="C167" s="834"/>
      <c r="D167" s="834"/>
      <c r="E167" s="834"/>
      <c r="F167" s="114"/>
      <c r="G167" s="834"/>
      <c r="H167" s="834"/>
      <c r="I167" s="834"/>
      <c r="J167" s="834"/>
      <c r="K167" s="114"/>
      <c r="L167" s="834"/>
      <c r="M167" s="834"/>
      <c r="N167" s="834"/>
      <c r="O167" s="834"/>
      <c r="P167" s="114"/>
      <c r="Q167" s="834"/>
      <c r="R167" s="834"/>
      <c r="S167" s="834"/>
      <c r="T167" s="834"/>
      <c r="U167" s="114"/>
      <c r="V167" s="834"/>
      <c r="W167" s="834"/>
      <c r="X167" s="834"/>
      <c r="Y167" s="834"/>
      <c r="Z167" s="114"/>
      <c r="AA167" s="834"/>
      <c r="AB167" s="834"/>
      <c r="AC167" s="834"/>
      <c r="AD167" s="834"/>
      <c r="AE167" s="114"/>
      <c r="AF167" s="834"/>
      <c r="AG167" s="834"/>
      <c r="AH167" s="834"/>
      <c r="AI167" s="834"/>
      <c r="AJ167" s="114"/>
      <c r="AK167" s="834"/>
      <c r="AL167" s="834"/>
      <c r="AM167" s="834"/>
      <c r="AN167" s="834"/>
      <c r="AO167" s="114"/>
      <c r="AP167" s="834"/>
      <c r="AQ167" s="834"/>
      <c r="AR167" s="834"/>
      <c r="AS167" s="834"/>
      <c r="AT167" s="114"/>
      <c r="AU167" s="834"/>
      <c r="AV167" s="834"/>
      <c r="AW167" s="834"/>
      <c r="AX167" s="834"/>
      <c r="AY167" s="114"/>
      <c r="AZ167" s="834"/>
      <c r="BA167" s="834"/>
      <c r="BB167" s="834"/>
      <c r="BC167" s="834"/>
      <c r="BD167" s="114"/>
      <c r="BE167" s="834"/>
      <c r="BF167" s="834"/>
      <c r="BG167" s="834"/>
      <c r="BH167" s="834"/>
      <c r="BI167" s="114"/>
      <c r="BJ167" s="834"/>
      <c r="BK167" s="834">
        <f>(36-6)*(1-BK169)</f>
        <v>18.21</v>
      </c>
      <c r="BL167" s="834">
        <f>48*(1-BL169)</f>
        <v>24</v>
      </c>
      <c r="BM167" s="834"/>
      <c r="BN167" s="120">
        <f>SUM(BJ167:BM167)</f>
        <v>42.21</v>
      </c>
      <c r="BO167" s="834"/>
      <c r="BP167" s="834">
        <f>(271-41)*(1-BP169)</f>
        <v>142.6</v>
      </c>
      <c r="BQ167" s="834"/>
      <c r="BR167" s="834"/>
      <c r="BS167" s="120">
        <f>SUM(BO167:BR167)</f>
        <v>142.6</v>
      </c>
      <c r="BT167" s="834">
        <v>-15.3</v>
      </c>
      <c r="BU167" s="834">
        <v>8</v>
      </c>
      <c r="BV167" s="834"/>
      <c r="BW167" s="834"/>
      <c r="BX167" s="120">
        <f>SUM(BT167:BW167)</f>
        <v>-7.3000000000000007</v>
      </c>
      <c r="BY167" s="834">
        <v>33</v>
      </c>
      <c r="BZ167" s="834">
        <v>13</v>
      </c>
      <c r="CA167" s="834">
        <v>72</v>
      </c>
      <c r="CB167" s="834">
        <v>5.0000000000000124</v>
      </c>
      <c r="CC167" s="120">
        <f>SUM(BY167:CB167)</f>
        <v>123.00000000000001</v>
      </c>
      <c r="CD167" s="834">
        <v>0</v>
      </c>
      <c r="CE167" s="834">
        <f>88+7+1-36</f>
        <v>60</v>
      </c>
      <c r="CF167" s="834">
        <v>0</v>
      </c>
      <c r="CG167" s="834">
        <f>-34-28-1+24</f>
        <v>-39</v>
      </c>
      <c r="CH167" s="120">
        <f>SUM(CD167:CG167)</f>
        <v>21</v>
      </c>
      <c r="CI167" s="834">
        <v>0</v>
      </c>
      <c r="CJ167" s="834">
        <v>0</v>
      </c>
      <c r="CK167" s="834">
        <v>0</v>
      </c>
      <c r="CL167" s="834">
        <v>0</v>
      </c>
      <c r="CM167" s="120">
        <f>SUM(CI167:CL167)</f>
        <v>0</v>
      </c>
      <c r="CN167" s="834">
        <v>0</v>
      </c>
      <c r="CO167" s="834">
        <v>0</v>
      </c>
      <c r="CP167" s="834">
        <v>0</v>
      </c>
      <c r="CQ167" s="834">
        <v>0</v>
      </c>
      <c r="CR167" s="120">
        <v>116</v>
      </c>
      <c r="CS167" s="834">
        <v>-70.11</v>
      </c>
      <c r="CT167" s="834">
        <v>63.838000000000001</v>
      </c>
      <c r="CU167" s="834">
        <v>-39.131999999999998</v>
      </c>
      <c r="CV167" s="834">
        <v>48.972999999999999</v>
      </c>
      <c r="CW167" s="120">
        <f>SUM(CS167:CV167)</f>
        <v>3.5690000000000026</v>
      </c>
      <c r="CX167" s="834">
        <v>-8.34</v>
      </c>
      <c r="CY167" s="834">
        <v>-130.374</v>
      </c>
      <c r="CZ167" s="834">
        <v>27.902999999999999</v>
      </c>
      <c r="DA167" s="834">
        <v>15.99</v>
      </c>
      <c r="DB167" s="120">
        <f>SUM(CX167:DA167)</f>
        <v>-94.821000000000012</v>
      </c>
      <c r="DC167" s="834">
        <v>3.9049999999999976</v>
      </c>
      <c r="DD167" s="834">
        <v>40</v>
      </c>
      <c r="DE167" s="834">
        <v>-262</v>
      </c>
      <c r="DF167" s="834">
        <f>-21-78+185</f>
        <v>86</v>
      </c>
      <c r="DG167" s="120">
        <f>SUM(DC167:DF167)</f>
        <v>-132.095</v>
      </c>
      <c r="DH167" s="834">
        <v>116</v>
      </c>
      <c r="DI167" s="834">
        <v>-45</v>
      </c>
      <c r="DJ167" s="834">
        <v>-81</v>
      </c>
      <c r="DK167" s="834">
        <v>13</v>
      </c>
      <c r="DL167" s="120">
        <f>SUM(DH167:DK167)</f>
        <v>3</v>
      </c>
      <c r="DM167" s="834">
        <v>6</v>
      </c>
      <c r="DN167" s="834">
        <v>-50</v>
      </c>
      <c r="DO167" s="834">
        <v>18</v>
      </c>
      <c r="DP167" s="834">
        <v>-24</v>
      </c>
      <c r="DQ167" s="120">
        <f>SUM(DM167:DP167)</f>
        <v>-50</v>
      </c>
      <c r="DR167" s="834">
        <v>24</v>
      </c>
      <c r="DS167" s="834">
        <v>-20</v>
      </c>
      <c r="DT167" s="834">
        <v>-53</v>
      </c>
      <c r="DU167" s="834">
        <v>0</v>
      </c>
      <c r="DV167" s="120">
        <f>SUM(DR167:DU167)</f>
        <v>-49</v>
      </c>
      <c r="DW167" s="834">
        <v>2</v>
      </c>
      <c r="DX167" s="834">
        <v>0</v>
      </c>
      <c r="DY167" s="834">
        <v>-39</v>
      </c>
      <c r="DZ167" s="834">
        <v>0</v>
      </c>
      <c r="EA167" s="120">
        <f>SUM(DW167:DZ167)</f>
        <v>-37</v>
      </c>
      <c r="EB167" s="834">
        <v>0</v>
      </c>
      <c r="EC167" s="834">
        <v>0</v>
      </c>
      <c r="ED167" s="834">
        <v>0</v>
      </c>
      <c r="EE167" s="834">
        <v>0</v>
      </c>
      <c r="EF167" s="120">
        <f>SUM(EB167:EE167)</f>
        <v>0</v>
      </c>
      <c r="EG167" s="834">
        <v>0</v>
      </c>
      <c r="EH167" s="834">
        <v>0</v>
      </c>
      <c r="EI167" s="834">
        <v>0</v>
      </c>
      <c r="EJ167" s="834">
        <v>0</v>
      </c>
      <c r="EK167" s="120">
        <f>SUM(EG167:EJ167)</f>
        <v>0</v>
      </c>
      <c r="EL167" s="834">
        <v>0</v>
      </c>
      <c r="EM167" s="834">
        <v>0</v>
      </c>
      <c r="EN167" s="834">
        <v>0</v>
      </c>
      <c r="EO167" s="834">
        <v>0</v>
      </c>
      <c r="EP167" s="120">
        <f>SUM(EL167:EO167)</f>
        <v>0</v>
      </c>
      <c r="EQ167" s="168">
        <v>0</v>
      </c>
      <c r="ER167" s="168">
        <v>0</v>
      </c>
      <c r="ES167" s="168">
        <v>0</v>
      </c>
      <c r="ET167" s="168">
        <v>0</v>
      </c>
      <c r="EU167" s="120">
        <f>SUM(EQ167:ET167)</f>
        <v>0</v>
      </c>
      <c r="EV167" s="168"/>
      <c r="EW167" s="168"/>
      <c r="EX167" s="168"/>
      <c r="EY167" s="168"/>
      <c r="EZ167" s="365">
        <v>0</v>
      </c>
      <c r="FA167" s="168"/>
      <c r="FB167" s="168"/>
      <c r="FC167" s="168"/>
      <c r="FD167" s="168"/>
      <c r="FE167" s="365">
        <v>0</v>
      </c>
      <c r="FF167" s="23"/>
      <c r="FG167" s="444"/>
      <c r="FL167" s="376"/>
      <c r="FM167" s="376"/>
      <c r="FN167" s="377"/>
      <c r="FO167" s="601"/>
      <c r="FP167" s="387"/>
      <c r="FQ167" s="387"/>
      <c r="FR167" s="387"/>
      <c r="FS167" s="377"/>
      <c r="FT167" s="444"/>
    </row>
    <row r="168" spans="1:183" ht="12.75" customHeight="1" x14ac:dyDescent="0.2">
      <c r="A168" s="179" t="s">
        <v>150</v>
      </c>
      <c r="B168" s="179"/>
      <c r="C168" s="179"/>
      <c r="D168" s="179"/>
      <c r="E168" s="179"/>
      <c r="F168" s="277"/>
      <c r="G168" s="179"/>
      <c r="H168" s="179"/>
      <c r="I168" s="179"/>
      <c r="J168" s="179"/>
      <c r="K168" s="277"/>
      <c r="L168" s="179"/>
      <c r="M168" s="179"/>
      <c r="N168" s="179"/>
      <c r="O168" s="179"/>
      <c r="P168" s="277"/>
      <c r="Q168" s="179"/>
      <c r="R168" s="179"/>
      <c r="S168" s="179"/>
      <c r="T168" s="179"/>
      <c r="U168" s="277"/>
      <c r="V168" s="179"/>
      <c r="W168" s="179"/>
      <c r="X168" s="179"/>
      <c r="Y168" s="179"/>
      <c r="Z168" s="277"/>
      <c r="AA168" s="179"/>
      <c r="AB168" s="179"/>
      <c r="AC168" s="179"/>
      <c r="AD168" s="179"/>
      <c r="AE168" s="277"/>
      <c r="AF168" s="179"/>
      <c r="AG168" s="179"/>
      <c r="AH168" s="179"/>
      <c r="AI168" s="179"/>
      <c r="AJ168" s="277"/>
      <c r="AK168" s="179"/>
      <c r="AL168" s="179"/>
      <c r="AM168" s="179"/>
      <c r="AN168" s="179"/>
      <c r="AO168" s="277"/>
      <c r="AP168" s="179"/>
      <c r="AQ168" s="179"/>
      <c r="AR168" s="179"/>
      <c r="AS168" s="179"/>
      <c r="AT168" s="277"/>
      <c r="AU168" s="179"/>
      <c r="AV168" s="179"/>
      <c r="AW168" s="179"/>
      <c r="AX168" s="179"/>
      <c r="AY168" s="277"/>
      <c r="AZ168" s="179"/>
      <c r="BA168" s="179"/>
      <c r="BB168" s="179"/>
      <c r="BC168" s="179"/>
      <c r="BD168" s="277"/>
      <c r="BE168" s="179"/>
      <c r="BF168" s="179"/>
      <c r="BG168" s="179"/>
      <c r="BH168" s="179"/>
      <c r="BI168" s="277"/>
      <c r="BJ168" s="179">
        <f>+BJ167+BJ166+BJ165+BJ164</f>
        <v>0</v>
      </c>
      <c r="BK168" s="179">
        <f>+BK167+BK166+BK165+BK164</f>
        <v>18.21</v>
      </c>
      <c r="BL168" s="179">
        <f>+BL167+BL166+BL165+BL164</f>
        <v>24</v>
      </c>
      <c r="BM168" s="179">
        <f>+BM167+BM166+BM165+BM164</f>
        <v>0</v>
      </c>
      <c r="BN168" s="301">
        <f>SUM(BJ168:BM168)</f>
        <v>42.21</v>
      </c>
      <c r="BO168" s="179">
        <f>+BO167+BO166+BO165+BO164</f>
        <v>0</v>
      </c>
      <c r="BP168" s="179">
        <f>+BP167+BP166+BP165+BP164</f>
        <v>142.6</v>
      </c>
      <c r="BQ168" s="179">
        <f>+BQ167+BQ166+BQ165+BQ164</f>
        <v>0</v>
      </c>
      <c r="BR168" s="179">
        <f>+BR167+BR166+BR165+BR164</f>
        <v>0</v>
      </c>
      <c r="BS168" s="301">
        <f>SUM(BO168:BR168)</f>
        <v>142.6</v>
      </c>
      <c r="BT168" s="179">
        <f>SUM(BT164:BT167)</f>
        <v>-9.7000000000000011</v>
      </c>
      <c r="BU168" s="179">
        <f>SUM(BU164:BU167)</f>
        <v>-12</v>
      </c>
      <c r="BV168" s="179">
        <f>SUM(BV164:BV167)</f>
        <v>0</v>
      </c>
      <c r="BW168" s="179">
        <f>SUM(BW164:BW167)</f>
        <v>0</v>
      </c>
      <c r="BX168" s="301">
        <f>SUM(BT168:BW168)</f>
        <v>-21.700000000000003</v>
      </c>
      <c r="BY168" s="179">
        <f>+BY167+BY166+BY165+BY164</f>
        <v>33</v>
      </c>
      <c r="BZ168" s="179">
        <f>+BZ167+BZ166+BZ165+BZ164</f>
        <v>13</v>
      </c>
      <c r="CA168" s="179">
        <f>SUM(CA164:CA167)</f>
        <v>72</v>
      </c>
      <c r="CB168" s="179">
        <f>SUM(CB164:CB167)</f>
        <v>5.0000000000000124</v>
      </c>
      <c r="CC168" s="301">
        <f>SUM(BY168:CB168)</f>
        <v>123.00000000000001</v>
      </c>
      <c r="CD168" s="179">
        <f>+CD167+CD166+CD165+CD164</f>
        <v>0</v>
      </c>
      <c r="CE168" s="179">
        <f>+CE167+CE166+CE165+CE164</f>
        <v>60</v>
      </c>
      <c r="CF168" s="179">
        <f>+CF167+CF166+CF165+CF164</f>
        <v>0</v>
      </c>
      <c r="CG168" s="179">
        <f>SUM(CG164:CG167)</f>
        <v>-39</v>
      </c>
      <c r="CH168" s="301">
        <f>SUM(CD168:CG168)</f>
        <v>21</v>
      </c>
      <c r="CI168" s="179">
        <f>+CI167+CI166+CI165+CI164</f>
        <v>0</v>
      </c>
      <c r="CJ168" s="179">
        <f>+CJ167+CJ166+CJ165+CJ164</f>
        <v>0</v>
      </c>
      <c r="CK168" s="179">
        <f>+CK167+CK166+CK165+CK164</f>
        <v>0</v>
      </c>
      <c r="CL168" s="179">
        <f>+CL167+CL166+CL165+CL164</f>
        <v>0</v>
      </c>
      <c r="CM168" s="301">
        <f>SUM(CI168:CL168)</f>
        <v>0</v>
      </c>
      <c r="CN168" s="179">
        <f t="shared" ref="CN168:DX168" si="868">+CN167+CN166+CN165+CN164</f>
        <v>0</v>
      </c>
      <c r="CO168" s="179">
        <f t="shared" si="868"/>
        <v>0</v>
      </c>
      <c r="CP168" s="179">
        <f t="shared" si="868"/>
        <v>0</v>
      </c>
      <c r="CQ168" s="179">
        <f t="shared" si="868"/>
        <v>0</v>
      </c>
      <c r="CR168" s="301">
        <f t="shared" si="868"/>
        <v>116</v>
      </c>
      <c r="CS168" s="179">
        <f t="shared" si="868"/>
        <v>-70.11</v>
      </c>
      <c r="CT168" s="179">
        <f t="shared" si="868"/>
        <v>63.838000000000001</v>
      </c>
      <c r="CU168" s="179">
        <f t="shared" si="868"/>
        <v>-39.131999999999998</v>
      </c>
      <c r="CV168" s="179">
        <f t="shared" si="868"/>
        <v>48.972999999999999</v>
      </c>
      <c r="CW168" s="301">
        <f t="shared" si="868"/>
        <v>3.5690000000000026</v>
      </c>
      <c r="CX168" s="179">
        <f t="shared" si="868"/>
        <v>-8.34</v>
      </c>
      <c r="CY168" s="179">
        <f t="shared" si="868"/>
        <v>-130.374</v>
      </c>
      <c r="CZ168" s="179">
        <f t="shared" si="868"/>
        <v>27.902999999999999</v>
      </c>
      <c r="DA168" s="179">
        <f t="shared" si="868"/>
        <v>15.99</v>
      </c>
      <c r="DB168" s="301">
        <f t="shared" si="868"/>
        <v>-94.821000000000012</v>
      </c>
      <c r="DC168" s="179">
        <f>+DC167+DC166+DC165+DC164</f>
        <v>3.9049999999999976</v>
      </c>
      <c r="DD168" s="179">
        <f>+DD167+DD166+DD165+DD164</f>
        <v>40</v>
      </c>
      <c r="DE168" s="179">
        <f>+DE167+DE166+DE165+DE164</f>
        <v>-262</v>
      </c>
      <c r="DF168" s="179">
        <f>+DF167+DF166+DF165+DF164</f>
        <v>86</v>
      </c>
      <c r="DG168" s="301">
        <f t="shared" si="868"/>
        <v>-132.095</v>
      </c>
      <c r="DH168" s="179">
        <f t="shared" si="868"/>
        <v>116</v>
      </c>
      <c r="DI168" s="179">
        <f t="shared" si="868"/>
        <v>-45</v>
      </c>
      <c r="DJ168" s="179">
        <f t="shared" si="868"/>
        <v>-81</v>
      </c>
      <c r="DK168" s="179">
        <f t="shared" si="868"/>
        <v>13</v>
      </c>
      <c r="DL168" s="301">
        <f t="shared" si="868"/>
        <v>3</v>
      </c>
      <c r="DM168" s="179">
        <f t="shared" si="868"/>
        <v>6</v>
      </c>
      <c r="DN168" s="179">
        <f t="shared" si="868"/>
        <v>-50</v>
      </c>
      <c r="DO168" s="179">
        <f t="shared" si="868"/>
        <v>18</v>
      </c>
      <c r="DP168" s="179">
        <f t="shared" si="868"/>
        <v>-24</v>
      </c>
      <c r="DQ168" s="301">
        <f t="shared" si="868"/>
        <v>-50</v>
      </c>
      <c r="DR168" s="179">
        <f t="shared" si="868"/>
        <v>24</v>
      </c>
      <c r="DS168" s="179">
        <f>+DS167+DS166+DS165+DS164</f>
        <v>-20</v>
      </c>
      <c r="DT168" s="179">
        <f>+DT167+DT166+DT165+DT164</f>
        <v>-53</v>
      </c>
      <c r="DU168" s="179">
        <f>+DU167+DU166+DU165+DU164</f>
        <v>0</v>
      </c>
      <c r="DV168" s="301">
        <f>+DV167+DV166+DV165+DV164</f>
        <v>-49</v>
      </c>
      <c r="DW168" s="179">
        <f t="shared" si="868"/>
        <v>2</v>
      </c>
      <c r="DX168" s="179">
        <f t="shared" si="868"/>
        <v>0</v>
      </c>
      <c r="DY168" s="179">
        <f t="shared" ref="DY168:EC168" si="869">+DY167+DY166+DY165+DY164</f>
        <v>-39</v>
      </c>
      <c r="DZ168" s="179">
        <f t="shared" si="869"/>
        <v>0</v>
      </c>
      <c r="EA168" s="301">
        <f t="shared" si="869"/>
        <v>-37</v>
      </c>
      <c r="EB168" s="179">
        <f t="shared" si="869"/>
        <v>0</v>
      </c>
      <c r="EC168" s="179">
        <f t="shared" si="869"/>
        <v>0</v>
      </c>
      <c r="ED168" s="179">
        <f t="shared" ref="ED168:EG168" si="870">+ED167+ED166+ED165+ED164</f>
        <v>0</v>
      </c>
      <c r="EE168" s="179">
        <f t="shared" si="870"/>
        <v>0</v>
      </c>
      <c r="EF168" s="301">
        <f t="shared" si="870"/>
        <v>0</v>
      </c>
      <c r="EG168" s="179">
        <f t="shared" si="870"/>
        <v>0</v>
      </c>
      <c r="EH168" s="179">
        <v>0</v>
      </c>
      <c r="EI168" s="179">
        <f t="shared" ref="EI168:EJ168" si="871">+EI167+EI166+EI165+EI164</f>
        <v>0</v>
      </c>
      <c r="EJ168" s="179">
        <f t="shared" si="871"/>
        <v>0</v>
      </c>
      <c r="EK168" s="301">
        <f t="shared" ref="EK168:EL168" si="872">+EK167+EK166+EK165+EK164</f>
        <v>0</v>
      </c>
      <c r="EL168" s="179">
        <f t="shared" si="872"/>
        <v>0</v>
      </c>
      <c r="EM168" s="179">
        <v>0</v>
      </c>
      <c r="EN168" s="179">
        <f t="shared" ref="EN168:EP168" si="873">+EN167+EN166+EN165+EN164</f>
        <v>0</v>
      </c>
      <c r="EO168" s="179">
        <f t="shared" si="873"/>
        <v>0</v>
      </c>
      <c r="EP168" s="301">
        <f t="shared" si="873"/>
        <v>0</v>
      </c>
      <c r="EQ168" s="180">
        <f t="shared" ref="EQ168:EU168" si="874">+EQ167+EQ166+EQ165+EQ164</f>
        <v>0</v>
      </c>
      <c r="ER168" s="180">
        <f t="shared" si="874"/>
        <v>0</v>
      </c>
      <c r="ES168" s="180">
        <f t="shared" si="874"/>
        <v>0</v>
      </c>
      <c r="ET168" s="180">
        <f t="shared" si="874"/>
        <v>0</v>
      </c>
      <c r="EU168" s="301">
        <f t="shared" si="874"/>
        <v>0</v>
      </c>
      <c r="EV168" s="180"/>
      <c r="EW168" s="180"/>
      <c r="EX168" s="180"/>
      <c r="EY168" s="180"/>
      <c r="EZ168" s="301">
        <f t="shared" ref="EZ168" si="875">+EZ167+EZ166+EZ165+EZ164</f>
        <v>0</v>
      </c>
      <c r="FA168" s="180"/>
      <c r="FB168" s="180"/>
      <c r="FC168" s="180"/>
      <c r="FD168" s="180"/>
      <c r="FE168" s="301">
        <f t="shared" ref="FE168" si="876">+FE167+FE166+FE165+FE164</f>
        <v>0</v>
      </c>
      <c r="FF168" s="23"/>
      <c r="FG168" s="444"/>
      <c r="FL168" s="376"/>
      <c r="FM168" s="376"/>
      <c r="FN168" s="377"/>
      <c r="FO168" s="601"/>
      <c r="FP168" s="387"/>
      <c r="FQ168" s="387"/>
      <c r="FR168" s="387"/>
      <c r="FS168" s="377"/>
      <c r="FT168" s="444"/>
    </row>
    <row r="169" spans="1:183" ht="12.75" customHeight="1" x14ac:dyDescent="0.2">
      <c r="A169" s="181" t="s">
        <v>198</v>
      </c>
      <c r="B169" s="128"/>
      <c r="C169" s="128"/>
      <c r="D169" s="128"/>
      <c r="E169" s="128"/>
      <c r="F169" s="244"/>
      <c r="G169" s="128"/>
      <c r="H169" s="128"/>
      <c r="I169" s="128"/>
      <c r="J169" s="128"/>
      <c r="K169" s="244"/>
      <c r="L169" s="128"/>
      <c r="M169" s="128"/>
      <c r="N169" s="128"/>
      <c r="O169" s="128"/>
      <c r="P169" s="244"/>
      <c r="Q169" s="128"/>
      <c r="R169" s="128"/>
      <c r="S169" s="128"/>
      <c r="T169" s="128"/>
      <c r="U169" s="244"/>
      <c r="V169" s="128"/>
      <c r="W169" s="128"/>
      <c r="X169" s="128"/>
      <c r="Y169" s="128"/>
      <c r="Z169" s="244"/>
      <c r="AA169" s="128"/>
      <c r="AB169" s="128"/>
      <c r="AC169" s="128"/>
      <c r="AD169" s="128"/>
      <c r="AE169" s="244"/>
      <c r="AF169" s="128"/>
      <c r="AG169" s="128"/>
      <c r="AH169" s="128"/>
      <c r="AI169" s="128"/>
      <c r="AJ169" s="244"/>
      <c r="AK169" s="128"/>
      <c r="AL169" s="128"/>
      <c r="AM169" s="128"/>
      <c r="AN169" s="128"/>
      <c r="AO169" s="244"/>
      <c r="AP169" s="128"/>
      <c r="AQ169" s="128"/>
      <c r="AR169" s="128"/>
      <c r="AS169" s="128"/>
      <c r="AT169" s="244"/>
      <c r="AU169" s="128"/>
      <c r="AV169" s="128"/>
      <c r="AW169" s="128"/>
      <c r="AX169" s="128"/>
      <c r="AY169" s="244"/>
      <c r="AZ169" s="128"/>
      <c r="BA169" s="128"/>
      <c r="BB169" s="128"/>
      <c r="BC169" s="128"/>
      <c r="BD169" s="244"/>
      <c r="BE169" s="128"/>
      <c r="BF169" s="128"/>
      <c r="BG169" s="128"/>
      <c r="BH169" s="128"/>
      <c r="BI169" s="244"/>
      <c r="BJ169" s="128"/>
      <c r="BK169" s="128">
        <v>0.39300000000000002</v>
      </c>
      <c r="BL169" s="128">
        <v>0.5</v>
      </c>
      <c r="BM169" s="128"/>
      <c r="BN169" s="244"/>
      <c r="BO169" s="128"/>
      <c r="BP169" s="128">
        <v>0.38</v>
      </c>
      <c r="BQ169" s="128"/>
      <c r="BR169" s="128"/>
      <c r="BS169" s="244"/>
      <c r="BT169" s="128"/>
      <c r="BU169" s="128">
        <v>0.38</v>
      </c>
      <c r="BV169" s="128"/>
      <c r="BW169" s="128"/>
      <c r="BX169" s="244"/>
      <c r="BY169" s="128"/>
      <c r="BZ169" s="128">
        <v>0.38</v>
      </c>
      <c r="CA169" s="128"/>
      <c r="CB169" s="128"/>
      <c r="CC169" s="244"/>
      <c r="CD169" s="128"/>
      <c r="CE169" s="128"/>
      <c r="CF169" s="128"/>
      <c r="CG169" s="128"/>
      <c r="CH169" s="244"/>
      <c r="CI169" s="128"/>
      <c r="CJ169" s="128"/>
      <c r="CK169" s="128"/>
      <c r="CL169" s="128"/>
      <c r="CM169" s="244"/>
      <c r="CN169" s="128"/>
      <c r="CO169" s="128"/>
      <c r="CP169" s="128"/>
      <c r="CQ169" s="128"/>
      <c r="CR169" s="244"/>
      <c r="CS169" s="128"/>
      <c r="CT169" s="128"/>
      <c r="CU169" s="128"/>
      <c r="CV169" s="128"/>
      <c r="CW169" s="244"/>
      <c r="CX169" s="128"/>
      <c r="CY169" s="128"/>
      <c r="CZ169" s="128"/>
      <c r="DA169" s="128"/>
      <c r="DB169" s="244"/>
      <c r="DC169" s="128"/>
      <c r="DD169" s="128"/>
      <c r="DE169" s="128"/>
      <c r="DF169" s="128"/>
      <c r="DG169" s="110"/>
      <c r="DH169" s="128"/>
      <c r="DI169" s="128"/>
      <c r="DJ169" s="128"/>
      <c r="DK169" s="128"/>
      <c r="DL169" s="244"/>
      <c r="DM169" s="128"/>
      <c r="DN169" s="128"/>
      <c r="DO169" s="128"/>
      <c r="DP169" s="128"/>
      <c r="DQ169" s="244"/>
      <c r="DR169" s="128"/>
      <c r="DS169" s="128"/>
      <c r="DT169" s="128"/>
      <c r="DU169" s="128"/>
      <c r="DV169" s="244"/>
      <c r="DW169" s="128"/>
      <c r="DX169" s="128"/>
      <c r="DY169" s="128"/>
      <c r="DZ169" s="128"/>
      <c r="EA169" s="244"/>
      <c r="EB169" s="128"/>
      <c r="EC169" s="128"/>
      <c r="ED169" s="128"/>
      <c r="EE169" s="128"/>
      <c r="EF169" s="244"/>
      <c r="EG169" s="128"/>
      <c r="EH169" s="128"/>
      <c r="EI169" s="128"/>
      <c r="EJ169" s="128"/>
      <c r="EK169" s="244"/>
      <c r="EL169" s="128"/>
      <c r="EM169" s="128"/>
      <c r="EN169" s="128"/>
      <c r="EO169" s="128"/>
      <c r="EP169" s="244"/>
      <c r="EQ169" s="128"/>
      <c r="ER169" s="128"/>
      <c r="ES169" s="128"/>
      <c r="ET169" s="128"/>
      <c r="EU169" s="244"/>
      <c r="EV169" s="128"/>
      <c r="EW169" s="128"/>
      <c r="EX169" s="128"/>
      <c r="EY169" s="128"/>
      <c r="EZ169" s="244"/>
      <c r="FA169" s="128"/>
      <c r="FB169" s="128"/>
      <c r="FC169" s="128"/>
      <c r="FD169" s="128"/>
      <c r="FE169" s="244"/>
      <c r="FF169" s="128"/>
      <c r="FG169" s="464"/>
      <c r="FL169" s="408"/>
      <c r="FM169" s="408"/>
      <c r="FN169" s="369"/>
      <c r="FO169" s="601"/>
      <c r="FP169" s="387"/>
      <c r="FQ169" s="387"/>
      <c r="FR169" s="387"/>
      <c r="FS169" s="369"/>
      <c r="FT169" s="464"/>
    </row>
    <row r="170" spans="1:183" ht="12.75" customHeight="1" x14ac:dyDescent="0.2">
      <c r="A170" s="182" t="s">
        <v>149</v>
      </c>
      <c r="B170" s="182"/>
      <c r="C170" s="182"/>
      <c r="D170" s="182"/>
      <c r="E170" s="182"/>
      <c r="F170" s="278"/>
      <c r="G170" s="182"/>
      <c r="H170" s="182"/>
      <c r="I170" s="182"/>
      <c r="J170" s="182"/>
      <c r="K170" s="278"/>
      <c r="L170" s="182"/>
      <c r="M170" s="182"/>
      <c r="N170" s="182"/>
      <c r="O170" s="182"/>
      <c r="P170" s="278"/>
      <c r="Q170" s="182"/>
      <c r="R170" s="182"/>
      <c r="S170" s="182"/>
      <c r="T170" s="182"/>
      <c r="U170" s="278"/>
      <c r="V170" s="182"/>
      <c r="W170" s="182"/>
      <c r="X170" s="182"/>
      <c r="Y170" s="182"/>
      <c r="Z170" s="278"/>
      <c r="AA170" s="182"/>
      <c r="AB170" s="182"/>
      <c r="AC170" s="182"/>
      <c r="AD170" s="182"/>
      <c r="AE170" s="278"/>
      <c r="AF170" s="182"/>
      <c r="AG170" s="182"/>
      <c r="AH170" s="182"/>
      <c r="AI170" s="182"/>
      <c r="AJ170" s="278"/>
      <c r="AK170" s="182"/>
      <c r="AL170" s="182"/>
      <c r="AM170" s="182"/>
      <c r="AN170" s="182"/>
      <c r="AO170" s="278"/>
      <c r="AP170" s="182"/>
      <c r="AQ170" s="182"/>
      <c r="AR170" s="182"/>
      <c r="AS170" s="182"/>
      <c r="AT170" s="278"/>
      <c r="AU170" s="182"/>
      <c r="AV170" s="182"/>
      <c r="AW170" s="182"/>
      <c r="AX170" s="182"/>
      <c r="AY170" s="278"/>
      <c r="AZ170" s="182"/>
      <c r="BA170" s="182"/>
      <c r="BB170" s="182"/>
      <c r="BC170" s="182"/>
      <c r="BD170" s="278"/>
      <c r="BE170" s="182"/>
      <c r="BF170" s="182"/>
      <c r="BG170" s="182"/>
      <c r="BH170" s="182"/>
      <c r="BI170" s="278"/>
      <c r="BJ170" s="182">
        <f>+BJ168+BJ143</f>
        <v>21.385000000000012</v>
      </c>
      <c r="BK170" s="182">
        <f>+BK168+BK143</f>
        <v>102.25600000000006</v>
      </c>
      <c r="BL170" s="182">
        <f>+BL168+BL143</f>
        <v>74.5</v>
      </c>
      <c r="BM170" s="182">
        <f>+BM168+BM143</f>
        <v>42.398999999999859</v>
      </c>
      <c r="BN170" s="278">
        <f>SUM(BJ170:BM170)</f>
        <v>240.53999999999994</v>
      </c>
      <c r="BO170" s="182">
        <f>+BO168+BO143</f>
        <v>24</v>
      </c>
      <c r="BP170" s="182">
        <f>+BP168+BP143</f>
        <v>246.1</v>
      </c>
      <c r="BQ170" s="182">
        <f>+BQ168+BQ143</f>
        <v>106</v>
      </c>
      <c r="BR170" s="182">
        <f>+BR168+BR143</f>
        <v>66</v>
      </c>
      <c r="BS170" s="278">
        <f>SUM(BO170:BR170)</f>
        <v>442.1</v>
      </c>
      <c r="BT170" s="182">
        <f>+BT168+BT143</f>
        <v>25.994199999999964</v>
      </c>
      <c r="BU170" s="182">
        <f>+BU168+BU143</f>
        <v>113</v>
      </c>
      <c r="BV170" s="182">
        <f>+BV168+BV143</f>
        <v>119</v>
      </c>
      <c r="BW170" s="182">
        <f>+BW168+BW143</f>
        <v>56</v>
      </c>
      <c r="BX170" s="278">
        <f>SUM(BT170:BW170)</f>
        <v>313.99419999999998</v>
      </c>
      <c r="BY170" s="182">
        <f t="shared" ref="BY170:CG170" si="877">+BY168+BY143</f>
        <v>76</v>
      </c>
      <c r="BZ170" s="182">
        <f t="shared" si="877"/>
        <v>159</v>
      </c>
      <c r="CA170" s="182">
        <f t="shared" si="877"/>
        <v>227</v>
      </c>
      <c r="CB170" s="182">
        <f t="shared" si="877"/>
        <v>86.000000000000014</v>
      </c>
      <c r="CC170" s="278">
        <f t="shared" si="877"/>
        <v>548</v>
      </c>
      <c r="CD170" s="182">
        <f t="shared" si="877"/>
        <v>69.479999999999905</v>
      </c>
      <c r="CE170" s="182">
        <f t="shared" si="877"/>
        <v>332.59999999999991</v>
      </c>
      <c r="CF170" s="182">
        <f t="shared" si="877"/>
        <v>153.59999999999991</v>
      </c>
      <c r="CG170" s="182">
        <f t="shared" si="877"/>
        <v>56.599999999999909</v>
      </c>
      <c r="CH170" s="278">
        <f>SUM(CD170:CG170)</f>
        <v>612.27999999999963</v>
      </c>
      <c r="CI170" s="182">
        <f>+CI168+CI143</f>
        <v>32</v>
      </c>
      <c r="CJ170" s="182">
        <f>+CJ168+CJ143</f>
        <v>195</v>
      </c>
      <c r="CK170" s="182">
        <f>+CK168+CK143</f>
        <v>160.57499999999999</v>
      </c>
      <c r="CL170" s="182">
        <f>+CL168+CL143</f>
        <v>87</v>
      </c>
      <c r="CM170" s="278">
        <f>SUM(CI170:CL170)</f>
        <v>474.57499999999999</v>
      </c>
      <c r="CN170" s="182">
        <f>+CN168+CN143</f>
        <v>43</v>
      </c>
      <c r="CO170" s="182">
        <f>+CO168+CO143</f>
        <v>121</v>
      </c>
      <c r="CP170" s="182">
        <f>+CP168+CP143</f>
        <v>69</v>
      </c>
      <c r="CQ170" s="182">
        <f>+CQ168+CQ143</f>
        <v>61</v>
      </c>
      <c r="CR170" s="323">
        <f>SUM(CN170:CQ170)-CR168</f>
        <v>178</v>
      </c>
      <c r="CS170" s="182">
        <f>+CS168+CS143</f>
        <v>-66.883000000000166</v>
      </c>
      <c r="CT170" s="182">
        <f>+CT168+CT143</f>
        <v>168.0180000000002</v>
      </c>
      <c r="CU170" s="182">
        <f>+CU168+CU143</f>
        <v>-6.0400000000001839</v>
      </c>
      <c r="CV170" s="182">
        <f>+CV168+CV143</f>
        <v>133.08700000000022</v>
      </c>
      <c r="CW170" s="323">
        <f>SUM(CS170:CV170)</f>
        <v>228.18200000000007</v>
      </c>
      <c r="CX170" s="182">
        <f>+CX168+CX143</f>
        <v>-0.82500000000032614</v>
      </c>
      <c r="CY170" s="182">
        <f>+CY168+CY143</f>
        <v>131.47599999999997</v>
      </c>
      <c r="CZ170" s="182">
        <f>+CZ168+CZ143</f>
        <v>242.309</v>
      </c>
      <c r="DA170" s="182">
        <f>+DA168+DA143</f>
        <v>107.14300000000001</v>
      </c>
      <c r="DB170" s="323">
        <f>SUM(CX170:DA170)</f>
        <v>480.10299999999967</v>
      </c>
      <c r="DC170" s="182">
        <f>+DC168+DC143</f>
        <v>-4.8110000000000817</v>
      </c>
      <c r="DD170" s="182">
        <f>+DD168+DD143</f>
        <v>172</v>
      </c>
      <c r="DE170" s="182">
        <f>+DE168+DE143</f>
        <v>-140</v>
      </c>
      <c r="DF170" s="182">
        <f>+DF168+DF143</f>
        <v>152</v>
      </c>
      <c r="DG170" s="323">
        <f>SUM(DC170:DF170)</f>
        <v>179.18899999999991</v>
      </c>
      <c r="DH170" s="182">
        <f t="shared" ref="DH170:DQ170" si="878">+DH168+DH143</f>
        <v>98</v>
      </c>
      <c r="DI170" s="182">
        <f t="shared" si="878"/>
        <v>228</v>
      </c>
      <c r="DJ170" s="182">
        <f t="shared" si="878"/>
        <v>16</v>
      </c>
      <c r="DK170" s="182">
        <f>+DK168+DK143</f>
        <v>78</v>
      </c>
      <c r="DL170" s="323">
        <f t="shared" si="878"/>
        <v>420</v>
      </c>
      <c r="DM170" s="182">
        <f t="shared" si="878"/>
        <v>59</v>
      </c>
      <c r="DN170" s="182">
        <f t="shared" si="878"/>
        <v>224</v>
      </c>
      <c r="DO170" s="182">
        <f>+DO168+DO143</f>
        <v>259</v>
      </c>
      <c r="DP170" s="182">
        <f>+DP168+DP143</f>
        <v>212</v>
      </c>
      <c r="DQ170" s="323">
        <f t="shared" si="878"/>
        <v>754</v>
      </c>
      <c r="DR170" s="182">
        <f t="shared" ref="DR170:DX170" si="879">+DR168+DR143</f>
        <v>152</v>
      </c>
      <c r="DS170" s="182">
        <f t="shared" si="879"/>
        <v>465</v>
      </c>
      <c r="DT170" s="182">
        <f t="shared" si="879"/>
        <v>329</v>
      </c>
      <c r="DU170" s="182">
        <f>+DU168+DU143</f>
        <v>404</v>
      </c>
      <c r="DV170" s="323">
        <f>+DV168+DV143</f>
        <v>1350</v>
      </c>
      <c r="DW170" s="182">
        <f t="shared" si="879"/>
        <v>453</v>
      </c>
      <c r="DX170" s="182">
        <f t="shared" si="879"/>
        <v>691</v>
      </c>
      <c r="DY170" s="182">
        <f t="shared" ref="DY170:EU170" si="880">+DY168+DY143</f>
        <v>584</v>
      </c>
      <c r="DZ170" s="182">
        <f t="shared" si="880"/>
        <v>591</v>
      </c>
      <c r="EA170" s="323">
        <f t="shared" si="880"/>
        <v>2319</v>
      </c>
      <c r="EB170" s="182">
        <f t="shared" si="880"/>
        <v>567</v>
      </c>
      <c r="EC170" s="182">
        <f t="shared" si="880"/>
        <v>757</v>
      </c>
      <c r="ED170" s="182">
        <f t="shared" ref="ED170:EH170" si="881">+ED168+ED143</f>
        <v>582</v>
      </c>
      <c r="EE170" s="182">
        <f t="shared" si="881"/>
        <v>463</v>
      </c>
      <c r="EF170" s="323">
        <f t="shared" si="881"/>
        <v>2369</v>
      </c>
      <c r="EG170" s="182">
        <f t="shared" si="881"/>
        <v>372</v>
      </c>
      <c r="EH170" s="182">
        <f t="shared" si="881"/>
        <v>748</v>
      </c>
      <c r="EI170" s="182">
        <f t="shared" ref="EI170:EJ170" si="882">+EI168+EI143</f>
        <v>528</v>
      </c>
      <c r="EJ170" s="182">
        <f t="shared" si="882"/>
        <v>459</v>
      </c>
      <c r="EK170" s="323">
        <f t="shared" si="880"/>
        <v>2107</v>
      </c>
      <c r="EL170" s="182">
        <f t="shared" si="880"/>
        <v>359</v>
      </c>
      <c r="EM170" s="182">
        <f t="shared" si="880"/>
        <v>745</v>
      </c>
      <c r="EN170" s="182">
        <f t="shared" si="880"/>
        <v>554</v>
      </c>
      <c r="EO170" s="182">
        <f t="shared" si="880"/>
        <v>458</v>
      </c>
      <c r="EP170" s="323">
        <f t="shared" ref="EP170" si="883">+EP168+EP143</f>
        <v>2116</v>
      </c>
      <c r="EQ170" s="182">
        <f t="shared" ref="EQ170" si="884">+EQ168+EQ143</f>
        <v>433.49865092069831</v>
      </c>
      <c r="ER170" s="182">
        <f t="shared" ref="ER170:ET170" si="885">+ER168+ER143</f>
        <v>885.27953300263903</v>
      </c>
      <c r="ES170" s="182">
        <f t="shared" si="885"/>
        <v>739.25410459452405</v>
      </c>
      <c r="ET170" s="182">
        <f t="shared" si="885"/>
        <v>690.31840122364224</v>
      </c>
      <c r="EU170" s="323">
        <f t="shared" si="880"/>
        <v>2748.3506897415054</v>
      </c>
      <c r="EV170" s="182"/>
      <c r="EW170" s="182"/>
      <c r="EX170" s="182"/>
      <c r="EY170" s="182"/>
      <c r="EZ170" s="323">
        <f t="shared" ref="EZ170" si="886">+EZ168+EZ143</f>
        <v>3182.2312229436402</v>
      </c>
      <c r="FA170" s="182"/>
      <c r="FB170" s="182"/>
      <c r="FC170" s="182"/>
      <c r="FD170" s="182"/>
      <c r="FE170" s="323">
        <f t="shared" ref="FE170" si="887">+FE168+FE143</f>
        <v>3637.312698796045</v>
      </c>
      <c r="FF170" s="23"/>
      <c r="FG170" s="444"/>
      <c r="FL170" s="376"/>
      <c r="FM170" s="376"/>
      <c r="FN170" s="377"/>
      <c r="FO170" s="377"/>
      <c r="FP170" s="377"/>
      <c r="FQ170" s="377"/>
      <c r="FR170" s="377"/>
      <c r="FS170" s="377"/>
      <c r="FT170" s="444"/>
    </row>
    <row r="171" spans="1:183" ht="12.75" customHeight="1" x14ac:dyDescent="0.2">
      <c r="A171" s="31" t="s">
        <v>120</v>
      </c>
      <c r="B171" s="32"/>
      <c r="C171" s="32"/>
      <c r="D171" s="32"/>
      <c r="E171" s="32"/>
      <c r="F171" s="242"/>
      <c r="G171" s="32"/>
      <c r="H171" s="32"/>
      <c r="I171" s="32"/>
      <c r="J171" s="32"/>
      <c r="K171" s="288"/>
      <c r="L171" s="32"/>
      <c r="M171" s="32"/>
      <c r="N171" s="32"/>
      <c r="O171" s="32"/>
      <c r="P171" s="288"/>
      <c r="Q171" s="32"/>
      <c r="R171" s="32"/>
      <c r="S171" s="32"/>
      <c r="T171" s="32"/>
      <c r="U171" s="288"/>
      <c r="V171" s="32"/>
      <c r="W171" s="32"/>
      <c r="X171" s="32"/>
      <c r="Y171" s="32"/>
      <c r="Z171" s="288"/>
      <c r="AA171" s="32"/>
      <c r="AB171" s="32"/>
      <c r="AC171" s="32"/>
      <c r="AD171" s="32"/>
      <c r="AE171" s="288"/>
      <c r="AF171" s="32"/>
      <c r="AG171" s="32"/>
      <c r="AH171" s="32"/>
      <c r="AI171" s="32"/>
      <c r="AJ171" s="288"/>
      <c r="AK171" s="32"/>
      <c r="AL171" s="32"/>
      <c r="AM171" s="32"/>
      <c r="AN171" s="32"/>
      <c r="AO171" s="288"/>
      <c r="AP171" s="32"/>
      <c r="AQ171" s="32"/>
      <c r="AR171" s="32"/>
      <c r="AS171" s="32"/>
      <c r="AT171" s="288"/>
      <c r="AU171" s="32"/>
      <c r="AV171" s="32"/>
      <c r="AW171" s="32"/>
      <c r="AX171" s="32"/>
      <c r="AY171" s="288"/>
      <c r="AZ171" s="32"/>
      <c r="BA171" s="32"/>
      <c r="BB171" s="32"/>
      <c r="BC171" s="32"/>
      <c r="BD171" s="288"/>
      <c r="BE171" s="32"/>
      <c r="BF171" s="32"/>
      <c r="BG171" s="32"/>
      <c r="BH171" s="32"/>
      <c r="BI171" s="288"/>
      <c r="BJ171" s="32"/>
      <c r="BK171" s="32"/>
      <c r="BL171" s="32"/>
      <c r="BM171" s="32"/>
      <c r="BN171" s="288"/>
      <c r="BO171" s="32"/>
      <c r="BP171" s="32"/>
      <c r="BQ171" s="32"/>
      <c r="BR171" s="32"/>
      <c r="BS171" s="288"/>
      <c r="BT171" s="32"/>
      <c r="BU171" s="32"/>
      <c r="BV171" s="32"/>
      <c r="BW171" s="32"/>
      <c r="BX171" s="288"/>
      <c r="BY171" s="32"/>
      <c r="BZ171" s="32"/>
      <c r="CA171" s="32"/>
      <c r="CB171" s="32"/>
      <c r="CC171" s="288"/>
      <c r="CD171" s="32"/>
      <c r="CE171" s="32"/>
      <c r="CF171" s="32"/>
      <c r="CG171" s="32"/>
      <c r="CH171" s="288"/>
      <c r="CI171" s="32"/>
      <c r="CJ171" s="32"/>
      <c r="CK171" s="32"/>
      <c r="CL171" s="32"/>
      <c r="CM171" s="288"/>
      <c r="CN171" s="32"/>
      <c r="CO171" s="32"/>
      <c r="CP171" s="32"/>
      <c r="CQ171" s="32"/>
      <c r="CR171" s="288"/>
      <c r="CS171" s="32"/>
      <c r="CT171" s="32"/>
      <c r="CU171" s="32"/>
      <c r="CV171" s="32"/>
      <c r="CW171" s="288"/>
      <c r="CX171" s="32"/>
      <c r="CY171" s="32"/>
      <c r="CZ171" s="32"/>
      <c r="DA171" s="32"/>
      <c r="DB171" s="288"/>
      <c r="DC171" s="32"/>
      <c r="DD171" s="32"/>
      <c r="DE171" s="32"/>
      <c r="DF171" s="32"/>
      <c r="DG171" s="288"/>
      <c r="DH171" s="32"/>
      <c r="DI171" s="32"/>
      <c r="DJ171" s="32"/>
      <c r="DK171" s="32"/>
      <c r="DL171" s="288"/>
      <c r="DM171" s="32"/>
      <c r="DN171" s="32"/>
      <c r="DO171" s="32"/>
      <c r="DP171" s="32"/>
      <c r="DQ171" s="288"/>
      <c r="DR171" s="32"/>
      <c r="DS171" s="32"/>
      <c r="DT171" s="32"/>
      <c r="DU171" s="32"/>
      <c r="DV171" s="288"/>
      <c r="DW171" s="32"/>
      <c r="DX171" s="32"/>
      <c r="DY171" s="32"/>
      <c r="DZ171" s="32"/>
      <c r="EA171" s="288"/>
      <c r="EB171" s="32"/>
      <c r="EC171" s="32"/>
      <c r="ED171" s="32"/>
      <c r="EE171" s="32"/>
      <c r="EF171" s="288"/>
      <c r="EG171" s="32"/>
      <c r="EH171" s="32"/>
      <c r="EI171" s="32"/>
      <c r="EJ171" s="32"/>
      <c r="EK171" s="288"/>
      <c r="EL171" s="32"/>
      <c r="EM171" s="32"/>
      <c r="EN171" s="32"/>
      <c r="EO171" s="32"/>
      <c r="EP171" s="288"/>
      <c r="EQ171" s="32"/>
      <c r="ER171" s="32"/>
      <c r="ES171" s="32"/>
      <c r="ET171" s="32"/>
      <c r="EU171" s="288"/>
      <c r="EV171" s="32"/>
      <c r="EW171" s="32"/>
      <c r="EX171" s="32"/>
      <c r="EY171" s="32"/>
      <c r="EZ171" s="288"/>
      <c r="FA171" s="32"/>
      <c r="FB171" s="32"/>
      <c r="FC171" s="32"/>
      <c r="FD171" s="32"/>
      <c r="FE171" s="288"/>
      <c r="FF171" s="338"/>
      <c r="FG171" s="32"/>
      <c r="FL171" s="416"/>
      <c r="FM171" s="416"/>
      <c r="FN171" s="378"/>
      <c r="FO171" s="378"/>
      <c r="FP171" s="378"/>
      <c r="FQ171" s="378"/>
      <c r="FR171" s="378"/>
      <c r="FS171" s="378"/>
      <c r="FT171" s="124"/>
    </row>
    <row r="172" spans="1:183" s="7" customFormat="1" ht="12.75" customHeight="1" x14ac:dyDescent="0.2">
      <c r="A172" s="7" t="s">
        <v>121</v>
      </c>
      <c r="F172" s="99"/>
      <c r="K172" s="99"/>
      <c r="P172" s="99"/>
      <c r="U172" s="99"/>
      <c r="Z172" s="99"/>
      <c r="AE172" s="99"/>
      <c r="AJ172" s="99"/>
      <c r="AO172" s="99"/>
      <c r="AT172" s="99"/>
      <c r="AY172" s="99"/>
      <c r="BD172" s="99"/>
      <c r="BI172" s="99"/>
      <c r="BN172" s="99"/>
      <c r="BS172" s="99"/>
      <c r="BX172" s="99"/>
      <c r="CC172" s="99"/>
      <c r="CH172" s="99"/>
      <c r="CM172" s="99"/>
      <c r="CR172" s="99"/>
      <c r="CW172" s="99"/>
      <c r="DB172" s="99"/>
      <c r="DG172" s="99"/>
      <c r="DL172" s="99"/>
      <c r="DQ172" s="99"/>
      <c r="DV172" s="99"/>
      <c r="EA172" s="99"/>
      <c r="EF172" s="99"/>
      <c r="EK172" s="99"/>
      <c r="EP172" s="99"/>
      <c r="EU172" s="99"/>
      <c r="EZ172" s="99"/>
      <c r="FE172" s="99"/>
      <c r="FF172" s="336"/>
      <c r="FG172" s="6"/>
      <c r="FH172" s="346"/>
      <c r="FI172" s="336"/>
      <c r="FJ172" s="336"/>
      <c r="FK172" s="336"/>
      <c r="FL172" s="412"/>
      <c r="FM172" s="412"/>
      <c r="FN172" s="373"/>
      <c r="FO172" s="373"/>
      <c r="FP172" s="373"/>
      <c r="FQ172" s="373"/>
      <c r="FR172" s="373"/>
      <c r="FS172" s="373"/>
      <c r="FT172" s="6"/>
      <c r="FU172"/>
      <c r="FV172"/>
      <c r="FW172"/>
      <c r="FX172"/>
      <c r="FY172"/>
      <c r="FZ172"/>
      <c r="GA172" s="341"/>
    </row>
    <row r="173" spans="1:183" ht="12.75" hidden="1" customHeight="1" x14ac:dyDescent="0.2">
      <c r="A173" s="8" t="s">
        <v>122</v>
      </c>
      <c r="B173" s="9"/>
      <c r="C173" s="9"/>
      <c r="D173" s="9"/>
      <c r="E173" s="9"/>
      <c r="F173" s="10"/>
      <c r="G173" s="9"/>
      <c r="H173" s="9"/>
      <c r="I173" s="9"/>
      <c r="J173" s="9"/>
      <c r="K173" s="10"/>
      <c r="L173" s="9"/>
      <c r="M173" s="9"/>
      <c r="N173" s="9"/>
      <c r="O173" s="9"/>
      <c r="P173" s="10"/>
      <c r="Q173" s="9"/>
      <c r="R173" s="9"/>
      <c r="S173" s="9"/>
      <c r="T173" s="9"/>
      <c r="U173" s="10"/>
      <c r="V173" s="9"/>
      <c r="W173" s="9"/>
      <c r="X173" s="9"/>
      <c r="Y173" s="9"/>
      <c r="Z173" s="10"/>
      <c r="AA173" s="9"/>
      <c r="AB173" s="9"/>
      <c r="AC173" s="9"/>
      <c r="AD173" s="9"/>
      <c r="AE173" s="10"/>
      <c r="AF173" s="9"/>
      <c r="AG173" s="9"/>
      <c r="AH173" s="9"/>
      <c r="AI173" s="9"/>
      <c r="AJ173" s="10"/>
      <c r="AK173" s="9"/>
      <c r="AL173" s="9"/>
      <c r="AM173" s="9"/>
      <c r="AN173" s="9"/>
      <c r="AO173" s="10"/>
      <c r="AP173" s="9"/>
      <c r="AQ173" s="9"/>
      <c r="AR173" s="9"/>
      <c r="AS173" s="9"/>
      <c r="AT173" s="10"/>
      <c r="AU173" s="9"/>
      <c r="AV173" s="9"/>
      <c r="AW173" s="9"/>
      <c r="AX173" s="9"/>
      <c r="AY173" s="10"/>
      <c r="AZ173" s="9"/>
      <c r="BA173" s="9"/>
      <c r="BB173" s="9"/>
      <c r="BC173" s="9"/>
      <c r="BD173" s="10"/>
      <c r="BE173" s="9"/>
      <c r="BF173" s="9"/>
      <c r="BG173" s="9"/>
      <c r="BH173" s="9"/>
      <c r="BI173" s="10"/>
      <c r="BJ173" s="9"/>
      <c r="BK173" s="9"/>
      <c r="BL173" s="9"/>
      <c r="BM173" s="9"/>
      <c r="BN173" s="10"/>
      <c r="BO173" s="9"/>
      <c r="BP173" s="9"/>
      <c r="BQ173" s="9"/>
      <c r="BR173" s="9"/>
      <c r="BS173" s="10"/>
      <c r="BT173" s="9"/>
      <c r="BU173" s="9"/>
      <c r="BV173" s="9"/>
      <c r="BW173" s="9"/>
      <c r="BX173" s="10"/>
      <c r="BY173" s="9"/>
      <c r="BZ173" s="9"/>
      <c r="CA173" s="9"/>
      <c r="CB173" s="9"/>
      <c r="CC173" s="10"/>
      <c r="CD173" s="9"/>
      <c r="CE173" s="9"/>
      <c r="CF173" s="9"/>
      <c r="CG173" s="9"/>
      <c r="CH173" s="10"/>
      <c r="CI173" s="9"/>
      <c r="CJ173" s="9"/>
      <c r="CK173" s="9"/>
      <c r="CL173" s="9"/>
      <c r="CM173" s="10"/>
      <c r="CN173" s="9"/>
      <c r="CO173" s="9"/>
      <c r="CP173" s="9"/>
      <c r="CQ173" s="9"/>
      <c r="CR173" s="10"/>
      <c r="CS173" s="9"/>
      <c r="CT173" s="9"/>
      <c r="CU173" s="9"/>
      <c r="CV173" s="9"/>
      <c r="CW173" s="10"/>
      <c r="CX173" s="9"/>
      <c r="CY173" s="9"/>
      <c r="CZ173" s="9"/>
      <c r="DA173" s="9"/>
      <c r="DB173" s="10"/>
      <c r="DC173" s="9"/>
      <c r="DD173" s="9"/>
      <c r="DE173" s="9"/>
      <c r="DF173" s="9"/>
      <c r="DG173" s="10"/>
      <c r="DH173" s="9"/>
      <c r="DI173" s="9"/>
      <c r="DJ173" s="9"/>
      <c r="DK173" s="9"/>
      <c r="DL173" s="10"/>
      <c r="DM173" s="9"/>
      <c r="DN173" s="9"/>
      <c r="DO173" s="9"/>
      <c r="DP173" s="9"/>
      <c r="DQ173" s="10"/>
      <c r="DR173" s="9"/>
      <c r="DS173" s="9"/>
      <c r="DT173" s="9"/>
      <c r="DU173" s="9"/>
      <c r="DV173" s="10"/>
      <c r="DW173" s="9"/>
      <c r="DX173" s="9"/>
      <c r="DY173" s="9"/>
      <c r="DZ173" s="9"/>
      <c r="EA173" s="10"/>
      <c r="EB173" s="9"/>
      <c r="EC173" s="9"/>
      <c r="ED173" s="9"/>
      <c r="EE173" s="9"/>
      <c r="EF173" s="10"/>
      <c r="EG173" s="9"/>
      <c r="EH173" s="9"/>
      <c r="EI173" s="9"/>
      <c r="EJ173" s="9"/>
      <c r="EK173" s="10"/>
      <c r="EL173" s="9"/>
      <c r="EM173" s="9"/>
      <c r="EN173" s="9"/>
      <c r="EO173" s="9"/>
      <c r="EP173" s="10"/>
      <c r="EQ173" s="9"/>
      <c r="ER173" s="9"/>
      <c r="ES173" s="9"/>
      <c r="ET173" s="9"/>
      <c r="EU173" s="10"/>
      <c r="EV173" s="9"/>
      <c r="EW173" s="9"/>
      <c r="EX173" s="9"/>
      <c r="EY173" s="9"/>
      <c r="EZ173" s="10"/>
      <c r="FA173" s="9"/>
      <c r="FB173" s="9"/>
      <c r="FC173" s="9"/>
      <c r="FD173" s="9"/>
      <c r="FE173" s="10"/>
      <c r="FF173" s="337"/>
      <c r="FG173" s="441"/>
      <c r="FH173" s="347"/>
      <c r="FI173" s="337"/>
      <c r="FJ173" s="337"/>
      <c r="FK173" s="337"/>
      <c r="FL173" s="413"/>
      <c r="FM173" s="413"/>
      <c r="FN173" s="9"/>
      <c r="FO173" s="9"/>
      <c r="FP173" s="9"/>
      <c r="FQ173" s="9"/>
      <c r="FR173" s="9"/>
      <c r="FS173" s="9"/>
      <c r="FT173" s="441"/>
      <c r="GA173" s="342"/>
    </row>
    <row r="174" spans="1:183" ht="12.75" hidden="1" customHeight="1" x14ac:dyDescent="0.2">
      <c r="A174" s="33" t="s">
        <v>123</v>
      </c>
      <c r="B174" s="186"/>
      <c r="C174" s="186"/>
      <c r="D174" s="186"/>
      <c r="E174" s="186"/>
      <c r="F174" s="266"/>
      <c r="G174" s="186"/>
      <c r="H174" s="186"/>
      <c r="I174" s="186"/>
      <c r="J174" s="186"/>
      <c r="K174" s="266"/>
      <c r="L174" s="186"/>
      <c r="M174" s="186"/>
      <c r="N174" s="186"/>
      <c r="O174" s="186"/>
      <c r="P174" s="266"/>
      <c r="Q174" s="186"/>
      <c r="R174" s="186"/>
      <c r="S174" s="186"/>
      <c r="T174" s="186"/>
      <c r="U174" s="266"/>
      <c r="V174" s="186"/>
      <c r="W174" s="186"/>
      <c r="X174" s="186"/>
      <c r="Y174" s="186"/>
      <c r="Z174" s="266"/>
      <c r="AA174" s="186"/>
      <c r="AB174" s="186"/>
      <c r="AC174" s="186"/>
      <c r="AD174" s="186"/>
      <c r="AE174" s="266"/>
      <c r="AF174" s="186"/>
      <c r="AG174" s="186"/>
      <c r="AH174" s="186"/>
      <c r="AI174" s="186"/>
      <c r="AJ174" s="266">
        <f>AJ109</f>
        <v>3406.17</v>
      </c>
      <c r="AK174" s="186">
        <f>AK109+AI109+AH109+AG109</f>
        <v>3520.7360000000003</v>
      </c>
      <c r="AL174" s="186">
        <f>AL109+AK109+AI109+AH109</f>
        <v>3567.32</v>
      </c>
      <c r="AM174" s="186">
        <f>AM109+AK109+AL109+AI109</f>
        <v>3673.069</v>
      </c>
      <c r="AN174" s="186">
        <f>AN109+AL109+AK109+AM109</f>
        <v>3816.8209999999999</v>
      </c>
      <c r="AO174" s="266">
        <f>AO109</f>
        <v>3816.8209999999999</v>
      </c>
      <c r="AP174" s="186">
        <f>AP109+AN109+AM109+AL109</f>
        <v>3872.3789999999999</v>
      </c>
      <c r="AQ174" s="186">
        <f>AQ109+AP109+AN109+AM109</f>
        <v>3994.328</v>
      </c>
      <c r="AR174" s="186">
        <f>AR109+AP109+AQ109+AN109</f>
        <v>4091.9169999999995</v>
      </c>
      <c r="AS174" s="186">
        <f>AS109+AQ109+AP109+AR109</f>
        <v>4163.9799999999996</v>
      </c>
      <c r="AT174" s="266">
        <f>AT109</f>
        <v>4163.9799999999996</v>
      </c>
      <c r="AU174" s="186">
        <f>AU109+AS109+AR109+AQ109</f>
        <v>4296.8979999999992</v>
      </c>
      <c r="AV174" s="186">
        <f>AV109+AU109+AS109+AR109</f>
        <v>4438.4889999999996</v>
      </c>
      <c r="AW174" s="186">
        <f>AW109+AU109+AV109+AS109</f>
        <v>4578.8249999999998</v>
      </c>
      <c r="AX174" s="186">
        <f>AX109+AV109+AU109+AW109</f>
        <v>4735.5869999999995</v>
      </c>
      <c r="AY174" s="266">
        <f>AY109</f>
        <v>4735.5869999999995</v>
      </c>
      <c r="AZ174" s="186">
        <f>AZ109+AX109+AW109+AV109</f>
        <v>4902.6629999999996</v>
      </c>
      <c r="BA174" s="186">
        <f>BA109+AZ109+AX109+AW109</f>
        <v>5142.9059999999999</v>
      </c>
      <c r="BB174" s="186">
        <f>BB109+AZ109+BA109+AX109</f>
        <v>5386.5740000000005</v>
      </c>
      <c r="BC174" s="186">
        <f>BC109+BA109+AZ109+BB109</f>
        <v>5649.56</v>
      </c>
      <c r="BD174" s="266">
        <f>BD109</f>
        <v>5649.5599999999995</v>
      </c>
      <c r="BE174" s="186">
        <f>BE109+BC109+BB109+BA109</f>
        <v>5835.53</v>
      </c>
      <c r="BF174" s="186">
        <f>BF109+BE109+BC109+BB109</f>
        <v>5928.64</v>
      </c>
      <c r="BG174" s="186">
        <f>BG109+BE109+BF109+BC109</f>
        <v>5784.9310000000005</v>
      </c>
      <c r="BH174" s="186">
        <f>BH109+BF109+BE109+BG109</f>
        <v>5555.174</v>
      </c>
      <c r="BI174" s="266">
        <f>BI109</f>
        <v>5555.174</v>
      </c>
      <c r="BJ174" s="186">
        <f>BJ109+BH109+BG109+BF109</f>
        <v>5383.8</v>
      </c>
      <c r="BK174" s="186">
        <f>BK109+BJ109+BH109+BG109</f>
        <v>5266.8130000000001</v>
      </c>
      <c r="BL174" s="186">
        <f>BL109+BJ109+BK109+BH109</f>
        <v>5322.8789999999999</v>
      </c>
      <c r="BM174" s="186">
        <f>BM109+BK109+BJ109+BL109</f>
        <v>5485.7709999999997</v>
      </c>
      <c r="BN174" s="266">
        <f>BN109</f>
        <v>5485.7709999999997</v>
      </c>
      <c r="BO174" s="186">
        <f>BO109+BM109+BL109+BK109</f>
        <v>5579.5279999999993</v>
      </c>
      <c r="BP174" s="186">
        <f>BP109+BO109+BM109+BL109</f>
        <v>5657.73</v>
      </c>
      <c r="BQ174" s="186">
        <f>BQ109+BO109+BP109+BM109</f>
        <v>5819.5389999999998</v>
      </c>
      <c r="BR174" s="186">
        <f>BR109+BP109+BO109+BQ109</f>
        <v>5936</v>
      </c>
      <c r="BS174" s="266">
        <f>BS109</f>
        <v>5936</v>
      </c>
      <c r="BT174" s="186">
        <f>BT109+BR109+BQ109+BP109</f>
        <v>6069</v>
      </c>
      <c r="BU174" s="186">
        <f>BU109+BT109+BR109+BQ109</f>
        <v>6270</v>
      </c>
      <c r="BV174" s="186">
        <f>BV109+BT109+BU109+BR109</f>
        <v>6391</v>
      </c>
      <c r="BW174" s="186">
        <f>BW109+BU109+BT109+BV109</f>
        <v>6529</v>
      </c>
      <c r="BX174" s="266">
        <f>BX109</f>
        <v>6529</v>
      </c>
      <c r="BY174" s="186">
        <f>BY109+BW109+BV109+BU109</f>
        <v>6708</v>
      </c>
      <c r="BZ174" s="186">
        <f>BZ109+BY109+BW109+BV109</f>
        <v>6936</v>
      </c>
      <c r="CA174" s="186">
        <f>CA109+BY109+BZ109+BW109</f>
        <v>7251</v>
      </c>
      <c r="CB174" s="186">
        <f>CB109+BZ109+BY109+CA109</f>
        <v>7583</v>
      </c>
      <c r="CC174" s="266">
        <f>CC109</f>
        <v>7583</v>
      </c>
      <c r="CD174" s="186">
        <f>CD109+CB109+CA109+BZ109</f>
        <v>7939</v>
      </c>
      <c r="CE174" s="186">
        <f>CE109+CD109+CB109+CA109</f>
        <v>8444</v>
      </c>
      <c r="CF174" s="186">
        <f>CF109+CD109+CE109+CB109</f>
        <v>8797</v>
      </c>
      <c r="CG174" s="186">
        <f>CG109+CE109+CD109+CF109</f>
        <v>9086</v>
      </c>
      <c r="CH174" s="266">
        <f>CH109</f>
        <v>9086</v>
      </c>
      <c r="CI174" s="186">
        <f>CI109+CG109+CF109+CE109</f>
        <v>9265</v>
      </c>
      <c r="CJ174" s="186">
        <f>CJ109+CI109+CG109+CF109</f>
        <v>9399</v>
      </c>
      <c r="CK174" s="186">
        <f>CK109+CI109+CJ109+CG109</f>
        <v>9645</v>
      </c>
      <c r="CL174" s="186">
        <f>CL109+CJ109+CI109+CK109</f>
        <v>9861</v>
      </c>
      <c r="CM174" s="266">
        <f>CM109</f>
        <v>9861</v>
      </c>
      <c r="CN174" s="186">
        <f>CN109+CL109+CK109+CJ109</f>
        <v>10193</v>
      </c>
      <c r="CO174" s="186">
        <f>CO109+CN109+CL109+CK109</f>
        <v>10479</v>
      </c>
      <c r="CP174" s="186">
        <f>CP109+CN109+CO109+CL109</f>
        <v>10782</v>
      </c>
      <c r="CQ174" s="186">
        <f>CQ109+CO109+CN109+CP109</f>
        <v>11024</v>
      </c>
      <c r="CR174" s="266">
        <f>CR109</f>
        <v>11024</v>
      </c>
      <c r="CS174" s="186">
        <f>CS109+CQ109+CP109+CO109</f>
        <v>11392.955</v>
      </c>
      <c r="CT174" s="186">
        <f>CT109+CS109+CQ109+CP109</f>
        <v>11743.608</v>
      </c>
      <c r="CU174" s="186">
        <f>CU109+CS109+CT109+CQ109</f>
        <v>12116.01</v>
      </c>
      <c r="CV174" s="186">
        <f>CV109+CT109+CS109+CU109</f>
        <v>12692.442000000001</v>
      </c>
      <c r="CW174" s="266">
        <f>CW109</f>
        <v>12692.442000000001</v>
      </c>
      <c r="CX174" s="186">
        <f>CX109+CV109+CU109+CT109</f>
        <v>13028.628000000001</v>
      </c>
      <c r="CY174" s="186">
        <f>CY109+CX109+CV109+CU109</f>
        <v>13677.975</v>
      </c>
      <c r="CZ174" s="186">
        <f>CZ109+CX109+CY109+CV109</f>
        <v>14274.573</v>
      </c>
      <c r="DA174" s="186">
        <f>DA109+CY109+CX109+CZ109</f>
        <v>14724.141</v>
      </c>
      <c r="DB174" s="103">
        <f>DB109</f>
        <v>14724.141</v>
      </c>
      <c r="DC174" s="186">
        <f>DC109+DA109+CZ109+CY109</f>
        <v>15258.030999999999</v>
      </c>
      <c r="DD174" s="186">
        <f>DD109+DC109+DA109+CZ109</f>
        <v>15796.030999999999</v>
      </c>
      <c r="DE174" s="186">
        <f>DE109+DC109+DD109+DA109</f>
        <v>16247.030999999999</v>
      </c>
      <c r="DF174" s="186">
        <f>DF109+DD109+DC109+DE109</f>
        <v>16595.030999999999</v>
      </c>
      <c r="DG174" s="103">
        <f>DG109</f>
        <v>16595.030999999999</v>
      </c>
      <c r="DH174" s="186">
        <f>DH109+DF109+DE109+DD109</f>
        <v>16817</v>
      </c>
      <c r="DI174" s="186">
        <f>DI109+DH109+DF109+DE109</f>
        <v>17026</v>
      </c>
      <c r="DJ174" s="186">
        <f>DJ109+DH109+DI109+DF109</f>
        <v>17024</v>
      </c>
      <c r="DK174" s="186">
        <f>DK109+DI109+DH109+DJ109</f>
        <v>17089</v>
      </c>
      <c r="DL174" s="103">
        <f>DL109</f>
        <v>17089</v>
      </c>
      <c r="DM174" s="186">
        <f>DM109+DK109+DJ109+DI109</f>
        <v>17182</v>
      </c>
      <c r="DN174" s="186">
        <f>DN109+DM109+DK109+DJ109</f>
        <v>17209</v>
      </c>
      <c r="DO174" s="186">
        <f>DO109+DM109+DN109+DK109</f>
        <v>17445</v>
      </c>
      <c r="DP174" s="186">
        <f>DP109+DN109+DM109+DO109</f>
        <v>17700</v>
      </c>
      <c r="DQ174" s="103">
        <f>DQ109</f>
        <v>17700</v>
      </c>
      <c r="DR174" s="186">
        <f>DR109+DP109+DO109+DN109</f>
        <v>17782</v>
      </c>
      <c r="DS174" s="186">
        <f>DS109+DR109+DP109+DO109</f>
        <v>18150</v>
      </c>
      <c r="DT174" s="186">
        <f>DT109+DR109+DS109+DP109</f>
        <v>18405</v>
      </c>
      <c r="DU174" s="186">
        <f>DU109+DS109+DR109+DT109</f>
        <v>18605</v>
      </c>
      <c r="DV174" s="103">
        <f>DV109</f>
        <v>18605</v>
      </c>
      <c r="DW174" s="186">
        <f>DW109+DU109+DT109+DS109</f>
        <v>18853</v>
      </c>
      <c r="DX174" s="186">
        <f>DX109+DW109+DU109+DT109</f>
        <v>18953</v>
      </c>
      <c r="DY174" s="186">
        <f>DY109+DW109+DX109+DU109</f>
        <v>19299</v>
      </c>
      <c r="DZ174" s="186">
        <f>DZ109+DX109+DW109+DY109</f>
        <v>19648</v>
      </c>
      <c r="EA174" s="103">
        <f>EA109</f>
        <v>19648</v>
      </c>
      <c r="EB174" s="186">
        <f>EB109+DZ109+DY109+DX109</f>
        <v>20060</v>
      </c>
      <c r="EC174" s="186">
        <f>EC109+EB109+DZ109+DY109</f>
        <v>20333</v>
      </c>
      <c r="ED174" s="186">
        <f>ED109+EB109+EC109+DZ109</f>
        <v>20326</v>
      </c>
      <c r="EE174" s="186">
        <f>EE109+EC109+EB109+ED109</f>
        <v>20425</v>
      </c>
      <c r="EF174" s="103">
        <f>EF109</f>
        <v>20425</v>
      </c>
      <c r="EG174" s="186">
        <f>EG109+EE109+ED109+EC109</f>
        <v>20482</v>
      </c>
      <c r="EH174" s="186">
        <f>EH109+EG109+EE109+ED109</f>
        <v>20842</v>
      </c>
      <c r="EI174" s="186">
        <f>EI109+EG109+EH109+EE109</f>
        <v>20974</v>
      </c>
      <c r="EJ174" s="186">
        <f t="shared" ref="EJ174" si="888">EJ109+EH109+EG109+EI109</f>
        <v>21172</v>
      </c>
      <c r="EK174" s="103">
        <f>EK109</f>
        <v>21172</v>
      </c>
      <c r="EL174" s="186">
        <f>EL109+EJ109+EI109+EH109</f>
        <v>21143</v>
      </c>
      <c r="EM174" s="186">
        <f>EM109+EL109+EJ109+EI109</f>
        <v>21130</v>
      </c>
      <c r="EN174" s="186">
        <f>EN109+EL109+EM109+EJ109</f>
        <v>21162</v>
      </c>
      <c r="EO174" s="186">
        <f t="shared" ref="EO174" si="889">EO109+EM109+EL109+EN109</f>
        <v>21146</v>
      </c>
      <c r="EP174" s="103">
        <f>EP109</f>
        <v>21146</v>
      </c>
      <c r="EQ174" s="186">
        <f>EQ109+EO109+EN109+EM109</f>
        <v>21243.28386</v>
      </c>
      <c r="ER174" s="186">
        <f>ER109+EN109+EO109+EQ109</f>
        <v>21421.391460000003</v>
      </c>
      <c r="ES174" s="186">
        <f>ES109+EQ109+EO109+ER109</f>
        <v>21718.749060000002</v>
      </c>
      <c r="ET174" s="186">
        <f>ET109+ER109+EQ109+ES109</f>
        <v>22202.779060000004</v>
      </c>
      <c r="EU174" s="103">
        <f>EU109</f>
        <v>22202.779060000004</v>
      </c>
      <c r="EV174" s="186"/>
      <c r="EW174" s="186"/>
      <c r="EX174" s="186"/>
      <c r="EY174" s="186"/>
      <c r="EZ174" s="103">
        <f>EZ109</f>
        <v>23565.788070630002</v>
      </c>
      <c r="FA174" s="186"/>
      <c r="FB174" s="186"/>
      <c r="FC174" s="186"/>
      <c r="FD174" s="186"/>
      <c r="FE174" s="103">
        <f>FE109</f>
        <v>24984.416346953123</v>
      </c>
      <c r="FF174" s="33"/>
      <c r="FG174" s="460"/>
      <c r="FL174" s="425"/>
      <c r="FM174" s="425"/>
      <c r="FN174" s="384"/>
      <c r="FO174" s="384"/>
      <c r="FP174" s="384"/>
      <c r="FQ174" s="384"/>
      <c r="FR174" s="384"/>
      <c r="FS174" s="384"/>
      <c r="FT174" s="460"/>
    </row>
    <row r="175" spans="1:183" ht="12.75" hidden="1" customHeight="1" x14ac:dyDescent="0.2">
      <c r="A175" s="33" t="s">
        <v>124</v>
      </c>
      <c r="B175" s="186"/>
      <c r="C175" s="186"/>
      <c r="D175" s="186"/>
      <c r="E175" s="186"/>
      <c r="F175" s="266"/>
      <c r="G175" s="186"/>
      <c r="H175" s="186"/>
      <c r="I175" s="186"/>
      <c r="J175" s="186"/>
      <c r="K175" s="266"/>
      <c r="L175" s="186"/>
      <c r="M175" s="186"/>
      <c r="N175" s="186"/>
      <c r="O175" s="186"/>
      <c r="P175" s="266"/>
      <c r="Q175" s="186"/>
      <c r="R175" s="186"/>
      <c r="S175" s="186"/>
      <c r="T175" s="186"/>
      <c r="U175" s="266"/>
      <c r="V175" s="186"/>
      <c r="W175" s="186"/>
      <c r="X175" s="186"/>
      <c r="Y175" s="186"/>
      <c r="Z175" s="266"/>
      <c r="AA175" s="186"/>
      <c r="AB175" s="186"/>
      <c r="AC175" s="186"/>
      <c r="AD175" s="186"/>
      <c r="AE175" s="266"/>
      <c r="AF175" s="186"/>
      <c r="AG175" s="186"/>
      <c r="AH175" s="186"/>
      <c r="AI175" s="186"/>
      <c r="AJ175" s="266">
        <f>AJ20</f>
        <v>3269.2380000000003</v>
      </c>
      <c r="AK175" s="186">
        <f>AK20+AI20+AH20+AG20</f>
        <v>3377.2440000000001</v>
      </c>
      <c r="AL175" s="186">
        <f>AL20+AK20+AI20+AH20</f>
        <v>3412.6030000000001</v>
      </c>
      <c r="AM175" s="186">
        <f>AM20+AK20+AL20+AI20</f>
        <v>3506.424</v>
      </c>
      <c r="AN175" s="186">
        <f>AN20+AL20+AK20+AM20</f>
        <v>3639.1930000000002</v>
      </c>
      <c r="AO175" s="266">
        <f>AO20</f>
        <v>3639.1930000000002</v>
      </c>
      <c r="AP175" s="186">
        <f>AP20+AN20+AM20+AL20</f>
        <v>3684.8759999999997</v>
      </c>
      <c r="AQ175" s="186">
        <f>AQ20+AP20+AN20+AM20</f>
        <v>3803.433</v>
      </c>
      <c r="AR175" s="186">
        <f>AR20+AP20+AQ20+AN20</f>
        <v>3896.7060000000001</v>
      </c>
      <c r="AS175" s="186">
        <f>AS20+AQ20+AP20+AR20</f>
        <v>3963.7809999999999</v>
      </c>
      <c r="AT175" s="266">
        <f>AT20</f>
        <v>3963.7809999999999</v>
      </c>
      <c r="AU175" s="186">
        <f>AU20+AS20+AR20+AQ20</f>
        <v>4103.3510000000006</v>
      </c>
      <c r="AV175" s="186">
        <f>AV20+AU20+AS20+AR20</f>
        <v>4250.3949999999995</v>
      </c>
      <c r="AW175" s="186">
        <f>AW20+AU20+AV20+AS20</f>
        <v>4397.0519999999997</v>
      </c>
      <c r="AX175" s="186">
        <f>AX20+AV20+AU20+AW20</f>
        <v>4562.6170000000002</v>
      </c>
      <c r="AY175" s="266">
        <f>AY20</f>
        <v>4562.6170000000002</v>
      </c>
      <c r="AZ175" s="186">
        <f>AZ20+AX20+AW20+AV20</f>
        <v>4728.143</v>
      </c>
      <c r="BA175" s="186">
        <f>BA20+AZ20+AX20+AW20</f>
        <v>4966.8190000000004</v>
      </c>
      <c r="BB175" s="186">
        <f>BB20+AZ20+BA20+AX20</f>
        <v>5207.1869999999999</v>
      </c>
      <c r="BC175" s="186">
        <f>BC20+BA20+AZ20+BB20</f>
        <v>5467.9650000000001</v>
      </c>
      <c r="BD175" s="266">
        <f>BD20</f>
        <v>5467.9650000000001</v>
      </c>
      <c r="BE175" s="186">
        <f>BE20+BC20+BB20+BA20</f>
        <v>5649.3559999999998</v>
      </c>
      <c r="BF175" s="186">
        <f>BF20+BE20+BC20+BB20</f>
        <v>5738.7269999999999</v>
      </c>
      <c r="BG175" s="186">
        <f>BG20+BE20+BF20+BC20</f>
        <v>5601.4580000000005</v>
      </c>
      <c r="BH175" s="186">
        <f>BH20+BF20+BE20+BG20</f>
        <v>5378.7019999999993</v>
      </c>
      <c r="BI175" s="266">
        <f>BI20</f>
        <v>5378.7020000000002</v>
      </c>
      <c r="BJ175" s="186">
        <f>BJ20+BH20+BG20+BF20</f>
        <v>5212.2110000000002</v>
      </c>
      <c r="BK175" s="186">
        <f>BK20+BJ20+BH20+BG20</f>
        <v>5096.2469999999994</v>
      </c>
      <c r="BL175" s="186">
        <f>BL20+BJ20+BK20+BH20</f>
        <v>5147.759</v>
      </c>
      <c r="BM175" s="186">
        <f>BM20+BK20+BJ20+BL20</f>
        <v>5305.3490000000002</v>
      </c>
      <c r="BN175" s="266">
        <f>BN20</f>
        <v>5305.3490000000002</v>
      </c>
      <c r="BO175" s="186">
        <f>BO20+BM20+BL20+BK20</f>
        <v>5396.5639999999994</v>
      </c>
      <c r="BP175" s="186">
        <f>BP20+BO20+BM20+BL20</f>
        <v>5472.1990000000005</v>
      </c>
      <c r="BQ175" s="186">
        <f>BQ20+BO20+BP20+BM20</f>
        <v>5631.1180000000004</v>
      </c>
      <c r="BR175" s="186">
        <f>BR20+BP20+BO20+BQ20</f>
        <v>5741</v>
      </c>
      <c r="BS175" s="266">
        <f>BS20</f>
        <v>5741</v>
      </c>
      <c r="BT175" s="186">
        <f>BT20+BR20+BQ20+BP20</f>
        <v>5863</v>
      </c>
      <c r="BU175" s="186">
        <f>BU20+BT20+BR20+BQ20</f>
        <v>6052</v>
      </c>
      <c r="BV175" s="186">
        <f>BV20+BT20+BU20+BR20</f>
        <v>6161</v>
      </c>
      <c r="BW175" s="186">
        <f>BW20+BU20+BT20+BV20</f>
        <v>6281</v>
      </c>
      <c r="BX175" s="266">
        <f>BX20</f>
        <v>6281</v>
      </c>
      <c r="BY175" s="186">
        <f>BY20+BW20+BV20+BU20</f>
        <v>6445</v>
      </c>
      <c r="BZ175" s="186">
        <f>BZ20+BY20+BW20+BV20</f>
        <v>6659</v>
      </c>
      <c r="CA175" s="186">
        <f>CA20+BY20+BZ20+BW20</f>
        <v>6959</v>
      </c>
      <c r="CB175" s="186">
        <f>CB20+BZ20+BY20+CA20</f>
        <v>7278</v>
      </c>
      <c r="CC175" s="266">
        <f>CC20</f>
        <v>7278</v>
      </c>
      <c r="CD175" s="186">
        <f>CD20+CB20+CA20+BZ20</f>
        <v>7624.25</v>
      </c>
      <c r="CE175" s="186">
        <f>CE20+CD20+CB20+CA20</f>
        <v>8118.5</v>
      </c>
      <c r="CF175" s="186">
        <f>CF20+CD20+CE20+CB20</f>
        <v>8464.75</v>
      </c>
      <c r="CG175" s="186">
        <f>CG20+CE20+CD20+CF20</f>
        <v>8750</v>
      </c>
      <c r="CH175" s="266">
        <f>CH20</f>
        <v>8750</v>
      </c>
      <c r="CI175" s="186">
        <f>CI20+CG20+CF20+CE20</f>
        <v>8923.75</v>
      </c>
      <c r="CJ175" s="186">
        <f>CJ20+CI20+CG20+CF20</f>
        <v>9036.5</v>
      </c>
      <c r="CK175" s="186">
        <f>CK20+CI20+CJ20+CG20</f>
        <v>9260.25</v>
      </c>
      <c r="CL175" s="186">
        <f>CL20+CJ20+CI20+CK20</f>
        <v>9457</v>
      </c>
      <c r="CM175" s="266">
        <f>CM20</f>
        <v>9457</v>
      </c>
      <c r="CN175" s="186">
        <f>CN20+CL20+CK20+CJ20</f>
        <v>9759</v>
      </c>
      <c r="CO175" s="186">
        <f>CO20+CN20+CL20+CK20</f>
        <v>10031</v>
      </c>
      <c r="CP175" s="186">
        <f>CP20+CN20+CO20+CL20</f>
        <v>10316</v>
      </c>
      <c r="CQ175" s="186">
        <f>CQ20+CO20+CN20+CP20</f>
        <v>10550</v>
      </c>
      <c r="CR175" s="266">
        <f>CR20</f>
        <v>10550</v>
      </c>
      <c r="CS175" s="186">
        <f>CS20+CQ20+CP20+CO20</f>
        <v>10874.101000000001</v>
      </c>
      <c r="CT175" s="186">
        <f>CT20+CS20+CQ20+CP20</f>
        <v>11170.072</v>
      </c>
      <c r="CU175" s="186">
        <f>CU20+CS20+CT20+CQ20</f>
        <v>11482.507</v>
      </c>
      <c r="CV175" s="186">
        <f>CV20+CT20+CS20+CU20</f>
        <v>11980.965</v>
      </c>
      <c r="CW175" s="266">
        <f>CW20</f>
        <v>11980.965</v>
      </c>
      <c r="CX175" s="186">
        <f>CX20+CV20+CU20+CT20</f>
        <v>12279.567999999999</v>
      </c>
      <c r="CY175" s="186">
        <f>CY20+CX20+CV20+CU20</f>
        <v>12857.597</v>
      </c>
      <c r="CZ175" s="186">
        <f>CZ20+CX20+CY20+CV20</f>
        <v>13384.162</v>
      </c>
      <c r="DA175" s="186">
        <f>DA20+CY20+CX20+CZ20</f>
        <v>13755.704</v>
      </c>
      <c r="DB175" s="103">
        <f>DB20</f>
        <v>13755.704</v>
      </c>
      <c r="DC175" s="186">
        <f>DC20+DA20+CZ20+CY20</f>
        <v>14259.780999999999</v>
      </c>
      <c r="DD175" s="186">
        <f>DD20+DC20+DA20+CZ20</f>
        <v>14767.780999999999</v>
      </c>
      <c r="DE175" s="186">
        <f>DE20+DC20+DD20+DA20</f>
        <v>15175.780999999999</v>
      </c>
      <c r="DF175" s="186">
        <f>DF20+DD20+DC20+DE20</f>
        <v>15543.780999999999</v>
      </c>
      <c r="DG175" s="103">
        <f>DG20</f>
        <v>15543.780999999999</v>
      </c>
      <c r="DH175" s="186">
        <f>DH20+DF20+DE20+DD20</f>
        <v>15754</v>
      </c>
      <c r="DI175" s="186">
        <f>DI20+DH20+DF20+DE20</f>
        <v>15972</v>
      </c>
      <c r="DJ175" s="186">
        <f>DJ20+DH20+DI20+DF20</f>
        <v>16014</v>
      </c>
      <c r="DK175" s="186">
        <f>DK20+DI20+DH20+DJ20</f>
        <v>16093</v>
      </c>
      <c r="DL175" s="103">
        <f>DL20</f>
        <v>16093</v>
      </c>
      <c r="DM175" s="186">
        <f>DM20+DK20+DJ20+DI20</f>
        <v>16180</v>
      </c>
      <c r="DN175" s="186">
        <f>DN20+DM20+DK20+DJ20</f>
        <v>16213</v>
      </c>
      <c r="DO175" s="186">
        <f>DO20+DM20+DN20+DK20</f>
        <v>16463</v>
      </c>
      <c r="DP175" s="186">
        <f>DP20+DN20+DM20+DO20</f>
        <v>16721</v>
      </c>
      <c r="DQ175" s="103">
        <f>DQ20</f>
        <v>16721</v>
      </c>
      <c r="DR175" s="186">
        <f>DR20+DP20+DO20+DN20</f>
        <v>16816</v>
      </c>
      <c r="DS175" s="186">
        <f>DS20+DR20+DP20+DO20</f>
        <v>17188</v>
      </c>
      <c r="DT175" s="186">
        <f>DT20+DR20+DS20+DP20</f>
        <v>17446</v>
      </c>
      <c r="DU175" s="186">
        <f>DU20+DS20+DR20+DT20</f>
        <v>17658</v>
      </c>
      <c r="DV175" s="103">
        <f>DV20</f>
        <v>17658</v>
      </c>
      <c r="DW175" s="186">
        <f>DW20+DU20+DT20+DS20</f>
        <v>17903</v>
      </c>
      <c r="DX175" s="186">
        <f>DX20+DW20+DU20+DT20</f>
        <v>18003</v>
      </c>
      <c r="DY175" s="186">
        <f>DY20+DW20+DX20+DU20</f>
        <v>18155</v>
      </c>
      <c r="DZ175" s="186">
        <f>DZ20+DX20+DW20+DY20</f>
        <v>18299</v>
      </c>
      <c r="EA175" s="103">
        <f>EA20</f>
        <v>18299</v>
      </c>
      <c r="EB175" s="186">
        <f>EB20+DZ20+DY20+DX20</f>
        <v>18519</v>
      </c>
      <c r="EC175" s="186">
        <f>EC20+EB20+DZ20+DY20</f>
        <v>18572</v>
      </c>
      <c r="ED175" s="186">
        <f>ED20+EB20+EC20+DZ20</f>
        <v>18525</v>
      </c>
      <c r="EE175" s="186">
        <f>EE20+EC20+EB20+ED20</f>
        <v>18595</v>
      </c>
      <c r="EF175" s="103">
        <f>EF20</f>
        <v>18595</v>
      </c>
      <c r="EG175" s="186">
        <f>EG20+EE20+ED20+EC20</f>
        <v>18621</v>
      </c>
      <c r="EH175" s="186">
        <f>EH20+EG20+EE20+ED20</f>
        <v>18949</v>
      </c>
      <c r="EI175" s="186">
        <f>EI20+EG20+EH20+EE20</f>
        <v>19025</v>
      </c>
      <c r="EJ175" s="186">
        <f t="shared" ref="EJ175:ET175" si="890">EJ20+EH20+EG20+EI20</f>
        <v>19140</v>
      </c>
      <c r="EK175" s="103">
        <f>EK20</f>
        <v>19140</v>
      </c>
      <c r="EL175" s="186">
        <f>EL20+EJ20+EI20+EH20</f>
        <v>19262</v>
      </c>
      <c r="EM175" s="186">
        <f>EM20+EL20+EJ20+EI20</f>
        <v>19408</v>
      </c>
      <c r="EN175" s="186">
        <f>EN20+EL20+EM20+EJ20</f>
        <v>19607</v>
      </c>
      <c r="EO175" s="186">
        <f t="shared" ref="EO175" si="891">EO20+EM20+EL20+EN20</f>
        <v>19764</v>
      </c>
      <c r="EP175" s="103">
        <f>EP20</f>
        <v>19764</v>
      </c>
      <c r="EQ175" s="186">
        <f>EQ20+EO20+EN20+EM20</f>
        <v>19834.05386</v>
      </c>
      <c r="ER175" s="186">
        <f>ER20+EN20+EO20+EQ20</f>
        <v>19965.301460000002</v>
      </c>
      <c r="ES175" s="186">
        <f>ES20+EQ20+EO20+ER20</f>
        <v>20214.479060000005</v>
      </c>
      <c r="ET175" s="186">
        <f t="shared" si="890"/>
        <v>20650.134060000004</v>
      </c>
      <c r="EU175" s="103">
        <f>EU20</f>
        <v>20650.134060000004</v>
      </c>
      <c r="EV175" s="186"/>
      <c r="EW175" s="186"/>
      <c r="EX175" s="186"/>
      <c r="EY175" s="186"/>
      <c r="EZ175" s="103">
        <f>EZ20</f>
        <v>21899.467170630003</v>
      </c>
      <c r="FA175" s="186"/>
      <c r="FB175" s="186"/>
      <c r="FC175" s="186"/>
      <c r="FD175" s="186"/>
      <c r="FE175" s="103">
        <f>FE20</f>
        <v>23224.384934453123</v>
      </c>
      <c r="FF175" s="33"/>
      <c r="FG175" s="460"/>
      <c r="FL175" s="425"/>
      <c r="FM175" s="425"/>
      <c r="FN175" s="384"/>
      <c r="FO175" s="384"/>
      <c r="FP175" s="384"/>
      <c r="FQ175" s="384"/>
      <c r="FR175" s="384"/>
      <c r="FS175" s="384"/>
      <c r="FT175" s="460"/>
    </row>
    <row r="176" spans="1:183" ht="12.75" hidden="1" customHeight="1" x14ac:dyDescent="0.2">
      <c r="A176" s="33" t="s">
        <v>382</v>
      </c>
      <c r="B176" s="186"/>
      <c r="C176" s="186"/>
      <c r="D176" s="186"/>
      <c r="E176" s="186"/>
      <c r="F176" s="266"/>
      <c r="G176" s="186"/>
      <c r="H176" s="186"/>
      <c r="I176" s="186"/>
      <c r="J176" s="186"/>
      <c r="K176" s="266"/>
      <c r="L176" s="186"/>
      <c r="M176" s="186"/>
      <c r="N176" s="186"/>
      <c r="O176" s="186"/>
      <c r="P176" s="266"/>
      <c r="Q176" s="186"/>
      <c r="R176" s="186"/>
      <c r="S176" s="186"/>
      <c r="T176" s="186"/>
      <c r="U176" s="266"/>
      <c r="V176" s="186"/>
      <c r="W176" s="186"/>
      <c r="X176" s="186"/>
      <c r="Y176" s="186"/>
      <c r="Z176" s="266"/>
      <c r="AA176" s="186"/>
      <c r="AB176" s="186"/>
      <c r="AC176" s="186"/>
      <c r="AD176" s="186"/>
      <c r="AE176" s="266"/>
      <c r="AF176" s="186"/>
      <c r="AG176" s="186"/>
      <c r="AH176" s="186"/>
      <c r="AI176" s="186"/>
      <c r="AJ176" s="266">
        <f>AJ99</f>
        <v>3055.335</v>
      </c>
      <c r="AK176" s="186">
        <f>AK99+AI99+AH99+AG99</f>
        <v>3140.0909999999999</v>
      </c>
      <c r="AL176" s="186">
        <f>AL99+AK99+AI99+AH99</f>
        <v>3172.4739999999997</v>
      </c>
      <c r="AM176" s="186">
        <f>AM99+AK99+AL99+AI99</f>
        <v>3229.3869999999997</v>
      </c>
      <c r="AN176" s="186">
        <f>AN99+AL99+AK99+AM99</f>
        <v>3292.5849999999996</v>
      </c>
      <c r="AO176" s="266">
        <f>AO99</f>
        <v>3292.585</v>
      </c>
      <c r="AP176" s="186">
        <f>AP99+AN99+AM99+AL99</f>
        <v>3323.6530000000002</v>
      </c>
      <c r="AQ176" s="186">
        <f>AQ99+AP99+AN99+AM99</f>
        <v>3393.4609999999998</v>
      </c>
      <c r="AR176" s="186">
        <f>AR99+AP99+AQ99+AN99</f>
        <v>3438.9009999999998</v>
      </c>
      <c r="AS176" s="186">
        <f>AS99+AQ99+AP99+AR99</f>
        <v>3480.3690000000001</v>
      </c>
      <c r="AT176" s="266">
        <f>AT99</f>
        <v>3480.3690000000001</v>
      </c>
      <c r="AU176" s="186">
        <f>AU99+AS99+AR99+AQ99</f>
        <v>3558.3630000000003</v>
      </c>
      <c r="AV176" s="186">
        <f>AV99+AU99+AS99+AR99</f>
        <v>3654.1709999999998</v>
      </c>
      <c r="AW176" s="186">
        <f>AW99+AU99+AV99+AS99</f>
        <v>3791.9629999999997</v>
      </c>
      <c r="AX176" s="186">
        <f>AX99+AV99+AU99+AW99</f>
        <v>3954.011</v>
      </c>
      <c r="AY176" s="266">
        <f>AY99</f>
        <v>3954.0109999999995</v>
      </c>
      <c r="AZ176" s="186">
        <f>AZ99+AX99+AW99+AV99</f>
        <v>4132.2960000000003</v>
      </c>
      <c r="BA176" s="186">
        <f>BA99+AZ99+AX99+AW99</f>
        <v>4312.3119999999999</v>
      </c>
      <c r="BB176" s="186">
        <f>BB99+AZ99+BA99+AX99</f>
        <v>4462.3339999999998</v>
      </c>
      <c r="BC176" s="186">
        <f>BC99+BA99+AZ99+BB99</f>
        <v>4628.415</v>
      </c>
      <c r="BD176" s="266">
        <f>BD99</f>
        <v>4628.415</v>
      </c>
      <c r="BE176" s="186">
        <f>BE99+BC99+BB99+BA99</f>
        <v>4759.6360000000004</v>
      </c>
      <c r="BF176" s="186">
        <f>BF99+BE99+BC99+BB99</f>
        <v>4876.442</v>
      </c>
      <c r="BG176" s="186">
        <f>BG99+BE99+BF99+BC99</f>
        <v>4939.8559999999998</v>
      </c>
      <c r="BH176" s="186">
        <f>BH99+BF99+BE99+BG99</f>
        <v>4924.0519999999997</v>
      </c>
      <c r="BI176" s="266">
        <f>BI99</f>
        <v>4924.0519999999997</v>
      </c>
      <c r="BJ176" s="186">
        <f>BJ99+BH99+BG99+BF99</f>
        <v>4913.47</v>
      </c>
      <c r="BK176" s="186">
        <f>BK99+BJ99+BH99+BG99</f>
        <v>4928.799</v>
      </c>
      <c r="BL176" s="186">
        <f>BL99+BJ99+BK99+BH99</f>
        <v>4986.71</v>
      </c>
      <c r="BM176" s="186">
        <f>BM99+BK99+BJ99+BL99</f>
        <v>5098.8860000000004</v>
      </c>
      <c r="BN176" s="266">
        <f>BN99</f>
        <v>5098.8860000000004</v>
      </c>
      <c r="BO176" s="186">
        <f>BO99+BM99+BL99+BK99</f>
        <v>5196.0079999999998</v>
      </c>
      <c r="BP176" s="186">
        <f>BP99+BO99+BM99+BL99</f>
        <v>5251.7560000000003</v>
      </c>
      <c r="BQ176" s="186">
        <f>BQ99+BO99+BP99+BM99</f>
        <v>5319.7060000000001</v>
      </c>
      <c r="BR176" s="186">
        <f>BR99+BP99+BO99+BQ99</f>
        <v>5413</v>
      </c>
      <c r="BS176" s="266">
        <f>BS99</f>
        <v>5413</v>
      </c>
      <c r="BT176" s="186">
        <f>BT99+BR99+BQ99+BP99</f>
        <v>5530.7</v>
      </c>
      <c r="BU176" s="186">
        <f>BU99+BT99+BR99+BQ99</f>
        <v>5691.7</v>
      </c>
      <c r="BV176" s="186">
        <f>BV99+BT99+BU99+BR99</f>
        <v>5806.7</v>
      </c>
      <c r="BW176" s="186">
        <f>BW99+BU99+BT99+BV99</f>
        <v>5935.7</v>
      </c>
      <c r="BX176" s="266">
        <f>BX99</f>
        <v>5935.7</v>
      </c>
      <c r="BY176" s="186">
        <f>BY99+BW99+BV99+BU99</f>
        <v>6093</v>
      </c>
      <c r="BZ176" s="186">
        <f>BZ99+BY99+BW99+BV99</f>
        <v>6284</v>
      </c>
      <c r="CA176" s="186">
        <f>CA99+BY99+BZ99+BW99</f>
        <v>6523</v>
      </c>
      <c r="CB176" s="186">
        <f>CB99+BZ99+BY99+CA99</f>
        <v>6842</v>
      </c>
      <c r="CC176" s="266">
        <f>CC99</f>
        <v>6842</v>
      </c>
      <c r="CD176" s="186">
        <f>CD99+CB99+CA99+BZ99</f>
        <v>7166.4</v>
      </c>
      <c r="CE176" s="186">
        <f>CE99+CD99+CB99+CA99</f>
        <v>7500.8</v>
      </c>
      <c r="CF176" s="186">
        <f>CF99+CD99+CE99+CB99</f>
        <v>7861.2000000000007</v>
      </c>
      <c r="CG176" s="186">
        <f>CG99+CE99+CD99+CF99</f>
        <v>8110.6</v>
      </c>
      <c r="CH176" s="266">
        <f>CH99</f>
        <v>8110.6</v>
      </c>
      <c r="CI176" s="186">
        <f>CI99+CG99+CF99+CE99</f>
        <v>8334.1999999999989</v>
      </c>
      <c r="CJ176" s="186">
        <f>CJ99+CI99+CG99+CF99</f>
        <v>8568.7999999999993</v>
      </c>
      <c r="CK176" s="186">
        <f>CK99+CI99+CJ99+CG99</f>
        <v>8797.4</v>
      </c>
      <c r="CL176" s="186">
        <f>CL99+CJ99+CI99+CK99</f>
        <v>9006</v>
      </c>
      <c r="CM176" s="266">
        <f>CM99</f>
        <v>9006</v>
      </c>
      <c r="CN176" s="186">
        <f>CN99+CL99+CK99+CJ99</f>
        <v>9309</v>
      </c>
      <c r="CO176" s="186">
        <f>CO99+CN99+CL99+CK99</f>
        <v>9681</v>
      </c>
      <c r="CP176" s="186">
        <f>CP99+CN99+CO99+CL99</f>
        <v>10114</v>
      </c>
      <c r="CQ176" s="186">
        <f>CQ99+CO99+CN99+CP99</f>
        <v>10386</v>
      </c>
      <c r="CR176" s="266">
        <f>CR99</f>
        <v>10386</v>
      </c>
      <c r="CS176" s="186">
        <f>CS99+CQ99+CP99+CO99</f>
        <v>10777.120999999999</v>
      </c>
      <c r="CT176" s="186">
        <f>CT99+CS99+CQ99+CP99</f>
        <v>11121.849</v>
      </c>
      <c r="CU176" s="186">
        <f>CU99+CS99+CT99+CQ99</f>
        <v>11485.618</v>
      </c>
      <c r="CV176" s="186">
        <f>CV99+CT99+CS99+CU99</f>
        <v>11982.241000000002</v>
      </c>
      <c r="CW176" s="266">
        <f>CW99</f>
        <v>11982.241</v>
      </c>
      <c r="CX176" s="186">
        <f>CX99+CV99+CU99+CT99</f>
        <v>12287.496999999999</v>
      </c>
      <c r="CY176" s="186">
        <f>CY99+CX99+CV99+CU99</f>
        <v>12696.769</v>
      </c>
      <c r="CZ176" s="186">
        <f>CZ99+CX99+CY99+CV99</f>
        <v>13002</v>
      </c>
      <c r="DA176" s="186">
        <f>DA99+CY99+CX99+CZ99</f>
        <v>13403.377</v>
      </c>
      <c r="DB176" s="103">
        <f>DB99</f>
        <v>13403.377</v>
      </c>
      <c r="DC176" s="186">
        <f>DC99+DA99+CZ99+CY99</f>
        <v>13972.759</v>
      </c>
      <c r="DD176" s="186">
        <f>DD99+DC99+DA99+CZ99</f>
        <v>14703.759</v>
      </c>
      <c r="DE176" s="186">
        <f>DE99+DC99+DD99+DA99</f>
        <v>15316.759</v>
      </c>
      <c r="DF176" s="186">
        <f>DF99+DD99+DC99+DE99</f>
        <v>15775.759</v>
      </c>
      <c r="DG176" s="103">
        <f>DG99</f>
        <v>15775.759</v>
      </c>
      <c r="DH176" s="186">
        <f>DH99+DF99+DE99+DD99</f>
        <v>16060</v>
      </c>
      <c r="DI176" s="186">
        <f>DI99+DH99+DF99+DE99</f>
        <v>16079</v>
      </c>
      <c r="DJ176" s="186">
        <f>DJ99+DH99+DI99+DF99</f>
        <v>16154</v>
      </c>
      <c r="DK176" s="186">
        <f>DK99+DI99+DH99+DJ99</f>
        <v>16250</v>
      </c>
      <c r="DL176" s="103">
        <f>DL99</f>
        <v>16250</v>
      </c>
      <c r="DM176" s="186">
        <f>DM99+DK99+DJ99+DI99</f>
        <v>16241</v>
      </c>
      <c r="DN176" s="186">
        <f>DN99+DM99+DK99+DJ99</f>
        <v>16274</v>
      </c>
      <c r="DO176" s="186">
        <f>DO99+DM99+DN99+DK99</f>
        <v>16279</v>
      </c>
      <c r="DP176" s="186">
        <f>DP99+DN99+DM99+DO99</f>
        <v>16252</v>
      </c>
      <c r="DQ176" s="103">
        <f>DQ99</f>
        <v>16252</v>
      </c>
      <c r="DR176" s="186">
        <f>DR99+DP99+DO99+DN99</f>
        <v>16204</v>
      </c>
      <c r="DS176" s="186">
        <f>DS99+DR99+DP99+DO99</f>
        <v>16232</v>
      </c>
      <c r="DT176" s="186">
        <f>DT99+DR99+DS99+DP99</f>
        <v>16277</v>
      </c>
      <c r="DU176" s="186">
        <f>DU99+DS99+DR99+DT99</f>
        <v>16225</v>
      </c>
      <c r="DV176" s="103">
        <f>DV99</f>
        <v>16225</v>
      </c>
      <c r="DW176" s="186">
        <f>DW99+DU99+DT99+DS99</f>
        <v>15945</v>
      </c>
      <c r="DX176" s="186">
        <f>DX99+DW99+DU99+DT99</f>
        <v>15716</v>
      </c>
      <c r="DY176" s="186">
        <f>DY99+DW99+DX99+DU99</f>
        <v>15664</v>
      </c>
      <c r="DZ176" s="186">
        <f>DZ99+DX99+DW99+DY99</f>
        <v>15691</v>
      </c>
      <c r="EA176" s="103">
        <f>EA99</f>
        <v>15691</v>
      </c>
      <c r="EB176" s="186">
        <f>EB99+DZ99+DY99+DX99</f>
        <v>15921</v>
      </c>
      <c r="EC176" s="186">
        <f>EC99+EB99+DZ99+DY99</f>
        <v>16075</v>
      </c>
      <c r="ED176" s="186">
        <f>ED99+EB99+EC99+DZ99</f>
        <v>16143</v>
      </c>
      <c r="EE176" s="186">
        <f>EE99+EC99+EB99+ED99</f>
        <v>16466</v>
      </c>
      <c r="EF176" s="103">
        <f>EF99</f>
        <v>16466</v>
      </c>
      <c r="EG176" s="186">
        <f>EG99+EE99+ED99+EC99</f>
        <v>16849</v>
      </c>
      <c r="EH176" s="186">
        <f>EH99+EG99+EE99+ED99</f>
        <v>17264</v>
      </c>
      <c r="EI176" s="186">
        <f>EI99+EG99+EH99+EE99</f>
        <v>17497</v>
      </c>
      <c r="EJ176" s="186">
        <f t="shared" ref="EJ176" si="892">EJ99+EH99+EG99+EI99</f>
        <v>17717</v>
      </c>
      <c r="EK176" s="103">
        <f>EK99</f>
        <v>17717</v>
      </c>
      <c r="EL176" s="186">
        <f>EL99+EJ99+EI99+EH99</f>
        <v>17740</v>
      </c>
      <c r="EM176" s="186">
        <f>EM99+EL99+EJ99+EI99</f>
        <v>17762</v>
      </c>
      <c r="EN176" s="186">
        <f>EN99+EL99+EM99+EJ99</f>
        <v>17783</v>
      </c>
      <c r="EO176" s="186">
        <f t="shared" ref="EO176" si="893">EO99+EM99+EL99+EN99</f>
        <v>17799</v>
      </c>
      <c r="EP176" s="103">
        <f>EP99</f>
        <v>17799</v>
      </c>
      <c r="EQ176" s="186">
        <f>EQ99+EO99+EN99+EM99</f>
        <v>17894.464770852512</v>
      </c>
      <c r="ER176" s="186">
        <f>ER99+EN99+EO99+EQ99</f>
        <v>18087.113695930508</v>
      </c>
      <c r="ES176" s="186">
        <f>ES99+EQ99+EO99+ER99</f>
        <v>18292.27376551419</v>
      </c>
      <c r="ET176" s="186">
        <f>ET99+ER99+EQ99+ES99</f>
        <v>18578.866109196744</v>
      </c>
      <c r="EU176" s="103">
        <f>EU99</f>
        <v>18578.866109196741</v>
      </c>
      <c r="EV176" s="186"/>
      <c r="EW176" s="186"/>
      <c r="EX176" s="186"/>
      <c r="EY176" s="186"/>
      <c r="EZ176" s="103">
        <f>EZ99</f>
        <v>19301.549346118576</v>
      </c>
      <c r="FA176" s="186"/>
      <c r="FB176" s="186"/>
      <c r="FC176" s="186"/>
      <c r="FD176" s="186"/>
      <c r="FE176" s="103">
        <f>FE99</f>
        <v>20152.392791005444</v>
      </c>
      <c r="FF176" s="33"/>
      <c r="FG176" s="460"/>
      <c r="FL176" s="425"/>
      <c r="FM176" s="425"/>
      <c r="FN176" s="384"/>
      <c r="FO176" s="384"/>
      <c r="FP176" s="384"/>
      <c r="FQ176" s="384"/>
      <c r="FR176" s="384"/>
      <c r="FS176" s="384"/>
      <c r="FT176" s="460"/>
    </row>
    <row r="177" spans="1:183" ht="12.75" hidden="1" customHeight="1" x14ac:dyDescent="0.2">
      <c r="A177" s="33" t="s">
        <v>383</v>
      </c>
      <c r="B177" s="186"/>
      <c r="C177" s="186"/>
      <c r="D177" s="186"/>
      <c r="E177" s="186"/>
      <c r="F177" s="266"/>
      <c r="G177" s="186"/>
      <c r="H177" s="186"/>
      <c r="I177" s="186"/>
      <c r="J177" s="186"/>
      <c r="K177" s="266"/>
      <c r="L177" s="186"/>
      <c r="M177" s="186"/>
      <c r="N177" s="186"/>
      <c r="O177" s="186"/>
      <c r="P177" s="266"/>
      <c r="Q177" s="186"/>
      <c r="R177" s="186"/>
      <c r="S177" s="186"/>
      <c r="T177" s="186"/>
      <c r="U177" s="266"/>
      <c r="V177" s="186"/>
      <c r="W177" s="186"/>
      <c r="X177" s="186"/>
      <c r="Y177" s="186"/>
      <c r="Z177" s="266"/>
      <c r="AA177" s="186"/>
      <c r="AB177" s="186"/>
      <c r="AC177" s="186"/>
      <c r="AD177" s="186"/>
      <c r="AE177" s="266"/>
      <c r="AF177" s="186"/>
      <c r="AG177" s="186"/>
      <c r="AH177" s="186"/>
      <c r="AI177" s="186"/>
      <c r="AJ177" s="266">
        <f>AJ54</f>
        <v>484.673</v>
      </c>
      <c r="AK177" s="186">
        <f>AK54+AI54+AH54+AG54</f>
        <v>514.88100000000009</v>
      </c>
      <c r="AL177" s="186">
        <f>AL54+AK54+AI54+AH54</f>
        <v>516.79</v>
      </c>
      <c r="AM177" s="186">
        <f>AM54+AK54+AL54+AI54</f>
        <v>509.61299999999994</v>
      </c>
      <c r="AN177" s="186">
        <f>AN54+AL54+AK54+AM54</f>
        <v>494.952</v>
      </c>
      <c r="AO177" s="266">
        <f>AO54</f>
        <v>494.952</v>
      </c>
      <c r="AP177" s="186">
        <f>AP54+AN54+AM54+AL54</f>
        <v>462.35300000000007</v>
      </c>
      <c r="AQ177" s="186">
        <f>AQ54+AP54+AN54+AM54</f>
        <v>440.83500000000004</v>
      </c>
      <c r="AR177" s="186">
        <f>AR54+AP54+AQ54+AN54</f>
        <v>418.39200000000005</v>
      </c>
      <c r="AS177" s="186">
        <f>AS54+AQ54+AP54+AR54</f>
        <v>388.34799999999996</v>
      </c>
      <c r="AT177" s="266">
        <f>AT54</f>
        <v>388.34800000000001</v>
      </c>
      <c r="AU177" s="186">
        <f>AU54+AS54+AR54+AQ54</f>
        <v>372.53999999999996</v>
      </c>
      <c r="AV177" s="186">
        <f>AV54+AU54+AS54+AR54</f>
        <v>379.47900000000004</v>
      </c>
      <c r="AW177" s="186">
        <f>AW54+AU54+AV54+AS54</f>
        <v>425.48399999999998</v>
      </c>
      <c r="AX177" s="186">
        <f>AX54+AV54+AU54+AW54</f>
        <v>492.41499999999996</v>
      </c>
      <c r="AY177" s="266">
        <f>AY54</f>
        <v>492.41499999999996</v>
      </c>
      <c r="AZ177" s="186">
        <f>AZ54+AX54+AW54+AV54</f>
        <v>603.81799999999998</v>
      </c>
      <c r="BA177" s="186">
        <f>BA54+AZ54+AX54+AW54</f>
        <v>698.44399999999996</v>
      </c>
      <c r="BB177" s="186">
        <f>BB54+AZ54+BA54+AX54</f>
        <v>750.351</v>
      </c>
      <c r="BC177" s="186">
        <f>BC54+BA54+AZ54+BB54</f>
        <v>804.42599999999993</v>
      </c>
      <c r="BD177" s="266">
        <f>BD54</f>
        <v>804.42600000000004</v>
      </c>
      <c r="BE177" s="186">
        <f>BE54+BC54+BB54+BA54</f>
        <v>816.93900000000008</v>
      </c>
      <c r="BF177" s="186">
        <f>BF54+BE54+BC54+BB54</f>
        <v>827.3599999999999</v>
      </c>
      <c r="BG177" s="186">
        <f>BG54+BE54+BF54+BC54</f>
        <v>825.19600000000003</v>
      </c>
      <c r="BH177" s="186">
        <f>BH54+BF54+BE54+BG54</f>
        <v>770.51499999999987</v>
      </c>
      <c r="BI177" s="266">
        <f>BI54</f>
        <v>770.51499999999999</v>
      </c>
      <c r="BJ177" s="186">
        <f>BJ54+BH54+BG54+BF54</f>
        <v>731.3</v>
      </c>
      <c r="BK177" s="186">
        <f>BK54+BJ54+BH54+BG54</f>
        <v>712.27099999999996</v>
      </c>
      <c r="BL177" s="186">
        <f>BL54+BJ54+BK54+BH54</f>
        <v>722.87299999999993</v>
      </c>
      <c r="BM177" s="186">
        <f>BM54+BK54+BJ54+BL54</f>
        <v>762.76600000000008</v>
      </c>
      <c r="BN177" s="266">
        <f>BN54</f>
        <v>762.76599999999996</v>
      </c>
      <c r="BO177" s="186">
        <f>BO54+BM54+BL54+BK54</f>
        <v>800.39699999999993</v>
      </c>
      <c r="BP177" s="186">
        <f>BP54+BO54+BM54+BL54</f>
        <v>805.39699999999993</v>
      </c>
      <c r="BQ177" s="186">
        <f>BQ54+BO54+BP54+BM54</f>
        <v>816.428</v>
      </c>
      <c r="BR177" s="186">
        <f>BR54+BP54+BO54+BQ54</f>
        <v>830</v>
      </c>
      <c r="BS177" s="266">
        <f>BS54</f>
        <v>830</v>
      </c>
      <c r="BT177" s="186">
        <f>BT54+BR54+BQ54+BP54</f>
        <v>852</v>
      </c>
      <c r="BU177" s="186">
        <f>BU54+BT54+BR54+BQ54</f>
        <v>904</v>
      </c>
      <c r="BV177" s="186">
        <f>BV54+BT54+BU54+BR54</f>
        <v>937</v>
      </c>
      <c r="BW177" s="186">
        <f>BW54+BU54+BT54+BV54</f>
        <v>1000</v>
      </c>
      <c r="BX177" s="266">
        <f>BX54</f>
        <v>1000</v>
      </c>
      <c r="BY177" s="186">
        <f>BY54+BW54+BV54+BU54</f>
        <v>1047</v>
      </c>
      <c r="BZ177" s="186">
        <f>BZ54+BY54+BW54+BV54</f>
        <v>1129</v>
      </c>
      <c r="CA177" s="186">
        <f>CA54+BY54+BZ54+BW54</f>
        <v>1200</v>
      </c>
      <c r="CB177" s="186">
        <f>CB54+BZ54+BY54+CA54</f>
        <v>1325</v>
      </c>
      <c r="CC177" s="266">
        <f>CC54</f>
        <v>1325</v>
      </c>
      <c r="CD177" s="186">
        <f>CD54+CB54+CA54+BZ54</f>
        <v>1532</v>
      </c>
      <c r="CE177" s="186">
        <f>CE54+CD54+CB54+CA54</f>
        <v>1695</v>
      </c>
      <c r="CF177" s="186">
        <f>CF54+CD54+CE54+CB54</f>
        <v>1941</v>
      </c>
      <c r="CG177" s="186">
        <f>CG54+CE54+CD54+CF54</f>
        <v>2097</v>
      </c>
      <c r="CH177" s="266">
        <f>CH54</f>
        <v>2097</v>
      </c>
      <c r="CI177" s="186">
        <f>CI54+CG54+CF54+CE54</f>
        <v>2191</v>
      </c>
      <c r="CJ177" s="186">
        <f>CJ54+CI54+CG54+CF54</f>
        <v>2307</v>
      </c>
      <c r="CK177" s="186">
        <f>CK54+CI54+CJ54+CG54</f>
        <v>2402</v>
      </c>
      <c r="CL177" s="186">
        <f>CL54+CJ54+CI54+CK54</f>
        <v>2495</v>
      </c>
      <c r="CM177" s="266">
        <f>CM54</f>
        <v>2495</v>
      </c>
      <c r="CN177" s="186">
        <f>CN54+CL54+CK54+CJ54</f>
        <v>2659</v>
      </c>
      <c r="CO177" s="186">
        <f>CO54+CN54+CL54+CK54</f>
        <v>2909</v>
      </c>
      <c r="CP177" s="186">
        <f>CP54+CN54+CO54+CL54</f>
        <v>3189</v>
      </c>
      <c r="CQ177" s="186">
        <f>CQ54+CO54+CN54+CP54</f>
        <v>3376</v>
      </c>
      <c r="CR177" s="266">
        <f>CR54</f>
        <v>3376</v>
      </c>
      <c r="CS177" s="186">
        <f>CS54+CQ54+CP54+CO54</f>
        <v>3385.7429999999999</v>
      </c>
      <c r="CT177" s="186">
        <f>CT54+CS54+CQ54+CP54</f>
        <v>3358.2709999999997</v>
      </c>
      <c r="CU177" s="186">
        <f>CU54+CS54+CT54+CQ54</f>
        <v>3388.527</v>
      </c>
      <c r="CV177" s="186">
        <f>CV54+CT54+CS54+CU54</f>
        <v>3503.7579999999998</v>
      </c>
      <c r="CW177" s="266">
        <f>CW54</f>
        <v>3503.7579999999998</v>
      </c>
      <c r="CX177" s="186">
        <f>CX54+CV54+CU54+CT54</f>
        <v>3722.4660000000003</v>
      </c>
      <c r="CY177" s="186">
        <f>CY54+CX54+CV54+CU54</f>
        <v>3993.9379999999996</v>
      </c>
      <c r="CZ177" s="186">
        <f>CZ54+CX54+CY54+CV54</f>
        <v>4123.6819999999998</v>
      </c>
      <c r="DA177" s="186">
        <f>DA54+CY54+CX54+CZ54</f>
        <v>4286.451</v>
      </c>
      <c r="DB177" s="103">
        <f>DB54</f>
        <v>4286.451</v>
      </c>
      <c r="DC177" s="186">
        <f>DC54+DA54+CZ54+CY54</f>
        <v>4643.085</v>
      </c>
      <c r="DD177" s="186">
        <f>DD54+DC54+DA54+CZ54</f>
        <v>5162.085</v>
      </c>
      <c r="DE177" s="186">
        <f>DE54+DC54+DD54+DA54</f>
        <v>5625.085</v>
      </c>
      <c r="DF177" s="186">
        <f>DF54+DD54+DC54+DE54</f>
        <v>6020.085</v>
      </c>
      <c r="DG177" s="103">
        <f>DG54</f>
        <v>6020.085</v>
      </c>
      <c r="DH177" s="186">
        <f>DH54+DF54+DE54+DD54</f>
        <v>6228</v>
      </c>
      <c r="DI177" s="186">
        <f>DI54+DH54+DF54+DE54</f>
        <v>6171</v>
      </c>
      <c r="DJ177" s="186">
        <f>DJ54+DH54+DI54+DF54</f>
        <v>6125</v>
      </c>
      <c r="DK177" s="186">
        <f>DK54+DI54+DH54+DJ54</f>
        <v>6088</v>
      </c>
      <c r="DL177" s="103">
        <f>DL54</f>
        <v>6088</v>
      </c>
      <c r="DM177" s="186">
        <f>DM54+DK54+DJ54+DI54</f>
        <v>5981</v>
      </c>
      <c r="DN177" s="186">
        <f>DN54+DM54+DK54+DJ54</f>
        <v>5887</v>
      </c>
      <c r="DO177" s="186">
        <f>DO54+DM54+DN54+DK54</f>
        <v>5800</v>
      </c>
      <c r="DP177" s="186">
        <f>DP54+DN54+DM54+DO54</f>
        <v>5680</v>
      </c>
      <c r="DQ177" s="103">
        <f>DQ54</f>
        <v>5680</v>
      </c>
      <c r="DR177" s="186">
        <f>DR54+DP54+DO54+DN54</f>
        <v>5557</v>
      </c>
      <c r="DS177" s="186">
        <f>DS54+DR54+DP54+DO54</f>
        <v>5507</v>
      </c>
      <c r="DT177" s="186">
        <f>DT54+DR54+DS54+DP54</f>
        <v>5452</v>
      </c>
      <c r="DU177" s="186">
        <f>DU54+DS54+DR54+DT54</f>
        <v>5264</v>
      </c>
      <c r="DV177" s="103">
        <f>DV54</f>
        <v>5264</v>
      </c>
      <c r="DW177" s="186">
        <f>DW54+DU54+DT54+DS54</f>
        <v>4832</v>
      </c>
      <c r="DX177" s="186">
        <f>DX54+DW54+DU54+DT54</f>
        <v>4413</v>
      </c>
      <c r="DY177" s="186">
        <f>DY54+DW54+DX54+DU54</f>
        <v>4127</v>
      </c>
      <c r="DZ177" s="186">
        <f>DZ54+DX54+DW54+DY54</f>
        <v>3938</v>
      </c>
      <c r="EA177" s="103">
        <f>EA54</f>
        <v>3938</v>
      </c>
      <c r="EB177" s="186">
        <f>EB54+DZ54+DY54+DX54</f>
        <v>3909</v>
      </c>
      <c r="EC177" s="186">
        <f>EC54+EB54+DZ54+DY54</f>
        <v>3842</v>
      </c>
      <c r="ED177" s="186">
        <f>ED54+EB54+EC54+DZ54</f>
        <v>3792</v>
      </c>
      <c r="EE177" s="186">
        <f>EE54+EC54+EB54+ED54</f>
        <v>3849</v>
      </c>
      <c r="EF177" s="103">
        <f>EF54</f>
        <v>3849</v>
      </c>
      <c r="EG177" s="186">
        <f>EG54+EE54+ED54+EC54</f>
        <v>3964</v>
      </c>
      <c r="EH177" s="186">
        <f>EH54+EG54+EE54+ED54</f>
        <v>4067</v>
      </c>
      <c r="EI177" s="186">
        <f>EI54+EG54+EH54+EE54</f>
        <v>4078</v>
      </c>
      <c r="EJ177" s="186">
        <f t="shared" ref="EJ177:ET177" si="894">EJ54+EH54+EG54+EI54</f>
        <v>4096</v>
      </c>
      <c r="EK177" s="103">
        <f>EK54</f>
        <v>4096</v>
      </c>
      <c r="EL177" s="186">
        <f>EL54+EJ54+EI54+EH54</f>
        <v>4130</v>
      </c>
      <c r="EM177" s="186">
        <f>EM54+EL54+EJ54+EI54</f>
        <v>4164</v>
      </c>
      <c r="EN177" s="186">
        <f>EN54+EL54+EM54+EJ54</f>
        <v>4198</v>
      </c>
      <c r="EO177" s="186">
        <f t="shared" ref="EO177" si="895">EO54+EM54+EL54+EN54</f>
        <v>4232</v>
      </c>
      <c r="EP177" s="103">
        <f>EP54</f>
        <v>4232</v>
      </c>
      <c r="EQ177" s="186">
        <f>EQ54+EO54+EN54+EM54</f>
        <v>4250.8593799999999</v>
      </c>
      <c r="ER177" s="186">
        <f>ER54+EN54+EO54+EQ54</f>
        <v>4293.1975679999996</v>
      </c>
      <c r="ES177" s="186">
        <f>ES54+EQ54+EO54+ER54</f>
        <v>4299.0115020000003</v>
      </c>
      <c r="ET177" s="186">
        <f t="shared" si="894"/>
        <v>4326.1122599999999</v>
      </c>
      <c r="EU177" s="103">
        <f>EU54</f>
        <v>4326.1122599999999</v>
      </c>
      <c r="EV177" s="186"/>
      <c r="EW177" s="186"/>
      <c r="EX177" s="186"/>
      <c r="EY177" s="186"/>
      <c r="EZ177" s="103">
        <f>EZ54</f>
        <v>4254.9077985335252</v>
      </c>
      <c r="FA177" s="186"/>
      <c r="FB177" s="186"/>
      <c r="FC177" s="186"/>
      <c r="FD177" s="186"/>
      <c r="FE177" s="103">
        <f>FE54</f>
        <v>4234.2390192109315</v>
      </c>
      <c r="FF177" s="33"/>
      <c r="FG177" s="460"/>
      <c r="FL177" s="425"/>
      <c r="FM177" s="425"/>
      <c r="FN177" s="384"/>
      <c r="FO177" s="384"/>
      <c r="FP177" s="384"/>
      <c r="FQ177" s="384"/>
      <c r="FR177" s="384"/>
      <c r="FS177" s="384"/>
      <c r="FT177" s="460"/>
    </row>
    <row r="178" spans="1:183" ht="12.75" hidden="1" customHeight="1" x14ac:dyDescent="0.2">
      <c r="A178" s="33" t="s">
        <v>384</v>
      </c>
      <c r="B178" s="186"/>
      <c r="C178" s="186"/>
      <c r="D178" s="186"/>
      <c r="E178" s="186"/>
      <c r="F178" s="266"/>
      <c r="G178" s="186"/>
      <c r="H178" s="186"/>
      <c r="I178" s="186"/>
      <c r="J178" s="186"/>
      <c r="K178" s="266"/>
      <c r="L178" s="186"/>
      <c r="M178" s="186"/>
      <c r="N178" s="186"/>
      <c r="O178" s="186"/>
      <c r="P178" s="266"/>
      <c r="Q178" s="186"/>
      <c r="R178" s="186"/>
      <c r="S178" s="186"/>
      <c r="T178" s="186"/>
      <c r="U178" s="266"/>
      <c r="V178" s="186"/>
      <c r="W178" s="186"/>
      <c r="X178" s="186"/>
      <c r="Y178" s="186"/>
      <c r="Z178" s="266"/>
      <c r="AA178" s="186"/>
      <c r="AB178" s="186"/>
      <c r="AC178" s="186"/>
      <c r="AD178" s="186"/>
      <c r="AE178" s="266"/>
      <c r="AF178" s="186"/>
      <c r="AG178" s="186"/>
      <c r="AH178" s="186"/>
      <c r="AI178" s="186"/>
      <c r="AJ178" s="266">
        <f t="shared" ref="AJ178:BO178" si="896">AJ176-AJ177</f>
        <v>2570.6620000000003</v>
      </c>
      <c r="AK178" s="186">
        <f t="shared" si="896"/>
        <v>2625.21</v>
      </c>
      <c r="AL178" s="186">
        <f t="shared" si="896"/>
        <v>2655.6839999999997</v>
      </c>
      <c r="AM178" s="186">
        <f t="shared" si="896"/>
        <v>2719.7739999999999</v>
      </c>
      <c r="AN178" s="186">
        <f t="shared" si="896"/>
        <v>2797.6329999999998</v>
      </c>
      <c r="AO178" s="266">
        <f t="shared" si="896"/>
        <v>2797.6329999999998</v>
      </c>
      <c r="AP178" s="186">
        <f t="shared" si="896"/>
        <v>2861.3</v>
      </c>
      <c r="AQ178" s="186">
        <f t="shared" si="896"/>
        <v>2952.6259999999997</v>
      </c>
      <c r="AR178" s="186">
        <f t="shared" si="896"/>
        <v>3020.509</v>
      </c>
      <c r="AS178" s="186">
        <f t="shared" si="896"/>
        <v>3092.0210000000002</v>
      </c>
      <c r="AT178" s="266">
        <f t="shared" si="896"/>
        <v>3092.0210000000002</v>
      </c>
      <c r="AU178" s="186">
        <f t="shared" si="896"/>
        <v>3185.8230000000003</v>
      </c>
      <c r="AV178" s="186">
        <f t="shared" si="896"/>
        <v>3274.692</v>
      </c>
      <c r="AW178" s="186">
        <f t="shared" si="896"/>
        <v>3366.4789999999998</v>
      </c>
      <c r="AX178" s="186">
        <f t="shared" si="896"/>
        <v>3461.596</v>
      </c>
      <c r="AY178" s="266">
        <f t="shared" si="896"/>
        <v>3461.5959999999995</v>
      </c>
      <c r="AZ178" s="186">
        <f t="shared" si="896"/>
        <v>3528.4780000000001</v>
      </c>
      <c r="BA178" s="186">
        <f t="shared" si="896"/>
        <v>3613.8679999999999</v>
      </c>
      <c r="BB178" s="186">
        <f t="shared" si="896"/>
        <v>3711.9829999999997</v>
      </c>
      <c r="BC178" s="186">
        <f t="shared" si="896"/>
        <v>3823.989</v>
      </c>
      <c r="BD178" s="266">
        <f t="shared" si="896"/>
        <v>3823.989</v>
      </c>
      <c r="BE178" s="186">
        <f t="shared" si="896"/>
        <v>3942.6970000000001</v>
      </c>
      <c r="BF178" s="186">
        <f t="shared" si="896"/>
        <v>4049.0820000000003</v>
      </c>
      <c r="BG178" s="186">
        <f t="shared" si="896"/>
        <v>4114.66</v>
      </c>
      <c r="BH178" s="186">
        <f t="shared" si="896"/>
        <v>4153.5370000000003</v>
      </c>
      <c r="BI178" s="266">
        <f t="shared" si="896"/>
        <v>4153.5369999999994</v>
      </c>
      <c r="BJ178" s="186">
        <f t="shared" si="896"/>
        <v>4182.17</v>
      </c>
      <c r="BK178" s="186">
        <f t="shared" si="896"/>
        <v>4216.5280000000002</v>
      </c>
      <c r="BL178" s="186">
        <f t="shared" si="896"/>
        <v>4263.8370000000004</v>
      </c>
      <c r="BM178" s="186">
        <f t="shared" si="896"/>
        <v>4336.1200000000008</v>
      </c>
      <c r="BN178" s="266">
        <f t="shared" si="896"/>
        <v>4336.1200000000008</v>
      </c>
      <c r="BO178" s="186">
        <f t="shared" si="896"/>
        <v>4395.6109999999999</v>
      </c>
      <c r="BP178" s="186">
        <f t="shared" ref="BP178:CU178" si="897">BP176-BP177</f>
        <v>4446.3590000000004</v>
      </c>
      <c r="BQ178" s="186">
        <f t="shared" si="897"/>
        <v>4503.2780000000002</v>
      </c>
      <c r="BR178" s="186">
        <f t="shared" si="897"/>
        <v>4583</v>
      </c>
      <c r="BS178" s="266">
        <f t="shared" si="897"/>
        <v>4583</v>
      </c>
      <c r="BT178" s="186">
        <f t="shared" si="897"/>
        <v>4678.7</v>
      </c>
      <c r="BU178" s="186">
        <f t="shared" si="897"/>
        <v>4787.7</v>
      </c>
      <c r="BV178" s="186">
        <f t="shared" si="897"/>
        <v>4869.7</v>
      </c>
      <c r="BW178" s="186">
        <f t="shared" si="897"/>
        <v>4935.7</v>
      </c>
      <c r="BX178" s="266">
        <f t="shared" si="897"/>
        <v>4935.7</v>
      </c>
      <c r="BY178" s="186">
        <f t="shared" si="897"/>
        <v>5046</v>
      </c>
      <c r="BZ178" s="186">
        <f t="shared" si="897"/>
        <v>5155</v>
      </c>
      <c r="CA178" s="186">
        <f t="shared" si="897"/>
        <v>5323</v>
      </c>
      <c r="CB178" s="186">
        <f t="shared" si="897"/>
        <v>5517</v>
      </c>
      <c r="CC178" s="266">
        <f t="shared" si="897"/>
        <v>5517</v>
      </c>
      <c r="CD178" s="186">
        <f t="shared" si="897"/>
        <v>5634.4</v>
      </c>
      <c r="CE178" s="186">
        <f t="shared" si="897"/>
        <v>5805.8</v>
      </c>
      <c r="CF178" s="186">
        <f t="shared" si="897"/>
        <v>5920.2000000000007</v>
      </c>
      <c r="CG178" s="186">
        <f t="shared" si="897"/>
        <v>6013.6</v>
      </c>
      <c r="CH178" s="266">
        <f t="shared" si="897"/>
        <v>6013.6</v>
      </c>
      <c r="CI178" s="186">
        <f t="shared" si="897"/>
        <v>6143.1999999999989</v>
      </c>
      <c r="CJ178" s="186">
        <f t="shared" si="897"/>
        <v>6261.7999999999993</v>
      </c>
      <c r="CK178" s="186">
        <f t="shared" si="897"/>
        <v>6395.4</v>
      </c>
      <c r="CL178" s="186">
        <f t="shared" si="897"/>
        <v>6511</v>
      </c>
      <c r="CM178" s="266">
        <f t="shared" si="897"/>
        <v>6511</v>
      </c>
      <c r="CN178" s="186">
        <f t="shared" si="897"/>
        <v>6650</v>
      </c>
      <c r="CO178" s="186">
        <f t="shared" si="897"/>
        <v>6772</v>
      </c>
      <c r="CP178" s="186">
        <f t="shared" si="897"/>
        <v>6925</v>
      </c>
      <c r="CQ178" s="186">
        <f t="shared" si="897"/>
        <v>7010</v>
      </c>
      <c r="CR178" s="266">
        <f t="shared" si="897"/>
        <v>7010</v>
      </c>
      <c r="CS178" s="186">
        <f t="shared" si="897"/>
        <v>7391.3779999999988</v>
      </c>
      <c r="CT178" s="186">
        <f t="shared" si="897"/>
        <v>7763.5780000000004</v>
      </c>
      <c r="CU178" s="186">
        <f t="shared" si="897"/>
        <v>8097.0910000000003</v>
      </c>
      <c r="CV178" s="186">
        <f t="shared" ref="CV178:DL178" si="898">CV176-CV177</f>
        <v>8478.483000000002</v>
      </c>
      <c r="CW178" s="266">
        <f t="shared" si="898"/>
        <v>8478.4830000000002</v>
      </c>
      <c r="CX178" s="186">
        <f t="shared" si="898"/>
        <v>8565.030999999999</v>
      </c>
      <c r="CY178" s="186">
        <f t="shared" si="898"/>
        <v>8702.8310000000001</v>
      </c>
      <c r="CZ178" s="186">
        <f t="shared" si="898"/>
        <v>8878.3179999999993</v>
      </c>
      <c r="DA178" s="186">
        <f t="shared" si="898"/>
        <v>9116.9259999999995</v>
      </c>
      <c r="DB178" s="103">
        <f t="shared" si="898"/>
        <v>9116.9259999999995</v>
      </c>
      <c r="DC178" s="186">
        <f t="shared" si="898"/>
        <v>9329.6739999999991</v>
      </c>
      <c r="DD178" s="186">
        <f t="shared" si="898"/>
        <v>9541.6739999999991</v>
      </c>
      <c r="DE178" s="186">
        <f t="shared" si="898"/>
        <v>9691.6739999999991</v>
      </c>
      <c r="DF178" s="186">
        <f t="shared" si="898"/>
        <v>9755.6739999999991</v>
      </c>
      <c r="DG178" s="103">
        <f t="shared" si="898"/>
        <v>9755.6739999999991</v>
      </c>
      <c r="DH178" s="186">
        <f t="shared" si="898"/>
        <v>9832</v>
      </c>
      <c r="DI178" s="186">
        <f t="shared" si="898"/>
        <v>9908</v>
      </c>
      <c r="DJ178" s="186">
        <f t="shared" si="898"/>
        <v>10029</v>
      </c>
      <c r="DK178" s="186">
        <f t="shared" si="898"/>
        <v>10162</v>
      </c>
      <c r="DL178" s="103">
        <f t="shared" si="898"/>
        <v>10162</v>
      </c>
      <c r="DM178" s="186">
        <f t="shared" ref="DM178:DV178" si="899">DM176-DM177</f>
        <v>10260</v>
      </c>
      <c r="DN178" s="186">
        <f t="shared" si="899"/>
        <v>10387</v>
      </c>
      <c r="DO178" s="186">
        <f t="shared" si="899"/>
        <v>10479</v>
      </c>
      <c r="DP178" s="186">
        <f t="shared" si="899"/>
        <v>10572</v>
      </c>
      <c r="DQ178" s="103">
        <f t="shared" si="899"/>
        <v>10572</v>
      </c>
      <c r="DR178" s="186">
        <f t="shared" si="899"/>
        <v>10647</v>
      </c>
      <c r="DS178" s="186">
        <f t="shared" si="899"/>
        <v>10725</v>
      </c>
      <c r="DT178" s="186">
        <f t="shared" si="899"/>
        <v>10825</v>
      </c>
      <c r="DU178" s="186">
        <f t="shared" si="899"/>
        <v>10961</v>
      </c>
      <c r="DV178" s="103">
        <f t="shared" si="899"/>
        <v>10961</v>
      </c>
      <c r="DW178" s="186">
        <f t="shared" ref="DW178:EK178" si="900">DW176-DW177</f>
        <v>11113</v>
      </c>
      <c r="DX178" s="186">
        <f t="shared" si="900"/>
        <v>11303</v>
      </c>
      <c r="DY178" s="186">
        <f t="shared" si="900"/>
        <v>11537</v>
      </c>
      <c r="DZ178" s="186">
        <f t="shared" si="900"/>
        <v>11753</v>
      </c>
      <c r="EA178" s="103">
        <f t="shared" si="900"/>
        <v>11753</v>
      </c>
      <c r="EB178" s="186">
        <f>EB176-EB177</f>
        <v>12012</v>
      </c>
      <c r="EC178" s="186">
        <f>EC176-EC177</f>
        <v>12233</v>
      </c>
      <c r="ED178" s="186">
        <f>ED176-ED177</f>
        <v>12351</v>
      </c>
      <c r="EE178" s="186">
        <f>EE176-EE177</f>
        <v>12617</v>
      </c>
      <c r="EF178" s="103">
        <f t="shared" si="900"/>
        <v>12617</v>
      </c>
      <c r="EG178" s="186">
        <f>EG176-EG177</f>
        <v>12885</v>
      </c>
      <c r="EH178" s="186">
        <f>EH176-EH177</f>
        <v>13197</v>
      </c>
      <c r="EI178" s="186">
        <f>EI176-EI177</f>
        <v>13419</v>
      </c>
      <c r="EJ178" s="186">
        <f t="shared" si="900"/>
        <v>13621</v>
      </c>
      <c r="EK178" s="103">
        <f t="shared" si="900"/>
        <v>13621</v>
      </c>
      <c r="EL178" s="186">
        <f>EL176-EL177</f>
        <v>13610</v>
      </c>
      <c r="EM178" s="186">
        <f>EM176-EM177</f>
        <v>13598</v>
      </c>
      <c r="EN178" s="186">
        <f>EN176-EN177</f>
        <v>13585</v>
      </c>
      <c r="EO178" s="186">
        <f t="shared" ref="EO178:EP178" si="901">EO176-EO177</f>
        <v>13567</v>
      </c>
      <c r="EP178" s="103">
        <f t="shared" si="901"/>
        <v>13567</v>
      </c>
      <c r="EQ178" s="186">
        <f t="shared" ref="EQ178:ET178" si="902">EQ176-EQ177</f>
        <v>13643.605390852512</v>
      </c>
      <c r="ER178" s="186">
        <f t="shared" si="902"/>
        <v>13793.916127930508</v>
      </c>
      <c r="ES178" s="186">
        <f t="shared" si="902"/>
        <v>13993.262263514189</v>
      </c>
      <c r="ET178" s="186">
        <f t="shared" si="902"/>
        <v>14252.753849196744</v>
      </c>
      <c r="EU178" s="103">
        <f>EU176-EU177</f>
        <v>14252.753849196741</v>
      </c>
      <c r="EV178" s="186"/>
      <c r="EW178" s="186"/>
      <c r="EX178" s="186"/>
      <c r="EY178" s="186"/>
      <c r="EZ178" s="103">
        <f>EZ176-EZ177</f>
        <v>15046.641547585052</v>
      </c>
      <c r="FA178" s="186"/>
      <c r="FB178" s="186"/>
      <c r="FC178" s="186"/>
      <c r="FD178" s="186"/>
      <c r="FE178" s="103">
        <f>FE176-FE177</f>
        <v>15918.153771794514</v>
      </c>
      <c r="FF178" s="33"/>
      <c r="FG178" s="460"/>
      <c r="FL178" s="425"/>
      <c r="FM178" s="425"/>
      <c r="FN178" s="384"/>
      <c r="FO178" s="384"/>
      <c r="FP178" s="384"/>
      <c r="FQ178" s="384"/>
      <c r="FR178" s="384"/>
      <c r="FS178" s="384"/>
      <c r="FT178" s="460"/>
    </row>
    <row r="179" spans="1:183" ht="12.75" hidden="1" customHeight="1" x14ac:dyDescent="0.2">
      <c r="A179" s="33" t="s">
        <v>385</v>
      </c>
      <c r="B179" s="186"/>
      <c r="C179" s="186"/>
      <c r="D179" s="186"/>
      <c r="E179" s="186"/>
      <c r="F179" s="266"/>
      <c r="G179" s="186"/>
      <c r="H179" s="186"/>
      <c r="I179" s="186"/>
      <c r="J179" s="186"/>
      <c r="K179" s="266"/>
      <c r="L179" s="186"/>
      <c r="M179" s="186"/>
      <c r="N179" s="186"/>
      <c r="O179" s="186"/>
      <c r="P179" s="266"/>
      <c r="Q179" s="186"/>
      <c r="R179" s="186"/>
      <c r="S179" s="186"/>
      <c r="T179" s="186"/>
      <c r="U179" s="266"/>
      <c r="V179" s="186"/>
      <c r="W179" s="186"/>
      <c r="X179" s="186"/>
      <c r="Y179" s="186"/>
      <c r="Z179" s="266"/>
      <c r="AA179" s="186"/>
      <c r="AB179" s="186"/>
      <c r="AC179" s="186"/>
      <c r="AD179" s="186"/>
      <c r="AE179" s="266"/>
      <c r="AF179" s="186"/>
      <c r="AG179" s="186"/>
      <c r="AH179" s="186"/>
      <c r="AI179" s="186"/>
      <c r="AJ179" s="266">
        <f>AJ79</f>
        <v>190.66299999999998</v>
      </c>
      <c r="AK179" s="186">
        <f>AK79+AI79+AH79+AG79</f>
        <v>196.048</v>
      </c>
      <c r="AL179" s="186">
        <f>AL79+AK79+AI79+AH79</f>
        <v>200.59200000000001</v>
      </c>
      <c r="AM179" s="186">
        <f>AM79+AK79+AL79+AI79</f>
        <v>203.03399999999999</v>
      </c>
      <c r="AN179" s="186">
        <f>AN79+AL79+AK79+AM79</f>
        <v>201.95400000000001</v>
      </c>
      <c r="AO179" s="266">
        <f>AO79</f>
        <v>201.95400000000001</v>
      </c>
      <c r="AP179" s="186">
        <f>AP79+AN79+AM79+AL79</f>
        <v>201.98900000000003</v>
      </c>
      <c r="AQ179" s="186">
        <f>AQ79+AP79+AN79+AM79</f>
        <v>202.26999999999998</v>
      </c>
      <c r="AR179" s="186">
        <f>AR79+AP79+AQ79+AN79</f>
        <v>203.41500000000002</v>
      </c>
      <c r="AS179" s="186">
        <f>AS79+AQ79+AP79+AR79</f>
        <v>202.16</v>
      </c>
      <c r="AT179" s="266">
        <f>AT79</f>
        <v>202.16000000000003</v>
      </c>
      <c r="AU179" s="186">
        <f>AU79+AS79+AR79+AQ79</f>
        <v>201.54899999999998</v>
      </c>
      <c r="AV179" s="186">
        <f>AV79+AU79+AS79+AR79</f>
        <v>200.70000000000002</v>
      </c>
      <c r="AW179" s="186">
        <f>AW79+AU79+AV79+AS79</f>
        <v>198.988</v>
      </c>
      <c r="AX179" s="186">
        <f>AX79+AV79+AU79+AW79</f>
        <v>199.74</v>
      </c>
      <c r="AY179" s="266">
        <f>AY79</f>
        <v>199.74</v>
      </c>
      <c r="AZ179" s="186">
        <f>AZ79+AX79+AW79+AV79</f>
        <v>199.28100000000001</v>
      </c>
      <c r="BA179" s="186">
        <f>BA79+AZ79+AX79+AW79</f>
        <v>198.40600000000001</v>
      </c>
      <c r="BB179" s="186">
        <f>BB79+AZ79+BA79+AX79</f>
        <v>198.18</v>
      </c>
      <c r="BC179" s="186">
        <f>BC79+BA79+AZ79+BB79</f>
        <v>196.328</v>
      </c>
      <c r="BD179" s="266">
        <f>BD79</f>
        <v>196.328</v>
      </c>
      <c r="BE179" s="186">
        <f>BE79+BC79+BB79+BA79</f>
        <v>195.02600000000001</v>
      </c>
      <c r="BF179" s="186">
        <f>BF79+BE79+BC79+BB79</f>
        <v>193.88200000000001</v>
      </c>
      <c r="BG179" s="186">
        <f>BG79+BE79+BF79+BC79</f>
        <v>192.57499999999999</v>
      </c>
      <c r="BH179" s="186">
        <f>BH79+BF79+BE79+BG79</f>
        <v>192.10999999999999</v>
      </c>
      <c r="BI179" s="266">
        <f>BI79</f>
        <v>192.11</v>
      </c>
      <c r="BJ179" s="186">
        <f>BJ79+BH79+BG79+BF79</f>
        <v>191.5</v>
      </c>
      <c r="BK179" s="186">
        <f>BK79+BJ79+BH79+BG79</f>
        <v>190.62100000000001</v>
      </c>
      <c r="BL179" s="186">
        <f>BL79+BJ79+BK79+BH79</f>
        <v>188.85899999999998</v>
      </c>
      <c r="BM179" s="186">
        <f>BM79+BK79+BJ79+BL79</f>
        <v>187.60499999999999</v>
      </c>
      <c r="BN179" s="266">
        <f>BN79</f>
        <v>187.60499999999999</v>
      </c>
      <c r="BO179" s="186">
        <f>BO79+BM79+BL79+BK79</f>
        <v>185.17</v>
      </c>
      <c r="BP179" s="186">
        <f>BP79+BO79+BM79+BL79</f>
        <v>184.17</v>
      </c>
      <c r="BQ179" s="186">
        <f>BQ79+BO79+BP79+BM79</f>
        <v>183.63</v>
      </c>
      <c r="BR179" s="186">
        <f>BR79+BP79+BO79+BQ79</f>
        <v>183</v>
      </c>
      <c r="BS179" s="266">
        <f>BS79</f>
        <v>183</v>
      </c>
      <c r="BT179" s="186">
        <f>BT79+BR79+BQ79+BP79</f>
        <v>183</v>
      </c>
      <c r="BU179" s="186">
        <f>BU79+BT79+BR79+BQ79</f>
        <v>181</v>
      </c>
      <c r="BV179" s="186">
        <f>BV79+BT79+BU79+BR79</f>
        <v>180</v>
      </c>
      <c r="BW179" s="186">
        <f>BW79+BU79+BT79+BV79</f>
        <v>179</v>
      </c>
      <c r="BX179" s="266">
        <f>BX79</f>
        <v>179</v>
      </c>
      <c r="BY179" s="186">
        <f>BY79+BW79+BV79+BU79</f>
        <v>177</v>
      </c>
      <c r="BZ179" s="186">
        <f>BZ79+BY79+BW79+BV79</f>
        <v>175</v>
      </c>
      <c r="CA179" s="186">
        <f>CA79+BY79+BZ79+BW79</f>
        <v>166</v>
      </c>
      <c r="CB179" s="186">
        <f>CB79+BZ79+BY79+CA79</f>
        <v>163</v>
      </c>
      <c r="CC179" s="266">
        <f>CC79</f>
        <v>163</v>
      </c>
      <c r="CD179" s="186">
        <f>CD79+CB79+CA79+BZ79</f>
        <v>160.25</v>
      </c>
      <c r="CE179" s="186">
        <f>CE79+CD79+CB79+CA79</f>
        <v>157.5</v>
      </c>
      <c r="CF179" s="186">
        <f>CF79+CD79+CE79+CB79</f>
        <v>160.75</v>
      </c>
      <c r="CG179" s="186">
        <f>CG79+CE79+CD79+CF79</f>
        <v>158</v>
      </c>
      <c r="CH179" s="266">
        <f>CH79</f>
        <v>158</v>
      </c>
      <c r="CI179" s="186">
        <f>CI79+CG79+CF79+CE79</f>
        <v>156.75</v>
      </c>
      <c r="CJ179" s="186">
        <f>CJ79+CI79+CG79+CF79</f>
        <v>157.5</v>
      </c>
      <c r="CK179" s="186">
        <f>CK79+CI79+CJ79+CG79</f>
        <v>156.25</v>
      </c>
      <c r="CL179" s="186">
        <f>CL79+CJ79+CI79+CK79</f>
        <v>158</v>
      </c>
      <c r="CM179" s="266">
        <f>CM79</f>
        <v>158</v>
      </c>
      <c r="CN179" s="186">
        <f>CN79+CL79+CK79+CJ79</f>
        <v>157</v>
      </c>
      <c r="CO179" s="186">
        <f>CO79+CN79+CL79+CK79</f>
        <v>155</v>
      </c>
      <c r="CP179" s="186">
        <f>CP79+CN79+CO79+CL79</f>
        <v>155</v>
      </c>
      <c r="CQ179" s="186">
        <f>CQ79+CO79+CN79+CP79</f>
        <v>153</v>
      </c>
      <c r="CR179" s="266">
        <f>CR79</f>
        <v>153</v>
      </c>
      <c r="CS179" s="186">
        <f>CS79+CQ79+CP79+CO79</f>
        <v>220.43099999999998</v>
      </c>
      <c r="CT179" s="186">
        <f>CT79+CS79+CQ79+CP79</f>
        <v>289.98899999999998</v>
      </c>
      <c r="CU179" s="186">
        <f>CU79+CS79+CT79+CQ79</f>
        <v>359.62099999999998</v>
      </c>
      <c r="CV179" s="186">
        <f>CV79+CT79+CS79+CU79</f>
        <v>427.23599999999999</v>
      </c>
      <c r="CW179" s="266">
        <f>CW79</f>
        <v>427.23599999999999</v>
      </c>
      <c r="CX179" s="186">
        <f>CX79+CV79+CU79+CT79</f>
        <v>429.38600000000002</v>
      </c>
      <c r="CY179" s="186">
        <f>CY79+CX79+CV79+CU79</f>
        <v>427.82800000000003</v>
      </c>
      <c r="CZ179" s="186">
        <f>CZ79+CX79+CY79+CV79</f>
        <v>423.19600000000003</v>
      </c>
      <c r="DA179" s="186">
        <f>DA79+CY79+CX79+CZ79</f>
        <v>422.58100000000002</v>
      </c>
      <c r="DB179" s="103">
        <f>DB79</f>
        <v>422.58100000000002</v>
      </c>
      <c r="DC179" s="186">
        <f>DC79+DA79+CZ79+CY79</f>
        <v>422.12299999999999</v>
      </c>
      <c r="DD179" s="186">
        <f>DD79+DC79+DA79+CZ79</f>
        <v>415.12299999999999</v>
      </c>
      <c r="DE179" s="186">
        <f>DE79+DC79+DD79+DA79</f>
        <v>402.12299999999999</v>
      </c>
      <c r="DF179" s="186">
        <f>DF79+DD79+DC79+DE79</f>
        <v>389.12299999999999</v>
      </c>
      <c r="DG179" s="103">
        <f>DG79</f>
        <v>389.12299999999999</v>
      </c>
      <c r="DH179" s="186">
        <f>DH79+DF79+DE79+DD79</f>
        <v>370</v>
      </c>
      <c r="DI179" s="186">
        <f>DI79+DH79+DF79+DE79</f>
        <v>361</v>
      </c>
      <c r="DJ179" s="186">
        <f>DJ79+DH79+DI79+DF79</f>
        <v>363</v>
      </c>
      <c r="DK179" s="186">
        <f>DK79+DI79+DH79+DJ79</f>
        <v>355</v>
      </c>
      <c r="DL179" s="103">
        <f>DL79</f>
        <v>355</v>
      </c>
      <c r="DM179" s="186">
        <f>DM79+DK79+DJ79+DI79</f>
        <v>360</v>
      </c>
      <c r="DN179" s="186">
        <f>DN79+DM79+DK79+DJ79</f>
        <v>362</v>
      </c>
      <c r="DO179" s="186">
        <f>DO79+DM79+DN79+DK79</f>
        <v>362</v>
      </c>
      <c r="DP179" s="186">
        <f>DP79+DN79+DM79+DO79</f>
        <v>361</v>
      </c>
      <c r="DQ179" s="103">
        <f>DQ79</f>
        <v>361</v>
      </c>
      <c r="DR179" s="186">
        <f>DR79+DP79+DO79+DN79</f>
        <v>349</v>
      </c>
      <c r="DS179" s="186">
        <f>DS79+DR79+DP79+DO79</f>
        <v>332</v>
      </c>
      <c r="DT179" s="186">
        <f>DT79+DR79+DS79+DP79</f>
        <v>311</v>
      </c>
      <c r="DU179" s="186">
        <f>DU79+DS79+DR79+DT79</f>
        <v>295</v>
      </c>
      <c r="DV179" s="103">
        <f>DV79</f>
        <v>295</v>
      </c>
      <c r="DW179" s="186">
        <f>DW79+DU79+DT79+DS79</f>
        <v>274</v>
      </c>
      <c r="DX179" s="186">
        <f>DX79+DW79+DU79+DT79</f>
        <v>258</v>
      </c>
      <c r="DY179" s="186">
        <f>DY79+DW79+DX79+DU79</f>
        <v>247</v>
      </c>
      <c r="DZ179" s="186">
        <f>DZ79+DX79+DW79+DY79</f>
        <v>238</v>
      </c>
      <c r="EA179" s="103">
        <f>EA79</f>
        <v>238</v>
      </c>
      <c r="EB179" s="186">
        <f>EB79+DZ79+DY79+DX79</f>
        <v>237</v>
      </c>
      <c r="EC179" s="186">
        <f>EC79+EB79+DZ79+DY79</f>
        <v>237</v>
      </c>
      <c r="ED179" s="186">
        <f>ED79+EB79+EC79+DZ79</f>
        <v>233</v>
      </c>
      <c r="EE179" s="186">
        <f>EE79+EC79+EB79+ED79</f>
        <v>229</v>
      </c>
      <c r="EF179" s="103">
        <f>EF79</f>
        <v>229</v>
      </c>
      <c r="EG179" s="186">
        <f>EG79+EE79+ED79+EC79</f>
        <v>219</v>
      </c>
      <c r="EH179" s="186">
        <f>EH79+EG79+EE79+ED79</f>
        <v>213</v>
      </c>
      <c r="EI179" s="186">
        <f>EI79+EG79+EH79+EE79</f>
        <v>208</v>
      </c>
      <c r="EJ179" s="186">
        <f t="shared" ref="EJ179:ET179" si="903">EJ79+EH79+EG79+EI79</f>
        <v>193</v>
      </c>
      <c r="EK179" s="103">
        <f>EK79</f>
        <v>193</v>
      </c>
      <c r="EL179" s="186">
        <f>EL79+EJ79+EI79+EH79</f>
        <v>198</v>
      </c>
      <c r="EM179" s="186">
        <f>EM79+EL79+EJ79+EI79</f>
        <v>198</v>
      </c>
      <c r="EN179" s="186">
        <f>EN79+EL79+EM79+EJ79</f>
        <v>198</v>
      </c>
      <c r="EO179" s="186">
        <f t="shared" ref="EO179" si="904">EO79+EM79+EL79+EN79</f>
        <v>198</v>
      </c>
      <c r="EP179" s="103">
        <f>EP79</f>
        <v>198</v>
      </c>
      <c r="EQ179" s="186">
        <f>EQ79+EO79+EN79+EM79</f>
        <v>190.99564137931034</v>
      </c>
      <c r="ER179" s="186">
        <f>ER79+EN79+EO79+EQ79</f>
        <v>182.40688624935137</v>
      </c>
      <c r="ES179" s="186">
        <f>ES79+EQ79+EO79+ER79</f>
        <v>176.47625333795898</v>
      </c>
      <c r="ET179" s="186">
        <f t="shared" si="903"/>
        <v>174.27898126329995</v>
      </c>
      <c r="EU179" s="103">
        <f>EU79</f>
        <v>174.27898126329995</v>
      </c>
      <c r="EV179" s="186"/>
      <c r="EW179" s="186"/>
      <c r="EX179" s="186"/>
      <c r="EY179" s="186"/>
      <c r="EZ179" s="103">
        <f>EZ79</f>
        <v>172.85262646479012</v>
      </c>
      <c r="FA179" s="186"/>
      <c r="FB179" s="186"/>
      <c r="FC179" s="186"/>
      <c r="FD179" s="186"/>
      <c r="FE179" s="103">
        <f>FE79</f>
        <v>169.29423082775145</v>
      </c>
      <c r="FF179" s="33"/>
      <c r="FG179" s="460"/>
      <c r="FL179" s="425"/>
      <c r="FM179" s="425"/>
      <c r="FN179" s="384"/>
      <c r="FO179" s="384"/>
      <c r="FP179" s="384"/>
      <c r="FQ179" s="384"/>
      <c r="FR179" s="384"/>
      <c r="FS179" s="384"/>
      <c r="FT179" s="460"/>
    </row>
    <row r="180" spans="1:183" ht="12.75" hidden="1" customHeight="1" x14ac:dyDescent="0.2">
      <c r="A180" s="33" t="s">
        <v>386</v>
      </c>
      <c r="B180" s="186"/>
      <c r="C180" s="186"/>
      <c r="D180" s="186"/>
      <c r="E180" s="186"/>
      <c r="F180" s="266"/>
      <c r="G180" s="186"/>
      <c r="H180" s="186"/>
      <c r="I180" s="186"/>
      <c r="J180" s="186"/>
      <c r="K180" s="266"/>
      <c r="L180" s="186"/>
      <c r="M180" s="186"/>
      <c r="N180" s="186"/>
      <c r="O180" s="186"/>
      <c r="P180" s="266"/>
      <c r="Q180" s="186"/>
      <c r="R180" s="186"/>
      <c r="S180" s="186"/>
      <c r="T180" s="186"/>
      <c r="U180" s="266"/>
      <c r="V180" s="186"/>
      <c r="W180" s="186"/>
      <c r="X180" s="186"/>
      <c r="Y180" s="186"/>
      <c r="Z180" s="266"/>
      <c r="AA180" s="186"/>
      <c r="AB180" s="186"/>
      <c r="AC180" s="186"/>
      <c r="AD180" s="186"/>
      <c r="AE180" s="266"/>
      <c r="AF180" s="186"/>
      <c r="AG180" s="186"/>
      <c r="AH180" s="186"/>
      <c r="AI180" s="186"/>
      <c r="AJ180" s="266">
        <v>0</v>
      </c>
      <c r="AK180" s="186">
        <v>0</v>
      </c>
      <c r="AL180" s="186">
        <v>0</v>
      </c>
      <c r="AM180" s="186">
        <v>0</v>
      </c>
      <c r="AN180" s="186">
        <v>0</v>
      </c>
      <c r="AO180" s="266">
        <v>0</v>
      </c>
      <c r="AP180" s="186">
        <v>0</v>
      </c>
      <c r="AQ180" s="186">
        <v>0</v>
      </c>
      <c r="AR180" s="186">
        <v>0</v>
      </c>
      <c r="AS180" s="186">
        <v>0</v>
      </c>
      <c r="AT180" s="266">
        <v>0</v>
      </c>
      <c r="AU180" s="186">
        <v>0</v>
      </c>
      <c r="AV180" s="186">
        <v>0</v>
      </c>
      <c r="AW180" s="186">
        <v>0</v>
      </c>
      <c r="AX180" s="186">
        <v>0</v>
      </c>
      <c r="AY180" s="266">
        <v>0</v>
      </c>
      <c r="AZ180" s="186">
        <v>0</v>
      </c>
      <c r="BA180" s="186">
        <v>0</v>
      </c>
      <c r="BB180" s="186">
        <v>0</v>
      </c>
      <c r="BC180" s="186">
        <v>0</v>
      </c>
      <c r="BD180" s="266">
        <v>0</v>
      </c>
      <c r="BE180" s="186">
        <v>0</v>
      </c>
      <c r="BF180" s="186">
        <v>0</v>
      </c>
      <c r="BG180" s="186">
        <v>0</v>
      </c>
      <c r="BH180" s="186">
        <v>0</v>
      </c>
      <c r="BI180" s="266">
        <v>0</v>
      </c>
      <c r="BJ180" s="186">
        <v>0</v>
      </c>
      <c r="BK180" s="186">
        <v>0</v>
      </c>
      <c r="BL180" s="186">
        <v>0</v>
      </c>
      <c r="BM180" s="186">
        <v>0</v>
      </c>
      <c r="BN180" s="266">
        <v>0</v>
      </c>
      <c r="BO180" s="186">
        <v>0</v>
      </c>
      <c r="BP180" s="186">
        <v>0</v>
      </c>
      <c r="BQ180" s="186">
        <v>0</v>
      </c>
      <c r="BR180" s="186">
        <v>0</v>
      </c>
      <c r="BS180" s="266">
        <v>0</v>
      </c>
      <c r="BT180" s="186">
        <v>0</v>
      </c>
      <c r="BU180" s="186">
        <v>0</v>
      </c>
      <c r="BV180" s="186">
        <v>0</v>
      </c>
      <c r="BW180" s="186">
        <v>0</v>
      </c>
      <c r="BX180" s="266">
        <v>0</v>
      </c>
      <c r="BY180" s="186">
        <v>0</v>
      </c>
      <c r="BZ180" s="186">
        <v>0</v>
      </c>
      <c r="CA180" s="186">
        <v>0</v>
      </c>
      <c r="CB180" s="186">
        <v>0</v>
      </c>
      <c r="CC180" s="266">
        <v>0</v>
      </c>
      <c r="CD180" s="186">
        <v>0</v>
      </c>
      <c r="CE180" s="186">
        <v>0</v>
      </c>
      <c r="CF180" s="186">
        <v>0</v>
      </c>
      <c r="CG180" s="186">
        <v>0</v>
      </c>
      <c r="CH180" s="266">
        <v>0</v>
      </c>
      <c r="CI180" s="186">
        <v>0</v>
      </c>
      <c r="CJ180" s="186">
        <v>0</v>
      </c>
      <c r="CK180" s="186">
        <v>0</v>
      </c>
      <c r="CL180" s="186">
        <v>0</v>
      </c>
      <c r="CM180" s="266">
        <v>0</v>
      </c>
      <c r="CN180" s="186">
        <v>0</v>
      </c>
      <c r="CO180" s="186">
        <v>0</v>
      </c>
      <c r="CP180" s="186">
        <v>0</v>
      </c>
      <c r="CQ180" s="186">
        <v>0</v>
      </c>
      <c r="CR180" s="266">
        <v>0</v>
      </c>
      <c r="CS180" s="186">
        <v>0</v>
      </c>
      <c r="CT180" s="186">
        <v>0</v>
      </c>
      <c r="CU180" s="186">
        <v>0</v>
      </c>
      <c r="CV180" s="186">
        <v>0</v>
      </c>
      <c r="CW180" s="266">
        <v>0</v>
      </c>
      <c r="CX180" s="186">
        <v>0</v>
      </c>
      <c r="CY180" s="186">
        <v>0</v>
      </c>
      <c r="CZ180" s="186">
        <v>0</v>
      </c>
      <c r="DA180" s="186">
        <v>0</v>
      </c>
      <c r="DB180" s="103">
        <v>0</v>
      </c>
      <c r="DC180" s="186">
        <v>0</v>
      </c>
      <c r="DD180" s="186">
        <v>0</v>
      </c>
      <c r="DE180" s="186">
        <v>0</v>
      </c>
      <c r="DF180" s="186">
        <v>0</v>
      </c>
      <c r="DG180" s="118">
        <v>0</v>
      </c>
      <c r="DH180" s="186">
        <v>0</v>
      </c>
      <c r="DI180" s="186">
        <v>0</v>
      </c>
      <c r="DJ180" s="186">
        <v>0</v>
      </c>
      <c r="DK180" s="186">
        <v>0</v>
      </c>
      <c r="DL180" s="118">
        <v>0</v>
      </c>
      <c r="DM180" s="186">
        <v>0</v>
      </c>
      <c r="DN180" s="186">
        <v>0</v>
      </c>
      <c r="DO180" s="186">
        <v>0</v>
      </c>
      <c r="DP180" s="186">
        <v>0</v>
      </c>
      <c r="DQ180" s="118">
        <v>0</v>
      </c>
      <c r="DR180" s="186">
        <v>0</v>
      </c>
      <c r="DS180" s="186">
        <v>0</v>
      </c>
      <c r="DT180" s="186">
        <v>0</v>
      </c>
      <c r="DU180" s="186">
        <v>0</v>
      </c>
      <c r="DV180" s="118">
        <v>0</v>
      </c>
      <c r="DW180" s="186">
        <v>0</v>
      </c>
      <c r="DX180" s="186">
        <v>0</v>
      </c>
      <c r="DY180" s="186">
        <v>0</v>
      </c>
      <c r="DZ180" s="186">
        <v>0</v>
      </c>
      <c r="EA180" s="118">
        <v>0</v>
      </c>
      <c r="EB180" s="186">
        <v>0</v>
      </c>
      <c r="EC180" s="186">
        <v>0</v>
      </c>
      <c r="ED180" s="186">
        <v>0</v>
      </c>
      <c r="EE180" s="186">
        <v>0</v>
      </c>
      <c r="EF180" s="118">
        <v>0</v>
      </c>
      <c r="EG180" s="186">
        <v>0</v>
      </c>
      <c r="EH180" s="186">
        <v>0</v>
      </c>
      <c r="EI180" s="186">
        <v>0</v>
      </c>
      <c r="EJ180" s="186">
        <v>0</v>
      </c>
      <c r="EK180" s="118">
        <v>0</v>
      </c>
      <c r="EL180" s="186">
        <v>0</v>
      </c>
      <c r="EM180" s="186">
        <v>0</v>
      </c>
      <c r="EN180" s="186">
        <v>0</v>
      </c>
      <c r="EO180" s="186">
        <v>0</v>
      </c>
      <c r="EP180" s="118">
        <v>0</v>
      </c>
      <c r="EQ180" s="366">
        <v>0</v>
      </c>
      <c r="ER180" s="366">
        <v>0</v>
      </c>
      <c r="ES180" s="366">
        <v>0</v>
      </c>
      <c r="ET180" s="366">
        <v>0</v>
      </c>
      <c r="EU180" s="118">
        <v>0</v>
      </c>
      <c r="EV180" s="186"/>
      <c r="EW180" s="186"/>
      <c r="EX180" s="366"/>
      <c r="EY180" s="366"/>
      <c r="EZ180" s="118">
        <v>0</v>
      </c>
      <c r="FA180" s="186"/>
      <c r="FB180" s="186"/>
      <c r="FC180" s="366"/>
      <c r="FD180" s="366"/>
      <c r="FE180" s="118">
        <v>0</v>
      </c>
      <c r="FF180" s="33"/>
      <c r="FG180" s="460"/>
      <c r="FL180" s="425"/>
      <c r="FM180" s="425"/>
      <c r="FN180" s="384"/>
      <c r="FO180" s="384"/>
      <c r="FP180" s="384"/>
      <c r="FQ180" s="384"/>
      <c r="FR180" s="384"/>
      <c r="FS180" s="384"/>
      <c r="FT180" s="460"/>
    </row>
    <row r="181" spans="1:183" ht="12.75" hidden="1" customHeight="1" x14ac:dyDescent="0.2">
      <c r="A181" s="33" t="s">
        <v>253</v>
      </c>
      <c r="B181" s="186"/>
      <c r="C181" s="186"/>
      <c r="D181" s="186"/>
      <c r="E181" s="186"/>
      <c r="F181" s="266"/>
      <c r="G181" s="186"/>
      <c r="H181" s="186"/>
      <c r="I181" s="186"/>
      <c r="J181" s="186"/>
      <c r="K181" s="266"/>
      <c r="L181" s="186"/>
      <c r="M181" s="186"/>
      <c r="N181" s="186"/>
      <c r="O181" s="186"/>
      <c r="P181" s="266"/>
      <c r="Q181" s="186"/>
      <c r="R181" s="186"/>
      <c r="S181" s="186"/>
      <c r="T181" s="186"/>
      <c r="U181" s="266"/>
      <c r="V181" s="186"/>
      <c r="W181" s="186"/>
      <c r="X181" s="186"/>
      <c r="Y181" s="186"/>
      <c r="Z181" s="266"/>
      <c r="AA181" s="186"/>
      <c r="AB181" s="186"/>
      <c r="AC181" s="186"/>
      <c r="AD181" s="186"/>
      <c r="AE181" s="266"/>
      <c r="AF181" s="186"/>
      <c r="AG181" s="186"/>
      <c r="AH181" s="186"/>
      <c r="AI181" s="186"/>
      <c r="AJ181" s="266">
        <f>AJ72</f>
        <v>183.47</v>
      </c>
      <c r="AK181" s="186">
        <f>AK72+AI72+AH72+AG72</f>
        <v>187.84199999999998</v>
      </c>
      <c r="AL181" s="186">
        <f>AL72+AK72+AI72+AH72</f>
        <v>189.24</v>
      </c>
      <c r="AM181" s="186">
        <f>AM72+AK72+AL72+AI72</f>
        <v>192.94200000000001</v>
      </c>
      <c r="AN181" s="186">
        <f>AN72+AL72+AK72+AM72</f>
        <v>195.56799999999998</v>
      </c>
      <c r="AO181" s="266">
        <f>AO72</f>
        <v>195.56799999999998</v>
      </c>
      <c r="AP181" s="186">
        <f>AP72+AN72+AM72+AL72</f>
        <v>199.16199999999998</v>
      </c>
      <c r="AQ181" s="186">
        <f>AQ72+AP72+AN72+AM72</f>
        <v>205.649</v>
      </c>
      <c r="AR181" s="186">
        <f>AR72+AP72+AQ72+AN72</f>
        <v>215.351</v>
      </c>
      <c r="AS181" s="186">
        <f>AS72+AQ72+AP72+AR72</f>
        <v>225.21199999999999</v>
      </c>
      <c r="AT181" s="266">
        <f>AT72</f>
        <v>225.21199999999999</v>
      </c>
      <c r="AU181" s="186">
        <f>AU72+AS72+AR72+AQ72</f>
        <v>230.018</v>
      </c>
      <c r="AV181" s="186">
        <f>AV72+AU72+AS72+AR72</f>
        <v>235.56400000000002</v>
      </c>
      <c r="AW181" s="186">
        <f>AW72+AU72+AV72+AS72</f>
        <v>239.797</v>
      </c>
      <c r="AX181" s="186">
        <f>AX72+AV72+AU72+AW72</f>
        <v>248.66</v>
      </c>
      <c r="AY181" s="266">
        <f>AY72</f>
        <v>248.66</v>
      </c>
      <c r="AZ181" s="186">
        <f>AZ72+AX72+AW72+AV72</f>
        <v>258.572</v>
      </c>
      <c r="BA181" s="186">
        <f>BA72+AZ72+AX72+AW72</f>
        <v>267.553</v>
      </c>
      <c r="BB181" s="186">
        <f>BB72+AZ72+BA72+AX72</f>
        <v>275.25599999999997</v>
      </c>
      <c r="BC181" s="186">
        <f>BC72+BA72+AZ72+BB72</f>
        <v>281.27599999999995</v>
      </c>
      <c r="BD181" s="266">
        <f>BD72</f>
        <v>281.27600000000001</v>
      </c>
      <c r="BE181" s="186">
        <f>BE72+BC72+BB72+BA72</f>
        <v>292.27</v>
      </c>
      <c r="BF181" s="186">
        <f>BF72+BE72+BC72+BB72</f>
        <v>301.95999999999992</v>
      </c>
      <c r="BG181" s="186">
        <f>BG72+BE72+BF72+BC72</f>
        <v>312.17099999999999</v>
      </c>
      <c r="BH181" s="186">
        <f>BH72+BF72+BE72+BG72</f>
        <v>317.83099999999996</v>
      </c>
      <c r="BI181" s="266">
        <f>BI72</f>
        <v>317.83099999999996</v>
      </c>
      <c r="BJ181" s="186">
        <f>BJ72+BH72+BG72+BF72</f>
        <v>324.73399999999992</v>
      </c>
      <c r="BK181" s="186">
        <f>BK72+BJ72+BH72+BG72</f>
        <v>332.52099999999996</v>
      </c>
      <c r="BL181" s="186">
        <f>BL72+BJ72+BK72+BH72</f>
        <v>342.839</v>
      </c>
      <c r="BM181" s="186">
        <f>BM72+BK72+BJ72+BL72</f>
        <v>355.75299999999999</v>
      </c>
      <c r="BN181" s="266">
        <f>BN72</f>
        <v>355.75299999999999</v>
      </c>
      <c r="BO181" s="186">
        <f>BO72+BM72+BL72+BK72</f>
        <v>364.15800000000002</v>
      </c>
      <c r="BP181" s="186">
        <f>BP72+BO72+BM72+BL72</f>
        <v>373.15800000000002</v>
      </c>
      <c r="BQ181" s="186">
        <f>BQ72+BO72+BP72+BM72</f>
        <v>378.11799999999999</v>
      </c>
      <c r="BR181" s="186">
        <f>BR72+BP72+BO72+BQ72</f>
        <v>384</v>
      </c>
      <c r="BS181" s="266">
        <f>BS72</f>
        <v>384</v>
      </c>
      <c r="BT181" s="186">
        <f>BT72+BR72+BQ72+BP72</f>
        <v>394</v>
      </c>
      <c r="BU181" s="186">
        <f>BU72+BT72+BR72+BQ72</f>
        <v>406</v>
      </c>
      <c r="BV181" s="186">
        <f>BV72+BT72+BU72+BR72</f>
        <v>417</v>
      </c>
      <c r="BW181" s="186">
        <f>BW72+BU72+BT72+BV72</f>
        <v>431</v>
      </c>
      <c r="BX181" s="266">
        <f>BX72</f>
        <v>431</v>
      </c>
      <c r="BY181" s="186">
        <f>BY72+BW72+BV72+BU72</f>
        <v>440</v>
      </c>
      <c r="BZ181" s="186">
        <f>BZ72+BY72+BW72+BV72</f>
        <v>449</v>
      </c>
      <c r="CA181" s="186">
        <f>CA72+BY72+BZ72+BW72</f>
        <v>462</v>
      </c>
      <c r="CB181" s="186">
        <f>CB72+BZ72+BY72+CA72</f>
        <v>470</v>
      </c>
      <c r="CC181" s="266">
        <f>CC72</f>
        <v>470</v>
      </c>
      <c r="CD181" s="186">
        <f>CD72+CB72+CA72+BZ72</f>
        <v>481.75</v>
      </c>
      <c r="CE181" s="186">
        <f>CE72+CD72+CB72+CA72</f>
        <v>492.5</v>
      </c>
      <c r="CF181" s="186">
        <f>CF72+CD72+CE72+CB72</f>
        <v>502.25</v>
      </c>
      <c r="CG181" s="186">
        <f>CG72+CE72+CD72+CF72</f>
        <v>515</v>
      </c>
      <c r="CH181" s="266">
        <f>CH72</f>
        <v>515</v>
      </c>
      <c r="CI181" s="186">
        <f>CI72+CG72+CF72+CE72</f>
        <v>526.25</v>
      </c>
      <c r="CJ181" s="186">
        <f>CJ72+CI72+CG72+CF72</f>
        <v>536.5</v>
      </c>
      <c r="CK181" s="186">
        <f>CK72+CI72+CJ72+CG72</f>
        <v>545.75</v>
      </c>
      <c r="CL181" s="186">
        <f>CL72+CJ72+CI72+CK72</f>
        <v>555</v>
      </c>
      <c r="CM181" s="266">
        <f>CM72</f>
        <v>555</v>
      </c>
      <c r="CN181" s="186">
        <f>CN72+CL72+CK72+CJ72</f>
        <v>565</v>
      </c>
      <c r="CO181" s="186">
        <f>CO72+CN72+CL72+CK72</f>
        <v>576</v>
      </c>
      <c r="CP181" s="186">
        <f>CP72+CN72+CO72+CL72</f>
        <v>588</v>
      </c>
      <c r="CQ181" s="186">
        <f>CQ72+CO72+CN72+CP72</f>
        <v>599</v>
      </c>
      <c r="CR181" s="266">
        <f>CR72</f>
        <v>599</v>
      </c>
      <c r="CS181" s="186">
        <f>CS72+CQ72+CP72+CO72</f>
        <v>618.11699999999996</v>
      </c>
      <c r="CT181" s="186">
        <f>CT72+CS72+CQ72+CP72</f>
        <v>634.221</v>
      </c>
      <c r="CU181" s="186">
        <f>CU72+CS72+CT72+CQ72</f>
        <v>658.11999999999989</v>
      </c>
      <c r="CV181" s="186">
        <f>CV72+CT72+CS72+CU72</f>
        <v>672.87099999999998</v>
      </c>
      <c r="CW181" s="266">
        <f>CW72</f>
        <v>672.87099999999998</v>
      </c>
      <c r="CX181" s="186">
        <f>CX72+CV72+CU72+CT72</f>
        <v>677.60899999999992</v>
      </c>
      <c r="CY181" s="186">
        <f>CY72+CX72+CV72+CU72</f>
        <v>682.505</v>
      </c>
      <c r="CZ181" s="186">
        <f>CZ72+CX72+CY72+CV72</f>
        <v>682.60599999999999</v>
      </c>
      <c r="DA181" s="186">
        <f>DA72+CY72+CX72+CZ72</f>
        <v>688.85500000000002</v>
      </c>
      <c r="DB181" s="103">
        <f>DB72</f>
        <v>688.85500000000002</v>
      </c>
      <c r="DC181" s="186">
        <f>DC72+DA72+CZ72+CY72</f>
        <v>688.70799999999997</v>
      </c>
      <c r="DD181" s="186">
        <f>DD72+DC72+DA72+CZ72</f>
        <v>701.70799999999997</v>
      </c>
      <c r="DE181" s="186">
        <f>DE72+DC72+DD72+DA72</f>
        <v>716.70799999999997</v>
      </c>
      <c r="DF181" s="186">
        <f>DF72+DD72+DC72+DE72</f>
        <v>733.70799999999997</v>
      </c>
      <c r="DG181" s="103">
        <f>DG72</f>
        <v>733.70799999999997</v>
      </c>
      <c r="DH181" s="186">
        <f>DH72+DF72+DE72+DD72</f>
        <v>766</v>
      </c>
      <c r="DI181" s="186">
        <f>DI72+DH72+DF72+DE72</f>
        <v>786</v>
      </c>
      <c r="DJ181" s="186">
        <f>DJ72+DH72+DI72+DF72</f>
        <v>812</v>
      </c>
      <c r="DK181" s="186">
        <f>DK72+DI72+DH72+DJ72</f>
        <v>844</v>
      </c>
      <c r="DL181" s="103">
        <f>DL72</f>
        <v>844</v>
      </c>
      <c r="DM181" s="186">
        <f>DM72+DK72+DJ72+DI72</f>
        <v>853</v>
      </c>
      <c r="DN181" s="186">
        <f>DN72+DM72+DK72+DJ72</f>
        <v>864</v>
      </c>
      <c r="DO181" s="186">
        <f>DO72+DM72+DN72+DK72</f>
        <v>868</v>
      </c>
      <c r="DP181" s="186">
        <f>DP72+DN72+DM72+DO72</f>
        <v>867</v>
      </c>
      <c r="DQ181" s="103">
        <f>DQ72</f>
        <v>867</v>
      </c>
      <c r="DR181" s="186">
        <f>DR72+DP72+DO72+DN72</f>
        <v>878</v>
      </c>
      <c r="DS181" s="186">
        <f>DS72+DR72+DP72+DO72</f>
        <v>893</v>
      </c>
      <c r="DT181" s="186">
        <f>DT72+DR72+DS72+DP72</f>
        <v>910</v>
      </c>
      <c r="DU181" s="186">
        <f>DU72+DS72+DR72+DT72</f>
        <v>938</v>
      </c>
      <c r="DV181" s="103">
        <f>DV72</f>
        <v>938</v>
      </c>
      <c r="DW181" s="186">
        <f>DW72+DU72+DT72+DS72</f>
        <v>961</v>
      </c>
      <c r="DX181" s="186">
        <f>DX72+DW72+DU72+DT72</f>
        <v>983</v>
      </c>
      <c r="DY181" s="186">
        <f>DY72+DW72+DX72+DU72</f>
        <v>1003</v>
      </c>
      <c r="DZ181" s="186">
        <f>DZ72+DX72+DW72+DY72</f>
        <v>1015</v>
      </c>
      <c r="EA181" s="103">
        <f>EA72</f>
        <v>1015</v>
      </c>
      <c r="EB181" s="186">
        <f>EB72+DZ72+DY72+DX72</f>
        <v>1061</v>
      </c>
      <c r="EC181" s="186">
        <f>EC72+EB72+DZ72+DY72</f>
        <v>1110</v>
      </c>
      <c r="ED181" s="186">
        <f>ED72+EB72+EC72+DZ72</f>
        <v>1167</v>
      </c>
      <c r="EE181" s="186">
        <f>EE72+EC72+EB72+ED72</f>
        <v>1222</v>
      </c>
      <c r="EF181" s="103">
        <f>EF72</f>
        <v>1222</v>
      </c>
      <c r="EG181" s="186">
        <f>EG72+EE72+ED72+EC72</f>
        <v>1250</v>
      </c>
      <c r="EH181" s="186">
        <f>EH72+EG72+EE72+ED72</f>
        <v>1270</v>
      </c>
      <c r="EI181" s="186">
        <f>EI72+EG72+EH72+EE72</f>
        <v>1257</v>
      </c>
      <c r="EJ181" s="186">
        <f t="shared" ref="EJ181:ET181" si="905">EJ72+EH72+EG72+EI72</f>
        <v>1218</v>
      </c>
      <c r="EK181" s="103">
        <f>EK72</f>
        <v>1218</v>
      </c>
      <c r="EL181" s="186">
        <f>EL72+EJ72+EI72+EH72</f>
        <v>1218</v>
      </c>
      <c r="EM181" s="186">
        <f>EM72+EL72+EJ72+EI72</f>
        <v>1218</v>
      </c>
      <c r="EN181" s="186">
        <f>EN72+EL72+EM72+EJ72</f>
        <v>1218</v>
      </c>
      <c r="EO181" s="186">
        <f t="shared" ref="EO181" si="906">EO72+EM72+EL72+EN72</f>
        <v>1218</v>
      </c>
      <c r="EP181" s="103">
        <f>EP72</f>
        <v>1218</v>
      </c>
      <c r="EQ181" s="186">
        <f>EQ72+EO72+EN72+EM72</f>
        <v>1186.2</v>
      </c>
      <c r="ER181" s="186">
        <f>ER72+EN72+EO72+EQ72</f>
        <v>1163.8699999999999</v>
      </c>
      <c r="ES181" s="186">
        <f>ES72+EQ72+EO72+ER72</f>
        <v>1169.9099999999999</v>
      </c>
      <c r="ET181" s="186">
        <f t="shared" si="905"/>
        <v>1208.97</v>
      </c>
      <c r="EU181" s="103">
        <f>EU72</f>
        <v>1208.9699999999998</v>
      </c>
      <c r="EV181" s="186"/>
      <c r="EW181" s="186"/>
      <c r="EX181" s="186"/>
      <c r="EY181" s="186"/>
      <c r="EZ181" s="103">
        <f>EZ72</f>
        <v>1245.2390999999998</v>
      </c>
      <c r="FA181" s="186"/>
      <c r="FB181" s="186"/>
      <c r="FC181" s="186"/>
      <c r="FD181" s="186"/>
      <c r="FE181" s="103">
        <f>FE72</f>
        <v>1282.5962729999999</v>
      </c>
      <c r="FF181" s="33"/>
      <c r="FG181" s="460"/>
      <c r="FL181" s="425"/>
      <c r="FM181" s="425"/>
      <c r="FN181" s="384"/>
      <c r="FO181" s="384"/>
      <c r="FP181" s="384"/>
      <c r="FQ181" s="384"/>
      <c r="FR181" s="384"/>
      <c r="FS181" s="384"/>
      <c r="FT181" s="460"/>
    </row>
    <row r="182" spans="1:183" ht="12.75" hidden="1" customHeight="1" x14ac:dyDescent="0.2">
      <c r="A182" s="33" t="s">
        <v>387</v>
      </c>
      <c r="B182" s="186"/>
      <c r="C182" s="186"/>
      <c r="D182" s="186"/>
      <c r="E182" s="186"/>
      <c r="F182" s="266"/>
      <c r="G182" s="186"/>
      <c r="H182" s="186"/>
      <c r="I182" s="186"/>
      <c r="J182" s="186"/>
      <c r="K182" s="266"/>
      <c r="L182" s="186"/>
      <c r="M182" s="186"/>
      <c r="N182" s="186"/>
      <c r="O182" s="186"/>
      <c r="P182" s="266"/>
      <c r="Q182" s="186"/>
      <c r="R182" s="186"/>
      <c r="S182" s="186"/>
      <c r="T182" s="186"/>
      <c r="U182" s="266"/>
      <c r="V182" s="186"/>
      <c r="W182" s="186"/>
      <c r="X182" s="186"/>
      <c r="Y182" s="186"/>
      <c r="Z182" s="266"/>
      <c r="AA182" s="186"/>
      <c r="AB182" s="186"/>
      <c r="AC182" s="186"/>
      <c r="AD182" s="186"/>
      <c r="AE182" s="266"/>
      <c r="AF182" s="186"/>
      <c r="AG182" s="186"/>
      <c r="AH182" s="186"/>
      <c r="AI182" s="186"/>
      <c r="AJ182" s="266">
        <f>AJ111</f>
        <v>350.83499999999981</v>
      </c>
      <c r="AK182" s="186">
        <f>AK111+AI111+AH111+AG111</f>
        <v>380.64500000000021</v>
      </c>
      <c r="AL182" s="186">
        <f>AL111+AK111+AI111+AH111</f>
        <v>394.84600000000034</v>
      </c>
      <c r="AM182" s="186">
        <f>AM111+AK111+AL111+AI111</f>
        <v>443.68200000000024</v>
      </c>
      <c r="AN182" s="186">
        <f>AN111+AL111+AK111+AM111</f>
        <v>524.23600000000033</v>
      </c>
      <c r="AO182" s="266">
        <f>AO111</f>
        <v>524.23600000000033</v>
      </c>
      <c r="AP182" s="186">
        <f>AP111+AN111+AM111+AL111</f>
        <v>548.72600000000011</v>
      </c>
      <c r="AQ182" s="186">
        <f>AQ111+AP111+AN111+AM111</f>
        <v>600.86699999999985</v>
      </c>
      <c r="AR182" s="186">
        <f>AR111+AP111+AQ111+AN111</f>
        <v>653.01599999999974</v>
      </c>
      <c r="AS182" s="186">
        <f>AS111+AQ111+AP111+AR111</f>
        <v>683.61099999999965</v>
      </c>
      <c r="AT182" s="266">
        <f>AT111</f>
        <v>683.61099999999965</v>
      </c>
      <c r="AU182" s="186">
        <f>AU111+AS111+AR111+AQ111</f>
        <v>738.53499999999963</v>
      </c>
      <c r="AV182" s="186">
        <f>AV111+AU111+AS111+AR111</f>
        <v>784.31799999999953</v>
      </c>
      <c r="AW182" s="186">
        <f>AW111+AU111+AV111+AS111</f>
        <v>786.86199999999974</v>
      </c>
      <c r="AX182" s="186">
        <f>AX111+AV111+AU111+AW111</f>
        <v>781.57599999999991</v>
      </c>
      <c r="AY182" s="266">
        <f>AY111</f>
        <v>781.57599999999991</v>
      </c>
      <c r="AZ182" s="186">
        <f>AZ111+AX111+AW111+AV111</f>
        <v>770.36699999999985</v>
      </c>
      <c r="BA182" s="186">
        <f>BA111+AZ111+AX111+AW111</f>
        <v>830.59400000000005</v>
      </c>
      <c r="BB182" s="186">
        <f>BB111+AZ111+BA111+AX111</f>
        <v>924.23999999999978</v>
      </c>
      <c r="BC182" s="186">
        <f>BC111+BA111+AZ111+BB111</f>
        <v>1021.1449999999995</v>
      </c>
      <c r="BD182" s="266">
        <f>BD111</f>
        <v>1021.1449999999995</v>
      </c>
      <c r="BE182" s="186">
        <f>BE111+BC111+BB111+BA111</f>
        <v>1075.8939999999996</v>
      </c>
      <c r="BF182" s="186">
        <f>BF111+BE111+BC111+BB111</f>
        <v>1052.1979999999996</v>
      </c>
      <c r="BG182" s="186">
        <f>BG111+BE111+BF111+BC111</f>
        <v>845.07499999999982</v>
      </c>
      <c r="BH182" s="186">
        <f>BH111+BF111+BE111+BG111</f>
        <v>631.12199999999984</v>
      </c>
      <c r="BI182" s="266">
        <f>BI111</f>
        <v>631.12199999999984</v>
      </c>
      <c r="BJ182" s="186">
        <f>BJ111+BH111+BG111+BF111</f>
        <v>470.32999999999993</v>
      </c>
      <c r="BK182" s="186">
        <f>BK111+BJ111+BH111+BG111</f>
        <v>338.0139999999999</v>
      </c>
      <c r="BL182" s="186">
        <f>BL111+BJ111+BK111+BH111</f>
        <v>336.1690000000001</v>
      </c>
      <c r="BM182" s="186">
        <f>BM111+BK111+BJ111+BL111</f>
        <v>386.88499999999999</v>
      </c>
      <c r="BN182" s="266">
        <f>BN111</f>
        <v>386.88499999999999</v>
      </c>
      <c r="BO182" s="186">
        <f>BO111+BM111+BL111+BK111</f>
        <v>383.52</v>
      </c>
      <c r="BP182" s="186">
        <f>BP111+BO111+BM111+BL111</f>
        <v>405.97399999999993</v>
      </c>
      <c r="BQ182" s="186">
        <f>BQ111+BO111+BP111+BM111</f>
        <v>499.83299999999986</v>
      </c>
      <c r="BR182" s="186">
        <f>BR111+BP111+BO111+BQ111</f>
        <v>523</v>
      </c>
      <c r="BS182" s="266">
        <f>BS111</f>
        <v>523</v>
      </c>
      <c r="BT182" s="186">
        <f>BT111+BR111+BQ111+BP111</f>
        <v>538.29999999999995</v>
      </c>
      <c r="BU182" s="186">
        <f>BU111+BT111+BR111+BQ111</f>
        <v>578.29999999999995</v>
      </c>
      <c r="BV182" s="186">
        <f>BV111+BT111+BU111+BR111</f>
        <v>584.29999999999995</v>
      </c>
      <c r="BW182" s="186">
        <f>BW111+BU111+BT111+BV111</f>
        <v>593.29999999999995</v>
      </c>
      <c r="BX182" s="266">
        <f>BX111</f>
        <v>593.29999999999995</v>
      </c>
      <c r="BY182" s="186">
        <f>BY111+BW111+BV111+BU111</f>
        <v>615</v>
      </c>
      <c r="BZ182" s="186">
        <f>BZ111+BY111+BW111+BV111</f>
        <v>652</v>
      </c>
      <c r="CA182" s="186">
        <f>CA111+BY111+BZ111+BW111</f>
        <v>728</v>
      </c>
      <c r="CB182" s="186">
        <f>CB111+BZ111+BY111+CA111</f>
        <v>741</v>
      </c>
      <c r="CC182" s="266">
        <f>CC111</f>
        <v>741</v>
      </c>
      <c r="CD182" s="186">
        <f>CD111+CB111+CA111+BZ111</f>
        <v>772.59999999999991</v>
      </c>
      <c r="CE182" s="186">
        <f>CE111+CD111+CB111+CA111</f>
        <v>943.19999999999982</v>
      </c>
      <c r="CF182" s="186">
        <f>CF111+CD111+CE111+CB111</f>
        <v>935.79999999999973</v>
      </c>
      <c r="CG182" s="186">
        <f>CG111+CE111+CD111+CF111</f>
        <v>975.39999999999964</v>
      </c>
      <c r="CH182" s="266">
        <f>CH111</f>
        <v>975.39999999999964</v>
      </c>
      <c r="CI182" s="186">
        <f>CI111+CG111+CF111+CE111</f>
        <v>930.79999999999973</v>
      </c>
      <c r="CJ182" s="186">
        <f>CJ111+CI111+CG111+CF111</f>
        <v>830.19999999999982</v>
      </c>
      <c r="CK182" s="186">
        <f>CK111+CI111+CJ111+CG111</f>
        <v>847.59999999999991</v>
      </c>
      <c r="CL182" s="186">
        <f>CL111+CJ111+CI111+CK111</f>
        <v>855</v>
      </c>
      <c r="CM182" s="266">
        <f>CM111</f>
        <v>855</v>
      </c>
      <c r="CN182" s="186">
        <f>CN111+CL111+CK111+CJ111</f>
        <v>884</v>
      </c>
      <c r="CO182" s="186">
        <f>CO111+CN111+CL111+CK111</f>
        <v>798</v>
      </c>
      <c r="CP182" s="186">
        <f>CP111+CN111+CO111+CL111</f>
        <v>668</v>
      </c>
      <c r="CQ182" s="186">
        <f>CQ111+CO111+CN111+CP111</f>
        <v>638</v>
      </c>
      <c r="CR182" s="266">
        <f>CR111</f>
        <v>638</v>
      </c>
      <c r="CS182" s="186">
        <f>CS111+CQ111+CP111+CO111</f>
        <v>615.83399999999983</v>
      </c>
      <c r="CT182" s="186">
        <f>CT111+CS111+CQ111+CP111</f>
        <v>621.75900000000001</v>
      </c>
      <c r="CU182" s="186">
        <f>CU111+CS111+CT111+CQ111</f>
        <v>630.39199999999983</v>
      </c>
      <c r="CV182" s="186">
        <f>CV111+CT111+CS111+CU111</f>
        <v>710.20100000000002</v>
      </c>
      <c r="CW182" s="266">
        <f>CW111</f>
        <v>710.20100000000002</v>
      </c>
      <c r="CX182" s="186">
        <f>CX111+CV111+CU111+CT111</f>
        <v>741.13099999999986</v>
      </c>
      <c r="CY182" s="186">
        <f>CY111+CX111+CV111+CU111</f>
        <v>981.20599999999968</v>
      </c>
      <c r="CZ182" s="186">
        <f>CZ111+CX111+CY111+CV111</f>
        <v>1272.5729999999999</v>
      </c>
      <c r="DA182" s="186">
        <f>DA111+CY111+CX111+CZ111</f>
        <v>1320.7639999999997</v>
      </c>
      <c r="DB182" s="103">
        <f>DB111</f>
        <v>1320.7639999999997</v>
      </c>
      <c r="DC182" s="186">
        <f>DC111+DA111+CZ111+CY111</f>
        <v>1285.2719999999999</v>
      </c>
      <c r="DD182" s="186">
        <f>DD111+DC111+DA111+CZ111</f>
        <v>1092.2719999999999</v>
      </c>
      <c r="DE182" s="186">
        <f>DE111+DC111+DD111+DA111</f>
        <v>930.27199999999993</v>
      </c>
      <c r="DF182" s="186">
        <f>DF111+DD111+DC111+DE111</f>
        <v>819.27199999999993</v>
      </c>
      <c r="DG182" s="103">
        <f>DG111</f>
        <v>819.27199999999993</v>
      </c>
      <c r="DH182" s="186">
        <f>DH111+DF111+DE111+DD111</f>
        <v>757</v>
      </c>
      <c r="DI182" s="186">
        <f>DI111+DH111+DF111+DE111</f>
        <v>947</v>
      </c>
      <c r="DJ182" s="186">
        <f>DJ111+DH111+DI111+DF111</f>
        <v>870</v>
      </c>
      <c r="DK182" s="186">
        <f>DK111+DI111+DH111+DJ111</f>
        <v>839</v>
      </c>
      <c r="DL182" s="103">
        <f>DL111</f>
        <v>839</v>
      </c>
      <c r="DM182" s="186">
        <f>DM111+DK111+DJ111+DI111</f>
        <v>941</v>
      </c>
      <c r="DN182" s="186">
        <f>DN111+DM111+DK111+DJ111</f>
        <v>935</v>
      </c>
      <c r="DO182" s="186">
        <f>DO111+DM111+DN111+DK111</f>
        <v>1166</v>
      </c>
      <c r="DP182" s="186">
        <f>DP111+DN111+DM111+DO111</f>
        <v>1448</v>
      </c>
      <c r="DQ182" s="103">
        <f>DQ111</f>
        <v>1448</v>
      </c>
      <c r="DR182" s="186">
        <f>DR111+DP111+DO111+DN111</f>
        <v>1578</v>
      </c>
      <c r="DS182" s="186">
        <f>DS111+DR111+DP111+DO111</f>
        <v>1918</v>
      </c>
      <c r="DT182" s="186">
        <f>DT111+DR111+DS111+DP111</f>
        <v>2128</v>
      </c>
      <c r="DU182" s="186">
        <f>DU111+DS111+DR111+DT111</f>
        <v>2380</v>
      </c>
      <c r="DV182" s="103">
        <f>DV111</f>
        <v>2380</v>
      </c>
      <c r="DW182" s="186">
        <f>DW111+DU111+DT111+DS111</f>
        <v>2908</v>
      </c>
      <c r="DX182" s="186">
        <f>DX111+DW111+DU111+DT111</f>
        <v>3237</v>
      </c>
      <c r="DY182" s="186">
        <f>DY111+DW111+DX111+DU111</f>
        <v>3635</v>
      </c>
      <c r="DZ182" s="186">
        <f>DZ111+DX111+DW111+DY111</f>
        <v>3957</v>
      </c>
      <c r="EA182" s="103">
        <f>EA111</f>
        <v>3957</v>
      </c>
      <c r="EB182" s="186">
        <f>EB111+DZ111+DY111+DX111</f>
        <v>4139</v>
      </c>
      <c r="EC182" s="186">
        <f>EC111+EB111+DZ111+DY111</f>
        <v>4258</v>
      </c>
      <c r="ED182" s="186">
        <f>ED111+EB111+EC111+DZ111</f>
        <v>4183</v>
      </c>
      <c r="EE182" s="186">
        <f>EE111+EC111+EB111+ED111</f>
        <v>3959</v>
      </c>
      <c r="EF182" s="103">
        <f>EF111</f>
        <v>3959</v>
      </c>
      <c r="EG182" s="186">
        <f>EG111+EE111+ED111+EC111</f>
        <v>3633</v>
      </c>
      <c r="EH182" s="186">
        <f>EH111+EG111+EE111+ED111</f>
        <v>3578</v>
      </c>
      <c r="EI182" s="186">
        <f>EI111+EG111+EH111+EE111</f>
        <v>3477</v>
      </c>
      <c r="EJ182" s="186">
        <f t="shared" ref="EJ182:ET182" si="907">EJ111+EH111+EG111+EI111</f>
        <v>3455</v>
      </c>
      <c r="EK182" s="103">
        <f>EK111</f>
        <v>3455</v>
      </c>
      <c r="EL182" s="186">
        <f>EL111+EJ111+EI111+EH111</f>
        <v>3403</v>
      </c>
      <c r="EM182" s="186">
        <f>EM111+EL111+EJ111+EI111</f>
        <v>3368</v>
      </c>
      <c r="EN182" s="186">
        <f>EN111+EL111+EM111+EJ111</f>
        <v>3379</v>
      </c>
      <c r="EO182" s="186">
        <f t="shared" ref="EO182" si="908">EO111+EM111+EL111+EN111</f>
        <v>3347</v>
      </c>
      <c r="EP182" s="103">
        <f>EP111</f>
        <v>3347</v>
      </c>
      <c r="EQ182" s="186">
        <f>EQ111+EO111+EN111+EM111</f>
        <v>3348.8190891474896</v>
      </c>
      <c r="ER182" s="186">
        <f>ER111+EN111+EO111+EQ111</f>
        <v>3334.2777640694949</v>
      </c>
      <c r="ES182" s="186">
        <f>ES111+EQ111+EO111+ER111</f>
        <v>3426.4752944858128</v>
      </c>
      <c r="ET182" s="186">
        <f t="shared" si="907"/>
        <v>3623.912950803262</v>
      </c>
      <c r="EU182" s="103">
        <f>EU111</f>
        <v>3623.9129508032638</v>
      </c>
      <c r="EV182" s="186"/>
      <c r="EW182" s="186"/>
      <c r="EX182" s="186"/>
      <c r="EY182" s="186"/>
      <c r="EZ182" s="103">
        <f>EZ111</f>
        <v>4264.238724511426</v>
      </c>
      <c r="FA182" s="186"/>
      <c r="FB182" s="186"/>
      <c r="FC182" s="186"/>
      <c r="FD182" s="186"/>
      <c r="FE182" s="103">
        <f>FE111</f>
        <v>4832.0235559476787</v>
      </c>
      <c r="FF182" s="33"/>
      <c r="FG182" s="460"/>
      <c r="FL182" s="425"/>
      <c r="FM182" s="425"/>
      <c r="FN182" s="384"/>
      <c r="FO182" s="384"/>
      <c r="FP182" s="384"/>
      <c r="FQ182" s="384"/>
      <c r="FR182" s="384"/>
      <c r="FS182" s="384"/>
      <c r="FT182" s="460"/>
    </row>
    <row r="183" spans="1:183" ht="12.75" hidden="1" customHeight="1" x14ac:dyDescent="0.2">
      <c r="A183" s="33" t="s">
        <v>389</v>
      </c>
      <c r="B183" s="186"/>
      <c r="C183" s="186"/>
      <c r="D183" s="186"/>
      <c r="E183" s="186"/>
      <c r="F183" s="266"/>
      <c r="G183" s="186"/>
      <c r="H183" s="186"/>
      <c r="I183" s="186"/>
      <c r="J183" s="186"/>
      <c r="K183" s="266"/>
      <c r="L183" s="186"/>
      <c r="M183" s="186"/>
      <c r="N183" s="186"/>
      <c r="O183" s="186"/>
      <c r="P183" s="266"/>
      <c r="Q183" s="186"/>
      <c r="R183" s="186"/>
      <c r="S183" s="186"/>
      <c r="T183" s="186"/>
      <c r="U183" s="266"/>
      <c r="V183" s="186"/>
      <c r="W183" s="186"/>
      <c r="X183" s="186"/>
      <c r="Y183" s="186"/>
      <c r="Z183" s="266"/>
      <c r="AA183" s="186"/>
      <c r="AB183" s="186"/>
      <c r="AC183" s="186"/>
      <c r="AD183" s="186"/>
      <c r="AE183" s="266"/>
      <c r="AF183" s="186"/>
      <c r="AG183" s="186"/>
      <c r="AH183" s="186"/>
      <c r="AI183" s="186"/>
      <c r="AJ183" s="266">
        <f>AJ113</f>
        <v>724.96799999999973</v>
      </c>
      <c r="AK183" s="186">
        <f>AK113+AI113+AH113+AG113</f>
        <v>764.5350000000002</v>
      </c>
      <c r="AL183" s="186">
        <f>AL113+AK113+AI113+AH113</f>
        <v>784.67800000000034</v>
      </c>
      <c r="AM183" s="186">
        <f>AM113+AK113+AL113+AI113</f>
        <v>839.65800000000024</v>
      </c>
      <c r="AN183" s="186">
        <f>AN113+AL113+AK113+AM113</f>
        <v>921.75800000000038</v>
      </c>
      <c r="AO183" s="266">
        <f>AO113</f>
        <v>921.75800000000038</v>
      </c>
      <c r="AP183" s="186">
        <f>AP113+AN113+AM113+AL113</f>
        <v>949.87700000000007</v>
      </c>
      <c r="AQ183" s="186">
        <f>AQ113+AP113+AN113+AM113</f>
        <v>1008.7859999999998</v>
      </c>
      <c r="AR183" s="186">
        <f>AR113+AP113+AQ113+AN113</f>
        <v>1071.7819999999997</v>
      </c>
      <c r="AS183" s="186">
        <f>AS113+AQ113+AP113+AR113</f>
        <v>1110.9829999999995</v>
      </c>
      <c r="AT183" s="266">
        <f>AT113</f>
        <v>1110.9829999999997</v>
      </c>
      <c r="AU183" s="186">
        <f>AU113+AS113+AR113+AQ113</f>
        <v>1170.1019999999996</v>
      </c>
      <c r="AV183" s="186">
        <f>AV113+AU113+AS113+AR113</f>
        <v>1220.5819999999997</v>
      </c>
      <c r="AW183" s="186">
        <f>AW113+AU113+AV113+AS113</f>
        <v>1225.6469999999997</v>
      </c>
      <c r="AX183" s="186">
        <f>AX113+AV113+AU113+AW113</f>
        <v>1229.9759999999999</v>
      </c>
      <c r="AY183" s="266">
        <f>AY113</f>
        <v>1229.9760000000001</v>
      </c>
      <c r="AZ183" s="186">
        <f>AZ113+AX113+AW113+AV113</f>
        <v>1228.2199999999998</v>
      </c>
      <c r="BA183" s="186">
        <f>BA113+AZ113+AX113+AW113</f>
        <v>1296.5530000000001</v>
      </c>
      <c r="BB183" s="186">
        <f>BB113+AZ113+BA113+AX113</f>
        <v>1397.6759999999999</v>
      </c>
      <c r="BC183" s="186">
        <f>BC113+BA113+AZ113+BB113</f>
        <v>1498.7489999999998</v>
      </c>
      <c r="BD183" s="266">
        <f>BD113</f>
        <v>1498.7489999999996</v>
      </c>
      <c r="BE183" s="186">
        <f>BE113+BC113+BB113+BA113</f>
        <v>1563.1899999999996</v>
      </c>
      <c r="BF183" s="186">
        <f>BF113+BE113+BC113+BB113</f>
        <v>1548.0399999999995</v>
      </c>
      <c r="BG183" s="186">
        <f>BG113+BE113+BF113+BC113</f>
        <v>1349.8209999999997</v>
      </c>
      <c r="BH183" s="186">
        <f>BH113+BF113+BE113+BG113</f>
        <v>1141.0629999999996</v>
      </c>
      <c r="BI183" s="266">
        <f>BI113</f>
        <v>1141.0629999999999</v>
      </c>
      <c r="BJ183" s="186">
        <f>BJ113+BH113+BG113+BF113</f>
        <v>986.56399999999996</v>
      </c>
      <c r="BK183" s="186">
        <f>BK113+BJ113+BH113+BG113</f>
        <v>861.15599999999984</v>
      </c>
      <c r="BL183" s="186">
        <f>BL113+BJ113+BK113+BH113</f>
        <v>867.86700000000008</v>
      </c>
      <c r="BM183" s="186">
        <f>BM113+BK113+BJ113+BL113</f>
        <v>930.24299999999994</v>
      </c>
      <c r="BN183" s="266">
        <f>BN113</f>
        <v>930.24299999999994</v>
      </c>
      <c r="BO183" s="186">
        <f>BO113+BM113+BL113+BK113</f>
        <v>932.84799999999996</v>
      </c>
      <c r="BP183" s="186">
        <f>BP113+BO113+BM113+BL113</f>
        <v>963.30199999999991</v>
      </c>
      <c r="BQ183" s="186">
        <f>BQ113+BO113+BP113+BM113</f>
        <v>1061.5809999999999</v>
      </c>
      <c r="BR183" s="186">
        <f>BR113+BP113+BO113+BQ113</f>
        <v>1090</v>
      </c>
      <c r="BS183" s="266">
        <f>BS113</f>
        <v>1090</v>
      </c>
      <c r="BT183" s="186">
        <f>BT113+BR113+BQ113+BP113</f>
        <v>1115.3</v>
      </c>
      <c r="BU183" s="186">
        <f>BU113+BT113+BR113+BQ113</f>
        <v>1165.3</v>
      </c>
      <c r="BV183" s="186">
        <f>BV113+BT113+BU113+BR113</f>
        <v>1181.3</v>
      </c>
      <c r="BW183" s="186">
        <f>BW113+BU113+BT113+BV113</f>
        <v>1203.3</v>
      </c>
      <c r="BX183" s="266">
        <f>BX113</f>
        <v>1203.3</v>
      </c>
      <c r="BY183" s="186">
        <f>BY113+BW113+BV113+BU113</f>
        <v>1232</v>
      </c>
      <c r="BZ183" s="186">
        <f>BZ113+BY113+BW113+BV113</f>
        <v>1276</v>
      </c>
      <c r="CA183" s="186">
        <f>CA113+BY113+BZ113+BW113</f>
        <v>1356</v>
      </c>
      <c r="CB183" s="186">
        <f>CB113+BZ113+BY113+CA113</f>
        <v>1374</v>
      </c>
      <c r="CC183" s="266">
        <f>CC113</f>
        <v>1374</v>
      </c>
      <c r="CD183" s="186">
        <f>CD113+CB113+CA113+BZ113</f>
        <v>1414.6</v>
      </c>
      <c r="CE183" s="186">
        <f>CE113+CD113+CB113+CA113</f>
        <v>1593.1999999999998</v>
      </c>
      <c r="CF183" s="186">
        <f>CF113+CD113+CE113+CB113</f>
        <v>1598.7999999999997</v>
      </c>
      <c r="CG183" s="186">
        <f>CG113+CE113+CD113+CF113</f>
        <v>1648.3999999999996</v>
      </c>
      <c r="CH183" s="266">
        <f>CH113</f>
        <v>1648.3999999999996</v>
      </c>
      <c r="CI183" s="186">
        <f>CI113+CG113+CF113+CE113</f>
        <v>1613.7999999999997</v>
      </c>
      <c r="CJ183" s="186">
        <f>CJ113+CI113+CG113+CF113</f>
        <v>1524.1999999999998</v>
      </c>
      <c r="CK183" s="186">
        <f>CK113+CI113+CJ113+CG113</f>
        <v>1549.6</v>
      </c>
      <c r="CL183" s="186">
        <f>CL113+CJ113+CI113+CK113</f>
        <v>1568</v>
      </c>
      <c r="CM183" s="266">
        <f>CM113</f>
        <v>1568</v>
      </c>
      <c r="CN183" s="186">
        <f>CN113+CL113+CK113+CJ113</f>
        <v>1606</v>
      </c>
      <c r="CO183" s="186">
        <f>CO113+CN113+CL113+CK113</f>
        <v>1529</v>
      </c>
      <c r="CP183" s="186">
        <f>CP113+CN113+CO113+CL113</f>
        <v>1411</v>
      </c>
      <c r="CQ183" s="186">
        <f>CQ113+CO113+CN113+CP113</f>
        <v>1390</v>
      </c>
      <c r="CR183" s="266">
        <f>CR113</f>
        <v>1390</v>
      </c>
      <c r="CS183" s="186">
        <f>CS113+CQ113+CP113+CO113</f>
        <v>1454.3819999999998</v>
      </c>
      <c r="CT183" s="186">
        <f>CT113+CS113+CQ113+CP113</f>
        <v>1545.9690000000001</v>
      </c>
      <c r="CU183" s="186">
        <f>CU113+CS113+CT113+CQ113</f>
        <v>1648.1329999999998</v>
      </c>
      <c r="CV183" s="186">
        <f>CV113+CT113+CS113+CU113</f>
        <v>1810.308</v>
      </c>
      <c r="CW183" s="266">
        <f>CW113</f>
        <v>1810.308</v>
      </c>
      <c r="CX183" s="186">
        <f>CX113+CV113+CU113+CT113</f>
        <v>1848.126</v>
      </c>
      <c r="CY183" s="186">
        <f>CY113+CX113+CV113+CU113</f>
        <v>2091.5389999999998</v>
      </c>
      <c r="CZ183" s="186">
        <f>CZ113+CX113+CY113+CV113</f>
        <v>2378.375</v>
      </c>
      <c r="DA183" s="186">
        <f>DA113+CY113+CX113+CZ113</f>
        <v>2432.1999999999998</v>
      </c>
      <c r="DB183" s="103">
        <f>DB113</f>
        <v>2432.1999999999998</v>
      </c>
      <c r="DC183" s="186">
        <f>DC113+DA113+CZ113+CY113</f>
        <v>2396.1030000000001</v>
      </c>
      <c r="DD183" s="186">
        <f>DD113+DC113+DA113+CZ113</f>
        <v>2209.1030000000001</v>
      </c>
      <c r="DE183" s="186">
        <f>DE113+DC113+DD113+DA113</f>
        <v>2049.1030000000001</v>
      </c>
      <c r="DF183" s="186">
        <f>DF113+DD113+DC113+DE113</f>
        <v>1942.1030000000001</v>
      </c>
      <c r="DG183" s="103">
        <f>DG113</f>
        <v>1942.1030000000001</v>
      </c>
      <c r="DH183" s="186">
        <f>DH113+DF113+DE113+DD113</f>
        <v>1893</v>
      </c>
      <c r="DI183" s="186">
        <f>DI113+DH113+DF113+DE113</f>
        <v>2094</v>
      </c>
      <c r="DJ183" s="186">
        <f>DJ113+DH113+DI113+DF113</f>
        <v>2045</v>
      </c>
      <c r="DK183" s="186">
        <f>DK113+DI113+DH113+DJ113</f>
        <v>2038</v>
      </c>
      <c r="DL183" s="103">
        <f>DL113</f>
        <v>2038</v>
      </c>
      <c r="DM183" s="186">
        <f>DM113+DK113+DJ113+DI113</f>
        <v>2154</v>
      </c>
      <c r="DN183" s="186">
        <f>DN113+DM113+DK113+DJ113</f>
        <v>2161</v>
      </c>
      <c r="DO183" s="186">
        <f>DO113+DM113+DN113+DK113</f>
        <v>2396</v>
      </c>
      <c r="DP183" s="186">
        <f>DP113+DN113+DM113+DO113</f>
        <v>2676</v>
      </c>
      <c r="DQ183" s="103">
        <f>DQ113</f>
        <v>2676</v>
      </c>
      <c r="DR183" s="186">
        <f>DR113+DP113+DO113+DN113</f>
        <v>2805</v>
      </c>
      <c r="DS183" s="186">
        <f>DS113+DR113+DP113+DO113</f>
        <v>3143</v>
      </c>
      <c r="DT183" s="186">
        <f>DT113+DR113+DS113+DP113</f>
        <v>3349</v>
      </c>
      <c r="DU183" s="186">
        <f>DU113+DS113+DR113+DT113</f>
        <v>3613</v>
      </c>
      <c r="DV183" s="103">
        <f>DV113</f>
        <v>3613</v>
      </c>
      <c r="DW183" s="186">
        <f>DW113+DU113+DT113+DS113</f>
        <v>4143</v>
      </c>
      <c r="DX183" s="186">
        <f>DX113+DW113+DU113+DT113</f>
        <v>4478</v>
      </c>
      <c r="DY183" s="186">
        <f>DY113+DW113+DX113+DU113</f>
        <v>4885</v>
      </c>
      <c r="DZ183" s="186">
        <f>DZ113+DX113+DW113+DY113</f>
        <v>5210</v>
      </c>
      <c r="EA183" s="103">
        <f>EA113</f>
        <v>5210</v>
      </c>
      <c r="EB183" s="186">
        <f>EB113+DZ113+DY113+DX113</f>
        <v>5437</v>
      </c>
      <c r="EC183" s="186">
        <f>EC113+EB113+DZ113+DY113</f>
        <v>5605</v>
      </c>
      <c r="ED183" s="186">
        <f>ED113+EB113+EC113+DZ113</f>
        <v>5583</v>
      </c>
      <c r="EE183" s="186">
        <f>EE113+EC113+EB113+ED113</f>
        <v>5410</v>
      </c>
      <c r="EF183" s="103">
        <f>EF113</f>
        <v>5410</v>
      </c>
      <c r="EG183" s="186">
        <f>EG113+EE113+ED113+EC113</f>
        <v>5102</v>
      </c>
      <c r="EH183" s="186">
        <f>EH113+EG113+EE113+ED113</f>
        <v>5061</v>
      </c>
      <c r="EI183" s="186">
        <f>EI113+EG113+EH113+EE113</f>
        <v>4942</v>
      </c>
      <c r="EJ183" s="186">
        <f t="shared" ref="EJ183:ET183" si="909">EJ113+EH113+EG113+EI113</f>
        <v>4866</v>
      </c>
      <c r="EK183" s="103">
        <f>EK113</f>
        <v>4866</v>
      </c>
      <c r="EL183" s="186">
        <f>EL113+EJ113+EI113+EH113</f>
        <v>4819</v>
      </c>
      <c r="EM183" s="186">
        <f>EM113+EL113+EJ113+EI113</f>
        <v>4784</v>
      </c>
      <c r="EN183" s="186">
        <f>EN113+EL113+EM113+EJ113</f>
        <v>4795</v>
      </c>
      <c r="EO183" s="186">
        <f t="shared" ref="EO183" si="910">EO113+EM113+EL113+EN113</f>
        <v>4763</v>
      </c>
      <c r="EP183" s="103">
        <f>EP113</f>
        <v>4763</v>
      </c>
      <c r="EQ183" s="186">
        <f>EQ113+EO113+EN113+EM113</f>
        <v>4726.0147305268001</v>
      </c>
      <c r="ER183" s="186">
        <f>ER113+EN113+EO113+EQ113</f>
        <v>4680.5546503188461</v>
      </c>
      <c r="ES183" s="186">
        <f>ES113+EQ113+EO113+ER113</f>
        <v>4772.8615478237716</v>
      </c>
      <c r="ET183" s="186">
        <f t="shared" si="909"/>
        <v>5007.1619320665613</v>
      </c>
      <c r="EU183" s="103">
        <f>EU113</f>
        <v>5007.1619320665632</v>
      </c>
      <c r="EV183" s="186"/>
      <c r="EW183" s="186"/>
      <c r="EX183" s="186"/>
      <c r="EY183" s="186"/>
      <c r="EZ183" s="103">
        <f>EZ113</f>
        <v>5682.3304509762156</v>
      </c>
      <c r="FA183" s="186"/>
      <c r="FB183" s="186"/>
      <c r="FC183" s="186"/>
      <c r="FD183" s="186"/>
      <c r="FE183" s="103">
        <f>FE113</f>
        <v>6283.9140597754304</v>
      </c>
      <c r="FF183" s="33"/>
      <c r="FG183" s="460"/>
      <c r="FL183" s="425"/>
      <c r="FM183" s="425"/>
      <c r="FN183" s="384"/>
      <c r="FO183" s="384"/>
      <c r="FP183" s="384"/>
      <c r="FQ183" s="384"/>
      <c r="FR183" s="384"/>
      <c r="FS183" s="384"/>
      <c r="FT183" s="460"/>
    </row>
    <row r="184" spans="1:183" ht="12.75" hidden="1" customHeight="1" x14ac:dyDescent="0.2">
      <c r="A184" s="33" t="s">
        <v>390</v>
      </c>
      <c r="B184" s="186"/>
      <c r="C184" s="186"/>
      <c r="D184" s="186"/>
      <c r="E184" s="186"/>
      <c r="F184" s="266"/>
      <c r="G184" s="186"/>
      <c r="H184" s="186"/>
      <c r="I184" s="186"/>
      <c r="J184" s="186"/>
      <c r="K184" s="266"/>
      <c r="L184" s="186"/>
      <c r="M184" s="186"/>
      <c r="N184" s="186"/>
      <c r="O184" s="186"/>
      <c r="P184" s="266"/>
      <c r="Q184" s="186"/>
      <c r="R184" s="186"/>
      <c r="S184" s="186"/>
      <c r="T184" s="186"/>
      <c r="U184" s="266"/>
      <c r="V184" s="186"/>
      <c r="W184" s="186"/>
      <c r="X184" s="186"/>
      <c r="Y184" s="186"/>
      <c r="Z184" s="266"/>
      <c r="AA184" s="186"/>
      <c r="AB184" s="186"/>
      <c r="AC184" s="186"/>
      <c r="AD184" s="186"/>
      <c r="AE184" s="266"/>
      <c r="AF184" s="186"/>
      <c r="AG184" s="186"/>
      <c r="AH184" s="186"/>
      <c r="AI184" s="186"/>
      <c r="AJ184" s="266">
        <f t="shared" ref="AJ184:BO184" si="911">AJ183+AJ180</f>
        <v>724.96799999999973</v>
      </c>
      <c r="AK184" s="186">
        <f t="shared" si="911"/>
        <v>764.5350000000002</v>
      </c>
      <c r="AL184" s="186">
        <f t="shared" si="911"/>
        <v>784.67800000000034</v>
      </c>
      <c r="AM184" s="186">
        <f t="shared" si="911"/>
        <v>839.65800000000024</v>
      </c>
      <c r="AN184" s="186">
        <f t="shared" si="911"/>
        <v>921.75800000000038</v>
      </c>
      <c r="AO184" s="266">
        <f t="shared" si="911"/>
        <v>921.75800000000038</v>
      </c>
      <c r="AP184" s="186">
        <f t="shared" si="911"/>
        <v>949.87700000000007</v>
      </c>
      <c r="AQ184" s="186">
        <f t="shared" si="911"/>
        <v>1008.7859999999998</v>
      </c>
      <c r="AR184" s="186">
        <f t="shared" si="911"/>
        <v>1071.7819999999997</v>
      </c>
      <c r="AS184" s="186">
        <f t="shared" si="911"/>
        <v>1110.9829999999995</v>
      </c>
      <c r="AT184" s="266">
        <f t="shared" si="911"/>
        <v>1110.9829999999997</v>
      </c>
      <c r="AU184" s="186">
        <f t="shared" si="911"/>
        <v>1170.1019999999996</v>
      </c>
      <c r="AV184" s="186">
        <f t="shared" si="911"/>
        <v>1220.5819999999997</v>
      </c>
      <c r="AW184" s="186">
        <f t="shared" si="911"/>
        <v>1225.6469999999997</v>
      </c>
      <c r="AX184" s="186">
        <f t="shared" si="911"/>
        <v>1229.9759999999999</v>
      </c>
      <c r="AY184" s="266">
        <f t="shared" si="911"/>
        <v>1229.9760000000001</v>
      </c>
      <c r="AZ184" s="186">
        <f t="shared" si="911"/>
        <v>1228.2199999999998</v>
      </c>
      <c r="BA184" s="186">
        <f t="shared" si="911"/>
        <v>1296.5530000000001</v>
      </c>
      <c r="BB184" s="186">
        <f t="shared" si="911"/>
        <v>1397.6759999999999</v>
      </c>
      <c r="BC184" s="186">
        <f t="shared" si="911"/>
        <v>1498.7489999999998</v>
      </c>
      <c r="BD184" s="266">
        <f t="shared" si="911"/>
        <v>1498.7489999999996</v>
      </c>
      <c r="BE184" s="186">
        <f t="shared" si="911"/>
        <v>1563.1899999999996</v>
      </c>
      <c r="BF184" s="186">
        <f t="shared" si="911"/>
        <v>1548.0399999999995</v>
      </c>
      <c r="BG184" s="186">
        <f t="shared" si="911"/>
        <v>1349.8209999999997</v>
      </c>
      <c r="BH184" s="186">
        <f t="shared" si="911"/>
        <v>1141.0629999999996</v>
      </c>
      <c r="BI184" s="266">
        <f t="shared" si="911"/>
        <v>1141.0629999999999</v>
      </c>
      <c r="BJ184" s="186">
        <f t="shared" si="911"/>
        <v>986.56399999999996</v>
      </c>
      <c r="BK184" s="186">
        <f t="shared" si="911"/>
        <v>861.15599999999984</v>
      </c>
      <c r="BL184" s="186">
        <f t="shared" si="911"/>
        <v>867.86700000000008</v>
      </c>
      <c r="BM184" s="186">
        <f t="shared" si="911"/>
        <v>930.24299999999994</v>
      </c>
      <c r="BN184" s="266">
        <f t="shared" si="911"/>
        <v>930.24299999999994</v>
      </c>
      <c r="BO184" s="186">
        <f t="shared" si="911"/>
        <v>932.84799999999996</v>
      </c>
      <c r="BP184" s="186">
        <f t="shared" ref="BP184:CU184" si="912">BP183+BP180</f>
        <v>963.30199999999991</v>
      </c>
      <c r="BQ184" s="186">
        <f t="shared" si="912"/>
        <v>1061.5809999999999</v>
      </c>
      <c r="BR184" s="186">
        <f t="shared" si="912"/>
        <v>1090</v>
      </c>
      <c r="BS184" s="266">
        <f t="shared" si="912"/>
        <v>1090</v>
      </c>
      <c r="BT184" s="186">
        <f t="shared" si="912"/>
        <v>1115.3</v>
      </c>
      <c r="BU184" s="186">
        <f t="shared" si="912"/>
        <v>1165.3</v>
      </c>
      <c r="BV184" s="186">
        <f t="shared" si="912"/>
        <v>1181.3</v>
      </c>
      <c r="BW184" s="186">
        <f t="shared" si="912"/>
        <v>1203.3</v>
      </c>
      <c r="BX184" s="266">
        <f t="shared" si="912"/>
        <v>1203.3</v>
      </c>
      <c r="BY184" s="186">
        <f t="shared" si="912"/>
        <v>1232</v>
      </c>
      <c r="BZ184" s="186">
        <f t="shared" si="912"/>
        <v>1276</v>
      </c>
      <c r="CA184" s="186">
        <f t="shared" si="912"/>
        <v>1356</v>
      </c>
      <c r="CB184" s="186">
        <f t="shared" si="912"/>
        <v>1374</v>
      </c>
      <c r="CC184" s="266">
        <f t="shared" si="912"/>
        <v>1374</v>
      </c>
      <c r="CD184" s="186">
        <f t="shared" si="912"/>
        <v>1414.6</v>
      </c>
      <c r="CE184" s="186">
        <f t="shared" si="912"/>
        <v>1593.1999999999998</v>
      </c>
      <c r="CF184" s="186">
        <f t="shared" si="912"/>
        <v>1598.7999999999997</v>
      </c>
      <c r="CG184" s="186">
        <f t="shared" si="912"/>
        <v>1648.3999999999996</v>
      </c>
      <c r="CH184" s="266">
        <f t="shared" si="912"/>
        <v>1648.3999999999996</v>
      </c>
      <c r="CI184" s="186">
        <f t="shared" si="912"/>
        <v>1613.7999999999997</v>
      </c>
      <c r="CJ184" s="186">
        <f t="shared" si="912"/>
        <v>1524.1999999999998</v>
      </c>
      <c r="CK184" s="186">
        <f t="shared" si="912"/>
        <v>1549.6</v>
      </c>
      <c r="CL184" s="186">
        <f t="shared" si="912"/>
        <v>1568</v>
      </c>
      <c r="CM184" s="266">
        <f t="shared" si="912"/>
        <v>1568</v>
      </c>
      <c r="CN184" s="186">
        <f t="shared" si="912"/>
        <v>1606</v>
      </c>
      <c r="CO184" s="186">
        <f t="shared" si="912"/>
        <v>1529</v>
      </c>
      <c r="CP184" s="186">
        <f t="shared" si="912"/>
        <v>1411</v>
      </c>
      <c r="CQ184" s="186">
        <f t="shared" si="912"/>
        <v>1390</v>
      </c>
      <c r="CR184" s="266">
        <f t="shared" si="912"/>
        <v>1390</v>
      </c>
      <c r="CS184" s="186">
        <f t="shared" si="912"/>
        <v>1454.3819999999998</v>
      </c>
      <c r="CT184" s="186">
        <f t="shared" si="912"/>
        <v>1545.9690000000001</v>
      </c>
      <c r="CU184" s="186">
        <f t="shared" si="912"/>
        <v>1648.1329999999998</v>
      </c>
      <c r="CV184" s="186">
        <f t="shared" ref="CV184:DQ184" si="913">CV183+CV180</f>
        <v>1810.308</v>
      </c>
      <c r="CW184" s="266">
        <f t="shared" si="913"/>
        <v>1810.308</v>
      </c>
      <c r="CX184" s="186">
        <f t="shared" si="913"/>
        <v>1848.126</v>
      </c>
      <c r="CY184" s="186">
        <f t="shared" si="913"/>
        <v>2091.5389999999998</v>
      </c>
      <c r="CZ184" s="186">
        <f t="shared" si="913"/>
        <v>2378.375</v>
      </c>
      <c r="DA184" s="186">
        <f t="shared" si="913"/>
        <v>2432.1999999999998</v>
      </c>
      <c r="DB184" s="103">
        <f t="shared" si="913"/>
        <v>2432.1999999999998</v>
      </c>
      <c r="DC184" s="186">
        <f t="shared" si="913"/>
        <v>2396.1030000000001</v>
      </c>
      <c r="DD184" s="186">
        <f t="shared" si="913"/>
        <v>2209.1030000000001</v>
      </c>
      <c r="DE184" s="186">
        <f t="shared" si="913"/>
        <v>2049.1030000000001</v>
      </c>
      <c r="DF184" s="186">
        <f t="shared" si="913"/>
        <v>1942.1030000000001</v>
      </c>
      <c r="DG184" s="103">
        <f t="shared" si="913"/>
        <v>1942.1030000000001</v>
      </c>
      <c r="DH184" s="186">
        <f t="shared" si="913"/>
        <v>1893</v>
      </c>
      <c r="DI184" s="186">
        <f t="shared" si="913"/>
        <v>2094</v>
      </c>
      <c r="DJ184" s="186">
        <f t="shared" si="913"/>
        <v>2045</v>
      </c>
      <c r="DK184" s="186">
        <f t="shared" si="913"/>
        <v>2038</v>
      </c>
      <c r="DL184" s="103">
        <f t="shared" si="913"/>
        <v>2038</v>
      </c>
      <c r="DM184" s="186">
        <f t="shared" si="913"/>
        <v>2154</v>
      </c>
      <c r="DN184" s="186">
        <f t="shared" si="913"/>
        <v>2161</v>
      </c>
      <c r="DO184" s="186">
        <f t="shared" si="913"/>
        <v>2396</v>
      </c>
      <c r="DP184" s="186">
        <f t="shared" si="913"/>
        <v>2676</v>
      </c>
      <c r="DQ184" s="103">
        <f t="shared" si="913"/>
        <v>2676</v>
      </c>
      <c r="DR184" s="186">
        <f t="shared" ref="DR184:EA184" si="914">DR183+DR180</f>
        <v>2805</v>
      </c>
      <c r="DS184" s="186">
        <f t="shared" si="914"/>
        <v>3143</v>
      </c>
      <c r="DT184" s="186">
        <f t="shared" si="914"/>
        <v>3349</v>
      </c>
      <c r="DU184" s="186">
        <f t="shared" si="914"/>
        <v>3613</v>
      </c>
      <c r="DV184" s="103">
        <f t="shared" si="914"/>
        <v>3613</v>
      </c>
      <c r="DW184" s="186">
        <f t="shared" si="914"/>
        <v>4143</v>
      </c>
      <c r="DX184" s="186">
        <f t="shared" si="914"/>
        <v>4478</v>
      </c>
      <c r="DY184" s="186">
        <f t="shared" si="914"/>
        <v>4885</v>
      </c>
      <c r="DZ184" s="186">
        <f t="shared" si="914"/>
        <v>5210</v>
      </c>
      <c r="EA184" s="103">
        <f t="shared" si="914"/>
        <v>5210</v>
      </c>
      <c r="EB184" s="186">
        <f t="shared" ref="EB184:EO184" si="915">EB183+EB180</f>
        <v>5437</v>
      </c>
      <c r="EC184" s="186">
        <f t="shared" si="915"/>
        <v>5605</v>
      </c>
      <c r="ED184" s="186">
        <f t="shared" si="915"/>
        <v>5583</v>
      </c>
      <c r="EE184" s="186">
        <f t="shared" si="915"/>
        <v>5410</v>
      </c>
      <c r="EF184" s="103">
        <f t="shared" si="915"/>
        <v>5410</v>
      </c>
      <c r="EG184" s="186">
        <f t="shared" ref="EG184:EI184" si="916">EG183+EG180</f>
        <v>5102</v>
      </c>
      <c r="EH184" s="186">
        <f t="shared" si="916"/>
        <v>5061</v>
      </c>
      <c r="EI184" s="186">
        <f t="shared" si="916"/>
        <v>4942</v>
      </c>
      <c r="EJ184" s="186">
        <f t="shared" ref="EJ184:EQ184" si="917">EJ183+EJ180</f>
        <v>4866</v>
      </c>
      <c r="EK184" s="103">
        <f t="shared" si="915"/>
        <v>4866</v>
      </c>
      <c r="EL184" s="186">
        <f t="shared" si="915"/>
        <v>4819</v>
      </c>
      <c r="EM184" s="186">
        <f t="shared" si="915"/>
        <v>4784</v>
      </c>
      <c r="EN184" s="186">
        <f t="shared" si="915"/>
        <v>4795</v>
      </c>
      <c r="EO184" s="186">
        <f t="shared" si="915"/>
        <v>4763</v>
      </c>
      <c r="EP184" s="103">
        <f t="shared" ref="EP184" si="918">EP183+EP180</f>
        <v>4763</v>
      </c>
      <c r="EQ184" s="186">
        <f t="shared" si="917"/>
        <v>4726.0147305268001</v>
      </c>
      <c r="ER184" s="186">
        <f t="shared" ref="ER184:ET184" si="919">ER183+ER180</f>
        <v>4680.5546503188461</v>
      </c>
      <c r="ES184" s="186">
        <f t="shared" si="919"/>
        <v>4772.8615478237716</v>
      </c>
      <c r="ET184" s="186">
        <f t="shared" si="919"/>
        <v>5007.1619320665613</v>
      </c>
      <c r="EU184" s="103">
        <f>EU183+EU180</f>
        <v>5007.1619320665632</v>
      </c>
      <c r="EV184" s="186"/>
      <c r="EW184" s="186"/>
      <c r="EX184" s="186"/>
      <c r="EY184" s="186"/>
      <c r="EZ184" s="103">
        <f>EZ183+EZ180</f>
        <v>5682.3304509762156</v>
      </c>
      <c r="FA184" s="186"/>
      <c r="FB184" s="186"/>
      <c r="FC184" s="186"/>
      <c r="FD184" s="186"/>
      <c r="FE184" s="103">
        <f>FE183+FE180</f>
        <v>6283.9140597754304</v>
      </c>
      <c r="FF184" s="33"/>
      <c r="FG184" s="460"/>
      <c r="FL184" s="425"/>
      <c r="FM184" s="425"/>
      <c r="FN184" s="384"/>
      <c r="FO184" s="384"/>
      <c r="FP184" s="384"/>
      <c r="FQ184" s="384"/>
      <c r="FR184" s="384"/>
      <c r="FS184" s="384"/>
      <c r="FT184" s="460"/>
    </row>
    <row r="185" spans="1:183" ht="12.75" hidden="1" customHeight="1" x14ac:dyDescent="0.2">
      <c r="A185" s="33" t="s">
        <v>391</v>
      </c>
      <c r="B185" s="186"/>
      <c r="C185" s="186"/>
      <c r="D185" s="186"/>
      <c r="E185" s="186"/>
      <c r="F185" s="266"/>
      <c r="G185" s="186"/>
      <c r="H185" s="186"/>
      <c r="I185" s="186"/>
      <c r="J185" s="186"/>
      <c r="K185" s="266"/>
      <c r="L185" s="186"/>
      <c r="M185" s="186"/>
      <c r="N185" s="186"/>
      <c r="O185" s="186"/>
      <c r="P185" s="266"/>
      <c r="Q185" s="186"/>
      <c r="R185" s="186"/>
      <c r="S185" s="186"/>
      <c r="T185" s="186"/>
      <c r="U185" s="266"/>
      <c r="V185" s="186"/>
      <c r="W185" s="186"/>
      <c r="X185" s="186"/>
      <c r="Y185" s="186"/>
      <c r="Z185" s="266"/>
      <c r="AA185" s="186"/>
      <c r="AB185" s="186"/>
      <c r="AC185" s="186"/>
      <c r="AD185" s="186"/>
      <c r="AE185" s="266"/>
      <c r="AF185" s="186"/>
      <c r="AG185" s="186"/>
      <c r="AH185" s="186"/>
      <c r="AI185" s="186"/>
      <c r="AJ185" s="266">
        <f>AJ129</f>
        <v>25.797000000000001</v>
      </c>
      <c r="AK185" s="186">
        <f>AK129+AI129+AH129+AG129</f>
        <v>29.706</v>
      </c>
      <c r="AL185" s="186">
        <f>AL129+AK129+AI129+AH129</f>
        <v>33.893999999999998</v>
      </c>
      <c r="AM185" s="186">
        <f>AM129+AK129+AL129+AI129</f>
        <v>35.891999999999996</v>
      </c>
      <c r="AN185" s="186">
        <f>AN129+AL129+AK129+AM129</f>
        <v>36.616</v>
      </c>
      <c r="AO185" s="266">
        <f>AO129</f>
        <v>36.616</v>
      </c>
      <c r="AP185" s="186">
        <f>AP129+AN129+AM129+AL129</f>
        <v>36.469000000000001</v>
      </c>
      <c r="AQ185" s="186">
        <f>AQ129+AP129+AN129+AM129</f>
        <v>35.408999999999999</v>
      </c>
      <c r="AR185" s="186">
        <f>AR129+AP129+AQ129+AN129</f>
        <v>34.463999999999999</v>
      </c>
      <c r="AS185" s="186">
        <f>AS129+AQ129+AP129+AR129</f>
        <v>31.082999999999998</v>
      </c>
      <c r="AT185" s="266">
        <f>AT129</f>
        <v>31.082999999999998</v>
      </c>
      <c r="AU185" s="186">
        <f>AU129+AS129+AR129+AQ129</f>
        <v>28.802999999999997</v>
      </c>
      <c r="AV185" s="186">
        <f>AV129+AU129+AS129+AR129</f>
        <v>27.167999999999999</v>
      </c>
      <c r="AW185" s="186">
        <f>AW129+AU129+AV129+AS129</f>
        <v>25.1</v>
      </c>
      <c r="AX185" s="186">
        <f>AX129+AV129+AU129+AW129</f>
        <v>25.2</v>
      </c>
      <c r="AY185" s="266">
        <f>AY129</f>
        <v>25.200000000000003</v>
      </c>
      <c r="AZ185" s="186">
        <f>AZ129+AX129+AW129+AV129</f>
        <v>26.314</v>
      </c>
      <c r="BA185" s="186">
        <f>BA129+AZ129+AX129+AW129</f>
        <v>29.986999999999998</v>
      </c>
      <c r="BB185" s="186">
        <f>BB129+AZ129+BA129+AX129</f>
        <v>35.131</v>
      </c>
      <c r="BC185" s="186">
        <f>BC129+BA129+AZ129+BB129</f>
        <v>40.072000000000003</v>
      </c>
      <c r="BD185" s="266">
        <f>BD129</f>
        <v>40.072000000000003</v>
      </c>
      <c r="BE185" s="186">
        <f>BE129+BC129+BB129+BA129</f>
        <v>42.305000000000007</v>
      </c>
      <c r="BF185" s="186">
        <f>BF129+BE129+BC129+BB129</f>
        <v>42.03</v>
      </c>
      <c r="BG185" s="186">
        <f>BG129+BE129+BF129+BC129</f>
        <v>40.671999999999997</v>
      </c>
      <c r="BH185" s="186">
        <f>BH129+BF129+BE129+BG129</f>
        <v>42.561999999999998</v>
      </c>
      <c r="BI185" s="266">
        <f>BI129</f>
        <v>42.561999999999998</v>
      </c>
      <c r="BJ185" s="186">
        <f>BJ129+BH129+BG129+BF129</f>
        <v>43.271000000000001</v>
      </c>
      <c r="BK185" s="186">
        <f>BK129+BJ129+BH129+BG129</f>
        <v>42.034999999999997</v>
      </c>
      <c r="BL185" s="186">
        <f>BL129+BJ129+BK129+BH129</f>
        <v>41.744</v>
      </c>
      <c r="BM185" s="186">
        <f>BM129+BK129+BJ129+BL129</f>
        <v>36.442999999999998</v>
      </c>
      <c r="BN185" s="266">
        <f>BN129</f>
        <v>36.443000000000005</v>
      </c>
      <c r="BO185" s="186">
        <f>BO129+BM129+BL129+BK129</f>
        <v>31.852</v>
      </c>
      <c r="BP185" s="186">
        <f>BP129+BO129+BM129+BL129</f>
        <v>29.852</v>
      </c>
      <c r="BQ185" s="186">
        <f>BQ129+BO129+BP129+BM129</f>
        <v>25.891999999999999</v>
      </c>
      <c r="BR185" s="186">
        <f>BR129+BP129+BO129+BQ129</f>
        <v>24</v>
      </c>
      <c r="BS185" s="266">
        <f>BS129</f>
        <v>24</v>
      </c>
      <c r="BT185" s="186">
        <f>BT129+BR129+BQ129+BP129</f>
        <v>23</v>
      </c>
      <c r="BU185" s="186">
        <f>BU129+BT129+BR129+BQ129</f>
        <v>21</v>
      </c>
      <c r="BV185" s="186">
        <f>BV129+BT129+BU129+BR129</f>
        <v>20</v>
      </c>
      <c r="BW185" s="186">
        <f>BW129+BU129+BT129+BV129</f>
        <v>21</v>
      </c>
      <c r="BX185" s="266">
        <f>BX129</f>
        <v>21</v>
      </c>
      <c r="BY185" s="186">
        <f>BY129+BW129+BV129+BU129</f>
        <v>24</v>
      </c>
      <c r="BZ185" s="186">
        <f>BZ129+BY129+BW129+BV129</f>
        <v>29</v>
      </c>
      <c r="CA185" s="186">
        <f>CA129+BY129+BZ129+BW129</f>
        <v>37</v>
      </c>
      <c r="CB185" s="186">
        <f>CB129+BZ129+BY129+CA129</f>
        <v>46</v>
      </c>
      <c r="CC185" s="266">
        <f>CC129</f>
        <v>46</v>
      </c>
      <c r="CD185" s="186">
        <f>CD129+CB129+CA129+BZ129</f>
        <v>57</v>
      </c>
      <c r="CE185" s="186">
        <f>CE129+CD129+CB129+CA129</f>
        <v>68</v>
      </c>
      <c r="CF185" s="186">
        <f>CF129+CD129+CE129+CB129</f>
        <v>78</v>
      </c>
      <c r="CG185" s="186">
        <f>CG129+CE129+CD129+CF129</f>
        <v>84</v>
      </c>
      <c r="CH185" s="266">
        <f>CH129</f>
        <v>84</v>
      </c>
      <c r="CI185" s="186">
        <f>CI129+CG129+CF129+CE129</f>
        <v>79</v>
      </c>
      <c r="CJ185" s="186">
        <f>CJ129+CI129+CG129+CF129</f>
        <v>72</v>
      </c>
      <c r="CK185" s="186">
        <f>CK129+CI129+CJ129+CG129</f>
        <v>58</v>
      </c>
      <c r="CL185" s="186">
        <f>CL129+CJ129+CI129+CK129</f>
        <v>44</v>
      </c>
      <c r="CM185" s="266">
        <f>CM129</f>
        <v>44</v>
      </c>
      <c r="CN185" s="186">
        <f>CN129+CL129+CK129+CJ129</f>
        <v>38</v>
      </c>
      <c r="CO185" s="186">
        <f>CO129+CN129+CL129+CK129</f>
        <v>29</v>
      </c>
      <c r="CP185" s="186">
        <f>CP129+CN129+CO129+CL129</f>
        <v>27</v>
      </c>
      <c r="CQ185" s="186">
        <f>CQ129+CO129+CN129+CP129</f>
        <v>26</v>
      </c>
      <c r="CR185" s="266">
        <f>CR129</f>
        <v>26</v>
      </c>
      <c r="CS185" s="186">
        <f>CS129+CQ129+CP129+CO129</f>
        <v>23.678000000000001</v>
      </c>
      <c r="CT185" s="186">
        <f>CT129+CS129+CQ129+CP129</f>
        <v>22.376999999999999</v>
      </c>
      <c r="CU185" s="186">
        <f>CU129+CS129+CT129+CQ129</f>
        <v>22.212</v>
      </c>
      <c r="CV185" s="186">
        <f>CV129+CT129+CS129+CU129</f>
        <v>18.702000000000002</v>
      </c>
      <c r="CW185" s="266">
        <f>CW129</f>
        <v>18.701999999999998</v>
      </c>
      <c r="CX185" s="186">
        <f>CX129+CV129+CU129+CT129</f>
        <v>17.551000000000002</v>
      </c>
      <c r="CY185" s="186">
        <f>CY129+CX129+CV129+CU129</f>
        <v>18.465</v>
      </c>
      <c r="CZ185" s="186">
        <f>CZ129+CX129+CY129+CV129</f>
        <v>14.151999999999999</v>
      </c>
      <c r="DA185" s="186">
        <f>DA129+CY129+CX129+CZ129</f>
        <v>14.011000000000001</v>
      </c>
      <c r="DB185" s="103">
        <f>DB129</f>
        <v>14.011000000000001</v>
      </c>
      <c r="DC185" s="186">
        <f>DC129+DA129+CZ129+CY129</f>
        <v>13.772</v>
      </c>
      <c r="DD185" s="186">
        <f>DD129+DC129+DA129+CZ129</f>
        <v>12.159000000000001</v>
      </c>
      <c r="DE185" s="186">
        <f>DE129+DC129+DD129+DA129</f>
        <v>10.637</v>
      </c>
      <c r="DF185" s="186">
        <f>DF129+DD129+DC129+DE129</f>
        <v>9.2880000000000003</v>
      </c>
      <c r="DG185" s="103">
        <f>DG129</f>
        <v>9.2880000000000003</v>
      </c>
      <c r="DH185" s="186">
        <f>DH129+DF129+DE129+DD129</f>
        <v>8</v>
      </c>
      <c r="DI185" s="186">
        <f>DI129+DH129+DF129+DE129</f>
        <v>7</v>
      </c>
      <c r="DJ185" s="186">
        <f>DJ129+DH129+DI129+DF129</f>
        <v>8</v>
      </c>
      <c r="DK185" s="186">
        <f>DK129+DI129+DH129+DJ129</f>
        <v>8</v>
      </c>
      <c r="DL185" s="103">
        <f>DL129</f>
        <v>8</v>
      </c>
      <c r="DM185" s="186">
        <f>DM129+DK129+DJ129+DI129</f>
        <v>8</v>
      </c>
      <c r="DN185" s="186">
        <f>DN129+DM129+DK129+DJ129</f>
        <v>8</v>
      </c>
      <c r="DO185" s="186">
        <f>DO129+DM129+DN129+DK129</f>
        <v>7</v>
      </c>
      <c r="DP185" s="186">
        <f>DP129+DN129+DM129+DO129</f>
        <v>6</v>
      </c>
      <c r="DQ185" s="103">
        <f>DQ129</f>
        <v>6</v>
      </c>
      <c r="DR185" s="186">
        <f>DR129+DP129+DO129+DN129</f>
        <v>6</v>
      </c>
      <c r="DS185" s="186">
        <f>DS129+DR129+DP129+DO129</f>
        <v>6</v>
      </c>
      <c r="DT185" s="186">
        <f>DT129+DR129+DS129+DP129</f>
        <v>7</v>
      </c>
      <c r="DU185" s="186">
        <f>DU129+DS129+DR129+DT129</f>
        <v>7</v>
      </c>
      <c r="DV185" s="103">
        <f>DV129</f>
        <v>7</v>
      </c>
      <c r="DW185" s="186">
        <f>DW129+DU129+DT129+DS129</f>
        <v>6</v>
      </c>
      <c r="DX185" s="186">
        <f>DX129+DW129+DU129+DT129</f>
        <v>6</v>
      </c>
      <c r="DY185" s="186">
        <f>DY129+DW129+DX129+DU129</f>
        <v>6</v>
      </c>
      <c r="DZ185" s="186">
        <f>DZ129+DX129+DW129+DY129</f>
        <v>9</v>
      </c>
      <c r="EA185" s="103">
        <f>EA129</f>
        <v>9</v>
      </c>
      <c r="EB185" s="186">
        <f>EB129+DZ129+DY129+DX129</f>
        <v>13</v>
      </c>
      <c r="EC185" s="186">
        <f>EC129+EB129+DZ129+DY129</f>
        <v>17</v>
      </c>
      <c r="ED185" s="186">
        <f>ED129+EB129+EC129+DZ129</f>
        <v>21</v>
      </c>
      <c r="EE185" s="186">
        <f>EE129+EC129+EB129+ED129</f>
        <v>24</v>
      </c>
      <c r="EF185" s="103">
        <f>EF129</f>
        <v>24</v>
      </c>
      <c r="EG185" s="186">
        <f>EG129+EE129+ED129+EC129</f>
        <v>26</v>
      </c>
      <c r="EH185" s="186">
        <f>EH129+EG129+EE129+ED129</f>
        <v>28</v>
      </c>
      <c r="EI185" s="186">
        <f>EI129+EG129+EH129+EE129</f>
        <v>31</v>
      </c>
      <c r="EJ185" s="186">
        <f t="shared" ref="EJ185:ET185" si="920">EJ129+EH129+EG129+EI129</f>
        <v>35</v>
      </c>
      <c r="EK185" s="103">
        <f>EK129</f>
        <v>35</v>
      </c>
      <c r="EL185" s="186">
        <f>EL129+EJ129+EI129+EH129</f>
        <v>35</v>
      </c>
      <c r="EM185" s="186">
        <f>EM129+EL129+EJ129+EI129</f>
        <v>35</v>
      </c>
      <c r="EN185" s="186">
        <f>EN129+EL129+EM129+EJ129</f>
        <v>35</v>
      </c>
      <c r="EO185" s="186">
        <f t="shared" ref="EO185" si="921">EO129+EM129+EL129+EN129</f>
        <v>35</v>
      </c>
      <c r="EP185" s="103">
        <f>EP129</f>
        <v>35</v>
      </c>
      <c r="EQ185" s="186">
        <f>EQ129+EO129+EN129+EM129</f>
        <v>40</v>
      </c>
      <c r="ER185" s="186">
        <f>ER129+EN129+EO129+EQ129</f>
        <v>46</v>
      </c>
      <c r="ES185" s="186">
        <f>ES129+EQ129+EO129+ER129</f>
        <v>50</v>
      </c>
      <c r="ET185" s="186">
        <f t="shared" si="920"/>
        <v>51</v>
      </c>
      <c r="EU185" s="103">
        <f>EU129</f>
        <v>51</v>
      </c>
      <c r="EV185" s="186"/>
      <c r="EW185" s="186"/>
      <c r="EX185" s="186"/>
      <c r="EY185" s="186"/>
      <c r="EZ185" s="103">
        <f>EZ129</f>
        <v>50.95961543903347</v>
      </c>
      <c r="FA185" s="186"/>
      <c r="FB185" s="186"/>
      <c r="FC185" s="186"/>
      <c r="FD185" s="186"/>
      <c r="FE185" s="103">
        <f>FE129</f>
        <v>50.425371776406344</v>
      </c>
      <c r="FF185" s="33"/>
      <c r="FG185" s="460"/>
      <c r="FL185" s="425"/>
      <c r="FM185" s="425"/>
      <c r="FN185" s="384"/>
      <c r="FO185" s="384"/>
      <c r="FP185" s="384"/>
      <c r="FQ185" s="384"/>
      <c r="FR185" s="384"/>
      <c r="FS185" s="384"/>
      <c r="FT185" s="460"/>
    </row>
    <row r="186" spans="1:183" ht="12.75" hidden="1" customHeight="1" x14ac:dyDescent="0.2">
      <c r="A186" s="33" t="s">
        <v>152</v>
      </c>
      <c r="B186" s="186"/>
      <c r="C186" s="186"/>
      <c r="D186" s="186"/>
      <c r="E186" s="186"/>
      <c r="F186" s="266"/>
      <c r="G186" s="186"/>
      <c r="H186" s="186"/>
      <c r="I186" s="186"/>
      <c r="J186" s="186"/>
      <c r="K186" s="266"/>
      <c r="L186" s="186"/>
      <c r="M186" s="186"/>
      <c r="N186" s="186"/>
      <c r="O186" s="186"/>
      <c r="P186" s="266"/>
      <c r="Q186" s="186"/>
      <c r="R186" s="186"/>
      <c r="S186" s="186"/>
      <c r="T186" s="186"/>
      <c r="U186" s="266"/>
      <c r="V186" s="186"/>
      <c r="W186" s="186"/>
      <c r="X186" s="186"/>
      <c r="Y186" s="186"/>
      <c r="Z186" s="266"/>
      <c r="AA186" s="186"/>
      <c r="AB186" s="186"/>
      <c r="AC186" s="186"/>
      <c r="AD186" s="186"/>
      <c r="AE186" s="266"/>
      <c r="AF186" s="186"/>
      <c r="AG186" s="186"/>
      <c r="AH186" s="186"/>
      <c r="AI186" s="186"/>
      <c r="AJ186" s="266">
        <f>AJ133</f>
        <v>59.268999999999998</v>
      </c>
      <c r="AK186" s="186">
        <f>AK133+AI133+AH133+AG133</f>
        <v>59.591999999999999</v>
      </c>
      <c r="AL186" s="186">
        <f>AL133+AK133+AI133+AH133</f>
        <v>60.789000000000001</v>
      </c>
      <c r="AM186" s="186">
        <f>AM133+AK133+AL133+AI133</f>
        <v>62.5</v>
      </c>
      <c r="AN186" s="186">
        <f>AN133+AL133+AK133+AM133</f>
        <v>63.454000000000008</v>
      </c>
      <c r="AO186" s="266">
        <f>AO133</f>
        <v>63.454000000000001</v>
      </c>
      <c r="AP186" s="186">
        <f>AP133+AN133+AM133+AL133</f>
        <v>63.940000000000005</v>
      </c>
      <c r="AQ186" s="186">
        <f>AQ133+AP133+AN133+AM133</f>
        <v>61.281999999999996</v>
      </c>
      <c r="AR186" s="186">
        <f>AR133+AP133+AQ133+AN133</f>
        <v>58.313000000000002</v>
      </c>
      <c r="AS186" s="186">
        <f>AS133+AQ133+AP133+AR133</f>
        <v>56.275999999999996</v>
      </c>
      <c r="AT186" s="266">
        <f>AT133</f>
        <v>56.275999999999996</v>
      </c>
      <c r="AU186" s="186">
        <f>AU133+AS133+AR133+AQ133</f>
        <v>53.952000000000005</v>
      </c>
      <c r="AV186" s="186">
        <f>AV133+AU133+AS133+AR133</f>
        <v>53.686000000000007</v>
      </c>
      <c r="AW186" s="186">
        <f>AW133+AU133+AV133+AS133</f>
        <v>53.481000000000002</v>
      </c>
      <c r="AX186" s="186">
        <f>AX133+AV133+AU133+AW133</f>
        <v>54.144999999999996</v>
      </c>
      <c r="AY186" s="266">
        <f>AY133</f>
        <v>54.144999999999996</v>
      </c>
      <c r="AZ186" s="186">
        <f>AZ133+AX133+AW133+AV133</f>
        <v>57.981000000000002</v>
      </c>
      <c r="BA186" s="186">
        <f>BA133+AZ133+AX133+AW133</f>
        <v>62.127999999999993</v>
      </c>
      <c r="BB186" s="186">
        <f>BB133+AZ133+BA133+AX133</f>
        <v>66.337999999999994</v>
      </c>
      <c r="BC186" s="186">
        <f>BC133+BA133+AZ133+BB133</f>
        <v>69.888999999999996</v>
      </c>
      <c r="BD186" s="266">
        <f>BD133</f>
        <v>69.888999999999996</v>
      </c>
      <c r="BE186" s="186">
        <f>BE133+BC133+BB133+BA133</f>
        <v>69.677999999999997</v>
      </c>
      <c r="BF186" s="186">
        <f>BF133+BE133+BC133+BB133</f>
        <v>68.695999999999998</v>
      </c>
      <c r="BG186" s="186">
        <f>BG133+BE133+BF133+BC133</f>
        <v>65.503</v>
      </c>
      <c r="BH186" s="186">
        <f>BH133+BF133+BE133+BG133</f>
        <v>69.826999999999998</v>
      </c>
      <c r="BI186" s="266">
        <f>BI133</f>
        <v>69.826999999999998</v>
      </c>
      <c r="BJ186" s="186">
        <f>BJ133+BH133+BG133+BF133</f>
        <v>79.294000000000011</v>
      </c>
      <c r="BK186" s="186">
        <f>BK133+BJ133+BH133+BG133</f>
        <v>89.834000000000003</v>
      </c>
      <c r="BL186" s="186">
        <f>BL133+BJ133+BK133+BH133</f>
        <v>102.41</v>
      </c>
      <c r="BM186" s="186">
        <f>BM133+BK133+BJ133+BL133</f>
        <v>106.761</v>
      </c>
      <c r="BN186" s="266">
        <f>BN133</f>
        <v>106.761</v>
      </c>
      <c r="BO186" s="186">
        <f>BO133+BM133+BL133+BK133</f>
        <v>106.28200000000001</v>
      </c>
      <c r="BP186" s="186">
        <f>BP133+BO133+BM133+BL133</f>
        <v>102.28200000000001</v>
      </c>
      <c r="BQ186" s="186">
        <f>BQ133+BO133+BP133+BM133</f>
        <v>96.435000000000002</v>
      </c>
      <c r="BR186" s="186">
        <f>BR133+BP133+BO133+BQ133</f>
        <v>90</v>
      </c>
      <c r="BS186" s="266">
        <f>BS133</f>
        <v>90</v>
      </c>
      <c r="BT186" s="186">
        <f>BT133+BR133+BQ133+BP133</f>
        <v>83</v>
      </c>
      <c r="BU186" s="186">
        <f>BU133+BT133+BR133+BQ133</f>
        <v>82</v>
      </c>
      <c r="BV186" s="186">
        <f>BV133+BT133+BU133+BR133</f>
        <v>82</v>
      </c>
      <c r="BW186" s="186">
        <f>BW133+BU133+BT133+BV133</f>
        <v>88</v>
      </c>
      <c r="BX186" s="266">
        <f>BX133</f>
        <v>88</v>
      </c>
      <c r="BY186" s="186">
        <f>BY133+BW133+BV133+BU133</f>
        <v>96</v>
      </c>
      <c r="BZ186" s="186">
        <f>BZ133+BY133+BW133+BV133</f>
        <v>103</v>
      </c>
      <c r="CA186" s="186">
        <f>CA133+BY133+BZ133+BW133</f>
        <v>114</v>
      </c>
      <c r="CB186" s="186">
        <f>CB133+BZ133+BY133+CA133</f>
        <v>120</v>
      </c>
      <c r="CC186" s="266">
        <f>CC133</f>
        <v>120</v>
      </c>
      <c r="CD186" s="186">
        <f>CD133+CB133+CA133+BZ133</f>
        <v>127</v>
      </c>
      <c r="CE186" s="186">
        <f>CE133+CD133+CB133+CA133</f>
        <v>132</v>
      </c>
      <c r="CF186" s="186">
        <f>CF133+CD133+CE133+CB133</f>
        <v>132</v>
      </c>
      <c r="CG186" s="186">
        <f>CG133+CE133+CD133+CF133</f>
        <v>128</v>
      </c>
      <c r="CH186" s="266">
        <f>CH133</f>
        <v>128</v>
      </c>
      <c r="CI186" s="186">
        <f>CI133+CG133+CF133+CE133</f>
        <v>123</v>
      </c>
      <c r="CJ186" s="186">
        <f>CJ133+CI133+CG133+CF133</f>
        <v>118</v>
      </c>
      <c r="CK186" s="186">
        <f>CK133+CI133+CJ133+CG133</f>
        <v>114</v>
      </c>
      <c r="CL186" s="186">
        <f>CL133+CJ133+CI133+CK133</f>
        <v>119</v>
      </c>
      <c r="CM186" s="266">
        <f>CM133</f>
        <v>119</v>
      </c>
      <c r="CN186" s="186">
        <f>CN133+CL133+CK133+CJ133</f>
        <v>118</v>
      </c>
      <c r="CO186" s="186">
        <f>CO133+CN133+CL133+CK133</f>
        <v>121</v>
      </c>
      <c r="CP186" s="186">
        <f>CP133+CN133+CO133+CL133</f>
        <v>128</v>
      </c>
      <c r="CQ186" s="186">
        <f>CQ133+CO133+CN133+CP133</f>
        <v>129</v>
      </c>
      <c r="CR186" s="266">
        <f>CR133</f>
        <v>129</v>
      </c>
      <c r="CS186" s="186">
        <f>CS133+CQ133+CP133+CO133</f>
        <v>166.23000000000002</v>
      </c>
      <c r="CT186" s="186">
        <f>CT133+CS133+CQ133+CP133</f>
        <v>200.97899999999998</v>
      </c>
      <c r="CU186" s="186">
        <f>CU133+CS133+CT133+CQ133</f>
        <v>234.06800000000001</v>
      </c>
      <c r="CV186" s="186">
        <f>CV133+CT133+CS133+CU133</f>
        <v>268.96699999999998</v>
      </c>
      <c r="CW186" s="266">
        <f>CW133</f>
        <v>268.96699999999998</v>
      </c>
      <c r="CX186" s="186">
        <f>CX133+CV133+CU133+CT133</f>
        <v>267.72399999999999</v>
      </c>
      <c r="CY186" s="186">
        <f>CY133+CX133+CV133+CU133</f>
        <v>265.95999999999998</v>
      </c>
      <c r="CZ186" s="186">
        <f>CZ133+CX133+CY133+CV133</f>
        <v>258.49599999999998</v>
      </c>
      <c r="DA186" s="186">
        <f>DA133+CY133+CX133+CZ133</f>
        <v>247.82499999999999</v>
      </c>
      <c r="DB186" s="103">
        <f>DB133</f>
        <v>247.82499999999999</v>
      </c>
      <c r="DC186" s="186">
        <f>DC133+DA133+CZ133+CY133</f>
        <v>242.709</v>
      </c>
      <c r="DD186" s="186">
        <f>DD133+DC133+DA133+CZ133</f>
        <v>233.72400000000002</v>
      </c>
      <c r="DE186" s="186">
        <f>DE133+DC133+DD133+DA133</f>
        <v>223.09900000000002</v>
      </c>
      <c r="DF186" s="186">
        <f>DF133+DD133+DC133+DE133</f>
        <v>215.87100000000001</v>
      </c>
      <c r="DG186" s="103">
        <f>DG133</f>
        <v>215.87100000000001</v>
      </c>
      <c r="DH186" s="186">
        <f>DH133+DF133+DE133+DD133</f>
        <v>197</v>
      </c>
      <c r="DI186" s="186">
        <f>DI133+DH133+DF133+DE133</f>
        <v>179</v>
      </c>
      <c r="DJ186" s="186">
        <f>DJ133+DH133+DI133+DF133</f>
        <v>164</v>
      </c>
      <c r="DK186" s="186">
        <f>DK133+DI133+DH133+DJ133</f>
        <v>148</v>
      </c>
      <c r="DL186" s="103">
        <f>DL133</f>
        <v>148</v>
      </c>
      <c r="DM186" s="186">
        <f>DM133+DK133+DJ133+DI133</f>
        <v>137</v>
      </c>
      <c r="DN186" s="186">
        <f>DN133+DM133+DK133+DJ133</f>
        <v>132</v>
      </c>
      <c r="DO186" s="186">
        <f>DO133+DM133+DN133+DK133</f>
        <v>132</v>
      </c>
      <c r="DP186" s="186">
        <f>DP133+DN133+DM133+DO133</f>
        <v>130</v>
      </c>
      <c r="DQ186" s="103">
        <f>DQ133</f>
        <v>130</v>
      </c>
      <c r="DR186" s="186">
        <f>DR133+DP133+DO133+DN133</f>
        <v>134</v>
      </c>
      <c r="DS186" s="186">
        <f>DS133+DR133+DP133+DO133</f>
        <v>135</v>
      </c>
      <c r="DT186" s="186">
        <f>DT133+DR133+DS133+DP133</f>
        <v>131</v>
      </c>
      <c r="DU186" s="186">
        <f>DU133+DS133+DR133+DT133</f>
        <v>130</v>
      </c>
      <c r="DV186" s="103">
        <f>DV133</f>
        <v>130</v>
      </c>
      <c r="DW186" s="186">
        <f>DW133+DU133+DT133+DS133</f>
        <v>129</v>
      </c>
      <c r="DX186" s="186">
        <f>DX133+DW133+DU133+DT133</f>
        <v>124</v>
      </c>
      <c r="DY186" s="186">
        <f>DY133+DW133+DX133+DU133</f>
        <v>124</v>
      </c>
      <c r="DZ186" s="186">
        <f>DZ133+DX133+DW133+DY133</f>
        <v>120</v>
      </c>
      <c r="EA186" s="103">
        <f>EA133</f>
        <v>120</v>
      </c>
      <c r="EB186" s="186">
        <f>EB133+DZ133+DY133+DX133</f>
        <v>118</v>
      </c>
      <c r="EC186" s="186">
        <f>EC133+EB133+DZ133+DY133</f>
        <v>121</v>
      </c>
      <c r="ED186" s="186">
        <f>ED133+EB133+EC133+DZ133</f>
        <v>121</v>
      </c>
      <c r="EE186" s="186">
        <f>EE133+EC133+EB133+ED133</f>
        <v>123</v>
      </c>
      <c r="EF186" s="103">
        <f t="shared" ref="EF186:EU187" si="922">EF133</f>
        <v>123</v>
      </c>
      <c r="EG186" s="186">
        <f>EG133+EE133+ED133+EC133</f>
        <v>122</v>
      </c>
      <c r="EH186" s="186">
        <f>EH133+EG133+EE133+ED133</f>
        <v>117</v>
      </c>
      <c r="EI186" s="186">
        <f>EI133+EG133+EH133+EE133</f>
        <v>114</v>
      </c>
      <c r="EJ186" s="186">
        <f t="shared" ref="EJ186:ET186" si="923">EJ133+EH133+EG133+EI133</f>
        <v>114</v>
      </c>
      <c r="EK186" s="103">
        <f t="shared" si="922"/>
        <v>114</v>
      </c>
      <c r="EL186" s="186">
        <f>EL133+EJ133+EI133+EH133</f>
        <v>114</v>
      </c>
      <c r="EM186" s="186">
        <f>EM133+EL133+EJ133+EI133</f>
        <v>114</v>
      </c>
      <c r="EN186" s="186">
        <f>EN133+EL133+EM133+EJ133</f>
        <v>114</v>
      </c>
      <c r="EO186" s="186">
        <f t="shared" ref="EO186:EO187" si="924">EO133+EM133+EL133+EN133</f>
        <v>114</v>
      </c>
      <c r="EP186" s="103">
        <f t="shared" ref="EP186" si="925">EP133</f>
        <v>114</v>
      </c>
      <c r="EQ186" s="186">
        <f>EQ133+EO133+EN133+EM133</f>
        <v>118</v>
      </c>
      <c r="ER186" s="186">
        <f>ER133+EN133+EO133+EQ133</f>
        <v>124</v>
      </c>
      <c r="ES186" s="186">
        <f>ES133+EQ133+EO133+ER133</f>
        <v>130</v>
      </c>
      <c r="ET186" s="186">
        <f t="shared" si="923"/>
        <v>134</v>
      </c>
      <c r="EU186" s="103">
        <f t="shared" si="922"/>
        <v>134</v>
      </c>
      <c r="EV186" s="186"/>
      <c r="EW186" s="186"/>
      <c r="EX186" s="186"/>
      <c r="EY186" s="186"/>
      <c r="EZ186" s="103">
        <f t="shared" ref="EZ186" si="926">EZ133</f>
        <v>137.96873350923485</v>
      </c>
      <c r="FA186" s="186"/>
      <c r="FB186" s="186"/>
      <c r="FC186" s="186"/>
      <c r="FD186" s="186"/>
      <c r="FE186" s="103">
        <f t="shared" ref="FE186:FE187" si="927">FE133</f>
        <v>137.27928759894459</v>
      </c>
      <c r="FF186" s="33"/>
      <c r="FG186" s="460"/>
      <c r="FL186" s="425"/>
      <c r="FM186" s="425"/>
      <c r="FN186" s="384"/>
      <c r="FO186" s="384"/>
      <c r="FP186" s="384"/>
      <c r="FQ186" s="384"/>
      <c r="FR186" s="384"/>
      <c r="FS186" s="384"/>
      <c r="FT186" s="460"/>
    </row>
    <row r="187" spans="1:183" ht="12.75" hidden="1" customHeight="1" x14ac:dyDescent="0.2">
      <c r="A187" s="33" t="s">
        <v>153</v>
      </c>
      <c r="B187" s="186"/>
      <c r="C187" s="186"/>
      <c r="D187" s="186"/>
      <c r="E187" s="186"/>
      <c r="F187" s="266"/>
      <c r="G187" s="186"/>
      <c r="H187" s="186"/>
      <c r="I187" s="186"/>
      <c r="J187" s="186"/>
      <c r="K187" s="266"/>
      <c r="L187" s="186"/>
      <c r="M187" s="186"/>
      <c r="N187" s="186"/>
      <c r="O187" s="186"/>
      <c r="P187" s="266"/>
      <c r="Q187" s="186"/>
      <c r="R187" s="186"/>
      <c r="S187" s="186"/>
      <c r="T187" s="186"/>
      <c r="U187" s="266"/>
      <c r="V187" s="186"/>
      <c r="W187" s="186"/>
      <c r="X187" s="186"/>
      <c r="Y187" s="186"/>
      <c r="Z187" s="266"/>
      <c r="AA187" s="186"/>
      <c r="AB187" s="186"/>
      <c r="AC187" s="186"/>
      <c r="AD187" s="186"/>
      <c r="AE187" s="266"/>
      <c r="AF187" s="186"/>
      <c r="AG187" s="186"/>
      <c r="AH187" s="186"/>
      <c r="AI187" s="186"/>
      <c r="AJ187" s="266">
        <f>AJ134</f>
        <v>11.204999999999995</v>
      </c>
      <c r="AK187" s="186">
        <f>AK134+AI134+AH134+AG134</f>
        <v>10.101000000000003</v>
      </c>
      <c r="AL187" s="186">
        <f>AL134+AK134+AI134+AH134</f>
        <v>8.610000000000003</v>
      </c>
      <c r="AM187" s="186">
        <f>AM134+AK134+AL134+AI134</f>
        <v>7.6230000000000047</v>
      </c>
      <c r="AN187" s="186">
        <f>AN134+AL134+AK134+AM134</f>
        <v>7.0590000000000046</v>
      </c>
      <c r="AO187" s="266">
        <f>AO134</f>
        <v>7.0589999999999975</v>
      </c>
      <c r="AP187" s="186">
        <f>AP134+AN134+AM134+AL134</f>
        <v>5.8780000000000046</v>
      </c>
      <c r="AQ187" s="186">
        <f>AQ134+AP134+AN134+AM134</f>
        <v>2.1160000000000023</v>
      </c>
      <c r="AR187" s="186">
        <f>AR134+AP134+AQ134+AN134</f>
        <v>-0.29199999999999893</v>
      </c>
      <c r="AS187" s="186">
        <f>AS134+AQ134+AP134+AR134</f>
        <v>-0.39499999999999869</v>
      </c>
      <c r="AT187" s="266">
        <f>AT134</f>
        <v>-0.39499999999999957</v>
      </c>
      <c r="AU187" s="186">
        <f>AU134+AS134+AR134+AQ134</f>
        <v>-1.1869999999999994</v>
      </c>
      <c r="AV187" s="186">
        <f>AV134+AU134+AS134+AR134</f>
        <v>-2.4459999999999988</v>
      </c>
      <c r="AW187" s="186">
        <f>AW134+AU134+AV134+AS134</f>
        <v>-2.8269999999999991</v>
      </c>
      <c r="AX187" s="186">
        <f>AX134+AV134+AU134+AW134</f>
        <v>-2.3170000000000002</v>
      </c>
      <c r="AY187" s="266">
        <f>AY134</f>
        <v>-2.3170000000000073</v>
      </c>
      <c r="AZ187" s="186">
        <f>AZ134+AX134+AW134+AV134</f>
        <v>0.38799999999999724</v>
      </c>
      <c r="BA187" s="186">
        <f>BA134+AZ134+AX134+AW134</f>
        <v>3.0659999999999972</v>
      </c>
      <c r="BB187" s="186">
        <f>BB134+AZ134+BA134+AX134</f>
        <v>3.4389999999999947</v>
      </c>
      <c r="BC187" s="186">
        <f>BC134+BA134+AZ134+BB134</f>
        <v>2.2659999999999956</v>
      </c>
      <c r="BD187" s="266">
        <f>BD134</f>
        <v>2.2659999999999911</v>
      </c>
      <c r="BE187" s="186">
        <f>BE134+BC134+BB134+BA134</f>
        <v>0.62399999999999878</v>
      </c>
      <c r="BF187" s="186">
        <f>BF134+BE134+BC134+BB134</f>
        <v>1.1819999999999986</v>
      </c>
      <c r="BG187" s="186">
        <f>BG134+BE134+BF134+BC134</f>
        <v>0.30700000000000216</v>
      </c>
      <c r="BH187" s="186">
        <f>BH134+BF134+BE134+BG134</f>
        <v>6.6890000000000036</v>
      </c>
      <c r="BI187" s="266">
        <f>BI134</f>
        <v>6.6890000000000001</v>
      </c>
      <c r="BJ187" s="186">
        <f>BJ134+BH134+BG134+BF134</f>
        <v>17.259000000000004</v>
      </c>
      <c r="BK187" s="186">
        <f>BK134+BJ134+BH134+BG134</f>
        <v>29.675000000000004</v>
      </c>
      <c r="BL187" s="186">
        <f>BL134+BJ134+BK134+BH134</f>
        <v>44.268000000000001</v>
      </c>
      <c r="BM187" s="186">
        <f>BM134+BK134+BJ134+BL134</f>
        <v>52.69</v>
      </c>
      <c r="BN187" s="266">
        <f>BN134</f>
        <v>52.689999999999991</v>
      </c>
      <c r="BO187" s="186">
        <f>BO134+BM134+BL134+BK134</f>
        <v>54.189</v>
      </c>
      <c r="BP187" s="186">
        <f>BP134+BO134+BM134+BL134</f>
        <v>49.189</v>
      </c>
      <c r="BQ187" s="186">
        <f>BQ134+BO134+BP134+BM134</f>
        <v>43.646000000000001</v>
      </c>
      <c r="BR187" s="186">
        <f>BR134+BP134+BO134+BQ134</f>
        <v>33</v>
      </c>
      <c r="BS187" s="266">
        <f>BS134</f>
        <v>33</v>
      </c>
      <c r="BT187" s="186">
        <f>BT134+BR134+BQ134+BP134</f>
        <v>24</v>
      </c>
      <c r="BU187" s="186">
        <f>BU134+BT134+BR134+BQ134</f>
        <v>23</v>
      </c>
      <c r="BV187" s="186">
        <f>BV134+BT134+BU134+BR134</f>
        <v>22</v>
      </c>
      <c r="BW187" s="186">
        <f>BW134+BU134+BT134+BV134</f>
        <v>28</v>
      </c>
      <c r="BX187" s="266">
        <f>BX134</f>
        <v>28</v>
      </c>
      <c r="BY187" s="186">
        <f>BY134+BW134+BV134+BU134</f>
        <v>34</v>
      </c>
      <c r="BZ187" s="186">
        <f>BZ134+BY134+BW134+BV134</f>
        <v>37</v>
      </c>
      <c r="CA187" s="186">
        <f>CA134+BY134+BZ134+BW134</f>
        <v>40</v>
      </c>
      <c r="CB187" s="186">
        <f>CB134+BZ134+BY134+CA134</f>
        <v>35</v>
      </c>
      <c r="CC187" s="266">
        <f>CC134</f>
        <v>35</v>
      </c>
      <c r="CD187" s="186">
        <f>CD134+CB134+CA134+BZ134</f>
        <v>28</v>
      </c>
      <c r="CE187" s="186">
        <f>CE134+CD134+CB134+CA134</f>
        <v>17</v>
      </c>
      <c r="CF187" s="186">
        <f>CF134+CD134+CE134+CB134</f>
        <v>5</v>
      </c>
      <c r="CG187" s="186">
        <f>CG134+CE134+CD134+CF134</f>
        <v>-7</v>
      </c>
      <c r="CH187" s="266">
        <f>CH134</f>
        <v>-7</v>
      </c>
      <c r="CI187" s="186">
        <f>CI134+CG134+CF134+CE134</f>
        <v>-7</v>
      </c>
      <c r="CJ187" s="186">
        <f>CJ134+CI134+CG134+CF134</f>
        <v>-5</v>
      </c>
      <c r="CK187" s="186">
        <f>CK134+CI134+CJ134+CG134</f>
        <v>4</v>
      </c>
      <c r="CL187" s="186">
        <f>CL134+CJ134+CI134+CK134</f>
        <v>26</v>
      </c>
      <c r="CM187" s="266">
        <f>CM134</f>
        <v>26</v>
      </c>
      <c r="CN187" s="186">
        <f>CN134+CL134+CK134+CJ134</f>
        <v>35</v>
      </c>
      <c r="CO187" s="186">
        <f>CO134+CN134+CL134+CK134</f>
        <v>55</v>
      </c>
      <c r="CP187" s="186">
        <f>CP134+CN134+CO134+CL134</f>
        <v>71</v>
      </c>
      <c r="CQ187" s="186">
        <f>CQ134+CO134+CN134+CP134</f>
        <v>78</v>
      </c>
      <c r="CR187" s="266">
        <f>CR134</f>
        <v>78</v>
      </c>
      <c r="CS187" s="186">
        <f>CS134+CQ134+CP134+CO134</f>
        <v>119.212</v>
      </c>
      <c r="CT187" s="186">
        <f>CT134+CS134+CQ134+CP134</f>
        <v>155.53700000000001</v>
      </c>
      <c r="CU187" s="186">
        <f>CU134+CS134+CT134+CQ134</f>
        <v>189.61199999999999</v>
      </c>
      <c r="CV187" s="186">
        <f>CV134+CT134+CS134+CU134</f>
        <v>227.57299999999998</v>
      </c>
      <c r="CW187" s="266">
        <f>CW134</f>
        <v>227.57299999999998</v>
      </c>
      <c r="CX187" s="186">
        <f>CX134+CV134+CU134+CT134</f>
        <v>228.30999999999997</v>
      </c>
      <c r="CY187" s="186">
        <f>CY134+CX134+CV134+CU134</f>
        <v>225.83499999999998</v>
      </c>
      <c r="CZ187" s="186">
        <f>CZ134+CX134+CY134+CV134</f>
        <v>222.47300000000001</v>
      </c>
      <c r="DA187" s="186">
        <f>DA134+CY134+CX134+CZ134</f>
        <v>212.75899999999999</v>
      </c>
      <c r="DB187" s="103">
        <f>DB134</f>
        <v>212.75899999999999</v>
      </c>
      <c r="DC187" s="186">
        <f>DC134+DA134+CZ134+CY134</f>
        <v>210.07499999999999</v>
      </c>
      <c r="DD187" s="186">
        <f>DD134+DC134+DA134+CZ134</f>
        <v>205.22499999999999</v>
      </c>
      <c r="DE187" s="186">
        <f>DE134+DC134+DD134+DA134</f>
        <v>198.512</v>
      </c>
      <c r="DF187" s="186">
        <f>DF134+DD134+DC134+DE134</f>
        <v>193.26500000000001</v>
      </c>
      <c r="DG187" s="103">
        <f>DG134</f>
        <v>193.26499999999999</v>
      </c>
      <c r="DH187" s="186">
        <f>DH134+DF134+DE134+DD134</f>
        <v>174</v>
      </c>
      <c r="DI187" s="186">
        <f>DI134+DH134+DF134+DE134</f>
        <v>154</v>
      </c>
      <c r="DJ187" s="186">
        <f>DJ134+DH134+DI134+DF134</f>
        <v>136</v>
      </c>
      <c r="DK187" s="186">
        <f>DK134+DI134+DH134+DJ134</f>
        <v>119</v>
      </c>
      <c r="DL187" s="103">
        <f>DL134</f>
        <v>119</v>
      </c>
      <c r="DM187" s="186">
        <f>DM134+DK134+DJ134+DI134</f>
        <v>108</v>
      </c>
      <c r="DN187" s="186">
        <f>DN134+DM134+DK134+DJ134</f>
        <v>101</v>
      </c>
      <c r="DO187" s="186">
        <f>DO134+DM134+DN134+DK134</f>
        <v>103</v>
      </c>
      <c r="DP187" s="186">
        <f>DP134+DN134+DM134+DO134</f>
        <v>100</v>
      </c>
      <c r="DQ187" s="103">
        <f>DQ134</f>
        <v>100</v>
      </c>
      <c r="DR187" s="186">
        <f>DR134+DP134+DO134+DN134</f>
        <v>102</v>
      </c>
      <c r="DS187" s="186">
        <f>DS134+DR134+DP134+DO134</f>
        <v>105</v>
      </c>
      <c r="DT187" s="186">
        <f>DT134+DR134+DS134+DP134</f>
        <v>98</v>
      </c>
      <c r="DU187" s="186">
        <f>DU134+DS134+DR134+DT134</f>
        <v>99</v>
      </c>
      <c r="DV187" s="103">
        <f>DV134</f>
        <v>99</v>
      </c>
      <c r="DW187" s="186">
        <f>DW134+DU134+DT134+DS134</f>
        <v>100</v>
      </c>
      <c r="DX187" s="186">
        <f>DX134+DW134+DU134+DT134</f>
        <v>94</v>
      </c>
      <c r="DY187" s="186">
        <f>DY134+DW134+DX134+DU134</f>
        <v>91</v>
      </c>
      <c r="DZ187" s="186">
        <f>DZ134+DX134+DW134+DY134</f>
        <v>80</v>
      </c>
      <c r="EA187" s="103">
        <f>EA134</f>
        <v>80</v>
      </c>
      <c r="EB187" s="186">
        <f>EB134+DZ134+DY134+DX134</f>
        <v>69</v>
      </c>
      <c r="EC187" s="186">
        <f>EC134+EB134+DZ134+DY134</f>
        <v>64</v>
      </c>
      <c r="ED187" s="186">
        <f>ED134+EB134+EC134+DZ134</f>
        <v>57</v>
      </c>
      <c r="EE187" s="186">
        <f>EE134+EC134+EB134+ED134</f>
        <v>53</v>
      </c>
      <c r="EF187" s="103">
        <f t="shared" si="922"/>
        <v>53</v>
      </c>
      <c r="EG187" s="186">
        <f>EG134+EE134+ED134+EC134</f>
        <v>50</v>
      </c>
      <c r="EH187" s="186">
        <f>EH134+EG134+EE134+ED134</f>
        <v>41</v>
      </c>
      <c r="EI187" s="186">
        <f>EI134+EG134+EH134+EE134</f>
        <v>32</v>
      </c>
      <c r="EJ187" s="186">
        <f t="shared" ref="EJ187:ET187" si="928">EJ134+EH134+EG134+EI134</f>
        <v>29</v>
      </c>
      <c r="EK187" s="103">
        <f t="shared" si="922"/>
        <v>29</v>
      </c>
      <c r="EL187" s="186">
        <f>EL134+EJ134+EI134+EH134</f>
        <v>29</v>
      </c>
      <c r="EM187" s="186">
        <f>EM134+EL134+EJ134+EI134</f>
        <v>29</v>
      </c>
      <c r="EN187" s="186">
        <f>EN134+EL134+EM134+EJ134</f>
        <v>29</v>
      </c>
      <c r="EO187" s="186">
        <f t="shared" si="924"/>
        <v>29</v>
      </c>
      <c r="EP187" s="103">
        <f t="shared" ref="EP187" si="929">EP134</f>
        <v>29</v>
      </c>
      <c r="EQ187" s="186">
        <f>EQ134+EO134+EN134+EM134</f>
        <v>28</v>
      </c>
      <c r="ER187" s="186">
        <f>ER134+EN134+EO134+EQ134</f>
        <v>30</v>
      </c>
      <c r="ES187" s="186">
        <f>ES134+EQ134+EO134+ER134</f>
        <v>36</v>
      </c>
      <c r="ET187" s="186">
        <f t="shared" si="928"/>
        <v>39</v>
      </c>
      <c r="EU187" s="103">
        <f t="shared" si="922"/>
        <v>39</v>
      </c>
      <c r="EV187" s="186"/>
      <c r="EW187" s="186"/>
      <c r="EX187" s="186"/>
      <c r="EY187" s="186"/>
      <c r="EZ187" s="103">
        <f t="shared" ref="EZ187" si="930">EZ134</f>
        <v>43.009118070201382</v>
      </c>
      <c r="FA187" s="186"/>
      <c r="FB187" s="186"/>
      <c r="FC187" s="186"/>
      <c r="FD187" s="186"/>
      <c r="FE187" s="103">
        <f t="shared" si="927"/>
        <v>42.853915822538248</v>
      </c>
      <c r="FF187" s="33"/>
      <c r="FG187" s="460"/>
      <c r="FL187" s="425"/>
      <c r="FM187" s="425"/>
      <c r="FN187" s="384"/>
      <c r="FO187" s="384"/>
      <c r="FP187" s="384"/>
      <c r="FQ187" s="384"/>
      <c r="FR187" s="384"/>
      <c r="FS187" s="384"/>
      <c r="FT187" s="460"/>
    </row>
    <row r="188" spans="1:183" ht="12.75" hidden="1" customHeight="1" x14ac:dyDescent="0.2">
      <c r="A188" s="33" t="s">
        <v>154</v>
      </c>
      <c r="B188" s="186"/>
      <c r="C188" s="186"/>
      <c r="D188" s="186"/>
      <c r="E188" s="186"/>
      <c r="F188" s="266"/>
      <c r="G188" s="186"/>
      <c r="H188" s="186"/>
      <c r="I188" s="186"/>
      <c r="J188" s="186"/>
      <c r="K188" s="266"/>
      <c r="L188" s="186"/>
      <c r="M188" s="186"/>
      <c r="N188" s="186"/>
      <c r="O188" s="186"/>
      <c r="P188" s="266"/>
      <c r="Q188" s="186"/>
      <c r="R188" s="186"/>
      <c r="S188" s="186"/>
      <c r="T188" s="186"/>
      <c r="U188" s="266"/>
      <c r="V188" s="186"/>
      <c r="W188" s="186"/>
      <c r="X188" s="186"/>
      <c r="Y188" s="186"/>
      <c r="Z188" s="266"/>
      <c r="AA188" s="186"/>
      <c r="AB188" s="186"/>
      <c r="AC188" s="186"/>
      <c r="AD188" s="186"/>
      <c r="AE188" s="266"/>
      <c r="AF188" s="186"/>
      <c r="AG188" s="186"/>
      <c r="AH188" s="186"/>
      <c r="AI188" s="186"/>
      <c r="AJ188" s="266">
        <f>AJ140</f>
        <v>341.3619999999998</v>
      </c>
      <c r="AK188" s="186">
        <f>AK140+AI140+AH140+AG140</f>
        <v>369.99200000000019</v>
      </c>
      <c r="AL188" s="186">
        <f>AL140+AK140+AI140+AH140</f>
        <v>383.82600000000036</v>
      </c>
      <c r="AM188" s="186">
        <f>AM140+AK140+AL140+AI140</f>
        <v>433.97000000000025</v>
      </c>
      <c r="AN188" s="186">
        <f>AN140+AL140+AK140+AM140</f>
        <v>516.95600000000024</v>
      </c>
      <c r="AO188" s="266">
        <f>AO140</f>
        <v>516.95600000000036</v>
      </c>
      <c r="AP188" s="186">
        <f>AP140+AN140+AM140+AL140</f>
        <v>547.61200000000008</v>
      </c>
      <c r="AQ188" s="186">
        <f>AQ140+AP140+AN140+AM140</f>
        <v>610.33599999999979</v>
      </c>
      <c r="AR188" s="186">
        <f>AR140+AP140+AQ140+AN140</f>
        <v>671.00399999999979</v>
      </c>
      <c r="AS188" s="186">
        <f>AS140+AQ140+AP140+AR140</f>
        <v>705.11199999999963</v>
      </c>
      <c r="AT188" s="266">
        <f>AT140</f>
        <v>705.11199999999963</v>
      </c>
      <c r="AU188" s="186">
        <f>AU140+AS140+AR140+AQ140</f>
        <v>747.1569999999997</v>
      </c>
      <c r="AV188" s="186">
        <f>AV140+AU140+AS140+AR140</f>
        <v>787.20799999999952</v>
      </c>
      <c r="AW188" s="186">
        <f>AW140+AU140+AV140+AS140</f>
        <v>784.10199999999963</v>
      </c>
      <c r="AX188" s="186">
        <f>AX140+AV140+AU140+AW140</f>
        <v>773.61099999999988</v>
      </c>
      <c r="AY188" s="266">
        <f>AY140</f>
        <v>773.61099999999988</v>
      </c>
      <c r="AZ188" s="186">
        <f>AZ140+AX140+AW140+AV140</f>
        <v>773.48199999999974</v>
      </c>
      <c r="BA188" s="186">
        <f>BA140+AZ140+AX140+AW140</f>
        <v>827.74900000000002</v>
      </c>
      <c r="BB188" s="186">
        <f>BB140+AZ140+BA140+AX140</f>
        <v>920.87299999999982</v>
      </c>
      <c r="BC188" s="186">
        <f>BC140+BA140+AZ140+BB140</f>
        <v>1017.3639999999996</v>
      </c>
      <c r="BD188" s="266">
        <f>BD140</f>
        <v>1017.3639999999996</v>
      </c>
      <c r="BE188" s="186">
        <f>BE140+BC140+BB140+BA140</f>
        <v>1057.8929999999996</v>
      </c>
      <c r="BF188" s="186">
        <f>BF140+BE140+BC140+BB140</f>
        <v>1034.4789999999996</v>
      </c>
      <c r="BG188" s="186">
        <f>BG140+BE140+BF140+BC140</f>
        <v>979.27599999999984</v>
      </c>
      <c r="BH188" s="186">
        <f>BH140+BF140+BE140+BG140</f>
        <v>827.65899999999988</v>
      </c>
      <c r="BI188" s="266">
        <f>BI140</f>
        <v>827.65899999999988</v>
      </c>
      <c r="BJ188" s="186">
        <f>BJ140+BH140+BG140+BF140</f>
        <v>666.35299999999995</v>
      </c>
      <c r="BK188" s="186">
        <f>BK140+BJ140+BH140+BG140</f>
        <v>517.44799999999987</v>
      </c>
      <c r="BL188" s="186">
        <f>BL140+BJ140+BK140+BH140</f>
        <v>347.9020000000001</v>
      </c>
      <c r="BM188" s="186">
        <f>BM140+BK140+BJ140+BL140</f>
        <v>313.99</v>
      </c>
      <c r="BN188" s="266">
        <f>BN140</f>
        <v>313.99</v>
      </c>
      <c r="BO188" s="186">
        <f>BO140+BM140+BL140+BK140</f>
        <v>317.79399999999998</v>
      </c>
      <c r="BP188" s="186">
        <f>BP140+BO140+BM140+BL140</f>
        <v>346.24799999999993</v>
      </c>
      <c r="BQ188" s="186">
        <f>BQ140+BO140+BP140+BM140</f>
        <v>440.92399999999986</v>
      </c>
      <c r="BR188" s="186">
        <f>BR140+BP140+BO140+BQ140</f>
        <v>478</v>
      </c>
      <c r="BS188" s="266">
        <f>BS140</f>
        <v>478</v>
      </c>
      <c r="BT188" s="186">
        <f>BT140+BR140+BQ140+BP140</f>
        <v>495.29999999999995</v>
      </c>
      <c r="BU188" s="186">
        <f>BU140+BT140+BR140+BQ140</f>
        <v>531.29999999999995</v>
      </c>
      <c r="BV188" s="186">
        <f>BV140+BT140+BU140+BR140</f>
        <v>541.29999999999995</v>
      </c>
      <c r="BW188" s="186">
        <f>BW140+BU140+BT140+BV140</f>
        <v>529.29999999999995</v>
      </c>
      <c r="BX188" s="266">
        <f>BX140</f>
        <v>529.29999999999995</v>
      </c>
      <c r="BY188" s="186">
        <f>BY140+BW140+BV140+BU140</f>
        <v>537</v>
      </c>
      <c r="BZ188" s="186">
        <f>BZ140+BY140+BW140+BV140</f>
        <v>571</v>
      </c>
      <c r="CA188" s="186">
        <f>CA140+BY140+BZ140+BW140</f>
        <v>610</v>
      </c>
      <c r="CB188" s="186">
        <f>CB140+BZ140+BY140+CA140</f>
        <v>651</v>
      </c>
      <c r="CC188" s="266">
        <f>CC140</f>
        <v>651</v>
      </c>
      <c r="CD188" s="186">
        <f>CD140+CB140+CA140+BZ140</f>
        <v>686.59999999999991</v>
      </c>
      <c r="CE188" s="186">
        <f>CE140+CD140+CB140+CA140</f>
        <v>867.19999999999982</v>
      </c>
      <c r="CF188" s="186">
        <f>CF140+CD140+CE140+CB140</f>
        <v>896.79999999999973</v>
      </c>
      <c r="CG188" s="186">
        <f>CG140+CE140+CD140+CF140</f>
        <v>930.39999999999964</v>
      </c>
      <c r="CH188" s="266">
        <f>CH140</f>
        <v>930.39999999999964</v>
      </c>
      <c r="CI188" s="186">
        <f>CI140+CG140+CF140+CE140</f>
        <v>881.79999999999973</v>
      </c>
      <c r="CJ188" s="186">
        <f>CJ140+CI140+CG140+CF140</f>
        <v>777.19999999999982</v>
      </c>
      <c r="CK188" s="186">
        <f>CK140+CI140+CJ140+CG140</f>
        <v>782.59999999999991</v>
      </c>
      <c r="CL188" s="186">
        <f>CL140+CJ140+CI140+CK140</f>
        <v>762</v>
      </c>
      <c r="CM188" s="266">
        <f>CM140</f>
        <v>762</v>
      </c>
      <c r="CN188" s="186">
        <f>CN140+CL140+CK140+CJ140</f>
        <v>782</v>
      </c>
      <c r="CO188" s="186">
        <f>CO140+CN140+CL140+CK140</f>
        <v>674</v>
      </c>
      <c r="CP188" s="186">
        <f>CP140+CN140+CO140+CL140</f>
        <v>522</v>
      </c>
      <c r="CQ188" s="186">
        <f>CQ140+CO140+CN140+CP140</f>
        <v>486</v>
      </c>
      <c r="CR188" s="266">
        <f>CR140</f>
        <v>486</v>
      </c>
      <c r="CS188" s="186">
        <f>CS140+CQ140+CP140+CO140</f>
        <v>402.22699999999986</v>
      </c>
      <c r="CT188" s="186">
        <f>CT140+CS140+CQ140+CP140</f>
        <v>347.11900000000003</v>
      </c>
      <c r="CU188" s="186">
        <f>CU140+CS140+CT140+CQ140</f>
        <v>302.44399999999985</v>
      </c>
      <c r="CV188" s="186">
        <f>CV140+CT140+CS140+CU140</f>
        <v>325.29000000000008</v>
      </c>
      <c r="CW188" s="266">
        <f>CW140</f>
        <v>325.29000000000002</v>
      </c>
      <c r="CX188" s="186">
        <f>CX140+CV140+CU140+CT140</f>
        <v>359.57799999999986</v>
      </c>
      <c r="CY188" s="186">
        <f>CY140+CX140+CV140+CU140</f>
        <v>611.83599999999967</v>
      </c>
      <c r="CZ188" s="186">
        <f>CZ140+CX140+CY140+CV140</f>
        <v>906.87599999999986</v>
      </c>
      <c r="DA188" s="186">
        <f>DA140+CY140+CX140+CZ140</f>
        <v>944.51499999999965</v>
      </c>
      <c r="DB188" s="103">
        <f>DB140</f>
        <v>944.51499999999965</v>
      </c>
      <c r="DC188" s="186">
        <f>DC140+DA140+CZ140+CY140</f>
        <v>913.00699999999995</v>
      </c>
      <c r="DD188" s="186">
        <f>DD140+DC140+DA140+CZ140</f>
        <v>725.85699999999997</v>
      </c>
      <c r="DE188" s="186">
        <f>DE140+DC140+DD140+DA140</f>
        <v>575.49199999999996</v>
      </c>
      <c r="DF188" s="186">
        <f>DF140+DD140+DC140+DE140</f>
        <v>515.00699999999995</v>
      </c>
      <c r="DG188" s="103">
        <f>DG140</f>
        <v>515.00699999999995</v>
      </c>
      <c r="DH188" s="186">
        <f>DH140+DF140+DE140+DD140</f>
        <v>496</v>
      </c>
      <c r="DI188" s="186">
        <f>DI140+DH140+DF140+DE140</f>
        <v>722</v>
      </c>
      <c r="DJ188" s="186">
        <f>DJ140+DH140+DI140+DF140</f>
        <v>681</v>
      </c>
      <c r="DK188" s="186">
        <f>DK140+DI140+DH140+DJ140</f>
        <v>679</v>
      </c>
      <c r="DL188" s="103">
        <f>DL140</f>
        <v>679</v>
      </c>
      <c r="DM188" s="186">
        <f>DM140+DK140+DJ140+DI140</f>
        <v>793</v>
      </c>
      <c r="DN188" s="186">
        <f>DN140+DM140+DK140+DJ140</f>
        <v>796</v>
      </c>
      <c r="DO188" s="186">
        <f>DO140+DM140+DN140+DK140</f>
        <v>1024</v>
      </c>
      <c r="DP188" s="186">
        <f>DP140+DN140+DM140+DO140</f>
        <v>1291</v>
      </c>
      <c r="DQ188" s="103">
        <f>DQ140</f>
        <v>1291</v>
      </c>
      <c r="DR188" s="186">
        <f>DR140+DP140+DO140+DN140</f>
        <v>1408</v>
      </c>
      <c r="DS188" s="186">
        <f>DS140+DR140+DP140+DO140</f>
        <v>1742</v>
      </c>
      <c r="DT188" s="186">
        <f>DT140+DR140+DS140+DP140</f>
        <v>1962</v>
      </c>
      <c r="DU188" s="186">
        <f>DU140+DS140+DR140+DT140</f>
        <v>2223</v>
      </c>
      <c r="DV188" s="103">
        <f>DV140</f>
        <v>2223</v>
      </c>
      <c r="DW188" s="186">
        <f>DW140+DU140+DT140+DS140</f>
        <v>2740</v>
      </c>
      <c r="DX188" s="186">
        <f>DX140+DW140+DU140+DT140</f>
        <v>3071</v>
      </c>
      <c r="DY188" s="186">
        <f>DY140+DW140+DX140+DU140</f>
        <v>3455</v>
      </c>
      <c r="DZ188" s="186">
        <f>DZ140+DX140+DW140+DY140</f>
        <v>3755</v>
      </c>
      <c r="EA188" s="103">
        <f>EA140</f>
        <v>3755</v>
      </c>
      <c r="EB188" s="186">
        <f>EB140+DZ140+DY140+DX140</f>
        <v>3940</v>
      </c>
      <c r="EC188" s="186">
        <f>EC140+EB140+DZ140+DY140</f>
        <v>4035</v>
      </c>
      <c r="ED188" s="186">
        <f>ED140+EB140+EC140+DZ140</f>
        <v>3967</v>
      </c>
      <c r="EE188" s="186">
        <f>EE140+EC140+EB140+ED140</f>
        <v>3748</v>
      </c>
      <c r="EF188" s="103">
        <f>EF140</f>
        <v>3748</v>
      </c>
      <c r="EG188" s="186">
        <f>EG140+EE140+ED140+EC140</f>
        <v>3430</v>
      </c>
      <c r="EH188" s="186">
        <f>EH140+EG140+EE140+ED140</f>
        <v>3398</v>
      </c>
      <c r="EI188" s="186">
        <f>EI140+EG140+EH140+EE140</f>
        <v>3304</v>
      </c>
      <c r="EJ188" s="186">
        <f t="shared" ref="EJ188:ET188" si="931">EJ140+EH140+EG140+EI140</f>
        <v>3297</v>
      </c>
      <c r="EK188" s="103">
        <f>EK140</f>
        <v>3297</v>
      </c>
      <c r="EL188" s="186">
        <f>EL140+EJ140+EI140+EH140</f>
        <v>3276</v>
      </c>
      <c r="EM188" s="186">
        <f>EM140+EL140+EJ140+EI140</f>
        <v>3272</v>
      </c>
      <c r="EN188" s="186">
        <f>EN140+EL140+EM140+EJ140</f>
        <v>3313</v>
      </c>
      <c r="EO188" s="186">
        <f t="shared" ref="EO188" si="932">EO140+EM140+EL140+EN140</f>
        <v>3311</v>
      </c>
      <c r="EP188" s="103">
        <f>EP140</f>
        <v>3311</v>
      </c>
      <c r="EQ188" s="186">
        <f>EQ140+EO140+EN140+EM140</f>
        <v>3310.8190891474896</v>
      </c>
      <c r="ER188" s="186">
        <f>ER140+EN140+EO140+EQ140</f>
        <v>3296.2777640694949</v>
      </c>
      <c r="ES188" s="186">
        <f>ES140+EQ140+EO140+ER140</f>
        <v>3386.4752944858128</v>
      </c>
      <c r="ET188" s="186">
        <f t="shared" si="931"/>
        <v>3580.912950803262</v>
      </c>
      <c r="EU188" s="103">
        <f>EU140</f>
        <v>3580.9129508032638</v>
      </c>
      <c r="EV188" s="186"/>
      <c r="EW188" s="186"/>
      <c r="EX188" s="186"/>
      <c r="EY188" s="186"/>
      <c r="EZ188" s="103">
        <f>EZ140</f>
        <v>4146.2296064412249</v>
      </c>
      <c r="FA188" s="186"/>
      <c r="FB188" s="186"/>
      <c r="FC188" s="186"/>
      <c r="FD188" s="186"/>
      <c r="FE188" s="103">
        <f>FE140</f>
        <v>4739.1696401251402</v>
      </c>
      <c r="FF188" s="33"/>
      <c r="FG188" s="460"/>
      <c r="FL188" s="425"/>
      <c r="FM188" s="425"/>
      <c r="FN188" s="384"/>
      <c r="FO188" s="384"/>
      <c r="FP188" s="384"/>
      <c r="FQ188" s="384"/>
      <c r="FR188" s="384"/>
      <c r="FS188" s="384"/>
      <c r="FT188" s="460"/>
    </row>
    <row r="189" spans="1:183" ht="12.75" hidden="1" customHeight="1" x14ac:dyDescent="0.2">
      <c r="A189" s="33" t="s">
        <v>155</v>
      </c>
      <c r="B189" s="186"/>
      <c r="C189" s="186"/>
      <c r="D189" s="186"/>
      <c r="E189" s="186"/>
      <c r="F189" s="266"/>
      <c r="G189" s="186"/>
      <c r="H189" s="186"/>
      <c r="I189" s="186"/>
      <c r="J189" s="186"/>
      <c r="K189" s="266"/>
      <c r="L189" s="186"/>
      <c r="M189" s="186"/>
      <c r="N189" s="186"/>
      <c r="O189" s="186"/>
      <c r="P189" s="266"/>
      <c r="Q189" s="186"/>
      <c r="R189" s="186"/>
      <c r="S189" s="186"/>
      <c r="T189" s="186"/>
      <c r="U189" s="266"/>
      <c r="V189" s="186"/>
      <c r="W189" s="186"/>
      <c r="X189" s="186"/>
      <c r="Y189" s="186"/>
      <c r="Z189" s="266"/>
      <c r="AA189" s="186"/>
      <c r="AB189" s="186"/>
      <c r="AC189" s="186"/>
      <c r="AD189" s="186"/>
      <c r="AE189" s="266"/>
      <c r="AF189" s="186"/>
      <c r="AG189" s="186"/>
      <c r="AH189" s="186"/>
      <c r="AI189" s="186"/>
      <c r="AJ189" s="266">
        <f>AJ143</f>
        <v>207.33699999999979</v>
      </c>
      <c r="AK189" s="186">
        <f>AK143+AI143+AH143+AG143</f>
        <v>225.21100000000018</v>
      </c>
      <c r="AL189" s="186">
        <f>AL143+AK143+AI143+AH143</f>
        <v>233.72700000000034</v>
      </c>
      <c r="AM189" s="186">
        <f>AM143+AK143+AL143+AI143</f>
        <v>265.38000000000022</v>
      </c>
      <c r="AN189" s="186">
        <f>AN143+AL143+AK143+AM143</f>
        <v>317.77200000000033</v>
      </c>
      <c r="AO189" s="266">
        <f>AO143</f>
        <v>317.77200000000033</v>
      </c>
      <c r="AP189" s="186">
        <f>AP143+AN143+AM143+AL143</f>
        <v>336.90600000000012</v>
      </c>
      <c r="AQ189" s="186">
        <f>AQ143+AP143+AN143+AM143</f>
        <v>376.46699999999987</v>
      </c>
      <c r="AR189" s="186">
        <f>AR143+AP143+AQ143+AN143</f>
        <v>413.60099999999971</v>
      </c>
      <c r="AS189" s="186">
        <f>AS143+AQ143+AP143+AR143</f>
        <v>433.43099999999964</v>
      </c>
      <c r="AT189" s="266">
        <f>AT143</f>
        <v>433.43099999999964</v>
      </c>
      <c r="AU189" s="186">
        <f>AU143+AS143+AR143+AQ143</f>
        <v>459.26999999999964</v>
      </c>
      <c r="AV189" s="186">
        <f>AV143+AU143+AS143+AR143</f>
        <v>483.63399999999956</v>
      </c>
      <c r="AW189" s="186">
        <f>AW143+AU143+AV143+AS143</f>
        <v>480.96699999999976</v>
      </c>
      <c r="AX189" s="186">
        <f>AX143+AV143+AU143+AW143</f>
        <v>474.37799999999993</v>
      </c>
      <c r="AY189" s="266">
        <f>AY143</f>
        <v>474.37799999999993</v>
      </c>
      <c r="AZ189" s="186">
        <f>AZ143+AX143+AW143+AV143</f>
        <v>474.17399999999981</v>
      </c>
      <c r="BA189" s="186">
        <f>BA143+AZ143+AX143+AW143</f>
        <v>507.0390000000001</v>
      </c>
      <c r="BB189" s="186">
        <f>BB143+AZ143+BA143+AX143</f>
        <v>564.35899999999981</v>
      </c>
      <c r="BC189" s="186">
        <f>BC143+BA143+AZ143+BB143</f>
        <v>625.22399999999959</v>
      </c>
      <c r="BD189" s="266">
        <f>BD143</f>
        <v>625.22399999999959</v>
      </c>
      <c r="BE189" s="186">
        <f>BE143+BC143+BB143+BA143</f>
        <v>650.62599999999952</v>
      </c>
      <c r="BF189" s="186">
        <f>BF143+BE143+BC143+BB143</f>
        <v>635.6369999999996</v>
      </c>
      <c r="BG189" s="186">
        <f>BG143+BE143+BF143+BC143</f>
        <v>602.30299999999988</v>
      </c>
      <c r="BH189" s="186">
        <f>BH143+BF143+BE143+BG143</f>
        <v>511.14699999999988</v>
      </c>
      <c r="BI189" s="266">
        <f>BI143</f>
        <v>511.14699999999982</v>
      </c>
      <c r="BJ189" s="186">
        <f>BJ143+BH143+BG143+BF143</f>
        <v>411.48699999999997</v>
      </c>
      <c r="BK189" s="186">
        <f>BK143+BJ143+BH143+BG143</f>
        <v>319.89999999999992</v>
      </c>
      <c r="BL189" s="186">
        <f>BL143+BJ143+BK143+BH143</f>
        <v>219.43600000000004</v>
      </c>
      <c r="BM189" s="186">
        <f>BM143+BK143+BJ143+BL143</f>
        <v>198.32999999999993</v>
      </c>
      <c r="BN189" s="266">
        <f>BN143</f>
        <v>198.32999999999993</v>
      </c>
      <c r="BO189" s="186">
        <f>BO143+BM143+BL143+BK143</f>
        <v>200.94499999999991</v>
      </c>
      <c r="BP189" s="186">
        <f>BP143+BO143+BM143+BL143</f>
        <v>220.39899999999986</v>
      </c>
      <c r="BQ189" s="186">
        <f>BQ143+BO143+BP143+BM143</f>
        <v>275.89899999999989</v>
      </c>
      <c r="BR189" s="186">
        <f>BR143+BP143+BO143+BQ143</f>
        <v>299.5</v>
      </c>
      <c r="BS189" s="266">
        <f>BS143</f>
        <v>299.5</v>
      </c>
      <c r="BT189" s="186">
        <f>BT143+BR143+BQ143+BP143</f>
        <v>311.19419999999997</v>
      </c>
      <c r="BU189" s="186">
        <f>BU143+BT143+BR143+BQ143</f>
        <v>332.69419999999997</v>
      </c>
      <c r="BV189" s="186">
        <f>BV143+BT143+BU143+BR143</f>
        <v>345.69419999999997</v>
      </c>
      <c r="BW189" s="186">
        <f>BW143+BU143+BT143+BV143</f>
        <v>335.69419999999997</v>
      </c>
      <c r="BX189" s="266">
        <f>BX143</f>
        <v>335.69419999999997</v>
      </c>
      <c r="BY189" s="186">
        <f>BY143+BW143+BV143+BU143</f>
        <v>343</v>
      </c>
      <c r="BZ189" s="186">
        <f>BZ143+BY143+BW143+BV143</f>
        <v>364</v>
      </c>
      <c r="CA189" s="186">
        <f>CA143+BY143+BZ143+BW143</f>
        <v>400</v>
      </c>
      <c r="CB189" s="186">
        <f>CB143+BZ143+BY143+CA143</f>
        <v>425</v>
      </c>
      <c r="CC189" s="266">
        <f>CC143</f>
        <v>425</v>
      </c>
      <c r="CD189" s="186">
        <f>CD143+CB143+CA143+BZ143</f>
        <v>451.4799999999999</v>
      </c>
      <c r="CE189" s="186">
        <f>CE143+CD143+CB143+CA143</f>
        <v>578.07999999999981</v>
      </c>
      <c r="CF189" s="186">
        <f>CF143+CD143+CE143+CB143</f>
        <v>576.67999999999972</v>
      </c>
      <c r="CG189" s="186">
        <f>CG143+CE143+CD143+CF143</f>
        <v>591.27999999999963</v>
      </c>
      <c r="CH189" s="266">
        <f>CH143</f>
        <v>591.27999999999963</v>
      </c>
      <c r="CI189" s="186">
        <f>CI143+CG143+CF143+CE143</f>
        <v>553.79999999999973</v>
      </c>
      <c r="CJ189" s="186">
        <f>CJ143+CI143+CG143+CF143</f>
        <v>476.19999999999982</v>
      </c>
      <c r="CK189" s="186">
        <f>CK143+CI143+CJ143+CG143</f>
        <v>483.1749999999999</v>
      </c>
      <c r="CL189" s="186">
        <f>CL143+CJ143+CI143+CK143</f>
        <v>474.57499999999999</v>
      </c>
      <c r="CM189" s="266">
        <f>CM143</f>
        <v>474.57499999999999</v>
      </c>
      <c r="CN189" s="186">
        <f>CN143+CL143+CK143+CJ143</f>
        <v>485.57499999999999</v>
      </c>
      <c r="CO189" s="186">
        <f>CO143+CN143+CL143+CK143</f>
        <v>411.57499999999999</v>
      </c>
      <c r="CP189" s="186">
        <f>CP143+CN143+CO143+CL143</f>
        <v>320</v>
      </c>
      <c r="CQ189" s="186">
        <f>CQ143+CO143+CN143+CP143</f>
        <v>294</v>
      </c>
      <c r="CR189" s="266">
        <f>CR143</f>
        <v>294</v>
      </c>
      <c r="CS189" s="186">
        <f>CS143+CQ143+CP143+CO143</f>
        <v>254.22699999999983</v>
      </c>
      <c r="CT189" s="186">
        <f>CT143+CS143+CQ143+CP143</f>
        <v>237.40700000000004</v>
      </c>
      <c r="CU189" s="186">
        <f>CU143+CS143+CT143+CQ143</f>
        <v>201.49899999999985</v>
      </c>
      <c r="CV189" s="186">
        <f>CV143+CT143+CS143+CU143</f>
        <v>224.61300000000003</v>
      </c>
      <c r="CW189" s="266">
        <f>CW143</f>
        <v>224.61300000000006</v>
      </c>
      <c r="CX189" s="186">
        <f>CX143+CV143+CU143+CT143</f>
        <v>228.9009999999999</v>
      </c>
      <c r="CY189" s="186">
        <f>CY143+CX143+CV143+CU143</f>
        <v>386.57099999999969</v>
      </c>
      <c r="CZ189" s="186">
        <f>CZ143+CX143+CY143+CV143</f>
        <v>567.88499999999976</v>
      </c>
      <c r="DA189" s="186">
        <f>DA143+CY143+CX143+CZ143</f>
        <v>574.92399999999975</v>
      </c>
      <c r="DB189" s="103">
        <f>DB143</f>
        <v>574.92399999999975</v>
      </c>
      <c r="DC189" s="186">
        <f>DC143+DA143+CZ143+CY143</f>
        <v>558.69299999999998</v>
      </c>
      <c r="DD189" s="186">
        <f>DD143+DC143+DA143+CZ143</f>
        <v>428.84299999999996</v>
      </c>
      <c r="DE189" s="186">
        <f>DE143+DC143+DD143+DA143</f>
        <v>336.43699999999995</v>
      </c>
      <c r="DF189" s="186">
        <f>DF143+DD143+DC143+DE143</f>
        <v>311.28399999999993</v>
      </c>
      <c r="DG189" s="103">
        <f>DG143</f>
        <v>311.28399999999993</v>
      </c>
      <c r="DH189" s="186">
        <f>DH143+DF143+DE143+DD143</f>
        <v>302</v>
      </c>
      <c r="DI189" s="186">
        <f>DI143+DH143+DF143+DE143</f>
        <v>443</v>
      </c>
      <c r="DJ189" s="186">
        <f>DJ143+DH143+DI143+DF143</f>
        <v>418</v>
      </c>
      <c r="DK189" s="186">
        <f>DK143+DI143+DH143+DJ143</f>
        <v>417</v>
      </c>
      <c r="DL189" s="103">
        <f>DL143</f>
        <v>417</v>
      </c>
      <c r="DM189" s="186">
        <f>DM143+DK143+DJ143+DI143</f>
        <v>488</v>
      </c>
      <c r="DN189" s="186">
        <f>DN143+DM143+DK143+DJ143</f>
        <v>489</v>
      </c>
      <c r="DO189" s="186">
        <f>DO143+DM143+DN143+DK143</f>
        <v>633</v>
      </c>
      <c r="DP189" s="186">
        <f>DP143+DN143+DM143+DO143</f>
        <v>804</v>
      </c>
      <c r="DQ189" s="103">
        <f>DQ143</f>
        <v>804</v>
      </c>
      <c r="DR189" s="186">
        <f>DR143+DP143+DO143+DN143</f>
        <v>879</v>
      </c>
      <c r="DS189" s="186">
        <f>DS143+DR143+DP143+DO143</f>
        <v>1090</v>
      </c>
      <c r="DT189" s="186">
        <f>DT143+DR143+DS143+DP143</f>
        <v>1231</v>
      </c>
      <c r="DU189" s="186">
        <f>DU143+DS143+DR143+DT143</f>
        <v>1399</v>
      </c>
      <c r="DV189" s="103">
        <f>DV143</f>
        <v>1399</v>
      </c>
      <c r="DW189" s="186">
        <f>DW143+DU143+DT143+DS143</f>
        <v>1722</v>
      </c>
      <c r="DX189" s="186">
        <f>DX143+DW143+DU143+DT143</f>
        <v>1928</v>
      </c>
      <c r="DY189" s="186">
        <f>DY143+DW143+DX143+DU143</f>
        <v>2169</v>
      </c>
      <c r="DZ189" s="186">
        <f>DZ143+DX143+DW143+DY143</f>
        <v>2356</v>
      </c>
      <c r="EA189" s="103">
        <f>EA143</f>
        <v>2356</v>
      </c>
      <c r="EB189" s="186">
        <f>EB143+DZ143+DY143+DX143</f>
        <v>2472</v>
      </c>
      <c r="EC189" s="186">
        <f>EC143+EB143+DZ143+DY143</f>
        <v>2538</v>
      </c>
      <c r="ED189" s="186">
        <f>ED143+EB143+EC143+DZ143</f>
        <v>2497</v>
      </c>
      <c r="EE189" s="186">
        <f>EE143+EC143+EB143+ED143</f>
        <v>2369</v>
      </c>
      <c r="EF189" s="103">
        <f>EF143</f>
        <v>2369</v>
      </c>
      <c r="EG189" s="186">
        <f>EG143+EE143+ED143+EC143</f>
        <v>2174</v>
      </c>
      <c r="EH189" s="186">
        <f>EH143+EG143+EE143+ED143</f>
        <v>2165</v>
      </c>
      <c r="EI189" s="186">
        <f>EI143+EG143+EH143+EE143</f>
        <v>2111</v>
      </c>
      <c r="EJ189" s="186">
        <f t="shared" ref="EJ189:ET189" si="933">EJ143+EH143+EG143+EI143</f>
        <v>2107</v>
      </c>
      <c r="EK189" s="103">
        <f>EK143</f>
        <v>2107</v>
      </c>
      <c r="EL189" s="186">
        <f>EL143+EJ143+EI143+EH143</f>
        <v>2094</v>
      </c>
      <c r="EM189" s="186">
        <f>EM143+EL143+EJ143+EI143</f>
        <v>2091</v>
      </c>
      <c r="EN189" s="186">
        <f>EN143+EL143+EM143+EJ143</f>
        <v>2117</v>
      </c>
      <c r="EO189" s="186">
        <f t="shared" ref="EO189" si="934">EO143+EM143+EL143+EN143</f>
        <v>2116</v>
      </c>
      <c r="EP189" s="103">
        <f>EP143</f>
        <v>2116</v>
      </c>
      <c r="EQ189" s="186">
        <f>EQ143+EO143+EN143+EM143</f>
        <v>2190.4986509206983</v>
      </c>
      <c r="ER189" s="186">
        <f>ER143+EN143+EO143+EQ143</f>
        <v>2330.7781839233376</v>
      </c>
      <c r="ES189" s="186">
        <f>ES143+EQ143+EO143+ER143</f>
        <v>2516.0322885178612</v>
      </c>
      <c r="ET189" s="186">
        <f t="shared" si="933"/>
        <v>2748.3506897415036</v>
      </c>
      <c r="EU189" s="103">
        <f>EU143</f>
        <v>2748.3506897415054</v>
      </c>
      <c r="EV189" s="186"/>
      <c r="EW189" s="186"/>
      <c r="EX189" s="186"/>
      <c r="EY189" s="186"/>
      <c r="EZ189" s="103">
        <f>EZ143</f>
        <v>3182.2312229436402</v>
      </c>
      <c r="FA189" s="186"/>
      <c r="FB189" s="186"/>
      <c r="FC189" s="186"/>
      <c r="FD189" s="186"/>
      <c r="FE189" s="103">
        <f>FE143</f>
        <v>3637.312698796045</v>
      </c>
      <c r="FF189" s="33"/>
      <c r="FG189" s="460"/>
      <c r="FL189" s="425"/>
      <c r="FM189" s="425"/>
      <c r="FN189" s="384"/>
      <c r="FO189" s="384"/>
      <c r="FP189" s="384"/>
      <c r="FQ189" s="384"/>
      <c r="FR189" s="384"/>
      <c r="FS189" s="384"/>
      <c r="FT189" s="460"/>
    </row>
    <row r="190" spans="1:183" ht="12.75" hidden="1" customHeight="1" x14ac:dyDescent="0.2">
      <c r="A190" s="8" t="s">
        <v>455</v>
      </c>
      <c r="B190" s="9"/>
      <c r="C190" s="9"/>
      <c r="D190" s="9"/>
      <c r="E190" s="9"/>
      <c r="F190" s="10"/>
      <c r="G190" s="9"/>
      <c r="H190" s="9"/>
      <c r="I190" s="9"/>
      <c r="J190" s="9"/>
      <c r="K190" s="10"/>
      <c r="L190" s="9"/>
      <c r="M190" s="9"/>
      <c r="N190" s="9"/>
      <c r="O190" s="9"/>
      <c r="P190" s="10"/>
      <c r="Q190" s="9"/>
      <c r="R190" s="9"/>
      <c r="S190" s="9"/>
      <c r="T190" s="9"/>
      <c r="U190" s="10"/>
      <c r="V190" s="9"/>
      <c r="W190" s="9"/>
      <c r="X190" s="9"/>
      <c r="Y190" s="9"/>
      <c r="Z190" s="10"/>
      <c r="AA190" s="9"/>
      <c r="AB190" s="9"/>
      <c r="AC190" s="9"/>
      <c r="AD190" s="9"/>
      <c r="AE190" s="10"/>
      <c r="AF190" s="9"/>
      <c r="AG190" s="9"/>
      <c r="AH190" s="9"/>
      <c r="AI190" s="9"/>
      <c r="AJ190" s="10"/>
      <c r="AK190" s="9"/>
      <c r="AL190" s="9"/>
      <c r="AM190" s="9"/>
      <c r="AN190" s="9"/>
      <c r="AO190" s="10"/>
      <c r="AP190" s="9"/>
      <c r="AQ190" s="9"/>
      <c r="AR190" s="9"/>
      <c r="AS190" s="9"/>
      <c r="AT190" s="10"/>
      <c r="AU190" s="9"/>
      <c r="AV190" s="9"/>
      <c r="AW190" s="9"/>
      <c r="AX190" s="9"/>
      <c r="AY190" s="10"/>
      <c r="AZ190" s="9"/>
      <c r="BA190" s="9"/>
      <c r="BB190" s="9"/>
      <c r="BC190" s="9"/>
      <c r="BD190" s="10"/>
      <c r="BE190" s="9"/>
      <c r="BF190" s="9"/>
      <c r="BG190" s="9"/>
      <c r="BH190" s="9"/>
      <c r="BI190" s="10"/>
      <c r="BJ190" s="9"/>
      <c r="BK190" s="9"/>
      <c r="BL190" s="9"/>
      <c r="BM190" s="9"/>
      <c r="BN190" s="10"/>
      <c r="BO190" s="9"/>
      <c r="BP190" s="9"/>
      <c r="BQ190" s="9"/>
      <c r="BR190" s="9"/>
      <c r="BS190" s="10"/>
      <c r="BT190" s="9"/>
      <c r="BU190" s="9"/>
      <c r="BV190" s="9"/>
      <c r="BW190" s="9"/>
      <c r="BX190" s="10"/>
      <c r="BY190" s="9"/>
      <c r="BZ190" s="9"/>
      <c r="CA190" s="9"/>
      <c r="CB190" s="9"/>
      <c r="CC190" s="10"/>
      <c r="CD190" s="9"/>
      <c r="CE190" s="9"/>
      <c r="CF190" s="9"/>
      <c r="CG190" s="9"/>
      <c r="CH190" s="10"/>
      <c r="CI190" s="9"/>
      <c r="CJ190" s="9"/>
      <c r="CK190" s="9"/>
      <c r="CL190" s="9"/>
      <c r="CM190" s="10"/>
      <c r="CN190" s="9"/>
      <c r="CO190" s="9"/>
      <c r="CP190" s="9"/>
      <c r="CQ190" s="9"/>
      <c r="CR190" s="10"/>
      <c r="CS190" s="9"/>
      <c r="CT190" s="9"/>
      <c r="CU190" s="9"/>
      <c r="CV190" s="9"/>
      <c r="CW190" s="10"/>
      <c r="CX190" s="9"/>
      <c r="CY190" s="9"/>
      <c r="CZ190" s="9"/>
      <c r="DA190" s="9"/>
      <c r="DB190" s="10"/>
      <c r="DC190" s="9"/>
      <c r="DD190" s="9"/>
      <c r="DE190" s="9"/>
      <c r="DF190" s="9"/>
      <c r="DG190" s="10"/>
      <c r="DH190" s="9"/>
      <c r="DI190" s="9"/>
      <c r="DJ190" s="9"/>
      <c r="DK190" s="9"/>
      <c r="DL190" s="10"/>
      <c r="DM190" s="9"/>
      <c r="DN190" s="9"/>
      <c r="DO190" s="9"/>
      <c r="DP190" s="9"/>
      <c r="DQ190" s="10"/>
      <c r="DR190" s="9"/>
      <c r="DS190" s="9"/>
      <c r="DT190" s="9"/>
      <c r="DU190" s="9"/>
      <c r="DV190" s="10"/>
      <c r="DW190" s="9"/>
      <c r="DX190" s="9"/>
      <c r="DY190" s="9"/>
      <c r="DZ190" s="9"/>
      <c r="EA190" s="10"/>
      <c r="EB190" s="9"/>
      <c r="EC190" s="9"/>
      <c r="ED190" s="9"/>
      <c r="EE190" s="9"/>
      <c r="EF190" s="10"/>
      <c r="EG190" s="9"/>
      <c r="EH190" s="9"/>
      <c r="EI190" s="9"/>
      <c r="EJ190" s="9"/>
      <c r="EK190" s="10"/>
      <c r="EL190" s="9"/>
      <c r="EM190" s="9"/>
      <c r="EN190" s="9"/>
      <c r="EO190" s="9"/>
      <c r="EP190" s="10"/>
      <c r="EQ190" s="9"/>
      <c r="ER190" s="9"/>
      <c r="ES190" s="9"/>
      <c r="ET190" s="9"/>
      <c r="EU190" s="10"/>
      <c r="EV190" s="9"/>
      <c r="EW190" s="9"/>
      <c r="EX190" s="9"/>
      <c r="EY190" s="9"/>
      <c r="EZ190" s="10"/>
      <c r="FA190" s="9"/>
      <c r="FB190" s="9"/>
      <c r="FC190" s="9"/>
      <c r="FD190" s="9"/>
      <c r="FE190" s="10"/>
      <c r="FF190" s="337"/>
      <c r="FG190" s="441"/>
      <c r="FH190" s="347"/>
      <c r="FI190" s="337"/>
      <c r="FJ190" s="337"/>
      <c r="FK190" s="337"/>
      <c r="FL190" s="413"/>
      <c r="FM190" s="413"/>
      <c r="FN190" s="9"/>
      <c r="FO190" s="9"/>
      <c r="FP190" s="9"/>
      <c r="FQ190" s="9"/>
      <c r="FR190" s="9"/>
      <c r="FS190" s="9"/>
      <c r="FT190" s="441"/>
      <c r="GA190" s="342"/>
    </row>
    <row r="191" spans="1:183" ht="12.75" hidden="1" customHeight="1" x14ac:dyDescent="0.2">
      <c r="A191" s="24" t="s">
        <v>123</v>
      </c>
      <c r="B191" s="187"/>
      <c r="C191" s="187"/>
      <c r="D191" s="187"/>
      <c r="E191" s="187"/>
      <c r="F191" s="258"/>
      <c r="G191" s="187"/>
      <c r="H191" s="187"/>
      <c r="I191" s="187"/>
      <c r="J191" s="187"/>
      <c r="K191" s="258"/>
      <c r="L191" s="187"/>
      <c r="M191" s="187"/>
      <c r="N191" s="187"/>
      <c r="O191" s="187"/>
      <c r="P191" s="258"/>
      <c r="Q191" s="187"/>
      <c r="R191" s="187"/>
      <c r="S191" s="187"/>
      <c r="T191" s="187"/>
      <c r="U191" s="258"/>
      <c r="V191" s="187"/>
      <c r="W191" s="187"/>
      <c r="X191" s="187"/>
      <c r="Y191" s="187"/>
      <c r="Z191" s="258"/>
      <c r="AA191" s="187"/>
      <c r="AB191" s="187"/>
      <c r="AC191" s="187"/>
      <c r="AD191" s="187"/>
      <c r="AE191" s="258"/>
      <c r="AF191" s="187"/>
      <c r="AG191" s="187"/>
      <c r="AH191" s="187"/>
      <c r="AI191" s="187"/>
      <c r="AJ191" s="258">
        <f t="shared" ref="AJ191:AJ199" si="935">AJ174/AJ$174</f>
        <v>1</v>
      </c>
      <c r="AK191" s="187">
        <f t="shared" ref="AK191:CV192" si="936">AK174/AK$174</f>
        <v>1</v>
      </c>
      <c r="AL191" s="187">
        <f t="shared" si="936"/>
        <v>1</v>
      </c>
      <c r="AM191" s="187">
        <f t="shared" si="936"/>
        <v>1</v>
      </c>
      <c r="AN191" s="187">
        <f t="shared" si="936"/>
        <v>1</v>
      </c>
      <c r="AO191" s="258">
        <f t="shared" si="936"/>
        <v>1</v>
      </c>
      <c r="AP191" s="187">
        <f t="shared" si="936"/>
        <v>1</v>
      </c>
      <c r="AQ191" s="187">
        <f t="shared" si="936"/>
        <v>1</v>
      </c>
      <c r="AR191" s="187">
        <f t="shared" si="936"/>
        <v>1</v>
      </c>
      <c r="AS191" s="187">
        <f t="shared" si="936"/>
        <v>1</v>
      </c>
      <c r="AT191" s="258">
        <f t="shared" si="936"/>
        <v>1</v>
      </c>
      <c r="AU191" s="187">
        <f t="shared" si="936"/>
        <v>1</v>
      </c>
      <c r="AV191" s="187">
        <f t="shared" si="936"/>
        <v>1</v>
      </c>
      <c r="AW191" s="187">
        <f t="shared" si="936"/>
        <v>1</v>
      </c>
      <c r="AX191" s="187">
        <f t="shared" si="936"/>
        <v>1</v>
      </c>
      <c r="AY191" s="258">
        <f t="shared" si="936"/>
        <v>1</v>
      </c>
      <c r="AZ191" s="187">
        <f t="shared" si="936"/>
        <v>1</v>
      </c>
      <c r="BA191" s="187">
        <f t="shared" si="936"/>
        <v>1</v>
      </c>
      <c r="BB191" s="187">
        <f t="shared" si="936"/>
        <v>1</v>
      </c>
      <c r="BC191" s="187">
        <f t="shared" si="936"/>
        <v>1</v>
      </c>
      <c r="BD191" s="258">
        <f t="shared" si="936"/>
        <v>1</v>
      </c>
      <c r="BE191" s="187">
        <f t="shared" si="936"/>
        <v>1</v>
      </c>
      <c r="BF191" s="187">
        <f t="shared" si="936"/>
        <v>1</v>
      </c>
      <c r="BG191" s="187">
        <f t="shared" si="936"/>
        <v>1</v>
      </c>
      <c r="BH191" s="187">
        <f t="shared" si="936"/>
        <v>1</v>
      </c>
      <c r="BI191" s="258">
        <f t="shared" si="936"/>
        <v>1</v>
      </c>
      <c r="BJ191" s="187">
        <f t="shared" si="936"/>
        <v>1</v>
      </c>
      <c r="BK191" s="187">
        <f t="shared" si="936"/>
        <v>1</v>
      </c>
      <c r="BL191" s="187">
        <f t="shared" si="936"/>
        <v>1</v>
      </c>
      <c r="BM191" s="187">
        <f t="shared" si="936"/>
        <v>1</v>
      </c>
      <c r="BN191" s="258">
        <f t="shared" si="936"/>
        <v>1</v>
      </c>
      <c r="BO191" s="187">
        <f t="shared" si="936"/>
        <v>1</v>
      </c>
      <c r="BP191" s="187">
        <f t="shared" si="936"/>
        <v>1</v>
      </c>
      <c r="BQ191" s="187">
        <f t="shared" si="936"/>
        <v>1</v>
      </c>
      <c r="BR191" s="187">
        <f t="shared" si="936"/>
        <v>1</v>
      </c>
      <c r="BS191" s="258">
        <f t="shared" si="936"/>
        <v>1</v>
      </c>
      <c r="BT191" s="187">
        <f t="shared" si="936"/>
        <v>1</v>
      </c>
      <c r="BU191" s="187">
        <f t="shared" si="936"/>
        <v>1</v>
      </c>
      <c r="BV191" s="187">
        <f t="shared" si="936"/>
        <v>1</v>
      </c>
      <c r="BW191" s="187">
        <f t="shared" si="936"/>
        <v>1</v>
      </c>
      <c r="BX191" s="258">
        <f t="shared" si="936"/>
        <v>1</v>
      </c>
      <c r="BY191" s="187">
        <f t="shared" si="936"/>
        <v>1</v>
      </c>
      <c r="BZ191" s="187">
        <f t="shared" si="936"/>
        <v>1</v>
      </c>
      <c r="CA191" s="187">
        <f t="shared" si="936"/>
        <v>1</v>
      </c>
      <c r="CB191" s="187">
        <f t="shared" si="936"/>
        <v>1</v>
      </c>
      <c r="CC191" s="258">
        <f t="shared" si="936"/>
        <v>1</v>
      </c>
      <c r="CD191" s="187">
        <f t="shared" si="936"/>
        <v>1</v>
      </c>
      <c r="CE191" s="187">
        <f t="shared" si="936"/>
        <v>1</v>
      </c>
      <c r="CF191" s="187">
        <f t="shared" si="936"/>
        <v>1</v>
      </c>
      <c r="CG191" s="187">
        <f t="shared" si="936"/>
        <v>1</v>
      </c>
      <c r="CH191" s="258">
        <f t="shared" si="936"/>
        <v>1</v>
      </c>
      <c r="CI191" s="187">
        <f t="shared" si="936"/>
        <v>1</v>
      </c>
      <c r="CJ191" s="187">
        <f t="shared" si="936"/>
        <v>1</v>
      </c>
      <c r="CK191" s="187">
        <f t="shared" si="936"/>
        <v>1</v>
      </c>
      <c r="CL191" s="187">
        <f t="shared" si="936"/>
        <v>1</v>
      </c>
      <c r="CM191" s="258">
        <f t="shared" si="936"/>
        <v>1</v>
      </c>
      <c r="CN191" s="187">
        <f t="shared" si="936"/>
        <v>1</v>
      </c>
      <c r="CO191" s="187">
        <f t="shared" si="936"/>
        <v>1</v>
      </c>
      <c r="CP191" s="187">
        <f t="shared" si="936"/>
        <v>1</v>
      </c>
      <c r="CQ191" s="187">
        <f t="shared" si="936"/>
        <v>1</v>
      </c>
      <c r="CR191" s="104">
        <f t="shared" si="936"/>
        <v>1</v>
      </c>
      <c r="CS191" s="187">
        <f t="shared" si="936"/>
        <v>1</v>
      </c>
      <c r="CT191" s="187">
        <f t="shared" si="936"/>
        <v>1</v>
      </c>
      <c r="CU191" s="187">
        <f t="shared" si="936"/>
        <v>1</v>
      </c>
      <c r="CV191" s="187">
        <f t="shared" si="936"/>
        <v>1</v>
      </c>
      <c r="CW191" s="104">
        <f t="shared" ref="CW191:DQ191" si="937">CW174/CW$174</f>
        <v>1</v>
      </c>
      <c r="CX191" s="187">
        <f t="shared" si="937"/>
        <v>1</v>
      </c>
      <c r="CY191" s="187">
        <f t="shared" si="937"/>
        <v>1</v>
      </c>
      <c r="CZ191" s="187">
        <f t="shared" si="937"/>
        <v>1</v>
      </c>
      <c r="DA191" s="187">
        <f t="shared" si="937"/>
        <v>1</v>
      </c>
      <c r="DB191" s="104">
        <f t="shared" si="937"/>
        <v>1</v>
      </c>
      <c r="DC191" s="187">
        <f t="shared" ref="DC191:DD195" si="938">DC174/DC$174</f>
        <v>1</v>
      </c>
      <c r="DD191" s="187">
        <f t="shared" si="938"/>
        <v>1</v>
      </c>
      <c r="DE191" s="187">
        <f t="shared" si="937"/>
        <v>1</v>
      </c>
      <c r="DF191" s="187">
        <f t="shared" si="937"/>
        <v>1</v>
      </c>
      <c r="DG191" s="104">
        <f t="shared" si="937"/>
        <v>1</v>
      </c>
      <c r="DH191" s="187">
        <f t="shared" ref="DH191:DK195" si="939">DH174/DH$174</f>
        <v>1</v>
      </c>
      <c r="DI191" s="187">
        <f t="shared" si="939"/>
        <v>1</v>
      </c>
      <c r="DJ191" s="187">
        <f t="shared" si="939"/>
        <v>1</v>
      </c>
      <c r="DK191" s="187">
        <f t="shared" si="939"/>
        <v>1</v>
      </c>
      <c r="DL191" s="104">
        <f t="shared" si="937"/>
        <v>1</v>
      </c>
      <c r="DM191" s="187">
        <f t="shared" si="937"/>
        <v>1</v>
      </c>
      <c r="DN191" s="187">
        <f t="shared" ref="DN191:DP199" si="940">DN174/DN$174</f>
        <v>1</v>
      </c>
      <c r="DO191" s="187">
        <f t="shared" si="940"/>
        <v>1</v>
      </c>
      <c r="DP191" s="187">
        <f t="shared" si="940"/>
        <v>1</v>
      </c>
      <c r="DQ191" s="104">
        <f t="shared" si="937"/>
        <v>1</v>
      </c>
      <c r="DR191" s="187">
        <f t="shared" ref="DR191:DU199" si="941">DR174/DR$174</f>
        <v>1</v>
      </c>
      <c r="DS191" s="187">
        <f t="shared" si="941"/>
        <v>1</v>
      </c>
      <c r="DT191" s="187">
        <f t="shared" si="941"/>
        <v>1</v>
      </c>
      <c r="DU191" s="187">
        <f t="shared" si="941"/>
        <v>1</v>
      </c>
      <c r="DV191" s="104">
        <f t="shared" ref="DV191:DZ199" si="942">DV174/DV$174</f>
        <v>1</v>
      </c>
      <c r="DW191" s="187">
        <f t="shared" si="942"/>
        <v>1</v>
      </c>
      <c r="DX191" s="187">
        <f t="shared" si="942"/>
        <v>1</v>
      </c>
      <c r="DY191" s="187">
        <f t="shared" si="942"/>
        <v>1</v>
      </c>
      <c r="DZ191" s="187">
        <f t="shared" si="942"/>
        <v>1</v>
      </c>
      <c r="EA191" s="104">
        <f t="shared" ref="EA191:EE198" si="943">EA174/EA$174</f>
        <v>1</v>
      </c>
      <c r="EB191" s="187">
        <f t="shared" si="943"/>
        <v>1</v>
      </c>
      <c r="EC191" s="187">
        <f t="shared" si="943"/>
        <v>1</v>
      </c>
      <c r="ED191" s="187">
        <f t="shared" si="943"/>
        <v>1</v>
      </c>
      <c r="EE191" s="187">
        <f t="shared" si="943"/>
        <v>1</v>
      </c>
      <c r="EF191" s="104">
        <f t="shared" ref="EF191:EJ206" si="944">EF174/EF$174</f>
        <v>1</v>
      </c>
      <c r="EG191" s="187">
        <f t="shared" si="944"/>
        <v>1</v>
      </c>
      <c r="EH191" s="187">
        <f t="shared" si="944"/>
        <v>1</v>
      </c>
      <c r="EI191" s="187">
        <f t="shared" si="944"/>
        <v>1</v>
      </c>
      <c r="EJ191" s="187">
        <f t="shared" si="944"/>
        <v>1</v>
      </c>
      <c r="EK191" s="104">
        <f t="shared" ref="EK191:EU206" si="945">EK174/EK$174</f>
        <v>1</v>
      </c>
      <c r="EL191" s="187">
        <f t="shared" si="945"/>
        <v>1</v>
      </c>
      <c r="EM191" s="187">
        <f t="shared" si="945"/>
        <v>1</v>
      </c>
      <c r="EN191" s="187">
        <f t="shared" si="945"/>
        <v>1</v>
      </c>
      <c r="EO191" s="187">
        <f t="shared" si="945"/>
        <v>1</v>
      </c>
      <c r="EP191" s="104">
        <f t="shared" ref="EP191" si="946">EP174/EP$174</f>
        <v>1</v>
      </c>
      <c r="EQ191" s="187">
        <f t="shared" si="945"/>
        <v>1</v>
      </c>
      <c r="ER191" s="187">
        <f t="shared" si="945"/>
        <v>1</v>
      </c>
      <c r="ES191" s="187">
        <f t="shared" si="945"/>
        <v>1</v>
      </c>
      <c r="ET191" s="187">
        <f t="shared" si="945"/>
        <v>1</v>
      </c>
      <c r="EU191" s="104">
        <f t="shared" si="945"/>
        <v>1</v>
      </c>
      <c r="EV191" s="187"/>
      <c r="EW191" s="187"/>
      <c r="EX191" s="187"/>
      <c r="EY191" s="187"/>
      <c r="EZ191" s="104">
        <f t="shared" ref="EZ191" si="947">EZ174/EZ$174</f>
        <v>1</v>
      </c>
      <c r="FA191" s="187"/>
      <c r="FB191" s="187"/>
      <c r="FC191" s="187"/>
      <c r="FD191" s="187"/>
      <c r="FE191" s="104">
        <f t="shared" ref="FE191:FE206" si="948">FE174/FE$174</f>
        <v>1</v>
      </c>
      <c r="FF191" s="24"/>
      <c r="FG191" s="465"/>
      <c r="FL191" s="388"/>
      <c r="FM191" s="388"/>
      <c r="FN191" s="389"/>
      <c r="FO191" s="389"/>
      <c r="FP191" s="389"/>
      <c r="FQ191" s="389"/>
      <c r="FR191" s="389"/>
      <c r="FS191" s="389"/>
      <c r="FT191" s="465"/>
    </row>
    <row r="192" spans="1:183" ht="12.75" hidden="1" customHeight="1" x14ac:dyDescent="0.2">
      <c r="A192" s="24" t="s">
        <v>124</v>
      </c>
      <c r="B192" s="187"/>
      <c r="C192" s="187"/>
      <c r="D192" s="187"/>
      <c r="E192" s="187"/>
      <c r="F192" s="258"/>
      <c r="G192" s="187"/>
      <c r="H192" s="187"/>
      <c r="I192" s="187"/>
      <c r="J192" s="187"/>
      <c r="K192" s="258"/>
      <c r="L192" s="187"/>
      <c r="M192" s="187"/>
      <c r="N192" s="187"/>
      <c r="O192" s="187"/>
      <c r="P192" s="258"/>
      <c r="Q192" s="187"/>
      <c r="R192" s="187"/>
      <c r="S192" s="187"/>
      <c r="T192" s="187"/>
      <c r="U192" s="258"/>
      <c r="V192" s="187"/>
      <c r="W192" s="187"/>
      <c r="X192" s="187"/>
      <c r="Y192" s="187"/>
      <c r="Z192" s="258"/>
      <c r="AA192" s="187"/>
      <c r="AB192" s="187"/>
      <c r="AC192" s="187"/>
      <c r="AD192" s="187"/>
      <c r="AE192" s="258"/>
      <c r="AF192" s="187"/>
      <c r="AG192" s="187"/>
      <c r="AH192" s="187"/>
      <c r="AI192" s="187"/>
      <c r="AJ192" s="258">
        <f t="shared" si="935"/>
        <v>0.95979883564237845</v>
      </c>
      <c r="AK192" s="187">
        <f t="shared" ref="AK192:AY192" si="949">AK175/AK$174</f>
        <v>0.95924374903429277</v>
      </c>
      <c r="AL192" s="187">
        <f t="shared" si="949"/>
        <v>0.95662934640009867</v>
      </c>
      <c r="AM192" s="187">
        <f t="shared" si="949"/>
        <v>0.95463058276335133</v>
      </c>
      <c r="AN192" s="187">
        <f t="shared" si="949"/>
        <v>0.95346179451433544</v>
      </c>
      <c r="AO192" s="258">
        <f t="shared" si="949"/>
        <v>0.95346179451433544</v>
      </c>
      <c r="AP192" s="187">
        <f t="shared" si="949"/>
        <v>0.95157937794828451</v>
      </c>
      <c r="AQ192" s="187">
        <f t="shared" si="949"/>
        <v>0.95220848162694705</v>
      </c>
      <c r="AR192" s="187">
        <f t="shared" si="949"/>
        <v>0.95229350937470159</v>
      </c>
      <c r="AS192" s="187">
        <f t="shared" si="949"/>
        <v>0.95192123881478785</v>
      </c>
      <c r="AT192" s="258">
        <f t="shared" si="949"/>
        <v>0.95192123881478785</v>
      </c>
      <c r="AU192" s="187">
        <f t="shared" si="949"/>
        <v>0.95495657565062086</v>
      </c>
      <c r="AV192" s="187">
        <f t="shared" si="949"/>
        <v>0.95762206462604726</v>
      </c>
      <c r="AW192" s="187">
        <f t="shared" si="949"/>
        <v>0.96030138736466231</v>
      </c>
      <c r="AX192" s="187">
        <f t="shared" si="949"/>
        <v>0.96347443305338931</v>
      </c>
      <c r="AY192" s="258">
        <f t="shared" si="949"/>
        <v>0.96347443305338931</v>
      </c>
      <c r="AZ192" s="187">
        <f t="shared" si="936"/>
        <v>0.96440301933867378</v>
      </c>
      <c r="BA192" s="187">
        <f t="shared" si="936"/>
        <v>0.96576118637984054</v>
      </c>
      <c r="BB192" s="187">
        <f t="shared" si="936"/>
        <v>0.96669738501689562</v>
      </c>
      <c r="BC192" s="187">
        <f t="shared" si="936"/>
        <v>0.967856788847273</v>
      </c>
      <c r="BD192" s="258">
        <f t="shared" si="936"/>
        <v>0.96785678884727322</v>
      </c>
      <c r="BE192" s="187">
        <f t="shared" si="936"/>
        <v>0.96809647110031138</v>
      </c>
      <c r="BF192" s="187">
        <f t="shared" si="936"/>
        <v>0.96796685243158631</v>
      </c>
      <c r="BG192" s="187">
        <f t="shared" si="936"/>
        <v>0.96828432352952876</v>
      </c>
      <c r="BH192" s="187">
        <f t="shared" si="936"/>
        <v>0.96823285823270333</v>
      </c>
      <c r="BI192" s="258">
        <f t="shared" si="936"/>
        <v>0.96823285823270344</v>
      </c>
      <c r="BJ192" s="187">
        <f t="shared" si="936"/>
        <v>0.96812864519484376</v>
      </c>
      <c r="BK192" s="187">
        <f t="shared" si="936"/>
        <v>0.96761495044536405</v>
      </c>
      <c r="BL192" s="187">
        <f t="shared" si="936"/>
        <v>0.96710051083257764</v>
      </c>
      <c r="BM192" s="187">
        <f t="shared" si="936"/>
        <v>0.96711091294186369</v>
      </c>
      <c r="BN192" s="258">
        <f t="shared" si="936"/>
        <v>0.96711091294186369</v>
      </c>
      <c r="BO192" s="187">
        <f t="shared" si="936"/>
        <v>0.96720797888280152</v>
      </c>
      <c r="BP192" s="187">
        <f t="shared" si="936"/>
        <v>0.96720751962359475</v>
      </c>
      <c r="BQ192" s="187">
        <f t="shared" si="936"/>
        <v>0.9676226931377212</v>
      </c>
      <c r="BR192" s="187">
        <f t="shared" si="936"/>
        <v>0.9671495956873315</v>
      </c>
      <c r="BS192" s="258">
        <f t="shared" si="936"/>
        <v>0.9671495956873315</v>
      </c>
      <c r="BT192" s="187">
        <f t="shared" si="936"/>
        <v>0.96605701103970998</v>
      </c>
      <c r="BU192" s="187">
        <f t="shared" si="936"/>
        <v>0.96523125996810211</v>
      </c>
      <c r="BV192" s="187">
        <f t="shared" si="936"/>
        <v>0.96401189172273505</v>
      </c>
      <c r="BW192" s="187">
        <f t="shared" si="936"/>
        <v>0.96201562260683104</v>
      </c>
      <c r="BX192" s="258">
        <f t="shared" si="936"/>
        <v>0.96201562260683104</v>
      </c>
      <c r="BY192" s="187">
        <f t="shared" si="936"/>
        <v>0.9607930828861061</v>
      </c>
      <c r="BZ192" s="187">
        <f t="shared" si="936"/>
        <v>0.96006343713956166</v>
      </c>
      <c r="CA192" s="187">
        <f t="shared" si="936"/>
        <v>0.95972969245621298</v>
      </c>
      <c r="CB192" s="187">
        <f t="shared" si="936"/>
        <v>0.95977845180007915</v>
      </c>
      <c r="CC192" s="258">
        <f t="shared" si="936"/>
        <v>0.95977845180007915</v>
      </c>
      <c r="CD192" s="187">
        <f t="shared" si="936"/>
        <v>0.96035394886005798</v>
      </c>
      <c r="CE192" s="187">
        <f t="shared" si="936"/>
        <v>0.96145191852202749</v>
      </c>
      <c r="CF192" s="187">
        <f t="shared" si="936"/>
        <v>0.96223144253722859</v>
      </c>
      <c r="CG192" s="187">
        <f t="shared" si="936"/>
        <v>0.963020030816641</v>
      </c>
      <c r="CH192" s="258">
        <f t="shared" si="936"/>
        <v>0.963020030816641</v>
      </c>
      <c r="CI192" s="187">
        <f t="shared" si="936"/>
        <v>0.96316783594171618</v>
      </c>
      <c r="CJ192" s="187">
        <f t="shared" si="936"/>
        <v>0.9614320672411959</v>
      </c>
      <c r="CK192" s="187">
        <f t="shared" si="936"/>
        <v>0.96010886469673407</v>
      </c>
      <c r="CL192" s="187">
        <f t="shared" si="936"/>
        <v>0.95903052428759761</v>
      </c>
      <c r="CM192" s="258">
        <f t="shared" si="936"/>
        <v>0.95903052428759761</v>
      </c>
      <c r="CN192" s="187">
        <f t="shared" si="936"/>
        <v>0.95742176003139412</v>
      </c>
      <c r="CO192" s="187">
        <f t="shared" si="936"/>
        <v>0.957247828991316</v>
      </c>
      <c r="CP192" s="187">
        <f t="shared" si="936"/>
        <v>0.95677981821554448</v>
      </c>
      <c r="CQ192" s="187">
        <f t="shared" si="936"/>
        <v>0.95700290275761979</v>
      </c>
      <c r="CR192" s="104">
        <f t="shared" si="936"/>
        <v>0.95700290275761979</v>
      </c>
      <c r="CS192" s="187">
        <f t="shared" si="936"/>
        <v>0.95445834728566914</v>
      </c>
      <c r="CT192" s="187">
        <f t="shared" si="936"/>
        <v>0.95116185758243976</v>
      </c>
      <c r="CU192" s="187">
        <f t="shared" si="936"/>
        <v>0.94771356246817218</v>
      </c>
      <c r="CV192" s="187">
        <f t="shared" si="936"/>
        <v>0.9439448295292584</v>
      </c>
      <c r="CW192" s="104">
        <f t="shared" ref="CW192:DQ192" si="950">CW175/CW$174</f>
        <v>0.9439448295292584</v>
      </c>
      <c r="CX192" s="187">
        <f t="shared" si="950"/>
        <v>0.94250660929147712</v>
      </c>
      <c r="CY192" s="187">
        <f t="shared" si="950"/>
        <v>0.94002196962635176</v>
      </c>
      <c r="CZ192" s="187">
        <f t="shared" si="950"/>
        <v>0.93762258247584707</v>
      </c>
      <c r="DA192" s="187">
        <f t="shared" si="950"/>
        <v>0.93422794579323842</v>
      </c>
      <c r="DB192" s="104">
        <f t="shared" si="950"/>
        <v>0.93422794579323842</v>
      </c>
      <c r="DC192" s="187">
        <f t="shared" si="938"/>
        <v>0.93457543768262108</v>
      </c>
      <c r="DD192" s="187">
        <f t="shared" si="938"/>
        <v>0.934904533930074</v>
      </c>
      <c r="DE192" s="187">
        <f t="shared" si="950"/>
        <v>0.93406487622261569</v>
      </c>
      <c r="DF192" s="187">
        <f t="shared" si="950"/>
        <v>0.93665272454146065</v>
      </c>
      <c r="DG192" s="104">
        <f t="shared" si="950"/>
        <v>0.93665272454146065</v>
      </c>
      <c r="DH192" s="187">
        <f t="shared" si="939"/>
        <v>0.93679015282154965</v>
      </c>
      <c r="DI192" s="187">
        <f t="shared" si="939"/>
        <v>0.93809467872665331</v>
      </c>
      <c r="DJ192" s="187">
        <f t="shared" si="939"/>
        <v>0.94067199248120303</v>
      </c>
      <c r="DK192" s="187">
        <f t="shared" si="939"/>
        <v>0.94171689390836211</v>
      </c>
      <c r="DL192" s="104">
        <f t="shared" si="950"/>
        <v>0.94171689390836211</v>
      </c>
      <c r="DM192" s="187">
        <f t="shared" si="950"/>
        <v>0.94168315679199166</v>
      </c>
      <c r="DN192" s="187">
        <f t="shared" si="940"/>
        <v>0.94212330757161955</v>
      </c>
      <c r="DO192" s="187">
        <f t="shared" si="940"/>
        <v>0.94370879908283178</v>
      </c>
      <c r="DP192" s="187">
        <f t="shared" si="940"/>
        <v>0.94468926553672317</v>
      </c>
      <c r="DQ192" s="104">
        <f t="shared" si="950"/>
        <v>0.94468926553672317</v>
      </c>
      <c r="DR192" s="187">
        <f t="shared" si="941"/>
        <v>0.94567540209200318</v>
      </c>
      <c r="DS192" s="187">
        <f t="shared" si="941"/>
        <v>0.94699724517906336</v>
      </c>
      <c r="DT192" s="187">
        <f t="shared" si="941"/>
        <v>0.94789459386036401</v>
      </c>
      <c r="DU192" s="187">
        <f t="shared" si="941"/>
        <v>0.94909970438054292</v>
      </c>
      <c r="DV192" s="104">
        <f t="shared" si="942"/>
        <v>0.94909970438054292</v>
      </c>
      <c r="DW192" s="187">
        <f t="shared" si="942"/>
        <v>0.94961014162202306</v>
      </c>
      <c r="DX192" s="187">
        <f t="shared" si="942"/>
        <v>0.94987600907508041</v>
      </c>
      <c r="DY192" s="187">
        <f t="shared" si="942"/>
        <v>0.94072231721850874</v>
      </c>
      <c r="DZ192" s="187">
        <f t="shared" si="942"/>
        <v>0.93134161237785018</v>
      </c>
      <c r="EA192" s="104">
        <f t="shared" si="943"/>
        <v>0.93134161237785018</v>
      </c>
      <c r="EB192" s="187">
        <f t="shared" si="943"/>
        <v>0.92318045862412756</v>
      </c>
      <c r="EC192" s="187">
        <f t="shared" si="943"/>
        <v>0.91339202282004628</v>
      </c>
      <c r="ED192" s="187">
        <f t="shared" si="943"/>
        <v>0.91139427334448486</v>
      </c>
      <c r="EE192" s="187">
        <f t="shared" si="943"/>
        <v>0.91040391676866583</v>
      </c>
      <c r="EF192" s="104">
        <f t="shared" si="944"/>
        <v>0.91040391676866583</v>
      </c>
      <c r="EG192" s="187">
        <f t="shared" si="944"/>
        <v>0.90913973244800317</v>
      </c>
      <c r="EH192" s="187">
        <f t="shared" si="944"/>
        <v>0.90917378370597834</v>
      </c>
      <c r="EI192" s="187">
        <f t="shared" si="944"/>
        <v>0.90707542671879471</v>
      </c>
      <c r="EJ192" s="187">
        <f t="shared" si="944"/>
        <v>0.90402418288305308</v>
      </c>
      <c r="EK192" s="104">
        <f t="shared" si="945"/>
        <v>0.90402418288305308</v>
      </c>
      <c r="EL192" s="187">
        <f t="shared" si="945"/>
        <v>0.91103438490280475</v>
      </c>
      <c r="EM192" s="187">
        <f t="shared" si="945"/>
        <v>0.91850449597728345</v>
      </c>
      <c r="EN192" s="187">
        <f t="shared" si="945"/>
        <v>0.92651923258671198</v>
      </c>
      <c r="EO192" s="187">
        <f t="shared" si="945"/>
        <v>0.93464485008985154</v>
      </c>
      <c r="EP192" s="104">
        <f t="shared" ref="EP192" si="951">EP175/EP$174</f>
        <v>0.93464485008985154</v>
      </c>
      <c r="EQ192" s="187">
        <f t="shared" si="945"/>
        <v>0.93366232785442804</v>
      </c>
      <c r="ER192" s="187">
        <f t="shared" si="945"/>
        <v>0.93202635773129183</v>
      </c>
      <c r="ES192" s="187">
        <f t="shared" si="945"/>
        <v>0.93073864448434318</v>
      </c>
      <c r="ET192" s="187">
        <f t="shared" si="945"/>
        <v>0.93006979010131174</v>
      </c>
      <c r="EU192" s="104">
        <f t="shared" si="945"/>
        <v>0.93006979010131174</v>
      </c>
      <c r="EV192" s="187"/>
      <c r="EW192" s="187"/>
      <c r="EX192" s="187"/>
      <c r="EY192" s="187"/>
      <c r="EZ192" s="104">
        <f t="shared" ref="EZ192" si="952">EZ175/EZ$174</f>
        <v>0.92929067786717767</v>
      </c>
      <c r="FA192" s="187"/>
      <c r="FB192" s="187"/>
      <c r="FC192" s="187"/>
      <c r="FD192" s="187"/>
      <c r="FE192" s="104">
        <f t="shared" si="948"/>
        <v>0.92955483177758369</v>
      </c>
      <c r="FF192" s="24"/>
      <c r="FG192" s="465"/>
      <c r="FL192" s="388"/>
      <c r="FM192" s="388"/>
      <c r="FN192" s="389"/>
      <c r="FO192" s="389"/>
      <c r="FP192" s="389"/>
      <c r="FQ192" s="389"/>
      <c r="FR192" s="389"/>
      <c r="FS192" s="389"/>
      <c r="FT192" s="465"/>
    </row>
    <row r="193" spans="1:183" ht="12.75" hidden="1" customHeight="1" x14ac:dyDescent="0.2">
      <c r="A193" s="24" t="s">
        <v>382</v>
      </c>
      <c r="B193" s="187"/>
      <c r="C193" s="187"/>
      <c r="D193" s="187"/>
      <c r="E193" s="187"/>
      <c r="F193" s="258"/>
      <c r="G193" s="187"/>
      <c r="H193" s="187"/>
      <c r="I193" s="187"/>
      <c r="J193" s="187"/>
      <c r="K193" s="258"/>
      <c r="L193" s="187"/>
      <c r="M193" s="187"/>
      <c r="N193" s="187"/>
      <c r="O193" s="187"/>
      <c r="P193" s="258"/>
      <c r="Q193" s="187"/>
      <c r="R193" s="187"/>
      <c r="S193" s="187"/>
      <c r="T193" s="187"/>
      <c r="U193" s="258"/>
      <c r="V193" s="187"/>
      <c r="W193" s="187"/>
      <c r="X193" s="187"/>
      <c r="Y193" s="187"/>
      <c r="Z193" s="258"/>
      <c r="AA193" s="187"/>
      <c r="AB193" s="187"/>
      <c r="AC193" s="187"/>
      <c r="AD193" s="187"/>
      <c r="AE193" s="258"/>
      <c r="AF193" s="187"/>
      <c r="AG193" s="187"/>
      <c r="AH193" s="187"/>
      <c r="AI193" s="187"/>
      <c r="AJ193" s="258">
        <f t="shared" si="935"/>
        <v>0.89700014972828723</v>
      </c>
      <c r="AK193" s="187">
        <f t="shared" ref="AK193:CV196" si="953">AK176/AK$174</f>
        <v>0.89188482180998507</v>
      </c>
      <c r="AL193" s="187">
        <f t="shared" si="953"/>
        <v>0.88931578888353147</v>
      </c>
      <c r="AM193" s="187">
        <f t="shared" si="953"/>
        <v>0.87920673420510198</v>
      </c>
      <c r="AN193" s="187">
        <f t="shared" si="953"/>
        <v>0.86265114345157912</v>
      </c>
      <c r="AO193" s="258">
        <f t="shared" si="953"/>
        <v>0.86265114345157923</v>
      </c>
      <c r="AP193" s="187">
        <f t="shared" si="953"/>
        <v>0.85829744454248935</v>
      </c>
      <c r="AQ193" s="187">
        <f t="shared" si="953"/>
        <v>0.84956994017516829</v>
      </c>
      <c r="AR193" s="187">
        <f t="shared" si="953"/>
        <v>0.84041318531143239</v>
      </c>
      <c r="AS193" s="187">
        <f t="shared" si="953"/>
        <v>0.83582750157301444</v>
      </c>
      <c r="AT193" s="258">
        <f t="shared" si="953"/>
        <v>0.83582750157301444</v>
      </c>
      <c r="AU193" s="187">
        <f t="shared" si="953"/>
        <v>0.82812368364340994</v>
      </c>
      <c r="AV193" s="187">
        <f t="shared" si="953"/>
        <v>0.82329166524914221</v>
      </c>
      <c r="AW193" s="187">
        <f t="shared" si="953"/>
        <v>0.82815198222251341</v>
      </c>
      <c r="AX193" s="187">
        <f t="shared" si="953"/>
        <v>0.83495689129985373</v>
      </c>
      <c r="AY193" s="258">
        <f t="shared" si="953"/>
        <v>0.83495689129985362</v>
      </c>
      <c r="AZ193" s="187">
        <f t="shared" si="953"/>
        <v>0.84286764152461646</v>
      </c>
      <c r="BA193" s="187">
        <f t="shared" si="953"/>
        <v>0.83849714538822995</v>
      </c>
      <c r="BB193" s="187">
        <f t="shared" si="953"/>
        <v>0.82841784035641197</v>
      </c>
      <c r="BC193" s="187">
        <f t="shared" si="953"/>
        <v>0.8192522957540056</v>
      </c>
      <c r="BD193" s="258">
        <f t="shared" si="953"/>
        <v>0.81925229575400571</v>
      </c>
      <c r="BE193" s="187">
        <f t="shared" si="953"/>
        <v>0.81563045687366886</v>
      </c>
      <c r="BF193" s="187">
        <f t="shared" si="953"/>
        <v>0.82252287202461272</v>
      </c>
      <c r="BG193" s="187">
        <f t="shared" si="953"/>
        <v>0.85391787732645374</v>
      </c>
      <c r="BH193" s="187">
        <f t="shared" si="953"/>
        <v>0.88639023728149646</v>
      </c>
      <c r="BI193" s="258">
        <f t="shared" si="953"/>
        <v>0.88639023728149646</v>
      </c>
      <c r="BJ193" s="187">
        <f t="shared" si="953"/>
        <v>0.91263977116534789</v>
      </c>
      <c r="BK193" s="187">
        <f t="shared" si="953"/>
        <v>0.93582190975833013</v>
      </c>
      <c r="BL193" s="187">
        <f t="shared" si="953"/>
        <v>0.93684451590952944</v>
      </c>
      <c r="BM193" s="187">
        <f t="shared" si="953"/>
        <v>0.92947481766920281</v>
      </c>
      <c r="BN193" s="258">
        <f t="shared" si="953"/>
        <v>0.92947481766920281</v>
      </c>
      <c r="BO193" s="187">
        <f t="shared" si="953"/>
        <v>0.93126300289200092</v>
      </c>
      <c r="BP193" s="187">
        <f t="shared" si="953"/>
        <v>0.92824436655690545</v>
      </c>
      <c r="BQ193" s="187">
        <f t="shared" si="953"/>
        <v>0.91411123802074368</v>
      </c>
      <c r="BR193" s="187">
        <f t="shared" si="953"/>
        <v>0.91189353099730464</v>
      </c>
      <c r="BS193" s="258">
        <f t="shared" si="953"/>
        <v>0.91189353099730464</v>
      </c>
      <c r="BT193" s="187">
        <f t="shared" si="953"/>
        <v>0.91130334486735864</v>
      </c>
      <c r="BU193" s="187">
        <f t="shared" si="953"/>
        <v>0.90776714513556611</v>
      </c>
      <c r="BV193" s="187">
        <f t="shared" si="953"/>
        <v>0.90857455797214826</v>
      </c>
      <c r="BW193" s="187">
        <f t="shared" si="953"/>
        <v>0.90912850359932607</v>
      </c>
      <c r="BX193" s="258">
        <f t="shared" si="953"/>
        <v>0.90912850359932607</v>
      </c>
      <c r="BY193" s="187">
        <f t="shared" si="953"/>
        <v>0.90831842576028621</v>
      </c>
      <c r="BZ193" s="187">
        <f t="shared" si="953"/>
        <v>0.90599769319492507</v>
      </c>
      <c r="CA193" s="187">
        <f t="shared" si="953"/>
        <v>0.8996000551648049</v>
      </c>
      <c r="CB193" s="187">
        <f t="shared" si="953"/>
        <v>0.90228141896347092</v>
      </c>
      <c r="CC193" s="258">
        <f t="shared" si="953"/>
        <v>0.90228141896347092</v>
      </c>
      <c r="CD193" s="187">
        <f t="shared" si="953"/>
        <v>0.90268295755132888</v>
      </c>
      <c r="CE193" s="187">
        <f t="shared" si="953"/>
        <v>0.8882993841781146</v>
      </c>
      <c r="CF193" s="187">
        <f t="shared" si="953"/>
        <v>0.89362282596339671</v>
      </c>
      <c r="CG193" s="187">
        <f t="shared" si="953"/>
        <v>0.89264802993616554</v>
      </c>
      <c r="CH193" s="258">
        <f t="shared" si="953"/>
        <v>0.89264802993616554</v>
      </c>
      <c r="CI193" s="187">
        <f t="shared" si="953"/>
        <v>0.89953588774959514</v>
      </c>
      <c r="CJ193" s="187">
        <f t="shared" si="953"/>
        <v>0.91167145441004349</v>
      </c>
      <c r="CK193" s="187">
        <f t="shared" si="953"/>
        <v>0.91212026956972525</v>
      </c>
      <c r="CL193" s="187">
        <f t="shared" si="953"/>
        <v>0.91329479768786126</v>
      </c>
      <c r="CM193" s="258">
        <f t="shared" si="953"/>
        <v>0.91329479768786126</v>
      </c>
      <c r="CN193" s="187">
        <f t="shared" si="953"/>
        <v>0.91327381536348473</v>
      </c>
      <c r="CO193" s="187">
        <f t="shared" si="953"/>
        <v>0.9238476953907816</v>
      </c>
      <c r="CP193" s="187">
        <f t="shared" si="953"/>
        <v>0.9380448896308663</v>
      </c>
      <c r="CQ193" s="187">
        <f t="shared" si="953"/>
        <v>0.94212626995645865</v>
      </c>
      <c r="CR193" s="104">
        <f t="shared" si="953"/>
        <v>0.94212626995645865</v>
      </c>
      <c r="CS193" s="187">
        <f t="shared" si="953"/>
        <v>0.94594606930335445</v>
      </c>
      <c r="CT193" s="187">
        <f t="shared" si="953"/>
        <v>0.9470555386385513</v>
      </c>
      <c r="CU193" s="187">
        <f t="shared" si="953"/>
        <v>0.94797033016644916</v>
      </c>
      <c r="CV193" s="187">
        <f t="shared" si="953"/>
        <v>0.94404536179877763</v>
      </c>
      <c r="CW193" s="104">
        <f t="shared" ref="CW193:DQ193" si="954">CW176/CW$174</f>
        <v>0.94404536179877752</v>
      </c>
      <c r="CX193" s="187">
        <f t="shared" si="954"/>
        <v>0.94311519217526196</v>
      </c>
      <c r="CY193" s="187">
        <f t="shared" si="954"/>
        <v>0.92826379635874456</v>
      </c>
      <c r="CZ193" s="187">
        <f t="shared" si="954"/>
        <v>0.91085036308966993</v>
      </c>
      <c r="DA193" s="187">
        <f t="shared" si="954"/>
        <v>0.91029941916475809</v>
      </c>
      <c r="DB193" s="104">
        <f t="shared" si="954"/>
        <v>0.91029941916475809</v>
      </c>
      <c r="DC193" s="187">
        <f t="shared" si="938"/>
        <v>0.91576422934256729</v>
      </c>
      <c r="DD193" s="187">
        <f t="shared" si="938"/>
        <v>0.93085149047884252</v>
      </c>
      <c r="DE193" s="187">
        <f t="shared" si="954"/>
        <v>0.94274203083628028</v>
      </c>
      <c r="DF193" s="187">
        <f t="shared" si="954"/>
        <v>0.95063148722048185</v>
      </c>
      <c r="DG193" s="104">
        <f t="shared" si="954"/>
        <v>0.95063148722048185</v>
      </c>
      <c r="DH193" s="187">
        <f t="shared" si="939"/>
        <v>0.95498602604507343</v>
      </c>
      <c r="DI193" s="187">
        <f t="shared" si="939"/>
        <v>0.94437918477622462</v>
      </c>
      <c r="DJ193" s="187">
        <f t="shared" si="939"/>
        <v>0.94889567669172936</v>
      </c>
      <c r="DK193" s="187">
        <f t="shared" si="939"/>
        <v>0.95090409035051793</v>
      </c>
      <c r="DL193" s="104">
        <f t="shared" si="954"/>
        <v>0.95090409035051793</v>
      </c>
      <c r="DM193" s="187">
        <f t="shared" si="954"/>
        <v>0.94523338377371668</v>
      </c>
      <c r="DN193" s="187">
        <f t="shared" si="940"/>
        <v>0.94566796443721313</v>
      </c>
      <c r="DO193" s="187">
        <f t="shared" si="940"/>
        <v>0.93316136428776153</v>
      </c>
      <c r="DP193" s="187">
        <f t="shared" si="940"/>
        <v>0.91819209039548022</v>
      </c>
      <c r="DQ193" s="104">
        <f t="shared" si="954"/>
        <v>0.91819209039548022</v>
      </c>
      <c r="DR193" s="187">
        <f t="shared" si="941"/>
        <v>0.91125857608817906</v>
      </c>
      <c r="DS193" s="187">
        <f t="shared" si="941"/>
        <v>0.89432506887052343</v>
      </c>
      <c r="DT193" s="187">
        <f t="shared" si="941"/>
        <v>0.88437924477044283</v>
      </c>
      <c r="DU193" s="187">
        <f t="shared" si="941"/>
        <v>0.87207739854877719</v>
      </c>
      <c r="DV193" s="104">
        <f t="shared" si="942"/>
        <v>0.87207739854877719</v>
      </c>
      <c r="DW193" s="187">
        <f t="shared" si="942"/>
        <v>0.84575399140720309</v>
      </c>
      <c r="DX193" s="187">
        <f t="shared" si="942"/>
        <v>0.82920909618530048</v>
      </c>
      <c r="DY193" s="187">
        <f t="shared" si="942"/>
        <v>0.81164827193118816</v>
      </c>
      <c r="DZ193" s="187">
        <f t="shared" si="942"/>
        <v>0.79860545602605859</v>
      </c>
      <c r="EA193" s="104">
        <f t="shared" si="943"/>
        <v>0.79860545602605859</v>
      </c>
      <c r="EB193" s="187">
        <f t="shared" si="943"/>
        <v>0.79366899302093719</v>
      </c>
      <c r="EC193" s="187">
        <f t="shared" si="943"/>
        <v>0.79058673093001519</v>
      </c>
      <c r="ED193" s="187">
        <f t="shared" si="943"/>
        <v>0.79420446718488635</v>
      </c>
      <c r="EE193" s="187">
        <f t="shared" si="943"/>
        <v>0.80616891064871476</v>
      </c>
      <c r="EF193" s="104">
        <f t="shared" si="944"/>
        <v>0.80616891064871476</v>
      </c>
      <c r="EG193" s="187">
        <f t="shared" si="944"/>
        <v>0.82262474367737526</v>
      </c>
      <c r="EH193" s="187">
        <f t="shared" si="944"/>
        <v>0.82832741579502922</v>
      </c>
      <c r="EI193" s="187">
        <f t="shared" si="944"/>
        <v>0.83422332411557165</v>
      </c>
      <c r="EJ193" s="187">
        <f t="shared" si="944"/>
        <v>0.83681277158511236</v>
      </c>
      <c r="EK193" s="104">
        <f t="shared" si="945"/>
        <v>0.83681277158511236</v>
      </c>
      <c r="EL193" s="187">
        <f t="shared" si="945"/>
        <v>0.83904838480821076</v>
      </c>
      <c r="EM193" s="187">
        <f t="shared" si="945"/>
        <v>0.84060577378135348</v>
      </c>
      <c r="EN193" s="187">
        <f t="shared" si="945"/>
        <v>0.84032700122861737</v>
      </c>
      <c r="EO193" s="187">
        <f t="shared" si="945"/>
        <v>0.84171947413222359</v>
      </c>
      <c r="EP193" s="104">
        <f t="shared" ref="EP193" si="955">EP176/EP$174</f>
        <v>0.84171947413222359</v>
      </c>
      <c r="EQ193" s="187">
        <f t="shared" si="945"/>
        <v>0.84235869034103805</v>
      </c>
      <c r="ER193" s="187">
        <f t="shared" si="945"/>
        <v>0.84434821751446143</v>
      </c>
      <c r="ES193" s="187">
        <f t="shared" si="945"/>
        <v>0.84223422421706406</v>
      </c>
      <c r="ET193" s="187">
        <f t="shared" si="945"/>
        <v>0.83678111010292333</v>
      </c>
      <c r="EU193" s="104">
        <f t="shared" si="945"/>
        <v>0.83678111010292322</v>
      </c>
      <c r="EV193" s="187"/>
      <c r="EW193" s="187"/>
      <c r="EX193" s="187"/>
      <c r="EY193" s="187"/>
      <c r="EZ193" s="104">
        <f t="shared" ref="EZ193" si="956">EZ176/EZ$174</f>
        <v>0.81904960225684376</v>
      </c>
      <c r="FA193" s="187"/>
      <c r="FB193" s="187"/>
      <c r="FC193" s="187"/>
      <c r="FD193" s="187"/>
      <c r="FE193" s="104">
        <f t="shared" si="948"/>
        <v>0.80659850168815539</v>
      </c>
      <c r="FF193" s="24"/>
      <c r="FG193" s="465"/>
      <c r="FL193" s="388"/>
      <c r="FM193" s="388"/>
      <c r="FN193" s="389"/>
      <c r="FO193" s="389"/>
      <c r="FP193" s="389"/>
      <c r="FQ193" s="389"/>
      <c r="FR193" s="389"/>
      <c r="FS193" s="389"/>
      <c r="FT193" s="465"/>
    </row>
    <row r="194" spans="1:183" ht="12.75" hidden="1" customHeight="1" x14ac:dyDescent="0.2">
      <c r="A194" s="24" t="s">
        <v>383</v>
      </c>
      <c r="B194" s="187"/>
      <c r="C194" s="187"/>
      <c r="D194" s="187"/>
      <c r="E194" s="187"/>
      <c r="F194" s="258"/>
      <c r="G194" s="187"/>
      <c r="H194" s="187"/>
      <c r="I194" s="187"/>
      <c r="J194" s="187"/>
      <c r="K194" s="258"/>
      <c r="L194" s="187"/>
      <c r="M194" s="187"/>
      <c r="N194" s="187"/>
      <c r="O194" s="187"/>
      <c r="P194" s="258"/>
      <c r="Q194" s="187"/>
      <c r="R194" s="187"/>
      <c r="S194" s="187"/>
      <c r="T194" s="187"/>
      <c r="U194" s="258"/>
      <c r="V194" s="187"/>
      <c r="W194" s="187"/>
      <c r="X194" s="187"/>
      <c r="Y194" s="187"/>
      <c r="Z194" s="258"/>
      <c r="AA194" s="187"/>
      <c r="AB194" s="187"/>
      <c r="AC194" s="187"/>
      <c r="AD194" s="187"/>
      <c r="AE194" s="258"/>
      <c r="AF194" s="187"/>
      <c r="AG194" s="187"/>
      <c r="AH194" s="187"/>
      <c r="AI194" s="187"/>
      <c r="AJ194" s="258">
        <f t="shared" si="935"/>
        <v>0.14229266302034249</v>
      </c>
      <c r="AK194" s="187">
        <f t="shared" si="953"/>
        <v>0.14624243340028903</v>
      </c>
      <c r="AL194" s="187">
        <f t="shared" si="953"/>
        <v>0.14486785598152113</v>
      </c>
      <c r="AM194" s="187">
        <f t="shared" si="953"/>
        <v>0.13874310556104444</v>
      </c>
      <c r="AN194" s="187">
        <f t="shared" si="953"/>
        <v>0.12967650303747544</v>
      </c>
      <c r="AO194" s="258">
        <f t="shared" si="953"/>
        <v>0.12967650303747544</v>
      </c>
      <c r="AP194" s="187">
        <f t="shared" si="953"/>
        <v>0.11939766226394681</v>
      </c>
      <c r="AQ194" s="187">
        <f t="shared" si="953"/>
        <v>0.11036524792155278</v>
      </c>
      <c r="AR194" s="187">
        <f t="shared" si="953"/>
        <v>0.10224840826439054</v>
      </c>
      <c r="AS194" s="187">
        <f t="shared" si="953"/>
        <v>9.3263656405650361E-2</v>
      </c>
      <c r="AT194" s="258">
        <f t="shared" si="953"/>
        <v>9.3263656405650375E-2</v>
      </c>
      <c r="AU194" s="187">
        <f t="shared" si="953"/>
        <v>8.6699754101679877E-2</v>
      </c>
      <c r="AV194" s="187">
        <f t="shared" si="953"/>
        <v>8.549733929722482E-2</v>
      </c>
      <c r="AW194" s="187">
        <f t="shared" si="953"/>
        <v>9.2924276424628582E-2</v>
      </c>
      <c r="AX194" s="187">
        <f t="shared" si="953"/>
        <v>0.10398182949653338</v>
      </c>
      <c r="AY194" s="258">
        <f t="shared" si="953"/>
        <v>0.10398182949653338</v>
      </c>
      <c r="AZ194" s="187">
        <f t="shared" si="953"/>
        <v>0.12316122890763653</v>
      </c>
      <c r="BA194" s="187">
        <f t="shared" si="953"/>
        <v>0.13580726538653437</v>
      </c>
      <c r="BB194" s="187">
        <f t="shared" si="953"/>
        <v>0.1393002305361441</v>
      </c>
      <c r="BC194" s="187">
        <f t="shared" si="953"/>
        <v>0.14238737175992464</v>
      </c>
      <c r="BD194" s="258">
        <f t="shared" si="953"/>
        <v>0.14238737175992469</v>
      </c>
      <c r="BE194" s="187">
        <f t="shared" si="953"/>
        <v>0.13999396798576996</v>
      </c>
      <c r="BF194" s="187">
        <f t="shared" si="953"/>
        <v>0.13955308468721322</v>
      </c>
      <c r="BG194" s="187">
        <f t="shared" si="953"/>
        <v>0.14264578090905491</v>
      </c>
      <c r="BH194" s="187">
        <f t="shared" si="953"/>
        <v>0.13870222606888638</v>
      </c>
      <c r="BI194" s="258">
        <f t="shared" si="953"/>
        <v>0.13870222606888641</v>
      </c>
      <c r="BJ194" s="187">
        <f t="shared" si="953"/>
        <v>0.13583342620453953</v>
      </c>
      <c r="BK194" s="187">
        <f t="shared" si="953"/>
        <v>0.13523757156367616</v>
      </c>
      <c r="BL194" s="187">
        <f t="shared" si="953"/>
        <v>0.1358048905488928</v>
      </c>
      <c r="BM194" s="187">
        <f t="shared" si="953"/>
        <v>0.13904444789984854</v>
      </c>
      <c r="BN194" s="258">
        <f t="shared" si="953"/>
        <v>0.13904444789984854</v>
      </c>
      <c r="BO194" s="187">
        <f t="shared" si="953"/>
        <v>0.14345245691033365</v>
      </c>
      <c r="BP194" s="187">
        <f t="shared" si="953"/>
        <v>0.14235338201009945</v>
      </c>
      <c r="BQ194" s="187">
        <f t="shared" si="953"/>
        <v>0.14029083747011575</v>
      </c>
      <c r="BR194" s="187">
        <f t="shared" si="953"/>
        <v>0.13982479784366578</v>
      </c>
      <c r="BS194" s="258">
        <f t="shared" si="953"/>
        <v>0.13982479784366578</v>
      </c>
      <c r="BT194" s="187">
        <f t="shared" si="953"/>
        <v>0.14038556599110233</v>
      </c>
      <c r="BU194" s="187">
        <f t="shared" si="953"/>
        <v>0.14417862838915471</v>
      </c>
      <c r="BV194" s="187">
        <f t="shared" si="953"/>
        <v>0.14661242372085745</v>
      </c>
      <c r="BW194" s="187">
        <f t="shared" si="953"/>
        <v>0.1531628120692296</v>
      </c>
      <c r="BX194" s="258">
        <f t="shared" si="953"/>
        <v>0.1531628120692296</v>
      </c>
      <c r="BY194" s="187">
        <f t="shared" si="953"/>
        <v>0.15608228980322003</v>
      </c>
      <c r="BZ194" s="187">
        <f t="shared" si="953"/>
        <v>0.16277393310265281</v>
      </c>
      <c r="CA194" s="187">
        <f t="shared" si="953"/>
        <v>0.16549441456350847</v>
      </c>
      <c r="CB194" s="187">
        <f t="shared" si="953"/>
        <v>0.17473295529473823</v>
      </c>
      <c r="CC194" s="258">
        <f t="shared" si="953"/>
        <v>0.17473295529473823</v>
      </c>
      <c r="CD194" s="187">
        <f t="shared" si="953"/>
        <v>0.19297140697820883</v>
      </c>
      <c r="CE194" s="187">
        <f t="shared" si="953"/>
        <v>0.20073424917100899</v>
      </c>
      <c r="CF194" s="187">
        <f t="shared" si="953"/>
        <v>0.22064340115948619</v>
      </c>
      <c r="CG194" s="187">
        <f t="shared" si="953"/>
        <v>0.23079462909971385</v>
      </c>
      <c r="CH194" s="258">
        <f t="shared" si="953"/>
        <v>0.23079462909971385</v>
      </c>
      <c r="CI194" s="187">
        <f t="shared" si="953"/>
        <v>0.23648138154344306</v>
      </c>
      <c r="CJ194" s="187">
        <f t="shared" si="953"/>
        <v>0.24545164379189274</v>
      </c>
      <c r="CK194" s="187">
        <f t="shared" si="953"/>
        <v>0.24904095386210473</v>
      </c>
      <c r="CL194" s="187">
        <f t="shared" si="953"/>
        <v>0.25301693540208903</v>
      </c>
      <c r="CM194" s="258">
        <f t="shared" si="953"/>
        <v>0.25301693540208903</v>
      </c>
      <c r="CN194" s="187">
        <f t="shared" si="953"/>
        <v>0.26086529971549105</v>
      </c>
      <c r="CO194" s="187">
        <f t="shared" si="953"/>
        <v>0.27760282469701308</v>
      </c>
      <c r="CP194" s="187">
        <f t="shared" si="953"/>
        <v>0.29577072899276574</v>
      </c>
      <c r="CQ194" s="187">
        <f t="shared" si="953"/>
        <v>0.30624092888243831</v>
      </c>
      <c r="CR194" s="104">
        <f t="shared" si="953"/>
        <v>0.30624092888243831</v>
      </c>
      <c r="CS194" s="187">
        <f t="shared" si="953"/>
        <v>0.29717865119277659</v>
      </c>
      <c r="CT194" s="187">
        <f t="shared" si="953"/>
        <v>0.28596586330197665</v>
      </c>
      <c r="CU194" s="187">
        <f t="shared" si="953"/>
        <v>0.27967350637709937</v>
      </c>
      <c r="CV194" s="187">
        <f t="shared" si="953"/>
        <v>0.27605073948732634</v>
      </c>
      <c r="CW194" s="104">
        <f t="shared" ref="CW194:DQ194" si="957">CW177/CW$174</f>
        <v>0.27605073948732634</v>
      </c>
      <c r="CX194" s="187">
        <f t="shared" si="957"/>
        <v>0.28571435150347374</v>
      </c>
      <c r="CY194" s="187">
        <f t="shared" si="957"/>
        <v>0.29199775551571044</v>
      </c>
      <c r="CZ194" s="187">
        <f t="shared" si="957"/>
        <v>0.28888303699171947</v>
      </c>
      <c r="DA194" s="187">
        <f t="shared" si="957"/>
        <v>0.29111722035261683</v>
      </c>
      <c r="DB194" s="104">
        <f t="shared" si="957"/>
        <v>0.29111722035261683</v>
      </c>
      <c r="DC194" s="187">
        <f t="shared" si="938"/>
        <v>0.30430433651629102</v>
      </c>
      <c r="DD194" s="187">
        <f t="shared" si="938"/>
        <v>0.32679633257240381</v>
      </c>
      <c r="DE194" s="187">
        <f t="shared" si="957"/>
        <v>0.34622233440682182</v>
      </c>
      <c r="DF194" s="187">
        <f t="shared" si="957"/>
        <v>0.36276431179911628</v>
      </c>
      <c r="DG194" s="104">
        <f t="shared" si="957"/>
        <v>0.36276431179911628</v>
      </c>
      <c r="DH194" s="187">
        <f t="shared" si="939"/>
        <v>0.37033953737289649</v>
      </c>
      <c r="DI194" s="187">
        <f t="shared" si="939"/>
        <v>0.36244567132620698</v>
      </c>
      <c r="DJ194" s="187">
        <f t="shared" si="939"/>
        <v>0.35978618421052633</v>
      </c>
      <c r="DK194" s="187">
        <f t="shared" si="939"/>
        <v>0.35625256012639711</v>
      </c>
      <c r="DL194" s="104">
        <f t="shared" si="957"/>
        <v>0.35625256012639711</v>
      </c>
      <c r="DM194" s="187">
        <f t="shared" si="957"/>
        <v>0.3480968455360261</v>
      </c>
      <c r="DN194" s="187">
        <f t="shared" si="940"/>
        <v>0.34208844209425299</v>
      </c>
      <c r="DO194" s="187">
        <f t="shared" si="940"/>
        <v>0.33247348810547434</v>
      </c>
      <c r="DP194" s="187">
        <f t="shared" si="940"/>
        <v>0.32090395480225986</v>
      </c>
      <c r="DQ194" s="104">
        <f t="shared" si="957"/>
        <v>0.32090395480225986</v>
      </c>
      <c r="DR194" s="187">
        <f t="shared" si="941"/>
        <v>0.31250702958047466</v>
      </c>
      <c r="DS194" s="187">
        <f t="shared" si="941"/>
        <v>0.30341597796143249</v>
      </c>
      <c r="DT194" s="187">
        <f t="shared" si="941"/>
        <v>0.29622385221407227</v>
      </c>
      <c r="DU194" s="187">
        <f t="shared" si="941"/>
        <v>0.28293469497446921</v>
      </c>
      <c r="DV194" s="104">
        <f t="shared" si="942"/>
        <v>0.28293469497446921</v>
      </c>
      <c r="DW194" s="187">
        <f t="shared" si="942"/>
        <v>0.25629873229724714</v>
      </c>
      <c r="DX194" s="187">
        <f t="shared" si="942"/>
        <v>0.23283912837017887</v>
      </c>
      <c r="DY194" s="187">
        <f t="shared" si="942"/>
        <v>0.21384527695735531</v>
      </c>
      <c r="DZ194" s="187">
        <f t="shared" si="942"/>
        <v>0.20042752442996742</v>
      </c>
      <c r="EA194" s="104">
        <f t="shared" si="943"/>
        <v>0.20042752442996742</v>
      </c>
      <c r="EB194" s="187">
        <f t="shared" si="943"/>
        <v>0.1948654037886341</v>
      </c>
      <c r="EC194" s="187">
        <f t="shared" si="943"/>
        <v>0.18895391727733241</v>
      </c>
      <c r="ED194" s="187">
        <f t="shared" si="943"/>
        <v>0.18655908688379416</v>
      </c>
      <c r="EE194" s="187">
        <f t="shared" si="943"/>
        <v>0.18844553243574053</v>
      </c>
      <c r="EF194" s="104">
        <f t="shared" si="944"/>
        <v>0.18844553243574053</v>
      </c>
      <c r="EG194" s="187">
        <f t="shared" si="944"/>
        <v>0.19353578752074993</v>
      </c>
      <c r="EH194" s="187">
        <f t="shared" si="944"/>
        <v>0.1951348239132521</v>
      </c>
      <c r="EI194" s="187">
        <f t="shared" si="944"/>
        <v>0.19443120053399446</v>
      </c>
      <c r="EJ194" s="187">
        <f t="shared" si="944"/>
        <v>0.19346306442471189</v>
      </c>
      <c r="EK194" s="104">
        <f t="shared" si="945"/>
        <v>0.19346306442471189</v>
      </c>
      <c r="EL194" s="187">
        <f t="shared" si="945"/>
        <v>0.19533651799650004</v>
      </c>
      <c r="EM194" s="187">
        <f t="shared" si="945"/>
        <v>0.19706578324656887</v>
      </c>
      <c r="EN194" s="187">
        <f t="shared" si="945"/>
        <v>0.19837444475947452</v>
      </c>
      <c r="EO194" s="187">
        <f t="shared" si="945"/>
        <v>0.20013241274945617</v>
      </c>
      <c r="EP194" s="104">
        <f t="shared" ref="EP194" si="958">EP177/EP$174</f>
        <v>0.20013241274945617</v>
      </c>
      <c r="EQ194" s="187">
        <f t="shared" si="945"/>
        <v>0.20010368491117078</v>
      </c>
      <c r="ER194" s="187">
        <f t="shared" si="945"/>
        <v>0.20041637239189872</v>
      </c>
      <c r="ES194" s="187">
        <f t="shared" si="945"/>
        <v>0.19794010650077468</v>
      </c>
      <c r="ET194" s="187">
        <f t="shared" si="945"/>
        <v>0.19484553029642224</v>
      </c>
      <c r="EU194" s="104">
        <f t="shared" si="945"/>
        <v>0.19484553029642224</v>
      </c>
      <c r="EV194" s="187"/>
      <c r="EW194" s="187"/>
      <c r="EX194" s="187"/>
      <c r="EY194" s="187"/>
      <c r="EZ194" s="104">
        <f t="shared" ref="EZ194" si="959">EZ177/EZ$174</f>
        <v>0.18055444552844846</v>
      </c>
      <c r="FA194" s="187"/>
      <c r="FB194" s="187"/>
      <c r="FC194" s="187"/>
      <c r="FD194" s="187"/>
      <c r="FE194" s="104">
        <f t="shared" si="948"/>
        <v>0.16947520247865633</v>
      </c>
      <c r="FF194" s="24"/>
      <c r="FG194" s="465"/>
      <c r="FL194" s="388"/>
      <c r="FM194" s="388"/>
      <c r="FN194" s="389"/>
      <c r="FO194" s="389"/>
      <c r="FP194" s="389"/>
      <c r="FQ194" s="389"/>
      <c r="FR194" s="389"/>
      <c r="FS194" s="389"/>
      <c r="FT194" s="465"/>
    </row>
    <row r="195" spans="1:183" ht="12.75" hidden="1" customHeight="1" x14ac:dyDescent="0.2">
      <c r="A195" s="24" t="s">
        <v>384</v>
      </c>
      <c r="B195" s="187"/>
      <c r="C195" s="187"/>
      <c r="D195" s="187"/>
      <c r="E195" s="187"/>
      <c r="F195" s="258"/>
      <c r="G195" s="187"/>
      <c r="H195" s="187"/>
      <c r="I195" s="187"/>
      <c r="J195" s="187"/>
      <c r="K195" s="258"/>
      <c r="L195" s="187"/>
      <c r="M195" s="187"/>
      <c r="N195" s="187"/>
      <c r="O195" s="187"/>
      <c r="P195" s="258"/>
      <c r="Q195" s="187"/>
      <c r="R195" s="187"/>
      <c r="S195" s="187"/>
      <c r="T195" s="187"/>
      <c r="U195" s="258"/>
      <c r="V195" s="187"/>
      <c r="W195" s="187"/>
      <c r="X195" s="187"/>
      <c r="Y195" s="187"/>
      <c r="Z195" s="258"/>
      <c r="AA195" s="187"/>
      <c r="AB195" s="187"/>
      <c r="AC195" s="187"/>
      <c r="AD195" s="187"/>
      <c r="AE195" s="258"/>
      <c r="AF195" s="187"/>
      <c r="AG195" s="187"/>
      <c r="AH195" s="187"/>
      <c r="AI195" s="187"/>
      <c r="AJ195" s="258">
        <f t="shared" si="935"/>
        <v>0.75470748670794474</v>
      </c>
      <c r="AK195" s="187">
        <f t="shared" si="953"/>
        <v>0.7456423884096961</v>
      </c>
      <c r="AL195" s="187">
        <f t="shared" si="953"/>
        <v>0.74444793290201039</v>
      </c>
      <c r="AM195" s="187">
        <f t="shared" si="953"/>
        <v>0.74046362864405757</v>
      </c>
      <c r="AN195" s="187">
        <f t="shared" si="953"/>
        <v>0.73297464041410376</v>
      </c>
      <c r="AO195" s="258">
        <f t="shared" si="953"/>
        <v>0.73297464041410376</v>
      </c>
      <c r="AP195" s="187">
        <f t="shared" si="953"/>
        <v>0.73889978227854258</v>
      </c>
      <c r="AQ195" s="187">
        <f t="shared" si="953"/>
        <v>0.73920469225361551</v>
      </c>
      <c r="AR195" s="187">
        <f t="shared" si="953"/>
        <v>0.73816477704704186</v>
      </c>
      <c r="AS195" s="187">
        <f t="shared" si="953"/>
        <v>0.74256384516736407</v>
      </c>
      <c r="AT195" s="258">
        <f t="shared" si="953"/>
        <v>0.74256384516736407</v>
      </c>
      <c r="AU195" s="187">
        <f t="shared" si="953"/>
        <v>0.74142392954173009</v>
      </c>
      <c r="AV195" s="187">
        <f t="shared" si="953"/>
        <v>0.73779432595191752</v>
      </c>
      <c r="AW195" s="187">
        <f t="shared" si="953"/>
        <v>0.73522770579788477</v>
      </c>
      <c r="AX195" s="187">
        <f t="shared" si="953"/>
        <v>0.73097506180332039</v>
      </c>
      <c r="AY195" s="258">
        <f t="shared" si="953"/>
        <v>0.73097506180332028</v>
      </c>
      <c r="AZ195" s="187">
        <f t="shared" si="953"/>
        <v>0.71970641261697987</v>
      </c>
      <c r="BA195" s="187">
        <f t="shared" si="953"/>
        <v>0.70268988000169552</v>
      </c>
      <c r="BB195" s="187">
        <f t="shared" si="953"/>
        <v>0.68911760982026782</v>
      </c>
      <c r="BC195" s="187">
        <f t="shared" si="953"/>
        <v>0.67686492399408094</v>
      </c>
      <c r="BD195" s="258">
        <f t="shared" si="953"/>
        <v>0.67686492399408105</v>
      </c>
      <c r="BE195" s="187">
        <f t="shared" si="953"/>
        <v>0.67563648888789885</v>
      </c>
      <c r="BF195" s="187">
        <f t="shared" si="953"/>
        <v>0.68296978733739944</v>
      </c>
      <c r="BG195" s="187">
        <f t="shared" si="953"/>
        <v>0.71127209641739886</v>
      </c>
      <c r="BH195" s="187">
        <f t="shared" si="953"/>
        <v>0.74768801121261008</v>
      </c>
      <c r="BI195" s="258">
        <f t="shared" si="953"/>
        <v>0.74768801121260997</v>
      </c>
      <c r="BJ195" s="187">
        <f t="shared" si="953"/>
        <v>0.77680634496080836</v>
      </c>
      <c r="BK195" s="187">
        <f t="shared" si="953"/>
        <v>0.80058433819465402</v>
      </c>
      <c r="BL195" s="187">
        <f t="shared" si="953"/>
        <v>0.80103962536063666</v>
      </c>
      <c r="BM195" s="187">
        <f t="shared" si="953"/>
        <v>0.79043036976935444</v>
      </c>
      <c r="BN195" s="258">
        <f t="shared" si="953"/>
        <v>0.79043036976935444</v>
      </c>
      <c r="BO195" s="187">
        <f t="shared" si="953"/>
        <v>0.78781054598166733</v>
      </c>
      <c r="BP195" s="187">
        <f t="shared" si="953"/>
        <v>0.78589098454680595</v>
      </c>
      <c r="BQ195" s="187">
        <f t="shared" si="953"/>
        <v>0.77382040055062784</v>
      </c>
      <c r="BR195" s="187">
        <f t="shared" si="953"/>
        <v>0.77206873315363878</v>
      </c>
      <c r="BS195" s="258">
        <f t="shared" si="953"/>
        <v>0.77206873315363878</v>
      </c>
      <c r="BT195" s="187">
        <f t="shared" si="953"/>
        <v>0.77091777887625634</v>
      </c>
      <c r="BU195" s="187">
        <f t="shared" si="953"/>
        <v>0.76358851674641148</v>
      </c>
      <c r="BV195" s="187">
        <f t="shared" si="953"/>
        <v>0.76196213425129089</v>
      </c>
      <c r="BW195" s="187">
        <f t="shared" si="953"/>
        <v>0.75596569153009652</v>
      </c>
      <c r="BX195" s="258">
        <f t="shared" si="953"/>
        <v>0.75596569153009652</v>
      </c>
      <c r="BY195" s="187">
        <f t="shared" si="953"/>
        <v>0.75223613595706618</v>
      </c>
      <c r="BZ195" s="187">
        <f t="shared" si="953"/>
        <v>0.7432237600922722</v>
      </c>
      <c r="CA195" s="187">
        <f t="shared" si="953"/>
        <v>0.73410564060129635</v>
      </c>
      <c r="CB195" s="187">
        <f t="shared" si="953"/>
        <v>0.72754846366873271</v>
      </c>
      <c r="CC195" s="258">
        <f t="shared" si="953"/>
        <v>0.72754846366873271</v>
      </c>
      <c r="CD195" s="187">
        <f t="shared" si="953"/>
        <v>0.70971155057311996</v>
      </c>
      <c r="CE195" s="187">
        <f t="shared" si="953"/>
        <v>0.6875651350071057</v>
      </c>
      <c r="CF195" s="187">
        <f t="shared" si="953"/>
        <v>0.67297942480391049</v>
      </c>
      <c r="CG195" s="187">
        <f t="shared" si="953"/>
        <v>0.66185340083645172</v>
      </c>
      <c r="CH195" s="258">
        <f t="shared" si="953"/>
        <v>0.66185340083645172</v>
      </c>
      <c r="CI195" s="187">
        <f t="shared" si="953"/>
        <v>0.66305450620615203</v>
      </c>
      <c r="CJ195" s="187">
        <f t="shared" si="953"/>
        <v>0.66621981061815083</v>
      </c>
      <c r="CK195" s="187">
        <f t="shared" si="953"/>
        <v>0.66307931570762046</v>
      </c>
      <c r="CL195" s="187">
        <f t="shared" si="953"/>
        <v>0.66027786228577223</v>
      </c>
      <c r="CM195" s="258">
        <f t="shared" si="953"/>
        <v>0.66027786228577223</v>
      </c>
      <c r="CN195" s="187">
        <f t="shared" si="953"/>
        <v>0.65240851564799374</v>
      </c>
      <c r="CO195" s="187">
        <f t="shared" si="953"/>
        <v>0.64624487069376846</v>
      </c>
      <c r="CP195" s="187">
        <f t="shared" si="953"/>
        <v>0.6422741606381005</v>
      </c>
      <c r="CQ195" s="187">
        <f t="shared" si="953"/>
        <v>0.63588534107402028</v>
      </c>
      <c r="CR195" s="104">
        <f t="shared" si="953"/>
        <v>0.63588534107402028</v>
      </c>
      <c r="CS195" s="187">
        <f t="shared" si="953"/>
        <v>0.64876741811057792</v>
      </c>
      <c r="CT195" s="187">
        <f t="shared" si="953"/>
        <v>0.66108967533657459</v>
      </c>
      <c r="CU195" s="187">
        <f t="shared" si="953"/>
        <v>0.66829682378934985</v>
      </c>
      <c r="CV195" s="187">
        <f t="shared" si="953"/>
        <v>0.66799462231145124</v>
      </c>
      <c r="CW195" s="104">
        <f t="shared" ref="CW195:DQ195" si="960">CW178/CW$174</f>
        <v>0.66799462231145113</v>
      </c>
      <c r="CX195" s="187">
        <f t="shared" si="960"/>
        <v>0.65740084067178817</v>
      </c>
      <c r="CY195" s="187">
        <f t="shared" si="960"/>
        <v>0.63626604084303418</v>
      </c>
      <c r="CZ195" s="187">
        <f t="shared" si="960"/>
        <v>0.62196732609795047</v>
      </c>
      <c r="DA195" s="187">
        <f t="shared" si="960"/>
        <v>0.6191821988121412</v>
      </c>
      <c r="DB195" s="104">
        <f t="shared" si="960"/>
        <v>0.6191821988121412</v>
      </c>
      <c r="DC195" s="187">
        <f t="shared" si="938"/>
        <v>0.61145989282627622</v>
      </c>
      <c r="DD195" s="187">
        <f t="shared" si="938"/>
        <v>0.6040551579064386</v>
      </c>
      <c r="DE195" s="187">
        <f t="shared" si="960"/>
        <v>0.59651969642945835</v>
      </c>
      <c r="DF195" s="187">
        <f t="shared" si="960"/>
        <v>0.58786717542136557</v>
      </c>
      <c r="DG195" s="104">
        <f t="shared" si="960"/>
        <v>0.58786717542136557</v>
      </c>
      <c r="DH195" s="187">
        <f t="shared" si="939"/>
        <v>0.58464648867217694</v>
      </c>
      <c r="DI195" s="187">
        <f t="shared" si="939"/>
        <v>0.58193351345001765</v>
      </c>
      <c r="DJ195" s="187">
        <f t="shared" si="939"/>
        <v>0.58910949248120303</v>
      </c>
      <c r="DK195" s="187">
        <f t="shared" si="939"/>
        <v>0.59465153022412076</v>
      </c>
      <c r="DL195" s="104">
        <f t="shared" si="960"/>
        <v>0.59465153022412076</v>
      </c>
      <c r="DM195" s="187">
        <f t="shared" si="960"/>
        <v>0.59713653823769064</v>
      </c>
      <c r="DN195" s="187">
        <f t="shared" si="940"/>
        <v>0.60357952234296008</v>
      </c>
      <c r="DO195" s="187">
        <f t="shared" si="940"/>
        <v>0.60068787618228714</v>
      </c>
      <c r="DP195" s="187">
        <f t="shared" si="940"/>
        <v>0.59728813559322036</v>
      </c>
      <c r="DQ195" s="104">
        <f t="shared" si="960"/>
        <v>0.59728813559322036</v>
      </c>
      <c r="DR195" s="187">
        <f t="shared" si="941"/>
        <v>0.59875154650770446</v>
      </c>
      <c r="DS195" s="187">
        <f t="shared" si="941"/>
        <v>0.59090909090909094</v>
      </c>
      <c r="DT195" s="187">
        <f t="shared" si="941"/>
        <v>0.5881553925563705</v>
      </c>
      <c r="DU195" s="187">
        <f t="shared" si="941"/>
        <v>0.58914270357430798</v>
      </c>
      <c r="DV195" s="104">
        <f t="shared" si="942"/>
        <v>0.58914270357430798</v>
      </c>
      <c r="DW195" s="187">
        <f t="shared" si="942"/>
        <v>0.589455259109956</v>
      </c>
      <c r="DX195" s="187">
        <f t="shared" si="942"/>
        <v>0.59636996781512164</v>
      </c>
      <c r="DY195" s="187">
        <f t="shared" si="942"/>
        <v>0.59780299497383282</v>
      </c>
      <c r="DZ195" s="187">
        <f t="shared" si="942"/>
        <v>0.59817793159609123</v>
      </c>
      <c r="EA195" s="104">
        <f t="shared" si="943"/>
        <v>0.59817793159609123</v>
      </c>
      <c r="EB195" s="187">
        <f t="shared" si="943"/>
        <v>0.59880358923230315</v>
      </c>
      <c r="EC195" s="187">
        <f t="shared" si="943"/>
        <v>0.60163281365268284</v>
      </c>
      <c r="ED195" s="187">
        <f t="shared" si="943"/>
        <v>0.60764538030109216</v>
      </c>
      <c r="EE195" s="187">
        <f t="shared" si="943"/>
        <v>0.61772337821297429</v>
      </c>
      <c r="EF195" s="104">
        <f t="shared" si="944"/>
        <v>0.61772337821297429</v>
      </c>
      <c r="EG195" s="187">
        <f t="shared" si="944"/>
        <v>0.6290889561566253</v>
      </c>
      <c r="EH195" s="187">
        <f t="shared" si="944"/>
        <v>0.63319259188177723</v>
      </c>
      <c r="EI195" s="187">
        <f t="shared" si="944"/>
        <v>0.63979212358157722</v>
      </c>
      <c r="EJ195" s="187">
        <f t="shared" si="944"/>
        <v>0.64334970716040052</v>
      </c>
      <c r="EK195" s="104">
        <f t="shared" si="945"/>
        <v>0.64334970716040052</v>
      </c>
      <c r="EL195" s="187">
        <f t="shared" si="945"/>
        <v>0.64371186681171078</v>
      </c>
      <c r="EM195" s="187">
        <f t="shared" si="945"/>
        <v>0.64353999053478461</v>
      </c>
      <c r="EN195" s="187">
        <f t="shared" si="945"/>
        <v>0.64195255646914284</v>
      </c>
      <c r="EO195" s="187">
        <f t="shared" si="945"/>
        <v>0.64158706138276744</v>
      </c>
      <c r="EP195" s="104">
        <f t="shared" ref="EP195" si="961">EP178/EP$174</f>
        <v>0.64158706138276744</v>
      </c>
      <c r="EQ195" s="187">
        <f t="shared" si="945"/>
        <v>0.64225500542986724</v>
      </c>
      <c r="ER195" s="187">
        <f t="shared" si="945"/>
        <v>0.64393184512256263</v>
      </c>
      <c r="ES195" s="187">
        <f t="shared" si="945"/>
        <v>0.64429411771628931</v>
      </c>
      <c r="ET195" s="187">
        <f t="shared" si="945"/>
        <v>0.64193557980650107</v>
      </c>
      <c r="EU195" s="104">
        <f t="shared" si="945"/>
        <v>0.64193557980650096</v>
      </c>
      <c r="EV195" s="187"/>
      <c r="EW195" s="187"/>
      <c r="EX195" s="187"/>
      <c r="EY195" s="187"/>
      <c r="EZ195" s="104">
        <f t="shared" ref="EZ195" si="962">EZ178/EZ$174</f>
        <v>0.6384951567283953</v>
      </c>
      <c r="FA195" s="187"/>
      <c r="FB195" s="187"/>
      <c r="FC195" s="187"/>
      <c r="FD195" s="187"/>
      <c r="FE195" s="104">
        <f t="shared" si="948"/>
        <v>0.63712329920949906</v>
      </c>
      <c r="FF195" s="24"/>
      <c r="FG195" s="465"/>
      <c r="FL195" s="388"/>
      <c r="FM195" s="388"/>
      <c r="FN195" s="389"/>
      <c r="FO195" s="389"/>
      <c r="FP195" s="389"/>
      <c r="FQ195" s="389"/>
      <c r="FR195" s="389"/>
      <c r="FS195" s="389"/>
      <c r="FT195" s="465"/>
    </row>
    <row r="196" spans="1:183" ht="12.75" hidden="1" customHeight="1" x14ac:dyDescent="0.2">
      <c r="A196" s="24" t="s">
        <v>385</v>
      </c>
      <c r="B196" s="187"/>
      <c r="C196" s="187"/>
      <c r="D196" s="187"/>
      <c r="E196" s="187"/>
      <c r="F196" s="258"/>
      <c r="G196" s="187"/>
      <c r="H196" s="187"/>
      <c r="I196" s="187"/>
      <c r="J196" s="187"/>
      <c r="K196" s="258"/>
      <c r="L196" s="187"/>
      <c r="M196" s="187"/>
      <c r="N196" s="187"/>
      <c r="O196" s="187"/>
      <c r="P196" s="258"/>
      <c r="Q196" s="187"/>
      <c r="R196" s="187"/>
      <c r="S196" s="187"/>
      <c r="T196" s="187"/>
      <c r="U196" s="258"/>
      <c r="V196" s="187"/>
      <c r="W196" s="187"/>
      <c r="X196" s="187"/>
      <c r="Y196" s="187"/>
      <c r="Z196" s="258"/>
      <c r="AA196" s="187"/>
      <c r="AB196" s="187"/>
      <c r="AC196" s="187"/>
      <c r="AD196" s="187"/>
      <c r="AE196" s="258"/>
      <c r="AF196" s="187"/>
      <c r="AG196" s="187"/>
      <c r="AH196" s="187"/>
      <c r="AI196" s="187"/>
      <c r="AJ196" s="258">
        <f t="shared" si="935"/>
        <v>5.5975773375961851E-2</v>
      </c>
      <c r="AK196" s="187">
        <f t="shared" si="953"/>
        <v>5.5683811566672417E-2</v>
      </c>
      <c r="AL196" s="187">
        <f t="shared" si="953"/>
        <v>5.6230447506811838E-2</v>
      </c>
      <c r="AM196" s="187">
        <f t="shared" si="953"/>
        <v>5.5276391486247599E-2</v>
      </c>
      <c r="AN196" s="187">
        <f t="shared" si="953"/>
        <v>5.2911572222014085E-2</v>
      </c>
      <c r="AO196" s="258">
        <f t="shared" si="953"/>
        <v>5.2911572222014085E-2</v>
      </c>
      <c r="AP196" s="187">
        <f t="shared" si="953"/>
        <v>5.216147489695612E-2</v>
      </c>
      <c r="AQ196" s="187">
        <f t="shared" si="953"/>
        <v>5.0639306536668989E-2</v>
      </c>
      <c r="AR196" s="187">
        <f t="shared" si="953"/>
        <v>4.9711418877753398E-2</v>
      </c>
      <c r="AS196" s="187">
        <f t="shared" si="953"/>
        <v>4.8549704849687084E-2</v>
      </c>
      <c r="AT196" s="258">
        <f t="shared" si="953"/>
        <v>4.8549704849687091E-2</v>
      </c>
      <c r="AU196" s="187">
        <f t="shared" si="953"/>
        <v>4.6905698017500067E-2</v>
      </c>
      <c r="AV196" s="187">
        <f t="shared" si="953"/>
        <v>4.5218091111637326E-2</v>
      </c>
      <c r="AW196" s="187">
        <f t="shared" si="953"/>
        <v>4.3458310811179728E-2</v>
      </c>
      <c r="AX196" s="187">
        <f t="shared" si="953"/>
        <v>4.2178509232329596E-2</v>
      </c>
      <c r="AY196" s="258">
        <f t="shared" si="953"/>
        <v>4.2178509232329596E-2</v>
      </c>
      <c r="AZ196" s="187">
        <f t="shared" si="953"/>
        <v>4.0647501164163234E-2</v>
      </c>
      <c r="BA196" s="187">
        <f t="shared" si="953"/>
        <v>3.857857794795394E-2</v>
      </c>
      <c r="BB196" s="187">
        <f t="shared" si="953"/>
        <v>3.6791474506801536E-2</v>
      </c>
      <c r="BC196" s="187">
        <f t="shared" si="953"/>
        <v>3.4751024858573058E-2</v>
      </c>
      <c r="BD196" s="258">
        <f t="shared" si="953"/>
        <v>3.4751024858573058E-2</v>
      </c>
      <c r="BE196" s="187">
        <f t="shared" si="953"/>
        <v>3.342044338731872E-2</v>
      </c>
      <c r="BF196" s="187">
        <f t="shared" si="953"/>
        <v>3.270260970475522E-2</v>
      </c>
      <c r="BG196" s="187">
        <f t="shared" si="953"/>
        <v>3.3289074666577698E-2</v>
      </c>
      <c r="BH196" s="187">
        <f t="shared" si="953"/>
        <v>3.4582175103786125E-2</v>
      </c>
      <c r="BI196" s="258">
        <f t="shared" si="953"/>
        <v>3.4582175103786132E-2</v>
      </c>
      <c r="BJ196" s="187">
        <f t="shared" si="953"/>
        <v>3.556967197889966E-2</v>
      </c>
      <c r="BK196" s="187">
        <f t="shared" si="953"/>
        <v>3.619285514788545E-2</v>
      </c>
      <c r="BL196" s="187">
        <f t="shared" si="953"/>
        <v>3.5480611150469507E-2</v>
      </c>
      <c r="BM196" s="187">
        <f t="shared" si="953"/>
        <v>3.4198474562645798E-2</v>
      </c>
      <c r="BN196" s="258">
        <f t="shared" si="953"/>
        <v>3.4198474562645798E-2</v>
      </c>
      <c r="BO196" s="187">
        <f t="shared" si="953"/>
        <v>3.3187395062808184E-2</v>
      </c>
      <c r="BP196" s="187">
        <f t="shared" si="953"/>
        <v>3.2551924535105067E-2</v>
      </c>
      <c r="BQ196" s="187">
        <f t="shared" si="953"/>
        <v>3.155404577579083E-2</v>
      </c>
      <c r="BR196" s="187">
        <f t="shared" si="953"/>
        <v>3.0828840970350404E-2</v>
      </c>
      <c r="BS196" s="258">
        <f t="shared" si="953"/>
        <v>3.0828840970350404E-2</v>
      </c>
      <c r="BT196" s="187">
        <f t="shared" si="953"/>
        <v>3.0153237765694514E-2</v>
      </c>
      <c r="BU196" s="187">
        <f t="shared" si="953"/>
        <v>2.8867623604465709E-2</v>
      </c>
      <c r="BV196" s="187">
        <f t="shared" si="953"/>
        <v>2.816460647785949E-2</v>
      </c>
      <c r="BW196" s="187">
        <f t="shared" si="953"/>
        <v>2.7416143360392095E-2</v>
      </c>
      <c r="BX196" s="258">
        <f t="shared" si="953"/>
        <v>2.7416143360392095E-2</v>
      </c>
      <c r="BY196" s="187">
        <f t="shared" si="953"/>
        <v>2.6386404293381037E-2</v>
      </c>
      <c r="BZ196" s="187">
        <f t="shared" si="953"/>
        <v>2.5230680507497116E-2</v>
      </c>
      <c r="CA196" s="187">
        <f t="shared" si="953"/>
        <v>2.2893394014618672E-2</v>
      </c>
      <c r="CB196" s="187">
        <f t="shared" si="953"/>
        <v>2.149545034946591E-2</v>
      </c>
      <c r="CC196" s="258">
        <f t="shared" si="953"/>
        <v>2.149545034946591E-2</v>
      </c>
      <c r="CD196" s="187">
        <f t="shared" si="953"/>
        <v>2.018516185917622E-2</v>
      </c>
      <c r="CE196" s="187">
        <f t="shared" si="953"/>
        <v>1.8652297489341545E-2</v>
      </c>
      <c r="CF196" s="187">
        <f t="shared" si="953"/>
        <v>1.8273274980106856E-2</v>
      </c>
      <c r="CG196" s="187">
        <f t="shared" si="953"/>
        <v>1.7389390270746204E-2</v>
      </c>
      <c r="CH196" s="258">
        <f t="shared" si="953"/>
        <v>1.7389390270746204E-2</v>
      </c>
      <c r="CI196" s="187">
        <f t="shared" si="953"/>
        <v>1.6918510523475445E-2</v>
      </c>
      <c r="CJ196" s="187">
        <f t="shared" si="953"/>
        <v>1.6757101819342483E-2</v>
      </c>
      <c r="CK196" s="187">
        <f t="shared" si="953"/>
        <v>1.6200103680663557E-2</v>
      </c>
      <c r="CL196" s="187">
        <f t="shared" si="953"/>
        <v>1.6022715748909847E-2</v>
      </c>
      <c r="CM196" s="258">
        <f t="shared" si="953"/>
        <v>1.6022715748909847E-2</v>
      </c>
      <c r="CN196" s="187">
        <f t="shared" si="953"/>
        <v>1.5402727361915039E-2</v>
      </c>
      <c r="CO196" s="187">
        <f t="shared" si="953"/>
        <v>1.4791487737379521E-2</v>
      </c>
      <c r="CP196" s="187">
        <f t="shared" si="953"/>
        <v>1.4375811537748098E-2</v>
      </c>
      <c r="CQ196" s="187">
        <f t="shared" si="953"/>
        <v>1.3878809869375907E-2</v>
      </c>
      <c r="CR196" s="104">
        <f t="shared" si="953"/>
        <v>1.3878809869375907E-2</v>
      </c>
      <c r="CS196" s="187">
        <f t="shared" si="953"/>
        <v>1.9348009361925857E-2</v>
      </c>
      <c r="CT196" s="187">
        <f t="shared" si="953"/>
        <v>2.4693348074969802E-2</v>
      </c>
      <c r="CU196" s="187">
        <f t="shared" si="953"/>
        <v>2.9681471045335878E-2</v>
      </c>
      <c r="CV196" s="187">
        <f t="shared" ref="CV196:DM196" si="963">CV179/CV$174</f>
        <v>3.3660661990813114E-2</v>
      </c>
      <c r="CW196" s="104">
        <f t="shared" si="963"/>
        <v>3.3660661990813114E-2</v>
      </c>
      <c r="CX196" s="187">
        <f t="shared" si="963"/>
        <v>3.2957115668664425E-2</v>
      </c>
      <c r="CY196" s="187">
        <f t="shared" si="963"/>
        <v>3.1278606665094799E-2</v>
      </c>
      <c r="CZ196" s="187">
        <f t="shared" si="963"/>
        <v>2.9646841275041993E-2</v>
      </c>
      <c r="DA196" s="187">
        <f t="shared" si="963"/>
        <v>2.869987458011982E-2</v>
      </c>
      <c r="DB196" s="104">
        <f t="shared" si="963"/>
        <v>2.869987458011982E-2</v>
      </c>
      <c r="DC196" s="187">
        <f t="shared" si="963"/>
        <v>2.7665627366991193E-2</v>
      </c>
      <c r="DD196" s="187">
        <f t="shared" si="963"/>
        <v>2.6280209250032494E-2</v>
      </c>
      <c r="DE196" s="187">
        <f t="shared" si="963"/>
        <v>2.4750552885631844E-2</v>
      </c>
      <c r="DF196" s="187">
        <f t="shared" si="963"/>
        <v>2.3448163489420418E-2</v>
      </c>
      <c r="DG196" s="104">
        <f t="shared" si="963"/>
        <v>2.3448163489420418E-2</v>
      </c>
      <c r="DH196" s="187">
        <f t="shared" si="963"/>
        <v>2.2001546054587619E-2</v>
      </c>
      <c r="DI196" s="187">
        <f t="shared" si="963"/>
        <v>2.1202866204628214E-2</v>
      </c>
      <c r="DJ196" s="187">
        <f t="shared" si="963"/>
        <v>2.132283834586466E-2</v>
      </c>
      <c r="DK196" s="187">
        <f t="shared" si="963"/>
        <v>2.077359705073439E-2</v>
      </c>
      <c r="DL196" s="104">
        <f t="shared" si="963"/>
        <v>2.077359705073439E-2</v>
      </c>
      <c r="DM196" s="187">
        <f t="shared" si="963"/>
        <v>2.0952159236410198E-2</v>
      </c>
      <c r="DN196" s="187">
        <f t="shared" si="940"/>
        <v>2.103550467778488E-2</v>
      </c>
      <c r="DO196" s="187">
        <f t="shared" si="940"/>
        <v>2.0750931498996848E-2</v>
      </c>
      <c r="DP196" s="187">
        <f t="shared" si="940"/>
        <v>2.0395480225988701E-2</v>
      </c>
      <c r="DQ196" s="104">
        <f>DQ179/DQ$174</f>
        <v>2.0395480225988701E-2</v>
      </c>
      <c r="DR196" s="187">
        <f t="shared" si="941"/>
        <v>1.9626588685187268E-2</v>
      </c>
      <c r="DS196" s="187">
        <f t="shared" si="941"/>
        <v>1.8292011019283745E-2</v>
      </c>
      <c r="DT196" s="187">
        <f t="shared" si="941"/>
        <v>1.6897582178755772E-2</v>
      </c>
      <c r="DU196" s="187">
        <f t="shared" si="941"/>
        <v>1.5855952700886859E-2</v>
      </c>
      <c r="DV196" s="104">
        <f t="shared" si="942"/>
        <v>1.5855952700886859E-2</v>
      </c>
      <c r="DW196" s="187">
        <f t="shared" si="942"/>
        <v>1.4533495995332308E-2</v>
      </c>
      <c r="DX196" s="187">
        <f t="shared" si="942"/>
        <v>1.3612620693293937E-2</v>
      </c>
      <c r="DY196" s="187">
        <f t="shared" si="942"/>
        <v>1.2798590600549251E-2</v>
      </c>
      <c r="DZ196" s="187">
        <f t="shared" si="942"/>
        <v>1.2113192182410424E-2</v>
      </c>
      <c r="EA196" s="104">
        <f t="shared" si="943"/>
        <v>1.2113192182410424E-2</v>
      </c>
      <c r="EB196" s="187">
        <f t="shared" si="943"/>
        <v>1.1814556331006979E-2</v>
      </c>
      <c r="EC196" s="187">
        <f t="shared" si="943"/>
        <v>1.1655928785717799E-2</v>
      </c>
      <c r="ED196" s="187">
        <f t="shared" si="943"/>
        <v>1.1463150644494735E-2</v>
      </c>
      <c r="EE196" s="187">
        <f t="shared" si="943"/>
        <v>1.1211750305997551E-2</v>
      </c>
      <c r="EF196" s="104">
        <f t="shared" si="944"/>
        <v>1.1211750305997551E-2</v>
      </c>
      <c r="EG196" s="187">
        <f t="shared" si="944"/>
        <v>1.06923152035934E-2</v>
      </c>
      <c r="EH196" s="187">
        <f t="shared" si="944"/>
        <v>1.021974858458881E-2</v>
      </c>
      <c r="EI196" s="187">
        <f t="shared" si="944"/>
        <v>9.917040144941356E-3</v>
      </c>
      <c r="EJ196" s="187">
        <f t="shared" si="944"/>
        <v>9.1158133383714337E-3</v>
      </c>
      <c r="EK196" s="104">
        <f t="shared" si="945"/>
        <v>9.1158133383714337E-3</v>
      </c>
      <c r="EL196" s="187">
        <f t="shared" si="945"/>
        <v>9.3648015891784515E-3</v>
      </c>
      <c r="EM196" s="187">
        <f t="shared" si="945"/>
        <v>9.370563180312352E-3</v>
      </c>
      <c r="EN196" s="187">
        <f t="shared" si="945"/>
        <v>9.3563935355826487E-3</v>
      </c>
      <c r="EO196" s="187">
        <f t="shared" si="945"/>
        <v>9.3634729972571652E-3</v>
      </c>
      <c r="EP196" s="104">
        <f t="shared" ref="EP196" si="964">EP179/EP$174</f>
        <v>9.3634729972571652E-3</v>
      </c>
      <c r="EQ196" s="187">
        <f t="shared" si="945"/>
        <v>8.9908717803722053E-3</v>
      </c>
      <c r="ER196" s="187">
        <f t="shared" si="945"/>
        <v>8.5151744969489181E-3</v>
      </c>
      <c r="ES196" s="187">
        <f t="shared" si="945"/>
        <v>8.1255256852237404E-3</v>
      </c>
      <c r="ET196" s="187">
        <f t="shared" si="945"/>
        <v>7.8494219481414738E-3</v>
      </c>
      <c r="EU196" s="104">
        <f t="shared" si="945"/>
        <v>7.8494219481414738E-3</v>
      </c>
      <c r="EV196" s="187"/>
      <c r="EW196" s="187"/>
      <c r="EX196" s="187"/>
      <c r="EY196" s="187"/>
      <c r="EZ196" s="104">
        <f t="shared" ref="EZ196" si="965">EZ179/EZ$174</f>
        <v>7.3348969254381112E-3</v>
      </c>
      <c r="FA196" s="187"/>
      <c r="FB196" s="187"/>
      <c r="FC196" s="187"/>
      <c r="FD196" s="187"/>
      <c r="FE196" s="104">
        <f t="shared" si="948"/>
        <v>6.7759930220822251E-3</v>
      </c>
      <c r="FF196" s="24"/>
      <c r="FG196" s="465"/>
      <c r="FL196" s="388"/>
      <c r="FM196" s="388"/>
      <c r="FN196" s="389"/>
      <c r="FO196" s="389"/>
      <c r="FP196" s="389"/>
      <c r="FQ196" s="389"/>
      <c r="FR196" s="389"/>
      <c r="FS196" s="389"/>
      <c r="FT196" s="465"/>
    </row>
    <row r="197" spans="1:183" ht="12.75" hidden="1" customHeight="1" x14ac:dyDescent="0.2">
      <c r="A197" s="24" t="s">
        <v>386</v>
      </c>
      <c r="B197" s="187"/>
      <c r="C197" s="187"/>
      <c r="D197" s="187"/>
      <c r="E197" s="187"/>
      <c r="F197" s="258"/>
      <c r="G197" s="187"/>
      <c r="H197" s="187"/>
      <c r="I197" s="187"/>
      <c r="J197" s="187"/>
      <c r="K197" s="258"/>
      <c r="L197" s="187"/>
      <c r="M197" s="187"/>
      <c r="N197" s="187"/>
      <c r="O197" s="187"/>
      <c r="P197" s="258"/>
      <c r="Q197" s="187"/>
      <c r="R197" s="187"/>
      <c r="S197" s="187"/>
      <c r="T197" s="187"/>
      <c r="U197" s="258"/>
      <c r="V197" s="187"/>
      <c r="W197" s="187"/>
      <c r="X197" s="187"/>
      <c r="Y197" s="187"/>
      <c r="Z197" s="258"/>
      <c r="AA197" s="187"/>
      <c r="AB197" s="187"/>
      <c r="AC197" s="187"/>
      <c r="AD197" s="187"/>
      <c r="AE197" s="258"/>
      <c r="AF197" s="187"/>
      <c r="AG197" s="187"/>
      <c r="AH197" s="187"/>
      <c r="AI197" s="187"/>
      <c r="AJ197" s="258">
        <f t="shared" si="935"/>
        <v>0</v>
      </c>
      <c r="AK197" s="187">
        <f t="shared" ref="AK197:BP198" si="966">AK180/AK$174</f>
        <v>0</v>
      </c>
      <c r="AL197" s="187">
        <f t="shared" si="966"/>
        <v>0</v>
      </c>
      <c r="AM197" s="187">
        <f t="shared" si="966"/>
        <v>0</v>
      </c>
      <c r="AN197" s="187">
        <f t="shared" si="966"/>
        <v>0</v>
      </c>
      <c r="AO197" s="258">
        <f t="shared" si="966"/>
        <v>0</v>
      </c>
      <c r="AP197" s="187">
        <f t="shared" si="966"/>
        <v>0</v>
      </c>
      <c r="AQ197" s="187">
        <f t="shared" si="966"/>
        <v>0</v>
      </c>
      <c r="AR197" s="187">
        <f t="shared" si="966"/>
        <v>0</v>
      </c>
      <c r="AS197" s="187">
        <f t="shared" si="966"/>
        <v>0</v>
      </c>
      <c r="AT197" s="258">
        <f t="shared" si="966"/>
        <v>0</v>
      </c>
      <c r="AU197" s="187">
        <f t="shared" si="966"/>
        <v>0</v>
      </c>
      <c r="AV197" s="187">
        <f t="shared" si="966"/>
        <v>0</v>
      </c>
      <c r="AW197" s="187">
        <f t="shared" si="966"/>
        <v>0</v>
      </c>
      <c r="AX197" s="187">
        <f t="shared" si="966"/>
        <v>0</v>
      </c>
      <c r="AY197" s="258">
        <f t="shared" si="966"/>
        <v>0</v>
      </c>
      <c r="AZ197" s="187">
        <f t="shared" si="966"/>
        <v>0</v>
      </c>
      <c r="BA197" s="187">
        <f t="shared" si="966"/>
        <v>0</v>
      </c>
      <c r="BB197" s="187">
        <f t="shared" si="966"/>
        <v>0</v>
      </c>
      <c r="BC197" s="187">
        <f t="shared" si="966"/>
        <v>0</v>
      </c>
      <c r="BD197" s="258">
        <f t="shared" si="966"/>
        <v>0</v>
      </c>
      <c r="BE197" s="187">
        <f t="shared" si="966"/>
        <v>0</v>
      </c>
      <c r="BF197" s="187">
        <f t="shared" si="966"/>
        <v>0</v>
      </c>
      <c r="BG197" s="187">
        <f t="shared" si="966"/>
        <v>0</v>
      </c>
      <c r="BH197" s="187">
        <f t="shared" si="966"/>
        <v>0</v>
      </c>
      <c r="BI197" s="258">
        <f t="shared" si="966"/>
        <v>0</v>
      </c>
      <c r="BJ197" s="187">
        <f t="shared" si="966"/>
        <v>0</v>
      </c>
      <c r="BK197" s="187">
        <f t="shared" si="966"/>
        <v>0</v>
      </c>
      <c r="BL197" s="187">
        <f t="shared" si="966"/>
        <v>0</v>
      </c>
      <c r="BM197" s="187">
        <f t="shared" si="966"/>
        <v>0</v>
      </c>
      <c r="BN197" s="258">
        <f t="shared" si="966"/>
        <v>0</v>
      </c>
      <c r="BO197" s="187">
        <f t="shared" si="966"/>
        <v>0</v>
      </c>
      <c r="BP197" s="187">
        <f t="shared" si="966"/>
        <v>0</v>
      </c>
      <c r="BQ197" s="187">
        <f t="shared" ref="BQ197:CU198" si="967">BQ180/BQ$174</f>
        <v>0</v>
      </c>
      <c r="BR197" s="187">
        <f t="shared" si="967"/>
        <v>0</v>
      </c>
      <c r="BS197" s="258">
        <f t="shared" si="967"/>
        <v>0</v>
      </c>
      <c r="BT197" s="187">
        <f t="shared" si="967"/>
        <v>0</v>
      </c>
      <c r="BU197" s="187">
        <f t="shared" si="967"/>
        <v>0</v>
      </c>
      <c r="BV197" s="187">
        <f t="shared" si="967"/>
        <v>0</v>
      </c>
      <c r="BW197" s="187">
        <f t="shared" si="967"/>
        <v>0</v>
      </c>
      <c r="BX197" s="258">
        <f t="shared" si="967"/>
        <v>0</v>
      </c>
      <c r="BY197" s="187">
        <f t="shared" si="967"/>
        <v>0</v>
      </c>
      <c r="BZ197" s="187">
        <f t="shared" si="967"/>
        <v>0</v>
      </c>
      <c r="CA197" s="187">
        <f t="shared" si="967"/>
        <v>0</v>
      </c>
      <c r="CB197" s="187">
        <f t="shared" si="967"/>
        <v>0</v>
      </c>
      <c r="CC197" s="258">
        <f t="shared" si="967"/>
        <v>0</v>
      </c>
      <c r="CD197" s="187">
        <f t="shared" si="967"/>
        <v>0</v>
      </c>
      <c r="CE197" s="187">
        <f t="shared" si="967"/>
        <v>0</v>
      </c>
      <c r="CF197" s="187">
        <f t="shared" si="967"/>
        <v>0</v>
      </c>
      <c r="CG197" s="187">
        <f t="shared" si="967"/>
        <v>0</v>
      </c>
      <c r="CH197" s="258">
        <f t="shared" si="967"/>
        <v>0</v>
      </c>
      <c r="CI197" s="187">
        <f t="shared" si="967"/>
        <v>0</v>
      </c>
      <c r="CJ197" s="187">
        <f t="shared" si="967"/>
        <v>0</v>
      </c>
      <c r="CK197" s="187">
        <f t="shared" si="967"/>
        <v>0</v>
      </c>
      <c r="CL197" s="187">
        <f t="shared" si="967"/>
        <v>0</v>
      </c>
      <c r="CM197" s="258">
        <f t="shared" si="967"/>
        <v>0</v>
      </c>
      <c r="CN197" s="187">
        <f t="shared" si="967"/>
        <v>0</v>
      </c>
      <c r="CO197" s="187">
        <f t="shared" si="967"/>
        <v>0</v>
      </c>
      <c r="CP197" s="187">
        <f t="shared" si="967"/>
        <v>0</v>
      </c>
      <c r="CQ197" s="187">
        <f t="shared" si="967"/>
        <v>0</v>
      </c>
      <c r="CR197" s="104">
        <f t="shared" si="967"/>
        <v>0</v>
      </c>
      <c r="CS197" s="187">
        <f t="shared" si="967"/>
        <v>0</v>
      </c>
      <c r="CT197" s="187">
        <f t="shared" si="967"/>
        <v>0</v>
      </c>
      <c r="CU197" s="187">
        <f t="shared" si="967"/>
        <v>0</v>
      </c>
      <c r="CV197" s="187">
        <f t="shared" ref="CV197:DM198" si="968">CV180/CV$174</f>
        <v>0</v>
      </c>
      <c r="CW197" s="104">
        <f t="shared" si="968"/>
        <v>0</v>
      </c>
      <c r="CX197" s="187">
        <f t="shared" si="968"/>
        <v>0</v>
      </c>
      <c r="CY197" s="187">
        <f t="shared" si="968"/>
        <v>0</v>
      </c>
      <c r="CZ197" s="187">
        <f t="shared" si="968"/>
        <v>0</v>
      </c>
      <c r="DA197" s="187">
        <f t="shared" si="968"/>
        <v>0</v>
      </c>
      <c r="DB197" s="104">
        <f t="shared" si="968"/>
        <v>0</v>
      </c>
      <c r="DC197" s="187">
        <f t="shared" si="968"/>
        <v>0</v>
      </c>
      <c r="DD197" s="187">
        <f t="shared" si="968"/>
        <v>0</v>
      </c>
      <c r="DE197" s="187">
        <f t="shared" si="968"/>
        <v>0</v>
      </c>
      <c r="DF197" s="187">
        <f t="shared" si="968"/>
        <v>0</v>
      </c>
      <c r="DG197" s="104">
        <f t="shared" si="968"/>
        <v>0</v>
      </c>
      <c r="DH197" s="187">
        <f t="shared" si="968"/>
        <v>0</v>
      </c>
      <c r="DI197" s="187">
        <f t="shared" si="968"/>
        <v>0</v>
      </c>
      <c r="DJ197" s="187">
        <f t="shared" si="968"/>
        <v>0</v>
      </c>
      <c r="DK197" s="187">
        <f t="shared" si="968"/>
        <v>0</v>
      </c>
      <c r="DL197" s="104">
        <f t="shared" si="968"/>
        <v>0</v>
      </c>
      <c r="DM197" s="187">
        <f t="shared" si="968"/>
        <v>0</v>
      </c>
      <c r="DN197" s="187">
        <f t="shared" si="940"/>
        <v>0</v>
      </c>
      <c r="DO197" s="187">
        <f t="shared" si="940"/>
        <v>0</v>
      </c>
      <c r="DP197" s="187">
        <f t="shared" si="940"/>
        <v>0</v>
      </c>
      <c r="DQ197" s="104">
        <f>DQ180/DQ$174</f>
        <v>0</v>
      </c>
      <c r="DR197" s="187">
        <f t="shared" si="941"/>
        <v>0</v>
      </c>
      <c r="DS197" s="187">
        <f t="shared" si="941"/>
        <v>0</v>
      </c>
      <c r="DT197" s="187">
        <f t="shared" si="941"/>
        <v>0</v>
      </c>
      <c r="DU197" s="187">
        <f t="shared" si="941"/>
        <v>0</v>
      </c>
      <c r="DV197" s="104">
        <f t="shared" si="942"/>
        <v>0</v>
      </c>
      <c r="DW197" s="187">
        <f t="shared" si="942"/>
        <v>0</v>
      </c>
      <c r="DX197" s="187">
        <f t="shared" si="942"/>
        <v>0</v>
      </c>
      <c r="DY197" s="187">
        <f t="shared" si="942"/>
        <v>0</v>
      </c>
      <c r="DZ197" s="187">
        <f t="shared" si="942"/>
        <v>0</v>
      </c>
      <c r="EA197" s="104">
        <f t="shared" si="943"/>
        <v>0</v>
      </c>
      <c r="EB197" s="187">
        <f t="shared" si="943"/>
        <v>0</v>
      </c>
      <c r="EC197" s="187">
        <f t="shared" si="943"/>
        <v>0</v>
      </c>
      <c r="ED197" s="187">
        <f t="shared" si="943"/>
        <v>0</v>
      </c>
      <c r="EE197" s="187">
        <f t="shared" si="943"/>
        <v>0</v>
      </c>
      <c r="EF197" s="104">
        <f t="shared" si="944"/>
        <v>0</v>
      </c>
      <c r="EG197" s="187">
        <f t="shared" si="944"/>
        <v>0</v>
      </c>
      <c r="EH197" s="187">
        <f t="shared" si="944"/>
        <v>0</v>
      </c>
      <c r="EI197" s="187">
        <f t="shared" si="944"/>
        <v>0</v>
      </c>
      <c r="EJ197" s="187">
        <f t="shared" si="944"/>
        <v>0</v>
      </c>
      <c r="EK197" s="104">
        <f t="shared" si="945"/>
        <v>0</v>
      </c>
      <c r="EL197" s="187">
        <f t="shared" si="945"/>
        <v>0</v>
      </c>
      <c r="EM197" s="187">
        <f t="shared" si="945"/>
        <v>0</v>
      </c>
      <c r="EN197" s="187">
        <f t="shared" si="945"/>
        <v>0</v>
      </c>
      <c r="EO197" s="187">
        <f t="shared" si="945"/>
        <v>0</v>
      </c>
      <c r="EP197" s="104">
        <f t="shared" ref="EP197" si="969">EP180/EP$174</f>
        <v>0</v>
      </c>
      <c r="EQ197" s="187">
        <f t="shared" si="945"/>
        <v>0</v>
      </c>
      <c r="ER197" s="187">
        <f t="shared" si="945"/>
        <v>0</v>
      </c>
      <c r="ES197" s="187">
        <f t="shared" si="945"/>
        <v>0</v>
      </c>
      <c r="ET197" s="187">
        <f t="shared" si="945"/>
        <v>0</v>
      </c>
      <c r="EU197" s="104">
        <f t="shared" si="945"/>
        <v>0</v>
      </c>
      <c r="EV197" s="187"/>
      <c r="EW197" s="187"/>
      <c r="EX197" s="187"/>
      <c r="EY197" s="187"/>
      <c r="EZ197" s="104">
        <f t="shared" ref="EZ197" si="970">EZ180/EZ$174</f>
        <v>0</v>
      </c>
      <c r="FA197" s="187"/>
      <c r="FB197" s="187"/>
      <c r="FC197" s="187"/>
      <c r="FD197" s="187"/>
      <c r="FE197" s="104">
        <f t="shared" si="948"/>
        <v>0</v>
      </c>
      <c r="FF197" s="24"/>
      <c r="FG197" s="465"/>
      <c r="FL197" s="388"/>
      <c r="FM197" s="388"/>
      <c r="FN197" s="389"/>
      <c r="FO197" s="389"/>
      <c r="FP197" s="389"/>
      <c r="FQ197" s="389"/>
      <c r="FR197" s="389"/>
      <c r="FS197" s="389"/>
      <c r="FT197" s="465"/>
    </row>
    <row r="198" spans="1:183" ht="12.75" hidden="1" customHeight="1" x14ac:dyDescent="0.2">
      <c r="A198" s="24" t="s">
        <v>253</v>
      </c>
      <c r="B198" s="187"/>
      <c r="C198" s="187"/>
      <c r="D198" s="187"/>
      <c r="E198" s="187"/>
      <c r="F198" s="258"/>
      <c r="G198" s="187"/>
      <c r="H198" s="187"/>
      <c r="I198" s="187"/>
      <c r="J198" s="187"/>
      <c r="K198" s="258"/>
      <c r="L198" s="187"/>
      <c r="M198" s="187"/>
      <c r="N198" s="187"/>
      <c r="O198" s="187"/>
      <c r="P198" s="258"/>
      <c r="Q198" s="187"/>
      <c r="R198" s="187"/>
      <c r="S198" s="187"/>
      <c r="T198" s="187"/>
      <c r="U198" s="258"/>
      <c r="V198" s="187"/>
      <c r="W198" s="187"/>
      <c r="X198" s="187"/>
      <c r="Y198" s="187"/>
      <c r="Z198" s="258"/>
      <c r="AA198" s="187"/>
      <c r="AB198" s="187"/>
      <c r="AC198" s="187"/>
      <c r="AD198" s="187"/>
      <c r="AE198" s="258"/>
      <c r="AF198" s="187"/>
      <c r="AG198" s="187"/>
      <c r="AH198" s="187"/>
      <c r="AI198" s="187"/>
      <c r="AJ198" s="258">
        <f t="shared" si="935"/>
        <v>5.3864017356737917E-2</v>
      </c>
      <c r="AK198" s="187">
        <f t="shared" si="966"/>
        <v>5.33530489079556E-2</v>
      </c>
      <c r="AL198" s="187">
        <f t="shared" si="966"/>
        <v>5.3048226679972638E-2</v>
      </c>
      <c r="AM198" s="187">
        <f t="shared" si="966"/>
        <v>5.2528825350136359E-2</v>
      </c>
      <c r="AN198" s="187">
        <f t="shared" si="966"/>
        <v>5.1238452104513152E-2</v>
      </c>
      <c r="AO198" s="258">
        <f t="shared" si="966"/>
        <v>5.1238452104513152E-2</v>
      </c>
      <c r="AP198" s="187">
        <f t="shared" si="966"/>
        <v>5.1431432718749892E-2</v>
      </c>
      <c r="AQ198" s="187">
        <f t="shared" si="966"/>
        <v>5.1485256093140072E-2</v>
      </c>
      <c r="AR198" s="187">
        <f t="shared" si="966"/>
        <v>5.2628389090003544E-2</v>
      </c>
      <c r="AS198" s="187">
        <f t="shared" si="966"/>
        <v>5.4085754494498053E-2</v>
      </c>
      <c r="AT198" s="258">
        <f t="shared" si="966"/>
        <v>5.4085754494498053E-2</v>
      </c>
      <c r="AU198" s="187">
        <f t="shared" si="966"/>
        <v>5.353117528039996E-2</v>
      </c>
      <c r="AV198" s="187">
        <f t="shared" si="966"/>
        <v>5.3073016515305105E-2</v>
      </c>
      <c r="AW198" s="187">
        <f t="shared" si="966"/>
        <v>5.2370859336183413E-2</v>
      </c>
      <c r="AX198" s="187">
        <f t="shared" si="966"/>
        <v>5.250880197111784E-2</v>
      </c>
      <c r="AY198" s="258">
        <f t="shared" si="966"/>
        <v>5.250880197111784E-2</v>
      </c>
      <c r="AZ198" s="187">
        <f t="shared" si="966"/>
        <v>5.2741132727254558E-2</v>
      </c>
      <c r="BA198" s="187">
        <f t="shared" si="966"/>
        <v>5.2023700219292361E-2</v>
      </c>
      <c r="BB198" s="187">
        <f t="shared" si="966"/>
        <v>5.1100384028883658E-2</v>
      </c>
      <c r="BC198" s="187">
        <f t="shared" si="966"/>
        <v>4.9787240068253094E-2</v>
      </c>
      <c r="BD198" s="258">
        <f t="shared" si="966"/>
        <v>4.9787240068253108E-2</v>
      </c>
      <c r="BE198" s="187">
        <f t="shared" si="966"/>
        <v>5.0084568154049415E-2</v>
      </c>
      <c r="BF198" s="187">
        <f t="shared" si="966"/>
        <v>5.0932422950288748E-2</v>
      </c>
      <c r="BG198" s="187">
        <f t="shared" si="966"/>
        <v>5.3962787110166041E-2</v>
      </c>
      <c r="BH198" s="187">
        <f t="shared" si="966"/>
        <v>5.7213509423827219E-2</v>
      </c>
      <c r="BI198" s="258">
        <f t="shared" si="966"/>
        <v>5.7213509423827219E-2</v>
      </c>
      <c r="BJ198" s="187">
        <f t="shared" si="966"/>
        <v>6.0316876555592688E-2</v>
      </c>
      <c r="BK198" s="187">
        <f t="shared" si="966"/>
        <v>6.3135144536173957E-2</v>
      </c>
      <c r="BL198" s="187">
        <f t="shared" si="966"/>
        <v>6.4408565364720866E-2</v>
      </c>
      <c r="BM198" s="187">
        <f t="shared" si="966"/>
        <v>6.4850136835824898E-2</v>
      </c>
      <c r="BN198" s="258">
        <f t="shared" si="966"/>
        <v>6.4850136835824898E-2</v>
      </c>
      <c r="BO198" s="187">
        <f t="shared" si="966"/>
        <v>6.5266811099433511E-2</v>
      </c>
      <c r="BP198" s="187">
        <f t="shared" si="966"/>
        <v>6.5955427353373175E-2</v>
      </c>
      <c r="BQ198" s="187">
        <f t="shared" si="967"/>
        <v>6.4973875078421159E-2</v>
      </c>
      <c r="BR198" s="187">
        <f t="shared" si="967"/>
        <v>6.4690026954177901E-2</v>
      </c>
      <c r="BS198" s="258">
        <f t="shared" si="967"/>
        <v>6.4690026954177901E-2</v>
      </c>
      <c r="BT198" s="187">
        <f t="shared" si="967"/>
        <v>6.4920085681331355E-2</v>
      </c>
      <c r="BU198" s="187">
        <f t="shared" si="967"/>
        <v>6.4752791068580548E-2</v>
      </c>
      <c r="BV198" s="187">
        <f t="shared" si="967"/>
        <v>6.5248005007041157E-2</v>
      </c>
      <c r="BW198" s="187">
        <f t="shared" si="967"/>
        <v>6.6013172001837955E-2</v>
      </c>
      <c r="BX198" s="258">
        <f t="shared" si="967"/>
        <v>6.6013172001837955E-2</v>
      </c>
      <c r="BY198" s="187">
        <f t="shared" si="967"/>
        <v>6.559332140727489E-2</v>
      </c>
      <c r="BZ198" s="187">
        <f t="shared" si="967"/>
        <v>6.4734717416378318E-2</v>
      </c>
      <c r="CA198" s="187">
        <f t="shared" si="967"/>
        <v>6.3715349606950772E-2</v>
      </c>
      <c r="CB198" s="187">
        <f t="shared" si="967"/>
        <v>6.1980746406435451E-2</v>
      </c>
      <c r="CC198" s="258">
        <f t="shared" si="967"/>
        <v>6.1980746406435451E-2</v>
      </c>
      <c r="CD198" s="187">
        <f t="shared" si="967"/>
        <v>6.0681446025947855E-2</v>
      </c>
      <c r="CE198" s="187">
        <f t="shared" si="967"/>
        <v>5.8325438180956896E-2</v>
      </c>
      <c r="CF198" s="187">
        <f t="shared" si="967"/>
        <v>5.7093327270660452E-2</v>
      </c>
      <c r="CG198" s="187">
        <f t="shared" si="967"/>
        <v>5.6680607528065155E-2</v>
      </c>
      <c r="CH198" s="258">
        <f t="shared" si="967"/>
        <v>5.6680607528065155E-2</v>
      </c>
      <c r="CI198" s="187">
        <f t="shared" si="967"/>
        <v>5.6799784133837024E-2</v>
      </c>
      <c r="CJ198" s="187">
        <f t="shared" si="967"/>
        <v>5.7080540483030108E-2</v>
      </c>
      <c r="CK198" s="187">
        <f t="shared" si="967"/>
        <v>5.6583722135821669E-2</v>
      </c>
      <c r="CL198" s="187">
        <f t="shared" si="967"/>
        <v>5.6282324307879522E-2</v>
      </c>
      <c r="CM198" s="258">
        <f t="shared" si="967"/>
        <v>5.6282324307879522E-2</v>
      </c>
      <c r="CN198" s="187">
        <f t="shared" si="967"/>
        <v>5.5430197194152847E-2</v>
      </c>
      <c r="CO198" s="187">
        <f t="shared" si="967"/>
        <v>5.496707701116519E-2</v>
      </c>
      <c r="CP198" s="187">
        <f t="shared" si="967"/>
        <v>5.4535336672231496E-2</v>
      </c>
      <c r="CQ198" s="187">
        <f t="shared" si="967"/>
        <v>5.433599419448476E-2</v>
      </c>
      <c r="CR198" s="104">
        <f t="shared" si="967"/>
        <v>5.433599419448476E-2</v>
      </c>
      <c r="CS198" s="187">
        <f t="shared" si="967"/>
        <v>5.4254317690186606E-2</v>
      </c>
      <c r="CT198" s="187">
        <f t="shared" si="967"/>
        <v>5.4005634384253973E-2</v>
      </c>
      <c r="CU198" s="187">
        <f t="shared" si="967"/>
        <v>5.4318212018643092E-2</v>
      </c>
      <c r="CV198" s="187">
        <f t="shared" si="968"/>
        <v>5.3013517808472153E-2</v>
      </c>
      <c r="CW198" s="104">
        <f t="shared" si="968"/>
        <v>5.3013517808472153E-2</v>
      </c>
      <c r="CX198" s="187">
        <f t="shared" si="968"/>
        <v>5.2009236889717009E-2</v>
      </c>
      <c r="CY198" s="187">
        <f t="shared" si="968"/>
        <v>4.9898102606562737E-2</v>
      </c>
      <c r="CZ198" s="187">
        <f t="shared" si="968"/>
        <v>4.7819714116842583E-2</v>
      </c>
      <c r="DA198" s="187">
        <f t="shared" si="968"/>
        <v>4.6784053480607123E-2</v>
      </c>
      <c r="DB198" s="104">
        <f t="shared" si="968"/>
        <v>4.6784053480607123E-2</v>
      </c>
      <c r="DC198" s="187">
        <f t="shared" si="968"/>
        <v>4.5137409931858184E-2</v>
      </c>
      <c r="DD198" s="187">
        <f t="shared" si="968"/>
        <v>4.4423057918789852E-2</v>
      </c>
      <c r="DE198" s="187">
        <f t="shared" si="968"/>
        <v>4.4113167507343343E-2</v>
      </c>
      <c r="DF198" s="187">
        <f t="shared" si="968"/>
        <v>4.4212511564455652E-2</v>
      </c>
      <c r="DG198" s="104">
        <f t="shared" si="968"/>
        <v>4.4212511564455652E-2</v>
      </c>
      <c r="DH198" s="187">
        <f t="shared" si="968"/>
        <v>4.5549146696794912E-2</v>
      </c>
      <c r="DI198" s="187">
        <f t="shared" si="968"/>
        <v>4.6164689298719606E-2</v>
      </c>
      <c r="DJ198" s="187">
        <f t="shared" si="968"/>
        <v>4.7697368421052634E-2</v>
      </c>
      <c r="DK198" s="187">
        <f t="shared" si="968"/>
        <v>4.9388495523436125E-2</v>
      </c>
      <c r="DL198" s="104">
        <f t="shared" si="968"/>
        <v>4.9388495523436125E-2</v>
      </c>
      <c r="DM198" s="187">
        <f t="shared" si="968"/>
        <v>4.9644977301827493E-2</v>
      </c>
      <c r="DN198" s="187">
        <f t="shared" si="940"/>
        <v>5.0206287407751758E-2</v>
      </c>
      <c r="DO198" s="187">
        <f t="shared" si="940"/>
        <v>4.9756377185439953E-2</v>
      </c>
      <c r="DP198" s="187">
        <f t="shared" si="940"/>
        <v>4.8983050847457625E-2</v>
      </c>
      <c r="DQ198" s="104">
        <f>DQ181/DQ$174</f>
        <v>4.8983050847457625E-2</v>
      </c>
      <c r="DR198" s="187">
        <f t="shared" si="941"/>
        <v>4.9375773253852208E-2</v>
      </c>
      <c r="DS198" s="187">
        <f t="shared" si="941"/>
        <v>4.9201101928374659E-2</v>
      </c>
      <c r="DT198" s="187">
        <f t="shared" si="941"/>
        <v>4.9443086117902747E-2</v>
      </c>
      <c r="DU198" s="187">
        <f t="shared" si="941"/>
        <v>5.0416554689599567E-2</v>
      </c>
      <c r="DV198" s="104">
        <f t="shared" si="942"/>
        <v>5.0416554689599567E-2</v>
      </c>
      <c r="DW198" s="187">
        <f t="shared" si="942"/>
        <v>5.0973319896037768E-2</v>
      </c>
      <c r="DX198" s="187">
        <f t="shared" si="942"/>
        <v>5.1865140083364111E-2</v>
      </c>
      <c r="DY198" s="187">
        <f t="shared" si="942"/>
        <v>5.1971604746359916E-2</v>
      </c>
      <c r="DZ198" s="187">
        <f t="shared" si="942"/>
        <v>5.1659201954397396E-2</v>
      </c>
      <c r="EA198" s="104">
        <f t="shared" si="943"/>
        <v>5.1659201954397396E-2</v>
      </c>
      <c r="EB198" s="187">
        <f t="shared" si="943"/>
        <v>5.28913260219342E-2</v>
      </c>
      <c r="EC198" s="187">
        <f t="shared" si="943"/>
        <v>5.4591058869817535E-2</v>
      </c>
      <c r="ED198" s="187">
        <f t="shared" si="943"/>
        <v>5.7414149365344877E-2</v>
      </c>
      <c r="EE198" s="187">
        <f t="shared" si="943"/>
        <v>5.9828641370869032E-2</v>
      </c>
      <c r="EF198" s="104">
        <f t="shared" si="944"/>
        <v>5.9828641370869032E-2</v>
      </c>
      <c r="EG198" s="187">
        <f t="shared" si="944"/>
        <v>6.1029196367542234E-2</v>
      </c>
      <c r="EH198" s="187">
        <f t="shared" si="944"/>
        <v>6.0934651185106999E-2</v>
      </c>
      <c r="EI198" s="187">
        <f t="shared" si="944"/>
        <v>5.9931343568227331E-2</v>
      </c>
      <c r="EJ198" s="187">
        <f t="shared" si="944"/>
        <v>5.7528811638012468E-2</v>
      </c>
      <c r="EK198" s="104">
        <f t="shared" si="945"/>
        <v>5.7528811638012468E-2</v>
      </c>
      <c r="EL198" s="187">
        <f t="shared" si="945"/>
        <v>5.7607718866764412E-2</v>
      </c>
      <c r="EM198" s="187">
        <f t="shared" si="945"/>
        <v>5.7643161381921437E-2</v>
      </c>
      <c r="EN198" s="187">
        <f t="shared" si="945"/>
        <v>5.7555996597675081E-2</v>
      </c>
      <c r="EO198" s="187">
        <f t="shared" si="945"/>
        <v>5.7599546013430439E-2</v>
      </c>
      <c r="EP198" s="104">
        <f t="shared" ref="EP198" si="971">EP181/EP$174</f>
        <v>5.7599546013430439E-2</v>
      </c>
      <c r="EQ198" s="187">
        <f t="shared" si="945"/>
        <v>5.5838824534729915E-2</v>
      </c>
      <c r="ER198" s="187">
        <f t="shared" si="945"/>
        <v>5.4332138142066319E-2</v>
      </c>
      <c r="ES198" s="187">
        <f t="shared" si="945"/>
        <v>5.3866362043597356E-2</v>
      </c>
      <c r="ET198" s="187">
        <f t="shared" si="945"/>
        <v>5.4451291738431586E-2</v>
      </c>
      <c r="EU198" s="104">
        <f t="shared" si="945"/>
        <v>5.4451291738431572E-2</v>
      </c>
      <c r="EV198" s="187"/>
      <c r="EW198" s="187"/>
      <c r="EX198" s="187"/>
      <c r="EY198" s="187"/>
      <c r="EZ198" s="104">
        <f t="shared" ref="EZ198" si="972">EZ181/EZ$174</f>
        <v>5.2840969980203586E-2</v>
      </c>
      <c r="FA198" s="187"/>
      <c r="FB198" s="187"/>
      <c r="FC198" s="187"/>
      <c r="FD198" s="187"/>
      <c r="FE198" s="104">
        <f t="shared" si="948"/>
        <v>5.1335850923586369E-2</v>
      </c>
      <c r="FF198" s="24"/>
      <c r="FG198" s="465"/>
      <c r="FL198" s="388"/>
      <c r="FM198" s="388"/>
      <c r="FN198" s="389"/>
      <c r="FO198" s="389"/>
      <c r="FP198" s="389"/>
      <c r="FQ198" s="389"/>
      <c r="FR198" s="389"/>
      <c r="FS198" s="389"/>
      <c r="FT198" s="465"/>
    </row>
    <row r="199" spans="1:183" ht="12.75" hidden="1" customHeight="1" x14ac:dyDescent="0.2">
      <c r="A199" s="24" t="s">
        <v>387</v>
      </c>
      <c r="B199" s="187"/>
      <c r="C199" s="187"/>
      <c r="D199" s="187"/>
      <c r="E199" s="187"/>
      <c r="F199" s="258"/>
      <c r="G199" s="187"/>
      <c r="H199" s="187"/>
      <c r="I199" s="187"/>
      <c r="J199" s="187"/>
      <c r="K199" s="258"/>
      <c r="L199" s="187"/>
      <c r="M199" s="187"/>
      <c r="N199" s="187"/>
      <c r="O199" s="187"/>
      <c r="P199" s="258"/>
      <c r="Q199" s="187"/>
      <c r="R199" s="187"/>
      <c r="S199" s="187"/>
      <c r="T199" s="187"/>
      <c r="U199" s="258"/>
      <c r="V199" s="187"/>
      <c r="W199" s="187"/>
      <c r="X199" s="187"/>
      <c r="Y199" s="187"/>
      <c r="Z199" s="258"/>
      <c r="AA199" s="187"/>
      <c r="AB199" s="187"/>
      <c r="AC199" s="187"/>
      <c r="AD199" s="187"/>
      <c r="AE199" s="258"/>
      <c r="AF199" s="187"/>
      <c r="AG199" s="187"/>
      <c r="AH199" s="187"/>
      <c r="AI199" s="187"/>
      <c r="AJ199" s="258">
        <f t="shared" si="935"/>
        <v>0.10299985027171274</v>
      </c>
      <c r="AK199" s="187">
        <f t="shared" ref="AK199:BP199" si="973">AK182/AK$174</f>
        <v>0.10811517819001487</v>
      </c>
      <c r="AL199" s="187">
        <f t="shared" si="973"/>
        <v>0.11068421111646848</v>
      </c>
      <c r="AM199" s="187">
        <f t="shared" si="973"/>
        <v>0.12079326579489802</v>
      </c>
      <c r="AN199" s="187">
        <f t="shared" si="973"/>
        <v>0.13734885654842088</v>
      </c>
      <c r="AO199" s="258">
        <f t="shared" si="973"/>
        <v>0.13734885654842088</v>
      </c>
      <c r="AP199" s="187">
        <f t="shared" si="973"/>
        <v>0.14170255545751079</v>
      </c>
      <c r="AQ199" s="187">
        <f t="shared" si="973"/>
        <v>0.15043005982483157</v>
      </c>
      <c r="AR199" s="187">
        <f t="shared" si="973"/>
        <v>0.1595868146885677</v>
      </c>
      <c r="AS199" s="187">
        <f t="shared" si="973"/>
        <v>0.16417249842698564</v>
      </c>
      <c r="AT199" s="258">
        <f t="shared" si="973"/>
        <v>0.16417249842698564</v>
      </c>
      <c r="AU199" s="187">
        <f t="shared" si="973"/>
        <v>0.1718763163565902</v>
      </c>
      <c r="AV199" s="187">
        <f t="shared" si="973"/>
        <v>0.1767083347508577</v>
      </c>
      <c r="AW199" s="187">
        <f t="shared" si="973"/>
        <v>0.17184801777748654</v>
      </c>
      <c r="AX199" s="187">
        <f t="shared" si="973"/>
        <v>0.16504310870014635</v>
      </c>
      <c r="AY199" s="258">
        <f t="shared" si="973"/>
        <v>0.16504310870014635</v>
      </c>
      <c r="AZ199" s="187">
        <f t="shared" si="973"/>
        <v>0.15713235847538368</v>
      </c>
      <c r="BA199" s="187">
        <f t="shared" si="973"/>
        <v>0.16150285461177008</v>
      </c>
      <c r="BB199" s="187">
        <f t="shared" si="973"/>
        <v>0.17158215964358786</v>
      </c>
      <c r="BC199" s="187">
        <f t="shared" si="973"/>
        <v>0.18074770424599429</v>
      </c>
      <c r="BD199" s="258">
        <f t="shared" si="973"/>
        <v>0.18074770424599432</v>
      </c>
      <c r="BE199" s="187">
        <f t="shared" si="973"/>
        <v>0.18436954312633122</v>
      </c>
      <c r="BF199" s="187">
        <f t="shared" si="973"/>
        <v>0.1774771279753872</v>
      </c>
      <c r="BG199" s="187">
        <f t="shared" si="973"/>
        <v>0.14608212267354612</v>
      </c>
      <c r="BH199" s="187">
        <f t="shared" si="973"/>
        <v>0.11360976271850348</v>
      </c>
      <c r="BI199" s="258">
        <f t="shared" si="973"/>
        <v>0.11360976271850348</v>
      </c>
      <c r="BJ199" s="187">
        <f t="shared" si="973"/>
        <v>8.7360228834652082E-2</v>
      </c>
      <c r="BK199" s="187">
        <f t="shared" si="973"/>
        <v>6.4178090241669844E-2</v>
      </c>
      <c r="BL199" s="187">
        <f t="shared" si="973"/>
        <v>6.3155484090470615E-2</v>
      </c>
      <c r="BM199" s="187">
        <f t="shared" si="973"/>
        <v>7.0525182330797256E-2</v>
      </c>
      <c r="BN199" s="258">
        <f t="shared" si="973"/>
        <v>7.0525182330797256E-2</v>
      </c>
      <c r="BO199" s="187">
        <f t="shared" si="973"/>
        <v>6.8736997107999104E-2</v>
      </c>
      <c r="BP199" s="187">
        <f t="shared" si="973"/>
        <v>7.1755633443094657E-2</v>
      </c>
      <c r="BQ199" s="187">
        <f t="shared" ref="BQ199:CU199" si="974">BQ182/BQ$174</f>
        <v>8.5888761979256406E-2</v>
      </c>
      <c r="BR199" s="187">
        <f t="shared" si="974"/>
        <v>8.810646900269542E-2</v>
      </c>
      <c r="BS199" s="258">
        <f t="shared" si="974"/>
        <v>8.810646900269542E-2</v>
      </c>
      <c r="BT199" s="187">
        <f t="shared" si="974"/>
        <v>8.8696655132641286E-2</v>
      </c>
      <c r="BU199" s="187">
        <f t="shared" si="974"/>
        <v>9.2232854864433805E-2</v>
      </c>
      <c r="BV199" s="187">
        <f t="shared" si="974"/>
        <v>9.1425442027851661E-2</v>
      </c>
      <c r="BW199" s="187">
        <f t="shared" si="974"/>
        <v>9.0871496400673907E-2</v>
      </c>
      <c r="BX199" s="258">
        <f t="shared" si="974"/>
        <v>9.0871496400673907E-2</v>
      </c>
      <c r="BY199" s="187">
        <f t="shared" si="974"/>
        <v>9.1681574239713778E-2</v>
      </c>
      <c r="BZ199" s="187">
        <f t="shared" si="974"/>
        <v>9.4002306805074973E-2</v>
      </c>
      <c r="CA199" s="187">
        <f t="shared" si="974"/>
        <v>0.10039994483519514</v>
      </c>
      <c r="CB199" s="187">
        <f t="shared" si="974"/>
        <v>9.7718581036529084E-2</v>
      </c>
      <c r="CC199" s="258">
        <f t="shared" si="974"/>
        <v>9.7718581036529084E-2</v>
      </c>
      <c r="CD199" s="187">
        <f t="shared" si="974"/>
        <v>9.7317042448671107E-2</v>
      </c>
      <c r="CE199" s="187">
        <f t="shared" si="974"/>
        <v>0.11170061582188534</v>
      </c>
      <c r="CF199" s="187">
        <f t="shared" si="974"/>
        <v>0.10637717403660335</v>
      </c>
      <c r="CG199" s="187">
        <f t="shared" si="974"/>
        <v>0.10735197006383443</v>
      </c>
      <c r="CH199" s="258">
        <f t="shared" si="974"/>
        <v>0.10735197006383443</v>
      </c>
      <c r="CI199" s="187">
        <f t="shared" si="974"/>
        <v>0.10046411225040472</v>
      </c>
      <c r="CJ199" s="187">
        <f t="shared" si="974"/>
        <v>8.8328545589956356E-2</v>
      </c>
      <c r="CK199" s="187">
        <f t="shared" si="974"/>
        <v>8.787973043027475E-2</v>
      </c>
      <c r="CL199" s="187">
        <f t="shared" si="974"/>
        <v>8.6705202312138727E-2</v>
      </c>
      <c r="CM199" s="258">
        <f t="shared" si="974"/>
        <v>8.6705202312138727E-2</v>
      </c>
      <c r="CN199" s="187">
        <f t="shared" si="974"/>
        <v>8.6726184636515255E-2</v>
      </c>
      <c r="CO199" s="187">
        <f t="shared" si="974"/>
        <v>7.6152304609218444E-2</v>
      </c>
      <c r="CP199" s="187">
        <f t="shared" si="974"/>
        <v>6.1955110369133738E-2</v>
      </c>
      <c r="CQ199" s="187">
        <f t="shared" si="974"/>
        <v>5.7873730043541363E-2</v>
      </c>
      <c r="CR199" s="104">
        <f t="shared" si="974"/>
        <v>5.7873730043541363E-2</v>
      </c>
      <c r="CS199" s="187">
        <f t="shared" si="974"/>
        <v>5.4053930696645415E-2</v>
      </c>
      <c r="CT199" s="187">
        <f t="shared" si="974"/>
        <v>5.2944461361448716E-2</v>
      </c>
      <c r="CU199" s="187">
        <f t="shared" si="974"/>
        <v>5.2029669833550798E-2</v>
      </c>
      <c r="CV199" s="187">
        <f t="shared" ref="CV199:DM199" si="975">CV182/CV$174</f>
        <v>5.5954638201222429E-2</v>
      </c>
      <c r="CW199" s="104">
        <f t="shared" si="975"/>
        <v>5.5954638201222429E-2</v>
      </c>
      <c r="CX199" s="187">
        <f t="shared" si="975"/>
        <v>5.688480782473794E-2</v>
      </c>
      <c r="CY199" s="187">
        <f t="shared" si="975"/>
        <v>7.1736203641255353E-2</v>
      </c>
      <c r="CZ199" s="187">
        <f t="shared" si="975"/>
        <v>8.9149636910329982E-2</v>
      </c>
      <c r="DA199" s="187">
        <f t="shared" si="975"/>
        <v>8.9700580835241919E-2</v>
      </c>
      <c r="DB199" s="104">
        <f t="shared" si="975"/>
        <v>8.9700580835241919E-2</v>
      </c>
      <c r="DC199" s="187">
        <f t="shared" si="975"/>
        <v>8.4235770657432804E-2</v>
      </c>
      <c r="DD199" s="187">
        <f t="shared" si="975"/>
        <v>6.9148509521157558E-2</v>
      </c>
      <c r="DE199" s="187">
        <f t="shared" si="975"/>
        <v>5.7257969163719821E-2</v>
      </c>
      <c r="DF199" s="187">
        <f t="shared" si="975"/>
        <v>4.9368512779518155E-2</v>
      </c>
      <c r="DG199" s="104">
        <f t="shared" si="975"/>
        <v>4.9368512779518155E-2</v>
      </c>
      <c r="DH199" s="187">
        <f t="shared" si="975"/>
        <v>4.501397395492656E-2</v>
      </c>
      <c r="DI199" s="187">
        <f t="shared" si="975"/>
        <v>5.5620815223775405E-2</v>
      </c>
      <c r="DJ199" s="187">
        <f t="shared" si="975"/>
        <v>5.110432330827068E-2</v>
      </c>
      <c r="DK199" s="187">
        <f t="shared" si="975"/>
        <v>4.9095909649482121E-2</v>
      </c>
      <c r="DL199" s="104">
        <f t="shared" si="975"/>
        <v>4.9095909649482121E-2</v>
      </c>
      <c r="DM199" s="187">
        <f t="shared" si="975"/>
        <v>5.4766616226283323E-2</v>
      </c>
      <c r="DN199" s="187">
        <f t="shared" si="940"/>
        <v>5.4332035562786915E-2</v>
      </c>
      <c r="DO199" s="187">
        <f t="shared" si="940"/>
        <v>6.683863571223847E-2</v>
      </c>
      <c r="DP199" s="187">
        <f t="shared" si="940"/>
        <v>8.180790960451978E-2</v>
      </c>
      <c r="DQ199" s="104">
        <f>DQ182/DQ$174</f>
        <v>8.180790960451978E-2</v>
      </c>
      <c r="DR199" s="187">
        <f t="shared" si="941"/>
        <v>8.8741423911820938E-2</v>
      </c>
      <c r="DS199" s="187">
        <f t="shared" si="941"/>
        <v>0.10567493112947658</v>
      </c>
      <c r="DT199" s="187">
        <f t="shared" si="941"/>
        <v>0.11562075522955718</v>
      </c>
      <c r="DU199" s="187">
        <f t="shared" si="941"/>
        <v>0.12792260145122278</v>
      </c>
      <c r="DV199" s="104">
        <f t="shared" si="942"/>
        <v>0.12792260145122278</v>
      </c>
      <c r="DW199" s="187">
        <f t="shared" si="942"/>
        <v>0.15424600859279691</v>
      </c>
      <c r="DX199" s="187">
        <f t="shared" si="942"/>
        <v>0.17079090381469952</v>
      </c>
      <c r="DY199" s="187">
        <f t="shared" si="942"/>
        <v>0.18835172806881187</v>
      </c>
      <c r="DZ199" s="187">
        <f t="shared" si="942"/>
        <v>0.20139454397394138</v>
      </c>
      <c r="EA199" s="104">
        <f t="shared" ref="EA199:EE206" si="976">EA182/EA$174</f>
        <v>0.20139454397394138</v>
      </c>
      <c r="EB199" s="187">
        <f t="shared" si="976"/>
        <v>0.20633100697906281</v>
      </c>
      <c r="EC199" s="187">
        <f t="shared" si="976"/>
        <v>0.20941326906998475</v>
      </c>
      <c r="ED199" s="187">
        <f t="shared" si="976"/>
        <v>0.20579553281511365</v>
      </c>
      <c r="EE199" s="187">
        <f t="shared" si="976"/>
        <v>0.19383108935128518</v>
      </c>
      <c r="EF199" s="104">
        <f t="shared" si="944"/>
        <v>0.19383108935128518</v>
      </c>
      <c r="EG199" s="187">
        <f t="shared" si="944"/>
        <v>0.17737525632262474</v>
      </c>
      <c r="EH199" s="187">
        <f t="shared" si="944"/>
        <v>0.17167258420497072</v>
      </c>
      <c r="EI199" s="187">
        <f t="shared" si="944"/>
        <v>0.16577667588442835</v>
      </c>
      <c r="EJ199" s="187">
        <f t="shared" si="944"/>
        <v>0.16318722841488759</v>
      </c>
      <c r="EK199" s="104">
        <f t="shared" si="945"/>
        <v>0.16318722841488759</v>
      </c>
      <c r="EL199" s="187">
        <f t="shared" si="945"/>
        <v>0.16095161519178924</v>
      </c>
      <c r="EM199" s="187">
        <f t="shared" si="945"/>
        <v>0.15939422621864646</v>
      </c>
      <c r="EN199" s="187">
        <f t="shared" si="945"/>
        <v>0.15967299877138266</v>
      </c>
      <c r="EO199" s="187">
        <f t="shared" si="945"/>
        <v>0.15828052586777641</v>
      </c>
      <c r="EP199" s="104">
        <f t="shared" ref="EP199" si="977">EP182/EP$174</f>
        <v>0.15828052586777641</v>
      </c>
      <c r="EQ199" s="187">
        <f t="shared" si="945"/>
        <v>0.157641309658962</v>
      </c>
      <c r="ER199" s="187">
        <f t="shared" si="945"/>
        <v>0.15565178248553863</v>
      </c>
      <c r="ES199" s="187">
        <f t="shared" si="945"/>
        <v>0.15776577578293602</v>
      </c>
      <c r="ET199" s="187">
        <f t="shared" si="945"/>
        <v>0.16321888989707675</v>
      </c>
      <c r="EU199" s="104">
        <f t="shared" si="945"/>
        <v>0.16321888989707684</v>
      </c>
      <c r="EV199" s="187"/>
      <c r="EW199" s="187"/>
      <c r="EX199" s="187"/>
      <c r="EY199" s="187"/>
      <c r="EZ199" s="104">
        <f t="shared" ref="EZ199" si="978">EZ182/EZ$174</f>
        <v>0.18095039774315627</v>
      </c>
      <c r="FA199" s="187"/>
      <c r="FB199" s="187"/>
      <c r="FC199" s="187"/>
      <c r="FD199" s="187"/>
      <c r="FE199" s="104">
        <f t="shared" si="948"/>
        <v>0.19340149831184467</v>
      </c>
      <c r="FF199" s="24"/>
      <c r="FG199" s="465"/>
      <c r="FL199" s="388"/>
      <c r="FM199" s="388"/>
      <c r="FN199" s="389"/>
      <c r="FO199" s="389"/>
      <c r="FP199" s="389"/>
      <c r="FQ199" s="389"/>
      <c r="FR199" s="389"/>
      <c r="FS199" s="389"/>
      <c r="FT199" s="465"/>
    </row>
    <row r="200" spans="1:183" ht="12.75" hidden="1" customHeight="1" x14ac:dyDescent="0.2">
      <c r="A200" s="24" t="s">
        <v>389</v>
      </c>
      <c r="B200" s="187"/>
      <c r="C200" s="187"/>
      <c r="D200" s="187"/>
      <c r="E200" s="187"/>
      <c r="F200" s="258"/>
      <c r="G200" s="187"/>
      <c r="H200" s="187"/>
      <c r="I200" s="187"/>
      <c r="J200" s="187"/>
      <c r="K200" s="258"/>
      <c r="L200" s="187"/>
      <c r="M200" s="187"/>
      <c r="N200" s="187"/>
      <c r="O200" s="187"/>
      <c r="P200" s="258"/>
      <c r="Q200" s="187"/>
      <c r="R200" s="187"/>
      <c r="S200" s="187"/>
      <c r="T200" s="187"/>
      <c r="U200" s="258"/>
      <c r="V200" s="187"/>
      <c r="W200" s="187"/>
      <c r="X200" s="187"/>
      <c r="Y200" s="187"/>
      <c r="Z200" s="258"/>
      <c r="AA200" s="187"/>
      <c r="AB200" s="187"/>
      <c r="AC200" s="187"/>
      <c r="AD200" s="187"/>
      <c r="AE200" s="258"/>
      <c r="AF200" s="187"/>
      <c r="AG200" s="187"/>
      <c r="AH200" s="187"/>
      <c r="AI200" s="187"/>
      <c r="AJ200" s="258">
        <f t="shared" ref="AJ200:AJ206" si="979">AJ183/AJ$174</f>
        <v>0.21283964100441249</v>
      </c>
      <c r="AK200" s="187">
        <f t="shared" ref="AK200:CU200" si="980">AK183/AK$174</f>
        <v>0.21715203866464289</v>
      </c>
      <c r="AL200" s="187">
        <f t="shared" si="980"/>
        <v>0.21996288530325295</v>
      </c>
      <c r="AM200" s="187">
        <f t="shared" si="980"/>
        <v>0.22859848263128196</v>
      </c>
      <c r="AN200" s="187">
        <f t="shared" si="980"/>
        <v>0.24149888087494814</v>
      </c>
      <c r="AO200" s="258">
        <f t="shared" si="980"/>
        <v>0.24149888087494814</v>
      </c>
      <c r="AP200" s="187">
        <f t="shared" si="980"/>
        <v>0.24529546307321679</v>
      </c>
      <c r="AQ200" s="187">
        <f t="shared" si="980"/>
        <v>0.25255462245464066</v>
      </c>
      <c r="AR200" s="187">
        <f t="shared" si="980"/>
        <v>0.2619266226563246</v>
      </c>
      <c r="AS200" s="187">
        <f t="shared" si="980"/>
        <v>0.26680795777117078</v>
      </c>
      <c r="AT200" s="258">
        <f t="shared" si="980"/>
        <v>0.26680795777117083</v>
      </c>
      <c r="AU200" s="187">
        <f t="shared" si="980"/>
        <v>0.27231318965449025</v>
      </c>
      <c r="AV200" s="187">
        <f t="shared" si="980"/>
        <v>0.27499944237780016</v>
      </c>
      <c r="AW200" s="187">
        <f t="shared" si="980"/>
        <v>0.26767718792484968</v>
      </c>
      <c r="AX200" s="187">
        <f t="shared" si="980"/>
        <v>0.2597304199035938</v>
      </c>
      <c r="AY200" s="258">
        <f t="shared" si="980"/>
        <v>0.25973041990359386</v>
      </c>
      <c r="AZ200" s="187">
        <f t="shared" si="980"/>
        <v>0.25052099236680148</v>
      </c>
      <c r="BA200" s="187">
        <f t="shared" si="980"/>
        <v>0.25210513277901642</v>
      </c>
      <c r="BB200" s="187">
        <f t="shared" si="980"/>
        <v>0.25947401817927307</v>
      </c>
      <c r="BC200" s="187">
        <f t="shared" si="980"/>
        <v>0.26528596917282049</v>
      </c>
      <c r="BD200" s="258">
        <f t="shared" si="980"/>
        <v>0.26528596917282049</v>
      </c>
      <c r="BE200" s="187">
        <f t="shared" si="980"/>
        <v>0.26787455466769938</v>
      </c>
      <c r="BF200" s="187">
        <f t="shared" si="980"/>
        <v>0.26111216063043119</v>
      </c>
      <c r="BG200" s="187">
        <f t="shared" si="980"/>
        <v>0.23333398445028983</v>
      </c>
      <c r="BH200" s="187">
        <f t="shared" si="980"/>
        <v>0.20540544724611681</v>
      </c>
      <c r="BI200" s="258">
        <f t="shared" si="980"/>
        <v>0.20540544724611684</v>
      </c>
      <c r="BJ200" s="187">
        <f t="shared" si="980"/>
        <v>0.18324677736914446</v>
      </c>
      <c r="BK200" s="187">
        <f t="shared" si="980"/>
        <v>0.16350608992572924</v>
      </c>
      <c r="BL200" s="187">
        <f t="shared" si="980"/>
        <v>0.16304466060566097</v>
      </c>
      <c r="BM200" s="187">
        <f t="shared" si="980"/>
        <v>0.16957379372926795</v>
      </c>
      <c r="BN200" s="258">
        <f t="shared" si="980"/>
        <v>0.16957379372926795</v>
      </c>
      <c r="BO200" s="187">
        <f t="shared" si="980"/>
        <v>0.16719120327024078</v>
      </c>
      <c r="BP200" s="187">
        <f t="shared" si="980"/>
        <v>0.17026298533157291</v>
      </c>
      <c r="BQ200" s="187">
        <f t="shared" si="980"/>
        <v>0.1824166828334684</v>
      </c>
      <c r="BR200" s="187">
        <f t="shared" si="980"/>
        <v>0.18362533692722371</v>
      </c>
      <c r="BS200" s="258">
        <f t="shared" si="980"/>
        <v>0.18362533692722371</v>
      </c>
      <c r="BT200" s="187">
        <f t="shared" si="980"/>
        <v>0.18376997857966715</v>
      </c>
      <c r="BU200" s="187">
        <f t="shared" si="980"/>
        <v>0.18585326953748005</v>
      </c>
      <c r="BV200" s="187">
        <f t="shared" si="980"/>
        <v>0.18483805351275229</v>
      </c>
      <c r="BW200" s="187">
        <f t="shared" si="980"/>
        <v>0.18430081176290397</v>
      </c>
      <c r="BX200" s="258">
        <f t="shared" si="980"/>
        <v>0.18430081176290397</v>
      </c>
      <c r="BY200" s="187">
        <f t="shared" si="980"/>
        <v>0.1836612999403697</v>
      </c>
      <c r="BZ200" s="187">
        <f t="shared" si="980"/>
        <v>0.18396770472895041</v>
      </c>
      <c r="CA200" s="187">
        <f t="shared" si="980"/>
        <v>0.18700868845676458</v>
      </c>
      <c r="CB200" s="187">
        <f t="shared" si="980"/>
        <v>0.18119477779243043</v>
      </c>
      <c r="CC200" s="258">
        <f t="shared" si="980"/>
        <v>0.18119477779243043</v>
      </c>
      <c r="CD200" s="187">
        <f t="shared" si="980"/>
        <v>0.17818365033379518</v>
      </c>
      <c r="CE200" s="187">
        <f t="shared" si="980"/>
        <v>0.18867835149218379</v>
      </c>
      <c r="CF200" s="187">
        <f t="shared" si="980"/>
        <v>0.18174377628737065</v>
      </c>
      <c r="CG200" s="187">
        <f t="shared" si="980"/>
        <v>0.18142196786264578</v>
      </c>
      <c r="CH200" s="258">
        <f t="shared" si="980"/>
        <v>0.18142196786264578</v>
      </c>
      <c r="CI200" s="187">
        <f t="shared" si="980"/>
        <v>0.17418240690771719</v>
      </c>
      <c r="CJ200" s="187">
        <f t="shared" si="980"/>
        <v>0.16216618789232895</v>
      </c>
      <c r="CK200" s="187">
        <f t="shared" si="980"/>
        <v>0.16066355624675996</v>
      </c>
      <c r="CL200" s="187">
        <f t="shared" si="980"/>
        <v>0.15901024236892811</v>
      </c>
      <c r="CM200" s="258">
        <f t="shared" si="980"/>
        <v>0.15901024236892811</v>
      </c>
      <c r="CN200" s="187">
        <f t="shared" si="980"/>
        <v>0.15755910919258315</v>
      </c>
      <c r="CO200" s="187">
        <f t="shared" si="980"/>
        <v>0.14591086935776315</v>
      </c>
      <c r="CP200" s="187">
        <f t="shared" si="980"/>
        <v>0.13086625857911333</v>
      </c>
      <c r="CQ200" s="187">
        <f t="shared" si="980"/>
        <v>0.12608853410740203</v>
      </c>
      <c r="CR200" s="104">
        <f t="shared" si="980"/>
        <v>0.12608853410740203</v>
      </c>
      <c r="CS200" s="187">
        <f t="shared" si="980"/>
        <v>0.12765625774875788</v>
      </c>
      <c r="CT200" s="187">
        <f t="shared" si="980"/>
        <v>0.1316434438206725</v>
      </c>
      <c r="CU200" s="187">
        <f t="shared" si="980"/>
        <v>0.13602935289752979</v>
      </c>
      <c r="CV200" s="187">
        <f>CV183/CV$174</f>
        <v>0.1426288180005077</v>
      </c>
      <c r="CW200" s="104">
        <f t="shared" ref="CW200:CW206" si="981">CW183/CW$174</f>
        <v>0.1426288180005077</v>
      </c>
      <c r="CX200" s="187">
        <f t="shared" ref="CX200:DA204" si="982">CX183/CX$174</f>
        <v>0.14185116038311937</v>
      </c>
      <c r="CY200" s="187">
        <f t="shared" si="982"/>
        <v>0.1529129129129129</v>
      </c>
      <c r="CZ200" s="187">
        <f t="shared" si="982"/>
        <v>0.16661619230221458</v>
      </c>
      <c r="DA200" s="187">
        <f t="shared" si="982"/>
        <v>0.16518450889596886</v>
      </c>
      <c r="DB200" s="104">
        <f t="shared" ref="DB200:DF204" si="983">DB183/DB$174</f>
        <v>0.16518450889596886</v>
      </c>
      <c r="DC200" s="187">
        <f t="shared" si="983"/>
        <v>0.15703880795628219</v>
      </c>
      <c r="DD200" s="187">
        <f t="shared" si="983"/>
        <v>0.13985177668997992</v>
      </c>
      <c r="DE200" s="187">
        <f t="shared" si="983"/>
        <v>0.126121689556695</v>
      </c>
      <c r="DF200" s="187">
        <f t="shared" si="983"/>
        <v>0.11702918783339424</v>
      </c>
      <c r="DG200" s="104">
        <f t="shared" ref="DG200:DK206" si="984">DG183/DG$174</f>
        <v>0.11702918783339424</v>
      </c>
      <c r="DH200" s="187">
        <f t="shared" si="984"/>
        <v>0.11256466670630909</v>
      </c>
      <c r="DI200" s="187">
        <f t="shared" si="984"/>
        <v>0.12298837072712322</v>
      </c>
      <c r="DJ200" s="187">
        <f t="shared" si="984"/>
        <v>0.12012453007518797</v>
      </c>
      <c r="DK200" s="187">
        <f t="shared" si="984"/>
        <v>0.11925800222365264</v>
      </c>
      <c r="DL200" s="104">
        <f t="shared" ref="DL200:DM206" si="985">DL183/DL$174</f>
        <v>0.11925800222365264</v>
      </c>
      <c r="DM200" s="187">
        <f t="shared" si="985"/>
        <v>0.125363752764521</v>
      </c>
      <c r="DN200" s="187">
        <f t="shared" ref="DN200:DP206" si="986">DN183/DN$174</f>
        <v>0.12557382764832356</v>
      </c>
      <c r="DO200" s="187">
        <f t="shared" si="986"/>
        <v>0.13734594439667527</v>
      </c>
      <c r="DP200" s="187">
        <f t="shared" si="986"/>
        <v>0.15118644067796611</v>
      </c>
      <c r="DQ200" s="104">
        <f t="shared" ref="DQ200:DU206" si="987">DQ183/DQ$174</f>
        <v>0.15118644067796611</v>
      </c>
      <c r="DR200" s="187">
        <f t="shared" si="987"/>
        <v>0.15774378585086041</v>
      </c>
      <c r="DS200" s="187">
        <f t="shared" si="987"/>
        <v>0.17316804407713499</v>
      </c>
      <c r="DT200" s="187">
        <f t="shared" si="987"/>
        <v>0.18196142352621569</v>
      </c>
      <c r="DU200" s="187">
        <f t="shared" si="987"/>
        <v>0.19419510884170921</v>
      </c>
      <c r="DV200" s="104">
        <f t="shared" ref="DV200:DZ206" si="988">DV183/DV$174</f>
        <v>0.19419510884170921</v>
      </c>
      <c r="DW200" s="187">
        <f t="shared" si="988"/>
        <v>0.21975282448416697</v>
      </c>
      <c r="DX200" s="187">
        <f t="shared" si="988"/>
        <v>0.23626866459135756</v>
      </c>
      <c r="DY200" s="187">
        <f t="shared" si="988"/>
        <v>0.25312192341572104</v>
      </c>
      <c r="DZ200" s="187">
        <f t="shared" si="988"/>
        <v>0.26516693811074921</v>
      </c>
      <c r="EA200" s="104">
        <f t="shared" si="976"/>
        <v>0.26516693811074921</v>
      </c>
      <c r="EB200" s="187">
        <f t="shared" si="976"/>
        <v>0.27103688933200398</v>
      </c>
      <c r="EC200" s="187">
        <f t="shared" si="976"/>
        <v>0.27566025672552008</v>
      </c>
      <c r="ED200" s="187">
        <f t="shared" si="976"/>
        <v>0.27467283282495325</v>
      </c>
      <c r="EE200" s="187">
        <f t="shared" si="976"/>
        <v>0.26487148102815178</v>
      </c>
      <c r="EF200" s="104">
        <f t="shared" si="944"/>
        <v>0.26487148102815178</v>
      </c>
      <c r="EG200" s="187">
        <f t="shared" si="944"/>
        <v>0.24909676789376037</v>
      </c>
      <c r="EH200" s="187">
        <f t="shared" si="944"/>
        <v>0.24282698397466654</v>
      </c>
      <c r="EI200" s="187">
        <f t="shared" si="944"/>
        <v>0.23562505959759703</v>
      </c>
      <c r="EJ200" s="187">
        <f t="shared" si="944"/>
        <v>0.22983185339127149</v>
      </c>
      <c r="EK200" s="104">
        <f t="shared" si="945"/>
        <v>0.22983185339127149</v>
      </c>
      <c r="EL200" s="187">
        <f t="shared" si="945"/>
        <v>0.22792413564773212</v>
      </c>
      <c r="EM200" s="187">
        <f t="shared" si="945"/>
        <v>0.22640795078088027</v>
      </c>
      <c r="EN200" s="187">
        <f t="shared" si="945"/>
        <v>0.22658538890464039</v>
      </c>
      <c r="EO200" s="187">
        <f t="shared" si="945"/>
        <v>0.22524354487846401</v>
      </c>
      <c r="EP200" s="104">
        <f t="shared" ref="EP200" si="989">EP183/EP$174</f>
        <v>0.22524354487846401</v>
      </c>
      <c r="EQ200" s="187">
        <f t="shared" si="945"/>
        <v>0.22247100597406413</v>
      </c>
      <c r="ER200" s="187">
        <f t="shared" si="945"/>
        <v>0.21849909512455384</v>
      </c>
      <c r="ES200" s="187">
        <f t="shared" si="945"/>
        <v>0.21975766351175713</v>
      </c>
      <c r="ET200" s="187">
        <f t="shared" si="945"/>
        <v>0.22551960358364978</v>
      </c>
      <c r="EU200" s="104">
        <f t="shared" si="945"/>
        <v>0.22551960358364986</v>
      </c>
      <c r="EV200" s="187"/>
      <c r="EW200" s="187"/>
      <c r="EX200" s="187"/>
      <c r="EY200" s="187"/>
      <c r="EZ200" s="104">
        <f t="shared" ref="EZ200" si="990">EZ183/EZ$174</f>
        <v>0.24112626464879797</v>
      </c>
      <c r="FA200" s="187"/>
      <c r="FB200" s="187"/>
      <c r="FC200" s="187"/>
      <c r="FD200" s="187"/>
      <c r="FE200" s="104">
        <f t="shared" si="948"/>
        <v>0.25151334225751326</v>
      </c>
      <c r="FF200" s="24"/>
      <c r="FG200" s="465"/>
      <c r="FL200" s="388"/>
      <c r="FM200" s="388"/>
      <c r="FN200" s="389"/>
      <c r="FO200" s="389"/>
      <c r="FP200" s="389"/>
      <c r="FQ200" s="389"/>
      <c r="FR200" s="389"/>
      <c r="FS200" s="389"/>
      <c r="FT200" s="465"/>
    </row>
    <row r="201" spans="1:183" ht="12.75" hidden="1" customHeight="1" x14ac:dyDescent="0.2">
      <c r="A201" s="24" t="s">
        <v>390</v>
      </c>
      <c r="B201" s="187"/>
      <c r="C201" s="187"/>
      <c r="D201" s="187"/>
      <c r="E201" s="187"/>
      <c r="F201" s="258"/>
      <c r="G201" s="187"/>
      <c r="H201" s="187"/>
      <c r="I201" s="187"/>
      <c r="J201" s="187"/>
      <c r="K201" s="258"/>
      <c r="L201" s="187"/>
      <c r="M201" s="187"/>
      <c r="N201" s="187"/>
      <c r="O201" s="187"/>
      <c r="P201" s="258"/>
      <c r="Q201" s="187"/>
      <c r="R201" s="187"/>
      <c r="S201" s="187"/>
      <c r="T201" s="187"/>
      <c r="U201" s="258"/>
      <c r="V201" s="187"/>
      <c r="W201" s="187"/>
      <c r="X201" s="187"/>
      <c r="Y201" s="187"/>
      <c r="Z201" s="258"/>
      <c r="AA201" s="187"/>
      <c r="AB201" s="187"/>
      <c r="AC201" s="187"/>
      <c r="AD201" s="187"/>
      <c r="AE201" s="258"/>
      <c r="AF201" s="187"/>
      <c r="AG201" s="187"/>
      <c r="AH201" s="187"/>
      <c r="AI201" s="187"/>
      <c r="AJ201" s="258">
        <f t="shared" si="979"/>
        <v>0.21283964100441249</v>
      </c>
      <c r="AK201" s="187">
        <f t="shared" ref="AK201:CV204" si="991">AK184/AK$174</f>
        <v>0.21715203866464289</v>
      </c>
      <c r="AL201" s="187">
        <f t="shared" si="991"/>
        <v>0.21996288530325295</v>
      </c>
      <c r="AM201" s="187">
        <f t="shared" si="991"/>
        <v>0.22859848263128196</v>
      </c>
      <c r="AN201" s="187">
        <f t="shared" si="991"/>
        <v>0.24149888087494814</v>
      </c>
      <c r="AO201" s="258">
        <f t="shared" si="991"/>
        <v>0.24149888087494814</v>
      </c>
      <c r="AP201" s="187">
        <f t="shared" si="991"/>
        <v>0.24529546307321679</v>
      </c>
      <c r="AQ201" s="187">
        <f t="shared" si="991"/>
        <v>0.25255462245464066</v>
      </c>
      <c r="AR201" s="187">
        <f t="shared" si="991"/>
        <v>0.2619266226563246</v>
      </c>
      <c r="AS201" s="187">
        <f t="shared" si="991"/>
        <v>0.26680795777117078</v>
      </c>
      <c r="AT201" s="258">
        <f t="shared" si="991"/>
        <v>0.26680795777117083</v>
      </c>
      <c r="AU201" s="187">
        <f t="shared" si="991"/>
        <v>0.27231318965449025</v>
      </c>
      <c r="AV201" s="187">
        <f t="shared" si="991"/>
        <v>0.27499944237780016</v>
      </c>
      <c r="AW201" s="187">
        <f t="shared" si="991"/>
        <v>0.26767718792484968</v>
      </c>
      <c r="AX201" s="187">
        <f t="shared" si="991"/>
        <v>0.2597304199035938</v>
      </c>
      <c r="AY201" s="258">
        <f t="shared" si="991"/>
        <v>0.25973041990359386</v>
      </c>
      <c r="AZ201" s="187">
        <f t="shared" si="991"/>
        <v>0.25052099236680148</v>
      </c>
      <c r="BA201" s="187">
        <f t="shared" si="991"/>
        <v>0.25210513277901642</v>
      </c>
      <c r="BB201" s="187">
        <f t="shared" si="991"/>
        <v>0.25947401817927307</v>
      </c>
      <c r="BC201" s="187">
        <f t="shared" si="991"/>
        <v>0.26528596917282049</v>
      </c>
      <c r="BD201" s="258">
        <f t="shared" si="991"/>
        <v>0.26528596917282049</v>
      </c>
      <c r="BE201" s="187">
        <f t="shared" si="991"/>
        <v>0.26787455466769938</v>
      </c>
      <c r="BF201" s="187">
        <f t="shared" si="991"/>
        <v>0.26111216063043119</v>
      </c>
      <c r="BG201" s="187">
        <f t="shared" si="991"/>
        <v>0.23333398445028983</v>
      </c>
      <c r="BH201" s="187">
        <f t="shared" si="991"/>
        <v>0.20540544724611681</v>
      </c>
      <c r="BI201" s="258">
        <f t="shared" si="991"/>
        <v>0.20540544724611684</v>
      </c>
      <c r="BJ201" s="187">
        <f t="shared" si="991"/>
        <v>0.18324677736914446</v>
      </c>
      <c r="BK201" s="187">
        <f t="shared" si="991"/>
        <v>0.16350608992572924</v>
      </c>
      <c r="BL201" s="187">
        <f t="shared" si="991"/>
        <v>0.16304466060566097</v>
      </c>
      <c r="BM201" s="187">
        <f t="shared" si="991"/>
        <v>0.16957379372926795</v>
      </c>
      <c r="BN201" s="258">
        <f t="shared" si="991"/>
        <v>0.16957379372926795</v>
      </c>
      <c r="BO201" s="187">
        <f t="shared" si="991"/>
        <v>0.16719120327024078</v>
      </c>
      <c r="BP201" s="187">
        <f t="shared" si="991"/>
        <v>0.17026298533157291</v>
      </c>
      <c r="BQ201" s="187">
        <f t="shared" si="991"/>
        <v>0.1824166828334684</v>
      </c>
      <c r="BR201" s="187">
        <f t="shared" si="991"/>
        <v>0.18362533692722371</v>
      </c>
      <c r="BS201" s="258">
        <f t="shared" si="991"/>
        <v>0.18362533692722371</v>
      </c>
      <c r="BT201" s="187">
        <f t="shared" si="991"/>
        <v>0.18376997857966715</v>
      </c>
      <c r="BU201" s="187">
        <f t="shared" si="991"/>
        <v>0.18585326953748005</v>
      </c>
      <c r="BV201" s="187">
        <f t="shared" si="991"/>
        <v>0.18483805351275229</v>
      </c>
      <c r="BW201" s="187">
        <f t="shared" si="991"/>
        <v>0.18430081176290397</v>
      </c>
      <c r="BX201" s="258">
        <f t="shared" si="991"/>
        <v>0.18430081176290397</v>
      </c>
      <c r="BY201" s="187">
        <f t="shared" si="991"/>
        <v>0.1836612999403697</v>
      </c>
      <c r="BZ201" s="187">
        <f t="shared" si="991"/>
        <v>0.18396770472895041</v>
      </c>
      <c r="CA201" s="187">
        <f t="shared" si="991"/>
        <v>0.18700868845676458</v>
      </c>
      <c r="CB201" s="187">
        <f t="shared" si="991"/>
        <v>0.18119477779243043</v>
      </c>
      <c r="CC201" s="258">
        <f t="shared" si="991"/>
        <v>0.18119477779243043</v>
      </c>
      <c r="CD201" s="187">
        <f t="shared" si="991"/>
        <v>0.17818365033379518</v>
      </c>
      <c r="CE201" s="187">
        <f t="shared" si="991"/>
        <v>0.18867835149218379</v>
      </c>
      <c r="CF201" s="187">
        <f t="shared" si="991"/>
        <v>0.18174377628737065</v>
      </c>
      <c r="CG201" s="187">
        <f t="shared" si="991"/>
        <v>0.18142196786264578</v>
      </c>
      <c r="CH201" s="258">
        <f t="shared" si="991"/>
        <v>0.18142196786264578</v>
      </c>
      <c r="CI201" s="187">
        <f t="shared" si="991"/>
        <v>0.17418240690771719</v>
      </c>
      <c r="CJ201" s="187">
        <f t="shared" si="991"/>
        <v>0.16216618789232895</v>
      </c>
      <c r="CK201" s="187">
        <f t="shared" si="991"/>
        <v>0.16066355624675996</v>
      </c>
      <c r="CL201" s="187">
        <f t="shared" si="991"/>
        <v>0.15901024236892811</v>
      </c>
      <c r="CM201" s="258">
        <f t="shared" si="991"/>
        <v>0.15901024236892811</v>
      </c>
      <c r="CN201" s="187">
        <f t="shared" si="991"/>
        <v>0.15755910919258315</v>
      </c>
      <c r="CO201" s="187">
        <f t="shared" si="991"/>
        <v>0.14591086935776315</v>
      </c>
      <c r="CP201" s="187">
        <f t="shared" si="991"/>
        <v>0.13086625857911333</v>
      </c>
      <c r="CQ201" s="187">
        <f t="shared" si="991"/>
        <v>0.12608853410740203</v>
      </c>
      <c r="CR201" s="104">
        <f t="shared" si="991"/>
        <v>0.12608853410740203</v>
      </c>
      <c r="CS201" s="187">
        <f t="shared" si="991"/>
        <v>0.12765625774875788</v>
      </c>
      <c r="CT201" s="187">
        <f t="shared" si="991"/>
        <v>0.1316434438206725</v>
      </c>
      <c r="CU201" s="187">
        <f t="shared" si="991"/>
        <v>0.13602935289752979</v>
      </c>
      <c r="CV201" s="187">
        <f t="shared" si="991"/>
        <v>0.1426288180005077</v>
      </c>
      <c r="CW201" s="104">
        <f t="shared" si="981"/>
        <v>0.1426288180005077</v>
      </c>
      <c r="CX201" s="187">
        <f t="shared" si="982"/>
        <v>0.14185116038311937</v>
      </c>
      <c r="CY201" s="187">
        <f t="shared" si="982"/>
        <v>0.1529129129129129</v>
      </c>
      <c r="CZ201" s="187">
        <f t="shared" si="982"/>
        <v>0.16661619230221458</v>
      </c>
      <c r="DA201" s="187">
        <f t="shared" si="982"/>
        <v>0.16518450889596886</v>
      </c>
      <c r="DB201" s="104">
        <f t="shared" si="983"/>
        <v>0.16518450889596886</v>
      </c>
      <c r="DC201" s="187">
        <f t="shared" si="983"/>
        <v>0.15703880795628219</v>
      </c>
      <c r="DD201" s="187">
        <f t="shared" si="983"/>
        <v>0.13985177668997992</v>
      </c>
      <c r="DE201" s="187">
        <f t="shared" si="983"/>
        <v>0.126121689556695</v>
      </c>
      <c r="DF201" s="187">
        <f t="shared" si="983"/>
        <v>0.11702918783339424</v>
      </c>
      <c r="DG201" s="104">
        <f t="shared" si="984"/>
        <v>0.11702918783339424</v>
      </c>
      <c r="DH201" s="187">
        <f t="shared" si="984"/>
        <v>0.11256466670630909</v>
      </c>
      <c r="DI201" s="187">
        <f t="shared" si="984"/>
        <v>0.12298837072712322</v>
      </c>
      <c r="DJ201" s="187">
        <f t="shared" si="984"/>
        <v>0.12012453007518797</v>
      </c>
      <c r="DK201" s="187">
        <f t="shared" si="984"/>
        <v>0.11925800222365264</v>
      </c>
      <c r="DL201" s="104">
        <f t="shared" si="985"/>
        <v>0.11925800222365264</v>
      </c>
      <c r="DM201" s="187">
        <f t="shared" si="985"/>
        <v>0.125363752764521</v>
      </c>
      <c r="DN201" s="187">
        <f t="shared" si="986"/>
        <v>0.12557382764832356</v>
      </c>
      <c r="DO201" s="187">
        <f t="shared" si="986"/>
        <v>0.13734594439667527</v>
      </c>
      <c r="DP201" s="187">
        <f t="shared" si="986"/>
        <v>0.15118644067796611</v>
      </c>
      <c r="DQ201" s="104">
        <f t="shared" si="987"/>
        <v>0.15118644067796611</v>
      </c>
      <c r="DR201" s="187">
        <f t="shared" si="987"/>
        <v>0.15774378585086041</v>
      </c>
      <c r="DS201" s="187">
        <f t="shared" si="987"/>
        <v>0.17316804407713499</v>
      </c>
      <c r="DT201" s="187">
        <f t="shared" si="987"/>
        <v>0.18196142352621569</v>
      </c>
      <c r="DU201" s="187">
        <f t="shared" si="987"/>
        <v>0.19419510884170921</v>
      </c>
      <c r="DV201" s="104">
        <f t="shared" si="988"/>
        <v>0.19419510884170921</v>
      </c>
      <c r="DW201" s="187">
        <f t="shared" si="988"/>
        <v>0.21975282448416697</v>
      </c>
      <c r="DX201" s="187">
        <f t="shared" si="988"/>
        <v>0.23626866459135756</v>
      </c>
      <c r="DY201" s="187">
        <f t="shared" si="988"/>
        <v>0.25312192341572104</v>
      </c>
      <c r="DZ201" s="187">
        <f t="shared" si="988"/>
        <v>0.26516693811074921</v>
      </c>
      <c r="EA201" s="104">
        <f t="shared" si="976"/>
        <v>0.26516693811074921</v>
      </c>
      <c r="EB201" s="187">
        <f t="shared" si="976"/>
        <v>0.27103688933200398</v>
      </c>
      <c r="EC201" s="187">
        <f t="shared" si="976"/>
        <v>0.27566025672552008</v>
      </c>
      <c r="ED201" s="187">
        <f t="shared" si="976"/>
        <v>0.27467283282495325</v>
      </c>
      <c r="EE201" s="187">
        <f t="shared" si="976"/>
        <v>0.26487148102815178</v>
      </c>
      <c r="EF201" s="104">
        <f t="shared" si="944"/>
        <v>0.26487148102815178</v>
      </c>
      <c r="EG201" s="187">
        <f t="shared" si="944"/>
        <v>0.24909676789376037</v>
      </c>
      <c r="EH201" s="187">
        <f t="shared" si="944"/>
        <v>0.24282698397466654</v>
      </c>
      <c r="EI201" s="187">
        <f t="shared" si="944"/>
        <v>0.23562505959759703</v>
      </c>
      <c r="EJ201" s="187">
        <f t="shared" si="944"/>
        <v>0.22983185339127149</v>
      </c>
      <c r="EK201" s="104">
        <f t="shared" si="945"/>
        <v>0.22983185339127149</v>
      </c>
      <c r="EL201" s="187">
        <f t="shared" si="945"/>
        <v>0.22792413564773212</v>
      </c>
      <c r="EM201" s="187">
        <f t="shared" si="945"/>
        <v>0.22640795078088027</v>
      </c>
      <c r="EN201" s="187">
        <f t="shared" si="945"/>
        <v>0.22658538890464039</v>
      </c>
      <c r="EO201" s="187">
        <f t="shared" si="945"/>
        <v>0.22524354487846401</v>
      </c>
      <c r="EP201" s="104">
        <f t="shared" ref="EP201" si="992">EP184/EP$174</f>
        <v>0.22524354487846401</v>
      </c>
      <c r="EQ201" s="187">
        <f t="shared" si="945"/>
        <v>0.22247100597406413</v>
      </c>
      <c r="ER201" s="187">
        <f t="shared" si="945"/>
        <v>0.21849909512455384</v>
      </c>
      <c r="ES201" s="187">
        <f t="shared" si="945"/>
        <v>0.21975766351175713</v>
      </c>
      <c r="ET201" s="187">
        <f t="shared" si="945"/>
        <v>0.22551960358364978</v>
      </c>
      <c r="EU201" s="104">
        <f t="shared" si="945"/>
        <v>0.22551960358364986</v>
      </c>
      <c r="EV201" s="187"/>
      <c r="EW201" s="187"/>
      <c r="EX201" s="187"/>
      <c r="EY201" s="187"/>
      <c r="EZ201" s="104">
        <f t="shared" ref="EZ201" si="993">EZ184/EZ$174</f>
        <v>0.24112626464879797</v>
      </c>
      <c r="FA201" s="187"/>
      <c r="FB201" s="187"/>
      <c r="FC201" s="187"/>
      <c r="FD201" s="187"/>
      <c r="FE201" s="104">
        <f t="shared" si="948"/>
        <v>0.25151334225751326</v>
      </c>
      <c r="FF201" s="24"/>
      <c r="FG201" s="465"/>
      <c r="FL201" s="388"/>
      <c r="FM201" s="388"/>
      <c r="FN201" s="389"/>
      <c r="FO201" s="389"/>
      <c r="FP201" s="389"/>
      <c r="FQ201" s="389"/>
      <c r="FR201" s="389"/>
      <c r="FS201" s="389"/>
      <c r="FT201" s="465"/>
    </row>
    <row r="202" spans="1:183" ht="12.75" hidden="1" customHeight="1" x14ac:dyDescent="0.2">
      <c r="A202" s="24" t="s">
        <v>391</v>
      </c>
      <c r="B202" s="187"/>
      <c r="C202" s="187"/>
      <c r="D202" s="187"/>
      <c r="E202" s="187"/>
      <c r="F202" s="258"/>
      <c r="G202" s="187"/>
      <c r="H202" s="187"/>
      <c r="I202" s="187"/>
      <c r="J202" s="187"/>
      <c r="K202" s="258"/>
      <c r="L202" s="187"/>
      <c r="M202" s="187"/>
      <c r="N202" s="187"/>
      <c r="O202" s="187"/>
      <c r="P202" s="258"/>
      <c r="Q202" s="187"/>
      <c r="R202" s="187"/>
      <c r="S202" s="187"/>
      <c r="T202" s="187"/>
      <c r="U202" s="258"/>
      <c r="V202" s="187"/>
      <c r="W202" s="187"/>
      <c r="X202" s="187"/>
      <c r="Y202" s="187"/>
      <c r="Z202" s="258"/>
      <c r="AA202" s="187"/>
      <c r="AB202" s="187"/>
      <c r="AC202" s="187"/>
      <c r="AD202" s="187"/>
      <c r="AE202" s="258"/>
      <c r="AF202" s="187"/>
      <c r="AG202" s="187"/>
      <c r="AH202" s="187"/>
      <c r="AI202" s="187"/>
      <c r="AJ202" s="258">
        <f t="shared" si="979"/>
        <v>7.5736090682496761E-3</v>
      </c>
      <c r="AK202" s="187">
        <f t="shared" si="991"/>
        <v>8.4374403533806555E-3</v>
      </c>
      <c r="AL202" s="187">
        <f t="shared" si="991"/>
        <v>9.5012502382741098E-3</v>
      </c>
      <c r="AM202" s="187">
        <f t="shared" si="991"/>
        <v>9.7716650572042055E-3</v>
      </c>
      <c r="AN202" s="187">
        <f t="shared" si="991"/>
        <v>9.5933238682138888E-3</v>
      </c>
      <c r="AO202" s="258">
        <f t="shared" si="991"/>
        <v>9.5933238682138888E-3</v>
      </c>
      <c r="AP202" s="187">
        <f t="shared" si="991"/>
        <v>9.4177248662902068E-3</v>
      </c>
      <c r="AQ202" s="187">
        <f t="shared" si="991"/>
        <v>8.8648203152069636E-3</v>
      </c>
      <c r="AR202" s="187">
        <f t="shared" si="991"/>
        <v>8.4224582267919904E-3</v>
      </c>
      <c r="AS202" s="187">
        <f t="shared" si="991"/>
        <v>7.4647332600060526E-3</v>
      </c>
      <c r="AT202" s="258">
        <f t="shared" si="991"/>
        <v>7.4647332600060526E-3</v>
      </c>
      <c r="AU202" s="187">
        <f t="shared" si="991"/>
        <v>6.7032077559206673E-3</v>
      </c>
      <c r="AV202" s="187">
        <f t="shared" si="991"/>
        <v>6.1210019896410697E-3</v>
      </c>
      <c r="AW202" s="187">
        <f t="shared" si="991"/>
        <v>5.481755690597479E-3</v>
      </c>
      <c r="AX202" s="187">
        <f t="shared" si="991"/>
        <v>5.3214099962686787E-3</v>
      </c>
      <c r="AY202" s="258">
        <f t="shared" si="991"/>
        <v>5.3214099962686787E-3</v>
      </c>
      <c r="AZ202" s="187">
        <f t="shared" si="991"/>
        <v>5.3672871253847149E-3</v>
      </c>
      <c r="BA202" s="187">
        <f t="shared" si="991"/>
        <v>5.830750163429003E-3</v>
      </c>
      <c r="BB202" s="187">
        <f t="shared" si="991"/>
        <v>6.5219562564256981E-3</v>
      </c>
      <c r="BC202" s="187">
        <f t="shared" si="991"/>
        <v>7.0929417512160236E-3</v>
      </c>
      <c r="BD202" s="258">
        <f t="shared" si="991"/>
        <v>7.0929417512160253E-3</v>
      </c>
      <c r="BE202" s="187">
        <f t="shared" si="991"/>
        <v>7.2495557387246756E-3</v>
      </c>
      <c r="BF202" s="187">
        <f t="shared" si="991"/>
        <v>7.0893155934581963E-3</v>
      </c>
      <c r="BG202" s="187">
        <f t="shared" si="991"/>
        <v>7.0306802276466204E-3</v>
      </c>
      <c r="BH202" s="187">
        <f t="shared" si="991"/>
        <v>7.6616862046085324E-3</v>
      </c>
      <c r="BI202" s="258">
        <f t="shared" si="991"/>
        <v>7.6616862046085324E-3</v>
      </c>
      <c r="BJ202" s="187">
        <f t="shared" si="991"/>
        <v>8.0372599279319445E-3</v>
      </c>
      <c r="BK202" s="187">
        <f t="shared" si="991"/>
        <v>7.9811073603714422E-3</v>
      </c>
      <c r="BL202" s="187">
        <f t="shared" si="991"/>
        <v>7.842372520585195E-3</v>
      </c>
      <c r="BM202" s="187">
        <f t="shared" si="991"/>
        <v>6.64318652747262E-3</v>
      </c>
      <c r="BN202" s="258">
        <f t="shared" si="991"/>
        <v>6.6431865274726208E-3</v>
      </c>
      <c r="BO202" s="187">
        <f t="shared" si="991"/>
        <v>5.7087266163015947E-3</v>
      </c>
      <c r="BP202" s="187">
        <f t="shared" si="991"/>
        <v>5.2763210686971639E-3</v>
      </c>
      <c r="BQ202" s="187">
        <f t="shared" si="991"/>
        <v>4.4491496663223665E-3</v>
      </c>
      <c r="BR202" s="187">
        <f t="shared" si="991"/>
        <v>4.0431266846361188E-3</v>
      </c>
      <c r="BS202" s="258">
        <f t="shared" si="991"/>
        <v>4.0431266846361188E-3</v>
      </c>
      <c r="BT202" s="187">
        <f t="shared" si="991"/>
        <v>3.7897511945954852E-3</v>
      </c>
      <c r="BU202" s="187">
        <f t="shared" si="991"/>
        <v>3.3492822966507177E-3</v>
      </c>
      <c r="BV202" s="187">
        <f t="shared" si="991"/>
        <v>3.1294007197621657E-3</v>
      </c>
      <c r="BW202" s="187">
        <f t="shared" si="991"/>
        <v>3.2164190534538215E-3</v>
      </c>
      <c r="BX202" s="258">
        <f t="shared" si="991"/>
        <v>3.2164190534538215E-3</v>
      </c>
      <c r="BY202" s="187">
        <f t="shared" si="991"/>
        <v>3.5778175313059034E-3</v>
      </c>
      <c r="BZ202" s="187">
        <f t="shared" si="991"/>
        <v>4.181084198385236E-3</v>
      </c>
      <c r="CA202" s="187">
        <f t="shared" si="991"/>
        <v>5.1027444490415116E-3</v>
      </c>
      <c r="CB202" s="187">
        <f t="shared" si="991"/>
        <v>6.0662007121192142E-3</v>
      </c>
      <c r="CC202" s="258">
        <f t="shared" si="991"/>
        <v>6.0662007121192142E-3</v>
      </c>
      <c r="CD202" s="187">
        <f t="shared" si="991"/>
        <v>7.179745559894193E-3</v>
      </c>
      <c r="CE202" s="187">
        <f t="shared" si="991"/>
        <v>8.0530554239696822E-3</v>
      </c>
      <c r="CF202" s="187">
        <f t="shared" si="991"/>
        <v>8.8666590883255663E-3</v>
      </c>
      <c r="CG202" s="187">
        <f t="shared" si="991"/>
        <v>9.2449922958397542E-3</v>
      </c>
      <c r="CH202" s="258">
        <f t="shared" si="991"/>
        <v>9.2449922958397542E-3</v>
      </c>
      <c r="CI202" s="187">
        <f t="shared" si="991"/>
        <v>8.5267134376686461E-3</v>
      </c>
      <c r="CJ202" s="187">
        <f t="shared" si="991"/>
        <v>7.660389403127992E-3</v>
      </c>
      <c r="CK202" s="187">
        <f t="shared" si="991"/>
        <v>6.0134784862623117E-3</v>
      </c>
      <c r="CL202" s="187">
        <f t="shared" si="991"/>
        <v>4.4620221072913498E-3</v>
      </c>
      <c r="CM202" s="258">
        <f t="shared" si="991"/>
        <v>4.4620221072913498E-3</v>
      </c>
      <c r="CN202" s="187">
        <f t="shared" si="991"/>
        <v>3.7280486608456784E-3</v>
      </c>
      <c r="CO202" s="187">
        <f t="shared" si="991"/>
        <v>2.7674396411871364E-3</v>
      </c>
      <c r="CP202" s="187">
        <f t="shared" si="991"/>
        <v>2.5041736227045075E-3</v>
      </c>
      <c r="CQ202" s="187">
        <f t="shared" si="991"/>
        <v>2.3584905660377358E-3</v>
      </c>
      <c r="CR202" s="104">
        <f t="shared" si="991"/>
        <v>2.3584905660377358E-3</v>
      </c>
      <c r="CS202" s="187">
        <f t="shared" si="991"/>
        <v>2.0783018979711586E-3</v>
      </c>
      <c r="CT202" s="187">
        <f t="shared" si="991"/>
        <v>1.9054621032990882E-3</v>
      </c>
      <c r="CU202" s="187">
        <f t="shared" si="991"/>
        <v>1.8332767965691676E-3</v>
      </c>
      <c r="CV202" s="187">
        <f t="shared" si="991"/>
        <v>1.4734753170430087E-3</v>
      </c>
      <c r="CW202" s="104">
        <f t="shared" si="981"/>
        <v>1.4734753170430085E-3</v>
      </c>
      <c r="CX202" s="187">
        <f t="shared" si="982"/>
        <v>1.3471103787751097E-3</v>
      </c>
      <c r="CY202" s="187">
        <f t="shared" si="982"/>
        <v>1.3499805343992804E-3</v>
      </c>
      <c r="CZ202" s="187">
        <f t="shared" si="982"/>
        <v>9.914131932352722E-4</v>
      </c>
      <c r="DA202" s="187">
        <f t="shared" si="982"/>
        <v>9.515665463947949E-4</v>
      </c>
      <c r="DB202" s="104">
        <f t="shared" si="983"/>
        <v>9.515665463947949E-4</v>
      </c>
      <c r="DC202" s="187">
        <f t="shared" si="983"/>
        <v>9.0260663384417043E-4</v>
      </c>
      <c r="DD202" s="187">
        <f t="shared" si="983"/>
        <v>7.6975032525575574E-4</v>
      </c>
      <c r="DE202" s="187">
        <f t="shared" si="983"/>
        <v>6.5470423488451525E-4</v>
      </c>
      <c r="DF202" s="187">
        <f t="shared" si="983"/>
        <v>5.596856070952806E-4</v>
      </c>
      <c r="DG202" s="104">
        <f t="shared" si="984"/>
        <v>5.596856070952806E-4</v>
      </c>
      <c r="DH202" s="187">
        <f t="shared" si="984"/>
        <v>4.7570910388297557E-4</v>
      </c>
      <c r="DI202" s="187">
        <f t="shared" si="984"/>
        <v>4.1113590978503466E-4</v>
      </c>
      <c r="DJ202" s="187">
        <f t="shared" si="984"/>
        <v>4.6992481203007516E-4</v>
      </c>
      <c r="DK202" s="187">
        <f t="shared" si="984"/>
        <v>4.6813739832640878E-4</v>
      </c>
      <c r="DL202" s="104">
        <f t="shared" si="985"/>
        <v>4.6813739832640878E-4</v>
      </c>
      <c r="DM202" s="187">
        <f t="shared" si="985"/>
        <v>4.6560353858689327E-4</v>
      </c>
      <c r="DN202" s="187">
        <f t="shared" si="986"/>
        <v>4.64873031553257E-4</v>
      </c>
      <c r="DO202" s="187">
        <f t="shared" si="986"/>
        <v>4.0126110633419317E-4</v>
      </c>
      <c r="DP202" s="187">
        <f t="shared" si="986"/>
        <v>3.3898305084745765E-4</v>
      </c>
      <c r="DQ202" s="104">
        <f t="shared" si="987"/>
        <v>3.3898305084745765E-4</v>
      </c>
      <c r="DR202" s="187">
        <f t="shared" si="987"/>
        <v>3.3741986278258912E-4</v>
      </c>
      <c r="DS202" s="187">
        <f t="shared" si="987"/>
        <v>3.3057851239669424E-4</v>
      </c>
      <c r="DT202" s="187">
        <f t="shared" si="987"/>
        <v>3.8033143167617498E-4</v>
      </c>
      <c r="DU202" s="187">
        <f t="shared" si="987"/>
        <v>3.7624294544477292E-4</v>
      </c>
      <c r="DV202" s="104">
        <f t="shared" si="988"/>
        <v>3.7624294544477292E-4</v>
      </c>
      <c r="DW202" s="187">
        <f t="shared" si="988"/>
        <v>3.1825173712406516E-4</v>
      </c>
      <c r="DX202" s="187">
        <f t="shared" si="988"/>
        <v>3.1657257426264974E-4</v>
      </c>
      <c r="DY202" s="187">
        <f t="shared" si="988"/>
        <v>3.1089693766516401E-4</v>
      </c>
      <c r="DZ202" s="187">
        <f t="shared" si="988"/>
        <v>4.5806188925081432E-4</v>
      </c>
      <c r="EA202" s="104">
        <f t="shared" si="976"/>
        <v>4.5806188925081432E-4</v>
      </c>
      <c r="EB202" s="187">
        <f t="shared" si="976"/>
        <v>6.4805583250249254E-4</v>
      </c>
      <c r="EC202" s="187">
        <f t="shared" si="976"/>
        <v>8.3607927998819657E-4</v>
      </c>
      <c r="ED202" s="187">
        <f t="shared" si="976"/>
        <v>1.0331595001475942E-3</v>
      </c>
      <c r="EE202" s="187">
        <f t="shared" si="976"/>
        <v>1.175030599755202E-3</v>
      </c>
      <c r="EF202" s="104">
        <f t="shared" si="944"/>
        <v>1.175030599755202E-3</v>
      </c>
      <c r="EG202" s="187">
        <f t="shared" si="944"/>
        <v>1.2694072844448784E-3</v>
      </c>
      <c r="EH202" s="187">
        <f t="shared" si="944"/>
        <v>1.343441128490548E-3</v>
      </c>
      <c r="EI202" s="187">
        <f t="shared" si="944"/>
        <v>1.4780204062172213E-3</v>
      </c>
      <c r="EJ202" s="187">
        <f t="shared" si="944"/>
        <v>1.6531267712072549E-3</v>
      </c>
      <c r="EK202" s="104">
        <f t="shared" si="945"/>
        <v>1.6531267712072549E-3</v>
      </c>
      <c r="EL202" s="187">
        <f t="shared" si="945"/>
        <v>1.6553942203093221E-3</v>
      </c>
      <c r="EM202" s="187">
        <f t="shared" si="945"/>
        <v>1.656412683388547E-3</v>
      </c>
      <c r="EN202" s="187">
        <f t="shared" si="945"/>
        <v>1.6539079482090541E-3</v>
      </c>
      <c r="EO202" s="187">
        <f t="shared" si="945"/>
        <v>1.655159368202024E-3</v>
      </c>
      <c r="EP202" s="104">
        <f t="shared" ref="EP202" si="994">EP185/EP$174</f>
        <v>1.655159368202024E-3</v>
      </c>
      <c r="EQ202" s="187">
        <f t="shared" si="945"/>
        <v>1.8829480537760888E-3</v>
      </c>
      <c r="ER202" s="187">
        <f t="shared" si="945"/>
        <v>2.1473861810468961E-3</v>
      </c>
      <c r="ES202" s="187">
        <f t="shared" si="945"/>
        <v>2.302158373020034E-3</v>
      </c>
      <c r="ET202" s="187">
        <f t="shared" si="945"/>
        <v>2.2970097509946571E-3</v>
      </c>
      <c r="EU202" s="104">
        <f t="shared" si="945"/>
        <v>2.2970097509946571E-3</v>
      </c>
      <c r="EV202" s="187"/>
      <c r="EW202" s="187"/>
      <c r="EX202" s="187"/>
      <c r="EY202" s="187"/>
      <c r="EZ202" s="104">
        <f t="shared" ref="EZ202" si="995">EZ185/EZ$174</f>
        <v>2.1624405382200795E-3</v>
      </c>
      <c r="FA202" s="187"/>
      <c r="FB202" s="187"/>
      <c r="FC202" s="187"/>
      <c r="FD202" s="187"/>
      <c r="FE202" s="104">
        <f t="shared" si="948"/>
        <v>2.0182729536748125E-3</v>
      </c>
      <c r="FF202" s="24"/>
      <c r="FG202" s="465"/>
      <c r="FL202" s="388"/>
      <c r="FM202" s="388"/>
      <c r="FN202" s="389"/>
      <c r="FO202" s="389"/>
      <c r="FP202" s="389"/>
      <c r="FQ202" s="389"/>
      <c r="FR202" s="389"/>
      <c r="FS202" s="389"/>
      <c r="FT202" s="465"/>
    </row>
    <row r="203" spans="1:183" ht="12.75" hidden="1" customHeight="1" x14ac:dyDescent="0.2">
      <c r="A203" s="24" t="s">
        <v>152</v>
      </c>
      <c r="B203" s="187"/>
      <c r="C203" s="187"/>
      <c r="D203" s="187"/>
      <c r="E203" s="187"/>
      <c r="F203" s="258"/>
      <c r="G203" s="187"/>
      <c r="H203" s="187"/>
      <c r="I203" s="187"/>
      <c r="J203" s="187"/>
      <c r="K203" s="258"/>
      <c r="L203" s="187"/>
      <c r="M203" s="187"/>
      <c r="N203" s="187"/>
      <c r="O203" s="187"/>
      <c r="P203" s="258"/>
      <c r="Q203" s="187"/>
      <c r="R203" s="187"/>
      <c r="S203" s="187"/>
      <c r="T203" s="187"/>
      <c r="U203" s="258"/>
      <c r="V203" s="187"/>
      <c r="W203" s="187"/>
      <c r="X203" s="187"/>
      <c r="Y203" s="187"/>
      <c r="Z203" s="258"/>
      <c r="AA203" s="187"/>
      <c r="AB203" s="187"/>
      <c r="AC203" s="187"/>
      <c r="AD203" s="187"/>
      <c r="AE203" s="258"/>
      <c r="AF203" s="187"/>
      <c r="AG203" s="187"/>
      <c r="AH203" s="187"/>
      <c r="AI203" s="187"/>
      <c r="AJ203" s="258">
        <f t="shared" si="979"/>
        <v>1.7400482066367795E-2</v>
      </c>
      <c r="AK203" s="187">
        <f t="shared" si="991"/>
        <v>1.6926006380484079E-2</v>
      </c>
      <c r="AL203" s="187">
        <f t="shared" si="991"/>
        <v>1.7040523418140229E-2</v>
      </c>
      <c r="AM203" s="187">
        <f t="shared" si="991"/>
        <v>1.7015743510399615E-2</v>
      </c>
      <c r="AN203" s="187">
        <f t="shared" si="991"/>
        <v>1.6624829930457836E-2</v>
      </c>
      <c r="AO203" s="258">
        <f t="shared" si="991"/>
        <v>1.6624829930457833E-2</v>
      </c>
      <c r="AP203" s="187">
        <f t="shared" si="991"/>
        <v>1.6511813538912387E-2</v>
      </c>
      <c r="AQ203" s="187">
        <f t="shared" si="991"/>
        <v>1.5342255318040982E-2</v>
      </c>
      <c r="AR203" s="187">
        <f t="shared" si="991"/>
        <v>1.4250777813919493E-2</v>
      </c>
      <c r="AS203" s="187">
        <f t="shared" si="991"/>
        <v>1.3514954442624605E-2</v>
      </c>
      <c r="AT203" s="258">
        <f t="shared" si="991"/>
        <v>1.3514954442624605E-2</v>
      </c>
      <c r="AU203" s="187">
        <f t="shared" si="991"/>
        <v>1.2556034609152932E-2</v>
      </c>
      <c r="AV203" s="187">
        <f t="shared" si="991"/>
        <v>1.2095557744989344E-2</v>
      </c>
      <c r="AW203" s="187">
        <f t="shared" si="991"/>
        <v>1.1680070760511705E-2</v>
      </c>
      <c r="AX203" s="187">
        <f t="shared" si="991"/>
        <v>1.1433640644760618E-2</v>
      </c>
      <c r="AY203" s="258">
        <f t="shared" si="991"/>
        <v>1.1433640644760618E-2</v>
      </c>
      <c r="AZ203" s="187">
        <f t="shared" si="991"/>
        <v>1.1826429840272523E-2</v>
      </c>
      <c r="BA203" s="187">
        <f t="shared" si="991"/>
        <v>1.2080329681312471E-2</v>
      </c>
      <c r="BB203" s="187">
        <f t="shared" si="991"/>
        <v>1.2315434634333435E-2</v>
      </c>
      <c r="BC203" s="187">
        <f t="shared" si="991"/>
        <v>1.2370697895057313E-2</v>
      </c>
      <c r="BD203" s="258">
        <f t="shared" si="991"/>
        <v>1.2370697895057315E-2</v>
      </c>
      <c r="BE203" s="187">
        <f t="shared" si="991"/>
        <v>1.1940303622807184E-2</v>
      </c>
      <c r="BF203" s="187">
        <f t="shared" si="991"/>
        <v>1.1587143088465483E-2</v>
      </c>
      <c r="BG203" s="187">
        <f t="shared" si="991"/>
        <v>1.1323039116629048E-2</v>
      </c>
      <c r="BH203" s="187">
        <f t="shared" si="991"/>
        <v>1.256972328859546E-2</v>
      </c>
      <c r="BI203" s="258">
        <f t="shared" si="991"/>
        <v>1.256972328859546E-2</v>
      </c>
      <c r="BJ203" s="187">
        <f t="shared" si="991"/>
        <v>1.4728258850625953E-2</v>
      </c>
      <c r="BK203" s="187">
        <f t="shared" si="991"/>
        <v>1.7056614692794295E-2</v>
      </c>
      <c r="BL203" s="187">
        <f t="shared" si="991"/>
        <v>1.9239588200295366E-2</v>
      </c>
      <c r="BM203" s="187">
        <f t="shared" si="991"/>
        <v>1.9461439422097642E-2</v>
      </c>
      <c r="BN203" s="258">
        <f t="shared" si="991"/>
        <v>1.9461439422097642E-2</v>
      </c>
      <c r="BO203" s="187">
        <f t="shared" si="991"/>
        <v>1.904856468145693E-2</v>
      </c>
      <c r="BP203" s="187">
        <f t="shared" si="991"/>
        <v>1.80782752093154E-2</v>
      </c>
      <c r="BQ203" s="187">
        <f t="shared" si="991"/>
        <v>1.6570900203607193E-2</v>
      </c>
      <c r="BR203" s="187">
        <f t="shared" si="991"/>
        <v>1.5161725067385445E-2</v>
      </c>
      <c r="BS203" s="258">
        <f t="shared" si="991"/>
        <v>1.5161725067385445E-2</v>
      </c>
      <c r="BT203" s="187">
        <f t="shared" si="991"/>
        <v>1.3676058658757621E-2</v>
      </c>
      <c r="BU203" s="187">
        <f t="shared" si="991"/>
        <v>1.3078149920255184E-2</v>
      </c>
      <c r="BV203" s="187">
        <f t="shared" si="991"/>
        <v>1.2830542951024879E-2</v>
      </c>
      <c r="BW203" s="187">
        <f t="shared" si="991"/>
        <v>1.3478327462092205E-2</v>
      </c>
      <c r="BX203" s="258">
        <f t="shared" si="991"/>
        <v>1.3478327462092205E-2</v>
      </c>
      <c r="BY203" s="187">
        <f t="shared" si="991"/>
        <v>1.4311270125223614E-2</v>
      </c>
      <c r="BZ203" s="187">
        <f t="shared" si="991"/>
        <v>1.4850057670126874E-2</v>
      </c>
      <c r="CA203" s="187">
        <f t="shared" si="991"/>
        <v>1.5721969383533305E-2</v>
      </c>
      <c r="CB203" s="187">
        <f t="shared" si="991"/>
        <v>1.582487142291969E-2</v>
      </c>
      <c r="CC203" s="258">
        <f t="shared" si="991"/>
        <v>1.582487142291969E-2</v>
      </c>
      <c r="CD203" s="187">
        <f t="shared" si="991"/>
        <v>1.5996976949237938E-2</v>
      </c>
      <c r="CE203" s="187">
        <f t="shared" si="991"/>
        <v>1.5632401705352912E-2</v>
      </c>
      <c r="CF203" s="187">
        <f t="shared" si="991"/>
        <v>1.5005115380243265E-2</v>
      </c>
      <c r="CG203" s="187">
        <f t="shared" si="991"/>
        <v>1.408760730794629E-2</v>
      </c>
      <c r="CH203" s="258">
        <f t="shared" si="991"/>
        <v>1.408760730794629E-2</v>
      </c>
      <c r="CI203" s="187">
        <f t="shared" si="991"/>
        <v>1.3275769023205613E-2</v>
      </c>
      <c r="CJ203" s="187">
        <f t="shared" si="991"/>
        <v>1.2554527077348655E-2</v>
      </c>
      <c r="CK203" s="187">
        <f t="shared" si="991"/>
        <v>1.181959564541213E-2</v>
      </c>
      <c r="CL203" s="187">
        <f t="shared" si="991"/>
        <v>1.206774160835615E-2</v>
      </c>
      <c r="CM203" s="258">
        <f t="shared" si="991"/>
        <v>1.206774160835615E-2</v>
      </c>
      <c r="CN203" s="187">
        <f t="shared" si="991"/>
        <v>1.1576572157362896E-2</v>
      </c>
      <c r="CO203" s="187">
        <f t="shared" si="991"/>
        <v>1.1546903330470464E-2</v>
      </c>
      <c r="CP203" s="187">
        <f t="shared" si="991"/>
        <v>1.187163791504359E-2</v>
      </c>
      <c r="CQ203" s="187">
        <f t="shared" si="991"/>
        <v>1.1701741654571843E-2</v>
      </c>
      <c r="CR203" s="104">
        <f t="shared" si="991"/>
        <v>1.1701741654571843E-2</v>
      </c>
      <c r="CS203" s="187">
        <f t="shared" si="991"/>
        <v>1.4590595679523005E-2</v>
      </c>
      <c r="CT203" s="187">
        <f t="shared" si="991"/>
        <v>1.7113905709386756E-2</v>
      </c>
      <c r="CU203" s="187">
        <f t="shared" si="991"/>
        <v>1.931890118941797E-2</v>
      </c>
      <c r="CV203" s="187">
        <f t="shared" si="991"/>
        <v>2.1191115153411769E-2</v>
      </c>
      <c r="CW203" s="104">
        <f t="shared" si="981"/>
        <v>2.1191115153411769E-2</v>
      </c>
      <c r="CX203" s="187">
        <f t="shared" si="982"/>
        <v>2.0548902002574636E-2</v>
      </c>
      <c r="CY203" s="187">
        <f t="shared" si="982"/>
        <v>1.944439875054604E-2</v>
      </c>
      <c r="CZ203" s="187">
        <f t="shared" si="982"/>
        <v>1.8108842905493562E-2</v>
      </c>
      <c r="DA203" s="187">
        <f t="shared" si="982"/>
        <v>1.6831202580850049E-2</v>
      </c>
      <c r="DB203" s="104">
        <f t="shared" si="983"/>
        <v>1.6831202580850049E-2</v>
      </c>
      <c r="DC203" s="187">
        <f t="shared" si="983"/>
        <v>1.5906967288243156E-2</v>
      </c>
      <c r="DD203" s="187">
        <f t="shared" si="983"/>
        <v>1.4796375114736103E-2</v>
      </c>
      <c r="DE203" s="187">
        <f t="shared" si="983"/>
        <v>1.3731678113988951E-2</v>
      </c>
      <c r="DF203" s="187">
        <f t="shared" si="983"/>
        <v>1.300817093984338E-2</v>
      </c>
      <c r="DG203" s="104">
        <f t="shared" si="984"/>
        <v>1.300817093984338E-2</v>
      </c>
      <c r="DH203" s="187">
        <f t="shared" si="984"/>
        <v>1.1714336683118273E-2</v>
      </c>
      <c r="DI203" s="187">
        <f t="shared" si="984"/>
        <v>1.0513332550217315E-2</v>
      </c>
      <c r="DJ203" s="187">
        <f t="shared" si="984"/>
        <v>9.6334586466165408E-3</v>
      </c>
      <c r="DK203" s="187">
        <f t="shared" si="984"/>
        <v>8.6605418690385624E-3</v>
      </c>
      <c r="DL203" s="104">
        <f t="shared" si="985"/>
        <v>8.6605418690385624E-3</v>
      </c>
      <c r="DM203" s="187">
        <f t="shared" si="985"/>
        <v>7.9734605983005479E-3</v>
      </c>
      <c r="DN203" s="187">
        <f t="shared" si="986"/>
        <v>7.6704050206287408E-3</v>
      </c>
      <c r="DO203" s="187">
        <f t="shared" si="986"/>
        <v>7.5666380051590716E-3</v>
      </c>
      <c r="DP203" s="187">
        <f t="shared" si="986"/>
        <v>7.3446327683615821E-3</v>
      </c>
      <c r="DQ203" s="104">
        <f t="shared" si="987"/>
        <v>7.3446327683615821E-3</v>
      </c>
      <c r="DR203" s="187">
        <f t="shared" si="987"/>
        <v>7.5357102688111575E-3</v>
      </c>
      <c r="DS203" s="187">
        <f t="shared" si="987"/>
        <v>7.4380165289256199E-3</v>
      </c>
      <c r="DT203" s="187">
        <f t="shared" si="987"/>
        <v>7.117631078511274E-3</v>
      </c>
      <c r="DU203" s="187">
        <f t="shared" si="987"/>
        <v>6.9873689868314966E-3</v>
      </c>
      <c r="DV203" s="104">
        <f t="shared" si="988"/>
        <v>6.9873689868314966E-3</v>
      </c>
      <c r="DW203" s="187">
        <f t="shared" si="988"/>
        <v>6.8424123481674003E-3</v>
      </c>
      <c r="DX203" s="187">
        <f t="shared" si="988"/>
        <v>6.5424998680947604E-3</v>
      </c>
      <c r="DY203" s="187">
        <f t="shared" si="988"/>
        <v>6.4252033784133892E-3</v>
      </c>
      <c r="DZ203" s="187">
        <f t="shared" si="988"/>
        <v>6.1074918566775245E-3</v>
      </c>
      <c r="EA203" s="104">
        <f t="shared" si="976"/>
        <v>6.1074918566775245E-3</v>
      </c>
      <c r="EB203" s="187">
        <f t="shared" si="976"/>
        <v>5.8823529411764705E-3</v>
      </c>
      <c r="EC203" s="187">
        <f t="shared" si="976"/>
        <v>5.9509172281512809E-3</v>
      </c>
      <c r="ED203" s="187">
        <f t="shared" si="976"/>
        <v>5.9529666437075669E-3</v>
      </c>
      <c r="EE203" s="187">
        <f t="shared" si="976"/>
        <v>6.0220318237454102E-3</v>
      </c>
      <c r="EF203" s="104">
        <f t="shared" si="944"/>
        <v>6.0220318237454102E-3</v>
      </c>
      <c r="EG203" s="187">
        <f t="shared" si="944"/>
        <v>5.9564495654721222E-3</v>
      </c>
      <c r="EH203" s="187">
        <f t="shared" si="944"/>
        <v>5.6136647154783614E-3</v>
      </c>
      <c r="EI203" s="187">
        <f t="shared" si="944"/>
        <v>5.4353008486697817E-3</v>
      </c>
      <c r="EJ203" s="187">
        <f t="shared" si="944"/>
        <v>5.3844700547893446E-3</v>
      </c>
      <c r="EK203" s="104">
        <f t="shared" si="945"/>
        <v>5.3844700547893446E-3</v>
      </c>
      <c r="EL203" s="187">
        <f t="shared" si="945"/>
        <v>5.3918554604360782E-3</v>
      </c>
      <c r="EM203" s="187">
        <f t="shared" si="945"/>
        <v>5.3951727401798395E-3</v>
      </c>
      <c r="EN203" s="187">
        <f t="shared" si="945"/>
        <v>5.3870144598809188E-3</v>
      </c>
      <c r="EO203" s="187">
        <f t="shared" si="945"/>
        <v>5.3910905135723065E-3</v>
      </c>
      <c r="EP203" s="104">
        <f t="shared" ref="EP203" si="996">EP186/EP$174</f>
        <v>5.3910905135723065E-3</v>
      </c>
      <c r="EQ203" s="187">
        <f t="shared" si="945"/>
        <v>5.5546967586394625E-3</v>
      </c>
      <c r="ER203" s="187">
        <f t="shared" si="945"/>
        <v>5.788606227169894E-3</v>
      </c>
      <c r="ES203" s="187">
        <f t="shared" si="945"/>
        <v>5.9856117698520884E-3</v>
      </c>
      <c r="ET203" s="187">
        <f t="shared" si="945"/>
        <v>6.0352805222212563E-3</v>
      </c>
      <c r="EU203" s="104">
        <f t="shared" si="945"/>
        <v>6.0352805222212563E-3</v>
      </c>
      <c r="EV203" s="187"/>
      <c r="EW203" s="187"/>
      <c r="EX203" s="187"/>
      <c r="EY203" s="187"/>
      <c r="EZ203" s="104">
        <f t="shared" ref="EZ203" si="997">EZ186/EZ$174</f>
        <v>5.8546199726367326E-3</v>
      </c>
      <c r="FA203" s="187"/>
      <c r="FB203" s="187"/>
      <c r="FC203" s="187"/>
      <c r="FD203" s="187"/>
      <c r="FE203" s="104">
        <f t="shared" si="948"/>
        <v>5.4945965394018878E-3</v>
      </c>
      <c r="FF203" s="24"/>
      <c r="FG203" s="465"/>
      <c r="FL203" s="388"/>
      <c r="FM203" s="388"/>
      <c r="FN203" s="389"/>
      <c r="FO203" s="389"/>
      <c r="FP203" s="389"/>
      <c r="FQ203" s="389"/>
      <c r="FR203" s="389"/>
      <c r="FS203" s="389"/>
      <c r="FT203" s="465"/>
    </row>
    <row r="204" spans="1:183" ht="12.75" hidden="1" customHeight="1" x14ac:dyDescent="0.2">
      <c r="A204" s="24" t="s">
        <v>153</v>
      </c>
      <c r="B204" s="187"/>
      <c r="C204" s="187"/>
      <c r="D204" s="187"/>
      <c r="E204" s="187"/>
      <c r="F204" s="258"/>
      <c r="G204" s="187"/>
      <c r="H204" s="187"/>
      <c r="I204" s="187"/>
      <c r="J204" s="187"/>
      <c r="K204" s="258"/>
      <c r="L204" s="187"/>
      <c r="M204" s="187"/>
      <c r="N204" s="187"/>
      <c r="O204" s="187"/>
      <c r="P204" s="258"/>
      <c r="Q204" s="187"/>
      <c r="R204" s="187"/>
      <c r="S204" s="187"/>
      <c r="T204" s="187"/>
      <c r="U204" s="258"/>
      <c r="V204" s="187"/>
      <c r="W204" s="187"/>
      <c r="X204" s="187"/>
      <c r="Y204" s="187"/>
      <c r="Z204" s="258"/>
      <c r="AA204" s="187"/>
      <c r="AB204" s="187"/>
      <c r="AC204" s="187"/>
      <c r="AD204" s="187"/>
      <c r="AE204" s="258"/>
      <c r="AF204" s="187"/>
      <c r="AG204" s="187"/>
      <c r="AH204" s="187"/>
      <c r="AI204" s="187"/>
      <c r="AJ204" s="258">
        <f t="shared" si="979"/>
        <v>3.2896185451694996E-3</v>
      </c>
      <c r="AK204" s="187">
        <f t="shared" si="991"/>
        <v>2.8690023904092785E-3</v>
      </c>
      <c r="AL204" s="187">
        <f t="shared" si="991"/>
        <v>2.4135765784959024E-3</v>
      </c>
      <c r="AM204" s="187">
        <f t="shared" si="991"/>
        <v>2.0753762044764213E-3</v>
      </c>
      <c r="AN204" s="187">
        <f t="shared" si="991"/>
        <v>1.8494448652425683E-3</v>
      </c>
      <c r="AO204" s="258">
        <f t="shared" si="991"/>
        <v>1.8494448652425664E-3</v>
      </c>
      <c r="AP204" s="187">
        <f t="shared" si="991"/>
        <v>1.5179299340276364E-3</v>
      </c>
      <c r="AQ204" s="187">
        <f t="shared" si="991"/>
        <v>5.2975118718342671E-4</v>
      </c>
      <c r="AR204" s="187">
        <f t="shared" si="991"/>
        <v>-7.1360196211213219E-5</v>
      </c>
      <c r="AS204" s="187">
        <f t="shared" si="991"/>
        <v>-9.4861166480146087E-5</v>
      </c>
      <c r="AT204" s="258">
        <f t="shared" si="991"/>
        <v>-9.4861166480146304E-5</v>
      </c>
      <c r="AU204" s="187">
        <f t="shared" si="991"/>
        <v>-2.7624579405887681E-4</v>
      </c>
      <c r="AV204" s="187">
        <f t="shared" si="991"/>
        <v>-5.510884447387386E-4</v>
      </c>
      <c r="AW204" s="187">
        <f t="shared" si="991"/>
        <v>-6.1740730427566005E-4</v>
      </c>
      <c r="AX204" s="187">
        <f t="shared" si="991"/>
        <v>-4.8927408576803682E-4</v>
      </c>
      <c r="AY204" s="258">
        <f t="shared" si="991"/>
        <v>-4.8927408576803833E-4</v>
      </c>
      <c r="AZ204" s="187">
        <f t="shared" si="991"/>
        <v>7.9140662941751711E-5</v>
      </c>
      <c r="BA204" s="187">
        <f t="shared" si="991"/>
        <v>5.9616100313713628E-4</v>
      </c>
      <c r="BB204" s="187">
        <f t="shared" si="991"/>
        <v>6.384392008723902E-4</v>
      </c>
      <c r="BC204" s="187">
        <f t="shared" si="991"/>
        <v>4.0109318247792669E-4</v>
      </c>
      <c r="BD204" s="258">
        <f t="shared" si="991"/>
        <v>4.0109318247792593E-4</v>
      </c>
      <c r="BE204" s="187">
        <f t="shared" si="991"/>
        <v>1.0693116135123952E-4</v>
      </c>
      <c r="BF204" s="187">
        <f t="shared" si="991"/>
        <v>1.9937118799589763E-4</v>
      </c>
      <c r="BG204" s="187">
        <f t="shared" si="991"/>
        <v>5.3068913008642994E-5</v>
      </c>
      <c r="BH204" s="187">
        <f t="shared" si="991"/>
        <v>1.2041026977732837E-3</v>
      </c>
      <c r="BI204" s="258">
        <f t="shared" si="991"/>
        <v>1.204102697773283E-3</v>
      </c>
      <c r="BJ204" s="187">
        <f t="shared" si="991"/>
        <v>3.205728295999109E-3</v>
      </c>
      <c r="BK204" s="187">
        <f t="shared" si="991"/>
        <v>5.6343371218989559E-3</v>
      </c>
      <c r="BL204" s="187">
        <f t="shared" si="991"/>
        <v>8.3165520012760015E-3</v>
      </c>
      <c r="BM204" s="187">
        <f t="shared" si="991"/>
        <v>9.6048486165390429E-3</v>
      </c>
      <c r="BN204" s="258">
        <f t="shared" si="991"/>
        <v>9.6048486165390412E-3</v>
      </c>
      <c r="BO204" s="187">
        <f t="shared" si="991"/>
        <v>9.7121118488875773E-3</v>
      </c>
      <c r="BP204" s="187">
        <f t="shared" si="991"/>
        <v>8.6941229079507167E-3</v>
      </c>
      <c r="BQ204" s="187">
        <f t="shared" si="991"/>
        <v>7.4999067795576248E-3</v>
      </c>
      <c r="BR204" s="187">
        <f t="shared" si="991"/>
        <v>5.5592991913746628E-3</v>
      </c>
      <c r="BS204" s="258">
        <f t="shared" si="991"/>
        <v>5.5592991913746628E-3</v>
      </c>
      <c r="BT204" s="187">
        <f t="shared" si="991"/>
        <v>3.9545229856648538E-3</v>
      </c>
      <c r="BU204" s="187">
        <f t="shared" si="991"/>
        <v>3.6682615629984052E-3</v>
      </c>
      <c r="BV204" s="187">
        <f t="shared" si="991"/>
        <v>3.4423407917383822E-3</v>
      </c>
      <c r="BW204" s="187">
        <f t="shared" si="991"/>
        <v>4.2885587379384287E-3</v>
      </c>
      <c r="BX204" s="258">
        <f t="shared" si="991"/>
        <v>4.2885587379384287E-3</v>
      </c>
      <c r="BY204" s="187">
        <f t="shared" si="991"/>
        <v>5.0685748360166961E-3</v>
      </c>
      <c r="BZ204" s="187">
        <f t="shared" si="991"/>
        <v>5.3344867358708185E-3</v>
      </c>
      <c r="CA204" s="187">
        <f t="shared" si="991"/>
        <v>5.5164804854502831E-3</v>
      </c>
      <c r="CB204" s="187">
        <f t="shared" si="991"/>
        <v>4.6155874983515761E-3</v>
      </c>
      <c r="CC204" s="258">
        <f t="shared" si="991"/>
        <v>4.6155874983515761E-3</v>
      </c>
      <c r="CD204" s="187">
        <f t="shared" si="991"/>
        <v>3.5268925557374983E-3</v>
      </c>
      <c r="CE204" s="187">
        <f t="shared" si="991"/>
        <v>2.0132638559924206E-3</v>
      </c>
      <c r="CF204" s="187">
        <f t="shared" si="991"/>
        <v>5.683755825849721E-4</v>
      </c>
      <c r="CG204" s="187">
        <f t="shared" si="991"/>
        <v>-7.7041602465331282E-4</v>
      </c>
      <c r="CH204" s="258">
        <f t="shared" si="991"/>
        <v>-7.7041602465331282E-4</v>
      </c>
      <c r="CI204" s="187">
        <f t="shared" si="991"/>
        <v>-7.5553157042633566E-4</v>
      </c>
      <c r="CJ204" s="187">
        <f t="shared" si="991"/>
        <v>-5.3197148632833275E-4</v>
      </c>
      <c r="CK204" s="187">
        <f t="shared" si="991"/>
        <v>4.1472265422498703E-4</v>
      </c>
      <c r="CL204" s="187">
        <f t="shared" si="991"/>
        <v>2.6366494270357974E-3</v>
      </c>
      <c r="CM204" s="258">
        <f t="shared" si="991"/>
        <v>2.6366494270357974E-3</v>
      </c>
      <c r="CN204" s="187">
        <f t="shared" si="991"/>
        <v>3.4337290297262826E-3</v>
      </c>
      <c r="CO204" s="187">
        <f t="shared" si="991"/>
        <v>5.2485924229411203E-3</v>
      </c>
      <c r="CP204" s="187">
        <f t="shared" si="991"/>
        <v>6.5850491560007418E-3</v>
      </c>
      <c r="CQ204" s="187">
        <f t="shared" si="991"/>
        <v>7.0754716981132077E-3</v>
      </c>
      <c r="CR204" s="104">
        <f t="shared" si="991"/>
        <v>7.0754716981132077E-3</v>
      </c>
      <c r="CS204" s="187">
        <f t="shared" si="991"/>
        <v>1.046365934035551E-2</v>
      </c>
      <c r="CT204" s="187">
        <f t="shared" si="991"/>
        <v>1.3244396441025621E-2</v>
      </c>
      <c r="CU204" s="187">
        <f t="shared" si="991"/>
        <v>1.5649706462771158E-2</v>
      </c>
      <c r="CV204" s="187">
        <f>CV187/CV$174</f>
        <v>1.7929804209465758E-2</v>
      </c>
      <c r="CW204" s="104">
        <f t="shared" si="981"/>
        <v>1.7929804209465758E-2</v>
      </c>
      <c r="CX204" s="187">
        <f t="shared" si="982"/>
        <v>1.7523717769821961E-2</v>
      </c>
      <c r="CY204" s="187">
        <f t="shared" si="982"/>
        <v>1.6510850473114621E-2</v>
      </c>
      <c r="CZ204" s="187">
        <f t="shared" si="982"/>
        <v>1.5585264792158757E-2</v>
      </c>
      <c r="DA204" s="187">
        <f t="shared" si="982"/>
        <v>1.4449671461309694E-2</v>
      </c>
      <c r="DB204" s="104">
        <f t="shared" si="983"/>
        <v>1.4449671461309694E-2</v>
      </c>
      <c r="DC204" s="187">
        <f t="shared" si="983"/>
        <v>1.3768159207436398E-2</v>
      </c>
      <c r="DD204" s="187">
        <f t="shared" si="983"/>
        <v>1.2992187721080061E-2</v>
      </c>
      <c r="DE204" s="187">
        <f t="shared" si="983"/>
        <v>1.2218355464453783E-2</v>
      </c>
      <c r="DF204" s="187">
        <f t="shared" si="983"/>
        <v>1.1645955949103079E-2</v>
      </c>
      <c r="DG204" s="104">
        <f t="shared" si="984"/>
        <v>1.1645955949103079E-2</v>
      </c>
      <c r="DH204" s="187">
        <f t="shared" si="984"/>
        <v>1.0346673009454719E-2</v>
      </c>
      <c r="DI204" s="187">
        <f t="shared" si="984"/>
        <v>9.0449900152707631E-3</v>
      </c>
      <c r="DJ204" s="187">
        <f t="shared" si="984"/>
        <v>7.9887218045112778E-3</v>
      </c>
      <c r="DK204" s="187">
        <f t="shared" si="984"/>
        <v>6.9635438001053309E-3</v>
      </c>
      <c r="DL204" s="104">
        <f t="shared" si="985"/>
        <v>6.9635438001053309E-3</v>
      </c>
      <c r="DM204" s="187">
        <f t="shared" si="985"/>
        <v>6.285647770923059E-3</v>
      </c>
      <c r="DN204" s="187">
        <f t="shared" si="986"/>
        <v>5.8690220233598702E-3</v>
      </c>
      <c r="DO204" s="187">
        <f t="shared" si="986"/>
        <v>5.9042705646316996E-3</v>
      </c>
      <c r="DP204" s="187">
        <f t="shared" si="986"/>
        <v>5.6497175141242938E-3</v>
      </c>
      <c r="DQ204" s="104">
        <f t="shared" si="987"/>
        <v>5.6497175141242938E-3</v>
      </c>
      <c r="DR204" s="187">
        <f t="shared" si="987"/>
        <v>5.7361376673040155E-3</v>
      </c>
      <c r="DS204" s="187">
        <f t="shared" si="987"/>
        <v>5.7851239669421484E-3</v>
      </c>
      <c r="DT204" s="187">
        <f t="shared" si="987"/>
        <v>5.3246400434664495E-3</v>
      </c>
      <c r="DU204" s="187">
        <f t="shared" si="987"/>
        <v>5.321150228433217E-3</v>
      </c>
      <c r="DV204" s="104">
        <f t="shared" si="988"/>
        <v>5.321150228433217E-3</v>
      </c>
      <c r="DW204" s="187">
        <f t="shared" si="988"/>
        <v>5.304195618734419E-3</v>
      </c>
      <c r="DX204" s="187">
        <f t="shared" si="988"/>
        <v>4.9596369967815123E-3</v>
      </c>
      <c r="DY204" s="187">
        <f t="shared" si="988"/>
        <v>4.7152702212549871E-3</v>
      </c>
      <c r="DZ204" s="187">
        <f t="shared" si="988"/>
        <v>4.0716612377850164E-3</v>
      </c>
      <c r="EA204" s="104">
        <f t="shared" si="976"/>
        <v>4.0716612377850164E-3</v>
      </c>
      <c r="EB204" s="187">
        <f t="shared" si="976"/>
        <v>3.4396809571286143E-3</v>
      </c>
      <c r="EC204" s="187">
        <f t="shared" si="976"/>
        <v>3.147592583484975E-3</v>
      </c>
      <c r="ED204" s="187">
        <f t="shared" si="976"/>
        <v>2.8042900718291842E-3</v>
      </c>
      <c r="EE204" s="187">
        <f t="shared" si="976"/>
        <v>2.5948592411260711E-3</v>
      </c>
      <c r="EF204" s="104">
        <f t="shared" si="944"/>
        <v>2.5948592411260711E-3</v>
      </c>
      <c r="EG204" s="187">
        <f t="shared" si="944"/>
        <v>2.4411678547016894E-3</v>
      </c>
      <c r="EH204" s="187">
        <f t="shared" si="944"/>
        <v>1.9671816524325881E-3</v>
      </c>
      <c r="EI204" s="187">
        <f t="shared" si="944"/>
        <v>1.5256984838371316E-3</v>
      </c>
      <c r="EJ204" s="187">
        <f t="shared" si="944"/>
        <v>1.3697336104288684E-3</v>
      </c>
      <c r="EK204" s="104">
        <f t="shared" si="945"/>
        <v>1.3697336104288684E-3</v>
      </c>
      <c r="EL204" s="187">
        <f t="shared" si="945"/>
        <v>1.3716123539705813E-3</v>
      </c>
      <c r="EM204" s="187">
        <f t="shared" si="945"/>
        <v>1.3724562233790819E-3</v>
      </c>
      <c r="EN204" s="187">
        <f t="shared" si="945"/>
        <v>1.3703808713732162E-3</v>
      </c>
      <c r="EO204" s="187">
        <f t="shared" si="945"/>
        <v>1.3714177622245341E-3</v>
      </c>
      <c r="EP204" s="104">
        <f t="shared" ref="EP204" si="998">EP187/EP$174</f>
        <v>1.3714177622245341E-3</v>
      </c>
      <c r="EQ204" s="187">
        <f t="shared" si="945"/>
        <v>1.3180636376432622E-3</v>
      </c>
      <c r="ER204" s="187">
        <f t="shared" si="945"/>
        <v>1.4004692485088453E-3</v>
      </c>
      <c r="ES204" s="187">
        <f t="shared" si="945"/>
        <v>1.6575540285744246E-3</v>
      </c>
      <c r="ET204" s="187">
        <f t="shared" si="945"/>
        <v>1.756536868407679E-3</v>
      </c>
      <c r="EU204" s="104">
        <f t="shared" si="945"/>
        <v>1.756536868407679E-3</v>
      </c>
      <c r="EV204" s="187"/>
      <c r="EW204" s="187"/>
      <c r="EX204" s="187"/>
      <c r="EY204" s="187"/>
      <c r="EZ204" s="104">
        <f t="shared" ref="EZ204" si="999">EZ187/EZ$174</f>
        <v>1.8250659787526294E-3</v>
      </c>
      <c r="FA204" s="187"/>
      <c r="FB204" s="187"/>
      <c r="FC204" s="187"/>
      <c r="FD204" s="187"/>
      <c r="FE204" s="104">
        <f t="shared" si="948"/>
        <v>1.715225812259742E-3</v>
      </c>
      <c r="FF204" s="24"/>
      <c r="FG204" s="465"/>
      <c r="FL204" s="388"/>
      <c r="FM204" s="388"/>
      <c r="FN204" s="389"/>
      <c r="FO204" s="389"/>
      <c r="FP204" s="389"/>
      <c r="FQ204" s="389"/>
      <c r="FR204" s="389"/>
      <c r="FS204" s="389"/>
      <c r="FT204" s="465"/>
    </row>
    <row r="205" spans="1:183" ht="12.75" hidden="1" customHeight="1" x14ac:dyDescent="0.2">
      <c r="A205" s="24" t="s">
        <v>154</v>
      </c>
      <c r="B205" s="187"/>
      <c r="C205" s="187"/>
      <c r="D205" s="187"/>
      <c r="E205" s="187"/>
      <c r="F205" s="258"/>
      <c r="G205" s="187"/>
      <c r="H205" s="187"/>
      <c r="I205" s="187"/>
      <c r="J205" s="187"/>
      <c r="K205" s="258"/>
      <c r="L205" s="187"/>
      <c r="M205" s="187"/>
      <c r="N205" s="187"/>
      <c r="O205" s="187"/>
      <c r="P205" s="258"/>
      <c r="Q205" s="187"/>
      <c r="R205" s="187"/>
      <c r="S205" s="187"/>
      <c r="T205" s="187"/>
      <c r="U205" s="258"/>
      <c r="V205" s="187"/>
      <c r="W205" s="187"/>
      <c r="X205" s="187"/>
      <c r="Y205" s="187"/>
      <c r="Z205" s="258"/>
      <c r="AA205" s="187"/>
      <c r="AB205" s="187"/>
      <c r="AC205" s="187"/>
      <c r="AD205" s="187"/>
      <c r="AE205" s="258"/>
      <c r="AF205" s="187"/>
      <c r="AG205" s="187"/>
      <c r="AH205" s="187"/>
      <c r="AI205" s="187"/>
      <c r="AJ205" s="258">
        <f t="shared" si="979"/>
        <v>0.10021872073325752</v>
      </c>
      <c r="AK205" s="187">
        <f t="shared" ref="AK205:CV206" si="1000">AK188/AK$174</f>
        <v>0.10508939040018909</v>
      </c>
      <c r="AL205" s="187">
        <f t="shared" si="1000"/>
        <v>0.10759505735398012</v>
      </c>
      <c r="AM205" s="187">
        <f t="shared" si="1000"/>
        <v>0.11814915537933</v>
      </c>
      <c r="AN205" s="187">
        <f t="shared" si="1000"/>
        <v>0.13544151009439537</v>
      </c>
      <c r="AO205" s="258">
        <f t="shared" si="1000"/>
        <v>0.1354415100943954</v>
      </c>
      <c r="AP205" s="187">
        <f t="shared" si="1000"/>
        <v>0.14141487700454941</v>
      </c>
      <c r="AQ205" s="187">
        <f t="shared" si="1000"/>
        <v>0.15280067135197706</v>
      </c>
      <c r="AR205" s="187">
        <f t="shared" si="1000"/>
        <v>0.16398279828256532</v>
      </c>
      <c r="AS205" s="187">
        <f t="shared" si="1000"/>
        <v>0.16933606789657965</v>
      </c>
      <c r="AT205" s="258">
        <f t="shared" si="1000"/>
        <v>0.16933606789657965</v>
      </c>
      <c r="AU205" s="187">
        <f t="shared" si="1000"/>
        <v>0.17388288016145598</v>
      </c>
      <c r="AV205" s="187">
        <f t="shared" si="1000"/>
        <v>0.17735945723871335</v>
      </c>
      <c r="AW205" s="187">
        <f t="shared" si="1000"/>
        <v>0.17124524304816185</v>
      </c>
      <c r="AX205" s="187">
        <f t="shared" si="1000"/>
        <v>0.16336116304061143</v>
      </c>
      <c r="AY205" s="258">
        <f t="shared" si="1000"/>
        <v>0.16336116304061143</v>
      </c>
      <c r="AZ205" s="187">
        <f t="shared" si="1000"/>
        <v>0.15776772745750622</v>
      </c>
      <c r="BA205" s="187">
        <f t="shared" si="1000"/>
        <v>0.16094966542262293</v>
      </c>
      <c r="BB205" s="187">
        <f t="shared" si="1000"/>
        <v>0.1709570870092938</v>
      </c>
      <c r="BC205" s="187">
        <f t="shared" si="1000"/>
        <v>0.18007844858714653</v>
      </c>
      <c r="BD205" s="258">
        <f t="shared" si="1000"/>
        <v>0.18007844858714656</v>
      </c>
      <c r="BE205" s="187">
        <f t="shared" si="1000"/>
        <v>0.18128481903100482</v>
      </c>
      <c r="BF205" s="187">
        <f t="shared" si="1000"/>
        <v>0.17448841555567543</v>
      </c>
      <c r="BG205" s="187">
        <f t="shared" si="1000"/>
        <v>0.16928049790049349</v>
      </c>
      <c r="BH205" s="187">
        <f t="shared" si="1000"/>
        <v>0.14898885255439343</v>
      </c>
      <c r="BI205" s="258">
        <f t="shared" si="1000"/>
        <v>0.14898885255439343</v>
      </c>
      <c r="BJ205" s="187">
        <f t="shared" si="1000"/>
        <v>0.12377001374493851</v>
      </c>
      <c r="BK205" s="187">
        <f t="shared" si="1000"/>
        <v>9.8246890481966956E-2</v>
      </c>
      <c r="BL205" s="187">
        <f t="shared" si="1000"/>
        <v>6.5359742349957631E-2</v>
      </c>
      <c r="BM205" s="187">
        <f t="shared" si="1000"/>
        <v>5.7237168667813518E-2</v>
      </c>
      <c r="BN205" s="258">
        <f t="shared" si="1000"/>
        <v>5.7237168667813518E-2</v>
      </c>
      <c r="BO205" s="187">
        <f t="shared" si="1000"/>
        <v>5.6957147629691979E-2</v>
      </c>
      <c r="BP205" s="187">
        <f t="shared" si="1000"/>
        <v>6.1199102820389088E-2</v>
      </c>
      <c r="BQ205" s="187">
        <f t="shared" si="1000"/>
        <v>7.5766138864263977E-2</v>
      </c>
      <c r="BR205" s="187">
        <f t="shared" si="1000"/>
        <v>8.0525606469002697E-2</v>
      </c>
      <c r="BS205" s="258">
        <f t="shared" si="1000"/>
        <v>8.0525606469002697E-2</v>
      </c>
      <c r="BT205" s="187">
        <f t="shared" si="1000"/>
        <v>8.1611468116658425E-2</v>
      </c>
      <c r="BU205" s="187">
        <f t="shared" si="1000"/>
        <v>8.4736842105263152E-2</v>
      </c>
      <c r="BV205" s="187">
        <f t="shared" si="1000"/>
        <v>8.4697230480362998E-2</v>
      </c>
      <c r="BW205" s="187">
        <f t="shared" si="1000"/>
        <v>8.1069076428243222E-2</v>
      </c>
      <c r="BX205" s="258">
        <f t="shared" si="1000"/>
        <v>8.1069076428243222E-2</v>
      </c>
      <c r="BY205" s="187">
        <f t="shared" si="1000"/>
        <v>8.0053667262969586E-2</v>
      </c>
      <c r="BZ205" s="187">
        <f t="shared" si="1000"/>
        <v>8.2324106113033452E-2</v>
      </c>
      <c r="CA205" s="187">
        <f t="shared" si="1000"/>
        <v>8.4126327403116805E-2</v>
      </c>
      <c r="CB205" s="187">
        <f t="shared" si="1000"/>
        <v>8.584992746933931E-2</v>
      </c>
      <c r="CC205" s="258">
        <f t="shared" si="1000"/>
        <v>8.584992746933931E-2</v>
      </c>
      <c r="CD205" s="187">
        <f t="shared" si="1000"/>
        <v>8.6484443884620218E-2</v>
      </c>
      <c r="CE205" s="187">
        <f t="shared" si="1000"/>
        <v>0.10270014211274275</v>
      </c>
      <c r="CF205" s="187">
        <f t="shared" si="1000"/>
        <v>0.10194384449244058</v>
      </c>
      <c r="CG205" s="187">
        <f t="shared" si="1000"/>
        <v>0.10239929561963457</v>
      </c>
      <c r="CH205" s="258">
        <f t="shared" si="1000"/>
        <v>0.10239929561963457</v>
      </c>
      <c r="CI205" s="187">
        <f t="shared" si="1000"/>
        <v>9.5175391257420375E-2</v>
      </c>
      <c r="CJ205" s="187">
        <f t="shared" si="1000"/>
        <v>8.2689647834876034E-2</v>
      </c>
      <c r="CK205" s="187">
        <f t="shared" si="1000"/>
        <v>8.1140487299118699E-2</v>
      </c>
      <c r="CL205" s="187">
        <f t="shared" si="1000"/>
        <v>7.7274110130818377E-2</v>
      </c>
      <c r="CM205" s="258">
        <f t="shared" si="1000"/>
        <v>7.7274110130818377E-2</v>
      </c>
      <c r="CN205" s="187">
        <f t="shared" si="1000"/>
        <v>7.6719317178455801E-2</v>
      </c>
      <c r="CO205" s="187">
        <f t="shared" si="1000"/>
        <v>6.4319114419314816E-2</v>
      </c>
      <c r="CP205" s="187">
        <f t="shared" si="1000"/>
        <v>4.8414023372287146E-2</v>
      </c>
      <c r="CQ205" s="187">
        <f t="shared" si="1000"/>
        <v>4.4085631349782294E-2</v>
      </c>
      <c r="CR205" s="104">
        <f t="shared" si="1000"/>
        <v>4.4085631349782294E-2</v>
      </c>
      <c r="CS205" s="187">
        <f t="shared" si="1000"/>
        <v>3.530488797682426E-2</v>
      </c>
      <c r="CT205" s="187">
        <f t="shared" si="1000"/>
        <v>2.9558122171652872E-2</v>
      </c>
      <c r="CU205" s="187">
        <f t="shared" si="1000"/>
        <v>2.4962343213648704E-2</v>
      </c>
      <c r="CV205" s="187">
        <f t="shared" si="1000"/>
        <v>2.5628637893322662E-2</v>
      </c>
      <c r="CW205" s="104">
        <f t="shared" si="981"/>
        <v>2.5628637893322655E-2</v>
      </c>
      <c r="CX205" s="187">
        <f t="shared" ref="CX205:DB206" si="1001">CX188/CX$174</f>
        <v>2.7599068758429501E-2</v>
      </c>
      <c r="CY205" s="187">
        <f t="shared" si="1001"/>
        <v>4.4731475236648673E-2</v>
      </c>
      <c r="CZ205" s="187">
        <f t="shared" si="1001"/>
        <v>6.3530867087933193E-2</v>
      </c>
      <c r="DA205" s="187">
        <f t="shared" si="1001"/>
        <v>6.4147375388486139E-2</v>
      </c>
      <c r="DB205" s="104">
        <f t="shared" si="1001"/>
        <v>6.4147375388486139E-2</v>
      </c>
      <c r="DC205" s="187">
        <f t="shared" ref="DC205:DF206" si="1002">DC188/DC$174</f>
        <v>5.9837799516857713E-2</v>
      </c>
      <c r="DD205" s="187">
        <f t="shared" si="1002"/>
        <v>4.5951859679181438E-2</v>
      </c>
      <c r="DE205" s="187">
        <f t="shared" si="1002"/>
        <v>3.5421364063378716E-2</v>
      </c>
      <c r="DF205" s="187">
        <f t="shared" si="1002"/>
        <v>3.1033807650012825E-2</v>
      </c>
      <c r="DG205" s="104">
        <f t="shared" si="984"/>
        <v>3.1033807650012825E-2</v>
      </c>
      <c r="DH205" s="187">
        <f t="shared" si="984"/>
        <v>2.9493964440744484E-2</v>
      </c>
      <c r="DI205" s="187">
        <f t="shared" si="984"/>
        <v>4.2405732409256429E-2</v>
      </c>
      <c r="DJ205" s="187">
        <f t="shared" si="984"/>
        <v>4.000234962406015E-2</v>
      </c>
      <c r="DK205" s="187">
        <f t="shared" si="984"/>
        <v>3.9733161682953946E-2</v>
      </c>
      <c r="DL205" s="104">
        <f t="shared" si="985"/>
        <v>3.9733161682953946E-2</v>
      </c>
      <c r="DM205" s="187">
        <f t="shared" si="985"/>
        <v>4.6152950762425794E-2</v>
      </c>
      <c r="DN205" s="187">
        <f t="shared" si="986"/>
        <v>4.6254866639549072E-2</v>
      </c>
      <c r="DO205" s="187">
        <f t="shared" si="986"/>
        <v>5.8698767555173399E-2</v>
      </c>
      <c r="DP205" s="187">
        <f t="shared" si="986"/>
        <v>7.293785310734463E-2</v>
      </c>
      <c r="DQ205" s="104">
        <f t="shared" si="987"/>
        <v>7.293785310734463E-2</v>
      </c>
      <c r="DR205" s="187">
        <f t="shared" si="987"/>
        <v>7.9181194466314248E-2</v>
      </c>
      <c r="DS205" s="187">
        <f t="shared" si="987"/>
        <v>9.5977961432506892E-2</v>
      </c>
      <c r="DT205" s="187">
        <f t="shared" si="987"/>
        <v>0.10660146699266504</v>
      </c>
      <c r="DU205" s="187">
        <f t="shared" si="987"/>
        <v>0.11948400967481859</v>
      </c>
      <c r="DV205" s="104">
        <f t="shared" si="988"/>
        <v>0.11948400967481859</v>
      </c>
      <c r="DW205" s="187">
        <f t="shared" si="988"/>
        <v>0.14533495995332307</v>
      </c>
      <c r="DX205" s="187">
        <f t="shared" si="988"/>
        <v>0.16203239592676622</v>
      </c>
      <c r="DY205" s="187">
        <f t="shared" si="988"/>
        <v>0.17902481993885694</v>
      </c>
      <c r="DZ205" s="187">
        <f t="shared" si="988"/>
        <v>0.1911135993485342</v>
      </c>
      <c r="EA205" s="104">
        <f t="shared" si="976"/>
        <v>0.1911135993485342</v>
      </c>
      <c r="EB205" s="187">
        <f t="shared" si="976"/>
        <v>0.19641076769690927</v>
      </c>
      <c r="EC205" s="187">
        <f t="shared" si="976"/>
        <v>0.19844587616190429</v>
      </c>
      <c r="ED205" s="187">
        <f t="shared" si="976"/>
        <v>0.1951687493850241</v>
      </c>
      <c r="EE205" s="187">
        <f t="shared" si="976"/>
        <v>0.18350061199510403</v>
      </c>
      <c r="EF205" s="104">
        <f t="shared" si="944"/>
        <v>0.18350061199510403</v>
      </c>
      <c r="EG205" s="187">
        <f t="shared" si="944"/>
        <v>0.1674641148325359</v>
      </c>
      <c r="EH205" s="187">
        <f t="shared" si="944"/>
        <v>0.16303617695038863</v>
      </c>
      <c r="EI205" s="187">
        <f t="shared" si="944"/>
        <v>0.15752836845618384</v>
      </c>
      <c r="EJ205" s="187">
        <f t="shared" si="944"/>
        <v>0.15572454184772341</v>
      </c>
      <c r="EK205" s="104">
        <f t="shared" si="945"/>
        <v>0.15572454184772341</v>
      </c>
      <c r="EL205" s="187">
        <f t="shared" si="945"/>
        <v>0.15494489902095257</v>
      </c>
      <c r="EM205" s="187">
        <f t="shared" si="945"/>
        <v>0.15485092285849503</v>
      </c>
      <c r="EN205" s="187">
        <f t="shared" si="945"/>
        <v>0.15655420092618846</v>
      </c>
      <c r="EO205" s="187">
        <f t="shared" si="945"/>
        <v>0.15657807623191147</v>
      </c>
      <c r="EP205" s="104">
        <f t="shared" ref="EP205" si="1003">EP188/EP$174</f>
        <v>0.15657807623191147</v>
      </c>
      <c r="EQ205" s="187">
        <f t="shared" si="945"/>
        <v>0.15585250900787473</v>
      </c>
      <c r="ER205" s="187">
        <f t="shared" si="945"/>
        <v>0.15387785477076074</v>
      </c>
      <c r="ES205" s="187">
        <f t="shared" si="945"/>
        <v>0.15592404908451998</v>
      </c>
      <c r="ET205" s="187">
        <f t="shared" si="945"/>
        <v>0.16128219540114008</v>
      </c>
      <c r="EU205" s="104">
        <f t="shared" si="945"/>
        <v>0.16128219540114017</v>
      </c>
      <c r="EV205" s="187"/>
      <c r="EW205" s="187"/>
      <c r="EX205" s="187"/>
      <c r="EY205" s="187"/>
      <c r="EZ205" s="104">
        <f t="shared" ref="EZ205" si="1004">EZ188/EZ$174</f>
        <v>0.17594275201043089</v>
      </c>
      <c r="FA205" s="187"/>
      <c r="FB205" s="187"/>
      <c r="FC205" s="187"/>
      <c r="FD205" s="187"/>
      <c r="FE205" s="104">
        <f t="shared" si="948"/>
        <v>0.18968502502973567</v>
      </c>
      <c r="FF205" s="24"/>
      <c r="FG205" s="465"/>
      <c r="FL205" s="388"/>
      <c r="FM205" s="388"/>
      <c r="FN205" s="389"/>
      <c r="FO205" s="389"/>
      <c r="FP205" s="389"/>
      <c r="FQ205" s="389"/>
      <c r="FR205" s="389"/>
      <c r="FS205" s="389"/>
      <c r="FT205" s="465"/>
    </row>
    <row r="206" spans="1:183" ht="12.75" hidden="1" customHeight="1" x14ac:dyDescent="0.2">
      <c r="A206" s="24" t="s">
        <v>155</v>
      </c>
      <c r="B206" s="187"/>
      <c r="C206" s="187"/>
      <c r="D206" s="187"/>
      <c r="E206" s="187"/>
      <c r="F206" s="258"/>
      <c r="G206" s="187"/>
      <c r="H206" s="187"/>
      <c r="I206" s="187"/>
      <c r="J206" s="187"/>
      <c r="K206" s="258"/>
      <c r="L206" s="187"/>
      <c r="M206" s="187"/>
      <c r="N206" s="187"/>
      <c r="O206" s="187"/>
      <c r="P206" s="258"/>
      <c r="Q206" s="187"/>
      <c r="R206" s="187"/>
      <c r="S206" s="187"/>
      <c r="T206" s="187"/>
      <c r="U206" s="258"/>
      <c r="V206" s="187"/>
      <c r="W206" s="187"/>
      <c r="X206" s="187"/>
      <c r="Y206" s="187"/>
      <c r="Z206" s="258"/>
      <c r="AA206" s="187"/>
      <c r="AB206" s="187"/>
      <c r="AC206" s="187"/>
      <c r="AD206" s="187"/>
      <c r="AE206" s="258"/>
      <c r="AF206" s="187"/>
      <c r="AG206" s="187"/>
      <c r="AH206" s="187"/>
      <c r="AI206" s="187"/>
      <c r="AJ206" s="258">
        <f t="shared" si="979"/>
        <v>6.0871007612655792E-2</v>
      </c>
      <c r="AK206" s="187">
        <f t="shared" si="1000"/>
        <v>6.3967022804322773E-2</v>
      </c>
      <c r="AL206" s="187">
        <f t="shared" si="1000"/>
        <v>6.5518932980500863E-2</v>
      </c>
      <c r="AM206" s="187">
        <f t="shared" si="1000"/>
        <v>7.225020820463765E-2</v>
      </c>
      <c r="AN206" s="187">
        <f t="shared" si="1000"/>
        <v>8.3255672718212451E-2</v>
      </c>
      <c r="AO206" s="258">
        <f t="shared" si="1000"/>
        <v>8.3255672718212451E-2</v>
      </c>
      <c r="AP206" s="187">
        <f t="shared" si="1000"/>
        <v>8.7002331125130089E-2</v>
      </c>
      <c r="AQ206" s="187">
        <f t="shared" si="1000"/>
        <v>9.4250397063035354E-2</v>
      </c>
      <c r="AR206" s="187">
        <f t="shared" si="1000"/>
        <v>0.10107756340121263</v>
      </c>
      <c r="AS206" s="187">
        <f t="shared" si="1000"/>
        <v>0.10409055759153495</v>
      </c>
      <c r="AT206" s="258">
        <f t="shared" si="1000"/>
        <v>0.10409055759153495</v>
      </c>
      <c r="AU206" s="187">
        <f t="shared" si="1000"/>
        <v>0.10688408242411147</v>
      </c>
      <c r="AV206" s="187">
        <f t="shared" si="1000"/>
        <v>0.10896365857840351</v>
      </c>
      <c r="AW206" s="187">
        <f t="shared" si="1000"/>
        <v>0.10504157726054168</v>
      </c>
      <c r="AX206" s="187">
        <f t="shared" si="1000"/>
        <v>0.10017300917499773</v>
      </c>
      <c r="AY206" s="258">
        <f t="shared" si="1000"/>
        <v>0.10017300917499773</v>
      </c>
      <c r="AZ206" s="187">
        <f t="shared" si="1000"/>
        <v>9.671764100449079E-2</v>
      </c>
      <c r="BA206" s="187">
        <f t="shared" si="1000"/>
        <v>9.8589980061856097E-2</v>
      </c>
      <c r="BB206" s="187">
        <f t="shared" si="1000"/>
        <v>0.10477141871623777</v>
      </c>
      <c r="BC206" s="187">
        <f t="shared" si="1000"/>
        <v>0.11066773341640757</v>
      </c>
      <c r="BD206" s="258">
        <f t="shared" si="1000"/>
        <v>0.11066773341640759</v>
      </c>
      <c r="BE206" s="187">
        <f t="shared" si="1000"/>
        <v>0.1114939002969738</v>
      </c>
      <c r="BF206" s="187">
        <f t="shared" si="1000"/>
        <v>0.10721463944513406</v>
      </c>
      <c r="BG206" s="187">
        <f t="shared" si="1000"/>
        <v>0.10411584857278329</v>
      </c>
      <c r="BH206" s="187">
        <f t="shared" si="1000"/>
        <v>9.2012779437691761E-2</v>
      </c>
      <c r="BI206" s="258">
        <f t="shared" si="1000"/>
        <v>9.2012779437691747E-2</v>
      </c>
      <c r="BJ206" s="187">
        <f t="shared" si="1000"/>
        <v>7.6430588060477714E-2</v>
      </c>
      <c r="BK206" s="187">
        <f t="shared" si="1000"/>
        <v>6.0738818712568664E-2</v>
      </c>
      <c r="BL206" s="187">
        <f t="shared" si="1000"/>
        <v>4.1225058845034808E-2</v>
      </c>
      <c r="BM206" s="187">
        <f t="shared" si="1000"/>
        <v>3.6153532475198098E-2</v>
      </c>
      <c r="BN206" s="258">
        <f t="shared" si="1000"/>
        <v>3.6153532475198098E-2</v>
      </c>
      <c r="BO206" s="187">
        <f t="shared" si="1000"/>
        <v>3.6014695149840618E-2</v>
      </c>
      <c r="BP206" s="187">
        <f t="shared" si="1000"/>
        <v>3.8955376096066772E-2</v>
      </c>
      <c r="BQ206" s="187">
        <f t="shared" si="1000"/>
        <v>4.7409081715922841E-2</v>
      </c>
      <c r="BR206" s="187">
        <f t="shared" si="1000"/>
        <v>5.0454851752021565E-2</v>
      </c>
      <c r="BS206" s="258">
        <f t="shared" si="1000"/>
        <v>5.0454851752021565E-2</v>
      </c>
      <c r="BT206" s="187">
        <f t="shared" si="1000"/>
        <v>5.1276025704399403E-2</v>
      </c>
      <c r="BU206" s="187">
        <f t="shared" si="1000"/>
        <v>5.3061275917065387E-2</v>
      </c>
      <c r="BV206" s="187">
        <f t="shared" si="1000"/>
        <v>5.4090783914880293E-2</v>
      </c>
      <c r="BW206" s="187">
        <f t="shared" si="1000"/>
        <v>5.1415867667330369E-2</v>
      </c>
      <c r="BX206" s="258">
        <f t="shared" si="1000"/>
        <v>5.1415867667330369E-2</v>
      </c>
      <c r="BY206" s="187">
        <f t="shared" si="1000"/>
        <v>5.1132975551580202E-2</v>
      </c>
      <c r="BZ206" s="187">
        <f t="shared" si="1000"/>
        <v>5.2479815455593999E-2</v>
      </c>
      <c r="CA206" s="187">
        <f t="shared" si="1000"/>
        <v>5.5164804854502827E-2</v>
      </c>
      <c r="CB206" s="187">
        <f t="shared" si="1000"/>
        <v>5.6046419622840564E-2</v>
      </c>
      <c r="CC206" s="258">
        <f t="shared" si="1000"/>
        <v>5.6046419622840564E-2</v>
      </c>
      <c r="CD206" s="187">
        <f t="shared" si="1000"/>
        <v>5.6868623252298765E-2</v>
      </c>
      <c r="CE206" s="187">
        <f t="shared" si="1000"/>
        <v>6.8460445286594007E-2</v>
      </c>
      <c r="CF206" s="187">
        <f t="shared" si="1000"/>
        <v>6.5554166193020319E-2</v>
      </c>
      <c r="CG206" s="187">
        <f t="shared" si="1000"/>
        <v>6.5075941008144358E-2</v>
      </c>
      <c r="CH206" s="258">
        <f t="shared" si="1000"/>
        <v>6.5075941008144358E-2</v>
      </c>
      <c r="CI206" s="187">
        <f t="shared" si="1000"/>
        <v>5.9773340528872072E-2</v>
      </c>
      <c r="CJ206" s="187">
        <f t="shared" si="1000"/>
        <v>5.0664964357910396E-2</v>
      </c>
      <c r="CK206" s="187">
        <f t="shared" si="1000"/>
        <v>5.0095904613789516E-2</v>
      </c>
      <c r="CL206" s="187">
        <f t="shared" si="1000"/>
        <v>4.8126457762904369E-2</v>
      </c>
      <c r="CM206" s="258">
        <f t="shared" si="1000"/>
        <v>4.8126457762904369E-2</v>
      </c>
      <c r="CN206" s="187">
        <f t="shared" si="1000"/>
        <v>4.7638084960266849E-2</v>
      </c>
      <c r="CO206" s="187">
        <f t="shared" si="1000"/>
        <v>3.9276171390399843E-2</v>
      </c>
      <c r="CP206" s="187">
        <f t="shared" si="1000"/>
        <v>2.9679094787608978E-2</v>
      </c>
      <c r="CQ206" s="187">
        <f t="shared" si="1000"/>
        <v>2.6669085631349784E-2</v>
      </c>
      <c r="CR206" s="104">
        <f t="shared" si="1000"/>
        <v>2.6669085631349784E-2</v>
      </c>
      <c r="CS206" s="187">
        <f t="shared" si="1000"/>
        <v>2.2314403945245094E-2</v>
      </c>
      <c r="CT206" s="187">
        <f t="shared" si="1000"/>
        <v>2.0215848485405852E-2</v>
      </c>
      <c r="CU206" s="187">
        <f t="shared" si="1000"/>
        <v>1.6630805025746914E-2</v>
      </c>
      <c r="CV206" s="187">
        <f t="shared" si="1000"/>
        <v>1.769659455603579E-2</v>
      </c>
      <c r="CW206" s="104">
        <f t="shared" si="981"/>
        <v>1.7696594556035793E-2</v>
      </c>
      <c r="CX206" s="187">
        <f t="shared" si="1001"/>
        <v>1.7569079414962181E-2</v>
      </c>
      <c r="CY206" s="187">
        <f t="shared" si="1001"/>
        <v>2.8262297598877002E-2</v>
      </c>
      <c r="CZ206" s="187">
        <f t="shared" si="1001"/>
        <v>3.9782976345422015E-2</v>
      </c>
      <c r="DA206" s="187">
        <f t="shared" si="1001"/>
        <v>3.9046352517270774E-2</v>
      </c>
      <c r="DB206" s="104">
        <f t="shared" si="1001"/>
        <v>3.9046352517270774E-2</v>
      </c>
      <c r="DC206" s="187">
        <f t="shared" si="1002"/>
        <v>3.6616323561015178E-2</v>
      </c>
      <c r="DD206" s="187">
        <f t="shared" si="1002"/>
        <v>2.7148781868052804E-2</v>
      </c>
      <c r="DE206" s="187">
        <f t="shared" si="1002"/>
        <v>2.0707598822209423E-2</v>
      </c>
      <c r="DF206" s="187">
        <f t="shared" si="1002"/>
        <v>1.8757663061912927E-2</v>
      </c>
      <c r="DG206" s="104">
        <f t="shared" si="984"/>
        <v>1.8757663061912927E-2</v>
      </c>
      <c r="DH206" s="187">
        <f t="shared" si="984"/>
        <v>1.7958018671582327E-2</v>
      </c>
      <c r="DI206" s="187">
        <f t="shared" si="984"/>
        <v>2.6019029719252906E-2</v>
      </c>
      <c r="DJ206" s="187">
        <f t="shared" si="984"/>
        <v>2.4553571428571428E-2</v>
      </c>
      <c r="DK206" s="187">
        <f t="shared" si="984"/>
        <v>2.4401661887764058E-2</v>
      </c>
      <c r="DL206" s="104">
        <f t="shared" si="985"/>
        <v>2.4401661887764058E-2</v>
      </c>
      <c r="DM206" s="187">
        <f t="shared" si="985"/>
        <v>2.8401815853800489E-2</v>
      </c>
      <c r="DN206" s="187">
        <f t="shared" si="986"/>
        <v>2.8415364053692833E-2</v>
      </c>
      <c r="DO206" s="187">
        <f t="shared" si="986"/>
        <v>3.6285468615649186E-2</v>
      </c>
      <c r="DP206" s="187">
        <f t="shared" si="986"/>
        <v>4.5423728813559321E-2</v>
      </c>
      <c r="DQ206" s="104">
        <f t="shared" si="987"/>
        <v>4.5423728813559321E-2</v>
      </c>
      <c r="DR206" s="187">
        <f t="shared" si="987"/>
        <v>4.9432009897649308E-2</v>
      </c>
      <c r="DS206" s="187">
        <f t="shared" si="987"/>
        <v>6.005509641873278E-2</v>
      </c>
      <c r="DT206" s="187">
        <f t="shared" si="987"/>
        <v>6.6883998913338766E-2</v>
      </c>
      <c r="DU206" s="187">
        <f t="shared" si="987"/>
        <v>7.5194840096748192E-2</v>
      </c>
      <c r="DV206" s="104">
        <f t="shared" si="988"/>
        <v>7.5194840096748192E-2</v>
      </c>
      <c r="DW206" s="187">
        <f t="shared" si="988"/>
        <v>9.1338248554606691E-2</v>
      </c>
      <c r="DX206" s="187">
        <f t="shared" si="988"/>
        <v>0.10172532052973145</v>
      </c>
      <c r="DY206" s="187">
        <f t="shared" si="988"/>
        <v>0.11238924296595679</v>
      </c>
      <c r="DZ206" s="187">
        <f t="shared" si="988"/>
        <v>0.11991042345276873</v>
      </c>
      <c r="EA206" s="104">
        <f t="shared" si="976"/>
        <v>0.11991042345276873</v>
      </c>
      <c r="EB206" s="187">
        <f t="shared" si="976"/>
        <v>0.12323030907278165</v>
      </c>
      <c r="EC206" s="187">
        <f t="shared" si="976"/>
        <v>0.12482171838882605</v>
      </c>
      <c r="ED206" s="187">
        <f t="shared" si="976"/>
        <v>0.12284758437469251</v>
      </c>
      <c r="EE206" s="187">
        <f t="shared" si="976"/>
        <v>0.11598531211750306</v>
      </c>
      <c r="EF206" s="104">
        <f t="shared" si="944"/>
        <v>0.11598531211750306</v>
      </c>
      <c r="EG206" s="187">
        <f t="shared" si="944"/>
        <v>0.10614197832242946</v>
      </c>
      <c r="EH206" s="187">
        <f t="shared" si="944"/>
        <v>0.10387678725650129</v>
      </c>
      <c r="EI206" s="187">
        <f t="shared" si="944"/>
        <v>0.10064842185563078</v>
      </c>
      <c r="EJ206" s="187">
        <f t="shared" si="944"/>
        <v>9.9518231626676737E-2</v>
      </c>
      <c r="EK206" s="104">
        <f t="shared" si="945"/>
        <v>9.9518231626676737E-2</v>
      </c>
      <c r="EL206" s="187">
        <f t="shared" si="945"/>
        <v>9.9039871352220588E-2</v>
      </c>
      <c r="EM206" s="187">
        <f t="shared" si="945"/>
        <v>9.8958826313298623E-2</v>
      </c>
      <c r="EN206" s="187">
        <f t="shared" si="945"/>
        <v>0.10003780361024478</v>
      </c>
      <c r="EO206" s="187">
        <f t="shared" si="945"/>
        <v>0.10006620637472809</v>
      </c>
      <c r="EP206" s="104">
        <f t="shared" ref="EP206" si="1005">EP189/EP$174</f>
        <v>0.10006620637472809</v>
      </c>
      <c r="EQ206" s="187">
        <f t="shared" si="945"/>
        <v>0.10311487928875693</v>
      </c>
      <c r="ER206" s="187">
        <f t="shared" si="945"/>
        <v>0.10880610572266426</v>
      </c>
      <c r="ES206" s="187">
        <f t="shared" si="945"/>
        <v>0.11584609599600304</v>
      </c>
      <c r="ET206" s="187">
        <f t="shared" si="945"/>
        <v>0.12378408497037502</v>
      </c>
      <c r="EU206" s="104">
        <f t="shared" si="945"/>
        <v>0.1237840849703751</v>
      </c>
      <c r="EV206" s="187"/>
      <c r="EW206" s="187"/>
      <c r="EX206" s="187"/>
      <c r="EY206" s="187"/>
      <c r="EZ206" s="104">
        <f t="shared" ref="EZ206" si="1006">EZ189/EZ$174</f>
        <v>0.1350360621680057</v>
      </c>
      <c r="FA206" s="187"/>
      <c r="FB206" s="187"/>
      <c r="FC206" s="187"/>
      <c r="FD206" s="187"/>
      <c r="FE206" s="104">
        <f t="shared" si="948"/>
        <v>0.14558325671032213</v>
      </c>
      <c r="FF206" s="24"/>
      <c r="FG206" s="465"/>
      <c r="FL206" s="388"/>
      <c r="FM206" s="388"/>
      <c r="FN206" s="389"/>
      <c r="FO206" s="389"/>
      <c r="FP206" s="389"/>
      <c r="FQ206" s="389"/>
      <c r="FR206" s="389"/>
      <c r="FS206" s="389"/>
      <c r="FT206" s="465"/>
    </row>
    <row r="207" spans="1:183" ht="12.75" customHeight="1" x14ac:dyDescent="0.2">
      <c r="A207" s="31" t="s">
        <v>463</v>
      </c>
      <c r="B207" s="190"/>
      <c r="C207" s="190"/>
      <c r="D207" s="190"/>
      <c r="E207" s="190"/>
      <c r="F207" s="280"/>
      <c r="G207" s="190"/>
      <c r="H207" s="190"/>
      <c r="I207" s="190"/>
      <c r="J207" s="190"/>
      <c r="K207" s="280"/>
      <c r="L207" s="190"/>
      <c r="M207" s="190"/>
      <c r="N207" s="190"/>
      <c r="O207" s="190"/>
      <c r="P207" s="280"/>
      <c r="Q207" s="190"/>
      <c r="R207" s="190"/>
      <c r="S207" s="190"/>
      <c r="T207" s="190"/>
      <c r="U207" s="280"/>
      <c r="V207" s="190"/>
      <c r="W207" s="190"/>
      <c r="X207" s="190"/>
      <c r="Y207" s="190"/>
      <c r="Z207" s="280"/>
      <c r="AA207" s="190"/>
      <c r="AB207" s="190"/>
      <c r="AC207" s="190"/>
      <c r="AD207" s="190"/>
      <c r="AE207" s="280"/>
      <c r="AF207" s="190"/>
      <c r="AG207" s="190"/>
      <c r="AH207" s="190"/>
      <c r="AI207" s="190"/>
      <c r="AJ207" s="280"/>
      <c r="AK207" s="190"/>
      <c r="AL207" s="190"/>
      <c r="AM207" s="190"/>
      <c r="AN207" s="190"/>
      <c r="AO207" s="280"/>
      <c r="AP207" s="190"/>
      <c r="AQ207" s="190"/>
      <c r="AR207" s="190"/>
      <c r="AS207" s="190"/>
      <c r="AT207" s="280"/>
      <c r="AU207" s="190"/>
      <c r="AV207" s="190"/>
      <c r="AW207" s="190"/>
      <c r="AX207" s="190"/>
      <c r="AY207" s="280"/>
      <c r="AZ207" s="190"/>
      <c r="BA207" s="190"/>
      <c r="BB207" s="190"/>
      <c r="BC207" s="190"/>
      <c r="BD207" s="280"/>
      <c r="BE207" s="190"/>
      <c r="BF207" s="190"/>
      <c r="BG207" s="190"/>
      <c r="BH207" s="190"/>
      <c r="BI207" s="280"/>
      <c r="BJ207" s="190"/>
      <c r="BK207" s="190"/>
      <c r="BL207" s="190"/>
      <c r="BM207" s="190"/>
      <c r="BN207" s="280"/>
      <c r="BO207" s="190"/>
      <c r="BP207" s="190"/>
      <c r="BQ207" s="190"/>
      <c r="BR207" s="190"/>
      <c r="BS207" s="280"/>
      <c r="BT207" s="190"/>
      <c r="BU207" s="190"/>
      <c r="BV207" s="190"/>
      <c r="BW207" s="190"/>
      <c r="BX207" s="280"/>
      <c r="BY207" s="190"/>
      <c r="BZ207" s="190"/>
      <c r="CA207" s="190"/>
      <c r="CB207" s="190"/>
      <c r="CC207" s="280"/>
      <c r="CD207" s="190"/>
      <c r="CE207" s="190"/>
      <c r="CF207" s="190"/>
      <c r="CG207" s="190"/>
      <c r="CH207" s="280"/>
      <c r="CI207" s="190"/>
      <c r="CJ207" s="190"/>
      <c r="CK207" s="190"/>
      <c r="CL207" s="190"/>
      <c r="CM207" s="280"/>
      <c r="CN207" s="190"/>
      <c r="CO207" s="190"/>
      <c r="CP207" s="190"/>
      <c r="CQ207" s="190"/>
      <c r="CR207" s="324"/>
      <c r="CS207" s="190"/>
      <c r="CT207" s="190"/>
      <c r="CU207" s="190"/>
      <c r="CV207" s="190"/>
      <c r="CW207" s="324"/>
      <c r="CX207" s="190"/>
      <c r="CY207" s="190"/>
      <c r="CZ207" s="190"/>
      <c r="DA207" s="190"/>
      <c r="DB207" s="324"/>
      <c r="DC207" s="190"/>
      <c r="DD207" s="190"/>
      <c r="DE207" s="190"/>
      <c r="DF207" s="190"/>
      <c r="DG207" s="324"/>
      <c r="DH207" s="190"/>
      <c r="DI207" s="190"/>
      <c r="DJ207" s="190"/>
      <c r="DK207" s="190"/>
      <c r="DL207" s="324"/>
      <c r="DM207" s="190"/>
      <c r="DN207" s="190"/>
      <c r="DO207" s="190"/>
      <c r="DP207" s="190"/>
      <c r="DQ207" s="324"/>
      <c r="DR207" s="190"/>
      <c r="DS207" s="190"/>
      <c r="DT207" s="190"/>
      <c r="DU207" s="190"/>
      <c r="DV207" s="324"/>
      <c r="DW207" s="190"/>
      <c r="DX207" s="190"/>
      <c r="DY207" s="190"/>
      <c r="DZ207" s="190"/>
      <c r="EA207" s="324"/>
      <c r="EB207" s="190"/>
      <c r="EC207" s="190"/>
      <c r="ED207" s="190"/>
      <c r="EE207" s="190"/>
      <c r="EF207" s="324"/>
      <c r="EG207" s="190"/>
      <c r="EH207" s="190"/>
      <c r="EI207" s="190"/>
      <c r="EJ207" s="190"/>
      <c r="EK207" s="324"/>
      <c r="EL207" s="190"/>
      <c r="EM207" s="190"/>
      <c r="EN207" s="190"/>
      <c r="EO207" s="190"/>
      <c r="EP207" s="324"/>
      <c r="EQ207" s="190"/>
      <c r="ER207" s="190"/>
      <c r="ES207" s="190"/>
      <c r="ET207" s="190"/>
      <c r="EU207" s="324"/>
      <c r="EV207" s="190"/>
      <c r="EW207" s="190"/>
      <c r="EX207" s="190"/>
      <c r="EY207" s="190"/>
      <c r="EZ207" s="324"/>
      <c r="FA207" s="190"/>
      <c r="FB207" s="190"/>
      <c r="FC207" s="190"/>
      <c r="FD207" s="190"/>
      <c r="FE207" s="324"/>
      <c r="FF207" s="40"/>
      <c r="FG207" s="190"/>
      <c r="FL207" s="406"/>
      <c r="FM207" s="406"/>
      <c r="FN207" s="368"/>
      <c r="FO207" s="368"/>
      <c r="FP207" s="368"/>
      <c r="FQ207" s="368"/>
      <c r="FR207" s="368"/>
      <c r="FS207" s="368"/>
      <c r="FT207" s="190"/>
    </row>
    <row r="208" spans="1:183" s="7" customFormat="1" ht="12.75" customHeight="1" x14ac:dyDescent="0.2">
      <c r="A208" s="7" t="s">
        <v>413</v>
      </c>
      <c r="F208" s="99"/>
      <c r="K208" s="99"/>
      <c r="P208" s="99"/>
      <c r="U208" s="99"/>
      <c r="Z208" s="99"/>
      <c r="AE208" s="99"/>
      <c r="AJ208" s="99"/>
      <c r="AO208" s="99"/>
      <c r="AT208" s="99"/>
      <c r="AY208" s="99"/>
      <c r="BD208" s="99"/>
      <c r="BI208" s="99"/>
      <c r="BN208" s="99"/>
      <c r="BS208" s="99"/>
      <c r="BX208" s="99"/>
      <c r="CC208" s="99"/>
      <c r="CH208" s="99"/>
      <c r="CM208" s="99"/>
      <c r="CR208" s="99"/>
      <c r="CW208" s="99"/>
      <c r="DB208" s="99"/>
      <c r="DG208" s="99"/>
      <c r="DL208" s="99"/>
      <c r="DQ208" s="99"/>
      <c r="DV208" s="99"/>
      <c r="EA208" s="99"/>
      <c r="EF208" s="99"/>
      <c r="EK208" s="99"/>
      <c r="EP208" s="99"/>
      <c r="EU208" s="99"/>
      <c r="EZ208" s="99"/>
      <c r="FE208" s="99"/>
      <c r="FF208" s="336"/>
      <c r="FG208" s="6"/>
      <c r="FH208" s="346"/>
      <c r="FI208" s="336"/>
      <c r="FJ208" s="336"/>
      <c r="FK208" s="336"/>
      <c r="FL208" s="412"/>
      <c r="FM208" s="412"/>
      <c r="FN208" s="373"/>
      <c r="FO208" s="373"/>
      <c r="FP208" s="373"/>
      <c r="FQ208" s="373"/>
      <c r="FR208" s="373"/>
      <c r="FS208" s="373"/>
      <c r="FT208" s="6"/>
      <c r="FU208"/>
      <c r="FV208"/>
      <c r="FW208"/>
      <c r="FX208"/>
      <c r="FY208"/>
      <c r="FZ208"/>
      <c r="GA208" s="341"/>
    </row>
    <row r="209" spans="1:183" ht="12.75" customHeight="1" x14ac:dyDescent="0.2">
      <c r="A209" s="75" t="s">
        <v>465</v>
      </c>
      <c r="B209" s="36"/>
      <c r="C209" s="36"/>
      <c r="D209" s="36"/>
      <c r="E209" s="36"/>
      <c r="F209" s="279"/>
      <c r="G209" s="36"/>
      <c r="H209" s="36"/>
      <c r="I209" s="36"/>
      <c r="J209" s="36"/>
      <c r="K209" s="279"/>
      <c r="L209" s="36"/>
      <c r="M209" s="36"/>
      <c r="N209" s="36"/>
      <c r="O209" s="36"/>
      <c r="P209" s="106">
        <f>Model!P143</f>
        <v>70.956999999999965</v>
      </c>
      <c r="Q209" s="36"/>
      <c r="R209" s="36"/>
      <c r="S209" s="36"/>
      <c r="T209" s="36"/>
      <c r="U209" s="106">
        <f>Model!U143</f>
        <v>118.74400000000018</v>
      </c>
      <c r="V209" s="36"/>
      <c r="W209" s="36"/>
      <c r="X209" s="36"/>
      <c r="Y209" s="36"/>
      <c r="Z209" s="106">
        <f>Model!Z143</f>
        <v>179.33099999999996</v>
      </c>
      <c r="AA209" s="36"/>
      <c r="AB209" s="36"/>
      <c r="AC209" s="36"/>
      <c r="AD209" s="36"/>
      <c r="AE209" s="106">
        <f>Model!AE143</f>
        <v>261.4539999999995</v>
      </c>
      <c r="AF209" s="36"/>
      <c r="AG209" s="36"/>
      <c r="AH209" s="36"/>
      <c r="AI209" s="36"/>
      <c r="AJ209" s="106">
        <f>Model!AJ143</f>
        <v>207.33699999999979</v>
      </c>
      <c r="AK209" s="36"/>
      <c r="AL209" s="36"/>
      <c r="AM209" s="36"/>
      <c r="AN209" s="36"/>
      <c r="AO209" s="106">
        <f>Model!AO143</f>
        <v>317.77200000000033</v>
      </c>
      <c r="AP209" s="36"/>
      <c r="AQ209" s="36"/>
      <c r="AR209" s="36"/>
      <c r="AS209" s="36"/>
      <c r="AT209" s="106">
        <f>Model!AT143</f>
        <v>433.43099999999964</v>
      </c>
      <c r="AU209" s="36"/>
      <c r="AV209" s="36"/>
      <c r="AW209" s="36"/>
      <c r="AX209" s="36"/>
      <c r="AY209" s="106">
        <f>Model!AY143</f>
        <v>474.37799999999993</v>
      </c>
      <c r="AZ209" s="36"/>
      <c r="BA209" s="36"/>
      <c r="BB209" s="36"/>
      <c r="BC209" s="36"/>
      <c r="BD209" s="106">
        <f>Model!BD143</f>
        <v>625.22399999999959</v>
      </c>
      <c r="BE209" s="36"/>
      <c r="BF209" s="36"/>
      <c r="BG209" s="36"/>
      <c r="BH209" s="36"/>
      <c r="BI209" s="106">
        <f>Model!BI143</f>
        <v>511.14699999999982</v>
      </c>
      <c r="BJ209" s="36"/>
      <c r="BK209" s="36"/>
      <c r="BL209" s="36"/>
      <c r="BM209" s="36"/>
      <c r="BN209" s="106">
        <f>Model!BN170</f>
        <v>240.53999999999994</v>
      </c>
      <c r="BO209" s="36"/>
      <c r="BP209" s="36"/>
      <c r="BQ209" s="36"/>
      <c r="BR209" s="36"/>
      <c r="BS209" s="106">
        <f>Model!BS170</f>
        <v>442.1</v>
      </c>
      <c r="BT209" s="36"/>
      <c r="BU209" s="36"/>
      <c r="BV209" s="36"/>
      <c r="BW209" s="36"/>
      <c r="BX209" s="106">
        <f>Model!BX170</f>
        <v>313.99419999999998</v>
      </c>
      <c r="BY209" s="36"/>
      <c r="BZ209" s="36"/>
      <c r="CA209" s="36"/>
      <c r="CB209" s="36"/>
      <c r="CC209" s="106">
        <v>484</v>
      </c>
      <c r="CD209" s="36">
        <v>61</v>
      </c>
      <c r="CE209" s="36">
        <v>333</v>
      </c>
      <c r="CF209" s="36">
        <v>48</v>
      </c>
      <c r="CG209" s="36">
        <v>57</v>
      </c>
      <c r="CH209" s="106">
        <f>SUM(CD209:CG209)</f>
        <v>499</v>
      </c>
      <c r="CI209" s="36">
        <v>93</v>
      </c>
      <c r="CJ209" s="36">
        <v>278</v>
      </c>
      <c r="CK209" s="36">
        <v>162</v>
      </c>
      <c r="CL209" s="36">
        <v>112</v>
      </c>
      <c r="CM209" s="106">
        <f>SUM(CI209:CL209)</f>
        <v>645</v>
      </c>
      <c r="CN209" s="36">
        <v>34</v>
      </c>
      <c r="CO209" s="36">
        <v>321</v>
      </c>
      <c r="CP209" s="36">
        <v>-121</v>
      </c>
      <c r="CQ209" s="36">
        <v>-56</v>
      </c>
      <c r="CR209" s="106">
        <f>SUM(CN209:CQ209)</f>
        <v>178</v>
      </c>
      <c r="CS209" s="36">
        <f>CS170</f>
        <v>-66.883000000000166</v>
      </c>
      <c r="CT209" s="36">
        <f>CT170</f>
        <v>168.0180000000002</v>
      </c>
      <c r="CU209" s="36">
        <f>CU170</f>
        <v>-6.0400000000001839</v>
      </c>
      <c r="CV209" s="36">
        <f>CV170</f>
        <v>133.08700000000022</v>
      </c>
      <c r="CW209" s="106">
        <f>SUM(CS209:CV209)</f>
        <v>228.18200000000007</v>
      </c>
      <c r="CX209" s="36">
        <f>CX170</f>
        <v>-0.82500000000032614</v>
      </c>
      <c r="CY209" s="36">
        <f>CY170</f>
        <v>131.47599999999997</v>
      </c>
      <c r="CZ209" s="36">
        <f>CZ170</f>
        <v>242.309</v>
      </c>
      <c r="DA209" s="36">
        <f>DA170</f>
        <v>107.14300000000001</v>
      </c>
      <c r="DB209" s="106">
        <f>SUM(CX209:DA209)</f>
        <v>480.10299999999967</v>
      </c>
      <c r="DC209" s="36">
        <f>DC170</f>
        <v>-4.8110000000000817</v>
      </c>
      <c r="DD209" s="36">
        <f>DD170</f>
        <v>172</v>
      </c>
      <c r="DE209" s="36">
        <f>DE170</f>
        <v>-140</v>
      </c>
      <c r="DF209" s="36">
        <f>DF170</f>
        <v>152</v>
      </c>
      <c r="DG209" s="106">
        <f>SUM(DC209:DF209)</f>
        <v>179.18899999999991</v>
      </c>
      <c r="DH209" s="36">
        <f>DH170</f>
        <v>98</v>
      </c>
      <c r="DI209" s="36">
        <f>DI170</f>
        <v>228</v>
      </c>
      <c r="DJ209" s="36">
        <f>DJ170</f>
        <v>16</v>
      </c>
      <c r="DK209" s="36">
        <f>DK170</f>
        <v>78</v>
      </c>
      <c r="DL209" s="106">
        <f>SUM(DH209:DK209)</f>
        <v>420</v>
      </c>
      <c r="DM209" s="36">
        <f>DM170</f>
        <v>59</v>
      </c>
      <c r="DN209" s="36">
        <f>DN170</f>
        <v>224</v>
      </c>
      <c r="DO209" s="36">
        <f>DO170</f>
        <v>259</v>
      </c>
      <c r="DP209" s="36">
        <f>DP170</f>
        <v>212</v>
      </c>
      <c r="DQ209" s="106">
        <f>SUM(DM209:DP209)</f>
        <v>754</v>
      </c>
      <c r="DR209" s="36">
        <f>DR170</f>
        <v>152</v>
      </c>
      <c r="DS209" s="36">
        <f>DS170</f>
        <v>465</v>
      </c>
      <c r="DT209" s="36">
        <f>DT170</f>
        <v>329</v>
      </c>
      <c r="DU209" s="36">
        <f>DU170</f>
        <v>404</v>
      </c>
      <c r="DV209" s="106">
        <f>SUM(DR209:DU209)</f>
        <v>1350</v>
      </c>
      <c r="DW209" s="36">
        <f>DW170</f>
        <v>453</v>
      </c>
      <c r="DX209" s="36">
        <f>DX170</f>
        <v>691</v>
      </c>
      <c r="DY209" s="36">
        <f>DY170</f>
        <v>584</v>
      </c>
      <c r="DZ209" s="36">
        <f>DZ170</f>
        <v>591</v>
      </c>
      <c r="EA209" s="106">
        <f>SUM(DW209:DZ209)</f>
        <v>2319</v>
      </c>
      <c r="EB209" s="36">
        <f>EB170</f>
        <v>567</v>
      </c>
      <c r="EC209" s="36">
        <f>EC170</f>
        <v>757</v>
      </c>
      <c r="ED209" s="36">
        <f>ED170</f>
        <v>582</v>
      </c>
      <c r="EE209" s="36">
        <f>EE170</f>
        <v>463</v>
      </c>
      <c r="EF209" s="106">
        <f>SUM(EB209:EE209)</f>
        <v>2369</v>
      </c>
      <c r="EG209" s="36">
        <f t="shared" ref="EG209:EI209" si="1007">EG170</f>
        <v>372</v>
      </c>
      <c r="EH209" s="36">
        <f t="shared" si="1007"/>
        <v>748</v>
      </c>
      <c r="EI209" s="36">
        <f t="shared" si="1007"/>
        <v>528</v>
      </c>
      <c r="EJ209" s="36">
        <f>EJ170</f>
        <v>459</v>
      </c>
      <c r="EK209" s="106">
        <f>SUM(EG209:EJ209)</f>
        <v>2107</v>
      </c>
      <c r="EL209" s="36">
        <f t="shared" ref="EL209:EN209" si="1008">EL170</f>
        <v>359</v>
      </c>
      <c r="EM209" s="36">
        <f t="shared" si="1008"/>
        <v>745</v>
      </c>
      <c r="EN209" s="36">
        <f t="shared" si="1008"/>
        <v>554</v>
      </c>
      <c r="EO209" s="36">
        <f>EO170</f>
        <v>458</v>
      </c>
      <c r="EP209" s="106">
        <f>SUM(EL209:EO209)</f>
        <v>2116</v>
      </c>
      <c r="EQ209" s="36">
        <f t="shared" ref="EQ209:ET209" si="1009">EQ170</f>
        <v>433.49865092069831</v>
      </c>
      <c r="ER209" s="36">
        <f t="shared" si="1009"/>
        <v>885.27953300263903</v>
      </c>
      <c r="ES209" s="36">
        <f t="shared" si="1009"/>
        <v>739.25410459452405</v>
      </c>
      <c r="ET209" s="36">
        <f t="shared" si="1009"/>
        <v>690.31840122364224</v>
      </c>
      <c r="EU209" s="106">
        <f>SUM(EQ209:ET209)</f>
        <v>2748.3506897415036</v>
      </c>
      <c r="EV209" s="36"/>
      <c r="EW209" s="36"/>
      <c r="EX209" s="36"/>
      <c r="EY209" s="36"/>
      <c r="EZ209" s="106">
        <f>Model!EZ170</f>
        <v>3182.2312229436402</v>
      </c>
      <c r="FA209" s="36"/>
      <c r="FB209" s="36"/>
      <c r="FC209" s="36"/>
      <c r="FD209" s="36"/>
      <c r="FE209" s="106">
        <f>Model!FE170</f>
        <v>3637.312698796045</v>
      </c>
      <c r="FF209" s="184"/>
      <c r="FG209" s="188"/>
      <c r="FL209" s="400"/>
      <c r="FM209" s="400"/>
      <c r="FN209" s="381"/>
      <c r="FO209" s="381"/>
      <c r="FP209" s="381"/>
      <c r="FQ209" s="381"/>
      <c r="FR209" s="381"/>
      <c r="FS209" s="381"/>
      <c r="FT209" s="188"/>
    </row>
    <row r="210" spans="1:183" ht="12.75" customHeight="1" x14ac:dyDescent="0.2">
      <c r="A210" s="76" t="s">
        <v>104</v>
      </c>
      <c r="B210" s="191"/>
      <c r="C210" s="191"/>
      <c r="D210" s="191"/>
      <c r="E210" s="191"/>
      <c r="F210" s="279"/>
      <c r="G210" s="191"/>
      <c r="H210" s="191"/>
      <c r="I210" s="191"/>
      <c r="J210" s="191"/>
      <c r="K210" s="279"/>
      <c r="L210" s="191"/>
      <c r="M210" s="191"/>
      <c r="N210" s="191"/>
      <c r="O210" s="191"/>
      <c r="P210" s="103">
        <f>P212</f>
        <v>101.976</v>
      </c>
      <c r="Q210" s="191"/>
      <c r="R210" s="191"/>
      <c r="S210" s="191"/>
      <c r="T210" s="191"/>
      <c r="U210" s="103">
        <f>U212</f>
        <v>119.33799999999999</v>
      </c>
      <c r="V210" s="191"/>
      <c r="W210" s="191"/>
      <c r="X210" s="191"/>
      <c r="Y210" s="191"/>
      <c r="Z210" s="103">
        <f>Z212</f>
        <v>139.04499999999999</v>
      </c>
      <c r="AA210" s="191"/>
      <c r="AB210" s="191"/>
      <c r="AC210" s="191"/>
      <c r="AD210" s="191"/>
      <c r="AE210" s="103">
        <f>AE212</f>
        <v>156.77099999999999</v>
      </c>
      <c r="AF210" s="191"/>
      <c r="AG210" s="191"/>
      <c r="AH210" s="191"/>
      <c r="AI210" s="191"/>
      <c r="AJ210" s="103">
        <f>AJ212</f>
        <v>183.47</v>
      </c>
      <c r="AK210" s="191"/>
      <c r="AL210" s="191"/>
      <c r="AM210" s="191"/>
      <c r="AN210" s="191"/>
      <c r="AO210" s="103">
        <f>AO212</f>
        <v>195.56799999999998</v>
      </c>
      <c r="AP210" s="191"/>
      <c r="AQ210" s="191"/>
      <c r="AR210" s="191"/>
      <c r="AS210" s="191"/>
      <c r="AT210" s="103">
        <f>AT212</f>
        <v>225.21199999999999</v>
      </c>
      <c r="AU210" s="191"/>
      <c r="AV210" s="191"/>
      <c r="AW210" s="191"/>
      <c r="AX210" s="191"/>
      <c r="AY210" s="103">
        <f>AY212</f>
        <v>248.66</v>
      </c>
      <c r="AZ210" s="191"/>
      <c r="BA210" s="191"/>
      <c r="BB210" s="191"/>
      <c r="BC210" s="191"/>
      <c r="BD210" s="103">
        <f>BD212</f>
        <v>281.27600000000001</v>
      </c>
      <c r="BE210" s="191"/>
      <c r="BF210" s="191"/>
      <c r="BG210" s="191"/>
      <c r="BH210" s="191"/>
      <c r="BI210" s="103">
        <f>BI212</f>
        <v>317.83099999999996</v>
      </c>
      <c r="BJ210" s="191"/>
      <c r="BK210" s="191"/>
      <c r="BL210" s="191"/>
      <c r="BM210" s="191"/>
      <c r="BN210" s="103">
        <f>BN212</f>
        <v>355.75299999999999</v>
      </c>
      <c r="BO210" s="191"/>
      <c r="BP210" s="191"/>
      <c r="BQ210" s="191"/>
      <c r="BR210" s="191"/>
      <c r="BS210" s="103">
        <f>BS212</f>
        <v>384</v>
      </c>
      <c r="BT210" s="191"/>
      <c r="BU210" s="191"/>
      <c r="BV210" s="191"/>
      <c r="BW210" s="191"/>
      <c r="BX210" s="103">
        <f>BX212</f>
        <v>431</v>
      </c>
      <c r="BY210" s="191"/>
      <c r="BZ210" s="191"/>
      <c r="CA210" s="191"/>
      <c r="CB210" s="191"/>
      <c r="CC210" s="103">
        <f t="shared" ref="CC210:DA210" si="1010">CC212</f>
        <v>470</v>
      </c>
      <c r="CD210" s="191">
        <f t="shared" si="1010"/>
        <v>123.75</v>
      </c>
      <c r="CE210" s="191">
        <f t="shared" si="1010"/>
        <v>126.75</v>
      </c>
      <c r="CF210" s="191">
        <f t="shared" si="1010"/>
        <v>130.75</v>
      </c>
      <c r="CG210" s="191">
        <f t="shared" si="1010"/>
        <v>133.75</v>
      </c>
      <c r="CH210" s="103">
        <f t="shared" si="1010"/>
        <v>515</v>
      </c>
      <c r="CI210" s="191">
        <f t="shared" si="1010"/>
        <v>135</v>
      </c>
      <c r="CJ210" s="191">
        <f t="shared" si="1010"/>
        <v>137</v>
      </c>
      <c r="CK210" s="191">
        <f t="shared" si="1010"/>
        <v>140</v>
      </c>
      <c r="CL210" s="191">
        <f t="shared" si="1010"/>
        <v>143</v>
      </c>
      <c r="CM210" s="103">
        <f t="shared" si="1010"/>
        <v>555</v>
      </c>
      <c r="CN210" s="191">
        <f t="shared" si="1010"/>
        <v>145</v>
      </c>
      <c r="CO210" s="191">
        <f t="shared" si="1010"/>
        <v>148</v>
      </c>
      <c r="CP210" s="191">
        <f t="shared" si="1010"/>
        <v>152</v>
      </c>
      <c r="CQ210" s="191">
        <f t="shared" si="1010"/>
        <v>154</v>
      </c>
      <c r="CR210" s="103">
        <f t="shared" si="1010"/>
        <v>599</v>
      </c>
      <c r="CS210" s="191">
        <f t="shared" si="1010"/>
        <v>164.11699999999999</v>
      </c>
      <c r="CT210" s="191">
        <f t="shared" si="1010"/>
        <v>164.10399999999998</v>
      </c>
      <c r="CU210" s="191">
        <f t="shared" si="1010"/>
        <v>175.899</v>
      </c>
      <c r="CV210" s="191">
        <f t="shared" si="1010"/>
        <v>168.751</v>
      </c>
      <c r="CW210" s="103">
        <f>SUM(CS210:CV210)</f>
        <v>672.87099999999998</v>
      </c>
      <c r="CX210" s="191">
        <f t="shared" si="1010"/>
        <v>168.85499999999999</v>
      </c>
      <c r="CY210" s="191">
        <f t="shared" si="1010"/>
        <v>169</v>
      </c>
      <c r="CZ210" s="191">
        <f t="shared" si="1010"/>
        <v>176</v>
      </c>
      <c r="DA210" s="191">
        <f t="shared" si="1010"/>
        <v>175</v>
      </c>
      <c r="DB210" s="103">
        <f>SUM(CX210:DA210)</f>
        <v>688.85500000000002</v>
      </c>
      <c r="DC210" s="191">
        <f>DC212</f>
        <v>168.708</v>
      </c>
      <c r="DD210" s="191">
        <f>DD212</f>
        <v>182</v>
      </c>
      <c r="DE210" s="191">
        <f>DE212</f>
        <v>191</v>
      </c>
      <c r="DF210" s="191">
        <f>DF212</f>
        <v>192</v>
      </c>
      <c r="DG210" s="103">
        <f>SUM(DC210:DF210)</f>
        <v>733.70799999999997</v>
      </c>
      <c r="DH210" s="191">
        <f>DH72</f>
        <v>201</v>
      </c>
      <c r="DI210" s="191">
        <f>DI72</f>
        <v>202</v>
      </c>
      <c r="DJ210" s="191">
        <f>DJ72</f>
        <v>217</v>
      </c>
      <c r="DK210" s="191">
        <f>DK72</f>
        <v>224</v>
      </c>
      <c r="DL210" s="103">
        <f>SUM(DH210:DK210)</f>
        <v>844</v>
      </c>
      <c r="DM210" s="191">
        <f>DM72</f>
        <v>210</v>
      </c>
      <c r="DN210" s="191">
        <f>DN72</f>
        <v>213</v>
      </c>
      <c r="DO210" s="191">
        <f>DO72</f>
        <v>221</v>
      </c>
      <c r="DP210" s="191">
        <f>DP72</f>
        <v>223</v>
      </c>
      <c r="DQ210" s="103">
        <f>SUM(DM210:DP210)</f>
        <v>867</v>
      </c>
      <c r="DR210" s="191">
        <f>DR72</f>
        <v>221</v>
      </c>
      <c r="DS210" s="191">
        <f>DS72</f>
        <v>228</v>
      </c>
      <c r="DT210" s="191">
        <f>DT72</f>
        <v>238</v>
      </c>
      <c r="DU210" s="191">
        <f>DU72</f>
        <v>251</v>
      </c>
      <c r="DV210" s="103">
        <f>SUM(DR210:DU210)</f>
        <v>938</v>
      </c>
      <c r="DW210" s="191">
        <f>DW72</f>
        <v>244</v>
      </c>
      <c r="DX210" s="191">
        <f>DX72</f>
        <v>250</v>
      </c>
      <c r="DY210" s="191">
        <f>DY72</f>
        <v>258</v>
      </c>
      <c r="DZ210" s="191">
        <f>DZ72</f>
        <v>263</v>
      </c>
      <c r="EA210" s="103">
        <f>SUM(DW210:DZ210)</f>
        <v>1015</v>
      </c>
      <c r="EB210" s="191">
        <f>EB72</f>
        <v>290</v>
      </c>
      <c r="EC210" s="191">
        <f>EC72</f>
        <v>299</v>
      </c>
      <c r="ED210" s="191">
        <f>ED72</f>
        <v>315</v>
      </c>
      <c r="EE210" s="191">
        <f>EE72</f>
        <v>318</v>
      </c>
      <c r="EF210" s="103">
        <f>SUM(EB210:EE210)</f>
        <v>1222</v>
      </c>
      <c r="EG210" s="191">
        <f t="shared" ref="EG210:EJ210" si="1011">EG72</f>
        <v>318</v>
      </c>
      <c r="EH210" s="191">
        <f t="shared" si="1011"/>
        <v>319</v>
      </c>
      <c r="EI210" s="191">
        <f t="shared" si="1011"/>
        <v>302</v>
      </c>
      <c r="EJ210" s="191">
        <f t="shared" si="1011"/>
        <v>279</v>
      </c>
      <c r="EK210" s="103">
        <f>SUM(EG210:EJ210)</f>
        <v>1218</v>
      </c>
      <c r="EL210" s="191">
        <f t="shared" ref="EL210:EO210" si="1012">EL72</f>
        <v>318</v>
      </c>
      <c r="EM210" s="191">
        <f t="shared" si="1012"/>
        <v>319</v>
      </c>
      <c r="EN210" s="191">
        <f t="shared" si="1012"/>
        <v>302</v>
      </c>
      <c r="EO210" s="191">
        <f t="shared" si="1012"/>
        <v>279</v>
      </c>
      <c r="EP210" s="103">
        <f>SUM(EL210:EO210)</f>
        <v>1218</v>
      </c>
      <c r="EQ210" s="191">
        <f t="shared" ref="EQ210:ET210" si="1013">EQ72</f>
        <v>286.2</v>
      </c>
      <c r="ER210" s="191">
        <f t="shared" si="1013"/>
        <v>296.66999999999996</v>
      </c>
      <c r="ES210" s="191">
        <f t="shared" si="1013"/>
        <v>308.04000000000002</v>
      </c>
      <c r="ET210" s="191">
        <f t="shared" si="1013"/>
        <v>318.06000000000006</v>
      </c>
      <c r="EU210" s="103">
        <f>SUM(EQ210:ET210)</f>
        <v>1208.9699999999998</v>
      </c>
      <c r="EV210" s="191"/>
      <c r="EW210" s="191"/>
      <c r="EX210" s="191"/>
      <c r="EY210" s="191"/>
      <c r="EZ210" s="103">
        <f>EZ72</f>
        <v>1245.2390999999998</v>
      </c>
      <c r="FA210" s="191"/>
      <c r="FB210" s="191"/>
      <c r="FC210" s="191"/>
      <c r="FD210" s="191"/>
      <c r="FE210" s="103">
        <f>FE72</f>
        <v>1282.5962729999999</v>
      </c>
      <c r="FF210" s="184"/>
      <c r="FG210" s="188"/>
      <c r="FL210" s="400"/>
      <c r="FM210" s="400"/>
      <c r="FN210" s="816"/>
      <c r="FO210" s="381"/>
      <c r="FP210" s="381"/>
      <c r="FQ210" s="381"/>
      <c r="FR210" s="816"/>
      <c r="FS210" s="381"/>
      <c r="FT210" s="188"/>
    </row>
    <row r="211" spans="1:183" ht="12.75" customHeight="1" x14ac:dyDescent="0.2">
      <c r="A211" s="76" t="s">
        <v>126</v>
      </c>
      <c r="B211" s="33"/>
      <c r="C211" s="33"/>
      <c r="D211" s="33"/>
      <c r="E211" s="33"/>
      <c r="F211" s="279"/>
      <c r="G211" s="33"/>
      <c r="H211" s="33"/>
      <c r="I211" s="33"/>
      <c r="J211" s="33"/>
      <c r="K211" s="279"/>
      <c r="L211" s="33"/>
      <c r="M211" s="33"/>
      <c r="N211" s="33"/>
      <c r="O211" s="33"/>
      <c r="P211" s="103">
        <f>P212-P210</f>
        <v>0</v>
      </c>
      <c r="Q211" s="33"/>
      <c r="R211" s="33"/>
      <c r="S211" s="33"/>
      <c r="T211" s="33"/>
      <c r="U211" s="103">
        <f>U212-U210</f>
        <v>0</v>
      </c>
      <c r="V211" s="33"/>
      <c r="W211" s="33"/>
      <c r="X211" s="33"/>
      <c r="Y211" s="33"/>
      <c r="Z211" s="103">
        <f>Z212-Z210</f>
        <v>0</v>
      </c>
      <c r="AA211" s="33"/>
      <c r="AB211" s="33"/>
      <c r="AC211" s="33"/>
      <c r="AD211" s="33"/>
      <c r="AE211" s="103">
        <f>AE212-AE210</f>
        <v>0</v>
      </c>
      <c r="AF211" s="33"/>
      <c r="AG211" s="33"/>
      <c r="AH211" s="33"/>
      <c r="AI211" s="33"/>
      <c r="AJ211" s="103">
        <f>AJ212-AJ210</f>
        <v>0</v>
      </c>
      <c r="AK211" s="33"/>
      <c r="AL211" s="33"/>
      <c r="AM211" s="33"/>
      <c r="AN211" s="33"/>
      <c r="AO211" s="103">
        <f>AO212-AO210</f>
        <v>0</v>
      </c>
      <c r="AP211" s="33"/>
      <c r="AQ211" s="33"/>
      <c r="AR211" s="33"/>
      <c r="AS211" s="33"/>
      <c r="AT211" s="103">
        <f>AT212-AT210</f>
        <v>0</v>
      </c>
      <c r="AU211" s="33"/>
      <c r="AV211" s="33"/>
      <c r="AW211" s="33"/>
      <c r="AX211" s="33"/>
      <c r="AY211" s="103">
        <f>AY212-AY210</f>
        <v>0</v>
      </c>
      <c r="AZ211" s="33"/>
      <c r="BA211" s="33"/>
      <c r="BB211" s="33"/>
      <c r="BC211" s="33"/>
      <c r="BD211" s="103">
        <f>BD212-BD210</f>
        <v>0</v>
      </c>
      <c r="BE211" s="33"/>
      <c r="BF211" s="33"/>
      <c r="BG211" s="33"/>
      <c r="BH211" s="33"/>
      <c r="BI211" s="103">
        <f>BI212-BI210</f>
        <v>0</v>
      </c>
      <c r="BJ211" s="33"/>
      <c r="BK211" s="33"/>
      <c r="BL211" s="33"/>
      <c r="BM211" s="33"/>
      <c r="BN211" s="103">
        <f>BN212-BN210</f>
        <v>0</v>
      </c>
      <c r="BO211" s="33"/>
      <c r="BP211" s="33"/>
      <c r="BQ211" s="33"/>
      <c r="BR211" s="33"/>
      <c r="BS211" s="103">
        <f>BS212-BS210</f>
        <v>0</v>
      </c>
      <c r="BT211" s="33"/>
      <c r="BU211" s="33"/>
      <c r="BV211" s="33"/>
      <c r="BW211" s="33"/>
      <c r="BX211" s="103">
        <f>BX212-BX210</f>
        <v>0</v>
      </c>
      <c r="BY211" s="33"/>
      <c r="BZ211" s="33"/>
      <c r="CA211" s="33"/>
      <c r="CB211" s="33"/>
      <c r="CC211" s="103">
        <f t="shared" ref="CC211:CR211" si="1014">CC212-CC210</f>
        <v>0</v>
      </c>
      <c r="CD211" s="33">
        <f t="shared" si="1014"/>
        <v>0</v>
      </c>
      <c r="CE211" s="33">
        <f t="shared" si="1014"/>
        <v>0</v>
      </c>
      <c r="CF211" s="33">
        <f t="shared" si="1014"/>
        <v>0</v>
      </c>
      <c r="CG211" s="33">
        <f t="shared" si="1014"/>
        <v>0</v>
      </c>
      <c r="CH211" s="103">
        <f t="shared" si="1014"/>
        <v>0</v>
      </c>
      <c r="CI211" s="33">
        <f t="shared" si="1014"/>
        <v>0</v>
      </c>
      <c r="CJ211" s="33">
        <f t="shared" si="1014"/>
        <v>0</v>
      </c>
      <c r="CK211" s="33">
        <f t="shared" si="1014"/>
        <v>0</v>
      </c>
      <c r="CL211" s="33">
        <f t="shared" si="1014"/>
        <v>0</v>
      </c>
      <c r="CM211" s="103">
        <f t="shared" si="1014"/>
        <v>0</v>
      </c>
      <c r="CN211" s="33">
        <f t="shared" si="1014"/>
        <v>0</v>
      </c>
      <c r="CO211" s="33">
        <f t="shared" si="1014"/>
        <v>0</v>
      </c>
      <c r="CP211" s="33">
        <f t="shared" si="1014"/>
        <v>0</v>
      </c>
      <c r="CQ211" s="33">
        <f t="shared" si="1014"/>
        <v>0</v>
      </c>
      <c r="CR211" s="103">
        <f t="shared" si="1014"/>
        <v>0</v>
      </c>
      <c r="CS211" s="33">
        <f>CS212-CS210</f>
        <v>0</v>
      </c>
      <c r="CT211" s="33">
        <f>CT212-CT210</f>
        <v>0</v>
      </c>
      <c r="CU211" s="33">
        <f>CU212-CU210</f>
        <v>0</v>
      </c>
      <c r="CV211" s="33">
        <f>CV212-CV210</f>
        <v>0</v>
      </c>
      <c r="CW211" s="103">
        <f>SUM(CS211:CV211)</f>
        <v>0</v>
      </c>
      <c r="CX211" s="33">
        <f>CX212-CX210</f>
        <v>0</v>
      </c>
      <c r="CY211" s="33">
        <f>CY212-CY210</f>
        <v>0</v>
      </c>
      <c r="CZ211" s="33">
        <f>CZ212-CZ210</f>
        <v>0</v>
      </c>
      <c r="DA211" s="33">
        <f>DA212-DA210</f>
        <v>0</v>
      </c>
      <c r="DB211" s="103">
        <f>SUM(CX211:DA211)</f>
        <v>0</v>
      </c>
      <c r="DC211" s="33">
        <f>DC212-DC210</f>
        <v>0</v>
      </c>
      <c r="DD211" s="33">
        <f>DD212-DD210</f>
        <v>0</v>
      </c>
      <c r="DE211" s="33">
        <f>DE212-DE210</f>
        <v>0</v>
      </c>
      <c r="DF211" s="33">
        <f>DF212-DF210</f>
        <v>0</v>
      </c>
      <c r="DG211" s="103">
        <f>SUM(DC211:DF211)</f>
        <v>0</v>
      </c>
      <c r="DH211" s="33">
        <v>0</v>
      </c>
      <c r="DI211" s="33">
        <v>0</v>
      </c>
      <c r="DJ211" s="33">
        <v>0</v>
      </c>
      <c r="DK211" s="33">
        <v>0</v>
      </c>
      <c r="DL211" s="103">
        <f>SUM(DH211:DK211)</f>
        <v>0</v>
      </c>
      <c r="DM211" s="33">
        <v>0</v>
      </c>
      <c r="DN211" s="33">
        <v>0</v>
      </c>
      <c r="DO211" s="33">
        <v>0</v>
      </c>
      <c r="DP211" s="33">
        <v>0</v>
      </c>
      <c r="DQ211" s="103">
        <f>SUM(DM211:DP211)</f>
        <v>0</v>
      </c>
      <c r="DR211" s="33">
        <v>0</v>
      </c>
      <c r="DS211" s="33">
        <v>0</v>
      </c>
      <c r="DT211" s="33">
        <v>0</v>
      </c>
      <c r="DU211" s="33">
        <f>DU212-DU210</f>
        <v>0</v>
      </c>
      <c r="DV211" s="103">
        <f>SUM(DR211:DU211)</f>
        <v>0</v>
      </c>
      <c r="DW211" s="33">
        <f>DW212-DW210</f>
        <v>0</v>
      </c>
      <c r="DX211" s="33">
        <f>DX212-DX210</f>
        <v>0</v>
      </c>
      <c r="DY211" s="33">
        <f>DY212-DY210</f>
        <v>0</v>
      </c>
      <c r="DZ211" s="33">
        <f>DZ212-DZ210</f>
        <v>0</v>
      </c>
      <c r="EA211" s="103">
        <f>SUM(DW211:DZ211)</f>
        <v>0</v>
      </c>
      <c r="EB211" s="33">
        <f>EB212-EB210</f>
        <v>0</v>
      </c>
      <c r="EC211" s="33">
        <f>EC212-EC210</f>
        <v>0</v>
      </c>
      <c r="ED211" s="33">
        <f>ED212-ED210</f>
        <v>0</v>
      </c>
      <c r="EE211" s="33">
        <f>EE212-EE210</f>
        <v>0</v>
      </c>
      <c r="EF211" s="103">
        <f>SUM(EB211:EE211)</f>
        <v>0</v>
      </c>
      <c r="EG211" s="33">
        <f>EG212-EG210</f>
        <v>0</v>
      </c>
      <c r="EH211" s="33">
        <f t="shared" ref="EH211:EJ211" si="1015">EH212-EH210</f>
        <v>0</v>
      </c>
      <c r="EI211" s="33">
        <f t="shared" si="1015"/>
        <v>0</v>
      </c>
      <c r="EJ211" s="33">
        <f t="shared" si="1015"/>
        <v>0</v>
      </c>
      <c r="EK211" s="103">
        <f>SUM(EG211:EJ211)</f>
        <v>0</v>
      </c>
      <c r="EL211" s="33">
        <f>EL212-EL210</f>
        <v>0</v>
      </c>
      <c r="EM211" s="33">
        <f t="shared" ref="EM211:EO211" si="1016">EM212-EM210</f>
        <v>0</v>
      </c>
      <c r="EN211" s="33">
        <f t="shared" si="1016"/>
        <v>0</v>
      </c>
      <c r="EO211" s="33">
        <f t="shared" si="1016"/>
        <v>0</v>
      </c>
      <c r="EP211" s="103">
        <f>SUM(EL211:EO211)</f>
        <v>0</v>
      </c>
      <c r="EQ211" s="33">
        <f t="shared" ref="EQ211:ET211" si="1017">EQ212-EQ210</f>
        <v>0</v>
      </c>
      <c r="ER211" s="33">
        <f t="shared" si="1017"/>
        <v>0</v>
      </c>
      <c r="ES211" s="33">
        <f t="shared" si="1017"/>
        <v>0</v>
      </c>
      <c r="ET211" s="33">
        <f t="shared" si="1017"/>
        <v>0</v>
      </c>
      <c r="EU211" s="103">
        <f>SUM(EQ211:ET211)</f>
        <v>0</v>
      </c>
      <c r="EV211" s="33"/>
      <c r="EW211" s="33"/>
      <c r="EX211" s="33"/>
      <c r="EY211" s="33"/>
      <c r="EZ211" s="103">
        <f>EU211</f>
        <v>0</v>
      </c>
      <c r="FA211" s="33"/>
      <c r="FB211" s="33"/>
      <c r="FC211" s="33"/>
      <c r="FD211" s="33"/>
      <c r="FE211" s="103">
        <f>EZ211</f>
        <v>0</v>
      </c>
      <c r="FF211" s="184"/>
      <c r="FG211" s="188"/>
      <c r="FL211" s="400"/>
      <c r="FM211" s="400"/>
      <c r="FN211" s="400"/>
      <c r="FO211" s="400"/>
      <c r="FP211" s="400"/>
      <c r="FQ211" s="400"/>
      <c r="FR211" s="400"/>
      <c r="FS211" s="381"/>
      <c r="FT211" s="188"/>
    </row>
    <row r="212" spans="1:183" ht="12.75" customHeight="1" x14ac:dyDescent="0.2">
      <c r="A212" s="45" t="s">
        <v>127</v>
      </c>
      <c r="B212" s="37"/>
      <c r="C212" s="37"/>
      <c r="D212" s="37"/>
      <c r="E212" s="37"/>
      <c r="F212" s="279"/>
      <c r="G212" s="37"/>
      <c r="H212" s="37"/>
      <c r="I212" s="37"/>
      <c r="J212" s="37"/>
      <c r="K212" s="279"/>
      <c r="L212" s="37"/>
      <c r="M212" s="37"/>
      <c r="N212" s="37"/>
      <c r="O212" s="37"/>
      <c r="P212" s="846">
        <v>101.976</v>
      </c>
      <c r="Q212" s="37"/>
      <c r="R212" s="37"/>
      <c r="S212" s="37"/>
      <c r="T212" s="37"/>
      <c r="U212" s="846">
        <v>119.33799999999999</v>
      </c>
      <c r="V212" s="37"/>
      <c r="W212" s="37"/>
      <c r="X212" s="37"/>
      <c r="Y212" s="37"/>
      <c r="Z212" s="846">
        <v>139.04499999999999</v>
      </c>
      <c r="AA212" s="37"/>
      <c r="AB212" s="37"/>
      <c r="AC212" s="37"/>
      <c r="AD212" s="37"/>
      <c r="AE212" s="846">
        <v>156.77099999999999</v>
      </c>
      <c r="AF212" s="37"/>
      <c r="AG212" s="37"/>
      <c r="AH212" s="37"/>
      <c r="AI212" s="37"/>
      <c r="AJ212" s="846">
        <f>Model!AJ72</f>
        <v>183.47</v>
      </c>
      <c r="AK212" s="37"/>
      <c r="AL212" s="37"/>
      <c r="AM212" s="37"/>
      <c r="AN212" s="37"/>
      <c r="AO212" s="846">
        <f>Model!AO72</f>
        <v>195.56799999999998</v>
      </c>
      <c r="AP212" s="37"/>
      <c r="AQ212" s="37"/>
      <c r="AR212" s="37"/>
      <c r="AS212" s="37"/>
      <c r="AT212" s="846">
        <f>Model!AT72</f>
        <v>225.21199999999999</v>
      </c>
      <c r="AU212" s="37"/>
      <c r="AV212" s="37"/>
      <c r="AW212" s="37"/>
      <c r="AX212" s="37"/>
      <c r="AY212" s="846">
        <f>Model!AY72</f>
        <v>248.66</v>
      </c>
      <c r="AZ212" s="37"/>
      <c r="BA212" s="37"/>
      <c r="BB212" s="37"/>
      <c r="BC212" s="37"/>
      <c r="BD212" s="846">
        <f>Model!BD72</f>
        <v>281.27600000000001</v>
      </c>
      <c r="BE212" s="37"/>
      <c r="BF212" s="37"/>
      <c r="BG212" s="37"/>
      <c r="BH212" s="37"/>
      <c r="BI212" s="846">
        <f>Model!BI72</f>
        <v>317.83099999999996</v>
      </c>
      <c r="BJ212" s="37"/>
      <c r="BK212" s="37"/>
      <c r="BL212" s="37"/>
      <c r="BM212" s="37"/>
      <c r="BN212" s="846">
        <f>Model!BN72</f>
        <v>355.75299999999999</v>
      </c>
      <c r="BO212" s="37"/>
      <c r="BP212" s="37"/>
      <c r="BQ212" s="37"/>
      <c r="BR212" s="37"/>
      <c r="BS212" s="846">
        <f>Model!BS72</f>
        <v>384</v>
      </c>
      <c r="BT212" s="37"/>
      <c r="BU212" s="37"/>
      <c r="BV212" s="37"/>
      <c r="BW212" s="37"/>
      <c r="BX212" s="846">
        <f>Model!BX72</f>
        <v>431</v>
      </c>
      <c r="BY212" s="37"/>
      <c r="BZ212" s="37"/>
      <c r="CA212" s="37"/>
      <c r="CB212" s="37"/>
      <c r="CC212" s="846">
        <f>Model!CC72</f>
        <v>470</v>
      </c>
      <c r="CD212" s="37">
        <f>Model!CD72</f>
        <v>123.75</v>
      </c>
      <c r="CE212" s="37">
        <f>Model!CE72</f>
        <v>126.75</v>
      </c>
      <c r="CF212" s="37">
        <f>Model!CF72</f>
        <v>130.75</v>
      </c>
      <c r="CG212" s="37">
        <f>Model!CG72</f>
        <v>133.75</v>
      </c>
      <c r="CH212" s="106">
        <f>Model!CH72</f>
        <v>515</v>
      </c>
      <c r="CI212" s="37">
        <f>Model!CI72</f>
        <v>135</v>
      </c>
      <c r="CJ212" s="37">
        <f>Model!CJ72</f>
        <v>137</v>
      </c>
      <c r="CK212" s="37">
        <f>Model!CK72</f>
        <v>140</v>
      </c>
      <c r="CL212" s="37">
        <f>Model!CL72</f>
        <v>143</v>
      </c>
      <c r="CM212" s="106">
        <f>Model!CM72</f>
        <v>555</v>
      </c>
      <c r="CN212" s="37">
        <f>Model!CN72</f>
        <v>145</v>
      </c>
      <c r="CO212" s="37">
        <f>Model!CO72</f>
        <v>148</v>
      </c>
      <c r="CP212" s="37">
        <f>Model!CP72</f>
        <v>152</v>
      </c>
      <c r="CQ212" s="37">
        <f>Model!CQ72</f>
        <v>154</v>
      </c>
      <c r="CR212" s="106">
        <f>Model!CR72</f>
        <v>599</v>
      </c>
      <c r="CS212" s="37">
        <f>Model!CS72</f>
        <v>164.11699999999999</v>
      </c>
      <c r="CT212" s="37">
        <f>Model!CT72</f>
        <v>164.10399999999998</v>
      </c>
      <c r="CU212" s="37">
        <f>Model!CU72</f>
        <v>175.899</v>
      </c>
      <c r="CV212" s="37">
        <f>Model!CV72</f>
        <v>168.751</v>
      </c>
      <c r="CW212" s="106">
        <f>SUM(CS212:CV212)</f>
        <v>672.87099999999998</v>
      </c>
      <c r="CX212" s="37">
        <f>Model!CX72</f>
        <v>168.85499999999999</v>
      </c>
      <c r="CY212" s="37">
        <f>Model!CY72</f>
        <v>169</v>
      </c>
      <c r="CZ212" s="37">
        <f>Model!CZ72</f>
        <v>176</v>
      </c>
      <c r="DA212" s="37">
        <f>Model!DA72</f>
        <v>175</v>
      </c>
      <c r="DB212" s="106">
        <f>SUM(CX212:DA212)</f>
        <v>688.85500000000002</v>
      </c>
      <c r="DC212" s="37">
        <f>Model!DC72</f>
        <v>168.708</v>
      </c>
      <c r="DD212" s="37">
        <f>Model!DD72</f>
        <v>182</v>
      </c>
      <c r="DE212" s="37">
        <f>Model!DE72</f>
        <v>191</v>
      </c>
      <c r="DF212" s="37">
        <f>Model!DF72</f>
        <v>192</v>
      </c>
      <c r="DG212" s="106">
        <f>SUM(DC212:DF212)</f>
        <v>733.70799999999997</v>
      </c>
      <c r="DH212" s="37">
        <f>Model!DH72</f>
        <v>201</v>
      </c>
      <c r="DI212" s="37">
        <f>Model!DI72</f>
        <v>202</v>
      </c>
      <c r="DJ212" s="37">
        <f>Model!DJ72</f>
        <v>217</v>
      </c>
      <c r="DK212" s="37">
        <f>Model!DK72</f>
        <v>224</v>
      </c>
      <c r="DL212" s="106">
        <f>SUM(DH212:DK212)</f>
        <v>844</v>
      </c>
      <c r="DM212" s="37">
        <f>Model!DM72</f>
        <v>210</v>
      </c>
      <c r="DN212" s="37">
        <f>Model!DN72</f>
        <v>213</v>
      </c>
      <c r="DO212" s="37">
        <f>Model!DO72</f>
        <v>221</v>
      </c>
      <c r="DP212" s="37">
        <f>Model!DP72</f>
        <v>223</v>
      </c>
      <c r="DQ212" s="106">
        <f>SUM(DM212:DP212)</f>
        <v>867</v>
      </c>
      <c r="DR212" s="37">
        <f>Model!DR72</f>
        <v>221</v>
      </c>
      <c r="DS212" s="37">
        <f>Model!DS72</f>
        <v>228</v>
      </c>
      <c r="DT212" s="37">
        <f>Model!DT72</f>
        <v>238</v>
      </c>
      <c r="DU212" s="37">
        <f>Model!DU72</f>
        <v>251</v>
      </c>
      <c r="DV212" s="106">
        <f>SUM(DR212:DU212)</f>
        <v>938</v>
      </c>
      <c r="DW212" s="37">
        <f>Model!DW72</f>
        <v>244</v>
      </c>
      <c r="DX212" s="37">
        <f>Model!DX72</f>
        <v>250</v>
      </c>
      <c r="DY212" s="37">
        <f>Model!DY72</f>
        <v>258</v>
      </c>
      <c r="DZ212" s="37">
        <f>Model!DZ72</f>
        <v>263</v>
      </c>
      <c r="EA212" s="106">
        <f>SUM(DW212:DZ212)</f>
        <v>1015</v>
      </c>
      <c r="EB212" s="37">
        <f>Model!EB72</f>
        <v>290</v>
      </c>
      <c r="EC212" s="37">
        <f>Model!EC72</f>
        <v>299</v>
      </c>
      <c r="ED212" s="37">
        <f>Model!ED72</f>
        <v>315</v>
      </c>
      <c r="EE212" s="37">
        <f>Model!EE72</f>
        <v>318</v>
      </c>
      <c r="EF212" s="106">
        <f>SUM(EB212:EE212)</f>
        <v>1222</v>
      </c>
      <c r="EG212" s="37">
        <f>Model!EG72</f>
        <v>318</v>
      </c>
      <c r="EH212" s="37">
        <f>Model!EH72</f>
        <v>319</v>
      </c>
      <c r="EI212" s="37">
        <f>Model!EI72</f>
        <v>302</v>
      </c>
      <c r="EJ212" s="37">
        <f>Model!EJ72</f>
        <v>279</v>
      </c>
      <c r="EK212" s="106">
        <f>SUM(EG212:EJ212)</f>
        <v>1218</v>
      </c>
      <c r="EL212" s="37">
        <f>Model!EL72</f>
        <v>318</v>
      </c>
      <c r="EM212" s="37">
        <f>Model!EM72</f>
        <v>319</v>
      </c>
      <c r="EN212" s="37">
        <f>Model!EN72</f>
        <v>302</v>
      </c>
      <c r="EO212" s="37">
        <f>Model!EO72</f>
        <v>279</v>
      </c>
      <c r="EP212" s="106">
        <f>SUM(EL212:EO212)</f>
        <v>1218</v>
      </c>
      <c r="EQ212" s="37">
        <f>Model!EQ72</f>
        <v>286.2</v>
      </c>
      <c r="ER212" s="37">
        <f>Model!ER72</f>
        <v>296.66999999999996</v>
      </c>
      <c r="ES212" s="37">
        <f>Model!ES72</f>
        <v>308.04000000000002</v>
      </c>
      <c r="ET212" s="37">
        <f>Model!ET72</f>
        <v>318.06000000000006</v>
      </c>
      <c r="EU212" s="106">
        <f>SUM(EQ212:ET212)</f>
        <v>1208.9699999999998</v>
      </c>
      <c r="EV212" s="37"/>
      <c r="EW212" s="37"/>
      <c r="EX212" s="37"/>
      <c r="EY212" s="37"/>
      <c r="EZ212" s="106">
        <f>EZ210+EZ211</f>
        <v>1245.2390999999998</v>
      </c>
      <c r="FA212" s="37"/>
      <c r="FB212" s="37"/>
      <c r="FC212" s="37"/>
      <c r="FD212" s="37"/>
      <c r="FE212" s="106">
        <f>FE210+FE211</f>
        <v>1282.5962729999999</v>
      </c>
      <c r="FF212" s="184"/>
      <c r="FG212" s="188"/>
      <c r="FL212" s="400"/>
      <c r="FM212" s="400"/>
      <c r="FN212" s="400"/>
      <c r="FO212" s="400"/>
      <c r="FP212" s="400"/>
      <c r="FQ212" s="400"/>
      <c r="FR212" s="400"/>
      <c r="FS212" s="381"/>
      <c r="FT212" s="188"/>
    </row>
    <row r="213" spans="1:183" ht="12.75" customHeight="1" x14ac:dyDescent="0.2">
      <c r="A213" s="77" t="s">
        <v>233</v>
      </c>
      <c r="B213" s="835"/>
      <c r="C213" s="835"/>
      <c r="D213" s="835"/>
      <c r="E213" s="835"/>
      <c r="F213" s="279"/>
      <c r="G213" s="835"/>
      <c r="H213" s="835"/>
      <c r="I213" s="835"/>
      <c r="J213" s="835"/>
      <c r="K213" s="279"/>
      <c r="L213" s="835"/>
      <c r="M213" s="835"/>
      <c r="N213" s="835"/>
      <c r="O213" s="835"/>
      <c r="P213" s="846">
        <v>21.26</v>
      </c>
      <c r="Q213" s="835"/>
      <c r="R213" s="835"/>
      <c r="S213" s="835"/>
      <c r="T213" s="835"/>
      <c r="U213" s="846">
        <v>53.2</v>
      </c>
      <c r="V213" s="835"/>
      <c r="W213" s="835"/>
      <c r="X213" s="835"/>
      <c r="Y213" s="835"/>
      <c r="Z213" s="846">
        <v>49.887</v>
      </c>
      <c r="AA213" s="835"/>
      <c r="AB213" s="835"/>
      <c r="AC213" s="835"/>
      <c r="AD213" s="835"/>
      <c r="AE213" s="846">
        <v>48.146999999999998</v>
      </c>
      <c r="AF213" s="835"/>
      <c r="AG213" s="835"/>
      <c r="AH213" s="835"/>
      <c r="AI213" s="835"/>
      <c r="AJ213" s="846">
        <v>67.253</v>
      </c>
      <c r="AK213" s="835"/>
      <c r="AL213" s="835"/>
      <c r="AM213" s="835"/>
      <c r="AN213" s="835"/>
      <c r="AO213" s="846">
        <v>81.710999999999999</v>
      </c>
      <c r="AP213" s="835"/>
      <c r="AQ213" s="835"/>
      <c r="AR213" s="835"/>
      <c r="AS213" s="835"/>
      <c r="AT213" s="846">
        <v>108.33499999999999</v>
      </c>
      <c r="AU213" s="835"/>
      <c r="AV213" s="835"/>
      <c r="AW213" s="835"/>
      <c r="AX213" s="835"/>
      <c r="AY213" s="846">
        <v>142.94</v>
      </c>
      <c r="AZ213" s="835"/>
      <c r="BA213" s="835"/>
      <c r="BB213" s="835"/>
      <c r="BC213" s="835"/>
      <c r="BD213" s="846">
        <v>153.447</v>
      </c>
      <c r="BE213" s="835"/>
      <c r="BF213" s="835"/>
      <c r="BG213" s="835"/>
      <c r="BH213" s="835"/>
      <c r="BI213" s="846">
        <v>207.922</v>
      </c>
      <c r="BJ213" s="835"/>
      <c r="BK213" s="835"/>
      <c r="BL213" s="835"/>
      <c r="BM213" s="835"/>
      <c r="BN213" s="846">
        <v>169.62899999999999</v>
      </c>
      <c r="BO213" s="835"/>
      <c r="BP213" s="835"/>
      <c r="BQ213" s="835"/>
      <c r="BR213" s="835"/>
      <c r="BS213" s="846">
        <v>183</v>
      </c>
      <c r="BT213" s="835"/>
      <c r="BU213" s="835"/>
      <c r="BV213" s="835"/>
      <c r="BW213" s="835"/>
      <c r="BX213" s="846">
        <v>184</v>
      </c>
      <c r="BY213" s="835"/>
      <c r="BZ213" s="835"/>
      <c r="CA213" s="835"/>
      <c r="CB213" s="835"/>
      <c r="CC213" s="846">
        <v>275</v>
      </c>
      <c r="CD213" s="835">
        <v>31</v>
      </c>
      <c r="CE213" s="835">
        <v>175</v>
      </c>
      <c r="CF213" s="835">
        <v>20</v>
      </c>
      <c r="CG213" s="835">
        <v>35</v>
      </c>
      <c r="CH213" s="106">
        <f>SUM(CD213:CG213)</f>
        <v>261</v>
      </c>
      <c r="CI213" s="835">
        <v>38</v>
      </c>
      <c r="CJ213" s="835">
        <v>122</v>
      </c>
      <c r="CK213" s="835">
        <v>101</v>
      </c>
      <c r="CL213" s="835">
        <v>53</v>
      </c>
      <c r="CM213" s="106">
        <f>SUM(CI213:CL213)</f>
        <v>314</v>
      </c>
      <c r="CN213" s="835">
        <v>-8</v>
      </c>
      <c r="CO213" s="835">
        <v>131</v>
      </c>
      <c r="CP213" s="835">
        <v>-51</v>
      </c>
      <c r="CQ213" s="835">
        <v>-28</v>
      </c>
      <c r="CR213" s="106">
        <f>SUM(CN213:CQ213)</f>
        <v>44</v>
      </c>
      <c r="CS213" s="835">
        <v>-19</v>
      </c>
      <c r="CT213" s="835">
        <v>16</v>
      </c>
      <c r="CU213" s="835">
        <v>4</v>
      </c>
      <c r="CV213" s="835">
        <v>69.677000000000007</v>
      </c>
      <c r="CW213" s="106">
        <f>SUM(CS213:CV213)</f>
        <v>70.677000000000007</v>
      </c>
      <c r="CX213" s="835">
        <v>12</v>
      </c>
      <c r="CY213" s="835">
        <v>63</v>
      </c>
      <c r="CZ213" s="835">
        <v>38.959000000000003</v>
      </c>
      <c r="DA213" s="835">
        <v>40.341999999999999</v>
      </c>
      <c r="DB213" s="106">
        <f>SUM(CX213:DA213)</f>
        <v>154.30099999999999</v>
      </c>
      <c r="DC213" s="835">
        <v>23.73</v>
      </c>
      <c r="DD213" s="835">
        <v>95</v>
      </c>
      <c r="DE213" s="835">
        <v>-90</v>
      </c>
      <c r="DF213" s="835">
        <v>90</v>
      </c>
      <c r="DG213" s="106">
        <f>SUM(DC213:DF213)</f>
        <v>118.73</v>
      </c>
      <c r="DH213" s="835">
        <v>14</v>
      </c>
      <c r="DI213" s="835">
        <v>24</v>
      </c>
      <c r="DJ213" s="835">
        <v>82</v>
      </c>
      <c r="DK213" s="835">
        <v>131</v>
      </c>
      <c r="DL213" s="106">
        <f>SUM(DH213:DK213)</f>
        <v>251</v>
      </c>
      <c r="DM213" s="835">
        <v>2</v>
      </c>
      <c r="DN213" s="835">
        <v>21</v>
      </c>
      <c r="DO213" s="835">
        <v>29</v>
      </c>
      <c r="DP213" s="835">
        <v>-2</v>
      </c>
      <c r="DQ213" s="106">
        <f>SUM(DM213:DP213)</f>
        <v>50</v>
      </c>
      <c r="DR213" s="835">
        <v>92</v>
      </c>
      <c r="DS213" s="835">
        <v>281</v>
      </c>
      <c r="DT213" s="835">
        <v>392</v>
      </c>
      <c r="DU213" s="835">
        <v>28</v>
      </c>
      <c r="DV213" s="594">
        <f>SUM(DR213:DU213)</f>
        <v>793</v>
      </c>
      <c r="DW213" s="835">
        <v>19</v>
      </c>
      <c r="DX213" s="835">
        <v>23</v>
      </c>
      <c r="DY213" s="835">
        <v>-82</v>
      </c>
      <c r="DZ213" s="835">
        <f>-109-DY213-DW213-DX213</f>
        <v>-69</v>
      </c>
      <c r="EA213" s="594">
        <f>SUM(DW213:DZ213)</f>
        <v>-109</v>
      </c>
      <c r="EB213" s="835">
        <v>26</v>
      </c>
      <c r="EC213" s="835">
        <v>54</v>
      </c>
      <c r="ED213" s="835">
        <v>315</v>
      </c>
      <c r="EE213" s="835">
        <f>455-SUM(EB213:ED213)</f>
        <v>60</v>
      </c>
      <c r="EF213" s="594">
        <f>SUM(EB213:EE213)</f>
        <v>455</v>
      </c>
      <c r="EG213" s="835">
        <v>62</v>
      </c>
      <c r="EH213" s="835">
        <v>69</v>
      </c>
      <c r="EI213" s="835">
        <v>69</v>
      </c>
      <c r="EJ213" s="835">
        <v>-1425</v>
      </c>
      <c r="EK213" s="594">
        <f>SUM(EG213:EJ213)</f>
        <v>-1225</v>
      </c>
      <c r="EL213" s="835">
        <v>62</v>
      </c>
      <c r="EM213" s="835">
        <v>69</v>
      </c>
      <c r="EN213" s="835">
        <v>69</v>
      </c>
      <c r="EO213" s="835">
        <v>-1425</v>
      </c>
      <c r="EP213" s="594">
        <f>SUM(EL213:EO213)</f>
        <v>-1225</v>
      </c>
      <c r="EQ213" s="593">
        <f>EQ214*Model!EQ142</f>
        <v>65.660219113395669</v>
      </c>
      <c r="ER213" s="593">
        <f>ER214*Model!ER142</f>
        <v>134.0895709596831</v>
      </c>
      <c r="ES213" s="593">
        <f>ES214*Model!ES142</f>
        <v>111.97171291089695</v>
      </c>
      <c r="ET213" s="593">
        <f>ET214*Model!ET142</f>
        <v>104.55962754690346</v>
      </c>
      <c r="EU213" s="594">
        <f>SUM(EQ213:ET213)</f>
        <v>416.28113053087918</v>
      </c>
      <c r="EV213" s="593"/>
      <c r="EW213" s="593"/>
      <c r="EX213" s="593"/>
      <c r="EY213" s="593"/>
      <c r="EZ213" s="594">
        <f>EZ214*Model!EZ142</f>
        <v>433.79927257391313</v>
      </c>
      <c r="FA213" s="593"/>
      <c r="FB213" s="593"/>
      <c r="FC213" s="593"/>
      <c r="FD213" s="593"/>
      <c r="FE213" s="594">
        <f>FE214*Model!FE142</f>
        <v>440.74277653163801</v>
      </c>
      <c r="FF213" s="184"/>
      <c r="FG213" s="188"/>
      <c r="FL213" s="400"/>
      <c r="FM213" s="400"/>
      <c r="FN213" s="400"/>
      <c r="FO213" s="400"/>
      <c r="FP213" s="400"/>
      <c r="FQ213" s="400"/>
      <c r="FR213" s="400"/>
      <c r="FS213" s="381"/>
      <c r="FT213" s="188"/>
    </row>
    <row r="214" spans="1:183" ht="12.75" customHeight="1" x14ac:dyDescent="0.2">
      <c r="A214" s="78" t="s">
        <v>234</v>
      </c>
      <c r="B214" s="192"/>
      <c r="C214" s="192"/>
      <c r="D214" s="192"/>
      <c r="E214" s="192"/>
      <c r="F214" s="279"/>
      <c r="G214" s="192"/>
      <c r="H214" s="192"/>
      <c r="I214" s="192"/>
      <c r="J214" s="192"/>
      <c r="K214" s="279"/>
      <c r="L214" s="192"/>
      <c r="M214" s="192"/>
      <c r="N214" s="192"/>
      <c r="O214" s="192"/>
      <c r="P214" s="104">
        <f>P213/Model!P142</f>
        <v>0.38089436720653574</v>
      </c>
      <c r="Q214" s="192"/>
      <c r="R214" s="192"/>
      <c r="S214" s="192"/>
      <c r="T214" s="192"/>
      <c r="U214" s="104">
        <f>U213/Model!U142</f>
        <v>0.5049690089508605</v>
      </c>
      <c r="V214" s="192"/>
      <c r="W214" s="192"/>
      <c r="X214" s="192"/>
      <c r="Y214" s="192"/>
      <c r="Z214" s="104">
        <f>Z213/Model!Z142</f>
        <v>0.41506090255591055</v>
      </c>
      <c r="AA214" s="192"/>
      <c r="AB214" s="192"/>
      <c r="AC214" s="192"/>
      <c r="AD214" s="192"/>
      <c r="AE214" s="104">
        <f>AE213/Model!AE142</f>
        <v>0.39299182134286692</v>
      </c>
      <c r="AF214" s="192"/>
      <c r="AG214" s="192"/>
      <c r="AH214" s="192"/>
      <c r="AI214" s="192"/>
      <c r="AJ214" s="104">
        <f>AJ213/Model!AJ142</f>
        <v>0.50179444133557172</v>
      </c>
      <c r="AK214" s="192"/>
      <c r="AL214" s="192"/>
      <c r="AM214" s="192"/>
      <c r="AN214" s="192"/>
      <c r="AO214" s="104">
        <f>AO213/Model!AO142</f>
        <v>0.41022873323158487</v>
      </c>
      <c r="AP214" s="192"/>
      <c r="AQ214" s="192"/>
      <c r="AR214" s="192"/>
      <c r="AS214" s="192"/>
      <c r="AT214" s="104">
        <f>AT213/Model!AT142</f>
        <v>0.39875810233325115</v>
      </c>
      <c r="AU214" s="192"/>
      <c r="AV214" s="192"/>
      <c r="AW214" s="192"/>
      <c r="AX214" s="192"/>
      <c r="AY214" s="104">
        <f>AY213/Model!AY142</f>
        <v>0.47768795553966303</v>
      </c>
      <c r="AZ214" s="192"/>
      <c r="BA214" s="192"/>
      <c r="BB214" s="192"/>
      <c r="BC214" s="192"/>
      <c r="BD214" s="104">
        <f>BD213/Model!BD142</f>
        <v>0.39130667618707604</v>
      </c>
      <c r="BE214" s="192"/>
      <c r="BF214" s="192"/>
      <c r="BG214" s="192"/>
      <c r="BH214" s="192"/>
      <c r="BI214" s="104">
        <f>BI213/Model!BI142</f>
        <v>0.65691664139116368</v>
      </c>
      <c r="BJ214" s="192"/>
      <c r="BK214" s="192"/>
      <c r="BL214" s="192"/>
      <c r="BM214" s="192"/>
      <c r="BN214" s="104">
        <f>BN213/Model!BN142</f>
        <v>1.4666176724883266</v>
      </c>
      <c r="BO214" s="192"/>
      <c r="BP214" s="192"/>
      <c r="BQ214" s="192"/>
      <c r="BR214" s="192"/>
      <c r="BS214" s="104">
        <f>BS213/Model!BS142</f>
        <v>1.0252100840336134</v>
      </c>
      <c r="BT214" s="192"/>
      <c r="BU214" s="192"/>
      <c r="BV214" s="192"/>
      <c r="BW214" s="192"/>
      <c r="BX214" s="104">
        <f>BX213/Model!BX142</f>
        <v>0.95038475087006702</v>
      </c>
      <c r="BY214" s="192"/>
      <c r="BZ214" s="192"/>
      <c r="CA214" s="192"/>
      <c r="CB214" s="192"/>
      <c r="CC214" s="104">
        <f>CC213/Model!CC142</f>
        <v>1.2168141592920354</v>
      </c>
      <c r="CD214" s="192">
        <f>CD213/Model!CD142</f>
        <v>1.0292164674634794</v>
      </c>
      <c r="CE214" s="192">
        <f>CE213/Model!CE142</f>
        <v>1.2068965517241379</v>
      </c>
      <c r="CF214" s="192">
        <f>CF213/Model!CF142</f>
        <v>0.20833333333333334</v>
      </c>
      <c r="CG214" s="192">
        <f>CG213/Model!CG142</f>
        <v>0.51470588235294112</v>
      </c>
      <c r="CH214" s="104">
        <f>CH213/Model!CH142</f>
        <v>0.76963906581740971</v>
      </c>
      <c r="CI214" s="192">
        <f>CI213/Model!CI142</f>
        <v>2</v>
      </c>
      <c r="CJ214" s="192">
        <f>CJ213/Model!CJ142</f>
        <v>1.0338983050847457</v>
      </c>
      <c r="CK214" s="192">
        <f>CK213/Model!CK142</f>
        <v>1.0696319830553349</v>
      </c>
      <c r="CL214" s="192">
        <f>CL213/Model!CL142</f>
        <v>0.9464285714285714</v>
      </c>
      <c r="CM214" s="104">
        <f>CM213/Model!CM142</f>
        <v>1.092458902322345</v>
      </c>
      <c r="CN214" s="192">
        <f>CN213/Model!CN142</f>
        <v>-0.2857142857142857</v>
      </c>
      <c r="CO214" s="192">
        <f>CO213/Model!CO142</f>
        <v>1.5595238095238095</v>
      </c>
      <c r="CP214" s="192">
        <f>CP213/Model!CP142</f>
        <v>-1.5</v>
      </c>
      <c r="CQ214" s="192">
        <f>CQ213/Model!CQ142</f>
        <v>-0.60869565217391308</v>
      </c>
      <c r="CR214" s="104">
        <f>CR213/Model!CN142</f>
        <v>1.5714285714285714</v>
      </c>
      <c r="CS214" s="192">
        <f>CS213/Model!CS142</f>
        <v>1.1875</v>
      </c>
      <c r="CT214" s="192">
        <f>CT213/Model!CT142</f>
        <v>0.35001750087504374</v>
      </c>
      <c r="CU214" s="192">
        <f>CU213/Model!CU142</f>
        <v>0.15852256965085404</v>
      </c>
      <c r="CV214" s="192">
        <f>CV213/Model!CV142</f>
        <v>1.5235939823318465</v>
      </c>
      <c r="CW214" s="104">
        <f>CW213/Model!CW142</f>
        <v>0.70201734259066129</v>
      </c>
      <c r="CX214" s="192">
        <f>CX213/Model!CX142</f>
        <v>0.8571428571428571</v>
      </c>
      <c r="CY214" s="192">
        <f>CY213/Model!CY142</f>
        <v>0.44903777619387025</v>
      </c>
      <c r="CZ214" s="192">
        <f>CZ213/Model!CZ142</f>
        <v>0.28036327261998145</v>
      </c>
      <c r="DA214" s="192">
        <f>DA213/Model!DA142</f>
        <v>0.5285070481580465</v>
      </c>
      <c r="DB214" s="104">
        <f>DB213/Model!DB142</f>
        <v>0.41749122678853107</v>
      </c>
      <c r="DC214" s="192">
        <f>DC213/Model!DC142</f>
        <v>-18.58261550509004</v>
      </c>
      <c r="DD214" s="192">
        <f>DD213/Model!DD142</f>
        <v>1.1445783132530121</v>
      </c>
      <c r="DE214" s="192">
        <f>DE213/Model!DE142</f>
        <v>-1.1111111111111112</v>
      </c>
      <c r="DF214" s="192">
        <f>DF213/Model!DF142</f>
        <v>2.1951219512195124</v>
      </c>
      <c r="DG214" s="104">
        <f>DG213/Model!DG142</f>
        <v>0.58280115647226871</v>
      </c>
      <c r="DH214" s="192">
        <f>DH213/Model!DH142</f>
        <v>-1.2727272727272727</v>
      </c>
      <c r="DI214" s="192">
        <f>DI213/Model!DI142</f>
        <v>0.14285714285714285</v>
      </c>
      <c r="DJ214" s="192">
        <f>DJ213/Model!DJ142</f>
        <v>1.2615384615384615</v>
      </c>
      <c r="DK214" s="192">
        <f>DK213/Model!DK142</f>
        <v>3.2749999999999999</v>
      </c>
      <c r="DL214" s="104">
        <f>DL213/Model!DL142</f>
        <v>0.9580152671755725</v>
      </c>
      <c r="DM214" s="192">
        <f>DM213/Model!DM142</f>
        <v>6.25E-2</v>
      </c>
      <c r="DN214" s="192">
        <f>DN213/Model!DN142</f>
        <v>0.12352941176470589</v>
      </c>
      <c r="DO214" s="192">
        <f>DO213/Model!DO142</f>
        <v>0.19463087248322147</v>
      </c>
      <c r="DP214" s="192">
        <f>DP213/Model!DP142</f>
        <v>-1.4705882352941176E-2</v>
      </c>
      <c r="DQ214" s="104">
        <f>DQ213/Model!DQ142</f>
        <v>0.10266940451745379</v>
      </c>
      <c r="DR214" s="192">
        <f>DR213/Model!DR142</f>
        <v>1.2432432432432432</v>
      </c>
      <c r="DS214" s="192">
        <f>DS213/Model!DS142</f>
        <v>0.95904436860068254</v>
      </c>
      <c r="DT214" s="192">
        <f>DT213/Model!DT142</f>
        <v>1.7192982456140351</v>
      </c>
      <c r="DU214" s="192">
        <f>DU213/Model!DU142</f>
        <v>0.1222707423580786</v>
      </c>
      <c r="DV214" s="585">
        <f>DV213/Model!DV142</f>
        <v>0.96237864077669899</v>
      </c>
      <c r="DW214" s="192">
        <f>DW213/Model!DW142</f>
        <v>7.0895522388059698E-2</v>
      </c>
      <c r="DX214" s="192">
        <f>DX213/Model!DX142</f>
        <v>5.5023923444976079E-2</v>
      </c>
      <c r="DY214" s="192">
        <f>DY213/Model!DY142</f>
        <v>-0.22102425876010781</v>
      </c>
      <c r="DZ214" s="192">
        <f>DZ213/Model!DZ142</f>
        <v>-0.20175438596491227</v>
      </c>
      <c r="EA214" s="585">
        <f>EA213/Model!EA142</f>
        <v>-7.7912794853466763E-2</v>
      </c>
      <c r="EB214" s="192">
        <f>EB213/Model!EB142</f>
        <v>7.71513353115727E-2</v>
      </c>
      <c r="EC214" s="192">
        <f>EC213/Model!EC142</f>
        <v>0.12080536912751678</v>
      </c>
      <c r="ED214" s="192">
        <f>ED213/Model!ED142</f>
        <v>0.91569767441860461</v>
      </c>
      <c r="EE214" s="192">
        <f>EE213/Model!EE142</f>
        <v>0.23904382470119523</v>
      </c>
      <c r="EF214" s="585">
        <f>EF213/Model!EF142</f>
        <v>0.32994923857868019</v>
      </c>
      <c r="EG214" s="192">
        <f>EG213/Model!EG142</f>
        <v>0.28971962616822428</v>
      </c>
      <c r="EH214" s="192">
        <f>EH213/Model!EH142</f>
        <v>0.16273584905660377</v>
      </c>
      <c r="EI214" s="192">
        <f>EI213/Model!EI142</f>
        <v>0.22697368421052633</v>
      </c>
      <c r="EJ214" s="192">
        <f>EJ213/Model!EJ142</f>
        <v>-5.745967741935484</v>
      </c>
      <c r="EK214" s="585">
        <f>EK213/Model!EK142</f>
        <v>-1.0294117647058822</v>
      </c>
      <c r="EL214" s="192">
        <f>EL213/Model!EL142</f>
        <v>0.30097087378640774</v>
      </c>
      <c r="EM214" s="192">
        <f>EM213/Model!EM142</f>
        <v>0.16312056737588654</v>
      </c>
      <c r="EN214" s="192">
        <f>EN213/Model!EN142</f>
        <v>0.21630094043887146</v>
      </c>
      <c r="EO214" s="192">
        <f>EO213/Model!EO142</f>
        <v>-5.7692307692307692</v>
      </c>
      <c r="EP214" s="585">
        <f>EP213/Model!EP142</f>
        <v>-1.0251046025104602</v>
      </c>
      <c r="EQ214" s="193">
        <v>0.5</v>
      </c>
      <c r="ER214" s="193">
        <v>0.5</v>
      </c>
      <c r="ES214" s="193">
        <v>0.5</v>
      </c>
      <c r="ET214" s="193">
        <v>0.5</v>
      </c>
      <c r="EU214" s="585">
        <f>EU213/Model!EU142</f>
        <v>0.5</v>
      </c>
      <c r="EV214" s="193"/>
      <c r="EW214" s="193"/>
      <c r="EX214" s="193"/>
      <c r="EY214" s="193"/>
      <c r="EZ214" s="586">
        <v>0.45</v>
      </c>
      <c r="FA214" s="193"/>
      <c r="FB214" s="193"/>
      <c r="FC214" s="193"/>
      <c r="FD214" s="193"/>
      <c r="FE214" s="586">
        <v>0.4</v>
      </c>
      <c r="FF214" s="184"/>
      <c r="FG214" s="188"/>
      <c r="FL214" s="400"/>
      <c r="FM214" s="400"/>
      <c r="FN214" s="381"/>
      <c r="FO214" s="381"/>
      <c r="FP214" s="381"/>
      <c r="FQ214" s="381"/>
      <c r="FR214" s="381"/>
      <c r="FS214" s="381"/>
      <c r="FT214" s="188"/>
    </row>
    <row r="215" spans="1:183" ht="12.75" customHeight="1" x14ac:dyDescent="0.2">
      <c r="A215" s="83" t="s">
        <v>305</v>
      </c>
      <c r="B215" s="836"/>
      <c r="C215" s="836"/>
      <c r="D215" s="836"/>
      <c r="E215" s="836"/>
      <c r="F215" s="279"/>
      <c r="G215" s="836"/>
      <c r="H215" s="836"/>
      <c r="I215" s="836"/>
      <c r="J215" s="836"/>
      <c r="K215" s="279"/>
      <c r="L215" s="836"/>
      <c r="M215" s="836"/>
      <c r="N215" s="836"/>
      <c r="O215" s="836"/>
      <c r="P215" s="846">
        <v>0</v>
      </c>
      <c r="Q215" s="836"/>
      <c r="R215" s="836"/>
      <c r="S215" s="836"/>
      <c r="T215" s="836"/>
      <c r="U215" s="846">
        <v>0</v>
      </c>
      <c r="V215" s="836"/>
      <c r="W215" s="836"/>
      <c r="X215" s="836"/>
      <c r="Y215" s="836"/>
      <c r="Z215" s="846">
        <v>0</v>
      </c>
      <c r="AA215" s="836"/>
      <c r="AB215" s="836"/>
      <c r="AC215" s="836"/>
      <c r="AD215" s="836"/>
      <c r="AE215" s="846">
        <v>0</v>
      </c>
      <c r="AF215" s="836"/>
      <c r="AG215" s="836"/>
      <c r="AH215" s="836"/>
      <c r="AI215" s="836"/>
      <c r="AJ215" s="846">
        <v>0</v>
      </c>
      <c r="AK215" s="836"/>
      <c r="AL215" s="836"/>
      <c r="AM215" s="836"/>
      <c r="AN215" s="836"/>
      <c r="AO215" s="846">
        <v>0</v>
      </c>
      <c r="AP215" s="836"/>
      <c r="AQ215" s="836"/>
      <c r="AR215" s="836"/>
      <c r="AS215" s="836"/>
      <c r="AT215" s="846">
        <v>0</v>
      </c>
      <c r="AU215" s="836"/>
      <c r="AV215" s="836"/>
      <c r="AW215" s="836"/>
      <c r="AX215" s="836"/>
      <c r="AY215" s="846">
        <v>0</v>
      </c>
      <c r="AZ215" s="836"/>
      <c r="BA215" s="836"/>
      <c r="BB215" s="836"/>
      <c r="BC215" s="836"/>
      <c r="BD215" s="846">
        <v>0</v>
      </c>
      <c r="BE215" s="836"/>
      <c r="BF215" s="836"/>
      <c r="BG215" s="836"/>
      <c r="BH215" s="836"/>
      <c r="BI215" s="846">
        <v>0</v>
      </c>
      <c r="BJ215" s="836"/>
      <c r="BK215" s="836"/>
      <c r="BL215" s="836"/>
      <c r="BM215" s="836"/>
      <c r="BN215" s="846">
        <v>0</v>
      </c>
      <c r="BO215" s="836"/>
      <c r="BP215" s="836"/>
      <c r="BQ215" s="836"/>
      <c r="BR215" s="836"/>
      <c r="BS215" s="846">
        <v>0</v>
      </c>
      <c r="BT215" s="836"/>
      <c r="BU215" s="836"/>
      <c r="BV215" s="836"/>
      <c r="BW215" s="836"/>
      <c r="BX215" s="846">
        <v>0</v>
      </c>
      <c r="BY215" s="836"/>
      <c r="BZ215" s="836"/>
      <c r="CA215" s="836"/>
      <c r="CB215" s="836"/>
      <c r="CC215" s="846">
        <v>0</v>
      </c>
      <c r="CD215" s="836">
        <v>0</v>
      </c>
      <c r="CE215" s="836">
        <v>0</v>
      </c>
      <c r="CF215" s="836">
        <v>0</v>
      </c>
      <c r="CG215" s="836">
        <v>0</v>
      </c>
      <c r="CH215" s="106">
        <v>0</v>
      </c>
      <c r="CI215" s="836">
        <v>0</v>
      </c>
      <c r="CJ215" s="836">
        <v>0</v>
      </c>
      <c r="CK215" s="836">
        <v>0</v>
      </c>
      <c r="CL215" s="836">
        <v>0</v>
      </c>
      <c r="CM215" s="106">
        <v>0</v>
      </c>
      <c r="CN215" s="836">
        <v>0</v>
      </c>
      <c r="CO215" s="836">
        <v>0</v>
      </c>
      <c r="CP215" s="836">
        <v>0</v>
      </c>
      <c r="CQ215" s="836">
        <v>0</v>
      </c>
      <c r="CR215" s="106">
        <v>0</v>
      </c>
      <c r="CS215" s="836">
        <v>0</v>
      </c>
      <c r="CT215" s="836">
        <v>0</v>
      </c>
      <c r="CU215" s="836">
        <v>0</v>
      </c>
      <c r="CV215" s="836">
        <v>0</v>
      </c>
      <c r="CW215" s="106">
        <v>0</v>
      </c>
      <c r="CX215" s="836">
        <v>0</v>
      </c>
      <c r="CY215" s="836">
        <v>0</v>
      </c>
      <c r="CZ215" s="836">
        <v>0</v>
      </c>
      <c r="DA215" s="836">
        <v>0</v>
      </c>
      <c r="DB215" s="106">
        <f>SUM(CX215:DA215)</f>
        <v>0</v>
      </c>
      <c r="DC215" s="836">
        <v>0</v>
      </c>
      <c r="DD215" s="836">
        <v>0</v>
      </c>
      <c r="DE215" s="836">
        <v>0</v>
      </c>
      <c r="DF215" s="836">
        <v>0</v>
      </c>
      <c r="DG215" s="106">
        <f>SUM(DC215:DF215)</f>
        <v>0</v>
      </c>
      <c r="DH215" s="836">
        <v>0</v>
      </c>
      <c r="DI215" s="836">
        <v>0</v>
      </c>
      <c r="DJ215" s="836">
        <v>0</v>
      </c>
      <c r="DK215" s="836">
        <v>0</v>
      </c>
      <c r="DL215" s="106">
        <f>SUM(DH215:DK215)</f>
        <v>0</v>
      </c>
      <c r="DM215" s="836">
        <v>0</v>
      </c>
      <c r="DN215" s="836">
        <v>0</v>
      </c>
      <c r="DO215" s="836">
        <v>0</v>
      </c>
      <c r="DP215" s="836">
        <v>0</v>
      </c>
      <c r="DQ215" s="106">
        <f>SUM(DM215:DP215)</f>
        <v>0</v>
      </c>
      <c r="DR215" s="836">
        <v>0</v>
      </c>
      <c r="DS215" s="836">
        <v>0</v>
      </c>
      <c r="DT215" s="836">
        <v>0</v>
      </c>
      <c r="DU215" s="836">
        <v>0</v>
      </c>
      <c r="DV215" s="106">
        <f>SUM(DR215:DU215)</f>
        <v>0</v>
      </c>
      <c r="DW215" s="836">
        <v>0</v>
      </c>
      <c r="DX215" s="836">
        <v>0</v>
      </c>
      <c r="DY215" s="836">
        <v>0</v>
      </c>
      <c r="DZ215" s="836">
        <v>0</v>
      </c>
      <c r="EA215" s="106">
        <v>0</v>
      </c>
      <c r="EB215" s="836">
        <v>0</v>
      </c>
      <c r="EC215" s="836">
        <v>0</v>
      </c>
      <c r="ED215" s="836">
        <v>0</v>
      </c>
      <c r="EE215" s="836">
        <v>0</v>
      </c>
      <c r="EF215" s="106">
        <f>SUM(EB215:EE215)</f>
        <v>0</v>
      </c>
      <c r="EG215" s="836">
        <v>0</v>
      </c>
      <c r="EH215" s="836">
        <v>0</v>
      </c>
      <c r="EI215" s="836">
        <v>0</v>
      </c>
      <c r="EJ215" s="836">
        <v>0</v>
      </c>
      <c r="EK215" s="106">
        <f>SUM(EG215:EJ215)</f>
        <v>0</v>
      </c>
      <c r="EL215" s="836">
        <v>0</v>
      </c>
      <c r="EM215" s="836">
        <v>0</v>
      </c>
      <c r="EN215" s="836">
        <v>0</v>
      </c>
      <c r="EO215" s="836">
        <v>0</v>
      </c>
      <c r="EP215" s="106">
        <f>SUM(EL215:EO215)</f>
        <v>0</v>
      </c>
      <c r="EQ215" s="36">
        <v>0</v>
      </c>
      <c r="ER215" s="36">
        <v>0</v>
      </c>
      <c r="ES215" s="36">
        <v>0</v>
      </c>
      <c r="ET215" s="36">
        <v>0</v>
      </c>
      <c r="EU215" s="106">
        <f>SUM(EQ215:ET215)</f>
        <v>0</v>
      </c>
      <c r="EV215" s="36"/>
      <c r="EW215" s="36"/>
      <c r="EX215" s="36"/>
      <c r="EY215" s="36"/>
      <c r="EZ215" s="106">
        <v>0</v>
      </c>
      <c r="FA215" s="36"/>
      <c r="FB215" s="36"/>
      <c r="FC215" s="36"/>
      <c r="FD215" s="36"/>
      <c r="FE215" s="106">
        <v>0</v>
      </c>
      <c r="FF215" s="184"/>
      <c r="FG215" s="188"/>
      <c r="FL215" s="400"/>
      <c r="FM215" s="400"/>
      <c r="FN215" s="816"/>
      <c r="FO215" s="381" t="s">
        <v>176</v>
      </c>
      <c r="FP215" s="381"/>
      <c r="FQ215" s="381"/>
      <c r="FR215" s="816"/>
      <c r="FS215" s="381"/>
      <c r="FT215" s="188"/>
    </row>
    <row r="216" spans="1:183" ht="12.75" customHeight="1" x14ac:dyDescent="0.2">
      <c r="A216" s="79" t="s">
        <v>235</v>
      </c>
      <c r="B216" s="37"/>
      <c r="C216" s="37"/>
      <c r="D216" s="37"/>
      <c r="E216" s="37"/>
      <c r="F216" s="279"/>
      <c r="G216" s="37"/>
      <c r="H216" s="37"/>
      <c r="I216" s="37"/>
      <c r="J216" s="37"/>
      <c r="K216" s="279"/>
      <c r="L216" s="37"/>
      <c r="M216" s="37"/>
      <c r="N216" s="37"/>
      <c r="O216" s="37"/>
      <c r="P216" s="106">
        <f>P217-P213-P212-P209</f>
        <v>87.906000000000034</v>
      </c>
      <c r="Q216" s="37"/>
      <c r="R216" s="37"/>
      <c r="S216" s="37"/>
      <c r="T216" s="37"/>
      <c r="U216" s="106">
        <f>U217-U213-U212-U209</f>
        <v>101.39699999999981</v>
      </c>
      <c r="V216" s="37"/>
      <c r="W216" s="37"/>
      <c r="X216" s="37"/>
      <c r="Y216" s="37"/>
      <c r="Z216" s="106">
        <f>Z217-Z213-Z212-Z209</f>
        <v>44.403000000000048</v>
      </c>
      <c r="AA216" s="37"/>
      <c r="AB216" s="37"/>
      <c r="AC216" s="37"/>
      <c r="AD216" s="37"/>
      <c r="AE216" s="106">
        <f>AE217-AE213-AE212-AE209</f>
        <v>-9.9299999999994668</v>
      </c>
      <c r="AF216" s="37"/>
      <c r="AG216" s="37"/>
      <c r="AH216" s="37"/>
      <c r="AI216" s="37"/>
      <c r="AJ216" s="106">
        <f>AJ217-AJ213-AJ212-AJ209</f>
        <v>157.16800000000009</v>
      </c>
      <c r="AK216" s="37"/>
      <c r="AL216" s="37"/>
      <c r="AM216" s="37"/>
      <c r="AN216" s="37"/>
      <c r="AO216" s="106">
        <f>AO217-AO213-AO212-AO209</f>
        <v>15.536999999999637</v>
      </c>
      <c r="AP216" s="37"/>
      <c r="AQ216" s="37"/>
      <c r="AR216" s="37"/>
      <c r="AS216" s="37"/>
      <c r="AT216" s="106">
        <f>AT217-AT213-AT212-AT209</f>
        <v>119.15700000000032</v>
      </c>
      <c r="AU216" s="37"/>
      <c r="AV216" s="37"/>
      <c r="AW216" s="37"/>
      <c r="AX216" s="37"/>
      <c r="AY216" s="106">
        <f>AY217-AY213-AY212-AY209</f>
        <v>163.41500000000008</v>
      </c>
      <c r="AZ216" s="37"/>
      <c r="BA216" s="37"/>
      <c r="BB216" s="37"/>
      <c r="BC216" s="37"/>
      <c r="BD216" s="106">
        <f>BD217-BD213-BD212-BD209</f>
        <v>238.33900000000028</v>
      </c>
      <c r="BE216" s="37"/>
      <c r="BF216" s="37"/>
      <c r="BG216" s="37"/>
      <c r="BH216" s="37"/>
      <c r="BI216" s="106">
        <f>BI217-BI213-BI212-BI209</f>
        <v>447.7080000000002</v>
      </c>
      <c r="BJ216" s="37"/>
      <c r="BK216" s="37"/>
      <c r="BL216" s="37"/>
      <c r="BM216" s="37"/>
      <c r="BN216" s="106">
        <f>BN217-BN213-BN212-BN209</f>
        <v>-245.71299999999999</v>
      </c>
      <c r="BO216" s="37"/>
      <c r="BP216" s="37"/>
      <c r="BQ216" s="37"/>
      <c r="BR216" s="37"/>
      <c r="BS216" s="106">
        <f>BS217-BS213-BS212-BS209</f>
        <v>326.89999999999998</v>
      </c>
      <c r="BT216" s="37"/>
      <c r="BU216" s="37"/>
      <c r="BV216" s="37"/>
      <c r="BW216" s="37"/>
      <c r="BX216" s="106">
        <f>BX217-BX213-BX212-BX209</f>
        <v>228.00580000000002</v>
      </c>
      <c r="BY216" s="37"/>
      <c r="BZ216" s="37"/>
      <c r="CA216" s="37"/>
      <c r="CB216" s="37"/>
      <c r="CC216" s="106">
        <f t="shared" ref="CC216:CR216" si="1018">CC217-CC213-CC212-CC209</f>
        <v>889</v>
      </c>
      <c r="CD216" s="37">
        <f t="shared" si="1018"/>
        <v>535.25</v>
      </c>
      <c r="CE216" s="37">
        <f t="shared" si="1018"/>
        <v>197.25</v>
      </c>
      <c r="CF216" s="37">
        <f t="shared" si="1018"/>
        <v>-518.75</v>
      </c>
      <c r="CG216" s="37">
        <f t="shared" si="1018"/>
        <v>-82.75</v>
      </c>
      <c r="CH216" s="106">
        <f t="shared" si="1018"/>
        <v>131</v>
      </c>
      <c r="CI216" s="37">
        <f t="shared" si="1018"/>
        <v>351</v>
      </c>
      <c r="CJ216" s="37">
        <f t="shared" si="1018"/>
        <v>443</v>
      </c>
      <c r="CK216" s="37">
        <f t="shared" si="1018"/>
        <v>-249</v>
      </c>
      <c r="CL216" s="37">
        <f t="shared" si="1018"/>
        <v>786</v>
      </c>
      <c r="CM216" s="106">
        <f t="shared" si="1018"/>
        <v>1331</v>
      </c>
      <c r="CN216" s="37">
        <f t="shared" si="1018"/>
        <v>793</v>
      </c>
      <c r="CO216" s="37">
        <f t="shared" si="1018"/>
        <v>1736</v>
      </c>
      <c r="CP216" s="37">
        <f t="shared" si="1018"/>
        <v>-2256</v>
      </c>
      <c r="CQ216" s="37">
        <f t="shared" si="1018"/>
        <v>-2615</v>
      </c>
      <c r="CR216" s="106">
        <f t="shared" si="1018"/>
        <v>-2342</v>
      </c>
      <c r="CS216" s="37">
        <f>CS217-CS213-CS212-CS209-CS215</f>
        <v>280.73600000000022</v>
      </c>
      <c r="CT216" s="37">
        <f>CT217-CT213-CT212-CT209-CT215</f>
        <v>-176.10500000000019</v>
      </c>
      <c r="CU216" s="37">
        <f>CU217-CU213-CU212-CU209-CU215</f>
        <v>-89.535999999999802</v>
      </c>
      <c r="CV216" s="37">
        <f>CV217-CV213-CV212-CV209</f>
        <v>116.40799999999976</v>
      </c>
      <c r="CW216" s="106">
        <f>SUM(CS216:CV216)</f>
        <v>131.50299999999999</v>
      </c>
      <c r="CX216" s="37">
        <f>CX217-CX213-CX212-CX209-CX215</f>
        <v>326.92200000000031</v>
      </c>
      <c r="CY216" s="37">
        <f>CY217-CY213-CY212-CY209-CY215</f>
        <v>197.66800000000003</v>
      </c>
      <c r="CZ216" s="37">
        <f>CZ217-CZ213-CZ212-CZ209-CZ215</f>
        <v>-60.222000000000008</v>
      </c>
      <c r="DA216" s="37">
        <f>DA217-DA213-DA212-DA209-DA215</f>
        <v>-59.867000000000004</v>
      </c>
      <c r="DB216" s="106">
        <f>SUM(CX216:DA216)</f>
        <v>404.50100000000037</v>
      </c>
      <c r="DC216" s="37">
        <f>DC217-DC213-DC212-DC209-DC215</f>
        <v>876.74099999999999</v>
      </c>
      <c r="DD216" s="37">
        <f>DD217-DD213-DD212-DD209-DD215</f>
        <v>-212</v>
      </c>
      <c r="DE216" s="37">
        <f>DE217-DE213-DE212-DE209-DE215</f>
        <v>-179</v>
      </c>
      <c r="DF216" s="37">
        <f>DF217-DF213-DF212-DF209-DF215</f>
        <v>-34</v>
      </c>
      <c r="DG216" s="106">
        <f>SUM(DC216:DF216)</f>
        <v>451.74099999999999</v>
      </c>
      <c r="DH216" s="37">
        <f>DH217-DH213-DH212-DH209-DH215</f>
        <v>912</v>
      </c>
      <c r="DI216" s="37">
        <f>DI217-DI213-DI212-DI209-DI215</f>
        <v>-309</v>
      </c>
      <c r="DJ216" s="37">
        <f>DJ217-DJ213-DJ212-DJ209-DJ215</f>
        <v>149</v>
      </c>
      <c r="DK216" s="37">
        <f>DK217-DK213-DK212-DK209-DK215</f>
        <v>-201</v>
      </c>
      <c r="DL216" s="106">
        <f>SUM(DH216:DK216)</f>
        <v>551</v>
      </c>
      <c r="DM216" s="37">
        <f>DM217-DM213-DM212-DM209-DM215</f>
        <v>712</v>
      </c>
      <c r="DN216" s="37">
        <f>DN217-DN213-DN212-DN209-DN215</f>
        <v>320</v>
      </c>
      <c r="DO216" s="37">
        <f>DO217-DO213-DO212-DO209-DO215</f>
        <v>-81</v>
      </c>
      <c r="DP216" s="37">
        <f>DP217-DP213-DP212-DP209-DP215</f>
        <v>-131</v>
      </c>
      <c r="DQ216" s="106">
        <f>SUM(DM216:DP216)</f>
        <v>820</v>
      </c>
      <c r="DR216" s="37">
        <f>DR217-DR213-DR212-DR209-DR215</f>
        <v>654</v>
      </c>
      <c r="DS216" s="37">
        <f>DS217-DS213-DS212-DS209-DS215</f>
        <v>364</v>
      </c>
      <c r="DT216" s="37">
        <f>DT217-DT213-DT212-DT209-DT215</f>
        <v>-719</v>
      </c>
      <c r="DU216" s="37">
        <f>DU217-DU213-DU212-DU209-DU215</f>
        <v>-478</v>
      </c>
      <c r="DV216" s="106">
        <f>SUM(DR216:DU216)</f>
        <v>-179</v>
      </c>
      <c r="DW216" s="37">
        <f>DW217-DW213-DW212-DW209-DW215</f>
        <v>736</v>
      </c>
      <c r="DX216" s="37">
        <f>DX217-DX213-DX212-DX209-DX215</f>
        <v>-337</v>
      </c>
      <c r="DY216" s="37">
        <f>DY217-DY213-DY212-DY209-DY215</f>
        <v>76</v>
      </c>
      <c r="DZ216" s="37">
        <f>DZ217-DZ213-DZ212-DZ209-DZ215</f>
        <v>-462</v>
      </c>
      <c r="EA216" s="106">
        <f>SUM(DW216:DZ216)</f>
        <v>13</v>
      </c>
      <c r="EB216" s="37">
        <f>EB217-EB213-EB212-EB209-EB215</f>
        <v>733</v>
      </c>
      <c r="EC216" s="37">
        <f>EC217-EC213-EC212-EC209-EC215</f>
        <v>2</v>
      </c>
      <c r="ED216" s="37">
        <f>ED217-ED213-ED212-ED209-ED215</f>
        <v>-356</v>
      </c>
      <c r="EE216" s="37">
        <f>EE217-EE213-EE212-EE209-EE215</f>
        <v>-132</v>
      </c>
      <c r="EF216" s="106">
        <f>SUM(EB216:EE216)</f>
        <v>247</v>
      </c>
      <c r="EG216" s="37">
        <f>EG217-EG213-EG212-EG209-EG215</f>
        <v>873</v>
      </c>
      <c r="EH216" s="37">
        <f>EH217-EH213-EH212-EH209-EH215</f>
        <v>-390</v>
      </c>
      <c r="EI216" s="37">
        <f>EI217-EI213-EI212-EI209-EI215</f>
        <v>97</v>
      </c>
      <c r="EJ216" s="37">
        <f>EJ217-EJ213-EJ212-EJ209-EJ215</f>
        <v>1249</v>
      </c>
      <c r="EK216" s="106">
        <f>SUM(EG216:EJ216)</f>
        <v>1829</v>
      </c>
      <c r="EL216" s="37">
        <f>EL217-EL213-EL212-EL209-EL215</f>
        <v>886</v>
      </c>
      <c r="EM216" s="37">
        <f>EM217-EM213-EM212-EM209-EM215</f>
        <v>-387</v>
      </c>
      <c r="EN216" s="37">
        <f>EN217-EN213-EN212-EN209-EN215</f>
        <v>71</v>
      </c>
      <c r="EO216" s="37">
        <f>EO217-EO213-EO212-EO209-EO215</f>
        <v>1250</v>
      </c>
      <c r="EP216" s="106">
        <f>SUM(EL216:EO216)</f>
        <v>1820</v>
      </c>
      <c r="EQ216" s="37">
        <f>(Model!EP262-Model!EQ262)+(Model!EQ277-Model!EP277)+(Model!EQ273-Model!EP273)-(Model!EQ257-Model!EP257)</f>
        <v>1733.1527915707338</v>
      </c>
      <c r="ER216" s="37">
        <f>(Model!EQ262-Model!ER262)+(Model!ER277-Model!EQ277)+(Model!ER273-Model!EQ273)-(Model!ER257-Model!EQ257)</f>
        <v>-384.40374128438759</v>
      </c>
      <c r="ES216" s="37">
        <f>(Model!ER262-Model!ES262)+(Model!ES277-Model!ER277)+(Model!ES273-Model!ER273)-(Model!ES257-Model!ER257)</f>
        <v>-147.66105526611364</v>
      </c>
      <c r="ET216" s="37">
        <f>(Model!ES262-Model!ET262)+(Model!ET277-Model!ES277)+(Model!ET273-Model!ES273)-(Model!ET257-Model!ES257)</f>
        <v>-968.79807079753584</v>
      </c>
      <c r="EU216" s="106">
        <f>SUM(EQ216:ET216)</f>
        <v>232.28992422269664</v>
      </c>
      <c r="EV216" s="37"/>
      <c r="EW216" s="37"/>
      <c r="EX216" s="37"/>
      <c r="EY216" s="37"/>
      <c r="EZ216" s="106">
        <f>(Model!EU262-Model!EZ262)+(Model!EZ277-Model!EU277)+(Model!EZ273-Model!EU273)-(Model!EZ257-Model!EU257)</f>
        <v>298.25736724199646</v>
      </c>
      <c r="FA216" s="37"/>
      <c r="FB216" s="37"/>
      <c r="FC216" s="37"/>
      <c r="FD216" s="37"/>
      <c r="FE216" s="106">
        <f>(Model!EZ262-Model!FE262)+(Model!FE277-Model!EZ277)+(Model!FE273-Model!EZ273)-(Model!FE257-Model!EZ257)</f>
        <v>324.84694850734127</v>
      </c>
      <c r="FF216" s="184"/>
      <c r="FG216" s="188"/>
      <c r="FL216" s="400"/>
      <c r="FM216" s="400"/>
      <c r="FN216" s="400"/>
      <c r="FO216" s="400"/>
      <c r="FP216" s="400"/>
      <c r="FQ216" s="400"/>
      <c r="FR216" s="400"/>
      <c r="FS216" s="381"/>
      <c r="FT216" s="188"/>
    </row>
    <row r="217" spans="1:183" ht="12.75" customHeight="1" x14ac:dyDescent="0.2">
      <c r="A217" s="72" t="s">
        <v>238</v>
      </c>
      <c r="B217" s="837"/>
      <c r="C217" s="837"/>
      <c r="D217" s="837"/>
      <c r="E217" s="837"/>
      <c r="F217" s="276"/>
      <c r="G217" s="837"/>
      <c r="H217" s="837"/>
      <c r="I217" s="837"/>
      <c r="J217" s="837"/>
      <c r="K217" s="276"/>
      <c r="L217" s="837"/>
      <c r="M217" s="837"/>
      <c r="N217" s="837"/>
      <c r="O217" s="837"/>
      <c r="P217" s="847">
        <v>282.09899999999999</v>
      </c>
      <c r="Q217" s="837"/>
      <c r="R217" s="837"/>
      <c r="S217" s="837"/>
      <c r="T217" s="837"/>
      <c r="U217" s="847">
        <v>392.67899999999997</v>
      </c>
      <c r="V217" s="837"/>
      <c r="W217" s="837"/>
      <c r="X217" s="837"/>
      <c r="Y217" s="837"/>
      <c r="Z217" s="847">
        <v>412.666</v>
      </c>
      <c r="AA217" s="837"/>
      <c r="AB217" s="837"/>
      <c r="AC217" s="837"/>
      <c r="AD217" s="837"/>
      <c r="AE217" s="847">
        <v>456.44200000000001</v>
      </c>
      <c r="AF217" s="837"/>
      <c r="AG217" s="837"/>
      <c r="AH217" s="837"/>
      <c r="AI217" s="837"/>
      <c r="AJ217" s="847">
        <v>615.22799999999995</v>
      </c>
      <c r="AK217" s="837"/>
      <c r="AL217" s="837"/>
      <c r="AM217" s="837"/>
      <c r="AN217" s="837"/>
      <c r="AO217" s="847">
        <v>610.58799999999997</v>
      </c>
      <c r="AP217" s="837"/>
      <c r="AQ217" s="837"/>
      <c r="AR217" s="837"/>
      <c r="AS217" s="837"/>
      <c r="AT217" s="847">
        <v>886.13499999999999</v>
      </c>
      <c r="AU217" s="837"/>
      <c r="AV217" s="837"/>
      <c r="AW217" s="837"/>
      <c r="AX217" s="837"/>
      <c r="AY217" s="847">
        <v>1029.393</v>
      </c>
      <c r="AZ217" s="837"/>
      <c r="BA217" s="837"/>
      <c r="BB217" s="837"/>
      <c r="BC217" s="837"/>
      <c r="BD217" s="847">
        <v>1298.2860000000001</v>
      </c>
      <c r="BE217" s="837"/>
      <c r="BF217" s="837"/>
      <c r="BG217" s="837"/>
      <c r="BH217" s="837"/>
      <c r="BI217" s="847">
        <v>1484.6079999999999</v>
      </c>
      <c r="BJ217" s="837"/>
      <c r="BK217" s="837"/>
      <c r="BL217" s="837"/>
      <c r="BM217" s="837"/>
      <c r="BN217" s="847">
        <v>520.20899999999995</v>
      </c>
      <c r="BO217" s="837"/>
      <c r="BP217" s="837"/>
      <c r="BQ217" s="837"/>
      <c r="BR217" s="837"/>
      <c r="BS217" s="847">
        <v>1336</v>
      </c>
      <c r="BT217" s="837"/>
      <c r="BU217" s="837"/>
      <c r="BV217" s="837"/>
      <c r="BW217" s="837"/>
      <c r="BX217" s="847">
        <v>1157</v>
      </c>
      <c r="BY217" s="837"/>
      <c r="BZ217" s="837"/>
      <c r="CA217" s="837"/>
      <c r="CB217" s="837"/>
      <c r="CC217" s="847">
        <v>2118</v>
      </c>
      <c r="CD217" s="837">
        <v>751</v>
      </c>
      <c r="CE217" s="837">
        <v>832</v>
      </c>
      <c r="CF217" s="837">
        <v>-320</v>
      </c>
      <c r="CG217" s="837">
        <v>143</v>
      </c>
      <c r="CH217" s="107">
        <v>1406</v>
      </c>
      <c r="CI217" s="837">
        <v>617</v>
      </c>
      <c r="CJ217" s="837">
        <v>980</v>
      </c>
      <c r="CK217" s="837">
        <v>154</v>
      </c>
      <c r="CL217" s="837">
        <v>1094</v>
      </c>
      <c r="CM217" s="107">
        <v>2845</v>
      </c>
      <c r="CN217" s="837">
        <v>964</v>
      </c>
      <c r="CO217" s="837">
        <v>2336</v>
      </c>
      <c r="CP217" s="837">
        <v>-2276</v>
      </c>
      <c r="CQ217" s="837">
        <v>-2545</v>
      </c>
      <c r="CR217" s="107">
        <v>-1521</v>
      </c>
      <c r="CS217" s="837">
        <v>358.97</v>
      </c>
      <c r="CT217" s="837">
        <v>172.017</v>
      </c>
      <c r="CU217" s="837">
        <v>84.323000000000008</v>
      </c>
      <c r="CV217" s="837">
        <v>487.923</v>
      </c>
      <c r="CW217" s="107">
        <f>CW209+CW212+CW213+CW216+CW215</f>
        <v>1103.2330000000002</v>
      </c>
      <c r="CX217" s="837">
        <v>506.952</v>
      </c>
      <c r="CY217" s="837">
        <v>561.14400000000001</v>
      </c>
      <c r="CZ217" s="837">
        <v>397.04599999999999</v>
      </c>
      <c r="DA217" s="837">
        <v>262.61799999999999</v>
      </c>
      <c r="DB217" s="107">
        <f>DB209+DB212+DB213+DB216+DB215</f>
        <v>1727.76</v>
      </c>
      <c r="DC217" s="837">
        <v>1064.3679999999999</v>
      </c>
      <c r="DD217" s="837">
        <v>237</v>
      </c>
      <c r="DE217" s="837">
        <v>-218</v>
      </c>
      <c r="DF217" s="837">
        <v>400</v>
      </c>
      <c r="DG217" s="107">
        <f>DG209+DG212+DG213+DG216+DG215</f>
        <v>1483.3679999999999</v>
      </c>
      <c r="DH217" s="837">
        <v>1225</v>
      </c>
      <c r="DI217" s="837">
        <v>145</v>
      </c>
      <c r="DJ217" s="837">
        <v>464</v>
      </c>
      <c r="DK217" s="837">
        <v>232</v>
      </c>
      <c r="DL217" s="107">
        <f>DL209+DL212+DL213+DL216+DL215</f>
        <v>2066</v>
      </c>
      <c r="DM217" s="837">
        <v>983</v>
      </c>
      <c r="DN217" s="837">
        <v>778</v>
      </c>
      <c r="DO217" s="837">
        <v>428</v>
      </c>
      <c r="DP217" s="837">
        <v>302</v>
      </c>
      <c r="DQ217" s="107">
        <f>DQ209+DQ212+DQ213+DQ216+DQ215</f>
        <v>2491</v>
      </c>
      <c r="DR217" s="837">
        <v>1119</v>
      </c>
      <c r="DS217" s="837">
        <v>1338</v>
      </c>
      <c r="DT217" s="837">
        <v>240</v>
      </c>
      <c r="DU217" s="837">
        <v>205</v>
      </c>
      <c r="DV217" s="107">
        <f t="shared" ref="DV217:EA217" si="1019">DV209+DV212+DV213+DV216+DV215</f>
        <v>2902</v>
      </c>
      <c r="DW217" s="837">
        <v>1452</v>
      </c>
      <c r="DX217" s="837">
        <v>627</v>
      </c>
      <c r="DY217" s="837">
        <f>836</f>
        <v>836</v>
      </c>
      <c r="DZ217" s="837">
        <f>3238-DY217-DX217-DW217</f>
        <v>323</v>
      </c>
      <c r="EA217" s="107">
        <f t="shared" si="1019"/>
        <v>3238</v>
      </c>
      <c r="EB217" s="837">
        <v>1616</v>
      </c>
      <c r="EC217" s="837">
        <v>1112</v>
      </c>
      <c r="ED217" s="837">
        <v>856</v>
      </c>
      <c r="EE217" s="837">
        <f>4293-SUM(EB217:ED217)</f>
        <v>709</v>
      </c>
      <c r="EF217" s="107">
        <f>EF209+EF212+EF213+EF216+EF215</f>
        <v>4293</v>
      </c>
      <c r="EG217" s="837">
        <v>1625</v>
      </c>
      <c r="EH217" s="837">
        <v>746</v>
      </c>
      <c r="EI217" s="837">
        <v>996</v>
      </c>
      <c r="EJ217" s="837">
        <v>562</v>
      </c>
      <c r="EK217" s="107">
        <f>EK209+EK212+EK213+EK216+EK215</f>
        <v>3929</v>
      </c>
      <c r="EL217" s="837">
        <v>1625</v>
      </c>
      <c r="EM217" s="837">
        <v>746</v>
      </c>
      <c r="EN217" s="837">
        <v>996</v>
      </c>
      <c r="EO217" s="837">
        <v>562</v>
      </c>
      <c r="EP217" s="107">
        <f>EP209+EP212+EP213+EP216+EP215</f>
        <v>3929</v>
      </c>
      <c r="EQ217" s="84">
        <f t="shared" ref="EQ217" si="1020">EQ209+EQ212+EQ213+EQ216+EQ215</f>
        <v>2518.5116616048281</v>
      </c>
      <c r="ER217" s="84">
        <f t="shared" ref="ER217:ET217" si="1021">ER209+ER212+ER213+ER216+ER215</f>
        <v>931.63536267793427</v>
      </c>
      <c r="ES217" s="84">
        <f t="shared" si="1021"/>
        <v>1011.6047622393073</v>
      </c>
      <c r="ET217" s="84">
        <f t="shared" si="1021"/>
        <v>144.13995797300993</v>
      </c>
      <c r="EU217" s="107">
        <f>EU209+EU212+EU213+EU216+EU215</f>
        <v>4605.8917444950794</v>
      </c>
      <c r="EV217" s="84"/>
      <c r="EW217" s="84"/>
      <c r="EX217" s="84"/>
      <c r="EY217" s="84"/>
      <c r="EZ217" s="107">
        <f>EZ209+EZ212+EZ213+EZ216+EZ215</f>
        <v>5159.5269627595499</v>
      </c>
      <c r="FA217" s="84"/>
      <c r="FB217" s="84"/>
      <c r="FC217" s="84"/>
      <c r="FD217" s="84"/>
      <c r="FE217" s="107">
        <f>FE209+FE212+FE213+FE216+FE215</f>
        <v>5685.498696835024</v>
      </c>
      <c r="FF217" s="184"/>
      <c r="FG217" s="188"/>
      <c r="FL217" s="400"/>
      <c r="FM217" s="400"/>
      <c r="FN217" s="400"/>
      <c r="FO217" s="400"/>
      <c r="FP217" s="400"/>
      <c r="FQ217" s="400"/>
      <c r="FR217" s="400"/>
      <c r="FS217" s="381"/>
      <c r="FT217" s="188"/>
    </row>
    <row r="218" spans="1:183" s="7" customFormat="1" ht="12.75" customHeight="1" x14ac:dyDescent="0.2">
      <c r="A218" s="7" t="s">
        <v>125</v>
      </c>
      <c r="F218" s="99"/>
      <c r="K218" s="99"/>
      <c r="P218" s="99"/>
      <c r="U218" s="99"/>
      <c r="Z218" s="99"/>
      <c r="AE218" s="99"/>
      <c r="AJ218" s="99"/>
      <c r="AO218" s="99"/>
      <c r="AT218" s="99"/>
      <c r="AY218" s="99"/>
      <c r="BD218" s="99"/>
      <c r="BI218" s="99"/>
      <c r="BN218" s="99"/>
      <c r="BS218" s="99"/>
      <c r="BX218" s="99"/>
      <c r="CC218" s="99"/>
      <c r="CH218" s="99"/>
      <c r="CM218" s="99"/>
      <c r="CR218" s="99"/>
      <c r="CW218" s="99"/>
      <c r="DB218" s="99"/>
      <c r="DG218" s="505"/>
      <c r="DL218" s="505"/>
      <c r="DQ218" s="99"/>
      <c r="DV218" s="99"/>
      <c r="EA218" s="99"/>
      <c r="EF218" s="99"/>
      <c r="EK218" s="99"/>
      <c r="EP218" s="99"/>
      <c r="EU218" s="99"/>
      <c r="EZ218" s="99"/>
      <c r="FE218" s="99"/>
      <c r="FF218" s="336"/>
      <c r="FG218" s="6"/>
      <c r="FH218" s="346"/>
      <c r="FI218" s="336"/>
      <c r="FJ218" s="336"/>
      <c r="FK218" s="336"/>
      <c r="FL218" s="400"/>
      <c r="FM218" s="400"/>
      <c r="FN218" s="400"/>
      <c r="FO218" s="400"/>
      <c r="FP218" s="400"/>
      <c r="FQ218" s="400"/>
      <c r="FR218" s="400"/>
      <c r="FS218" s="381"/>
      <c r="FT218" s="6"/>
      <c r="FU218"/>
      <c r="FV218"/>
      <c r="FW218"/>
      <c r="FX218"/>
      <c r="FY218"/>
      <c r="FZ218"/>
      <c r="GA218" s="341"/>
    </row>
    <row r="219" spans="1:183" ht="12.75" customHeight="1" x14ac:dyDescent="0.2">
      <c r="A219" s="80" t="s">
        <v>236</v>
      </c>
      <c r="B219" s="828"/>
      <c r="C219" s="828"/>
      <c r="D219" s="828"/>
      <c r="E219" s="828"/>
      <c r="F219" s="279"/>
      <c r="G219" s="828"/>
      <c r="H219" s="828"/>
      <c r="I219" s="828"/>
      <c r="J219" s="828"/>
      <c r="K219" s="279"/>
      <c r="L219" s="828"/>
      <c r="M219" s="828"/>
      <c r="N219" s="828"/>
      <c r="O219" s="828"/>
      <c r="P219" s="846">
        <v>-432.52800000000002</v>
      </c>
      <c r="Q219" s="828"/>
      <c r="R219" s="828"/>
      <c r="S219" s="828"/>
      <c r="T219" s="828"/>
      <c r="U219" s="846">
        <v>-524.16899999999998</v>
      </c>
      <c r="V219" s="828"/>
      <c r="W219" s="828"/>
      <c r="X219" s="828"/>
      <c r="Y219" s="828"/>
      <c r="Z219" s="846">
        <v>-788.649</v>
      </c>
      <c r="AA219" s="828"/>
      <c r="AB219" s="828"/>
      <c r="AC219" s="828"/>
      <c r="AD219" s="828"/>
      <c r="AE219" s="846">
        <v>-728.64300000000003</v>
      </c>
      <c r="AF219" s="828"/>
      <c r="AG219" s="828"/>
      <c r="AH219" s="828"/>
      <c r="AI219" s="828"/>
      <c r="AJ219" s="846">
        <v>-677.43100000000004</v>
      </c>
      <c r="AK219" s="828"/>
      <c r="AL219" s="828"/>
      <c r="AM219" s="828"/>
      <c r="AN219" s="828"/>
      <c r="AO219" s="846">
        <v>-688.92700000000002</v>
      </c>
      <c r="AP219" s="828"/>
      <c r="AQ219" s="828"/>
      <c r="AR219" s="828"/>
      <c r="AS219" s="828"/>
      <c r="AT219" s="846">
        <v>-947.096</v>
      </c>
      <c r="AU219" s="828"/>
      <c r="AV219" s="828"/>
      <c r="AW219" s="828"/>
      <c r="AX219" s="828"/>
      <c r="AY219" s="846">
        <v>-1167.8340000000001</v>
      </c>
      <c r="AZ219" s="828"/>
      <c r="BA219" s="828"/>
      <c r="BB219" s="828"/>
      <c r="BC219" s="828"/>
      <c r="BD219" s="846">
        <v>-1134.644</v>
      </c>
      <c r="BE219" s="828"/>
      <c r="BF219" s="828"/>
      <c r="BG219" s="828"/>
      <c r="BH219" s="828"/>
      <c r="BI219" s="846">
        <v>-997.84299999999996</v>
      </c>
      <c r="BJ219" s="828"/>
      <c r="BK219" s="828"/>
      <c r="BL219" s="828"/>
      <c r="BM219" s="828"/>
      <c r="BN219" s="846">
        <v>-603.05999999999995</v>
      </c>
      <c r="BO219" s="828"/>
      <c r="BP219" s="828"/>
      <c r="BQ219" s="828"/>
      <c r="BR219" s="828"/>
      <c r="BS219" s="846">
        <v>-1238</v>
      </c>
      <c r="BT219" s="828"/>
      <c r="BU219" s="828"/>
      <c r="BV219" s="828"/>
      <c r="BW219" s="828"/>
      <c r="BX219" s="846">
        <v>-1775</v>
      </c>
      <c r="BY219" s="828"/>
      <c r="BZ219" s="828"/>
      <c r="CA219" s="828"/>
      <c r="CB219" s="828"/>
      <c r="CC219" s="846">
        <v>-1210</v>
      </c>
      <c r="CD219" s="828">
        <v>-262</v>
      </c>
      <c r="CE219" s="828">
        <v>-403</v>
      </c>
      <c r="CF219" s="828">
        <v>-381</v>
      </c>
      <c r="CG219" s="828">
        <v>-353</v>
      </c>
      <c r="CH219" s="106">
        <v>-1399</v>
      </c>
      <c r="CI219" s="828">
        <v>-325</v>
      </c>
      <c r="CJ219" s="828">
        <v>-338</v>
      </c>
      <c r="CK219" s="828">
        <v>-318</v>
      </c>
      <c r="CL219" s="828">
        <v>-350</v>
      </c>
      <c r="CM219" s="106">
        <v>-1331</v>
      </c>
      <c r="CN219" s="828">
        <v>-364</v>
      </c>
      <c r="CO219" s="828">
        <v>-223</v>
      </c>
      <c r="CP219" s="828">
        <v>-178</v>
      </c>
      <c r="CQ219" s="828">
        <v>-158</v>
      </c>
      <c r="CR219" s="106">
        <f>SUM(CN219:CQ219)</f>
        <v>-923</v>
      </c>
      <c r="CS219" s="828">
        <v>-91.736999999999995</v>
      </c>
      <c r="CT219" s="828">
        <v>-191.47800000000001</v>
      </c>
      <c r="CU219" s="828">
        <v>-272.78500000000003</v>
      </c>
      <c r="CV219" s="828">
        <v>-119.877</v>
      </c>
      <c r="CW219" s="106">
        <f>SUM(CS219:CV219)</f>
        <v>-675.87699999999995</v>
      </c>
      <c r="CX219" s="828">
        <v>-144.01</v>
      </c>
      <c r="CY219" s="828">
        <v>-163.37</v>
      </c>
      <c r="CZ219" s="828">
        <v>-121.116</v>
      </c>
      <c r="DA219" s="828">
        <v>-89.436999999999998</v>
      </c>
      <c r="DB219" s="106">
        <f>SUM(CX219:DA219)</f>
        <v>-517.93299999999999</v>
      </c>
      <c r="DC219" s="828">
        <v>-57.000000000000234</v>
      </c>
      <c r="DD219" s="828">
        <f>-215</f>
        <v>-215</v>
      </c>
      <c r="DE219" s="828">
        <v>-276</v>
      </c>
      <c r="DF219" s="828">
        <v>-420</v>
      </c>
      <c r="DG219" s="106">
        <f>SUM(DC219:DF219)</f>
        <v>-968.00000000000023</v>
      </c>
      <c r="DH219" s="828">
        <v>-127</v>
      </c>
      <c r="DI219" s="828">
        <v>-416</v>
      </c>
      <c r="DJ219" s="828">
        <v>-406</v>
      </c>
      <c r="DK219" s="828">
        <v>-399</v>
      </c>
      <c r="DL219" s="106">
        <f>SUM(DH219:DK219)</f>
        <v>-1348</v>
      </c>
      <c r="DM219" s="828">
        <v>-534</v>
      </c>
      <c r="DN219" s="828">
        <v>-193</v>
      </c>
      <c r="DO219" s="828">
        <v>-268</v>
      </c>
      <c r="DP219" s="828">
        <v>-451</v>
      </c>
      <c r="DQ219" s="106">
        <f>SUM(DM219:DP219)</f>
        <v>-1446</v>
      </c>
      <c r="DR219" s="828">
        <v>-407</v>
      </c>
      <c r="DS219" s="828">
        <v>-500</v>
      </c>
      <c r="DT219" s="828">
        <v>-433</v>
      </c>
      <c r="DU219" s="828">
        <v>-488</v>
      </c>
      <c r="DV219" s="106">
        <f>SUM(DR219:DU219)</f>
        <v>-1828</v>
      </c>
      <c r="DW219" s="828">
        <v>-573</v>
      </c>
      <c r="DX219" s="828">
        <v>-428</v>
      </c>
      <c r="DY219" s="828">
        <f>-230-32</f>
        <v>-262</v>
      </c>
      <c r="DZ219" s="828">
        <f>-2041-102-DY219-DX219-DW219</f>
        <v>-880</v>
      </c>
      <c r="EA219" s="723">
        <f>+SUM(DW219:DZ219)</f>
        <v>-2143</v>
      </c>
      <c r="EB219" s="828">
        <v>-438</v>
      </c>
      <c r="EC219" s="828">
        <v>-462</v>
      </c>
      <c r="ED219" s="828">
        <v>-464</v>
      </c>
      <c r="EE219" s="828">
        <f>-2038-SUM(EB219:ED219)</f>
        <v>-674</v>
      </c>
      <c r="EF219" s="723">
        <f>+SUM(EB219:EE219)</f>
        <v>-2038</v>
      </c>
      <c r="EG219" s="828">
        <f>-414</f>
        <v>-414</v>
      </c>
      <c r="EH219" s="828">
        <v>-551</v>
      </c>
      <c r="EI219" s="828">
        <v>-638</v>
      </c>
      <c r="EJ219" s="828">
        <v>-520</v>
      </c>
      <c r="EK219" s="723">
        <f>+SUM(EG219:EJ219)</f>
        <v>-2123</v>
      </c>
      <c r="EL219" s="828">
        <f>-414</f>
        <v>-414</v>
      </c>
      <c r="EM219" s="828">
        <v>-551</v>
      </c>
      <c r="EN219" s="828">
        <v>-638</v>
      </c>
      <c r="EO219" s="828">
        <v>-520</v>
      </c>
      <c r="EP219" s="723">
        <f>+SUM(EL219:EO219)</f>
        <v>-2123</v>
      </c>
      <c r="EQ219" s="37">
        <f>+$EU$219/4</f>
        <v>-475</v>
      </c>
      <c r="ER219" s="37">
        <f>+$EU$219/4</f>
        <v>-475</v>
      </c>
      <c r="ES219" s="37">
        <f>+$EU$219/4</f>
        <v>-475</v>
      </c>
      <c r="ET219" s="37">
        <f>+EU219-EQ219-ER219-ES219</f>
        <v>-475</v>
      </c>
      <c r="EU219" s="717">
        <v>-1900</v>
      </c>
      <c r="EV219" s="593"/>
      <c r="EW219" s="593"/>
      <c r="EX219" s="593"/>
      <c r="EY219" s="593"/>
      <c r="EZ219" s="717">
        <v>-1900</v>
      </c>
      <c r="FA219" s="593"/>
      <c r="FB219" s="593"/>
      <c r="FC219" s="593"/>
      <c r="FD219" s="593"/>
      <c r="FE219" s="717">
        <v>-1900</v>
      </c>
      <c r="FF219" s="184"/>
      <c r="FG219" s="188"/>
      <c r="FL219" s="416"/>
      <c r="FM219" s="400"/>
      <c r="FN219" s="381"/>
      <c r="FO219" s="381"/>
      <c r="FP219" s="381"/>
      <c r="FQ219" s="381"/>
      <c r="FR219" s="381"/>
      <c r="FS219" s="381"/>
      <c r="FT219" s="188"/>
    </row>
    <row r="220" spans="1:183" ht="12.75" customHeight="1" x14ac:dyDescent="0.2">
      <c r="A220" s="81" t="s">
        <v>237</v>
      </c>
      <c r="B220" s="33"/>
      <c r="C220" s="33"/>
      <c r="D220" s="33"/>
      <c r="E220" s="33"/>
      <c r="F220" s="279"/>
      <c r="G220" s="33"/>
      <c r="H220" s="33"/>
      <c r="I220" s="33"/>
      <c r="J220" s="33"/>
      <c r="K220" s="279"/>
      <c r="L220" s="33"/>
      <c r="M220" s="33"/>
      <c r="N220" s="33"/>
      <c r="O220" s="33"/>
      <c r="P220" s="103"/>
      <c r="Q220" s="33"/>
      <c r="R220" s="33"/>
      <c r="S220" s="33"/>
      <c r="T220" s="33"/>
      <c r="U220" s="103"/>
      <c r="V220" s="33"/>
      <c r="W220" s="33"/>
      <c r="X220" s="33"/>
      <c r="Y220" s="33"/>
      <c r="Z220" s="103"/>
      <c r="AA220" s="33"/>
      <c r="AB220" s="33"/>
      <c r="AC220" s="33"/>
      <c r="AD220" s="33"/>
      <c r="AE220" s="103"/>
      <c r="AF220" s="33"/>
      <c r="AG220" s="33"/>
      <c r="AH220" s="33"/>
      <c r="AI220" s="33"/>
      <c r="AJ220" s="103"/>
      <c r="AK220" s="33"/>
      <c r="AL220" s="33"/>
      <c r="AM220" s="33"/>
      <c r="AN220" s="33"/>
      <c r="AO220" s="103"/>
      <c r="AP220" s="33"/>
      <c r="AQ220" s="33"/>
      <c r="AR220" s="33"/>
      <c r="AS220" s="33"/>
      <c r="AT220" s="103"/>
      <c r="AU220" s="33"/>
      <c r="AV220" s="33"/>
      <c r="AW220" s="33"/>
      <c r="AX220" s="33"/>
      <c r="AY220" s="103"/>
      <c r="AZ220" s="33"/>
      <c r="BA220" s="33"/>
      <c r="BB220" s="33"/>
      <c r="BC220" s="33"/>
      <c r="BD220" s="103"/>
      <c r="BE220" s="33"/>
      <c r="BF220" s="33"/>
      <c r="BG220" s="33"/>
      <c r="BH220" s="33"/>
      <c r="BI220" s="103"/>
      <c r="BJ220" s="33"/>
      <c r="BK220" s="33"/>
      <c r="BL220" s="33"/>
      <c r="BM220" s="33"/>
      <c r="BN220" s="103"/>
      <c r="BO220" s="33"/>
      <c r="BP220" s="33"/>
      <c r="BQ220" s="33"/>
      <c r="BR220" s="33"/>
      <c r="BS220" s="103"/>
      <c r="BT220" s="33"/>
      <c r="BU220" s="33"/>
      <c r="BV220" s="33"/>
      <c r="BW220" s="33"/>
      <c r="BX220" s="103"/>
      <c r="BY220" s="33"/>
      <c r="BZ220" s="33"/>
      <c r="CA220" s="33"/>
      <c r="CB220" s="33"/>
      <c r="CC220" s="103"/>
      <c r="CD220" s="33"/>
      <c r="CE220" s="33"/>
      <c r="CF220" s="33"/>
      <c r="CG220" s="33"/>
      <c r="CH220" s="103"/>
      <c r="CI220" s="33"/>
      <c r="CJ220" s="33"/>
      <c r="CK220" s="33"/>
      <c r="CL220" s="33"/>
      <c r="CM220" s="103"/>
      <c r="CN220" s="33"/>
      <c r="CO220" s="33"/>
      <c r="CP220" s="33"/>
      <c r="CQ220" s="33"/>
      <c r="CR220" s="103"/>
      <c r="CS220" s="33"/>
      <c r="CT220" s="33"/>
      <c r="CU220" s="33"/>
      <c r="CV220" s="33"/>
      <c r="CW220" s="103"/>
      <c r="CX220" s="33"/>
      <c r="CY220" s="33"/>
      <c r="CZ220" s="33"/>
      <c r="DA220" s="33"/>
      <c r="DB220" s="103"/>
      <c r="DC220" s="33"/>
      <c r="DD220" s="33"/>
      <c r="DE220" s="33"/>
      <c r="DF220" s="33"/>
      <c r="DG220" s="103"/>
      <c r="DH220" s="33"/>
      <c r="DI220" s="33"/>
      <c r="DJ220" s="33"/>
      <c r="DK220" s="33"/>
      <c r="DL220" s="103"/>
      <c r="DM220" s="33"/>
      <c r="DN220" s="33"/>
      <c r="DO220" s="33"/>
      <c r="DP220" s="33"/>
      <c r="DQ220" s="103"/>
      <c r="DR220" s="33"/>
      <c r="DS220" s="33"/>
      <c r="DT220" s="33"/>
      <c r="DU220" s="33"/>
      <c r="DV220" s="118"/>
      <c r="DW220" s="33"/>
      <c r="DX220" s="33"/>
      <c r="DY220" s="33"/>
      <c r="DZ220" s="33"/>
      <c r="EA220" s="118"/>
      <c r="EB220" s="33"/>
      <c r="EC220" s="33"/>
      <c r="ED220" s="33"/>
      <c r="EE220" s="33"/>
      <c r="EF220" s="118"/>
      <c r="EG220" s="33"/>
      <c r="EH220" s="33"/>
      <c r="EI220" s="33"/>
      <c r="EJ220" s="33"/>
      <c r="EK220" s="118"/>
      <c r="EL220" s="33"/>
      <c r="EM220" s="33"/>
      <c r="EN220" s="33"/>
      <c r="EO220" s="33"/>
      <c r="EP220" s="118"/>
      <c r="EQ220" s="33"/>
      <c r="ER220" s="33"/>
      <c r="ES220" s="33"/>
      <c r="ET220" s="33"/>
      <c r="EU220" s="118">
        <v>0</v>
      </c>
      <c r="EV220" s="33"/>
      <c r="EW220" s="33"/>
      <c r="EX220" s="33"/>
      <c r="EY220" s="33"/>
      <c r="EZ220" s="118">
        <v>0</v>
      </c>
      <c r="FA220" s="33"/>
      <c r="FB220" s="33"/>
      <c r="FC220" s="33"/>
      <c r="FD220" s="33"/>
      <c r="FE220" s="118">
        <v>0</v>
      </c>
      <c r="FF220" s="184"/>
      <c r="FG220" s="188"/>
      <c r="FT220" s="188"/>
    </row>
    <row r="221" spans="1:183" ht="12.75" customHeight="1" x14ac:dyDescent="0.2">
      <c r="A221" s="48" t="s">
        <v>245</v>
      </c>
      <c r="B221" s="169"/>
      <c r="C221" s="169"/>
      <c r="D221" s="169"/>
      <c r="E221" s="169"/>
      <c r="F221" s="279"/>
      <c r="G221" s="169"/>
      <c r="H221" s="169"/>
      <c r="I221" s="169"/>
      <c r="J221" s="169"/>
      <c r="K221" s="279"/>
      <c r="L221" s="169"/>
      <c r="M221" s="169"/>
      <c r="N221" s="169"/>
      <c r="O221" s="169"/>
      <c r="P221" s="258"/>
      <c r="Q221" s="169"/>
      <c r="R221" s="169"/>
      <c r="S221" s="169"/>
      <c r="T221" s="169"/>
      <c r="U221" s="258"/>
      <c r="V221" s="169"/>
      <c r="W221" s="169"/>
      <c r="X221" s="169"/>
      <c r="Y221" s="169"/>
      <c r="Z221" s="258"/>
      <c r="AA221" s="169"/>
      <c r="AB221" s="169"/>
      <c r="AC221" s="169"/>
      <c r="AD221" s="169"/>
      <c r="AE221" s="258"/>
      <c r="AF221" s="169"/>
      <c r="AG221" s="169"/>
      <c r="AH221" s="169"/>
      <c r="AI221" s="169"/>
      <c r="AJ221" s="258"/>
      <c r="AK221" s="169"/>
      <c r="AL221" s="169"/>
      <c r="AM221" s="169"/>
      <c r="AN221" s="169"/>
      <c r="AO221" s="258"/>
      <c r="AP221" s="169"/>
      <c r="AQ221" s="169"/>
      <c r="AR221" s="169"/>
      <c r="AS221" s="169"/>
      <c r="AT221" s="258"/>
      <c r="AU221" s="169"/>
      <c r="AV221" s="169"/>
      <c r="AW221" s="169"/>
      <c r="AX221" s="169"/>
      <c r="AY221" s="258"/>
      <c r="AZ221" s="169"/>
      <c r="BA221" s="169"/>
      <c r="BB221" s="169"/>
      <c r="BC221" s="169"/>
      <c r="BD221" s="258"/>
      <c r="BE221" s="169"/>
      <c r="BF221" s="169"/>
      <c r="BG221" s="169"/>
      <c r="BH221" s="169"/>
      <c r="BI221" s="258"/>
      <c r="BJ221" s="169"/>
      <c r="BK221" s="169"/>
      <c r="BL221" s="169"/>
      <c r="BM221" s="169"/>
      <c r="BN221" s="258"/>
      <c r="BO221" s="169"/>
      <c r="BP221" s="169"/>
      <c r="BQ221" s="169"/>
      <c r="BR221" s="169"/>
      <c r="BS221" s="258"/>
      <c r="BT221" s="169"/>
      <c r="BU221" s="169"/>
      <c r="BV221" s="169"/>
      <c r="BW221" s="169"/>
      <c r="BX221" s="258"/>
      <c r="BY221" s="169"/>
      <c r="BZ221" s="169"/>
      <c r="CA221" s="169"/>
      <c r="CB221" s="169"/>
      <c r="CC221" s="258"/>
      <c r="CD221" s="169"/>
      <c r="CE221" s="169"/>
      <c r="CF221" s="169"/>
      <c r="CG221" s="169"/>
      <c r="CH221" s="258"/>
      <c r="CI221" s="169"/>
      <c r="CJ221" s="169"/>
      <c r="CK221" s="169"/>
      <c r="CL221" s="169"/>
      <c r="CM221" s="258"/>
      <c r="CN221" s="169"/>
      <c r="CO221" s="169"/>
      <c r="CP221" s="169"/>
      <c r="CQ221" s="169"/>
      <c r="CR221" s="258"/>
      <c r="CS221" s="169"/>
      <c r="CT221" s="169"/>
      <c r="CU221" s="169"/>
      <c r="CV221" s="169"/>
      <c r="CW221" s="258"/>
      <c r="CX221" s="169"/>
      <c r="CY221" s="169"/>
      <c r="CZ221" s="169"/>
      <c r="DA221" s="169"/>
      <c r="DB221" s="258"/>
      <c r="DC221" s="169"/>
      <c r="DD221" s="169"/>
      <c r="DE221" s="169"/>
      <c r="DF221" s="169"/>
      <c r="DG221" s="104"/>
      <c r="DH221" s="169"/>
      <c r="DI221" s="169"/>
      <c r="DJ221" s="169"/>
      <c r="DK221" s="169"/>
      <c r="DL221" s="104"/>
      <c r="DM221" s="169"/>
      <c r="DN221" s="169"/>
      <c r="DO221" s="169"/>
      <c r="DP221" s="169"/>
      <c r="DQ221" s="104"/>
      <c r="DR221" s="169"/>
      <c r="DS221" s="169"/>
      <c r="DT221" s="169"/>
      <c r="DU221" s="169"/>
      <c r="DV221" s="258"/>
      <c r="DW221" s="169"/>
      <c r="DX221" s="169"/>
      <c r="DY221" s="169"/>
      <c r="DZ221" s="169"/>
      <c r="EA221" s="258"/>
      <c r="EB221" s="169"/>
      <c r="EC221" s="169"/>
      <c r="ED221" s="169"/>
      <c r="EE221" s="169"/>
      <c r="EF221" s="258"/>
      <c r="EG221" s="169"/>
      <c r="EH221" s="169"/>
      <c r="EI221" s="169"/>
      <c r="EJ221" s="169"/>
      <c r="EK221" s="258"/>
      <c r="EL221" s="169"/>
      <c r="EM221" s="169"/>
      <c r="EN221" s="169"/>
      <c r="EO221" s="169"/>
      <c r="EP221" s="258"/>
      <c r="EQ221" s="169"/>
      <c r="ER221" s="169"/>
      <c r="ES221" s="169"/>
      <c r="ET221" s="169"/>
      <c r="EU221" s="258">
        <f>EU220/EU219</f>
        <v>0</v>
      </c>
      <c r="EV221" s="169"/>
      <c r="EW221" s="169"/>
      <c r="EX221" s="169"/>
      <c r="EY221" s="169"/>
      <c r="EZ221" s="258">
        <f>EZ220/EZ219</f>
        <v>0</v>
      </c>
      <c r="FA221" s="169"/>
      <c r="FB221" s="169"/>
      <c r="FC221" s="169"/>
      <c r="FD221" s="169"/>
      <c r="FE221" s="258">
        <f>FE220/FE219</f>
        <v>0</v>
      </c>
      <c r="FF221" s="184"/>
      <c r="FG221" s="188"/>
      <c r="FT221" s="188"/>
    </row>
    <row r="222" spans="1:183" ht="12.75" customHeight="1" x14ac:dyDescent="0.2">
      <c r="A222" s="49" t="s">
        <v>246</v>
      </c>
      <c r="B222" s="24"/>
      <c r="C222" s="24"/>
      <c r="D222" s="24"/>
      <c r="E222" s="24"/>
      <c r="F222" s="279"/>
      <c r="G222" s="24"/>
      <c r="H222" s="24"/>
      <c r="I222" s="24"/>
      <c r="J222" s="24"/>
      <c r="K222" s="279"/>
      <c r="L222" s="24"/>
      <c r="M222" s="24"/>
      <c r="N222" s="24"/>
      <c r="O222" s="24"/>
      <c r="P222" s="104">
        <f>-P219/Model!P$109</f>
        <v>0.23989630494864336</v>
      </c>
      <c r="Q222" s="24"/>
      <c r="R222" s="24"/>
      <c r="S222" s="24"/>
      <c r="T222" s="24"/>
      <c r="U222" s="104">
        <f>-U219/Model!U$109</f>
        <v>0.22822970444638829</v>
      </c>
      <c r="V222" s="24"/>
      <c r="W222" s="24"/>
      <c r="X222" s="24"/>
      <c r="Y222" s="24"/>
      <c r="Z222" s="104">
        <f>-Z219/Model!Z$109</f>
        <v>0.30427059650075833</v>
      </c>
      <c r="AA222" s="24"/>
      <c r="AB222" s="24"/>
      <c r="AC222" s="24"/>
      <c r="AD222" s="24"/>
      <c r="AE222" s="104">
        <f>-AE219/Model!AE$109</f>
        <v>0.25363945569943241</v>
      </c>
      <c r="AF222" s="24"/>
      <c r="AG222" s="24"/>
      <c r="AH222" s="24"/>
      <c r="AI222" s="24"/>
      <c r="AJ222" s="104">
        <f>-AJ219/Model!AJ$109</f>
        <v>0.19888349671331731</v>
      </c>
      <c r="AK222" s="24"/>
      <c r="AL222" s="24"/>
      <c r="AM222" s="24"/>
      <c r="AN222" s="24"/>
      <c r="AO222" s="104">
        <f>-AO219/Model!AO$109</f>
        <v>0.18049759210610086</v>
      </c>
      <c r="AP222" s="24"/>
      <c r="AQ222" s="24"/>
      <c r="AR222" s="24"/>
      <c r="AS222" s="24"/>
      <c r="AT222" s="104">
        <f>-AT219/Model!AT$109</f>
        <v>0.22744969956628036</v>
      </c>
      <c r="AU222" s="24"/>
      <c r="AV222" s="24"/>
      <c r="AW222" s="24"/>
      <c r="AX222" s="24"/>
      <c r="AY222" s="104">
        <f>-AY219/Model!AY$109</f>
        <v>0.24660807625327127</v>
      </c>
      <c r="AZ222" s="24"/>
      <c r="BA222" s="24"/>
      <c r="BB222" s="24"/>
      <c r="BC222" s="24"/>
      <c r="BD222" s="104">
        <f>-BD219/Model!BD$109</f>
        <v>0.20083758735193538</v>
      </c>
      <c r="BE222" s="24"/>
      <c r="BF222" s="24"/>
      <c r="BG222" s="24"/>
      <c r="BH222" s="24"/>
      <c r="BI222" s="104">
        <f>-BI219/Model!BI$109</f>
        <v>0.17962407658157961</v>
      </c>
      <c r="BJ222" s="24"/>
      <c r="BK222" s="24"/>
      <c r="BL222" s="24"/>
      <c r="BM222" s="24"/>
      <c r="BN222" s="104">
        <f>-BN219/Model!BN$109</f>
        <v>0.10993167596678753</v>
      </c>
      <c r="BO222" s="24"/>
      <c r="BP222" s="24"/>
      <c r="BQ222" s="24"/>
      <c r="BR222" s="24"/>
      <c r="BS222" s="104">
        <f>-BS219/Model!BS$109</f>
        <v>0.2085579514824798</v>
      </c>
      <c r="BT222" s="24"/>
      <c r="BU222" s="24"/>
      <c r="BV222" s="24"/>
      <c r="BW222" s="24"/>
      <c r="BX222" s="104">
        <f>-BX219/Model!BX$109</f>
        <v>0.27186399142288253</v>
      </c>
      <c r="BY222" s="24"/>
      <c r="BZ222" s="24"/>
      <c r="CA222" s="24"/>
      <c r="CB222" s="24"/>
      <c r="CC222" s="104">
        <f>-CC219/Model!CC$109</f>
        <v>0.15956745351444018</v>
      </c>
      <c r="CD222" s="24">
        <f>-CD219/Model!CD$109</f>
        <v>0.12976721149083706</v>
      </c>
      <c r="CE222" s="24">
        <f>-CE219/Model!CE$109</f>
        <v>0.16455696202531644</v>
      </c>
      <c r="CF222" s="24">
        <f>-CF219/Model!CF$109</f>
        <v>0.16268146883005977</v>
      </c>
      <c r="CG222" s="24">
        <f>-CG219/Model!CG$109</f>
        <v>0.15509666080843584</v>
      </c>
      <c r="CH222" s="104">
        <f>-CH219/Model!CH$109</f>
        <v>0.15397314549856922</v>
      </c>
      <c r="CI222" s="24">
        <f>-CI219/Model!CI$109</f>
        <v>0.14786169244767972</v>
      </c>
      <c r="CJ222" s="24">
        <f>-CJ219/Model!CJ$109</f>
        <v>0.13085559427022841</v>
      </c>
      <c r="CK222" s="24">
        <f>-CK219/Model!CK$109</f>
        <v>0.12287480680061824</v>
      </c>
      <c r="CL222" s="24">
        <f>-CL219/Model!CL$109</f>
        <v>0.1404494382022472</v>
      </c>
      <c r="CM222" s="104">
        <f>-CM219/Model!CM$109</f>
        <v>0.13497616874556334</v>
      </c>
      <c r="CN222" s="24">
        <f>-CN219/Model!CN$109</f>
        <v>0.14387351778656127</v>
      </c>
      <c r="CO222" s="24">
        <f>-CO219/Model!CO$109</f>
        <v>7.7727431160683161E-2</v>
      </c>
      <c r="CP222" s="24">
        <f>-CP219/Model!CP$109</f>
        <v>6.1570390868211693E-2</v>
      </c>
      <c r="CQ222" s="24">
        <f>-CQ219/Model!CQ$109</f>
        <v>5.7790782735918068E-2</v>
      </c>
      <c r="CR222" s="104">
        <f>-CR219/Model!CR$109</f>
        <v>8.3726415094339618E-2</v>
      </c>
      <c r="CS222" s="24">
        <f>-CS219/Model!CS$109</f>
        <v>3.1644851334360138E-2</v>
      </c>
      <c r="CT222" s="24">
        <f>-CT219/Model!CT$109</f>
        <v>5.9471626290162324E-2</v>
      </c>
      <c r="CU222" s="24">
        <f>-CU219/Model!CU$109</f>
        <v>8.3589150218085301E-2</v>
      </c>
      <c r="CV222" s="24">
        <f>-CV219/Model!CV$109</f>
        <v>3.6211890170225511E-2</v>
      </c>
      <c r="CW222" s="104">
        <f>-CW219/Model!CW$109</f>
        <v>5.32503516659757E-2</v>
      </c>
      <c r="CX222" s="24">
        <f>-CX219/Model!CX$109</f>
        <v>4.4514288558056669E-2</v>
      </c>
      <c r="CY222" s="24">
        <f>-CY219/Model!CY$109</f>
        <v>4.2225381235461358E-2</v>
      </c>
      <c r="CZ222" s="24">
        <f>-CZ219/Model!CZ$109</f>
        <v>3.1377202072538857E-2</v>
      </c>
      <c r="DA222" s="24">
        <f>-DA219/Model!DA$109</f>
        <v>2.3786436170212765E-2</v>
      </c>
      <c r="DB222" s="104">
        <f>-DB219/Model!DB$109</f>
        <v>3.5175770185846493E-2</v>
      </c>
      <c r="DC222" s="24">
        <f>-DC219/Model!DC$109</f>
        <v>1.5123250511869028E-2</v>
      </c>
      <c r="DD222" s="24">
        <f>-DD219/Model!DD$109</f>
        <v>4.8786022237349673E-2</v>
      </c>
      <c r="DE222" s="24">
        <f>-DE219/Model!DE$109</f>
        <v>6.4022268615170491E-2</v>
      </c>
      <c r="DF222" s="24">
        <f>-DF219/Model!DF$109</f>
        <v>0.10223953261927946</v>
      </c>
      <c r="DG222" s="104">
        <f>-DG219/Model!DG$109</f>
        <v>5.8330713573237693E-2</v>
      </c>
      <c r="DH222" s="24">
        <f>-DH219/Model!DH$109</f>
        <v>3.1821598596842894E-2</v>
      </c>
      <c r="DI222" s="24">
        <f>-DI219/Model!DI$109</f>
        <v>9.0121317157712308E-2</v>
      </c>
      <c r="DJ222" s="24">
        <f>-DJ219/Model!DJ$109</f>
        <v>9.4221397075887683E-2</v>
      </c>
      <c r="DK222" s="24">
        <f>-DK219/Model!DK$109</f>
        <v>9.5614665708123658E-2</v>
      </c>
      <c r="DL222" s="104">
        <f>-DL219/Model!DL$109</f>
        <v>7.8881151617999884E-2</v>
      </c>
      <c r="DM222" s="24">
        <f>-DM219/Model!DM$109</f>
        <v>0.1307541625857003</v>
      </c>
      <c r="DN222" s="24">
        <f>-DN219/Model!DN$109</f>
        <v>4.1567951755330602E-2</v>
      </c>
      <c r="DO222" s="24">
        <f>-DO219/Model!DO$109</f>
        <v>5.8965896589658964E-2</v>
      </c>
      <c r="DP222" s="24">
        <f>-DP219/Model!DP$109</f>
        <v>0.10185185185185185</v>
      </c>
      <c r="DQ222" s="104">
        <f>-DQ219/Model!DQ$109</f>
        <v>8.1694915254237291E-2</v>
      </c>
      <c r="DR222" s="24">
        <f>-DR219/Model!DR$109</f>
        <v>9.7695631301008168E-2</v>
      </c>
      <c r="DS222" s="24">
        <f>-DS219/Model!DS$109</f>
        <v>9.9780482937537412E-2</v>
      </c>
      <c r="DT222" s="24">
        <f>-DT219/Model!DT$109</f>
        <v>9.0208333333333335E-2</v>
      </c>
      <c r="DU222" s="24">
        <f>-DU219/Model!DU$109</f>
        <v>0.10544511668107173</v>
      </c>
      <c r="DV222" s="104">
        <f>-DV219/Model!DV$109</f>
        <v>9.8253157753292131E-2</v>
      </c>
      <c r="DW222" s="24">
        <f>-DW219/Model!DW$109</f>
        <v>0.12981422745808791</v>
      </c>
      <c r="DX222" s="24">
        <f>-DX219/Model!DX$109</f>
        <v>8.374095089023674E-2</v>
      </c>
      <c r="DY222" s="24">
        <f>-DY219/Model!DY$109</f>
        <v>5.0913330742324132E-2</v>
      </c>
      <c r="DZ222" s="24">
        <f>-DZ219/Model!DZ$109</f>
        <v>0.17681334137030338</v>
      </c>
      <c r="EA222" s="104">
        <f>-EA219/Model!EA$109</f>
        <v>0.10906962540716612</v>
      </c>
      <c r="EB222" s="24">
        <f>-EB219/Model!EB$109</f>
        <v>9.0758392043099878E-2</v>
      </c>
      <c r="EC222" s="24">
        <f>-EC219/Model!EC$109</f>
        <v>8.5809806835066865E-2</v>
      </c>
      <c r="ED222" s="24">
        <f>-ED219/Model!ED$109</f>
        <v>9.0289939676979958E-2</v>
      </c>
      <c r="EE222" s="24">
        <f>-EE219/Model!EE$109</f>
        <v>0.13278171788810086</v>
      </c>
      <c r="EF222" s="104">
        <f>-EF219/Model!EF$109</f>
        <v>9.9779681762545896E-2</v>
      </c>
      <c r="EG222" s="24">
        <f>-EG219/Model!EG$109</f>
        <v>8.4783944296539016E-2</v>
      </c>
      <c r="EH222" s="24">
        <f>-EH219/Model!EH$109</f>
        <v>9.5926183844011137E-2</v>
      </c>
      <c r="EI222" s="24">
        <f>-EI219/Model!EI$109</f>
        <v>0.12103965092012901</v>
      </c>
      <c r="EJ222" s="24">
        <f>-EJ219/Model!EJ$109</f>
        <v>9.8596890405764123E-2</v>
      </c>
      <c r="EK222" s="104">
        <f>-EK219/Model!EK$109</f>
        <v>0.10027394672208577</v>
      </c>
      <c r="EL222" s="24">
        <f>-EL219/Model!EL$109</f>
        <v>8.5290482076637822E-2</v>
      </c>
      <c r="EM222" s="24">
        <f>-EM219/Model!EM$109</f>
        <v>9.614377944512302E-2</v>
      </c>
      <c r="EN222" s="24">
        <f>-EN219/Model!EN$109</f>
        <v>0.12030925891005091</v>
      </c>
      <c r="EO222" s="24">
        <f>-EO219/Model!EO$109</f>
        <v>9.889691898060099E-2</v>
      </c>
      <c r="EP222" s="104">
        <f>-EP219/Model!EP$109</f>
        <v>0.10039723824836849</v>
      </c>
      <c r="EQ222" s="24">
        <f>-EQ219/Model!EQ$109</f>
        <v>9.5934713789566486E-2</v>
      </c>
      <c r="ER222" s="24">
        <f>-ER219/Model!ER$109</f>
        <v>8.0384388329635403E-2</v>
      </c>
      <c r="ES222" s="24">
        <f>-ES219/Model!ES$109</f>
        <v>8.481601246320411E-2</v>
      </c>
      <c r="ET222" s="24">
        <f>-ET219/Model!ET$109</f>
        <v>8.2723357418891932E-2</v>
      </c>
      <c r="EU222" s="104">
        <f>-EU219/Model!EU$109</f>
        <v>8.557487307627154E-2</v>
      </c>
      <c r="EV222" s="24"/>
      <c r="EW222" s="24"/>
      <c r="EX222" s="24"/>
      <c r="EY222" s="24"/>
      <c r="EZ222" s="104">
        <f>-EZ219/Model!EZ$109</f>
        <v>8.0625353767310101E-2</v>
      </c>
      <c r="FA222" s="24"/>
      <c r="FB222" s="24"/>
      <c r="FC222" s="24"/>
      <c r="FD222" s="24"/>
      <c r="FE222" s="104">
        <f>-FE219/Model!FE$109</f>
        <v>7.6047403854271223E-2</v>
      </c>
      <c r="FF222" s="184"/>
      <c r="FG222" s="188"/>
      <c r="FL222" s="400"/>
      <c r="FM222" s="416"/>
      <c r="FO222" s="811">
        <v>2018</v>
      </c>
      <c r="FP222" s="811">
        <f>++FO222+1</f>
        <v>2019</v>
      </c>
      <c r="FQ222" s="811">
        <f t="shared" ref="FQ222:FS222" si="1022">++FP222+1</f>
        <v>2020</v>
      </c>
      <c r="FR222" s="811">
        <f t="shared" si="1022"/>
        <v>2021</v>
      </c>
      <c r="FS222" s="811">
        <f t="shared" si="1022"/>
        <v>2022</v>
      </c>
      <c r="FT222" s="188"/>
    </row>
    <row r="223" spans="1:183" ht="12.75" customHeight="1" x14ac:dyDescent="0.2">
      <c r="A223" s="49" t="s">
        <v>247</v>
      </c>
      <c r="B223" s="24"/>
      <c r="C223" s="24"/>
      <c r="D223" s="24"/>
      <c r="E223" s="24"/>
      <c r="F223" s="279"/>
      <c r="G223" s="24"/>
      <c r="H223" s="24"/>
      <c r="I223" s="24"/>
      <c r="J223" s="24"/>
      <c r="K223" s="279"/>
      <c r="L223" s="24"/>
      <c r="M223" s="24"/>
      <c r="N223" s="24"/>
      <c r="O223" s="24"/>
      <c r="P223" s="104"/>
      <c r="Q223" s="24"/>
      <c r="R223" s="24"/>
      <c r="S223" s="24"/>
      <c r="T223" s="24"/>
      <c r="U223" s="104">
        <f>-U219/U210</f>
        <v>4.3923058874792611</v>
      </c>
      <c r="V223" s="24"/>
      <c r="W223" s="24"/>
      <c r="X223" s="24"/>
      <c r="Y223" s="24"/>
      <c r="Z223" s="104">
        <f>-Z219/Z210</f>
        <v>5.6718975871120865</v>
      </c>
      <c r="AA223" s="24"/>
      <c r="AB223" s="24"/>
      <c r="AC223" s="24"/>
      <c r="AD223" s="24"/>
      <c r="AE223" s="104">
        <f>-AE219/AE210</f>
        <v>4.6478175172704139</v>
      </c>
      <c r="AF223" s="24"/>
      <c r="AG223" s="24"/>
      <c r="AH223" s="24"/>
      <c r="AI223" s="24"/>
      <c r="AJ223" s="104">
        <f>-AJ219/AJ210</f>
        <v>3.6923257208262932</v>
      </c>
      <c r="AK223" s="24"/>
      <c r="AL223" s="24"/>
      <c r="AM223" s="24"/>
      <c r="AN223" s="24"/>
      <c r="AO223" s="104">
        <f>-AO219/AO210</f>
        <v>3.522697987400802</v>
      </c>
      <c r="AP223" s="24"/>
      <c r="AQ223" s="24"/>
      <c r="AR223" s="24"/>
      <c r="AS223" s="24"/>
      <c r="AT223" s="104">
        <f>-AT219/AT210</f>
        <v>4.2053531783386324</v>
      </c>
      <c r="AU223" s="24"/>
      <c r="AV223" s="24"/>
      <c r="AW223" s="24"/>
      <c r="AX223" s="24"/>
      <c r="AY223" s="104">
        <f>-AY219/AY210</f>
        <v>4.6965092897932923</v>
      </c>
      <c r="AZ223" s="24"/>
      <c r="BA223" s="24"/>
      <c r="BB223" s="24"/>
      <c r="BC223" s="24"/>
      <c r="BD223" s="104">
        <f>-BD219/BD210</f>
        <v>4.0339168645742971</v>
      </c>
      <c r="BE223" s="24"/>
      <c r="BF223" s="24"/>
      <c r="BG223" s="24"/>
      <c r="BH223" s="24"/>
      <c r="BI223" s="104">
        <f>-BI219/BI210</f>
        <v>3.1395395666250305</v>
      </c>
      <c r="BJ223" s="24"/>
      <c r="BK223" s="24"/>
      <c r="BL223" s="24"/>
      <c r="BM223" s="24"/>
      <c r="BN223" s="104">
        <f>-BN219/BN210</f>
        <v>1.6951649037393921</v>
      </c>
      <c r="BO223" s="24"/>
      <c r="BP223" s="24"/>
      <c r="BQ223" s="24"/>
      <c r="BR223" s="24"/>
      <c r="BS223" s="104">
        <f>-BS219/BS210</f>
        <v>3.2239583333333335</v>
      </c>
      <c r="BT223" s="24"/>
      <c r="BU223" s="24"/>
      <c r="BV223" s="24"/>
      <c r="BW223" s="24"/>
      <c r="BX223" s="104">
        <f>-BX219/BX210</f>
        <v>4.1183294663573085</v>
      </c>
      <c r="BY223" s="24"/>
      <c r="BZ223" s="24"/>
      <c r="CA223" s="24"/>
      <c r="CB223" s="24"/>
      <c r="CC223" s="104">
        <f t="shared" ref="CC223:DH223" si="1023">-CC219/CC210</f>
        <v>2.5744680851063828</v>
      </c>
      <c r="CD223" s="24">
        <f t="shared" si="1023"/>
        <v>2.117171717171717</v>
      </c>
      <c r="CE223" s="24">
        <f t="shared" si="1023"/>
        <v>3.1794871794871793</v>
      </c>
      <c r="CF223" s="24">
        <f t="shared" si="1023"/>
        <v>2.9139579349904396</v>
      </c>
      <c r="CG223" s="24">
        <f t="shared" si="1023"/>
        <v>2.6392523364485982</v>
      </c>
      <c r="CH223" s="104">
        <f t="shared" si="1023"/>
        <v>2.7165048543689321</v>
      </c>
      <c r="CI223" s="24">
        <f t="shared" si="1023"/>
        <v>2.4074074074074074</v>
      </c>
      <c r="CJ223" s="24">
        <f t="shared" si="1023"/>
        <v>2.4671532846715327</v>
      </c>
      <c r="CK223" s="24">
        <f t="shared" si="1023"/>
        <v>2.2714285714285714</v>
      </c>
      <c r="CL223" s="24">
        <f t="shared" si="1023"/>
        <v>2.4475524475524475</v>
      </c>
      <c r="CM223" s="104">
        <f t="shared" si="1023"/>
        <v>2.3981981981981981</v>
      </c>
      <c r="CN223" s="24">
        <f t="shared" si="1023"/>
        <v>2.510344827586207</v>
      </c>
      <c r="CO223" s="24">
        <f t="shared" si="1023"/>
        <v>1.5067567567567568</v>
      </c>
      <c r="CP223" s="24">
        <f t="shared" si="1023"/>
        <v>1.1710526315789473</v>
      </c>
      <c r="CQ223" s="24">
        <f t="shared" si="1023"/>
        <v>1.025974025974026</v>
      </c>
      <c r="CR223" s="104">
        <f t="shared" si="1023"/>
        <v>1.5409015025041737</v>
      </c>
      <c r="CS223" s="24">
        <f t="shared" si="1023"/>
        <v>0.55897317157881266</v>
      </c>
      <c r="CT223" s="24">
        <f t="shared" si="1023"/>
        <v>1.1668088529225371</v>
      </c>
      <c r="CU223" s="24">
        <f t="shared" si="1023"/>
        <v>1.5508047231649982</v>
      </c>
      <c r="CV223" s="24">
        <f t="shared" si="1023"/>
        <v>0.7103780125747402</v>
      </c>
      <c r="CW223" s="104">
        <f t="shared" si="1023"/>
        <v>1.004467423919295</v>
      </c>
      <c r="CX223" s="24">
        <f>-CX219/CX210</f>
        <v>0.85286192295164487</v>
      </c>
      <c r="CY223" s="24">
        <f>-CY219/CY210</f>
        <v>0.96668639053254446</v>
      </c>
      <c r="CZ223" s="24">
        <f>-CZ219/CZ210</f>
        <v>0.68815909090909089</v>
      </c>
      <c r="DA223" s="24">
        <f>-DA219/DA210</f>
        <v>0.51106857142857143</v>
      </c>
      <c r="DB223" s="104">
        <f t="shared" si="1023"/>
        <v>0.75187521321613404</v>
      </c>
      <c r="DC223" s="24">
        <f>-DC219/DC210</f>
        <v>0.33786186784266448</v>
      </c>
      <c r="DD223" s="24">
        <f>-DD219/DD210</f>
        <v>1.1813186813186813</v>
      </c>
      <c r="DE223" s="24">
        <f>-DE219/DE210</f>
        <v>1.4450261780104712</v>
      </c>
      <c r="DF223" s="24">
        <f>-DF219/DF210</f>
        <v>2.1875</v>
      </c>
      <c r="DG223" s="104">
        <f>-DG219/DG210</f>
        <v>1.3193259443811438</v>
      </c>
      <c r="DH223" s="24">
        <f t="shared" si="1023"/>
        <v>0.63184079601990051</v>
      </c>
      <c r="DI223" s="24">
        <f t="shared" ref="DI223:DQ223" si="1024">-DI219/DI210</f>
        <v>2.0594059405940595</v>
      </c>
      <c r="DJ223" s="24">
        <f t="shared" si="1024"/>
        <v>1.8709677419354838</v>
      </c>
      <c r="DK223" s="24">
        <f t="shared" si="1024"/>
        <v>1.78125</v>
      </c>
      <c r="DL223" s="104">
        <f t="shared" si="1024"/>
        <v>1.5971563981042654</v>
      </c>
      <c r="DM223" s="24">
        <f t="shared" si="1024"/>
        <v>2.5428571428571427</v>
      </c>
      <c r="DN223" s="24">
        <f t="shared" si="1024"/>
        <v>0.9061032863849765</v>
      </c>
      <c r="DO223" s="24">
        <f t="shared" si="1024"/>
        <v>1.2126696832579185</v>
      </c>
      <c r="DP223" s="24">
        <f t="shared" si="1024"/>
        <v>2.022421524663677</v>
      </c>
      <c r="DQ223" s="104">
        <f t="shared" si="1024"/>
        <v>1.6678200692041523</v>
      </c>
      <c r="DR223" s="24">
        <f t="shared" ref="DR223:ED223" si="1025">-DR219/DR210</f>
        <v>1.841628959276018</v>
      </c>
      <c r="DS223" s="24">
        <f t="shared" si="1025"/>
        <v>2.192982456140351</v>
      </c>
      <c r="DT223" s="24">
        <f t="shared" si="1025"/>
        <v>1.819327731092437</v>
      </c>
      <c r="DU223" s="24">
        <f t="shared" si="1025"/>
        <v>1.9442231075697212</v>
      </c>
      <c r="DV223" s="104">
        <f t="shared" si="1025"/>
        <v>1.9488272921108742</v>
      </c>
      <c r="DW223" s="24">
        <f>-DW219/DW210</f>
        <v>2.348360655737705</v>
      </c>
      <c r="DX223" s="24">
        <f t="shared" si="1025"/>
        <v>1.712</v>
      </c>
      <c r="DY223" s="24">
        <f t="shared" si="1025"/>
        <v>1.0155038759689923</v>
      </c>
      <c r="DZ223" s="24">
        <f t="shared" si="1025"/>
        <v>3.3460076045627378</v>
      </c>
      <c r="EA223" s="104">
        <f t="shared" si="1025"/>
        <v>2.1113300492610838</v>
      </c>
      <c r="EB223" s="24">
        <f t="shared" si="1025"/>
        <v>1.5103448275862068</v>
      </c>
      <c r="EC223" s="24">
        <f t="shared" si="1025"/>
        <v>1.5451505016722409</v>
      </c>
      <c r="ED223" s="24">
        <f t="shared" si="1025"/>
        <v>1.4730158730158731</v>
      </c>
      <c r="EE223" s="24">
        <f>-EE219/EE210</f>
        <v>2.1194968553459121</v>
      </c>
      <c r="EF223" s="104">
        <f>-EF219/EF210</f>
        <v>1.6677577741407528</v>
      </c>
      <c r="EG223" s="24">
        <f t="shared" ref="EG223:EJ223" si="1026">-EG219/EG210</f>
        <v>1.3018867924528301</v>
      </c>
      <c r="EH223" s="24">
        <f t="shared" si="1026"/>
        <v>1.7272727272727273</v>
      </c>
      <c r="EI223" s="24">
        <f t="shared" ref="EI223" si="1027">-EI219/EI210</f>
        <v>2.1125827814569536</v>
      </c>
      <c r="EJ223" s="24">
        <f t="shared" si="1026"/>
        <v>1.8637992831541219</v>
      </c>
      <c r="EK223" s="104">
        <f>-EK219/EK210</f>
        <v>1.7430213464696223</v>
      </c>
      <c r="EL223" s="24">
        <f t="shared" ref="EL223:EO223" si="1028">-EL219/EL210</f>
        <v>1.3018867924528301</v>
      </c>
      <c r="EM223" s="24">
        <f t="shared" si="1028"/>
        <v>1.7272727272727273</v>
      </c>
      <c r="EN223" s="24">
        <f t="shared" si="1028"/>
        <v>2.1125827814569536</v>
      </c>
      <c r="EO223" s="24">
        <f t="shared" si="1028"/>
        <v>1.8637992831541219</v>
      </c>
      <c r="EP223" s="104">
        <f>-EP219/EP210</f>
        <v>1.7430213464696223</v>
      </c>
      <c r="EQ223" s="24">
        <f t="shared" ref="EQ223:ET223" si="1029">-EQ219/EQ210</f>
        <v>1.6596785464709993</v>
      </c>
      <c r="ER223" s="24">
        <f t="shared" si="1029"/>
        <v>1.6011056055549939</v>
      </c>
      <c r="ES223" s="24">
        <f t="shared" si="1029"/>
        <v>1.5420075314894168</v>
      </c>
      <c r="ET223" s="24">
        <f t="shared" si="1029"/>
        <v>1.4934289127837512</v>
      </c>
      <c r="EU223" s="104">
        <f>-EU219/EU210</f>
        <v>1.5715857300015719</v>
      </c>
      <c r="EV223" s="24"/>
      <c r="EW223" s="24"/>
      <c r="EX223" s="24"/>
      <c r="EY223" s="24"/>
      <c r="EZ223" s="104">
        <f>-EZ219/EZ210</f>
        <v>1.5258113883510407</v>
      </c>
      <c r="FA223" s="24"/>
      <c r="FB223" s="24"/>
      <c r="FC223" s="24"/>
      <c r="FD223" s="24"/>
      <c r="FE223" s="104">
        <f>-FE219/FE210</f>
        <v>1.4813702799524666</v>
      </c>
      <c r="FF223" s="184"/>
      <c r="FG223" s="188"/>
      <c r="FL223" s="791" t="s">
        <v>578</v>
      </c>
      <c r="FM223" s="791"/>
      <c r="FN223" s="791"/>
      <c r="FO223" s="812">
        <v>874</v>
      </c>
      <c r="FP223" s="812">
        <v>666</v>
      </c>
      <c r="FQ223" s="812">
        <v>1100</v>
      </c>
      <c r="FR223" s="812">
        <v>1300</v>
      </c>
      <c r="FS223" s="812">
        <v>877</v>
      </c>
      <c r="FT223" s="188"/>
    </row>
    <row r="224" spans="1:183" ht="12.75" customHeight="1" x14ac:dyDescent="0.2">
      <c r="A224" s="82" t="s">
        <v>453</v>
      </c>
      <c r="B224" s="85"/>
      <c r="C224" s="85"/>
      <c r="D224" s="85"/>
      <c r="E224" s="85"/>
      <c r="F224" s="281"/>
      <c r="G224" s="85"/>
      <c r="H224" s="85"/>
      <c r="I224" s="85"/>
      <c r="J224" s="85"/>
      <c r="K224" s="281"/>
      <c r="L224" s="85"/>
      <c r="M224" s="85"/>
      <c r="N224" s="85"/>
      <c r="O224" s="85"/>
      <c r="P224" s="109">
        <f>P217+P219</f>
        <v>-150.42900000000003</v>
      </c>
      <c r="Q224" s="85"/>
      <c r="R224" s="85"/>
      <c r="S224" s="85"/>
      <c r="T224" s="85"/>
      <c r="U224" s="109">
        <f>U217+U219</f>
        <v>-131.49</v>
      </c>
      <c r="V224" s="85"/>
      <c r="W224" s="85"/>
      <c r="X224" s="85"/>
      <c r="Y224" s="85"/>
      <c r="Z224" s="109">
        <f>Z217+Z219</f>
        <v>-375.983</v>
      </c>
      <c r="AA224" s="85"/>
      <c r="AB224" s="85"/>
      <c r="AC224" s="85"/>
      <c r="AD224" s="85"/>
      <c r="AE224" s="109">
        <f>AE217+AE219</f>
        <v>-272.20100000000002</v>
      </c>
      <c r="AF224" s="85"/>
      <c r="AG224" s="85"/>
      <c r="AH224" s="85"/>
      <c r="AI224" s="85"/>
      <c r="AJ224" s="109">
        <f>AJ217+AJ219</f>
        <v>-62.203000000000088</v>
      </c>
      <c r="AK224" s="85"/>
      <c r="AL224" s="85"/>
      <c r="AM224" s="85"/>
      <c r="AN224" s="85"/>
      <c r="AO224" s="109">
        <f>AO217+AO219</f>
        <v>-78.339000000000055</v>
      </c>
      <c r="AP224" s="85"/>
      <c r="AQ224" s="85"/>
      <c r="AR224" s="85"/>
      <c r="AS224" s="85"/>
      <c r="AT224" s="109">
        <f>AT217+AT219</f>
        <v>-60.961000000000013</v>
      </c>
      <c r="AU224" s="85"/>
      <c r="AV224" s="85"/>
      <c r="AW224" s="85"/>
      <c r="AX224" s="85"/>
      <c r="AY224" s="109">
        <f>AY217+AY219</f>
        <v>-138.44100000000003</v>
      </c>
      <c r="AZ224" s="85"/>
      <c r="BA224" s="85"/>
      <c r="BB224" s="85"/>
      <c r="BC224" s="85"/>
      <c r="BD224" s="109">
        <f>BD217+BD219</f>
        <v>163.64200000000005</v>
      </c>
      <c r="BE224" s="85"/>
      <c r="BF224" s="85"/>
      <c r="BG224" s="85"/>
      <c r="BH224" s="85"/>
      <c r="BI224" s="109">
        <f>BI217+BI219</f>
        <v>486.76499999999999</v>
      </c>
      <c r="BJ224" s="85"/>
      <c r="BK224" s="85"/>
      <c r="BL224" s="85"/>
      <c r="BM224" s="85"/>
      <c r="BN224" s="109">
        <f>BN217+BN219</f>
        <v>-82.850999999999999</v>
      </c>
      <c r="BO224" s="85"/>
      <c r="BP224" s="85"/>
      <c r="BQ224" s="85"/>
      <c r="BR224" s="85"/>
      <c r="BS224" s="109">
        <f>BS217+BS219</f>
        <v>98</v>
      </c>
      <c r="BT224" s="85"/>
      <c r="BU224" s="85"/>
      <c r="BV224" s="85"/>
      <c r="BW224" s="85"/>
      <c r="BX224" s="109">
        <f>BX217+BX219</f>
        <v>-618</v>
      </c>
      <c r="BY224" s="85"/>
      <c r="BZ224" s="85"/>
      <c r="CA224" s="85"/>
      <c r="CB224" s="85"/>
      <c r="CC224" s="109">
        <f>CC217+CC219</f>
        <v>908</v>
      </c>
      <c r="CD224" s="85">
        <f t="shared" ref="CD224:CV224" si="1030">CD217+CD219</f>
        <v>489</v>
      </c>
      <c r="CE224" s="85">
        <f t="shared" si="1030"/>
        <v>429</v>
      </c>
      <c r="CF224" s="85">
        <f t="shared" si="1030"/>
        <v>-701</v>
      </c>
      <c r="CG224" s="85">
        <f t="shared" si="1030"/>
        <v>-210</v>
      </c>
      <c r="CH224" s="109">
        <f>CH217+CH219</f>
        <v>7</v>
      </c>
      <c r="CI224" s="85">
        <f t="shared" si="1030"/>
        <v>292</v>
      </c>
      <c r="CJ224" s="85">
        <f t="shared" si="1030"/>
        <v>642</v>
      </c>
      <c r="CK224" s="85">
        <f t="shared" si="1030"/>
        <v>-164</v>
      </c>
      <c r="CL224" s="85">
        <f t="shared" si="1030"/>
        <v>744</v>
      </c>
      <c r="CM224" s="109">
        <f>CM217+CM219</f>
        <v>1514</v>
      </c>
      <c r="CN224" s="85">
        <f t="shared" si="1030"/>
        <v>600</v>
      </c>
      <c r="CO224" s="85">
        <f t="shared" si="1030"/>
        <v>2113</v>
      </c>
      <c r="CP224" s="85">
        <f t="shared" si="1030"/>
        <v>-2454</v>
      </c>
      <c r="CQ224" s="85">
        <f t="shared" si="1030"/>
        <v>-2703</v>
      </c>
      <c r="CR224" s="109">
        <f>CR217+CR219</f>
        <v>-2444</v>
      </c>
      <c r="CS224" s="85">
        <f t="shared" si="1030"/>
        <v>267.23300000000006</v>
      </c>
      <c r="CT224" s="85">
        <f t="shared" si="1030"/>
        <v>-19.461000000000013</v>
      </c>
      <c r="CU224" s="85">
        <f t="shared" si="1030"/>
        <v>-188.46200000000002</v>
      </c>
      <c r="CV224" s="85">
        <f t="shared" si="1030"/>
        <v>368.04599999999999</v>
      </c>
      <c r="CW224" s="109">
        <f t="shared" ref="CW224:DF224" si="1031">CW217+CW219</f>
        <v>427.35600000000022</v>
      </c>
      <c r="CX224" s="85">
        <f t="shared" si="1031"/>
        <v>362.94200000000001</v>
      </c>
      <c r="CY224" s="85">
        <f t="shared" si="1031"/>
        <v>397.774</v>
      </c>
      <c r="CZ224" s="85">
        <f t="shared" si="1031"/>
        <v>275.93</v>
      </c>
      <c r="DA224" s="85">
        <f t="shared" si="1031"/>
        <v>173.18099999999998</v>
      </c>
      <c r="DB224" s="109">
        <f t="shared" si="1031"/>
        <v>1209.827</v>
      </c>
      <c r="DC224" s="85">
        <f t="shared" si="1031"/>
        <v>1007.3679999999997</v>
      </c>
      <c r="DD224" s="85">
        <f t="shared" si="1031"/>
        <v>22</v>
      </c>
      <c r="DE224" s="85">
        <f t="shared" si="1031"/>
        <v>-494</v>
      </c>
      <c r="DF224" s="85">
        <f t="shared" si="1031"/>
        <v>-20</v>
      </c>
      <c r="DG224" s="109">
        <f t="shared" ref="DG224:DV224" si="1032">DG217+DG219</f>
        <v>515.36799999999971</v>
      </c>
      <c r="DH224" s="85">
        <f t="shared" si="1032"/>
        <v>1098</v>
      </c>
      <c r="DI224" s="85">
        <f t="shared" si="1032"/>
        <v>-271</v>
      </c>
      <c r="DJ224" s="85">
        <f t="shared" si="1032"/>
        <v>58</v>
      </c>
      <c r="DK224" s="85">
        <f t="shared" si="1032"/>
        <v>-167</v>
      </c>
      <c r="DL224" s="109">
        <f t="shared" si="1032"/>
        <v>718</v>
      </c>
      <c r="DM224" s="85">
        <f t="shared" si="1032"/>
        <v>449</v>
      </c>
      <c r="DN224" s="85">
        <f t="shared" si="1032"/>
        <v>585</v>
      </c>
      <c r="DO224" s="85">
        <f t="shared" si="1032"/>
        <v>160</v>
      </c>
      <c r="DP224" s="85">
        <f t="shared" si="1032"/>
        <v>-149</v>
      </c>
      <c r="DQ224" s="109">
        <f t="shared" si="1032"/>
        <v>1045</v>
      </c>
      <c r="DR224" s="85">
        <f t="shared" si="1032"/>
        <v>712</v>
      </c>
      <c r="DS224" s="85">
        <f>DS217+DS219</f>
        <v>838</v>
      </c>
      <c r="DT224" s="85">
        <f>DT217+DT219</f>
        <v>-193</v>
      </c>
      <c r="DU224" s="85">
        <f t="shared" si="1032"/>
        <v>-283</v>
      </c>
      <c r="DV224" s="109">
        <f t="shared" si="1032"/>
        <v>1074</v>
      </c>
      <c r="DW224" s="85">
        <f t="shared" ref="DW224:ET224" si="1033">DW217+DW219</f>
        <v>879</v>
      </c>
      <c r="DX224" s="85">
        <f t="shared" si="1033"/>
        <v>199</v>
      </c>
      <c r="DY224" s="85">
        <f t="shared" si="1033"/>
        <v>574</v>
      </c>
      <c r="DZ224" s="85">
        <f t="shared" si="1033"/>
        <v>-557</v>
      </c>
      <c r="EA224" s="109">
        <f t="shared" si="1033"/>
        <v>1095</v>
      </c>
      <c r="EB224" s="85">
        <f t="shared" si="1033"/>
        <v>1178</v>
      </c>
      <c r="EC224" s="85">
        <f t="shared" si="1033"/>
        <v>650</v>
      </c>
      <c r="ED224" s="85">
        <f t="shared" si="1033"/>
        <v>392</v>
      </c>
      <c r="EE224" s="85">
        <f>EE217+EE219</f>
        <v>35</v>
      </c>
      <c r="EF224" s="109">
        <f>EF217+EF219</f>
        <v>2255</v>
      </c>
      <c r="EG224" s="85">
        <f t="shared" ref="EG224:EJ224" si="1034">EG217+EG219</f>
        <v>1211</v>
      </c>
      <c r="EH224" s="85">
        <f t="shared" si="1034"/>
        <v>195</v>
      </c>
      <c r="EI224" s="85">
        <f t="shared" ref="EI224" si="1035">EI217+EI219</f>
        <v>358</v>
      </c>
      <c r="EJ224" s="85">
        <f t="shared" si="1034"/>
        <v>42</v>
      </c>
      <c r="EK224" s="109">
        <f>EK217+EK219</f>
        <v>1806</v>
      </c>
      <c r="EL224" s="85">
        <f t="shared" ref="EL224:EO224" si="1036">EL217+EL219</f>
        <v>1211</v>
      </c>
      <c r="EM224" s="85">
        <f t="shared" si="1036"/>
        <v>195</v>
      </c>
      <c r="EN224" s="85">
        <f t="shared" si="1036"/>
        <v>358</v>
      </c>
      <c r="EO224" s="85">
        <f t="shared" si="1036"/>
        <v>42</v>
      </c>
      <c r="EP224" s="109">
        <f>EP217+EP219</f>
        <v>1806</v>
      </c>
      <c r="EQ224" s="85">
        <f t="shared" si="1033"/>
        <v>2043.5116616048281</v>
      </c>
      <c r="ER224" s="85">
        <f t="shared" si="1033"/>
        <v>456.63536267793427</v>
      </c>
      <c r="ES224" s="85">
        <f t="shared" si="1033"/>
        <v>536.60476223930732</v>
      </c>
      <c r="ET224" s="85">
        <f t="shared" si="1033"/>
        <v>-330.86004202699007</v>
      </c>
      <c r="EU224" s="109">
        <f>EU217+EU219</f>
        <v>2705.8917444950794</v>
      </c>
      <c r="EV224" s="85"/>
      <c r="EW224" s="85"/>
      <c r="EX224" s="85"/>
      <c r="EY224" s="85"/>
      <c r="EZ224" s="109">
        <f>EZ217+EZ219</f>
        <v>3259.5269627595499</v>
      </c>
      <c r="FA224" s="85"/>
      <c r="FB224" s="85"/>
      <c r="FC224" s="85"/>
      <c r="FD224" s="85"/>
      <c r="FE224" s="109">
        <f>FE217+FE219</f>
        <v>3785.498696835024</v>
      </c>
      <c r="FF224" s="184"/>
      <c r="FG224" s="188"/>
      <c r="FL224" s="400"/>
      <c r="FM224" s="400"/>
      <c r="FN224" s="791"/>
      <c r="FO224" s="381"/>
      <c r="FP224" s="381"/>
      <c r="FQ224" s="381"/>
      <c r="FR224" s="381"/>
      <c r="FS224" s="381"/>
      <c r="FT224" s="188"/>
    </row>
    <row r="225" spans="1:184" ht="12.75" customHeight="1" x14ac:dyDescent="0.2">
      <c r="A225" s="38" t="s">
        <v>257</v>
      </c>
      <c r="B225" s="829"/>
      <c r="C225" s="829"/>
      <c r="D225" s="829"/>
      <c r="E225" s="829"/>
      <c r="F225" s="279"/>
      <c r="G225" s="829"/>
      <c r="H225" s="829"/>
      <c r="I225" s="829"/>
      <c r="J225" s="829"/>
      <c r="K225" s="279"/>
      <c r="L225" s="829"/>
      <c r="M225" s="829"/>
      <c r="N225" s="829"/>
      <c r="O225" s="829"/>
      <c r="P225" s="848">
        <v>0</v>
      </c>
      <c r="Q225" s="829"/>
      <c r="R225" s="829"/>
      <c r="S225" s="829"/>
      <c r="T225" s="829"/>
      <c r="U225" s="848">
        <v>0</v>
      </c>
      <c r="V225" s="829"/>
      <c r="W225" s="829"/>
      <c r="X225" s="829"/>
      <c r="Y225" s="829"/>
      <c r="Z225" s="848">
        <v>0</v>
      </c>
      <c r="AA225" s="829"/>
      <c r="AB225" s="829"/>
      <c r="AC225" s="829"/>
      <c r="AD225" s="829"/>
      <c r="AE225" s="848">
        <v>0</v>
      </c>
      <c r="AF225" s="829"/>
      <c r="AG225" s="829"/>
      <c r="AH225" s="829"/>
      <c r="AI225" s="829"/>
      <c r="AJ225" s="848">
        <v>0</v>
      </c>
      <c r="AK225" s="829"/>
      <c r="AL225" s="829"/>
      <c r="AM225" s="829"/>
      <c r="AN225" s="829"/>
      <c r="AO225" s="848">
        <v>0</v>
      </c>
      <c r="AP225" s="829"/>
      <c r="AQ225" s="829"/>
      <c r="AR225" s="829"/>
      <c r="AS225" s="829"/>
      <c r="AT225" s="848">
        <v>0</v>
      </c>
      <c r="AU225" s="829"/>
      <c r="AV225" s="829"/>
      <c r="AW225" s="829"/>
      <c r="AX225" s="829"/>
      <c r="AY225" s="848">
        <v>0</v>
      </c>
      <c r="AZ225" s="829"/>
      <c r="BA225" s="829"/>
      <c r="BB225" s="829"/>
      <c r="BC225" s="829"/>
      <c r="BD225" s="848">
        <v>0</v>
      </c>
      <c r="BE225" s="829"/>
      <c r="BF225" s="829"/>
      <c r="BG225" s="829"/>
      <c r="BH225" s="829"/>
      <c r="BI225" s="848">
        <v>0</v>
      </c>
      <c r="BJ225" s="829"/>
      <c r="BK225" s="829"/>
      <c r="BL225" s="829"/>
      <c r="BM225" s="829"/>
      <c r="BN225" s="848">
        <v>0</v>
      </c>
      <c r="BO225" s="829"/>
      <c r="BP225" s="829"/>
      <c r="BQ225" s="829"/>
      <c r="BR225" s="829"/>
      <c r="BS225" s="848">
        <v>0</v>
      </c>
      <c r="BT225" s="829"/>
      <c r="BU225" s="829"/>
      <c r="BV225" s="829"/>
      <c r="BW225" s="829"/>
      <c r="BX225" s="848">
        <v>0</v>
      </c>
      <c r="BY225" s="829"/>
      <c r="BZ225" s="829"/>
      <c r="CA225" s="829"/>
      <c r="CB225" s="829"/>
      <c r="CC225" s="848">
        <v>0</v>
      </c>
      <c r="CD225" s="829">
        <v>0</v>
      </c>
      <c r="CE225" s="829">
        <v>0</v>
      </c>
      <c r="CF225" s="829">
        <v>0</v>
      </c>
      <c r="CG225" s="829">
        <v>0</v>
      </c>
      <c r="CH225" s="103">
        <v>0</v>
      </c>
      <c r="CI225" s="829">
        <v>0</v>
      </c>
      <c r="CJ225" s="829">
        <v>0</v>
      </c>
      <c r="CK225" s="829">
        <v>0</v>
      </c>
      <c r="CL225" s="829">
        <v>0</v>
      </c>
      <c r="CM225" s="103">
        <v>0</v>
      </c>
      <c r="CN225" s="829">
        <v>0</v>
      </c>
      <c r="CO225" s="829">
        <v>0</v>
      </c>
      <c r="CP225" s="829">
        <v>0</v>
      </c>
      <c r="CQ225" s="829">
        <v>0</v>
      </c>
      <c r="CR225" s="103">
        <v>0</v>
      </c>
      <c r="CS225" s="829">
        <v>0</v>
      </c>
      <c r="CT225" s="829">
        <v>0</v>
      </c>
      <c r="CU225" s="829">
        <v>0</v>
      </c>
      <c r="CV225" s="829">
        <v>0</v>
      </c>
      <c r="CW225" s="103">
        <f>SUM(CS225:CV225)</f>
        <v>0</v>
      </c>
      <c r="CX225" s="829">
        <v>0</v>
      </c>
      <c r="CY225" s="829">
        <v>0</v>
      </c>
      <c r="CZ225" s="829">
        <v>0</v>
      </c>
      <c r="DA225" s="829">
        <v>0</v>
      </c>
      <c r="DB225" s="103">
        <f>SUM(CX225:DA225)</f>
        <v>0</v>
      </c>
      <c r="DC225" s="829">
        <v>0</v>
      </c>
      <c r="DD225" s="829">
        <v>0</v>
      </c>
      <c r="DE225" s="829">
        <v>0</v>
      </c>
      <c r="DF225" s="829">
        <v>0</v>
      </c>
      <c r="DG225" s="103">
        <f>SUM(DC225:DF225)</f>
        <v>0</v>
      </c>
      <c r="DH225" s="829">
        <v>0</v>
      </c>
      <c r="DI225" s="829">
        <v>0</v>
      </c>
      <c r="DJ225" s="829">
        <v>0</v>
      </c>
      <c r="DK225" s="829">
        <v>0</v>
      </c>
      <c r="DL225" s="103">
        <f>SUM(DH225:DK225)</f>
        <v>0</v>
      </c>
      <c r="DM225" s="829">
        <v>0</v>
      </c>
      <c r="DN225" s="829">
        <v>0</v>
      </c>
      <c r="DO225" s="829">
        <v>0</v>
      </c>
      <c r="DP225" s="829">
        <v>0</v>
      </c>
      <c r="DQ225" s="103">
        <f>SUM(DM225:DP225)</f>
        <v>0</v>
      </c>
      <c r="DR225" s="829">
        <v>0</v>
      </c>
      <c r="DS225" s="829">
        <v>0</v>
      </c>
      <c r="DT225" s="829">
        <v>0</v>
      </c>
      <c r="DU225" s="829">
        <v>0</v>
      </c>
      <c r="DV225" s="103">
        <f>SUM(DR225:DU225)</f>
        <v>0</v>
      </c>
      <c r="DW225" s="829">
        <v>0</v>
      </c>
      <c r="DX225" s="829">
        <v>0</v>
      </c>
      <c r="DY225" s="829">
        <v>0</v>
      </c>
      <c r="DZ225" s="829">
        <v>0</v>
      </c>
      <c r="EA225" s="103">
        <f>SUM(DW225:DZ225)</f>
        <v>0</v>
      </c>
      <c r="EB225" s="829">
        <v>0</v>
      </c>
      <c r="EC225" s="829">
        <v>0</v>
      </c>
      <c r="ED225" s="829">
        <v>0</v>
      </c>
      <c r="EE225" s="829">
        <v>0</v>
      </c>
      <c r="EF225" s="103">
        <f>SUM(EB225:EE225)</f>
        <v>0</v>
      </c>
      <c r="EG225" s="829">
        <v>0</v>
      </c>
      <c r="EH225" s="829">
        <v>0</v>
      </c>
      <c r="EI225" s="829">
        <v>0</v>
      </c>
      <c r="EJ225" s="829">
        <v>0</v>
      </c>
      <c r="EK225" s="103">
        <f>SUM(EG225:EJ225)</f>
        <v>0</v>
      </c>
      <c r="EL225" s="829">
        <v>0</v>
      </c>
      <c r="EM225" s="829">
        <v>0</v>
      </c>
      <c r="EN225" s="829">
        <v>0</v>
      </c>
      <c r="EO225" s="829">
        <v>0</v>
      </c>
      <c r="EP225" s="103">
        <f>SUM(EL225:EO225)</f>
        <v>0</v>
      </c>
      <c r="EQ225" s="195">
        <v>0</v>
      </c>
      <c r="ER225" s="195">
        <v>0</v>
      </c>
      <c r="ES225" s="195">
        <v>0</v>
      </c>
      <c r="ET225" s="195">
        <v>0</v>
      </c>
      <c r="EU225" s="103">
        <f>SUM(EQ225:ET225)</f>
        <v>0</v>
      </c>
      <c r="EV225" s="195"/>
      <c r="EW225" s="195"/>
      <c r="EX225" s="195"/>
      <c r="EY225" s="195"/>
      <c r="EZ225" s="118">
        <v>0</v>
      </c>
      <c r="FA225" s="195"/>
      <c r="FB225" s="195"/>
      <c r="FC225" s="195"/>
      <c r="FD225" s="195"/>
      <c r="FE225" s="118">
        <v>0</v>
      </c>
      <c r="FF225" s="184"/>
      <c r="FG225" s="188"/>
      <c r="FL225" s="400"/>
      <c r="FM225" s="400"/>
      <c r="FN225" s="791"/>
      <c r="FO225" s="724"/>
      <c r="FP225" s="724"/>
      <c r="FQ225" s="724"/>
      <c r="FR225" s="400"/>
      <c r="FS225" s="400"/>
      <c r="FT225" s="188"/>
      <c r="GB225" s="399"/>
    </row>
    <row r="226" spans="1:184" ht="12.75" customHeight="1" x14ac:dyDescent="0.2">
      <c r="A226" s="83" t="s">
        <v>432</v>
      </c>
      <c r="B226" s="92"/>
      <c r="C226" s="92"/>
      <c r="D226" s="92"/>
      <c r="E226" s="92"/>
      <c r="F226" s="279"/>
      <c r="G226" s="92"/>
      <c r="H226" s="92"/>
      <c r="I226" s="92"/>
      <c r="J226" s="92"/>
      <c r="K226" s="279"/>
      <c r="L226" s="92"/>
      <c r="M226" s="92"/>
      <c r="N226" s="92"/>
      <c r="O226" s="92"/>
      <c r="P226" s="112">
        <f>P227-P225-P219</f>
        <v>0</v>
      </c>
      <c r="Q226" s="92"/>
      <c r="R226" s="92"/>
      <c r="S226" s="92"/>
      <c r="T226" s="92"/>
      <c r="U226" s="112">
        <f>U227-U225-U219</f>
        <v>0</v>
      </c>
      <c r="V226" s="92"/>
      <c r="W226" s="92"/>
      <c r="X226" s="92"/>
      <c r="Y226" s="92"/>
      <c r="Z226" s="112">
        <f>Z227-Z225-Z219</f>
        <v>0</v>
      </c>
      <c r="AA226" s="92"/>
      <c r="AB226" s="92"/>
      <c r="AC226" s="92"/>
      <c r="AD226" s="92"/>
      <c r="AE226" s="112">
        <f>AE227-AE225-AE219</f>
        <v>0</v>
      </c>
      <c r="AF226" s="92"/>
      <c r="AG226" s="92"/>
      <c r="AH226" s="92"/>
      <c r="AI226" s="92"/>
      <c r="AJ226" s="112">
        <f>AJ227-AJ225-AJ219</f>
        <v>0</v>
      </c>
      <c r="AK226" s="92"/>
      <c r="AL226" s="92"/>
      <c r="AM226" s="92"/>
      <c r="AN226" s="92"/>
      <c r="AO226" s="112">
        <f>AO227-AO225-AO219</f>
        <v>0</v>
      </c>
      <c r="AP226" s="92"/>
      <c r="AQ226" s="92"/>
      <c r="AR226" s="92"/>
      <c r="AS226" s="92"/>
      <c r="AT226" s="112">
        <f>AT227-AT225-AT219</f>
        <v>0</v>
      </c>
      <c r="AU226" s="92"/>
      <c r="AV226" s="92"/>
      <c r="AW226" s="92"/>
      <c r="AX226" s="92"/>
      <c r="AY226" s="112">
        <f>AY227-AY225-AY219</f>
        <v>0</v>
      </c>
      <c r="AZ226" s="92"/>
      <c r="BA226" s="92"/>
      <c r="BB226" s="92"/>
      <c r="BC226" s="92"/>
      <c r="BD226" s="112">
        <f>BD227-BD225-BD219</f>
        <v>0</v>
      </c>
      <c r="BE226" s="92"/>
      <c r="BF226" s="92"/>
      <c r="BG226" s="92"/>
      <c r="BH226" s="92"/>
      <c r="BI226" s="112">
        <f>BI227-BI225-BI219</f>
        <v>0</v>
      </c>
      <c r="BJ226" s="92"/>
      <c r="BK226" s="92"/>
      <c r="BL226" s="92"/>
      <c r="BM226" s="92"/>
      <c r="BN226" s="112">
        <f>BN227-BN225-BN219</f>
        <v>0</v>
      </c>
      <c r="BO226" s="92"/>
      <c r="BP226" s="92"/>
      <c r="BQ226" s="92"/>
      <c r="BR226" s="92"/>
      <c r="BS226" s="112">
        <f>BS227-BS225-BS219</f>
        <v>-381</v>
      </c>
      <c r="BT226" s="92"/>
      <c r="BU226" s="92"/>
      <c r="BV226" s="92"/>
      <c r="BW226" s="92"/>
      <c r="BX226" s="112">
        <f>BX227-BX225-BX219</f>
        <v>49</v>
      </c>
      <c r="BY226" s="92"/>
      <c r="BZ226" s="92"/>
      <c r="CA226" s="92"/>
      <c r="CB226" s="92"/>
      <c r="CC226" s="112">
        <f t="shared" ref="CC226:CS226" si="1037">CC227-CC225-CC219</f>
        <v>64</v>
      </c>
      <c r="CD226" s="92">
        <f t="shared" si="1037"/>
        <v>-47</v>
      </c>
      <c r="CE226" s="92">
        <f t="shared" si="1037"/>
        <v>-77</v>
      </c>
      <c r="CF226" s="92">
        <f t="shared" si="1037"/>
        <v>42</v>
      </c>
      <c r="CG226" s="92">
        <f t="shared" si="1037"/>
        <v>-14</v>
      </c>
      <c r="CH226" s="112">
        <f t="shared" si="1037"/>
        <v>-96</v>
      </c>
      <c r="CI226" s="92">
        <f t="shared" si="1037"/>
        <v>54</v>
      </c>
      <c r="CJ226" s="92">
        <f t="shared" si="1037"/>
        <v>-195</v>
      </c>
      <c r="CK226" s="92">
        <f t="shared" si="1037"/>
        <v>3</v>
      </c>
      <c r="CL226" s="92">
        <f t="shared" si="1037"/>
        <v>-60</v>
      </c>
      <c r="CM226" s="112">
        <f t="shared" si="1037"/>
        <v>-198</v>
      </c>
      <c r="CN226" s="92">
        <f t="shared" si="1037"/>
        <v>238</v>
      </c>
      <c r="CO226" s="92">
        <f t="shared" si="1037"/>
        <v>-1040</v>
      </c>
      <c r="CP226" s="92">
        <f t="shared" si="1037"/>
        <v>131</v>
      </c>
      <c r="CQ226" s="92">
        <f t="shared" si="1037"/>
        <v>616</v>
      </c>
      <c r="CR226" s="112">
        <f t="shared" si="1037"/>
        <v>-55</v>
      </c>
      <c r="CS226" s="92">
        <f t="shared" si="1037"/>
        <v>-541.39300000000003</v>
      </c>
      <c r="CT226" s="92">
        <f>CT227-CT225-CT219</f>
        <v>-182.596</v>
      </c>
      <c r="CU226" s="92">
        <f>CU227-CU225-CU219</f>
        <v>-68.142999999999972</v>
      </c>
      <c r="CV226" s="92">
        <f>CV227-CV225-CV219</f>
        <v>-149.21499999999997</v>
      </c>
      <c r="CW226" s="112">
        <f>SUM(CS226:CV226)</f>
        <v>-941.34699999999998</v>
      </c>
      <c r="CX226" s="92">
        <f>CX227-CX225-CX219</f>
        <v>-183.827</v>
      </c>
      <c r="CY226" s="92">
        <f>CY227-CY225-CY219</f>
        <v>-453.41200000000003</v>
      </c>
      <c r="CZ226" s="92">
        <f>CZ227-CZ225-CZ219</f>
        <v>-207.065</v>
      </c>
      <c r="DA226" s="92">
        <f>DA227-DA225-DA219</f>
        <v>74</v>
      </c>
      <c r="DB226" s="112">
        <f>SUM(CX226:DA226)</f>
        <v>-770.30400000000009</v>
      </c>
      <c r="DC226" s="92">
        <f>DC227-DC225-DC219</f>
        <v>-676.17499999999973</v>
      </c>
      <c r="DD226" s="92">
        <f>DD227-DD225-DD219</f>
        <v>-374</v>
      </c>
      <c r="DE226" s="92">
        <f>DE227-DE225-DE219</f>
        <v>139</v>
      </c>
      <c r="DF226" s="92">
        <f>DF227-DF225-DF219</f>
        <v>326</v>
      </c>
      <c r="DG226" s="112">
        <f>SUM(DC226:DF226)</f>
        <v>-585.17499999999973</v>
      </c>
      <c r="DH226" s="92">
        <f>DH227-DH225-DH219</f>
        <v>115</v>
      </c>
      <c r="DI226" s="92">
        <f>DI227-DI225-DI219</f>
        <v>61</v>
      </c>
      <c r="DJ226" s="92">
        <f>DJ227-DJ225-DJ219</f>
        <v>129</v>
      </c>
      <c r="DK226" s="92">
        <f>DK227-DK225-DK219</f>
        <v>210</v>
      </c>
      <c r="DL226" s="112">
        <f>SUM(DH226:DK226)</f>
        <v>515</v>
      </c>
      <c r="DM226" s="92">
        <f>DM227-DM225-DM219</f>
        <v>62</v>
      </c>
      <c r="DN226" s="92">
        <f>DN227-DN225-DN219</f>
        <v>-107</v>
      </c>
      <c r="DO226" s="92">
        <f>DO227-DO225-DO219</f>
        <v>-91</v>
      </c>
      <c r="DP226" s="92">
        <f>DP227-DP225-DP219</f>
        <v>198</v>
      </c>
      <c r="DQ226" s="112">
        <f>SUM(DM226:DP226)</f>
        <v>62</v>
      </c>
      <c r="DR226" s="92">
        <f>DR227-DR225-DR219</f>
        <v>49</v>
      </c>
      <c r="DS226" s="92">
        <f>DS227-DS225-DS219</f>
        <v>-357</v>
      </c>
      <c r="DT226" s="92">
        <f>DT227-DT225-DT219</f>
        <v>389</v>
      </c>
      <c r="DU226" s="92">
        <f>DU227-DU225-DU219</f>
        <v>20</v>
      </c>
      <c r="DV226" s="112">
        <f>SUM(DR226:DU226)</f>
        <v>101</v>
      </c>
      <c r="DW226" s="92">
        <f>DW227-DW225-DW219</f>
        <v>271</v>
      </c>
      <c r="DX226" s="92">
        <f>DX227-DX225-DX219</f>
        <v>21</v>
      </c>
      <c r="DY226" s="92">
        <f>DY227-DY225-DY219</f>
        <v>3</v>
      </c>
      <c r="DZ226" s="92">
        <f>DZ227-DZ225-DZ219</f>
        <v>-65</v>
      </c>
      <c r="EA226" s="112">
        <f>SUM(DW226:DZ226)</f>
        <v>230</v>
      </c>
      <c r="EB226" s="92">
        <f>EB227-EB225-EB219</f>
        <v>263</v>
      </c>
      <c r="EC226" s="92">
        <f>EC227-EC225-EC219</f>
        <v>-212</v>
      </c>
      <c r="ED226" s="92">
        <f>ED227-ED225-ED219</f>
        <v>-120</v>
      </c>
      <c r="EE226" s="92">
        <f>EE227-EE225-EE219</f>
        <v>-165</v>
      </c>
      <c r="EF226" s="112">
        <f>SUM(EB226:EE226)</f>
        <v>-234</v>
      </c>
      <c r="EG226" s="92">
        <f>EG227-EG225-EG219</f>
        <v>-56</v>
      </c>
      <c r="EH226" s="92">
        <f>EH227-EH225-EH219</f>
        <v>-33</v>
      </c>
      <c r="EI226" s="92">
        <f>EI227-EI225-EI219</f>
        <v>18</v>
      </c>
      <c r="EJ226" s="92">
        <f>EJ227-EJ225-EJ219</f>
        <v>-214</v>
      </c>
      <c r="EK226" s="112">
        <f>SUM(EG226:EJ226)</f>
        <v>-285</v>
      </c>
      <c r="EL226" s="92">
        <f>EL227-EL225-EL219</f>
        <v>-56</v>
      </c>
      <c r="EM226" s="92">
        <f>EM227-EM225-EM219</f>
        <v>-33</v>
      </c>
      <c r="EN226" s="92">
        <f>EN227-EN225-EN219</f>
        <v>18</v>
      </c>
      <c r="EO226" s="92">
        <f>EO227-EO225-EO219</f>
        <v>-214</v>
      </c>
      <c r="EP226" s="112">
        <f>SUM(EL226:EO226)</f>
        <v>-285</v>
      </c>
      <c r="EQ226" s="194">
        <f>IF(Model!EP247=0,0,IF(EQ224&gt;0,0,IF(Model!EP247&gt;-(EQ224+EQ232+EQ237+EQ225),IF(-(EQ224+EQ232+EQ237+EQ225)&lt;0,0,IF(-(EQ224+EQ232+EQ237+EQ225)&gt;0,-(EQ224+EQ232+EQ237+EQ225))),Model!EP247)))</f>
        <v>0</v>
      </c>
      <c r="ER226" s="194">
        <f>IF(Model!EQ247=0,0,IF(ER224&gt;0,0,IF(Model!EQ247&gt;-(ER224+ER232+ER237+ER225),IF(-(ER224+ER232+ER237+ER225)&lt;0,0,IF(-(ER224+ER232+ER237+ER225)&gt;0,-(ER224+ER232+ER237+ER225))),Model!EQ247)))</f>
        <v>0</v>
      </c>
      <c r="ES226" s="194">
        <f>IF(Model!ER247=0,0,IF(ES224&gt;0,0,IF(Model!ER247&gt;-(ES224+ES232+ES237+ES225),IF(-(ES224+ES232+ES237+ES225)&lt;0,0,IF(-(ES224+ES232+ES237+ES225)&gt;0,-(ES224+ES232+ES237+ES225))),Model!ER247)))</f>
        <v>0</v>
      </c>
      <c r="ET226" s="194">
        <f>IF(Model!ES247=0,0,IF(ET224&gt;0,0,IF(Model!ES247&gt;-(ET224+ET232+ET237+ET225),IF(-(ET224+ET232+ET237+ET225)&lt;0,0,IF(-(ET224+ET232+ET237+ET225)&gt;0,-(ET224+ET232+ET237+ET225))),Model!ES247)))</f>
        <v>973.41565120628275</v>
      </c>
      <c r="EU226" s="112">
        <f>SUM(EQ226:ET226)</f>
        <v>973.41565120628275</v>
      </c>
      <c r="EV226" s="194"/>
      <c r="EW226" s="194"/>
      <c r="EX226" s="194"/>
      <c r="EY226" s="194"/>
      <c r="EZ226" s="112">
        <f>IF(Model!EU247=0,0,IF(EZ224&gt;0,0,IF(Model!EU247&gt;-(EZ224+EZ234+EZ232+EZ235+EZ225),IF(-(EZ224+EZ234+EZ232+EZ235+EZ225)&lt;0,0,IF(-(EZ224+EZ234+EZ232+EZ235+EZ225)&gt;0,-(EZ224+EZ234+EZ232+EZ235+EZ225))),Model!EU247)))</f>
        <v>0</v>
      </c>
      <c r="FA226" s="194"/>
      <c r="FB226" s="194"/>
      <c r="FC226" s="194"/>
      <c r="FD226" s="194"/>
      <c r="FE226" s="112">
        <f>IF(Model!EZ247=0,0,IF(FE224&gt;0,0,IF(Model!EZ247&gt;-(FE224+FE234+FE232+FE235+FE225),IF(-(FE224+FE234+FE232+FE235+FE225)&lt;0,0,IF(-(FE224+FE234+FE232+FE235+FE225)&gt;0,-(FE224+FE234+FE232+FE235+FE225))),Model!EZ247)))</f>
        <v>0</v>
      </c>
      <c r="FF226" s="184"/>
      <c r="FG226" s="188"/>
      <c r="FL226" s="400"/>
      <c r="FM226" s="400"/>
      <c r="FN226" s="381"/>
      <c r="FO226" s="381"/>
      <c r="FP226" s="381"/>
      <c r="FQ226" s="381"/>
      <c r="FR226" s="381"/>
      <c r="FS226" s="381"/>
      <c r="FT226" s="188"/>
    </row>
    <row r="227" spans="1:184" ht="12.75" customHeight="1" x14ac:dyDescent="0.2">
      <c r="A227" s="72" t="s">
        <v>452</v>
      </c>
      <c r="B227" s="837"/>
      <c r="C227" s="837"/>
      <c r="D227" s="837"/>
      <c r="E227" s="837"/>
      <c r="F227" s="276"/>
      <c r="G227" s="837"/>
      <c r="H227" s="837"/>
      <c r="I227" s="837"/>
      <c r="J227" s="837"/>
      <c r="K227" s="276"/>
      <c r="L227" s="837"/>
      <c r="M227" s="837"/>
      <c r="N227" s="837"/>
      <c r="O227" s="837"/>
      <c r="P227" s="847">
        <v>-432.52800000000002</v>
      </c>
      <c r="Q227" s="837"/>
      <c r="R227" s="837"/>
      <c r="S227" s="837"/>
      <c r="T227" s="837"/>
      <c r="U227" s="847">
        <v>-524.16899999999998</v>
      </c>
      <c r="V227" s="837"/>
      <c r="W227" s="837"/>
      <c r="X227" s="837"/>
      <c r="Y227" s="837"/>
      <c r="Z227" s="847">
        <v>-788.649</v>
      </c>
      <c r="AA227" s="837"/>
      <c r="AB227" s="837"/>
      <c r="AC227" s="837"/>
      <c r="AD227" s="837"/>
      <c r="AE227" s="847">
        <v>-728.64300000000003</v>
      </c>
      <c r="AF227" s="837"/>
      <c r="AG227" s="837"/>
      <c r="AH227" s="837"/>
      <c r="AI227" s="837"/>
      <c r="AJ227" s="847">
        <v>-677.43100000000004</v>
      </c>
      <c r="AK227" s="837"/>
      <c r="AL227" s="837"/>
      <c r="AM227" s="837"/>
      <c r="AN227" s="837"/>
      <c r="AO227" s="847">
        <v>-688.92700000000002</v>
      </c>
      <c r="AP227" s="837"/>
      <c r="AQ227" s="837"/>
      <c r="AR227" s="837"/>
      <c r="AS227" s="837"/>
      <c r="AT227" s="847">
        <v>-947.096</v>
      </c>
      <c r="AU227" s="837"/>
      <c r="AV227" s="837"/>
      <c r="AW227" s="837"/>
      <c r="AX227" s="837"/>
      <c r="AY227" s="847">
        <v>-1167.8340000000001</v>
      </c>
      <c r="AZ227" s="837"/>
      <c r="BA227" s="837"/>
      <c r="BB227" s="837"/>
      <c r="BC227" s="837"/>
      <c r="BD227" s="847">
        <v>-1134.644</v>
      </c>
      <c r="BE227" s="837"/>
      <c r="BF227" s="837"/>
      <c r="BG227" s="837"/>
      <c r="BH227" s="837"/>
      <c r="BI227" s="847">
        <v>-997.84299999999996</v>
      </c>
      <c r="BJ227" s="837"/>
      <c r="BK227" s="837"/>
      <c r="BL227" s="837"/>
      <c r="BM227" s="837"/>
      <c r="BN227" s="847">
        <v>-603.05999999999995</v>
      </c>
      <c r="BO227" s="837"/>
      <c r="BP227" s="837"/>
      <c r="BQ227" s="837"/>
      <c r="BR227" s="837"/>
      <c r="BS227" s="847">
        <v>-1619</v>
      </c>
      <c r="BT227" s="837"/>
      <c r="BU227" s="837"/>
      <c r="BV227" s="837"/>
      <c r="BW227" s="837"/>
      <c r="BX227" s="847">
        <v>-1726</v>
      </c>
      <c r="BY227" s="837"/>
      <c r="BZ227" s="837"/>
      <c r="CA227" s="837"/>
      <c r="CB227" s="837"/>
      <c r="CC227" s="847">
        <v>-1146</v>
      </c>
      <c r="CD227" s="837">
        <v>-309</v>
      </c>
      <c r="CE227" s="837">
        <v>-480</v>
      </c>
      <c r="CF227" s="837">
        <v>-339</v>
      </c>
      <c r="CG227" s="837">
        <v>-367</v>
      </c>
      <c r="CH227" s="107">
        <v>-1495</v>
      </c>
      <c r="CI227" s="837">
        <v>-271</v>
      </c>
      <c r="CJ227" s="837">
        <v>-533</v>
      </c>
      <c r="CK227" s="837">
        <v>-315</v>
      </c>
      <c r="CL227" s="837">
        <v>-410</v>
      </c>
      <c r="CM227" s="107">
        <v>-1529</v>
      </c>
      <c r="CN227" s="837">
        <v>-126</v>
      </c>
      <c r="CO227" s="837">
        <v>-1263</v>
      </c>
      <c r="CP227" s="837">
        <v>-47</v>
      </c>
      <c r="CQ227" s="837">
        <v>458</v>
      </c>
      <c r="CR227" s="107">
        <v>-978</v>
      </c>
      <c r="CS227" s="837">
        <v>-633.13</v>
      </c>
      <c r="CT227" s="837">
        <v>-374.07400000000001</v>
      </c>
      <c r="CU227" s="837">
        <v>-340.928</v>
      </c>
      <c r="CV227" s="837">
        <v>-269.09199999999998</v>
      </c>
      <c r="CW227" s="107">
        <f>CW219+CW225+CW226</f>
        <v>-1617.2239999999999</v>
      </c>
      <c r="CX227" s="837">
        <v>-327.83699999999999</v>
      </c>
      <c r="CY227" s="837">
        <v>-616.78200000000004</v>
      </c>
      <c r="CZ227" s="837">
        <v>-328.18099999999998</v>
      </c>
      <c r="DA227" s="837">
        <v>-15.436999999999998</v>
      </c>
      <c r="DB227" s="107">
        <f>DB219+DB225+DB226</f>
        <v>-1288.2370000000001</v>
      </c>
      <c r="DC227" s="837">
        <v>-733.17499999999995</v>
      </c>
      <c r="DD227" s="837">
        <v>-589</v>
      </c>
      <c r="DE227" s="837">
        <v>-137</v>
      </c>
      <c r="DF227" s="837">
        <v>-94</v>
      </c>
      <c r="DG227" s="107">
        <f>DG219+DG225+DG226</f>
        <v>-1553.175</v>
      </c>
      <c r="DH227" s="837">
        <v>-12</v>
      </c>
      <c r="DI227" s="837">
        <v>-355</v>
      </c>
      <c r="DJ227" s="837">
        <v>-277</v>
      </c>
      <c r="DK227" s="837">
        <v>-189</v>
      </c>
      <c r="DL227" s="107">
        <f>DL219+DL225+DL226</f>
        <v>-833</v>
      </c>
      <c r="DM227" s="837">
        <v>-472</v>
      </c>
      <c r="DN227" s="837">
        <v>-300</v>
      </c>
      <c r="DO227" s="837">
        <v>-359</v>
      </c>
      <c r="DP227" s="837">
        <v>-253</v>
      </c>
      <c r="DQ227" s="107">
        <f>DQ219+DQ225+DQ226</f>
        <v>-1384</v>
      </c>
      <c r="DR227" s="837">
        <v>-358</v>
      </c>
      <c r="DS227" s="837">
        <v>-857</v>
      </c>
      <c r="DT227" s="837">
        <v>-44</v>
      </c>
      <c r="DU227" s="837">
        <v>-468</v>
      </c>
      <c r="DV227" s="107">
        <f t="shared" ref="DV227:EA227" si="1038">DV219+DV225+DV226</f>
        <v>-1727</v>
      </c>
      <c r="DW227" s="837">
        <v>-302</v>
      </c>
      <c r="DX227" s="837">
        <v>-407</v>
      </c>
      <c r="DY227" s="837">
        <v>-259</v>
      </c>
      <c r="DZ227" s="837">
        <f>-1913-DY227-DX227-DW227</f>
        <v>-945</v>
      </c>
      <c r="EA227" s="107">
        <f t="shared" si="1038"/>
        <v>-1913</v>
      </c>
      <c r="EB227" s="837">
        <v>-175</v>
      </c>
      <c r="EC227" s="837">
        <v>-674</v>
      </c>
      <c r="ED227" s="837">
        <v>-584</v>
      </c>
      <c r="EE227" s="837">
        <f>-2272-SUM(EB227:ED227)</f>
        <v>-839</v>
      </c>
      <c r="EF227" s="107">
        <f>EF219+EF225+EF226</f>
        <v>-2272</v>
      </c>
      <c r="EG227" s="837">
        <v>-470</v>
      </c>
      <c r="EH227" s="837">
        <v>-584</v>
      </c>
      <c r="EI227" s="837">
        <v>-620</v>
      </c>
      <c r="EJ227" s="837">
        <v>-734</v>
      </c>
      <c r="EK227" s="107">
        <f>EK219+EK225+EK226</f>
        <v>-2408</v>
      </c>
      <c r="EL227" s="837">
        <v>-470</v>
      </c>
      <c r="EM227" s="837">
        <v>-584</v>
      </c>
      <c r="EN227" s="837">
        <v>-620</v>
      </c>
      <c r="EO227" s="837">
        <v>-734</v>
      </c>
      <c r="EP227" s="107">
        <f>EP219+EP225+EP226</f>
        <v>-2408</v>
      </c>
      <c r="EQ227" s="84">
        <f t="shared" ref="EQ227" si="1039">EQ219+EQ225+EQ226</f>
        <v>-475</v>
      </c>
      <c r="ER227" s="84">
        <f t="shared" ref="ER227:ET227" si="1040">ER219+ER225+ER226</f>
        <v>-475</v>
      </c>
      <c r="ES227" s="84">
        <f t="shared" si="1040"/>
        <v>-475</v>
      </c>
      <c r="ET227" s="84">
        <f t="shared" si="1040"/>
        <v>498.41565120628275</v>
      </c>
      <c r="EU227" s="107">
        <f>EU219+EU225+EU226</f>
        <v>-926.58434879371725</v>
      </c>
      <c r="EV227" s="84"/>
      <c r="EW227" s="84"/>
      <c r="EX227" s="84"/>
      <c r="EY227" s="84"/>
      <c r="EZ227" s="107">
        <f>EZ219+EZ225+EZ226</f>
        <v>-1900</v>
      </c>
      <c r="FA227" s="84"/>
      <c r="FB227" s="84"/>
      <c r="FC227" s="84"/>
      <c r="FD227" s="84"/>
      <c r="FE227" s="107">
        <f>FE219+FE225+FE226</f>
        <v>-1900</v>
      </c>
      <c r="FF227" s="184"/>
      <c r="FG227" s="188"/>
      <c r="FL227" s="400"/>
      <c r="FM227" s="400"/>
      <c r="FN227" s="381"/>
      <c r="FO227" s="381"/>
      <c r="FP227" s="381"/>
      <c r="FQ227" s="381"/>
      <c r="FR227" s="381"/>
      <c r="FS227" s="381"/>
      <c r="FT227" s="188"/>
    </row>
    <row r="228" spans="1:184" s="7" customFormat="1" ht="12.75" customHeight="1" x14ac:dyDescent="0.2">
      <c r="A228" s="7" t="s">
        <v>422</v>
      </c>
      <c r="F228" s="99"/>
      <c r="K228" s="99"/>
      <c r="P228" s="99"/>
      <c r="U228" s="99"/>
      <c r="Z228" s="99"/>
      <c r="AE228" s="99"/>
      <c r="AJ228" s="99"/>
      <c r="AO228" s="99"/>
      <c r="AT228" s="99"/>
      <c r="AY228" s="99"/>
      <c r="BD228" s="99"/>
      <c r="BI228" s="99"/>
      <c r="BN228" s="99"/>
      <c r="BS228" s="99"/>
      <c r="BX228" s="99"/>
      <c r="CC228" s="99"/>
      <c r="CH228" s="99"/>
      <c r="CM228" s="99"/>
      <c r="CR228" s="99"/>
      <c r="CW228" s="99"/>
      <c r="DB228" s="99"/>
      <c r="DG228" s="506"/>
      <c r="DL228" s="506"/>
      <c r="DQ228" s="99"/>
      <c r="DV228" s="99"/>
      <c r="EA228" s="99"/>
      <c r="EF228" s="99"/>
      <c r="EK228" s="99"/>
      <c r="EP228" s="99"/>
      <c r="EU228" s="99"/>
      <c r="EZ228" s="99"/>
      <c r="FE228" s="99"/>
      <c r="FF228" s="336"/>
      <c r="FG228" s="6"/>
      <c r="FH228" s="346"/>
      <c r="FI228" s="336"/>
      <c r="FJ228" s="336"/>
      <c r="FK228" s="336"/>
      <c r="FL228" s="412"/>
      <c r="FM228" s="412"/>
      <c r="FN228" s="425"/>
      <c r="FO228" s="373"/>
      <c r="FP228" s="373"/>
      <c r="FQ228" s="373"/>
      <c r="FR228" s="373"/>
      <c r="FS228" s="373"/>
      <c r="FT228" s="6"/>
      <c r="FU228"/>
      <c r="FV228"/>
      <c r="FW228"/>
      <c r="FX228"/>
      <c r="FY228"/>
      <c r="FZ228"/>
      <c r="GA228" s="341"/>
    </row>
    <row r="229" spans="1:184" ht="12.75" customHeight="1" x14ac:dyDescent="0.2">
      <c r="A229" s="40" t="s">
        <v>258</v>
      </c>
      <c r="B229" s="838"/>
      <c r="C229" s="838"/>
      <c r="D229" s="838"/>
      <c r="E229" s="838"/>
      <c r="F229" s="279"/>
      <c r="G229" s="838"/>
      <c r="H229" s="838"/>
      <c r="I229" s="838"/>
      <c r="J229" s="838"/>
      <c r="K229" s="279"/>
      <c r="L229" s="838"/>
      <c r="M229" s="838"/>
      <c r="N229" s="838"/>
      <c r="O229" s="838"/>
      <c r="P229" s="848">
        <v>-4.8899999999999997</v>
      </c>
      <c r="Q229" s="838"/>
      <c r="R229" s="838"/>
      <c r="S229" s="838"/>
      <c r="T229" s="838"/>
      <c r="U229" s="848">
        <v>-5.3760000000000003</v>
      </c>
      <c r="V229" s="838"/>
      <c r="W229" s="838"/>
      <c r="X229" s="838"/>
      <c r="Y229" s="838"/>
      <c r="Z229" s="848">
        <v>-5.7220000000000004</v>
      </c>
      <c r="AA229" s="838"/>
      <c r="AB229" s="838"/>
      <c r="AC229" s="838"/>
      <c r="AD229" s="838"/>
      <c r="AE229" s="848">
        <v>-5.7489999999999997</v>
      </c>
      <c r="AF229" s="838"/>
      <c r="AG229" s="838"/>
      <c r="AH229" s="838"/>
      <c r="AI229" s="838"/>
      <c r="AJ229" s="848">
        <v>-6.2160000000000002</v>
      </c>
      <c r="AK229" s="838"/>
      <c r="AL229" s="838"/>
      <c r="AM229" s="838"/>
      <c r="AN229" s="838"/>
      <c r="AO229" s="848">
        <v>-6.593</v>
      </c>
      <c r="AP229" s="838"/>
      <c r="AQ229" s="838"/>
      <c r="AR229" s="838"/>
      <c r="AS229" s="838"/>
      <c r="AT229" s="848">
        <v>-9.2840000000000007</v>
      </c>
      <c r="AU229" s="838"/>
      <c r="AV229" s="838"/>
      <c r="AW229" s="838"/>
      <c r="AX229" s="838"/>
      <c r="AY229" s="848">
        <v>-10.842000000000001</v>
      </c>
      <c r="AZ229" s="838"/>
      <c r="BA229" s="838"/>
      <c r="BB229" s="838"/>
      <c r="BC229" s="838"/>
      <c r="BD229" s="848">
        <v>-10.978</v>
      </c>
      <c r="BE229" s="838"/>
      <c r="BF229" s="838"/>
      <c r="BG229" s="838"/>
      <c r="BH229" s="838"/>
      <c r="BI229" s="848">
        <v>-13.44</v>
      </c>
      <c r="BJ229" s="838"/>
      <c r="BK229" s="838"/>
      <c r="BL229" s="838"/>
      <c r="BM229" s="838"/>
      <c r="BN229" s="848">
        <v>-13.872</v>
      </c>
      <c r="BO229" s="838"/>
      <c r="BP229" s="838"/>
      <c r="BQ229" s="838"/>
      <c r="BR229" s="838"/>
      <c r="BS229" s="848">
        <v>-14</v>
      </c>
      <c r="BT229" s="838"/>
      <c r="BU229" s="838"/>
      <c r="BV229" s="838"/>
      <c r="BW229" s="838"/>
      <c r="BX229" s="848">
        <v>-14</v>
      </c>
      <c r="BY229" s="838"/>
      <c r="BZ229" s="838"/>
      <c r="CA229" s="838"/>
      <c r="CB229" s="838"/>
      <c r="CC229" s="848">
        <v>-14</v>
      </c>
      <c r="CD229" s="838">
        <v>-7</v>
      </c>
      <c r="CE229" s="838">
        <v>-4</v>
      </c>
      <c r="CF229" s="838">
        <v>-3</v>
      </c>
      <c r="CG229" s="838">
        <v>0</v>
      </c>
      <c r="CH229" s="103">
        <v>-14</v>
      </c>
      <c r="CI229" s="838">
        <v>-7</v>
      </c>
      <c r="CJ229" s="838">
        <v>-4</v>
      </c>
      <c r="CK229" s="838">
        <v>-3</v>
      </c>
      <c r="CL229" s="838">
        <v>0</v>
      </c>
      <c r="CM229" s="103">
        <v>-14</v>
      </c>
      <c r="CN229" s="838">
        <v>-7</v>
      </c>
      <c r="CO229" s="838">
        <v>-3</v>
      </c>
      <c r="CP229" s="838">
        <v>-3</v>
      </c>
      <c r="CQ229" s="838">
        <v>0</v>
      </c>
      <c r="CR229" s="103">
        <v>-13</v>
      </c>
      <c r="CS229" s="838">
        <v>-7</v>
      </c>
      <c r="CT229" s="838">
        <v>-3</v>
      </c>
      <c r="CU229" s="838">
        <v>-3</v>
      </c>
      <c r="CV229" s="838">
        <v>0</v>
      </c>
      <c r="CW229" s="103">
        <f>SUM(CS229:CV229)</f>
        <v>-13</v>
      </c>
      <c r="CX229" s="838">
        <v>-7</v>
      </c>
      <c r="CY229" s="838">
        <v>-3</v>
      </c>
      <c r="CZ229" s="838">
        <v>-3</v>
      </c>
      <c r="DA229" s="838">
        <v>0</v>
      </c>
      <c r="DB229" s="103">
        <f>SUM(CX229:DA229)</f>
        <v>-13</v>
      </c>
      <c r="DC229" s="838">
        <v>-7</v>
      </c>
      <c r="DD229" s="838">
        <v>-3</v>
      </c>
      <c r="DE229" s="838">
        <v>-3</v>
      </c>
      <c r="DF229" s="838">
        <v>0</v>
      </c>
      <c r="DG229" s="103">
        <f>SUM(DC229:DF229)</f>
        <v>-13</v>
      </c>
      <c r="DH229" s="838">
        <v>-7</v>
      </c>
      <c r="DI229" s="838">
        <v>-8</v>
      </c>
      <c r="DJ229" s="838">
        <v>-7</v>
      </c>
      <c r="DK229" s="838">
        <v>0</v>
      </c>
      <c r="DL229" s="103">
        <f>SUM(DH229:DK229)</f>
        <v>-22</v>
      </c>
      <c r="DM229" s="838">
        <v>-15</v>
      </c>
      <c r="DN229" s="838">
        <v>-28</v>
      </c>
      <c r="DO229" s="838">
        <v>-28</v>
      </c>
      <c r="DP229" s="838">
        <v>0</v>
      </c>
      <c r="DQ229" s="103">
        <f>SUM(DM229:DP229)</f>
        <v>-71</v>
      </c>
      <c r="DR229" s="838">
        <v>-56</v>
      </c>
      <c r="DS229" s="838">
        <v>-42</v>
      </c>
      <c r="DT229" s="838">
        <v>-41</v>
      </c>
      <c r="DU229" s="838">
        <v>0</v>
      </c>
      <c r="DV229" s="103">
        <f>SUM(DR229:DU229)</f>
        <v>-139</v>
      </c>
      <c r="DW229" s="838">
        <v>-81</v>
      </c>
      <c r="DX229" s="838">
        <v>-50</v>
      </c>
      <c r="DY229" s="838">
        <v>-49</v>
      </c>
      <c r="DZ229" s="838">
        <f>-180-DY229-DX229-DW229</f>
        <v>0</v>
      </c>
      <c r="EA229" s="103">
        <f>SUM(DW229:DZ229)</f>
        <v>-180</v>
      </c>
      <c r="EB229" s="838">
        <v>-96</v>
      </c>
      <c r="EC229" s="838">
        <v>-63</v>
      </c>
      <c r="ED229" s="838">
        <v>-62</v>
      </c>
      <c r="EE229" s="838">
        <f>-222-SUM(EB229:ED229)</f>
        <v>-1</v>
      </c>
      <c r="EF229" s="103">
        <f>SUM(EB229:EE229)</f>
        <v>-222</v>
      </c>
      <c r="EG229" s="838">
        <v>-123</v>
      </c>
      <c r="EH229" s="838">
        <v>-76</v>
      </c>
      <c r="EI229" s="838">
        <v>-75</v>
      </c>
      <c r="EJ229" s="838">
        <v>0</v>
      </c>
      <c r="EK229" s="103">
        <f>SUM(EG229:EJ229)</f>
        <v>-274</v>
      </c>
      <c r="EL229" s="838">
        <v>-123</v>
      </c>
      <c r="EM229" s="838">
        <v>-76</v>
      </c>
      <c r="EN229" s="838">
        <v>-75</v>
      </c>
      <c r="EO229" s="838">
        <v>0</v>
      </c>
      <c r="EP229" s="103">
        <f>SUM(EL229:EO229)</f>
        <v>-274</v>
      </c>
      <c r="EQ229" s="39">
        <f>-(EQ161*EQ151)-(EO161*EO151)</f>
        <v>-147.200625</v>
      </c>
      <c r="ER229" s="39">
        <f t="shared" ref="ER229:ES229" si="1041">-(ER161*ER151)</f>
        <v>-86.008786874999998</v>
      </c>
      <c r="ES229" s="39">
        <f t="shared" si="1041"/>
        <v>-84.503633104687509</v>
      </c>
      <c r="ET229" s="39">
        <v>0</v>
      </c>
      <c r="EU229" s="103">
        <f>SUM(EQ229:ET229)</f>
        <v>-317.71304497968754</v>
      </c>
      <c r="EV229" s="39"/>
      <c r="EW229" s="39"/>
      <c r="EX229" s="39"/>
      <c r="EY229" s="39"/>
      <c r="EZ229" s="118">
        <f>-(EZ161*EZ151)</f>
        <v>-315.49714029216477</v>
      </c>
      <c r="FA229" s="39"/>
      <c r="FB229" s="39"/>
      <c r="FC229" s="39"/>
      <c r="FD229" s="39"/>
      <c r="FE229" s="118">
        <f>-(FE161*FE151)</f>
        <v>-291.83485477025243</v>
      </c>
      <c r="FF229" s="184"/>
      <c r="FG229" s="188"/>
      <c r="FL229" s="400" t="s">
        <v>541</v>
      </c>
      <c r="FM229" s="400"/>
      <c r="FN229" s="381"/>
      <c r="FO229" s="381"/>
      <c r="FP229" s="381"/>
      <c r="FQ229" s="381"/>
      <c r="FR229" s="381"/>
      <c r="FS229" s="381"/>
      <c r="FT229" s="188"/>
    </row>
    <row r="230" spans="1:184" ht="12.75" customHeight="1" x14ac:dyDescent="0.2">
      <c r="A230" s="40" t="s">
        <v>401</v>
      </c>
      <c r="B230" s="829"/>
      <c r="C230" s="829"/>
      <c r="D230" s="829"/>
      <c r="E230" s="829"/>
      <c r="F230" s="279"/>
      <c r="G230" s="829"/>
      <c r="H230" s="829"/>
      <c r="I230" s="829"/>
      <c r="J230" s="829"/>
      <c r="K230" s="279"/>
      <c r="L230" s="829"/>
      <c r="M230" s="829"/>
      <c r="N230" s="829"/>
      <c r="O230" s="829"/>
      <c r="P230" s="848">
        <v>0</v>
      </c>
      <c r="Q230" s="829"/>
      <c r="R230" s="829"/>
      <c r="S230" s="829"/>
      <c r="T230" s="829"/>
      <c r="U230" s="848">
        <v>0</v>
      </c>
      <c r="V230" s="829"/>
      <c r="W230" s="829"/>
      <c r="X230" s="829"/>
      <c r="Y230" s="829"/>
      <c r="Z230" s="848">
        <v>0</v>
      </c>
      <c r="AA230" s="829"/>
      <c r="AB230" s="829"/>
      <c r="AC230" s="829"/>
      <c r="AD230" s="829"/>
      <c r="AE230" s="848">
        <v>0</v>
      </c>
      <c r="AF230" s="829"/>
      <c r="AG230" s="829"/>
      <c r="AH230" s="829"/>
      <c r="AI230" s="829"/>
      <c r="AJ230" s="848">
        <v>0</v>
      </c>
      <c r="AK230" s="829"/>
      <c r="AL230" s="829"/>
      <c r="AM230" s="829"/>
      <c r="AN230" s="829"/>
      <c r="AO230" s="848">
        <v>0</v>
      </c>
      <c r="AP230" s="829"/>
      <c r="AQ230" s="829"/>
      <c r="AR230" s="829"/>
      <c r="AS230" s="829"/>
      <c r="AT230" s="848">
        <v>-100</v>
      </c>
      <c r="AU230" s="829"/>
      <c r="AV230" s="829"/>
      <c r="AW230" s="829"/>
      <c r="AX230" s="829"/>
      <c r="AY230" s="848">
        <v>-90.507000000000005</v>
      </c>
      <c r="AZ230" s="829"/>
      <c r="BA230" s="829"/>
      <c r="BB230" s="829"/>
      <c r="BC230" s="829"/>
      <c r="BD230" s="848">
        <v>-108.67400000000001</v>
      </c>
      <c r="BE230" s="829"/>
      <c r="BF230" s="829"/>
      <c r="BG230" s="829"/>
      <c r="BH230" s="829"/>
      <c r="BI230" s="848">
        <v>0</v>
      </c>
      <c r="BJ230" s="829"/>
      <c r="BK230" s="829"/>
      <c r="BL230" s="829"/>
      <c r="BM230" s="829"/>
      <c r="BN230" s="848">
        <v>0</v>
      </c>
      <c r="BO230" s="829"/>
      <c r="BP230" s="829"/>
      <c r="BQ230" s="829"/>
      <c r="BR230" s="829"/>
      <c r="BS230" s="848">
        <v>0</v>
      </c>
      <c r="BT230" s="829"/>
      <c r="BU230" s="829"/>
      <c r="BV230" s="829"/>
      <c r="BW230" s="829"/>
      <c r="BX230" s="848">
        <v>-246</v>
      </c>
      <c r="BY230" s="829"/>
      <c r="BZ230" s="829"/>
      <c r="CA230" s="829"/>
      <c r="CB230" s="829"/>
      <c r="CC230" s="848">
        <v>-55</v>
      </c>
      <c r="CD230" s="829">
        <v>-214</v>
      </c>
      <c r="CE230" s="829">
        <v>-289</v>
      </c>
      <c r="CF230" s="829">
        <v>-97</v>
      </c>
      <c r="CG230" s="829">
        <v>-200</v>
      </c>
      <c r="CH230" s="103">
        <v>-800</v>
      </c>
      <c r="CI230" s="829">
        <v>-209</v>
      </c>
      <c r="CJ230" s="829">
        <v>-465</v>
      </c>
      <c r="CK230" s="829">
        <v>-327</v>
      </c>
      <c r="CL230" s="829">
        <v>0</v>
      </c>
      <c r="CM230" s="103">
        <v>-1001</v>
      </c>
      <c r="CN230" s="829">
        <v>-54</v>
      </c>
      <c r="CO230" s="829">
        <v>0</v>
      </c>
      <c r="CP230" s="829">
        <v>0</v>
      </c>
      <c r="CQ230" s="829">
        <v>0</v>
      </c>
      <c r="CR230" s="103">
        <v>-54</v>
      </c>
      <c r="CS230" s="829">
        <v>0</v>
      </c>
      <c r="CT230" s="829">
        <v>0</v>
      </c>
      <c r="CU230" s="829">
        <v>0</v>
      </c>
      <c r="CV230" s="829">
        <v>0</v>
      </c>
      <c r="CW230" s="103">
        <f>SUM(CS230:CV230)</f>
        <v>0</v>
      </c>
      <c r="CX230" s="829">
        <v>0</v>
      </c>
      <c r="CY230" s="829">
        <v>0</v>
      </c>
      <c r="CZ230" s="829">
        <v>0</v>
      </c>
      <c r="DA230" s="829">
        <v>0</v>
      </c>
      <c r="DB230" s="103">
        <f>SUM(CX230:DA230)</f>
        <v>0</v>
      </c>
      <c r="DC230" s="829">
        <v>0</v>
      </c>
      <c r="DD230" s="829">
        <v>0</v>
      </c>
      <c r="DE230" s="829">
        <v>-175</v>
      </c>
      <c r="DF230" s="829">
        <v>-50</v>
      </c>
      <c r="DG230" s="103">
        <f>SUM(DC230:DF230)</f>
        <v>-225</v>
      </c>
      <c r="DH230" s="829">
        <v>-50</v>
      </c>
      <c r="DI230" s="829">
        <v>-225</v>
      </c>
      <c r="DJ230" s="829">
        <v>-50</v>
      </c>
      <c r="DK230" s="829">
        <v>-75</v>
      </c>
      <c r="DL230" s="103">
        <f>SUM(DH230:DK230)</f>
        <v>-400</v>
      </c>
      <c r="DM230" s="829">
        <v>-100</v>
      </c>
      <c r="DN230" s="829">
        <v>-251</v>
      </c>
      <c r="DO230" s="829">
        <v>-150</v>
      </c>
      <c r="DP230" s="829">
        <v>-40</v>
      </c>
      <c r="DQ230" s="103">
        <f>SUM(DM230:DP230)</f>
        <v>-541</v>
      </c>
      <c r="DR230" s="829">
        <v>-315</v>
      </c>
      <c r="DS230" s="829">
        <v>-240</v>
      </c>
      <c r="DT230" s="829">
        <v>-200</v>
      </c>
      <c r="DU230" s="829">
        <v>-200</v>
      </c>
      <c r="DV230" s="103">
        <f>SUM(DR230:DU230)</f>
        <v>-955</v>
      </c>
      <c r="DW230" s="829">
        <v>-300</v>
      </c>
      <c r="DX230" s="829">
        <v>-380</v>
      </c>
      <c r="DY230" s="829">
        <v>-500</v>
      </c>
      <c r="DZ230" s="829">
        <f>-1180-DY230-DX230-DW230</f>
        <v>0</v>
      </c>
      <c r="EA230" s="103">
        <f>SUM(DW230:DZ230)</f>
        <v>-1180</v>
      </c>
      <c r="EB230" s="829">
        <v>-500</v>
      </c>
      <c r="EC230" s="829">
        <v>-700</v>
      </c>
      <c r="ED230" s="829">
        <v>-250</v>
      </c>
      <c r="EE230" s="829">
        <f>-1750-SUM(EB230:ED230)</f>
        <v>-300</v>
      </c>
      <c r="EF230" s="103">
        <f>SUM(EB230:EE230)</f>
        <v>-1750</v>
      </c>
      <c r="EG230" s="829">
        <v>-550</v>
      </c>
      <c r="EH230" s="829">
        <v>-400</v>
      </c>
      <c r="EI230" s="829">
        <v>-300</v>
      </c>
      <c r="EJ230" s="829">
        <v>-350</v>
      </c>
      <c r="EK230" s="103">
        <f>SUM(EG230:EJ230)</f>
        <v>-1600</v>
      </c>
      <c r="EL230" s="829">
        <v>-550</v>
      </c>
      <c r="EM230" s="829">
        <v>-400</v>
      </c>
      <c r="EN230" s="829">
        <v>-300</v>
      </c>
      <c r="EO230" s="829">
        <v>-350</v>
      </c>
      <c r="EP230" s="103">
        <f>SUM(EL230:EO230)</f>
        <v>-1600</v>
      </c>
      <c r="EQ230" s="195">
        <f>EQ155*(EQ151-EO151)</f>
        <v>-688.85712780018616</v>
      </c>
      <c r="ER230" s="195">
        <f t="shared" ref="ER230:ET230" si="1042">ER155*(ER151-EQ151)</f>
        <v>-693.72218126527821</v>
      </c>
      <c r="ES230" s="195">
        <f t="shared" si="1042"/>
        <v>-698.62159417045712</v>
      </c>
      <c r="ET230" s="195">
        <f t="shared" si="1042"/>
        <v>-703.55560917929279</v>
      </c>
      <c r="EU230" s="103">
        <f>SUM(EQ230:ET230)</f>
        <v>-2784.7565124152143</v>
      </c>
      <c r="EV230" s="195"/>
      <c r="EW230" s="195"/>
      <c r="EX230" s="195"/>
      <c r="EY230" s="195"/>
      <c r="EZ230" s="516">
        <f>EZ155*(EZ151-EU151)</f>
        <v>-3234.1346620137324</v>
      </c>
      <c r="FA230" s="195"/>
      <c r="FB230" s="195"/>
      <c r="FC230" s="195"/>
      <c r="FD230" s="195"/>
      <c r="FE230" s="516">
        <f>FE155*(FE151-EZ151)</f>
        <v>-3290.7320185989747</v>
      </c>
      <c r="FF230" s="184"/>
      <c r="FG230" s="188"/>
      <c r="FN230" s="381"/>
      <c r="FO230" s="381"/>
      <c r="FP230" s="381"/>
      <c r="FQ230" s="381"/>
      <c r="FR230" s="381"/>
      <c r="FS230" s="381"/>
      <c r="FT230" s="188"/>
    </row>
    <row r="231" spans="1:184" ht="12.75" customHeight="1" x14ac:dyDescent="0.2">
      <c r="A231" s="40" t="s">
        <v>402</v>
      </c>
      <c r="B231" s="829"/>
      <c r="C231" s="829"/>
      <c r="D231" s="829"/>
      <c r="E231" s="829"/>
      <c r="F231" s="279"/>
      <c r="G231" s="829"/>
      <c r="H231" s="829"/>
      <c r="I231" s="829"/>
      <c r="J231" s="829"/>
      <c r="K231" s="279"/>
      <c r="L231" s="829"/>
      <c r="M231" s="829"/>
      <c r="N231" s="829"/>
      <c r="O231" s="829"/>
      <c r="P231" s="848">
        <f>86.946+3.517</f>
        <v>90.462999999999994</v>
      </c>
      <c r="Q231" s="829"/>
      <c r="R231" s="829"/>
      <c r="S231" s="829"/>
      <c r="T231" s="829"/>
      <c r="U231" s="848">
        <v>6.7430000000000003</v>
      </c>
      <c r="V231" s="829"/>
      <c r="W231" s="829"/>
      <c r="X231" s="829"/>
      <c r="Y231" s="829"/>
      <c r="Z231" s="848">
        <v>8.7430000000000003</v>
      </c>
      <c r="AA231" s="829"/>
      <c r="AB231" s="829"/>
      <c r="AC231" s="829"/>
      <c r="AD231" s="829"/>
      <c r="AE231" s="848">
        <v>10.693</v>
      </c>
      <c r="AF231" s="829"/>
      <c r="AG231" s="829"/>
      <c r="AH231" s="829"/>
      <c r="AI231" s="829"/>
      <c r="AJ231" s="848">
        <v>15.592000000000001</v>
      </c>
      <c r="AK231" s="829"/>
      <c r="AL231" s="829"/>
      <c r="AM231" s="829"/>
      <c r="AN231" s="829"/>
      <c r="AO231" s="848">
        <v>40.335000000000001</v>
      </c>
      <c r="AP231" s="829"/>
      <c r="AQ231" s="829"/>
      <c r="AR231" s="829"/>
      <c r="AS231" s="829"/>
      <c r="AT231" s="848">
        <f>44.272</f>
        <v>44.271999999999998</v>
      </c>
      <c r="AU231" s="829"/>
      <c r="AV231" s="829"/>
      <c r="AW231" s="829"/>
      <c r="AX231" s="829"/>
      <c r="AY231" s="848">
        <f>36.605</f>
        <v>36.604999999999997</v>
      </c>
      <c r="AZ231" s="829"/>
      <c r="BA231" s="829"/>
      <c r="BB231" s="829"/>
      <c r="BC231" s="829"/>
      <c r="BD231" s="848">
        <f>70.424</f>
        <v>70.424000000000007</v>
      </c>
      <c r="BE231" s="829"/>
      <c r="BF231" s="829"/>
      <c r="BG231" s="829"/>
      <c r="BH231" s="829"/>
      <c r="BI231" s="848">
        <f>43.541+0</f>
        <v>43.540999999999997</v>
      </c>
      <c r="BJ231" s="829"/>
      <c r="BK231" s="829"/>
      <c r="BL231" s="829"/>
      <c r="BM231" s="829"/>
      <c r="BN231" s="848">
        <f>56.757</f>
        <v>56.756999999999998</v>
      </c>
      <c r="BO231" s="829"/>
      <c r="BP231" s="829"/>
      <c r="BQ231" s="829"/>
      <c r="BR231" s="829"/>
      <c r="BS231" s="848">
        <v>93</v>
      </c>
      <c r="BT231" s="829"/>
      <c r="BU231" s="829"/>
      <c r="BV231" s="829"/>
      <c r="BW231" s="829"/>
      <c r="BX231" s="848">
        <v>88</v>
      </c>
      <c r="BY231" s="829"/>
      <c r="BZ231" s="829"/>
      <c r="CA231" s="829"/>
      <c r="CB231" s="829"/>
      <c r="CC231" s="848">
        <v>132</v>
      </c>
      <c r="CD231" s="829">
        <v>107</v>
      </c>
      <c r="CE231" s="829">
        <v>29</v>
      </c>
      <c r="CF231" s="829">
        <v>90</v>
      </c>
      <c r="CG231" s="829">
        <v>34</v>
      </c>
      <c r="CH231" s="103">
        <v>260</v>
      </c>
      <c r="CI231" s="829">
        <v>78</v>
      </c>
      <c r="CJ231" s="829">
        <v>14</v>
      </c>
      <c r="CK231" s="829">
        <v>36</v>
      </c>
      <c r="CL231" s="829">
        <v>11</v>
      </c>
      <c r="CM231" s="103">
        <v>139</v>
      </c>
      <c r="CN231" s="829">
        <v>11</v>
      </c>
      <c r="CO231" s="829">
        <v>16</v>
      </c>
      <c r="CP231" s="829">
        <v>86</v>
      </c>
      <c r="CQ231" s="829">
        <v>4</v>
      </c>
      <c r="CR231" s="103">
        <v>117</v>
      </c>
      <c r="CS231" s="829">
        <v>4.2759999999999998</v>
      </c>
      <c r="CT231" s="829">
        <v>4.8149999999999995</v>
      </c>
      <c r="CU231" s="829">
        <v>4.298</v>
      </c>
      <c r="CV231" s="829">
        <v>63.805</v>
      </c>
      <c r="CW231" s="103">
        <f>SUM(CS231:CV231)</f>
        <v>77.194000000000003</v>
      </c>
      <c r="CX231" s="829">
        <v>12.276</v>
      </c>
      <c r="CY231" s="829">
        <v>23.382000000000001</v>
      </c>
      <c r="CZ231" s="829">
        <v>10.273</v>
      </c>
      <c r="DA231" s="829">
        <v>10.593999999999999</v>
      </c>
      <c r="DB231" s="103">
        <f>SUM(CX231:DA231)</f>
        <v>56.524999999999999</v>
      </c>
      <c r="DC231" s="829">
        <v>4.4189999999999996</v>
      </c>
      <c r="DD231" s="829">
        <v>27</v>
      </c>
      <c r="DE231" s="829">
        <v>4</v>
      </c>
      <c r="DF231" s="829">
        <v>4</v>
      </c>
      <c r="DG231" s="103">
        <f>SUM(DC231:DF231)</f>
        <v>39.418999999999997</v>
      </c>
      <c r="DH231" s="829">
        <v>0</v>
      </c>
      <c r="DI231" s="829">
        <v>12</v>
      </c>
      <c r="DJ231" s="829">
        <v>5</v>
      </c>
      <c r="DK231" s="829">
        <v>5</v>
      </c>
      <c r="DL231" s="103">
        <f>SUM(DH231:DK231)</f>
        <v>22</v>
      </c>
      <c r="DM231" s="829">
        <v>0</v>
      </c>
      <c r="DN231" s="829">
        <v>0</v>
      </c>
      <c r="DO231" s="829">
        <v>0</v>
      </c>
      <c r="DP231" s="829">
        <v>0</v>
      </c>
      <c r="DQ231" s="103">
        <f>SUM(DM231:DP231)</f>
        <v>0</v>
      </c>
      <c r="DR231" s="829">
        <v>0</v>
      </c>
      <c r="DS231" s="829">
        <v>0</v>
      </c>
      <c r="DT231" s="829">
        <v>0</v>
      </c>
      <c r="DU231" s="829">
        <v>0</v>
      </c>
      <c r="DV231" s="103">
        <f>SUM(DR231:DU231)</f>
        <v>0</v>
      </c>
      <c r="DW231" s="829">
        <v>0</v>
      </c>
      <c r="DX231" s="829">
        <v>0</v>
      </c>
      <c r="DY231" s="829">
        <v>0</v>
      </c>
      <c r="DZ231" s="829">
        <v>0</v>
      </c>
      <c r="EA231" s="103">
        <f>SUM(DW231:DZ231)</f>
        <v>0</v>
      </c>
      <c r="EB231" s="829">
        <v>0</v>
      </c>
      <c r="EC231" s="829">
        <v>0</v>
      </c>
      <c r="ED231" s="829">
        <v>0</v>
      </c>
      <c r="EE231" s="829">
        <v>0</v>
      </c>
      <c r="EF231" s="103">
        <f>SUM(EB231:EE231)</f>
        <v>0</v>
      </c>
      <c r="EG231" s="829">
        <v>0</v>
      </c>
      <c r="EH231" s="829">
        <v>0</v>
      </c>
      <c r="EI231" s="829">
        <v>0</v>
      </c>
      <c r="EJ231" s="829">
        <v>0</v>
      </c>
      <c r="EK231" s="103">
        <f>SUM(EG231:EJ231)</f>
        <v>0</v>
      </c>
      <c r="EL231" s="829">
        <v>0</v>
      </c>
      <c r="EM231" s="829">
        <v>0</v>
      </c>
      <c r="EN231" s="829">
        <v>0</v>
      </c>
      <c r="EO231" s="829">
        <v>0</v>
      </c>
      <c r="EP231" s="103">
        <f>SUM(EL231:EO231)</f>
        <v>0</v>
      </c>
      <c r="EQ231" s="47">
        <v>0</v>
      </c>
      <c r="ER231" s="47">
        <v>0</v>
      </c>
      <c r="ES231" s="47">
        <v>0</v>
      </c>
      <c r="ET231" s="47">
        <v>0</v>
      </c>
      <c r="EU231" s="103">
        <f>SUM(EQ231:ET231)</f>
        <v>0</v>
      </c>
      <c r="EV231" s="47"/>
      <c r="EW231" s="47"/>
      <c r="EX231" s="47"/>
      <c r="EY231" s="47"/>
      <c r="EZ231" s="118">
        <v>0</v>
      </c>
      <c r="FA231" s="47"/>
      <c r="FB231" s="47"/>
      <c r="FC231" s="47"/>
      <c r="FD231" s="47"/>
      <c r="FE231" s="118">
        <v>0</v>
      </c>
      <c r="FF231" s="184"/>
      <c r="FG231" s="188"/>
      <c r="FL231" s="428" t="s">
        <v>594</v>
      </c>
      <c r="FO231" s="381"/>
      <c r="FP231" s="381"/>
      <c r="FQ231" s="381"/>
      <c r="FR231" s="381"/>
      <c r="FS231" s="381"/>
      <c r="FT231" s="188"/>
    </row>
    <row r="232" spans="1:184" s="17" customFormat="1" ht="12.75" customHeight="1" x14ac:dyDescent="0.2">
      <c r="A232" s="160" t="s">
        <v>403</v>
      </c>
      <c r="B232" s="37"/>
      <c r="C232" s="37"/>
      <c r="D232" s="37"/>
      <c r="E232" s="37"/>
      <c r="F232" s="266"/>
      <c r="G232" s="37"/>
      <c r="H232" s="37"/>
      <c r="I232" s="37"/>
      <c r="J232" s="37"/>
      <c r="K232" s="266"/>
      <c r="L232" s="37"/>
      <c r="M232" s="37"/>
      <c r="N232" s="37"/>
      <c r="O232" s="37"/>
      <c r="P232" s="106">
        <f>SUM(P229:P231)</f>
        <v>85.572999999999993</v>
      </c>
      <c r="Q232" s="37"/>
      <c r="R232" s="37"/>
      <c r="S232" s="37"/>
      <c r="T232" s="37"/>
      <c r="U232" s="106">
        <f>SUM(U229:U231)</f>
        <v>1.367</v>
      </c>
      <c r="V232" s="37"/>
      <c r="W232" s="37"/>
      <c r="X232" s="37"/>
      <c r="Y232" s="37"/>
      <c r="Z232" s="106">
        <f>SUM(Z229:Z231)</f>
        <v>3.0209999999999999</v>
      </c>
      <c r="AA232" s="37"/>
      <c r="AB232" s="37"/>
      <c r="AC232" s="37"/>
      <c r="AD232" s="37"/>
      <c r="AE232" s="106">
        <f>SUM(AE229:AE231)</f>
        <v>4.944</v>
      </c>
      <c r="AF232" s="37"/>
      <c r="AG232" s="37"/>
      <c r="AH232" s="37"/>
      <c r="AI232" s="37"/>
      <c r="AJ232" s="106">
        <f>SUM(AJ229:AJ231)</f>
        <v>9.3760000000000012</v>
      </c>
      <c r="AK232" s="37"/>
      <c r="AL232" s="37"/>
      <c r="AM232" s="37"/>
      <c r="AN232" s="37"/>
      <c r="AO232" s="106">
        <f>SUM(AO229:AO231)</f>
        <v>33.742000000000004</v>
      </c>
      <c r="AP232" s="37"/>
      <c r="AQ232" s="37"/>
      <c r="AR232" s="37"/>
      <c r="AS232" s="37"/>
      <c r="AT232" s="106">
        <f>SUM(AT229:AT231)</f>
        <v>-65.012</v>
      </c>
      <c r="AU232" s="37"/>
      <c r="AV232" s="37"/>
      <c r="AW232" s="37"/>
      <c r="AX232" s="37"/>
      <c r="AY232" s="106">
        <f>SUM(AY229:AY231)</f>
        <v>-64.744</v>
      </c>
      <c r="AZ232" s="37"/>
      <c r="BA232" s="37"/>
      <c r="BB232" s="37"/>
      <c r="BC232" s="37"/>
      <c r="BD232" s="106">
        <f>SUM(BD229:BD231)</f>
        <v>-49.227999999999994</v>
      </c>
      <c r="BE232" s="37"/>
      <c r="BF232" s="37"/>
      <c r="BG232" s="37"/>
      <c r="BH232" s="37"/>
      <c r="BI232" s="106">
        <f>SUM(BI229:BI231)</f>
        <v>30.100999999999999</v>
      </c>
      <c r="BJ232" s="37"/>
      <c r="BK232" s="37"/>
      <c r="BL232" s="37"/>
      <c r="BM232" s="37"/>
      <c r="BN232" s="106">
        <f>SUM(BN229:BN231)</f>
        <v>42.884999999999998</v>
      </c>
      <c r="BO232" s="37"/>
      <c r="BP232" s="37"/>
      <c r="BQ232" s="37"/>
      <c r="BR232" s="37"/>
      <c r="BS232" s="106">
        <f>SUM(BS229:BS231)</f>
        <v>79</v>
      </c>
      <c r="BT232" s="37"/>
      <c r="BU232" s="37"/>
      <c r="BV232" s="37"/>
      <c r="BW232" s="37"/>
      <c r="BX232" s="106">
        <f>SUM(BX229:BX231)</f>
        <v>-172</v>
      </c>
      <c r="BY232" s="37"/>
      <c r="BZ232" s="37"/>
      <c r="CA232" s="37"/>
      <c r="CB232" s="37"/>
      <c r="CC232" s="106">
        <f t="shared" ref="CC232:DV232" si="1043">SUM(CC229:CC231)</f>
        <v>63</v>
      </c>
      <c r="CD232" s="37">
        <f t="shared" si="1043"/>
        <v>-114</v>
      </c>
      <c r="CE232" s="37">
        <f t="shared" si="1043"/>
        <v>-264</v>
      </c>
      <c r="CF232" s="37">
        <f t="shared" si="1043"/>
        <v>-10</v>
      </c>
      <c r="CG232" s="37">
        <f t="shared" si="1043"/>
        <v>-166</v>
      </c>
      <c r="CH232" s="106">
        <f t="shared" si="1043"/>
        <v>-554</v>
      </c>
      <c r="CI232" s="37">
        <f t="shared" si="1043"/>
        <v>-138</v>
      </c>
      <c r="CJ232" s="37">
        <f t="shared" si="1043"/>
        <v>-455</v>
      </c>
      <c r="CK232" s="37">
        <f t="shared" si="1043"/>
        <v>-294</v>
      </c>
      <c r="CL232" s="37">
        <f t="shared" si="1043"/>
        <v>11</v>
      </c>
      <c r="CM232" s="106">
        <f t="shared" si="1043"/>
        <v>-876</v>
      </c>
      <c r="CN232" s="37">
        <f t="shared" si="1043"/>
        <v>-50</v>
      </c>
      <c r="CO232" s="37">
        <f t="shared" si="1043"/>
        <v>13</v>
      </c>
      <c r="CP232" s="37">
        <f t="shared" si="1043"/>
        <v>83</v>
      </c>
      <c r="CQ232" s="37">
        <f t="shared" si="1043"/>
        <v>4</v>
      </c>
      <c r="CR232" s="106">
        <f t="shared" si="1043"/>
        <v>50</v>
      </c>
      <c r="CS232" s="37">
        <f t="shared" si="1043"/>
        <v>-2.7240000000000002</v>
      </c>
      <c r="CT232" s="37">
        <f t="shared" si="1043"/>
        <v>1.8149999999999995</v>
      </c>
      <c r="CU232" s="37">
        <f t="shared" si="1043"/>
        <v>1.298</v>
      </c>
      <c r="CV232" s="37">
        <f t="shared" si="1043"/>
        <v>63.805</v>
      </c>
      <c r="CW232" s="106">
        <f t="shared" si="1043"/>
        <v>64.194000000000003</v>
      </c>
      <c r="CX232" s="37">
        <f>SUM(CX229:CX231)</f>
        <v>5.2759999999999998</v>
      </c>
      <c r="CY232" s="37">
        <f>SUM(CY229:CY231)</f>
        <v>20.382000000000001</v>
      </c>
      <c r="CZ232" s="37">
        <f>SUM(CZ229:CZ231)</f>
        <v>7.2729999999999997</v>
      </c>
      <c r="DA232" s="37">
        <f>SUM(DA229:DA231)</f>
        <v>10.593999999999999</v>
      </c>
      <c r="DB232" s="106">
        <f t="shared" si="1043"/>
        <v>43.524999999999999</v>
      </c>
      <c r="DC232" s="37">
        <f>SUM(DC229:DC231)</f>
        <v>-2.5810000000000004</v>
      </c>
      <c r="DD232" s="37">
        <f>SUM(DD229:DD231)</f>
        <v>24</v>
      </c>
      <c r="DE232" s="37">
        <f>SUM(DE229:DE231)</f>
        <v>-174</v>
      </c>
      <c r="DF232" s="37">
        <f>SUM(DF229:DF231)</f>
        <v>-46</v>
      </c>
      <c r="DG232" s="106">
        <f t="shared" si="1043"/>
        <v>-198.58100000000002</v>
      </c>
      <c r="DH232" s="37">
        <f t="shared" si="1043"/>
        <v>-57</v>
      </c>
      <c r="DI232" s="37">
        <f t="shared" si="1043"/>
        <v>-221</v>
      </c>
      <c r="DJ232" s="37">
        <f t="shared" si="1043"/>
        <v>-52</v>
      </c>
      <c r="DK232" s="37">
        <f t="shared" si="1043"/>
        <v>-70</v>
      </c>
      <c r="DL232" s="106">
        <f t="shared" si="1043"/>
        <v>-400</v>
      </c>
      <c r="DM232" s="37">
        <f t="shared" si="1043"/>
        <v>-115</v>
      </c>
      <c r="DN232" s="37">
        <f t="shared" si="1043"/>
        <v>-279</v>
      </c>
      <c r="DO232" s="37">
        <f t="shared" si="1043"/>
        <v>-178</v>
      </c>
      <c r="DP232" s="37">
        <f t="shared" si="1043"/>
        <v>-40</v>
      </c>
      <c r="DQ232" s="106">
        <f t="shared" si="1043"/>
        <v>-612</v>
      </c>
      <c r="DR232" s="37">
        <f t="shared" si="1043"/>
        <v>-371</v>
      </c>
      <c r="DS232" s="37">
        <f>SUM(DS229:DS231)</f>
        <v>-282</v>
      </c>
      <c r="DT232" s="37">
        <f>SUM(DT229:DT231)</f>
        <v>-241</v>
      </c>
      <c r="DU232" s="37">
        <f>SUM(DU229:DU231)</f>
        <v>-200</v>
      </c>
      <c r="DV232" s="106">
        <f t="shared" si="1043"/>
        <v>-1094</v>
      </c>
      <c r="DW232" s="37">
        <f t="shared" ref="DW232:EH232" si="1044">SUM(DW229:DW231)</f>
        <v>-381</v>
      </c>
      <c r="DX232" s="37">
        <f t="shared" si="1044"/>
        <v>-430</v>
      </c>
      <c r="DY232" s="37">
        <f t="shared" si="1044"/>
        <v>-549</v>
      </c>
      <c r="DZ232" s="37">
        <f t="shared" si="1044"/>
        <v>0</v>
      </c>
      <c r="EA232" s="106">
        <f t="shared" si="1044"/>
        <v>-1360</v>
      </c>
      <c r="EB232" s="37">
        <f t="shared" si="1044"/>
        <v>-596</v>
      </c>
      <c r="EC232" s="37">
        <f t="shared" si="1044"/>
        <v>-763</v>
      </c>
      <c r="ED232" s="37">
        <f t="shared" si="1044"/>
        <v>-312</v>
      </c>
      <c r="EE232" s="37">
        <f>SUM(EE229:EE231)</f>
        <v>-301</v>
      </c>
      <c r="EF232" s="106">
        <f t="shared" si="1044"/>
        <v>-1972</v>
      </c>
      <c r="EG232" s="37">
        <f t="shared" si="1044"/>
        <v>-673</v>
      </c>
      <c r="EH232" s="37">
        <f t="shared" si="1044"/>
        <v>-476</v>
      </c>
      <c r="EI232" s="37">
        <f t="shared" ref="EI232:EM232" si="1045">SUM(EI229:EI231)</f>
        <v>-375</v>
      </c>
      <c r="EJ232" s="37">
        <f t="shared" si="1045"/>
        <v>-350</v>
      </c>
      <c r="EK232" s="106">
        <f t="shared" si="1045"/>
        <v>-1874</v>
      </c>
      <c r="EL232" s="37">
        <f t="shared" si="1045"/>
        <v>-673</v>
      </c>
      <c r="EM232" s="37">
        <f t="shared" si="1045"/>
        <v>-476</v>
      </c>
      <c r="EN232" s="37">
        <f t="shared" ref="EN232:EP232" si="1046">SUM(EN229:EN231)</f>
        <v>-375</v>
      </c>
      <c r="EO232" s="37">
        <f t="shared" si="1046"/>
        <v>-350</v>
      </c>
      <c r="EP232" s="106">
        <f t="shared" si="1046"/>
        <v>-1874</v>
      </c>
      <c r="EQ232" s="37">
        <f t="shared" ref="EQ232:ET232" si="1047">SUM(EQ229:EQ231)</f>
        <v>-836.05775280018611</v>
      </c>
      <c r="ER232" s="37">
        <f t="shared" si="1047"/>
        <v>-779.73096814027826</v>
      </c>
      <c r="ES232" s="37">
        <f t="shared" si="1047"/>
        <v>-783.12522727514465</v>
      </c>
      <c r="ET232" s="37">
        <f t="shared" si="1047"/>
        <v>-703.55560917929279</v>
      </c>
      <c r="EU232" s="106">
        <f>SUM(EU229:EU231)</f>
        <v>-3102.469557394902</v>
      </c>
      <c r="EV232" s="37"/>
      <c r="EW232" s="37"/>
      <c r="EX232" s="37"/>
      <c r="EY232" s="37"/>
      <c r="EZ232" s="106">
        <f>SUM(EZ229:EZ231)</f>
        <v>-3549.6318023058971</v>
      </c>
      <c r="FA232" s="37"/>
      <c r="FB232" s="37"/>
      <c r="FC232" s="37"/>
      <c r="FD232" s="37"/>
      <c r="FE232" s="106">
        <f>SUM(FE229:FE231)</f>
        <v>-3582.5668733692273</v>
      </c>
      <c r="FF232" s="186"/>
      <c r="FG232" s="466"/>
      <c r="FH232" s="401"/>
      <c r="FI232" s="402"/>
      <c r="FJ232" s="402"/>
      <c r="FK232" s="402"/>
      <c r="FL232" s="411" t="s">
        <v>595</v>
      </c>
      <c r="FM232" s="400"/>
      <c r="FN232" s="392"/>
      <c r="FO232" s="404"/>
      <c r="FP232" s="404"/>
      <c r="FQ232" s="404"/>
      <c r="FR232" s="404"/>
      <c r="FS232" s="404"/>
      <c r="FT232" s="466"/>
      <c r="FU232"/>
      <c r="FV232"/>
      <c r="FW232"/>
      <c r="FX232"/>
      <c r="FY232"/>
      <c r="FZ232"/>
      <c r="GA232" s="403"/>
      <c r="GB232" s="405"/>
    </row>
    <row r="233" spans="1:184" s="17" customFormat="1" ht="12.75" customHeight="1" x14ac:dyDescent="0.2">
      <c r="A233" s="595" t="s">
        <v>467</v>
      </c>
      <c r="B233" s="24"/>
      <c r="C233" s="24"/>
      <c r="D233" s="24"/>
      <c r="E233" s="24"/>
      <c r="F233" s="266"/>
      <c r="G233" s="24"/>
      <c r="H233" s="24"/>
      <c r="I233" s="24"/>
      <c r="J233" s="24"/>
      <c r="K233" s="266"/>
      <c r="L233" s="24"/>
      <c r="M233" s="24"/>
      <c r="N233" s="24"/>
      <c r="O233" s="24"/>
      <c r="P233" s="103"/>
      <c r="Q233" s="24"/>
      <c r="R233" s="24"/>
      <c r="S233" s="24"/>
      <c r="T233" s="24"/>
      <c r="U233" s="103"/>
      <c r="V233" s="24"/>
      <c r="W233" s="24"/>
      <c r="X233" s="24"/>
      <c r="Y233" s="24"/>
      <c r="Z233" s="103">
        <f>-SUM(Z229:Z230)/Z224</f>
        <v>-1.5218773189213343E-2</v>
      </c>
      <c r="AA233" s="24"/>
      <c r="AB233" s="24"/>
      <c r="AC233" s="24"/>
      <c r="AD233" s="24"/>
      <c r="AE233" s="103">
        <f>-SUM(AE229:AE230)/AE224</f>
        <v>-2.1120422041065238E-2</v>
      </c>
      <c r="AF233" s="24"/>
      <c r="AG233" s="24"/>
      <c r="AH233" s="24"/>
      <c r="AI233" s="24"/>
      <c r="AJ233" s="103">
        <f>-SUM(AJ229:AJ230)/AJ224</f>
        <v>-9.9930871501374391E-2</v>
      </c>
      <c r="AK233" s="24"/>
      <c r="AL233" s="24"/>
      <c r="AM233" s="24"/>
      <c r="AN233" s="24"/>
      <c r="AO233" s="103">
        <f>-SUM(AO229:AO230)/AO224</f>
        <v>-8.4159869286051583E-2</v>
      </c>
      <c r="AP233" s="24"/>
      <c r="AQ233" s="24"/>
      <c r="AR233" s="24"/>
      <c r="AS233" s="24"/>
      <c r="AT233" s="103">
        <f>-SUM(AT229:AT230)/AT224</f>
        <v>-1.7926871278358292</v>
      </c>
      <c r="AU233" s="24"/>
      <c r="AV233" s="24"/>
      <c r="AW233" s="24"/>
      <c r="AX233" s="24"/>
      <c r="AY233" s="103">
        <f>-SUM(AY229:AY230)/AY224</f>
        <v>-0.73207359091598578</v>
      </c>
      <c r="AZ233" s="24"/>
      <c r="BA233" s="24"/>
      <c r="BB233" s="24"/>
      <c r="BC233" s="24"/>
      <c r="BD233" s="103">
        <f>-SUM(BD229:BD230)/BD224</f>
        <v>0.73118148152674722</v>
      </c>
      <c r="BE233" s="24"/>
      <c r="BF233" s="24"/>
      <c r="BG233" s="24"/>
      <c r="BH233" s="24"/>
      <c r="BI233" s="103">
        <f>-SUM(BI229:BI230)/BI224</f>
        <v>2.7610859449631753E-2</v>
      </c>
      <c r="BJ233" s="24"/>
      <c r="BK233" s="24"/>
      <c r="BL233" s="24"/>
      <c r="BM233" s="24"/>
      <c r="BN233" s="103">
        <f>-SUM(BN229:BN230)/BN224</f>
        <v>-0.16743310279900062</v>
      </c>
      <c r="BO233" s="24"/>
      <c r="BP233" s="24"/>
      <c r="BQ233" s="24"/>
      <c r="BR233" s="24"/>
      <c r="BS233" s="103">
        <f>-SUM(BS229:BS230)/BS224</f>
        <v>0.14285714285714285</v>
      </c>
      <c r="BT233" s="24"/>
      <c r="BU233" s="24"/>
      <c r="BV233" s="24"/>
      <c r="BW233" s="24"/>
      <c r="BX233" s="103">
        <f>-SUM(BX229:BX230)/BX224</f>
        <v>-0.42071197411003236</v>
      </c>
      <c r="BY233" s="24"/>
      <c r="BZ233" s="24"/>
      <c r="CA233" s="24"/>
      <c r="CB233" s="24"/>
      <c r="CC233" s="103">
        <f>-SUM(CC229:CC230)/CC224</f>
        <v>7.5991189427312769E-2</v>
      </c>
      <c r="CD233" s="24"/>
      <c r="CE233" s="24"/>
      <c r="CF233" s="24"/>
      <c r="CG233" s="24"/>
      <c r="CH233" s="104">
        <f>-SUM(CH229:CH230)/CH224</f>
        <v>116.28571428571429</v>
      </c>
      <c r="CI233" s="24"/>
      <c r="CJ233" s="24"/>
      <c r="CK233" s="24"/>
      <c r="CL233" s="24"/>
      <c r="CM233" s="104">
        <f>-SUM(CM229:CM230)/CM224</f>
        <v>0.67040951122853365</v>
      </c>
      <c r="CN233" s="24"/>
      <c r="CO233" s="24"/>
      <c r="CP233" s="24"/>
      <c r="CQ233" s="24"/>
      <c r="CR233" s="104">
        <f>-SUM(CR229:CR230)/CR224</f>
        <v>-2.7414075286415714E-2</v>
      </c>
      <c r="CS233" s="24"/>
      <c r="CT233" s="24"/>
      <c r="CU233" s="24"/>
      <c r="CV233" s="24"/>
      <c r="CW233" s="104">
        <f>-SUM(CW229:CW230)/CW224</f>
        <v>3.0419603328372583E-2</v>
      </c>
      <c r="CX233" s="24"/>
      <c r="CY233" s="24"/>
      <c r="CZ233" s="24"/>
      <c r="DA233" s="24"/>
      <c r="DB233" s="104">
        <f>-SUM(DB229:DB230)/DB224</f>
        <v>1.0745337969808907E-2</v>
      </c>
      <c r="DC233" s="24"/>
      <c r="DD233" s="24"/>
      <c r="DE233" s="24"/>
      <c r="DF233" s="24"/>
      <c r="DG233" s="104">
        <f>-SUM(DG229:DG230)/DG224</f>
        <v>0.4618059328479846</v>
      </c>
      <c r="DH233" s="24"/>
      <c r="DI233" s="24"/>
      <c r="DJ233" s="24"/>
      <c r="DK233" s="24"/>
      <c r="DL233" s="104">
        <f>-SUM(DL229:DL230)/DL224</f>
        <v>0.58774373259052926</v>
      </c>
      <c r="DM233" s="24"/>
      <c r="DN233" s="24"/>
      <c r="DO233" s="24"/>
      <c r="DP233" s="24"/>
      <c r="DQ233" s="104">
        <f>-SUM(DQ229:DQ230)/DQ224</f>
        <v>0.58564593301435408</v>
      </c>
      <c r="DR233" s="24"/>
      <c r="DS233" s="24"/>
      <c r="DT233" s="24"/>
      <c r="DU233" s="24"/>
      <c r="DV233" s="104">
        <f>-SUM(DV229:DV230)/DV224</f>
        <v>1.0186219739292366</v>
      </c>
      <c r="DW233" s="24"/>
      <c r="DX233" s="24"/>
      <c r="DY233" s="24"/>
      <c r="DZ233" s="24"/>
      <c r="EA233" s="104">
        <f>-SUM(EA229:EA230)/EA224</f>
        <v>1.2420091324200913</v>
      </c>
      <c r="EB233" s="24"/>
      <c r="EC233" s="24"/>
      <c r="ED233" s="24"/>
      <c r="EE233" s="24"/>
      <c r="EF233" s="104"/>
      <c r="EG233" s="24"/>
      <c r="EH233" s="24"/>
      <c r="EI233" s="24"/>
      <c r="EJ233" s="24"/>
      <c r="EK233" s="104"/>
      <c r="EL233" s="24"/>
      <c r="EM233" s="24"/>
      <c r="EN233" s="24"/>
      <c r="EO233" s="24"/>
      <c r="EP233" s="104"/>
      <c r="EQ233" s="24"/>
      <c r="ER233" s="24"/>
      <c r="ES233" s="24"/>
      <c r="ET233" s="24"/>
      <c r="EU233" s="104">
        <f>-SUM(EU229:EU230)/EU224</f>
        <v>1.146560856954691</v>
      </c>
      <c r="EV233" s="24"/>
      <c r="EW233" s="24"/>
      <c r="EX233" s="24"/>
      <c r="EY233" s="24"/>
      <c r="EZ233" s="104">
        <f>-SUM(EZ229:EZ230)/EZ224</f>
        <v>1.08900212910058</v>
      </c>
      <c r="FA233" s="24"/>
      <c r="FB233" s="24"/>
      <c r="FC233" s="24"/>
      <c r="FD233" s="24"/>
      <c r="FE233" s="104">
        <f>-SUM(FE229:FE230)/FE224</f>
        <v>0.94639231453560824</v>
      </c>
      <c r="FF233" s="186"/>
      <c r="FG233" s="466"/>
      <c r="FH233" s="401"/>
      <c r="FI233" s="402"/>
      <c r="FJ233" s="402"/>
      <c r="FK233" s="402"/>
      <c r="FL233" s="411" t="s">
        <v>596</v>
      </c>
      <c r="FM233" s="400"/>
      <c r="FN233" s="392"/>
      <c r="FO233" s="404"/>
      <c r="FP233" s="404"/>
      <c r="FQ233" s="404"/>
      <c r="FR233" s="404"/>
      <c r="FS233" s="404"/>
      <c r="FT233" s="466"/>
      <c r="FU233"/>
      <c r="FV233"/>
      <c r="FW233"/>
      <c r="FX233"/>
      <c r="FY233"/>
      <c r="FZ233"/>
      <c r="GA233" s="403"/>
      <c r="GB233" s="405"/>
    </row>
    <row r="234" spans="1:184" ht="12.75" customHeight="1" x14ac:dyDescent="0.2">
      <c r="A234" s="40" t="s">
        <v>404</v>
      </c>
      <c r="B234" s="33"/>
      <c r="C234" s="33"/>
      <c r="D234" s="33"/>
      <c r="E234" s="33"/>
      <c r="F234" s="279"/>
      <c r="G234" s="33"/>
      <c r="H234" s="33"/>
      <c r="I234" s="33"/>
      <c r="J234" s="33"/>
      <c r="K234" s="279"/>
      <c r="L234" s="33"/>
      <c r="M234" s="33"/>
      <c r="N234" s="33"/>
      <c r="O234" s="33"/>
      <c r="P234" s="103"/>
      <c r="Q234" s="33"/>
      <c r="R234" s="33"/>
      <c r="S234" s="33"/>
      <c r="T234" s="33"/>
      <c r="U234" s="103"/>
      <c r="V234" s="33"/>
      <c r="W234" s="33"/>
      <c r="X234" s="33"/>
      <c r="Y234" s="33"/>
      <c r="Z234" s="103"/>
      <c r="AA234" s="33"/>
      <c r="AB234" s="33"/>
      <c r="AC234" s="33"/>
      <c r="AD234" s="33"/>
      <c r="AE234" s="103"/>
      <c r="AF234" s="33"/>
      <c r="AG234" s="33"/>
      <c r="AH234" s="33"/>
      <c r="AI234" s="33"/>
      <c r="AJ234" s="103"/>
      <c r="AK234" s="33"/>
      <c r="AL234" s="33"/>
      <c r="AM234" s="33"/>
      <c r="AN234" s="33"/>
      <c r="AO234" s="103"/>
      <c r="AP234" s="33"/>
      <c r="AQ234" s="33"/>
      <c r="AR234" s="33"/>
      <c r="AS234" s="33"/>
      <c r="AT234" s="103"/>
      <c r="AU234" s="33"/>
      <c r="AV234" s="33"/>
      <c r="AW234" s="33"/>
      <c r="AX234" s="33"/>
      <c r="AY234" s="103"/>
      <c r="AZ234" s="33"/>
      <c r="BA234" s="33"/>
      <c r="BB234" s="33"/>
      <c r="BC234" s="33"/>
      <c r="BD234" s="103"/>
      <c r="BE234" s="33"/>
      <c r="BF234" s="33"/>
      <c r="BG234" s="33"/>
      <c r="BH234" s="33"/>
      <c r="BI234" s="103"/>
      <c r="BJ234" s="33"/>
      <c r="BK234" s="33"/>
      <c r="BL234" s="33"/>
      <c r="BM234" s="33"/>
      <c r="BN234" s="103"/>
      <c r="BO234" s="33"/>
      <c r="BP234" s="33"/>
      <c r="BQ234" s="33"/>
      <c r="BR234" s="33"/>
      <c r="BS234" s="103"/>
      <c r="BT234" s="33"/>
      <c r="BU234" s="33"/>
      <c r="BV234" s="33"/>
      <c r="BW234" s="33"/>
      <c r="BX234" s="103"/>
      <c r="BY234" s="33"/>
      <c r="BZ234" s="33"/>
      <c r="CA234" s="33"/>
      <c r="CB234" s="33"/>
      <c r="CC234" s="103"/>
      <c r="CD234" s="33"/>
      <c r="CE234" s="33"/>
      <c r="CF234" s="33"/>
      <c r="CG234" s="33"/>
      <c r="CH234" s="103"/>
      <c r="CI234" s="33"/>
      <c r="CJ234" s="33"/>
      <c r="CK234" s="33"/>
      <c r="CL234" s="33"/>
      <c r="CM234" s="103"/>
      <c r="CN234" s="33"/>
      <c r="CO234" s="33"/>
      <c r="CP234" s="33"/>
      <c r="CQ234" s="33"/>
      <c r="CR234" s="103"/>
      <c r="CS234" s="33"/>
      <c r="CT234" s="33"/>
      <c r="CU234" s="33"/>
      <c r="CV234" s="33"/>
      <c r="CW234" s="103"/>
      <c r="CX234" s="33"/>
      <c r="CY234" s="33"/>
      <c r="CZ234" s="33"/>
      <c r="DA234" s="33"/>
      <c r="DB234" s="103"/>
      <c r="DC234" s="33"/>
      <c r="DD234" s="33"/>
      <c r="DE234" s="33"/>
      <c r="DF234" s="33"/>
      <c r="DG234" s="103"/>
      <c r="DH234" s="33"/>
      <c r="DI234" s="33"/>
      <c r="DJ234" s="33"/>
      <c r="DK234" s="33"/>
      <c r="DL234" s="103"/>
      <c r="DM234" s="33"/>
      <c r="DN234" s="33"/>
      <c r="DO234" s="33"/>
      <c r="DP234" s="33"/>
      <c r="DQ234" s="103"/>
      <c r="DR234" s="33"/>
      <c r="DS234" s="33"/>
      <c r="DT234" s="33"/>
      <c r="DU234" s="33"/>
      <c r="DV234" s="103"/>
      <c r="DW234" s="33"/>
      <c r="DX234" s="33"/>
      <c r="DY234" s="33"/>
      <c r="DZ234" s="33"/>
      <c r="EA234" s="103"/>
      <c r="EB234" s="33"/>
      <c r="EC234" s="33"/>
      <c r="ED234" s="33"/>
      <c r="EE234" s="33"/>
      <c r="EF234" s="103"/>
      <c r="EG234" s="33"/>
      <c r="EH234" s="33"/>
      <c r="EI234" s="33"/>
      <c r="EJ234" s="33"/>
      <c r="EK234" s="103"/>
      <c r="EL234" s="33"/>
      <c r="EM234" s="33"/>
      <c r="EN234" s="33"/>
      <c r="EO234" s="33"/>
      <c r="EP234" s="103"/>
      <c r="EQ234" s="33"/>
      <c r="ER234" s="33"/>
      <c r="ES234" s="33"/>
      <c r="ET234" s="33"/>
      <c r="EU234" s="103">
        <f>-EU220</f>
        <v>0</v>
      </c>
      <c r="EV234" s="33"/>
      <c r="EW234" s="33"/>
      <c r="EX234" s="33"/>
      <c r="EY234" s="33"/>
      <c r="EZ234" s="103">
        <f>-EZ220</f>
        <v>0</v>
      </c>
      <c r="FA234" s="33"/>
      <c r="FB234" s="33"/>
      <c r="FC234" s="33"/>
      <c r="FD234" s="33"/>
      <c r="FE234" s="103">
        <f>-FE220</f>
        <v>0</v>
      </c>
      <c r="FF234" s="184"/>
      <c r="FG234" s="188"/>
      <c r="FL234" s="411" t="s">
        <v>597</v>
      </c>
      <c r="FM234" s="400"/>
      <c r="FO234" s="381"/>
      <c r="FP234" s="381"/>
      <c r="FQ234" s="381"/>
      <c r="FR234" s="381"/>
      <c r="FS234" s="381"/>
      <c r="FT234" s="188"/>
    </row>
    <row r="235" spans="1:184" ht="12.75" customHeight="1" x14ac:dyDescent="0.2">
      <c r="A235" s="40" t="s">
        <v>405</v>
      </c>
      <c r="B235" s="37"/>
      <c r="C235" s="37"/>
      <c r="D235" s="37"/>
      <c r="E235" s="37"/>
      <c r="F235" s="279"/>
      <c r="G235" s="37"/>
      <c r="H235" s="37"/>
      <c r="I235" s="37"/>
      <c r="J235" s="37"/>
      <c r="K235" s="279"/>
      <c r="L235" s="37"/>
      <c r="M235" s="37"/>
      <c r="N235" s="37"/>
      <c r="O235" s="37"/>
      <c r="P235" s="106"/>
      <c r="Q235" s="37"/>
      <c r="R235" s="37"/>
      <c r="S235" s="37"/>
      <c r="T235" s="37"/>
      <c r="U235" s="106"/>
      <c r="V235" s="37"/>
      <c r="W235" s="37"/>
      <c r="X235" s="37"/>
      <c r="Y235" s="37"/>
      <c r="Z235" s="106"/>
      <c r="AA235" s="37"/>
      <c r="AB235" s="37"/>
      <c r="AC235" s="37"/>
      <c r="AD235" s="37"/>
      <c r="AE235" s="106"/>
      <c r="AF235" s="37"/>
      <c r="AG235" s="37"/>
      <c r="AH235" s="37"/>
      <c r="AI235" s="37"/>
      <c r="AJ235" s="106"/>
      <c r="AK235" s="37"/>
      <c r="AL235" s="37"/>
      <c r="AM235" s="37"/>
      <c r="AN235" s="37"/>
      <c r="AO235" s="106"/>
      <c r="AP235" s="37"/>
      <c r="AQ235" s="37"/>
      <c r="AR235" s="37"/>
      <c r="AS235" s="37"/>
      <c r="AT235" s="106"/>
      <c r="AU235" s="37"/>
      <c r="AV235" s="37"/>
      <c r="AW235" s="37"/>
      <c r="AX235" s="37"/>
      <c r="AY235" s="106"/>
      <c r="AZ235" s="37"/>
      <c r="BA235" s="37"/>
      <c r="BB235" s="37"/>
      <c r="BC235" s="37"/>
      <c r="BD235" s="106"/>
      <c r="BE235" s="37"/>
      <c r="BF235" s="37"/>
      <c r="BG235" s="37"/>
      <c r="BH235" s="37"/>
      <c r="BI235" s="106"/>
      <c r="BJ235" s="37"/>
      <c r="BK235" s="37"/>
      <c r="BL235" s="37"/>
      <c r="BM235" s="37"/>
      <c r="BN235" s="106"/>
      <c r="BO235" s="37"/>
      <c r="BP235" s="37"/>
      <c r="BQ235" s="37"/>
      <c r="BR235" s="37"/>
      <c r="BS235" s="106"/>
      <c r="BT235" s="37"/>
      <c r="BU235" s="37"/>
      <c r="BV235" s="37"/>
      <c r="BW235" s="37"/>
      <c r="BX235" s="106"/>
      <c r="BY235" s="37"/>
      <c r="BZ235" s="37"/>
      <c r="CA235" s="37"/>
      <c r="CB235" s="37"/>
      <c r="CC235" s="106"/>
      <c r="CD235" s="37"/>
      <c r="CE235" s="37"/>
      <c r="CF235" s="37"/>
      <c r="CG235" s="37"/>
      <c r="CH235" s="106"/>
      <c r="CI235" s="37"/>
      <c r="CJ235" s="37"/>
      <c r="CK235" s="37"/>
      <c r="CL235" s="37"/>
      <c r="CM235" s="106"/>
      <c r="CN235" s="37"/>
      <c r="CO235" s="37"/>
      <c r="CP235" s="37"/>
      <c r="CQ235" s="37"/>
      <c r="CR235" s="106"/>
      <c r="CS235" s="37"/>
      <c r="CT235" s="37"/>
      <c r="CU235" s="37"/>
      <c r="CV235" s="37"/>
      <c r="CW235" s="106"/>
      <c r="CX235" s="37"/>
      <c r="CY235" s="37"/>
      <c r="CZ235" s="37"/>
      <c r="DA235" s="37"/>
      <c r="DB235" s="106"/>
      <c r="DC235" s="37"/>
      <c r="DD235" s="37"/>
      <c r="DE235" s="37"/>
      <c r="DF235" s="37"/>
      <c r="DG235" s="106"/>
      <c r="DH235" s="37"/>
      <c r="DI235" s="37"/>
      <c r="DJ235" s="37"/>
      <c r="DK235" s="37"/>
      <c r="DL235" s="106"/>
      <c r="DM235" s="37"/>
      <c r="DN235" s="37"/>
      <c r="DO235" s="37"/>
      <c r="DP235" s="37"/>
      <c r="DQ235" s="106"/>
      <c r="DR235" s="37"/>
      <c r="DS235" s="37"/>
      <c r="DT235" s="37"/>
      <c r="DU235" s="37"/>
      <c r="DV235" s="118"/>
      <c r="DW235" s="37"/>
      <c r="DX235" s="37"/>
      <c r="DY235" s="37"/>
      <c r="DZ235" s="37"/>
      <c r="EA235" s="118"/>
      <c r="EB235" s="37"/>
      <c r="EC235" s="37"/>
      <c r="ED235" s="37"/>
      <c r="EE235" s="37"/>
      <c r="EF235" s="516"/>
      <c r="EG235" s="37"/>
      <c r="EH235" s="37"/>
      <c r="EI235" s="37"/>
      <c r="EJ235" s="37"/>
      <c r="EK235" s="516"/>
      <c r="EL235" s="37"/>
      <c r="EM235" s="37"/>
      <c r="EN235" s="37"/>
      <c r="EO235" s="37"/>
      <c r="EP235" s="516"/>
      <c r="EQ235" s="37"/>
      <c r="ER235" s="37"/>
      <c r="ES235" s="37"/>
      <c r="ET235" s="37"/>
      <c r="EU235" s="516">
        <v>-256</v>
      </c>
      <c r="EV235" s="37"/>
      <c r="EW235" s="37"/>
      <c r="EX235" s="37"/>
      <c r="EY235" s="37"/>
      <c r="EZ235" s="516">
        <v>-619.5</v>
      </c>
      <c r="FA235" s="37"/>
      <c r="FB235" s="37"/>
      <c r="FC235" s="37"/>
      <c r="FD235" s="37"/>
      <c r="FE235" s="516">
        <v>-619.5</v>
      </c>
      <c r="FF235" s="184"/>
      <c r="FG235" s="188"/>
      <c r="FL235" s="411" t="s">
        <v>598</v>
      </c>
      <c r="FM235" s="400"/>
      <c r="FT235" s="188"/>
    </row>
    <row r="236" spans="1:184" ht="12.75" customHeight="1" x14ac:dyDescent="0.2">
      <c r="A236" s="40" t="s">
        <v>406</v>
      </c>
      <c r="B236" s="37"/>
      <c r="C236" s="37"/>
      <c r="D236" s="37"/>
      <c r="E236" s="37"/>
      <c r="F236" s="279"/>
      <c r="G236" s="37"/>
      <c r="H236" s="37"/>
      <c r="I236" s="37"/>
      <c r="J236" s="37"/>
      <c r="K236" s="279"/>
      <c r="L236" s="37"/>
      <c r="M236" s="37"/>
      <c r="N236" s="37"/>
      <c r="O236" s="37"/>
      <c r="P236" s="106"/>
      <c r="Q236" s="37"/>
      <c r="R236" s="37"/>
      <c r="S236" s="37"/>
      <c r="T236" s="37"/>
      <c r="U236" s="106"/>
      <c r="V236" s="37"/>
      <c r="W236" s="37"/>
      <c r="X236" s="37"/>
      <c r="Y236" s="37"/>
      <c r="Z236" s="106"/>
      <c r="AA236" s="37"/>
      <c r="AB236" s="37"/>
      <c r="AC236" s="37"/>
      <c r="AD236" s="37"/>
      <c r="AE236" s="106"/>
      <c r="AF236" s="37"/>
      <c r="AG236" s="37"/>
      <c r="AH236" s="37"/>
      <c r="AI236" s="37"/>
      <c r="AJ236" s="106"/>
      <c r="AK236" s="37"/>
      <c r="AL236" s="37"/>
      <c r="AM236" s="37"/>
      <c r="AN236" s="37"/>
      <c r="AO236" s="106"/>
      <c r="AP236" s="37"/>
      <c r="AQ236" s="37"/>
      <c r="AR236" s="37"/>
      <c r="AS236" s="37"/>
      <c r="AT236" s="106"/>
      <c r="AU236" s="37"/>
      <c r="AV236" s="37"/>
      <c r="AW236" s="37"/>
      <c r="AX236" s="37"/>
      <c r="AY236" s="106"/>
      <c r="AZ236" s="37"/>
      <c r="BA236" s="37"/>
      <c r="BB236" s="37"/>
      <c r="BC236" s="37"/>
      <c r="BD236" s="106"/>
      <c r="BE236" s="37"/>
      <c r="BF236" s="37"/>
      <c r="BG236" s="37"/>
      <c r="BH236" s="37"/>
      <c r="BI236" s="106"/>
      <c r="BJ236" s="37"/>
      <c r="BK236" s="37"/>
      <c r="BL236" s="37"/>
      <c r="BM236" s="37"/>
      <c r="BN236" s="106"/>
      <c r="BO236" s="37"/>
      <c r="BP236" s="37"/>
      <c r="BQ236" s="37"/>
      <c r="BR236" s="37"/>
      <c r="BS236" s="106"/>
      <c r="BT236" s="37"/>
      <c r="BU236" s="37"/>
      <c r="BV236" s="37"/>
      <c r="BW236" s="37"/>
      <c r="BX236" s="106"/>
      <c r="BY236" s="37"/>
      <c r="BZ236" s="37"/>
      <c r="CA236" s="37"/>
      <c r="CB236" s="37"/>
      <c r="CC236" s="106"/>
      <c r="CD236" s="37"/>
      <c r="CE236" s="37"/>
      <c r="CF236" s="37"/>
      <c r="CG236" s="37"/>
      <c r="CH236" s="106"/>
      <c r="CI236" s="37"/>
      <c r="CJ236" s="37"/>
      <c r="CK236" s="37"/>
      <c r="CL236" s="37"/>
      <c r="CM236" s="106"/>
      <c r="CN236" s="37"/>
      <c r="CO236" s="37"/>
      <c r="CP236" s="37"/>
      <c r="CQ236" s="37"/>
      <c r="CR236" s="106"/>
      <c r="CS236" s="37"/>
      <c r="CT236" s="37"/>
      <c r="CU236" s="37"/>
      <c r="CV236" s="37"/>
      <c r="CW236" s="106"/>
      <c r="CX236" s="37"/>
      <c r="CY236" s="37"/>
      <c r="CZ236" s="37"/>
      <c r="DA236" s="37"/>
      <c r="DB236" s="106"/>
      <c r="DC236" s="37"/>
      <c r="DD236" s="37"/>
      <c r="DE236" s="37"/>
      <c r="DF236" s="37"/>
      <c r="DG236" s="106"/>
      <c r="DH236" s="37"/>
      <c r="DI236" s="37"/>
      <c r="DJ236" s="37"/>
      <c r="DK236" s="37"/>
      <c r="DL236" s="106"/>
      <c r="DM236" s="37"/>
      <c r="DN236" s="37"/>
      <c r="DO236" s="37"/>
      <c r="DP236" s="37"/>
      <c r="DQ236" s="106"/>
      <c r="DR236" s="37"/>
      <c r="DS236" s="37"/>
      <c r="DT236" s="37"/>
      <c r="DU236" s="37"/>
      <c r="DV236" s="118"/>
      <c r="DW236" s="37"/>
      <c r="DX236" s="37"/>
      <c r="DY236" s="37"/>
      <c r="DZ236" s="37"/>
      <c r="EA236" s="118"/>
      <c r="EB236" s="37"/>
      <c r="EC236" s="37"/>
      <c r="ED236" s="37"/>
      <c r="EE236" s="37"/>
      <c r="EF236" s="516"/>
      <c r="EG236" s="37"/>
      <c r="EH236" s="37"/>
      <c r="EI236" s="37"/>
      <c r="EJ236" s="37"/>
      <c r="EK236" s="516"/>
      <c r="EL236" s="37"/>
      <c r="EM236" s="37"/>
      <c r="EN236" s="37"/>
      <c r="EO236" s="37"/>
      <c r="EP236" s="516"/>
      <c r="EQ236" s="37"/>
      <c r="ER236" s="37"/>
      <c r="ES236" s="37"/>
      <c r="ET236" s="37"/>
      <c r="EU236" s="516">
        <v>500</v>
      </c>
      <c r="EV236" s="37"/>
      <c r="EW236" s="37"/>
      <c r="EX236" s="37"/>
      <c r="EY236" s="37"/>
      <c r="EZ236" s="516">
        <v>600</v>
      </c>
      <c r="FA236" s="37"/>
      <c r="FB236" s="37"/>
      <c r="FC236" s="37"/>
      <c r="FD236" s="37"/>
      <c r="FE236" s="516">
        <v>600</v>
      </c>
      <c r="FF236" s="184"/>
      <c r="FG236" s="188"/>
      <c r="FT236" s="188"/>
    </row>
    <row r="237" spans="1:184" ht="12.75" customHeight="1" x14ac:dyDescent="0.2">
      <c r="A237" s="196" t="s">
        <v>324</v>
      </c>
      <c r="B237" s="828"/>
      <c r="C237" s="828"/>
      <c r="D237" s="828"/>
      <c r="E237" s="828"/>
      <c r="F237" s="279"/>
      <c r="G237" s="828"/>
      <c r="H237" s="828"/>
      <c r="I237" s="828"/>
      <c r="J237" s="828"/>
      <c r="K237" s="279"/>
      <c r="L237" s="828"/>
      <c r="M237" s="828"/>
      <c r="N237" s="828"/>
      <c r="O237" s="828"/>
      <c r="P237" s="849">
        <f>-10.358+113.827</f>
        <v>103.46899999999999</v>
      </c>
      <c r="Q237" s="828"/>
      <c r="R237" s="828"/>
      <c r="S237" s="828"/>
      <c r="T237" s="828"/>
      <c r="U237" s="849">
        <f>-120.098+17.81</f>
        <v>-102.288</v>
      </c>
      <c r="V237" s="828"/>
      <c r="W237" s="828"/>
      <c r="X237" s="828"/>
      <c r="Y237" s="828"/>
      <c r="Z237" s="849">
        <v>-63.070999999999998</v>
      </c>
      <c r="AA237" s="828"/>
      <c r="AB237" s="828"/>
      <c r="AC237" s="828"/>
      <c r="AD237" s="828"/>
      <c r="AE237" s="849">
        <f>98.811-10.379</f>
        <v>88.432000000000002</v>
      </c>
      <c r="AF237" s="828"/>
      <c r="AG237" s="828"/>
      <c r="AH237" s="828"/>
      <c r="AI237" s="828"/>
      <c r="AJ237" s="849">
        <v>-12.695</v>
      </c>
      <c r="AK237" s="828"/>
      <c r="AL237" s="828"/>
      <c r="AM237" s="828"/>
      <c r="AN237" s="828"/>
      <c r="AO237" s="849">
        <f>98.764-12.665</f>
        <v>86.09899999999999</v>
      </c>
      <c r="AP237" s="828"/>
      <c r="AQ237" s="828"/>
      <c r="AR237" s="828"/>
      <c r="AS237" s="828"/>
      <c r="AT237" s="849">
        <v>-118.85899999999999</v>
      </c>
      <c r="AU237" s="828"/>
      <c r="AV237" s="828"/>
      <c r="AW237" s="828"/>
      <c r="AX237" s="828"/>
      <c r="AY237" s="849">
        <f>255.6-12.107</f>
        <v>243.49299999999999</v>
      </c>
      <c r="AZ237" s="828"/>
      <c r="BA237" s="828"/>
      <c r="BB237" s="828"/>
      <c r="BC237" s="828"/>
      <c r="BD237" s="849">
        <v>-10.238</v>
      </c>
      <c r="BE237" s="828"/>
      <c r="BF237" s="828"/>
      <c r="BG237" s="828"/>
      <c r="BH237" s="828"/>
      <c r="BI237" s="849">
        <f>614.25-110.6+475</f>
        <v>978.65</v>
      </c>
      <c r="BJ237" s="828"/>
      <c r="BK237" s="828"/>
      <c r="BL237" s="828"/>
      <c r="BM237" s="828"/>
      <c r="BN237" s="849">
        <f>385+119.142-64.568-385.195-475</f>
        <v>-420.62099999999998</v>
      </c>
      <c r="BO237" s="828"/>
      <c r="BP237" s="828"/>
      <c r="BQ237" s="828"/>
      <c r="BR237" s="828"/>
      <c r="BS237" s="849">
        <v>-130</v>
      </c>
      <c r="BT237" s="828"/>
      <c r="BU237" s="828"/>
      <c r="BV237" s="828"/>
      <c r="BW237" s="828"/>
      <c r="BX237" s="849">
        <f>-207+520</f>
        <v>313</v>
      </c>
      <c r="BY237" s="828"/>
      <c r="BZ237" s="828"/>
      <c r="CA237" s="828"/>
      <c r="CB237" s="828"/>
      <c r="CC237" s="849">
        <f>300-149</f>
        <v>151</v>
      </c>
      <c r="CD237" s="828">
        <v>-37</v>
      </c>
      <c r="CE237" s="828">
        <v>-99</v>
      </c>
      <c r="CF237" s="828">
        <v>-1</v>
      </c>
      <c r="CG237" s="828">
        <v>-170</v>
      </c>
      <c r="CH237" s="290">
        <f>300-607</f>
        <v>-307</v>
      </c>
      <c r="CI237" s="828">
        <v>-9</v>
      </c>
      <c r="CJ237" s="828">
        <v>-6</v>
      </c>
      <c r="CK237" s="828">
        <v>-101</v>
      </c>
      <c r="CL237" s="828">
        <v>494</v>
      </c>
      <c r="CM237" s="290">
        <f>500-122</f>
        <v>378</v>
      </c>
      <c r="CN237" s="828">
        <v>-19</v>
      </c>
      <c r="CO237" s="828">
        <v>594</v>
      </c>
      <c r="CP237" s="828">
        <v>-16</v>
      </c>
      <c r="CQ237" s="828">
        <v>877</v>
      </c>
      <c r="CR237" s="290">
        <f>1000+91+400-55</f>
        <v>1436</v>
      </c>
      <c r="CS237" s="828">
        <v>-54.22</v>
      </c>
      <c r="CT237" s="828">
        <v>-204.19499999999996</v>
      </c>
      <c r="CU237" s="828">
        <v>245.98199999999997</v>
      </c>
      <c r="CV237" s="828">
        <v>67.574000000000069</v>
      </c>
      <c r="CW237" s="290">
        <f>SUM(CS237:CV237)</f>
        <v>55.141000000000076</v>
      </c>
      <c r="CX237" s="828">
        <v>-196.173</v>
      </c>
      <c r="CY237" s="828">
        <v>-82.876000000000005</v>
      </c>
      <c r="CZ237" s="828">
        <v>-145.977</v>
      </c>
      <c r="DA237" s="828">
        <v>-3.1000000000005912E-2</v>
      </c>
      <c r="DB237" s="290">
        <f>SUM(CX237:DA237)</f>
        <v>-425.05699999999996</v>
      </c>
      <c r="DC237" s="828">
        <v>-81.093000000000004</v>
      </c>
      <c r="DD237" s="828">
        <v>-32</v>
      </c>
      <c r="DE237" s="828">
        <v>-48</v>
      </c>
      <c r="DF237" s="828">
        <v>-447</v>
      </c>
      <c r="DG237" s="112">
        <f>SUM(DC237:DF237)</f>
        <v>-608.09300000000007</v>
      </c>
      <c r="DH237" s="828">
        <v>-431</v>
      </c>
      <c r="DI237" s="828">
        <v>-38</v>
      </c>
      <c r="DJ237" s="828">
        <v>-48</v>
      </c>
      <c r="DK237" s="828">
        <v>-61</v>
      </c>
      <c r="DL237" s="112">
        <f>SUM(DH237:DK237)</f>
        <v>-578</v>
      </c>
      <c r="DM237" s="828">
        <v>-164</v>
      </c>
      <c r="DN237" s="828">
        <v>-52</v>
      </c>
      <c r="DO237" s="828">
        <v>-51</v>
      </c>
      <c r="DP237" s="828">
        <v>-46</v>
      </c>
      <c r="DQ237" s="112">
        <f>SUM(DM237:DP237)</f>
        <v>-313</v>
      </c>
      <c r="DR237" s="828">
        <v>-46</v>
      </c>
      <c r="DS237" s="828">
        <v>-73</v>
      </c>
      <c r="DT237" s="828">
        <v>-48</v>
      </c>
      <c r="DU237" s="828">
        <f>561-300-14</f>
        <v>247</v>
      </c>
      <c r="DV237" s="290">
        <f>SUM(DR237:DU237)</f>
        <v>80</v>
      </c>
      <c r="DW237" s="828">
        <v>-51</v>
      </c>
      <c r="DX237" s="828">
        <v>-40</v>
      </c>
      <c r="DY237" s="828">
        <v>-79</v>
      </c>
      <c r="DZ237" s="828">
        <f>-213+500-DY237-DX237-DW237</f>
        <v>457</v>
      </c>
      <c r="EA237" s="290">
        <f>SUM(DW237:DZ237)</f>
        <v>287</v>
      </c>
      <c r="EB237" s="828">
        <v>-56</v>
      </c>
      <c r="EC237" s="828">
        <v>-48</v>
      </c>
      <c r="ED237" s="828">
        <v>-68</v>
      </c>
      <c r="EE237" s="828">
        <f>-523+515-SUM(EB237:ED237)</f>
        <v>164</v>
      </c>
      <c r="EF237" s="290">
        <f>SUM(EB237:EE237)</f>
        <v>-8</v>
      </c>
      <c r="EG237" s="828">
        <v>-369</v>
      </c>
      <c r="EH237" s="828">
        <v>-59</v>
      </c>
      <c r="EI237" s="828">
        <v>-106</v>
      </c>
      <c r="EJ237" s="828">
        <f>600-58</f>
        <v>542</v>
      </c>
      <c r="EK237" s="290">
        <f>SUM(EG237:EJ237)</f>
        <v>8</v>
      </c>
      <c r="EL237" s="828">
        <v>-369</v>
      </c>
      <c r="EM237" s="828">
        <v>-59</v>
      </c>
      <c r="EN237" s="828">
        <v>-106</v>
      </c>
      <c r="EO237" s="828">
        <f>600-58</f>
        <v>542</v>
      </c>
      <c r="EP237" s="290">
        <f>SUM(EL237:EO237)</f>
        <v>8</v>
      </c>
      <c r="EQ237" s="197">
        <f>+$EU$237/4</f>
        <v>61</v>
      </c>
      <c r="ER237" s="197">
        <f t="shared" ref="ER237:ES237" si="1048">+$EU$237/4</f>
        <v>61</v>
      </c>
      <c r="ES237" s="197">
        <f t="shared" si="1048"/>
        <v>61</v>
      </c>
      <c r="ET237" s="197">
        <f>+EU237-EQ237-ER237-ES237</f>
        <v>61</v>
      </c>
      <c r="EU237" s="290">
        <f>+SUM(EU234:EU236)</f>
        <v>244</v>
      </c>
      <c r="EV237" s="197"/>
      <c r="EW237" s="197"/>
      <c r="EX237" s="197"/>
      <c r="EY237" s="197"/>
      <c r="EZ237" s="290">
        <f>+SUM(EZ234:EZ236)</f>
        <v>-19.5</v>
      </c>
      <c r="FA237" s="197"/>
      <c r="FB237" s="197"/>
      <c r="FC237" s="197"/>
      <c r="FD237" s="197"/>
      <c r="FE237" s="290">
        <f>+SUM(FE234:FE236)</f>
        <v>-19.5</v>
      </c>
      <c r="FF237" s="290"/>
      <c r="FG237" s="188"/>
      <c r="FL237" s="400"/>
      <c r="FM237" s="416"/>
      <c r="FO237" s="811">
        <v>2018</v>
      </c>
      <c r="FP237" s="811" t="s">
        <v>591</v>
      </c>
      <c r="FQ237" s="811" t="s">
        <v>592</v>
      </c>
      <c r="FR237" s="811" t="s">
        <v>593</v>
      </c>
      <c r="FS237" s="811" t="s">
        <v>151</v>
      </c>
      <c r="FT237" s="188"/>
    </row>
    <row r="238" spans="1:184" ht="12.75" customHeight="1" x14ac:dyDescent="0.2">
      <c r="A238" s="37" t="s">
        <v>325</v>
      </c>
      <c r="B238" s="92"/>
      <c r="C238" s="92"/>
      <c r="D238" s="92"/>
      <c r="E238" s="92"/>
      <c r="F238" s="279"/>
      <c r="G238" s="92"/>
      <c r="H238" s="92"/>
      <c r="I238" s="92"/>
      <c r="J238" s="92"/>
      <c r="K238" s="279"/>
      <c r="L238" s="92"/>
      <c r="M238" s="92"/>
      <c r="N238" s="92"/>
      <c r="O238" s="92"/>
      <c r="P238" s="106">
        <f>P239-P229-P231-P237-P230</f>
        <v>130.05199999999999</v>
      </c>
      <c r="Q238" s="92"/>
      <c r="R238" s="92"/>
      <c r="S238" s="92"/>
      <c r="T238" s="92"/>
      <c r="U238" s="106">
        <f>U239-U229-U231-U237-U230</f>
        <v>89.992999999999995</v>
      </c>
      <c r="V238" s="92"/>
      <c r="W238" s="92"/>
      <c r="X238" s="92"/>
      <c r="Y238" s="92"/>
      <c r="Z238" s="106">
        <f>Z239-Z229-Z231-Z237-Z230</f>
        <v>315</v>
      </c>
      <c r="AA238" s="92"/>
      <c r="AB238" s="92"/>
      <c r="AC238" s="92"/>
      <c r="AD238" s="92"/>
      <c r="AE238" s="106">
        <f>AE239-AE229-AE231-AE237-AE230</f>
        <v>321.65000000000003</v>
      </c>
      <c r="AF238" s="92"/>
      <c r="AG238" s="92"/>
      <c r="AH238" s="92"/>
      <c r="AI238" s="92"/>
      <c r="AJ238" s="106">
        <f>AJ239-AJ229-AJ231-AJ237-AJ230</f>
        <v>330</v>
      </c>
      <c r="AK238" s="92"/>
      <c r="AL238" s="92"/>
      <c r="AM238" s="92"/>
      <c r="AN238" s="92"/>
      <c r="AO238" s="106">
        <f>AO239-AO229-AO231-AO237-AO230</f>
        <v>0</v>
      </c>
      <c r="AP238" s="92"/>
      <c r="AQ238" s="92"/>
      <c r="AR238" s="92"/>
      <c r="AS238" s="92"/>
      <c r="AT238" s="106">
        <f>AT239-AT229-AT231-AT237-AT230</f>
        <v>0</v>
      </c>
      <c r="AU238" s="92"/>
      <c r="AV238" s="92"/>
      <c r="AW238" s="92"/>
      <c r="AX238" s="92"/>
      <c r="AY238" s="106">
        <f>AY239-AY229-AY231-AY237-AY230</f>
        <v>0</v>
      </c>
      <c r="AZ238" s="92"/>
      <c r="BA238" s="92"/>
      <c r="BB238" s="92"/>
      <c r="BC238" s="92"/>
      <c r="BD238" s="106">
        <f>BD239-BD229-BD231-BD237-BD230</f>
        <v>0</v>
      </c>
      <c r="BE238" s="92"/>
      <c r="BF238" s="92"/>
      <c r="BG238" s="92"/>
      <c r="BH238" s="92"/>
      <c r="BI238" s="106">
        <f>BI239-BI229-BI231-BI237-BI230</f>
        <v>261.35000000000025</v>
      </c>
      <c r="BJ238" s="92"/>
      <c r="BK238" s="92"/>
      <c r="BL238" s="92"/>
      <c r="BM238" s="92"/>
      <c r="BN238" s="106">
        <f>BN239-BN229-BN231-BN237-BN230</f>
        <v>-3.9220000000000255</v>
      </c>
      <c r="BO238" s="92"/>
      <c r="BP238" s="92"/>
      <c r="BQ238" s="92"/>
      <c r="BR238" s="92"/>
      <c r="BS238" s="106">
        <f>BS239-BS229-BS231-BS237-BS230</f>
        <v>3</v>
      </c>
      <c r="BT238" s="92"/>
      <c r="BU238" s="92"/>
      <c r="BV238" s="92"/>
      <c r="BW238" s="92"/>
      <c r="BX238" s="106">
        <f>BX239-BX229-BX231-BX237-BX230</f>
        <v>-8</v>
      </c>
      <c r="BY238" s="92"/>
      <c r="BZ238" s="92"/>
      <c r="CA238" s="92"/>
      <c r="CB238" s="92"/>
      <c r="CC238" s="106">
        <f t="shared" ref="CC238:CV238" si="1049">CC239-CC229-CC231-CC237-CC230</f>
        <v>-1</v>
      </c>
      <c r="CD238" s="92">
        <f t="shared" si="1049"/>
        <v>29</v>
      </c>
      <c r="CE238" s="92">
        <f t="shared" si="1049"/>
        <v>3</v>
      </c>
      <c r="CF238" s="92">
        <f t="shared" si="1049"/>
        <v>25</v>
      </c>
      <c r="CG238" s="92">
        <f t="shared" si="1049"/>
        <v>3</v>
      </c>
      <c r="CH238" s="106">
        <f t="shared" si="1049"/>
        <v>60</v>
      </c>
      <c r="CI238" s="92">
        <f t="shared" si="1049"/>
        <v>29</v>
      </c>
      <c r="CJ238" s="92">
        <f t="shared" si="1049"/>
        <v>1</v>
      </c>
      <c r="CK238" s="92">
        <f t="shared" si="1049"/>
        <v>1</v>
      </c>
      <c r="CL238" s="92">
        <f t="shared" si="1049"/>
        <v>-26</v>
      </c>
      <c r="CM238" s="106">
        <f t="shared" si="1049"/>
        <v>5</v>
      </c>
      <c r="CN238" s="92">
        <f t="shared" si="1049"/>
        <v>0</v>
      </c>
      <c r="CO238" s="92">
        <f t="shared" si="1049"/>
        <v>-9</v>
      </c>
      <c r="CP238" s="92">
        <f t="shared" si="1049"/>
        <v>-7</v>
      </c>
      <c r="CQ238" s="92">
        <f t="shared" si="1049"/>
        <v>184</v>
      </c>
      <c r="CR238" s="106">
        <f t="shared" si="1049"/>
        <v>168</v>
      </c>
      <c r="CS238" s="92">
        <f t="shared" si="1049"/>
        <v>481.94299999999998</v>
      </c>
      <c r="CT238" s="92">
        <f t="shared" si="1049"/>
        <v>207.92999999999995</v>
      </c>
      <c r="CU238" s="92">
        <f t="shared" si="1049"/>
        <v>-4.9219999999999686</v>
      </c>
      <c r="CV238" s="92">
        <f t="shared" si="1049"/>
        <v>-1.6760000000000446</v>
      </c>
      <c r="CW238" s="106">
        <f>SUM(CS238:CV238)</f>
        <v>683.27499999999998</v>
      </c>
      <c r="CX238" s="92">
        <f>CX239-CX229-CX231-CX237-CX230</f>
        <v>-0.35400000000001342</v>
      </c>
      <c r="CY238" s="92">
        <f>CY239-CY229-CY231-CY237-CY230</f>
        <v>-2.0049999999999955</v>
      </c>
      <c r="CZ238" s="92">
        <f>CZ239-CZ229-CZ231-CZ237-CZ230</f>
        <v>0.99900000000002365</v>
      </c>
      <c r="DA238" s="92">
        <f>DA239-DA229-DA231-DA237-DA230</f>
        <v>1.7149999999999981</v>
      </c>
      <c r="DB238" s="106">
        <f>SUM(CX238:DA238)</f>
        <v>0.35500000000001286</v>
      </c>
      <c r="DC238" s="92">
        <f>DC239-DC229-DC231-DC237-DC230</f>
        <v>76.221000000000004</v>
      </c>
      <c r="DD238" s="92">
        <f>DD239-DD229-DD231-DD237-DD230</f>
        <v>-84</v>
      </c>
      <c r="DE238" s="92">
        <f>DE239-DE229-DE231-DE237-DE230</f>
        <v>-2</v>
      </c>
      <c r="DF238" s="92">
        <f>DF239-DF229-DF231-DF237-DF230</f>
        <v>0</v>
      </c>
      <c r="DG238" s="106">
        <f>SUM(DC238:DF238)</f>
        <v>-9.7789999999999964</v>
      </c>
      <c r="DH238" s="92">
        <f>DH239-DH229-DH231-DH237-DH230</f>
        <v>4</v>
      </c>
      <c r="DI238" s="92">
        <f>DI239-DI229-DI231-DI237-DI230</f>
        <v>-6</v>
      </c>
      <c r="DJ238" s="92">
        <f>DJ239-DJ229-DJ231-DJ237-DJ230</f>
        <v>-2</v>
      </c>
      <c r="DK238" s="92">
        <f>DK239-DK229-DK231-DK237-DK230</f>
        <v>33</v>
      </c>
      <c r="DL238" s="106">
        <f>SUM(DH238:DK238)</f>
        <v>29</v>
      </c>
      <c r="DM238" s="92">
        <f>DM239-DM229-DM231-DM237-DM230</f>
        <v>-7</v>
      </c>
      <c r="DN238" s="92">
        <f>DN239-DN229-DN231-DN237-DN230</f>
        <v>4</v>
      </c>
      <c r="DO238" s="92">
        <f>DO239-DO229-DO231-DO237-DO230</f>
        <v>4</v>
      </c>
      <c r="DP238" s="92">
        <f>DP239-DP229-DP231-DP237-DP230</f>
        <v>59</v>
      </c>
      <c r="DQ238" s="106">
        <f>SUM(DM238:DP238)</f>
        <v>60</v>
      </c>
      <c r="DR238" s="92">
        <f>DR239-DR229-DR231-DR237-DR230</f>
        <v>42</v>
      </c>
      <c r="DS238" s="92">
        <f>DS239-DS229-DS231-DS237-DS230</f>
        <v>15</v>
      </c>
      <c r="DT238" s="92">
        <f>DT239-DT229-DT231-DT237-DT230</f>
        <v>43</v>
      </c>
      <c r="DU238" s="92">
        <f>DU239-DU229-DU231-DU237-DU230</f>
        <v>-334</v>
      </c>
      <c r="DV238" s="106">
        <f>SUM(DR238:DU238)</f>
        <v>-234</v>
      </c>
      <c r="DW238" s="92">
        <f>DW239-DW229-DW231-DW237-DW230</f>
        <v>25</v>
      </c>
      <c r="DX238" s="92">
        <f>DX239-DX229-DX231-DX237-DX230</f>
        <v>-3</v>
      </c>
      <c r="DY238" s="92">
        <f>DY239-DY229-DY231-DY237-DY230</f>
        <v>19</v>
      </c>
      <c r="DZ238" s="92">
        <f>DZ239-DZ229-DZ231-DZ237-DZ230</f>
        <v>8</v>
      </c>
      <c r="EA238" s="106">
        <f>SUM(DW238:DZ238)</f>
        <v>49</v>
      </c>
      <c r="EB238" s="92">
        <f>EB239-EB229-EB231-EB237-EB230</f>
        <v>16</v>
      </c>
      <c r="EC238" s="92">
        <f>EC239-EC229-EC231-EC237-EC230</f>
        <v>25</v>
      </c>
      <c r="ED238" s="92">
        <f>ED239-ED229-ED231-ED237-ED230</f>
        <v>34</v>
      </c>
      <c r="EE238" s="92">
        <f>EE239-EE229-EE231-EE237-EE230</f>
        <v>-19</v>
      </c>
      <c r="EF238" s="106">
        <f>SUM(EB238:EE238)</f>
        <v>56</v>
      </c>
      <c r="EG238" s="92">
        <f>EG239-EG229-EG231-EG237-EG230</f>
        <v>58</v>
      </c>
      <c r="EH238" s="92">
        <f>EH239-EH229-EH231-EH237-EH230</f>
        <v>59</v>
      </c>
      <c r="EI238" s="92">
        <f>EI239-EI229-EI231-EI237-EI230</f>
        <v>28</v>
      </c>
      <c r="EJ238" s="92">
        <f>EJ239-EJ229-EJ231-EJ237-EJ230</f>
        <v>15</v>
      </c>
      <c r="EK238" s="106">
        <f>SUM(EG238:EJ238)</f>
        <v>160</v>
      </c>
      <c r="EL238" s="92">
        <f>EL239-EL229-EL231-EL237-EL230</f>
        <v>58</v>
      </c>
      <c r="EM238" s="92">
        <f>EM239-EM229-EM231-EM237-EM230</f>
        <v>59</v>
      </c>
      <c r="EN238" s="92">
        <f>EN239-EN229-EN231-EN237-EN230</f>
        <v>28</v>
      </c>
      <c r="EO238" s="92">
        <f>EO239-EO229-EO231-EO237-EO230</f>
        <v>15</v>
      </c>
      <c r="EP238" s="106">
        <f>SUM(EL238:EO238)</f>
        <v>160</v>
      </c>
      <c r="EQ238" s="197">
        <v>0</v>
      </c>
      <c r="ER238" s="197">
        <v>0</v>
      </c>
      <c r="ES238" s="197">
        <v>0</v>
      </c>
      <c r="ET238" s="197">
        <v>0</v>
      </c>
      <c r="EU238" s="121">
        <v>0</v>
      </c>
      <c r="EV238" s="197"/>
      <c r="EW238" s="197"/>
      <c r="EX238" s="197"/>
      <c r="EY238" s="197"/>
      <c r="EZ238" s="121">
        <v>0</v>
      </c>
      <c r="FA238" s="197"/>
      <c r="FB238" s="197"/>
      <c r="FC238" s="197"/>
      <c r="FD238" s="197"/>
      <c r="FE238" s="121">
        <v>0</v>
      </c>
      <c r="FF238" s="184"/>
      <c r="FG238" s="188"/>
      <c r="FL238" s="791" t="s">
        <v>590</v>
      </c>
      <c r="FM238" s="791"/>
      <c r="FN238" s="791"/>
      <c r="FO238" s="812">
        <v>256</v>
      </c>
      <c r="FP238" s="812">
        <v>1239</v>
      </c>
      <c r="FQ238" s="812">
        <v>481</v>
      </c>
      <c r="FR238" s="812">
        <v>818</v>
      </c>
      <c r="FS238" s="812">
        <f>+SUM(FO238:FR238)</f>
        <v>2794</v>
      </c>
      <c r="FT238" s="188"/>
    </row>
    <row r="239" spans="1:184" ht="12.75" customHeight="1" x14ac:dyDescent="0.2">
      <c r="A239" s="72" t="s">
        <v>454</v>
      </c>
      <c r="B239" s="837"/>
      <c r="C239" s="837"/>
      <c r="D239" s="837"/>
      <c r="E239" s="837"/>
      <c r="F239" s="276"/>
      <c r="G239" s="837"/>
      <c r="H239" s="837"/>
      <c r="I239" s="837"/>
      <c r="J239" s="837"/>
      <c r="K239" s="276"/>
      <c r="L239" s="837"/>
      <c r="M239" s="837"/>
      <c r="N239" s="837"/>
      <c r="O239" s="837"/>
      <c r="P239" s="847">
        <v>319.09399999999999</v>
      </c>
      <c r="Q239" s="837"/>
      <c r="R239" s="837"/>
      <c r="S239" s="837"/>
      <c r="T239" s="837"/>
      <c r="U239" s="847">
        <v>-10.928000000000001</v>
      </c>
      <c r="V239" s="837"/>
      <c r="W239" s="837"/>
      <c r="X239" s="837"/>
      <c r="Y239" s="837"/>
      <c r="Z239" s="847">
        <v>254.95</v>
      </c>
      <c r="AA239" s="837"/>
      <c r="AB239" s="837"/>
      <c r="AC239" s="837"/>
      <c r="AD239" s="837"/>
      <c r="AE239" s="847">
        <v>415.02600000000001</v>
      </c>
      <c r="AF239" s="837"/>
      <c r="AG239" s="837"/>
      <c r="AH239" s="837"/>
      <c r="AI239" s="837"/>
      <c r="AJ239" s="847">
        <v>326.68099999999998</v>
      </c>
      <c r="AK239" s="837"/>
      <c r="AL239" s="837"/>
      <c r="AM239" s="837"/>
      <c r="AN239" s="837"/>
      <c r="AO239" s="847">
        <v>119.84099999999999</v>
      </c>
      <c r="AP239" s="837"/>
      <c r="AQ239" s="837"/>
      <c r="AR239" s="837"/>
      <c r="AS239" s="837"/>
      <c r="AT239" s="847">
        <v>-183.87100000000001</v>
      </c>
      <c r="AU239" s="837"/>
      <c r="AV239" s="837"/>
      <c r="AW239" s="837"/>
      <c r="AX239" s="837"/>
      <c r="AY239" s="847">
        <v>178.749</v>
      </c>
      <c r="AZ239" s="837"/>
      <c r="BA239" s="837"/>
      <c r="BB239" s="837"/>
      <c r="BC239" s="837"/>
      <c r="BD239" s="847">
        <v>-59.466000000000001</v>
      </c>
      <c r="BE239" s="837"/>
      <c r="BF239" s="837"/>
      <c r="BG239" s="837"/>
      <c r="BH239" s="837"/>
      <c r="BI239" s="847">
        <v>1270.1010000000001</v>
      </c>
      <c r="BJ239" s="837"/>
      <c r="BK239" s="837"/>
      <c r="BL239" s="837"/>
      <c r="BM239" s="837"/>
      <c r="BN239" s="847">
        <v>-381.65800000000002</v>
      </c>
      <c r="BO239" s="837"/>
      <c r="BP239" s="837"/>
      <c r="BQ239" s="837"/>
      <c r="BR239" s="837"/>
      <c r="BS239" s="847">
        <v>-48</v>
      </c>
      <c r="BT239" s="837"/>
      <c r="BU239" s="837"/>
      <c r="BV239" s="837"/>
      <c r="BW239" s="837"/>
      <c r="BX239" s="847">
        <v>133</v>
      </c>
      <c r="BY239" s="837"/>
      <c r="BZ239" s="837"/>
      <c r="CA239" s="837"/>
      <c r="CB239" s="837"/>
      <c r="CC239" s="847">
        <v>213</v>
      </c>
      <c r="CD239" s="837">
        <v>-122</v>
      </c>
      <c r="CE239" s="837">
        <v>-360</v>
      </c>
      <c r="CF239" s="837">
        <v>14</v>
      </c>
      <c r="CG239" s="837">
        <v>-333</v>
      </c>
      <c r="CH239" s="107">
        <v>-801</v>
      </c>
      <c r="CI239" s="837">
        <v>-118</v>
      </c>
      <c r="CJ239" s="837">
        <v>-460</v>
      </c>
      <c r="CK239" s="837">
        <v>-394</v>
      </c>
      <c r="CL239" s="837">
        <v>479</v>
      </c>
      <c r="CM239" s="107">
        <v>-493</v>
      </c>
      <c r="CN239" s="837">
        <v>-69</v>
      </c>
      <c r="CO239" s="837">
        <v>598</v>
      </c>
      <c r="CP239" s="837">
        <v>60</v>
      </c>
      <c r="CQ239" s="837">
        <v>1065</v>
      </c>
      <c r="CR239" s="107">
        <v>1654</v>
      </c>
      <c r="CS239" s="837">
        <v>424.99899999999997</v>
      </c>
      <c r="CT239" s="837">
        <v>5.5499999999999972</v>
      </c>
      <c r="CU239" s="837">
        <v>242.358</v>
      </c>
      <c r="CV239" s="837">
        <v>129.70300000000003</v>
      </c>
      <c r="CW239" s="107">
        <f>CW237+CW238+CW232</f>
        <v>802.61</v>
      </c>
      <c r="CX239" s="837">
        <v>-191.251</v>
      </c>
      <c r="CY239" s="837">
        <v>-64.498999999999995</v>
      </c>
      <c r="CZ239" s="837">
        <v>-137.70499999999998</v>
      </c>
      <c r="DA239" s="837">
        <v>12.277999999999992</v>
      </c>
      <c r="DB239" s="107">
        <f>DB237+DB238+DB232</f>
        <v>-381.17699999999996</v>
      </c>
      <c r="DC239" s="837">
        <v>-7.453000000000003</v>
      </c>
      <c r="DD239" s="837">
        <v>-92</v>
      </c>
      <c r="DE239" s="837">
        <v>-224</v>
      </c>
      <c r="DF239" s="837">
        <v>-493</v>
      </c>
      <c r="DG239" s="107">
        <f>DG237+DG238+DG232</f>
        <v>-816.45300000000009</v>
      </c>
      <c r="DH239" s="837">
        <v>-484</v>
      </c>
      <c r="DI239" s="837">
        <v>-265</v>
      </c>
      <c r="DJ239" s="837">
        <v>-102</v>
      </c>
      <c r="DK239" s="837">
        <v>-98</v>
      </c>
      <c r="DL239" s="107">
        <f>DL237+DL238+DL232</f>
        <v>-949</v>
      </c>
      <c r="DM239" s="837">
        <v>-286</v>
      </c>
      <c r="DN239" s="837">
        <v>-327</v>
      </c>
      <c r="DO239" s="837">
        <v>-225</v>
      </c>
      <c r="DP239" s="837">
        <v>-27</v>
      </c>
      <c r="DQ239" s="107">
        <f>DQ237+DQ238+DQ232</f>
        <v>-865</v>
      </c>
      <c r="DR239" s="837">
        <v>-375</v>
      </c>
      <c r="DS239" s="837">
        <v>-340</v>
      </c>
      <c r="DT239" s="837">
        <v>-246</v>
      </c>
      <c r="DU239" s="837">
        <v>-287</v>
      </c>
      <c r="DV239" s="107">
        <f t="shared" ref="DV239:EA239" si="1050">DV237+DV238+DV232</f>
        <v>-1248</v>
      </c>
      <c r="DW239" s="837">
        <v>-407</v>
      </c>
      <c r="DX239" s="837">
        <v>-473</v>
      </c>
      <c r="DY239" s="837">
        <v>-609</v>
      </c>
      <c r="DZ239" s="837">
        <f>-1024-DY239-DX239-DW239</f>
        <v>465</v>
      </c>
      <c r="EA239" s="107">
        <f t="shared" si="1050"/>
        <v>-1024</v>
      </c>
      <c r="EB239" s="837">
        <v>-636</v>
      </c>
      <c r="EC239" s="837">
        <v>-786</v>
      </c>
      <c r="ED239" s="837">
        <v>-346</v>
      </c>
      <c r="EE239" s="837">
        <f>-1924-SUM(EB239:ED239)</f>
        <v>-156</v>
      </c>
      <c r="EF239" s="107">
        <f>EF237+EF238+EF232</f>
        <v>-1924</v>
      </c>
      <c r="EG239" s="837">
        <v>-984</v>
      </c>
      <c r="EH239" s="837">
        <v>-476</v>
      </c>
      <c r="EI239" s="837">
        <v>-453</v>
      </c>
      <c r="EJ239" s="837">
        <v>207</v>
      </c>
      <c r="EK239" s="107">
        <f>EK237+EK238+EK232</f>
        <v>-1706</v>
      </c>
      <c r="EL239" s="837">
        <v>-984</v>
      </c>
      <c r="EM239" s="837">
        <v>-476</v>
      </c>
      <c r="EN239" s="837">
        <v>-453</v>
      </c>
      <c r="EO239" s="837">
        <v>207</v>
      </c>
      <c r="EP239" s="107">
        <f>EP237+EP238+EP232</f>
        <v>-1706</v>
      </c>
      <c r="EQ239" s="84">
        <f t="shared" ref="EQ239" si="1051">EQ237+EQ238+EQ232</f>
        <v>-775.05775280018611</v>
      </c>
      <c r="ER239" s="84">
        <f t="shared" ref="ER239:ET239" si="1052">ER237+ER238+ER232</f>
        <v>-718.73096814027826</v>
      </c>
      <c r="ES239" s="84">
        <f t="shared" si="1052"/>
        <v>-722.12522727514465</v>
      </c>
      <c r="ET239" s="84">
        <f t="shared" si="1052"/>
        <v>-642.55560917929279</v>
      </c>
      <c r="EU239" s="107">
        <f>EU237+EU238+EU232</f>
        <v>-2858.469557394902</v>
      </c>
      <c r="EV239" s="84"/>
      <c r="EW239" s="84"/>
      <c r="EX239" s="84"/>
      <c r="EY239" s="84"/>
      <c r="EZ239" s="107">
        <f>EZ237+EZ238+EZ232</f>
        <v>-3569.1318023058971</v>
      </c>
      <c r="FA239" s="84"/>
      <c r="FB239" s="84"/>
      <c r="FC239" s="84"/>
      <c r="FD239" s="84"/>
      <c r="FE239" s="107">
        <f>FE237+FE238+FE232</f>
        <v>-3602.0668733692273</v>
      </c>
      <c r="FF239" s="184"/>
      <c r="FG239" s="188"/>
      <c r="FL239" s="429"/>
      <c r="FM239" s="400"/>
      <c r="FN239" s="381"/>
      <c r="FO239" s="381"/>
      <c r="FP239" s="381"/>
      <c r="FQ239" s="381"/>
      <c r="FR239" s="381"/>
      <c r="FS239" s="381"/>
      <c r="FT239" s="188"/>
    </row>
    <row r="240" spans="1:184" ht="12.75" customHeight="1" x14ac:dyDescent="0.2">
      <c r="A240" s="73" t="s">
        <v>458</v>
      </c>
      <c r="B240" s="33"/>
      <c r="C240" s="33"/>
      <c r="D240" s="33"/>
      <c r="E240" s="33"/>
      <c r="F240" s="279"/>
      <c r="G240" s="33"/>
      <c r="H240" s="33"/>
      <c r="I240" s="33"/>
      <c r="J240" s="33"/>
      <c r="K240" s="279"/>
      <c r="L240" s="33"/>
      <c r="M240" s="33"/>
      <c r="N240" s="33"/>
      <c r="O240" s="33"/>
      <c r="P240" s="103">
        <f>P227+P239+P217</f>
        <v>168.66499999999996</v>
      </c>
      <c r="Q240" s="33"/>
      <c r="R240" s="33"/>
      <c r="S240" s="33"/>
      <c r="T240" s="33"/>
      <c r="U240" s="103">
        <f>U227+U239+U217</f>
        <v>-142.41800000000001</v>
      </c>
      <c r="V240" s="33"/>
      <c r="W240" s="33"/>
      <c r="X240" s="33"/>
      <c r="Y240" s="33"/>
      <c r="Z240" s="103">
        <f>Z227+Z239+Z217</f>
        <v>-121.03300000000007</v>
      </c>
      <c r="AA240" s="33"/>
      <c r="AB240" s="33"/>
      <c r="AC240" s="33"/>
      <c r="AD240" s="33"/>
      <c r="AE240" s="103">
        <f>AE227+AE239+AE217</f>
        <v>142.82499999999999</v>
      </c>
      <c r="AF240" s="33"/>
      <c r="AG240" s="33"/>
      <c r="AH240" s="33"/>
      <c r="AI240" s="33"/>
      <c r="AJ240" s="103">
        <f>AJ227+AJ239+AJ217</f>
        <v>264.47799999999989</v>
      </c>
      <c r="AK240" s="33"/>
      <c r="AL240" s="33"/>
      <c r="AM240" s="33"/>
      <c r="AN240" s="33"/>
      <c r="AO240" s="103">
        <f>AO227+AO239+AO217</f>
        <v>41.501999999999953</v>
      </c>
      <c r="AP240" s="33"/>
      <c r="AQ240" s="33"/>
      <c r="AR240" s="33"/>
      <c r="AS240" s="33"/>
      <c r="AT240" s="103">
        <f>AT227+AT239+AT217</f>
        <v>-244.83200000000011</v>
      </c>
      <c r="AU240" s="33"/>
      <c r="AV240" s="33"/>
      <c r="AW240" s="33"/>
      <c r="AX240" s="33"/>
      <c r="AY240" s="103">
        <f>AY227+AY239+AY217</f>
        <v>40.307999999999993</v>
      </c>
      <c r="AZ240" s="33"/>
      <c r="BA240" s="33"/>
      <c r="BB240" s="33"/>
      <c r="BC240" s="33"/>
      <c r="BD240" s="103">
        <f>BD227+BD239+BD217</f>
        <v>104.17600000000016</v>
      </c>
      <c r="BE240" s="33"/>
      <c r="BF240" s="33"/>
      <c r="BG240" s="33"/>
      <c r="BH240" s="33"/>
      <c r="BI240" s="103">
        <f>BI227+BI239+BI217</f>
        <v>1756.866</v>
      </c>
      <c r="BJ240" s="33"/>
      <c r="BK240" s="33"/>
      <c r="BL240" s="33"/>
      <c r="BM240" s="33"/>
      <c r="BN240" s="103">
        <f>BN227+BN239+BN217</f>
        <v>-464.50900000000001</v>
      </c>
      <c r="BO240" s="33"/>
      <c r="BP240" s="33"/>
      <c r="BQ240" s="33"/>
      <c r="BR240" s="33"/>
      <c r="BS240" s="103">
        <f>BS227+BS239+BS217</f>
        <v>-331</v>
      </c>
      <c r="BT240" s="33"/>
      <c r="BU240" s="33"/>
      <c r="BV240" s="33"/>
      <c r="BW240" s="33"/>
      <c r="BX240" s="103">
        <f>BX227+BX239+BX217</f>
        <v>-436</v>
      </c>
      <c r="BY240" s="33"/>
      <c r="BZ240" s="33"/>
      <c r="CA240" s="33"/>
      <c r="CB240" s="33"/>
      <c r="CC240" s="103">
        <f t="shared" ref="CC240:DH240" si="1053">CC227+CC239+CC217</f>
        <v>1185</v>
      </c>
      <c r="CD240" s="33">
        <f t="shared" si="1053"/>
        <v>320</v>
      </c>
      <c r="CE240" s="33">
        <f t="shared" si="1053"/>
        <v>-8</v>
      </c>
      <c r="CF240" s="33">
        <f t="shared" si="1053"/>
        <v>-645</v>
      </c>
      <c r="CG240" s="33">
        <f t="shared" si="1053"/>
        <v>-557</v>
      </c>
      <c r="CH240" s="103">
        <f t="shared" si="1053"/>
        <v>-890</v>
      </c>
      <c r="CI240" s="33">
        <f t="shared" si="1053"/>
        <v>228</v>
      </c>
      <c r="CJ240" s="33">
        <f t="shared" si="1053"/>
        <v>-13</v>
      </c>
      <c r="CK240" s="33">
        <f t="shared" si="1053"/>
        <v>-555</v>
      </c>
      <c r="CL240" s="33">
        <f t="shared" si="1053"/>
        <v>1163</v>
      </c>
      <c r="CM240" s="103">
        <f t="shared" si="1053"/>
        <v>823</v>
      </c>
      <c r="CN240" s="33">
        <f t="shared" si="1053"/>
        <v>769</v>
      </c>
      <c r="CO240" s="33">
        <f t="shared" si="1053"/>
        <v>1671</v>
      </c>
      <c r="CP240" s="33">
        <f t="shared" si="1053"/>
        <v>-2263</v>
      </c>
      <c r="CQ240" s="33">
        <f t="shared" si="1053"/>
        <v>-1022</v>
      </c>
      <c r="CR240" s="103">
        <f t="shared" si="1053"/>
        <v>-845</v>
      </c>
      <c r="CS240" s="33">
        <f t="shared" si="1053"/>
        <v>150.839</v>
      </c>
      <c r="CT240" s="33">
        <f t="shared" si="1053"/>
        <v>-196.50700000000001</v>
      </c>
      <c r="CU240" s="33">
        <f t="shared" si="1053"/>
        <v>-14.246999999999986</v>
      </c>
      <c r="CV240" s="33">
        <f t="shared" si="1053"/>
        <v>348.53400000000005</v>
      </c>
      <c r="CW240" s="103">
        <f t="shared" si="1053"/>
        <v>288.61900000000026</v>
      </c>
      <c r="CX240" s="33">
        <f t="shared" si="1053"/>
        <v>-12.135999999999967</v>
      </c>
      <c r="CY240" s="33">
        <f t="shared" si="1053"/>
        <v>-120.13700000000006</v>
      </c>
      <c r="CZ240" s="33">
        <f t="shared" si="1053"/>
        <v>-68.839999999999975</v>
      </c>
      <c r="DA240" s="33">
        <f t="shared" si="1053"/>
        <v>259.459</v>
      </c>
      <c r="DB240" s="103">
        <f t="shared" si="1053"/>
        <v>58.346000000000004</v>
      </c>
      <c r="DC240" s="33">
        <f t="shared" si="1053"/>
        <v>323.74</v>
      </c>
      <c r="DD240" s="33">
        <f t="shared" si="1053"/>
        <v>-444</v>
      </c>
      <c r="DE240" s="33">
        <f t="shared" si="1053"/>
        <v>-579</v>
      </c>
      <c r="DF240" s="33">
        <f t="shared" si="1053"/>
        <v>-187</v>
      </c>
      <c r="DG240" s="103">
        <f t="shared" si="1053"/>
        <v>-886.26000000000022</v>
      </c>
      <c r="DH240" s="33">
        <f t="shared" si="1053"/>
        <v>729</v>
      </c>
      <c r="DI240" s="33">
        <f t="shared" ref="DI240:EA240" si="1054">DI227+DI239+DI217</f>
        <v>-475</v>
      </c>
      <c r="DJ240" s="33">
        <f t="shared" si="1054"/>
        <v>85</v>
      </c>
      <c r="DK240" s="33">
        <f t="shared" si="1054"/>
        <v>-55</v>
      </c>
      <c r="DL240" s="103">
        <f t="shared" si="1054"/>
        <v>284</v>
      </c>
      <c r="DM240" s="33">
        <f t="shared" si="1054"/>
        <v>225</v>
      </c>
      <c r="DN240" s="33">
        <f t="shared" si="1054"/>
        <v>151</v>
      </c>
      <c r="DO240" s="33">
        <f t="shared" si="1054"/>
        <v>-156</v>
      </c>
      <c r="DP240" s="33">
        <f t="shared" si="1054"/>
        <v>22</v>
      </c>
      <c r="DQ240" s="103">
        <f t="shared" si="1054"/>
        <v>242</v>
      </c>
      <c r="DR240" s="33">
        <f t="shared" si="1054"/>
        <v>386</v>
      </c>
      <c r="DS240" s="33">
        <f t="shared" si="1054"/>
        <v>141</v>
      </c>
      <c r="DT240" s="33">
        <f t="shared" si="1054"/>
        <v>-50</v>
      </c>
      <c r="DU240" s="33">
        <f t="shared" si="1054"/>
        <v>-550</v>
      </c>
      <c r="DV240" s="103">
        <f t="shared" si="1054"/>
        <v>-73</v>
      </c>
      <c r="DW240" s="33">
        <f>DW227+DW239+DW217</f>
        <v>743</v>
      </c>
      <c r="DX240" s="33">
        <f t="shared" si="1054"/>
        <v>-253</v>
      </c>
      <c r="DY240" s="33">
        <f t="shared" si="1054"/>
        <v>-32</v>
      </c>
      <c r="DZ240" s="33">
        <f t="shared" si="1054"/>
        <v>-157</v>
      </c>
      <c r="EA240" s="103">
        <f t="shared" si="1054"/>
        <v>301</v>
      </c>
      <c r="EB240" s="33">
        <f t="shared" ref="EB240:ET240" si="1055">EB227+EB239+EB217</f>
        <v>805</v>
      </c>
      <c r="EC240" s="33">
        <f t="shared" si="1055"/>
        <v>-348</v>
      </c>
      <c r="ED240" s="33">
        <f t="shared" si="1055"/>
        <v>-74</v>
      </c>
      <c r="EE240" s="33">
        <f t="shared" si="1055"/>
        <v>-286</v>
      </c>
      <c r="EF240" s="103">
        <f t="shared" si="1055"/>
        <v>97</v>
      </c>
      <c r="EG240" s="33">
        <f t="shared" ref="EG240:EJ240" si="1056">EG227+EG239+EG217</f>
        <v>171</v>
      </c>
      <c r="EH240" s="33">
        <f t="shared" si="1056"/>
        <v>-314</v>
      </c>
      <c r="EI240" s="33">
        <f t="shared" si="1056"/>
        <v>-77</v>
      </c>
      <c r="EJ240" s="33">
        <f t="shared" si="1056"/>
        <v>35</v>
      </c>
      <c r="EK240" s="103">
        <f t="shared" si="1055"/>
        <v>-185</v>
      </c>
      <c r="EL240" s="33">
        <f t="shared" si="1055"/>
        <v>171</v>
      </c>
      <c r="EM240" s="33">
        <f t="shared" si="1055"/>
        <v>-314</v>
      </c>
      <c r="EN240" s="33">
        <f t="shared" si="1055"/>
        <v>-77</v>
      </c>
      <c r="EO240" s="33">
        <f t="shared" si="1055"/>
        <v>35</v>
      </c>
      <c r="EP240" s="103">
        <f t="shared" ref="EP240" si="1057">EP227+EP239+EP217</f>
        <v>-185</v>
      </c>
      <c r="EQ240" s="33">
        <f t="shared" si="1055"/>
        <v>1268.453908804642</v>
      </c>
      <c r="ER240" s="33">
        <f t="shared" si="1055"/>
        <v>-262.095605462344</v>
      </c>
      <c r="ES240" s="33">
        <f t="shared" si="1055"/>
        <v>-185.52046503583733</v>
      </c>
      <c r="ET240" s="33">
        <f t="shared" si="1055"/>
        <v>0</v>
      </c>
      <c r="EU240" s="103">
        <f>EU227+EU239+EU217</f>
        <v>820.83783830646007</v>
      </c>
      <c r="EV240" s="33"/>
      <c r="EW240" s="33"/>
      <c r="EX240" s="33"/>
      <c r="EY240" s="33"/>
      <c r="EZ240" s="103">
        <f>EZ227+EZ239+EZ217</f>
        <v>-309.60483954634765</v>
      </c>
      <c r="FA240" s="33"/>
      <c r="FB240" s="33"/>
      <c r="FC240" s="33"/>
      <c r="FD240" s="33"/>
      <c r="FE240" s="103">
        <f>FE227+FE239+FE217</f>
        <v>183.4318234657967</v>
      </c>
      <c r="FF240" s="184"/>
      <c r="FG240" s="188"/>
      <c r="FL240" s="400"/>
      <c r="FM240" s="400"/>
      <c r="FN240" s="381"/>
      <c r="FO240" s="381"/>
      <c r="FP240" s="381"/>
      <c r="FQ240" s="381"/>
      <c r="FR240" s="381"/>
      <c r="FS240" s="381"/>
      <c r="FT240" s="188"/>
    </row>
    <row r="241" spans="1:184" ht="12.75" customHeight="1" x14ac:dyDescent="0.2">
      <c r="A241" s="73" t="s">
        <v>459</v>
      </c>
      <c r="B241" s="827"/>
      <c r="C241" s="827"/>
      <c r="D241" s="827"/>
      <c r="E241" s="827"/>
      <c r="F241" s="279"/>
      <c r="G241" s="827"/>
      <c r="H241" s="827"/>
      <c r="I241" s="827"/>
      <c r="J241" s="827"/>
      <c r="K241" s="279"/>
      <c r="L241" s="827"/>
      <c r="M241" s="827"/>
      <c r="N241" s="827"/>
      <c r="O241" s="827"/>
      <c r="P241" s="848">
        <v>0</v>
      </c>
      <c r="Q241" s="827"/>
      <c r="R241" s="827"/>
      <c r="S241" s="827"/>
      <c r="T241" s="827"/>
      <c r="U241" s="848">
        <v>0</v>
      </c>
      <c r="V241" s="827"/>
      <c r="W241" s="827"/>
      <c r="X241" s="827"/>
      <c r="Y241" s="827"/>
      <c r="Z241" s="848">
        <v>0</v>
      </c>
      <c r="AA241" s="827"/>
      <c r="AB241" s="827"/>
      <c r="AC241" s="827"/>
      <c r="AD241" s="827"/>
      <c r="AE241" s="848">
        <v>0</v>
      </c>
      <c r="AF241" s="827"/>
      <c r="AG241" s="827"/>
      <c r="AH241" s="827"/>
      <c r="AI241" s="827"/>
      <c r="AJ241" s="848">
        <v>0</v>
      </c>
      <c r="AK241" s="827"/>
      <c r="AL241" s="827"/>
      <c r="AM241" s="827"/>
      <c r="AN241" s="827"/>
      <c r="AO241" s="848">
        <v>0</v>
      </c>
      <c r="AP241" s="827"/>
      <c r="AQ241" s="827"/>
      <c r="AR241" s="827"/>
      <c r="AS241" s="827"/>
      <c r="AT241" s="848">
        <v>0</v>
      </c>
      <c r="AU241" s="827"/>
      <c r="AV241" s="827"/>
      <c r="AW241" s="827"/>
      <c r="AX241" s="827"/>
      <c r="AY241" s="848">
        <v>0</v>
      </c>
      <c r="AZ241" s="827"/>
      <c r="BA241" s="827"/>
      <c r="BB241" s="827"/>
      <c r="BC241" s="827"/>
      <c r="BD241" s="848">
        <v>0</v>
      </c>
      <c r="BE241" s="827"/>
      <c r="BF241" s="827"/>
      <c r="BG241" s="827"/>
      <c r="BH241" s="827"/>
      <c r="BI241" s="848">
        <v>0</v>
      </c>
      <c r="BJ241" s="827"/>
      <c r="BK241" s="827"/>
      <c r="BL241" s="827"/>
      <c r="BM241" s="827"/>
      <c r="BN241" s="848">
        <v>0</v>
      </c>
      <c r="BO241" s="827"/>
      <c r="BP241" s="827"/>
      <c r="BQ241" s="827"/>
      <c r="BR241" s="827"/>
      <c r="BS241" s="848">
        <v>0</v>
      </c>
      <c r="BT241" s="827"/>
      <c r="BU241" s="827"/>
      <c r="BV241" s="827"/>
      <c r="BW241" s="827"/>
      <c r="BX241" s="848">
        <v>0</v>
      </c>
      <c r="BY241" s="827"/>
      <c r="BZ241" s="827"/>
      <c r="CA241" s="827"/>
      <c r="CB241" s="827"/>
      <c r="CC241" s="848">
        <v>0</v>
      </c>
      <c r="CD241" s="827">
        <v>0</v>
      </c>
      <c r="CE241" s="827">
        <v>0</v>
      </c>
      <c r="CF241" s="827">
        <v>0</v>
      </c>
      <c r="CG241" s="827">
        <v>0</v>
      </c>
      <c r="CH241" s="103">
        <v>0</v>
      </c>
      <c r="CI241" s="827">
        <v>0</v>
      </c>
      <c r="CJ241" s="827">
        <v>0</v>
      </c>
      <c r="CK241" s="827">
        <v>0</v>
      </c>
      <c r="CL241" s="827">
        <v>0</v>
      </c>
      <c r="CM241" s="103">
        <v>0</v>
      </c>
      <c r="CN241" s="827">
        <v>0</v>
      </c>
      <c r="CO241" s="827">
        <v>0</v>
      </c>
      <c r="CP241" s="827">
        <v>0</v>
      </c>
      <c r="CQ241" s="827">
        <v>0</v>
      </c>
      <c r="CR241" s="103">
        <v>0</v>
      </c>
      <c r="CS241" s="827">
        <v>0</v>
      </c>
      <c r="CT241" s="827">
        <v>0</v>
      </c>
      <c r="CU241" s="827">
        <v>0</v>
      </c>
      <c r="CV241" s="827">
        <v>0</v>
      </c>
      <c r="CW241" s="103">
        <v>0</v>
      </c>
      <c r="CX241" s="827">
        <v>0</v>
      </c>
      <c r="CY241" s="827">
        <v>0</v>
      </c>
      <c r="CZ241" s="827">
        <v>0</v>
      </c>
      <c r="DA241" s="827">
        <v>0</v>
      </c>
      <c r="DB241" s="103">
        <f>SUM(CX241:DA241)</f>
        <v>0</v>
      </c>
      <c r="DC241" s="827">
        <v>0</v>
      </c>
      <c r="DD241" s="827">
        <v>0</v>
      </c>
      <c r="DE241" s="827">
        <v>0</v>
      </c>
      <c r="DF241" s="827">
        <v>0</v>
      </c>
      <c r="DG241" s="103">
        <f>SUM(DC241:DF241)</f>
        <v>0</v>
      </c>
      <c r="DH241" s="827">
        <v>0</v>
      </c>
      <c r="DI241" s="827">
        <v>0</v>
      </c>
      <c r="DJ241" s="827">
        <v>0</v>
      </c>
      <c r="DK241" s="827">
        <v>0</v>
      </c>
      <c r="DL241" s="103">
        <f>SUM(DH241:DK241)</f>
        <v>0</v>
      </c>
      <c r="DM241" s="827">
        <v>0</v>
      </c>
      <c r="DN241" s="827">
        <v>0</v>
      </c>
      <c r="DO241" s="827">
        <v>0</v>
      </c>
      <c r="DP241" s="827">
        <v>0</v>
      </c>
      <c r="DQ241" s="103">
        <f>SUM(DM241:DP241)</f>
        <v>0</v>
      </c>
      <c r="DR241" s="827">
        <v>0</v>
      </c>
      <c r="DS241" s="827">
        <v>0</v>
      </c>
      <c r="DT241" s="827">
        <v>0</v>
      </c>
      <c r="DU241" s="827">
        <v>0</v>
      </c>
      <c r="DV241" s="103">
        <f>SUM(DR241:DU241)</f>
        <v>0</v>
      </c>
      <c r="DW241" s="827">
        <v>0</v>
      </c>
      <c r="DX241" s="827">
        <v>0</v>
      </c>
      <c r="DY241" s="827">
        <v>0</v>
      </c>
      <c r="DZ241" s="827">
        <v>0</v>
      </c>
      <c r="EA241" s="103">
        <f>SUM(DW241:DZ241)</f>
        <v>0</v>
      </c>
      <c r="EB241" s="827">
        <v>0</v>
      </c>
      <c r="EC241" s="827">
        <v>0</v>
      </c>
      <c r="ED241" s="827">
        <v>0</v>
      </c>
      <c r="EE241" s="827">
        <v>0</v>
      </c>
      <c r="EF241" s="103">
        <f>SUM(EB241:EE241)</f>
        <v>0</v>
      </c>
      <c r="EG241" s="827">
        <v>0</v>
      </c>
      <c r="EH241" s="827">
        <v>0</v>
      </c>
      <c r="EI241" s="827">
        <v>0</v>
      </c>
      <c r="EJ241" s="827">
        <v>0</v>
      </c>
      <c r="EK241" s="103">
        <f>SUM(EG241:EJ241)</f>
        <v>0</v>
      </c>
      <c r="EL241" s="827">
        <v>0</v>
      </c>
      <c r="EM241" s="827">
        <v>0</v>
      </c>
      <c r="EN241" s="827">
        <v>0</v>
      </c>
      <c r="EO241" s="827">
        <v>0</v>
      </c>
      <c r="EP241" s="103">
        <f>SUM(EL241:EO241)</f>
        <v>0</v>
      </c>
      <c r="EQ241" s="47">
        <v>0</v>
      </c>
      <c r="ER241" s="47">
        <v>0</v>
      </c>
      <c r="ES241" s="47">
        <v>0</v>
      </c>
      <c r="ET241" s="47">
        <v>0</v>
      </c>
      <c r="EU241" s="118">
        <v>0</v>
      </c>
      <c r="EV241" s="47"/>
      <c r="EW241" s="47"/>
      <c r="EX241" s="47"/>
      <c r="EY241" s="47"/>
      <c r="EZ241" s="118">
        <v>0</v>
      </c>
      <c r="FA241" s="47"/>
      <c r="FB241" s="47"/>
      <c r="FC241" s="47"/>
      <c r="FD241" s="47"/>
      <c r="FE241" s="118">
        <v>0</v>
      </c>
      <c r="FF241" s="184"/>
      <c r="FG241" s="188"/>
      <c r="FL241" s="400"/>
      <c r="FM241" s="400"/>
      <c r="FN241" s="381"/>
      <c r="FO241" s="381"/>
      <c r="FP241" s="381"/>
      <c r="FQ241" s="381"/>
      <c r="FR241" s="381"/>
      <c r="FS241" s="381"/>
      <c r="FT241" s="188"/>
    </row>
    <row r="242" spans="1:184" s="231" customFormat="1" ht="12.75" customHeight="1" x14ac:dyDescent="0.2">
      <c r="A242" s="226" t="s">
        <v>460</v>
      </c>
      <c r="B242" s="230"/>
      <c r="C242" s="230"/>
      <c r="D242" s="230"/>
      <c r="E242" s="230"/>
      <c r="F242" s="282"/>
      <c r="G242" s="230"/>
      <c r="H242" s="230"/>
      <c r="I242" s="230"/>
      <c r="J242" s="230"/>
      <c r="K242" s="282"/>
      <c r="L242" s="230"/>
      <c r="M242" s="230"/>
      <c r="N242" s="230"/>
      <c r="O242" s="230"/>
      <c r="P242" s="850">
        <v>269.32400000000001</v>
      </c>
      <c r="Q242" s="230"/>
      <c r="R242" s="230"/>
      <c r="S242" s="230"/>
      <c r="T242" s="230"/>
      <c r="U242" s="856">
        <f>P243</f>
        <v>437.98899999999998</v>
      </c>
      <c r="V242" s="230"/>
      <c r="W242" s="230"/>
      <c r="X242" s="230"/>
      <c r="Y242" s="230"/>
      <c r="Z242" s="856">
        <f>U243</f>
        <v>295.57099999999997</v>
      </c>
      <c r="AA242" s="230"/>
      <c r="AB242" s="230"/>
      <c r="AC242" s="230"/>
      <c r="AD242" s="230"/>
      <c r="AE242" s="856">
        <f>Z243</f>
        <v>174.5379999999999</v>
      </c>
      <c r="AF242" s="230"/>
      <c r="AG242" s="230"/>
      <c r="AH242" s="230"/>
      <c r="AI242" s="230"/>
      <c r="AJ242" s="856">
        <f>AE243</f>
        <v>317.36299999999989</v>
      </c>
      <c r="AK242" s="230"/>
      <c r="AL242" s="230"/>
      <c r="AM242" s="230"/>
      <c r="AN242" s="230"/>
      <c r="AO242" s="856">
        <f>AJ243</f>
        <v>581.84099999999978</v>
      </c>
      <c r="AP242" s="230"/>
      <c r="AQ242" s="230"/>
      <c r="AR242" s="230"/>
      <c r="AS242" s="230"/>
      <c r="AT242" s="856">
        <f>AO243</f>
        <v>623.34299999999973</v>
      </c>
      <c r="AU242" s="230"/>
      <c r="AV242" s="230"/>
      <c r="AW242" s="230"/>
      <c r="AX242" s="230"/>
      <c r="AY242" s="856">
        <f>AT243</f>
        <v>378.51099999999963</v>
      </c>
      <c r="AZ242" s="230"/>
      <c r="BA242" s="230"/>
      <c r="BB242" s="230"/>
      <c r="BC242" s="230"/>
      <c r="BD242" s="856">
        <f>AY243</f>
        <v>418.81899999999962</v>
      </c>
      <c r="BE242" s="230"/>
      <c r="BF242" s="230"/>
      <c r="BG242" s="230"/>
      <c r="BH242" s="230"/>
      <c r="BI242" s="856">
        <f>BD243</f>
        <v>522.99499999999978</v>
      </c>
      <c r="BJ242" s="230"/>
      <c r="BK242" s="230"/>
      <c r="BL242" s="230"/>
      <c r="BM242" s="230"/>
      <c r="BN242" s="856">
        <f>BI243</f>
        <v>2279.8609999999999</v>
      </c>
      <c r="BO242" s="230"/>
      <c r="BP242" s="230"/>
      <c r="BQ242" s="230"/>
      <c r="BR242" s="230"/>
      <c r="BS242" s="856">
        <f>BN243</f>
        <v>1815.3519999999999</v>
      </c>
      <c r="BT242" s="230"/>
      <c r="BU242" s="230"/>
      <c r="BV242" s="230"/>
      <c r="BW242" s="230"/>
      <c r="BX242" s="856">
        <f>BS243</f>
        <v>1484.3519999999999</v>
      </c>
      <c r="BY242" s="230"/>
      <c r="BZ242" s="230"/>
      <c r="CA242" s="230"/>
      <c r="CB242" s="230"/>
      <c r="CC242" s="850">
        <f>BX243</f>
        <v>1095.3519999999999</v>
      </c>
      <c r="CD242" s="230">
        <f>CC243</f>
        <v>2280.3519999999999</v>
      </c>
      <c r="CE242" s="230">
        <f>CD243</f>
        <v>2600.3519999999999</v>
      </c>
      <c r="CF242" s="230">
        <f>CE243</f>
        <v>2592.3519999999999</v>
      </c>
      <c r="CG242" s="230">
        <f>CF243</f>
        <v>1947.3519999999999</v>
      </c>
      <c r="CH242" s="291">
        <f>CC243</f>
        <v>2280.3519999999999</v>
      </c>
      <c r="CI242" s="230">
        <f>CH243</f>
        <v>1390.3519999999999</v>
      </c>
      <c r="CJ242" s="230">
        <f>CI243</f>
        <v>1618.3519999999999</v>
      </c>
      <c r="CK242" s="230">
        <f>CJ243</f>
        <v>1605.3519999999999</v>
      </c>
      <c r="CL242" s="230">
        <f>CK243</f>
        <v>1050.3519999999999</v>
      </c>
      <c r="CM242" s="291">
        <f>CH243</f>
        <v>1390.3519999999999</v>
      </c>
      <c r="CN242" s="230">
        <f>CM243</f>
        <v>2213.3519999999999</v>
      </c>
      <c r="CO242" s="230">
        <f>CN243</f>
        <v>2982.3519999999999</v>
      </c>
      <c r="CP242" s="230">
        <f>CO243</f>
        <v>4653.3519999999999</v>
      </c>
      <c r="CQ242" s="230">
        <f>CP243</f>
        <v>2390.3519999999999</v>
      </c>
      <c r="CR242" s="291">
        <f>CM243</f>
        <v>2213.3519999999999</v>
      </c>
      <c r="CS242" s="230">
        <f>CR243</f>
        <v>1368.3519999999999</v>
      </c>
      <c r="CT242" s="230">
        <f>CS243</f>
        <v>1519.1909999999998</v>
      </c>
      <c r="CU242" s="230">
        <f>CT243</f>
        <v>1322.6839999999997</v>
      </c>
      <c r="CV242" s="230">
        <f>CU243</f>
        <v>1308.4369999999997</v>
      </c>
      <c r="CW242" s="291">
        <f>CS242</f>
        <v>1368.3519999999999</v>
      </c>
      <c r="CX242" s="230">
        <f>CW243</f>
        <v>1656.971</v>
      </c>
      <c r="CY242" s="230">
        <f>CX243</f>
        <v>1644.835</v>
      </c>
      <c r="CZ242" s="230">
        <f>CY243</f>
        <v>1524.6979999999999</v>
      </c>
      <c r="DA242" s="230">
        <f>CZ243</f>
        <v>1455.8579999999999</v>
      </c>
      <c r="DB242" s="291">
        <f>CW243</f>
        <v>1656.971</v>
      </c>
      <c r="DC242" s="230">
        <f>DB243</f>
        <v>1715.317</v>
      </c>
      <c r="DD242" s="230">
        <f>DC243</f>
        <v>2039.057</v>
      </c>
      <c r="DE242" s="230">
        <f>DD243</f>
        <v>1595.057</v>
      </c>
      <c r="DF242" s="230">
        <f>DE243</f>
        <v>1016.057</v>
      </c>
      <c r="DG242" s="291">
        <f>DB243</f>
        <v>1715.317</v>
      </c>
      <c r="DH242" s="230">
        <f>DG243</f>
        <v>829.05699999999979</v>
      </c>
      <c r="DI242" s="230">
        <f>DH243</f>
        <v>1558.0569999999998</v>
      </c>
      <c r="DJ242" s="230">
        <f>DI243</f>
        <v>1083.0569999999998</v>
      </c>
      <c r="DK242" s="230">
        <f>DJ243</f>
        <v>1168.0569999999998</v>
      </c>
      <c r="DL242" s="291">
        <f>DG243</f>
        <v>829.05699999999979</v>
      </c>
      <c r="DM242" s="230">
        <f>DL243</f>
        <v>1113.0569999999998</v>
      </c>
      <c r="DN242" s="230">
        <f>DM243</f>
        <v>1338.0569999999998</v>
      </c>
      <c r="DO242" s="230">
        <f>DN243</f>
        <v>1489.0569999999998</v>
      </c>
      <c r="DP242" s="230">
        <f>DO243</f>
        <v>1333.0569999999998</v>
      </c>
      <c r="DQ242" s="291">
        <f>DL243</f>
        <v>1113.0569999999998</v>
      </c>
      <c r="DR242" s="230">
        <f>DQ243</f>
        <v>1355.0569999999998</v>
      </c>
      <c r="DS242" s="230">
        <f>DR243</f>
        <v>1741.0569999999998</v>
      </c>
      <c r="DT242" s="230">
        <f>DS243</f>
        <v>1882.0569999999998</v>
      </c>
      <c r="DU242" s="230">
        <f>DT243</f>
        <v>1832.0569999999998</v>
      </c>
      <c r="DV242" s="291">
        <f>DQ243</f>
        <v>1355.0569999999998</v>
      </c>
      <c r="DW242" s="230">
        <f>DV243</f>
        <v>1282.0569999999998</v>
      </c>
      <c r="DX242" s="230">
        <f>DW243</f>
        <v>2025.0569999999998</v>
      </c>
      <c r="DY242" s="230">
        <f>DX243</f>
        <v>1772.0569999999998</v>
      </c>
      <c r="DZ242" s="230">
        <f>DY243</f>
        <v>1740.0569999999998</v>
      </c>
      <c r="EA242" s="291">
        <f>DV243</f>
        <v>1282.0569999999998</v>
      </c>
      <c r="EB242" s="230">
        <f>EA243</f>
        <v>1583.0569999999998</v>
      </c>
      <c r="EC242" s="230">
        <f>EB243</f>
        <v>2388.0569999999998</v>
      </c>
      <c r="ED242" s="230">
        <f>EC243</f>
        <v>2040.0569999999998</v>
      </c>
      <c r="EE242" s="230">
        <f>ED243</f>
        <v>1966.0569999999998</v>
      </c>
      <c r="EF242" s="291">
        <f>EA243</f>
        <v>1583.0569999999998</v>
      </c>
      <c r="EG242" s="230">
        <f t="shared" ref="EG242:ET242" si="1058">EF243</f>
        <v>1680.0569999999998</v>
      </c>
      <c r="EH242" s="230">
        <f>EG243</f>
        <v>1851.0569999999998</v>
      </c>
      <c r="EI242" s="230">
        <f t="shared" si="1058"/>
        <v>1537.0569999999998</v>
      </c>
      <c r="EJ242" s="230">
        <f t="shared" si="1058"/>
        <v>1460.0569999999998</v>
      </c>
      <c r="EK242" s="291">
        <f>EF243</f>
        <v>1680.0569999999998</v>
      </c>
      <c r="EL242" s="230">
        <f>EF243</f>
        <v>1680.0569999999998</v>
      </c>
      <c r="EM242" s="230">
        <f>EL243</f>
        <v>1851.0569999999998</v>
      </c>
      <c r="EN242" s="230">
        <f t="shared" ref="EN242" si="1059">EM243</f>
        <v>1537.0569999999998</v>
      </c>
      <c r="EO242" s="230">
        <f t="shared" ref="EO242" si="1060">EN243</f>
        <v>1460.0569999999998</v>
      </c>
      <c r="EP242" s="291">
        <f>EF243</f>
        <v>1680.0569999999998</v>
      </c>
      <c r="EQ242" s="230">
        <f>EP243</f>
        <v>1495.0569999999998</v>
      </c>
      <c r="ER242" s="230">
        <f t="shared" si="1058"/>
        <v>2763.510908804642</v>
      </c>
      <c r="ES242" s="230">
        <f t="shared" si="1058"/>
        <v>2501.4153033422981</v>
      </c>
      <c r="ET242" s="230">
        <f t="shared" si="1058"/>
        <v>2315.8948383064608</v>
      </c>
      <c r="EU242" s="291">
        <f>EP243</f>
        <v>1495.0569999999998</v>
      </c>
      <c r="EV242" s="230"/>
      <c r="EW242" s="230"/>
      <c r="EX242" s="230"/>
      <c r="EY242" s="230"/>
      <c r="EZ242" s="291">
        <f>EU243</f>
        <v>2315.8948383064599</v>
      </c>
      <c r="FA242" s="230"/>
      <c r="FB242" s="230"/>
      <c r="FC242" s="230"/>
      <c r="FD242" s="230"/>
      <c r="FE242" s="291">
        <f>EZ243</f>
        <v>2006.2899987601122</v>
      </c>
      <c r="FF242" s="184"/>
      <c r="FG242" s="188"/>
      <c r="FH242" s="239"/>
      <c r="FL242" s="400"/>
      <c r="FM242" s="400"/>
      <c r="FN242" s="381"/>
      <c r="FO242" s="381"/>
      <c r="FP242" s="381"/>
      <c r="FQ242" s="381"/>
      <c r="FR242" s="381"/>
      <c r="FS242" s="381"/>
      <c r="FT242" s="188"/>
      <c r="FU242"/>
      <c r="FV242"/>
      <c r="FW242"/>
      <c r="FX242"/>
      <c r="FY242"/>
      <c r="FZ242"/>
      <c r="GA242" s="240"/>
    </row>
    <row r="243" spans="1:184" s="228" customFormat="1" ht="12.75" customHeight="1" x14ac:dyDescent="0.2">
      <c r="A243" s="229" t="s">
        <v>461</v>
      </c>
      <c r="B243" s="227"/>
      <c r="C243" s="227"/>
      <c r="D243" s="227"/>
      <c r="E243" s="227"/>
      <c r="F243" s="283"/>
      <c r="G243" s="227"/>
      <c r="H243" s="227"/>
      <c r="I243" s="227"/>
      <c r="J243" s="227"/>
      <c r="K243" s="283"/>
      <c r="L243" s="227"/>
      <c r="M243" s="227"/>
      <c r="N243" s="227"/>
      <c r="O243" s="227"/>
      <c r="P243" s="292">
        <f>SUM(P240:P242)</f>
        <v>437.98899999999998</v>
      </c>
      <c r="Q243" s="227"/>
      <c r="R243" s="227"/>
      <c r="S243" s="227"/>
      <c r="T243" s="227"/>
      <c r="U243" s="292">
        <f>SUM(U240:U242)</f>
        <v>295.57099999999997</v>
      </c>
      <c r="V243" s="227"/>
      <c r="W243" s="227"/>
      <c r="X243" s="227"/>
      <c r="Y243" s="227"/>
      <c r="Z243" s="292">
        <f>SUM(Z240:Z242)</f>
        <v>174.5379999999999</v>
      </c>
      <c r="AA243" s="227"/>
      <c r="AB243" s="227"/>
      <c r="AC243" s="227"/>
      <c r="AD243" s="227"/>
      <c r="AE243" s="292">
        <f>SUM(AE240:AE242)</f>
        <v>317.36299999999989</v>
      </c>
      <c r="AF243" s="227"/>
      <c r="AG243" s="227"/>
      <c r="AH243" s="227"/>
      <c r="AI243" s="227"/>
      <c r="AJ243" s="292">
        <f>SUM(AJ240:AJ242)</f>
        <v>581.84099999999978</v>
      </c>
      <c r="AK243" s="227"/>
      <c r="AL243" s="227"/>
      <c r="AM243" s="227"/>
      <c r="AN243" s="227"/>
      <c r="AO243" s="292">
        <f>SUM(AO240:AO242)</f>
        <v>623.34299999999973</v>
      </c>
      <c r="AP243" s="227"/>
      <c r="AQ243" s="227"/>
      <c r="AR243" s="227"/>
      <c r="AS243" s="227"/>
      <c r="AT243" s="292">
        <f>SUM(AT240:AT242)</f>
        <v>378.51099999999963</v>
      </c>
      <c r="AU243" s="227"/>
      <c r="AV243" s="227"/>
      <c r="AW243" s="227"/>
      <c r="AX243" s="227"/>
      <c r="AY243" s="292">
        <f>SUM(AY240:AY242)</f>
        <v>418.81899999999962</v>
      </c>
      <c r="AZ243" s="227"/>
      <c r="BA243" s="227"/>
      <c r="BB243" s="227"/>
      <c r="BC243" s="227"/>
      <c r="BD243" s="292">
        <f>SUM(BD240:BD242)</f>
        <v>522.99499999999978</v>
      </c>
      <c r="BE243" s="227"/>
      <c r="BF243" s="227"/>
      <c r="BG243" s="227"/>
      <c r="BH243" s="227"/>
      <c r="BI243" s="292">
        <f>SUM(BI240:BI242)</f>
        <v>2279.8609999999999</v>
      </c>
      <c r="BJ243" s="227"/>
      <c r="BK243" s="227"/>
      <c r="BL243" s="227"/>
      <c r="BM243" s="227"/>
      <c r="BN243" s="292">
        <f>SUM(BN240:BN242)</f>
        <v>1815.3519999999999</v>
      </c>
      <c r="BO243" s="227"/>
      <c r="BP243" s="227"/>
      <c r="BQ243" s="227"/>
      <c r="BR243" s="227"/>
      <c r="BS243" s="292">
        <f>SUM(BS240:BS242)</f>
        <v>1484.3519999999999</v>
      </c>
      <c r="BT243" s="227"/>
      <c r="BU243" s="227"/>
      <c r="BV243" s="227"/>
      <c r="BW243" s="227"/>
      <c r="BX243" s="292">
        <f>SUM(BX240:BX242)+47</f>
        <v>1095.3519999999999</v>
      </c>
      <c r="BY243" s="227"/>
      <c r="BZ243" s="227"/>
      <c r="CA243" s="227"/>
      <c r="CB243" s="227"/>
      <c r="CC243" s="292">
        <f t="shared" ref="CC243:CV243" si="1061">SUM(CC240:CC242)</f>
        <v>2280.3519999999999</v>
      </c>
      <c r="CD243" s="227">
        <f t="shared" si="1061"/>
        <v>2600.3519999999999</v>
      </c>
      <c r="CE243" s="227">
        <f t="shared" si="1061"/>
        <v>2592.3519999999999</v>
      </c>
      <c r="CF243" s="227">
        <f t="shared" si="1061"/>
        <v>1947.3519999999999</v>
      </c>
      <c r="CG243" s="227">
        <f t="shared" si="1061"/>
        <v>1390.3519999999999</v>
      </c>
      <c r="CH243" s="292">
        <f t="shared" si="1061"/>
        <v>1390.3519999999999</v>
      </c>
      <c r="CI243" s="227">
        <f t="shared" si="1061"/>
        <v>1618.3519999999999</v>
      </c>
      <c r="CJ243" s="227">
        <f t="shared" si="1061"/>
        <v>1605.3519999999999</v>
      </c>
      <c r="CK243" s="227">
        <f t="shared" si="1061"/>
        <v>1050.3519999999999</v>
      </c>
      <c r="CL243" s="227">
        <f t="shared" si="1061"/>
        <v>2213.3519999999999</v>
      </c>
      <c r="CM243" s="292">
        <f t="shared" si="1061"/>
        <v>2213.3519999999999</v>
      </c>
      <c r="CN243" s="227">
        <f t="shared" si="1061"/>
        <v>2982.3519999999999</v>
      </c>
      <c r="CO243" s="227">
        <f t="shared" si="1061"/>
        <v>4653.3519999999999</v>
      </c>
      <c r="CP243" s="227">
        <f t="shared" si="1061"/>
        <v>2390.3519999999999</v>
      </c>
      <c r="CQ243" s="227">
        <f t="shared" si="1061"/>
        <v>1368.3519999999999</v>
      </c>
      <c r="CR243" s="292">
        <f t="shared" si="1061"/>
        <v>1368.3519999999999</v>
      </c>
      <c r="CS243" s="227">
        <f t="shared" si="1061"/>
        <v>1519.1909999999998</v>
      </c>
      <c r="CT243" s="227">
        <f t="shared" si="1061"/>
        <v>1322.6839999999997</v>
      </c>
      <c r="CU243" s="227">
        <f t="shared" si="1061"/>
        <v>1308.4369999999997</v>
      </c>
      <c r="CV243" s="227">
        <f t="shared" si="1061"/>
        <v>1656.9709999999998</v>
      </c>
      <c r="CW243" s="292">
        <f>CW240+CW241+CW242</f>
        <v>1656.971</v>
      </c>
      <c r="CX243" s="227">
        <f>SUM(CX240:CX242)</f>
        <v>1644.835</v>
      </c>
      <c r="CY243" s="227">
        <f>SUM(CY240:CY242)</f>
        <v>1524.6979999999999</v>
      </c>
      <c r="CZ243" s="227">
        <f>SUM(CZ240:CZ242)</f>
        <v>1455.8579999999999</v>
      </c>
      <c r="DA243" s="227">
        <f>SUM(DA240:DA242)</f>
        <v>1715.317</v>
      </c>
      <c r="DB243" s="292">
        <f>DB240+DB241+DB242</f>
        <v>1715.317</v>
      </c>
      <c r="DC243" s="227">
        <f>SUM(DC240:DC242)</f>
        <v>2039.057</v>
      </c>
      <c r="DD243" s="227">
        <f>SUM(DD240:DD242)</f>
        <v>1595.057</v>
      </c>
      <c r="DE243" s="227">
        <f>SUM(DE240:DE242)</f>
        <v>1016.057</v>
      </c>
      <c r="DF243" s="227">
        <f>SUM(DF240:DF242)</f>
        <v>829.05700000000002</v>
      </c>
      <c r="DG243" s="292">
        <f>DG240+DG241+DG242</f>
        <v>829.05699999999979</v>
      </c>
      <c r="DH243" s="227">
        <f>SUM(DH240:DH242)</f>
        <v>1558.0569999999998</v>
      </c>
      <c r="DI243" s="227">
        <f>SUM(DI240:DI242)</f>
        <v>1083.0569999999998</v>
      </c>
      <c r="DJ243" s="227">
        <f>SUM(DJ240:DJ242)</f>
        <v>1168.0569999999998</v>
      </c>
      <c r="DK243" s="227">
        <f>SUM(DK240:DK242)</f>
        <v>1113.0569999999998</v>
      </c>
      <c r="DL243" s="292">
        <f>DL240+DL241+DL242</f>
        <v>1113.0569999999998</v>
      </c>
      <c r="DM243" s="227">
        <f>SUM(DM240:DM242)</f>
        <v>1338.0569999999998</v>
      </c>
      <c r="DN243" s="227">
        <f>SUM(DN240:DN242)</f>
        <v>1489.0569999999998</v>
      </c>
      <c r="DO243" s="227">
        <f>SUM(DO240:DO242)</f>
        <v>1333.0569999999998</v>
      </c>
      <c r="DP243" s="227">
        <f>SUM(DP240:DP242)</f>
        <v>1355.0569999999998</v>
      </c>
      <c r="DQ243" s="292">
        <f>DQ240+DQ241+DQ242</f>
        <v>1355.0569999999998</v>
      </c>
      <c r="DR243" s="227">
        <f>SUM(DR240:DR242)</f>
        <v>1741.0569999999998</v>
      </c>
      <c r="DS243" s="227">
        <f>SUM(DS240:DS242)</f>
        <v>1882.0569999999998</v>
      </c>
      <c r="DT243" s="227">
        <f>SUM(DT240:DT242)</f>
        <v>1832.0569999999998</v>
      </c>
      <c r="DU243" s="227">
        <f>SUM(DU240:DU242)</f>
        <v>1282.0569999999998</v>
      </c>
      <c r="DV243" s="292">
        <f>DV240+DV241+DV242</f>
        <v>1282.0569999999998</v>
      </c>
      <c r="DW243" s="227">
        <f>SUM(DW240:DW242)</f>
        <v>2025.0569999999998</v>
      </c>
      <c r="DX243" s="227">
        <f>SUM(DX240:DX242)</f>
        <v>1772.0569999999998</v>
      </c>
      <c r="DY243" s="227">
        <f>SUM(DY240:DY242)</f>
        <v>1740.0569999999998</v>
      </c>
      <c r="DZ243" s="227">
        <f>SUM(DZ240:DZ242)</f>
        <v>1583.0569999999998</v>
      </c>
      <c r="EA243" s="292">
        <f>EA240+EA241+EA242</f>
        <v>1583.0569999999998</v>
      </c>
      <c r="EB243" s="227">
        <f>SUM(EB240:EB242)</f>
        <v>2388.0569999999998</v>
      </c>
      <c r="EC243" s="227">
        <f>SUM(EC240:EC242)</f>
        <v>2040.0569999999998</v>
      </c>
      <c r="ED243" s="227">
        <f>SUM(ED240:ED242)</f>
        <v>1966.0569999999998</v>
      </c>
      <c r="EE243" s="227">
        <f>SUM(EE240:EE242)</f>
        <v>1680.0569999999998</v>
      </c>
      <c r="EF243" s="292">
        <f>EF240+EF241+EF242</f>
        <v>1680.0569999999998</v>
      </c>
      <c r="EG243" s="227">
        <f t="shared" ref="EG243:EJ243" si="1062">SUM(EG240:EG242)</f>
        <v>1851.0569999999998</v>
      </c>
      <c r="EH243" s="227">
        <f t="shared" si="1062"/>
        <v>1537.0569999999998</v>
      </c>
      <c r="EI243" s="227">
        <f t="shared" si="1062"/>
        <v>1460.0569999999998</v>
      </c>
      <c r="EJ243" s="227">
        <f t="shared" si="1062"/>
        <v>1495.0569999999998</v>
      </c>
      <c r="EK243" s="292">
        <f>EK240+EK241+EK242</f>
        <v>1495.0569999999998</v>
      </c>
      <c r="EL243" s="227">
        <f t="shared" ref="EL243:EO243" si="1063">SUM(EL240:EL242)</f>
        <v>1851.0569999999998</v>
      </c>
      <c r="EM243" s="227">
        <f t="shared" si="1063"/>
        <v>1537.0569999999998</v>
      </c>
      <c r="EN243" s="227">
        <f t="shared" si="1063"/>
        <v>1460.0569999999998</v>
      </c>
      <c r="EO243" s="227">
        <f t="shared" si="1063"/>
        <v>1495.0569999999998</v>
      </c>
      <c r="EP243" s="292">
        <f>EP240+EP241+EP242</f>
        <v>1495.0569999999998</v>
      </c>
      <c r="EQ243" s="227">
        <f t="shared" ref="EQ243:ET243" si="1064">SUM(EQ240:EQ242)</f>
        <v>2763.510908804642</v>
      </c>
      <c r="ER243" s="227">
        <f t="shared" si="1064"/>
        <v>2501.4153033422981</v>
      </c>
      <c r="ES243" s="227">
        <f t="shared" si="1064"/>
        <v>2315.8948383064608</v>
      </c>
      <c r="ET243" s="227">
        <f t="shared" si="1064"/>
        <v>2315.8948383064608</v>
      </c>
      <c r="EU243" s="292">
        <f>EU240+EU241+EU242</f>
        <v>2315.8948383064599</v>
      </c>
      <c r="EV243" s="227"/>
      <c r="EW243" s="227"/>
      <c r="EX243" s="227"/>
      <c r="EY243" s="227"/>
      <c r="EZ243" s="292">
        <f>EZ240+EZ241+EZ242</f>
        <v>2006.2899987601122</v>
      </c>
      <c r="FA243" s="227"/>
      <c r="FB243" s="227"/>
      <c r="FC243" s="227"/>
      <c r="FD243" s="227"/>
      <c r="FE243" s="292">
        <f>FE240+FE241+FE242</f>
        <v>2189.7218222259089</v>
      </c>
      <c r="FF243" s="184"/>
      <c r="FG243" s="188"/>
      <c r="FH243" s="239"/>
      <c r="FI243" s="231"/>
      <c r="FJ243" s="231"/>
      <c r="FK243" s="231"/>
      <c r="FL243" s="400"/>
      <c r="FM243" s="400"/>
      <c r="FN243" s="381"/>
      <c r="FO243" s="381"/>
      <c r="FP243" s="381"/>
      <c r="FQ243" s="381"/>
      <c r="FR243" s="381"/>
      <c r="FS243" s="381"/>
      <c r="FT243" s="188"/>
      <c r="FU243"/>
      <c r="FV243"/>
      <c r="FW243"/>
      <c r="FX243"/>
      <c r="FY243"/>
      <c r="FZ243"/>
      <c r="GA243" s="240"/>
    </row>
    <row r="244" spans="1:184" ht="12.75" customHeight="1" x14ac:dyDescent="0.2">
      <c r="A244" s="16" t="s">
        <v>462</v>
      </c>
      <c r="B244" s="124"/>
      <c r="C244" s="124"/>
      <c r="D244" s="124"/>
      <c r="E244" s="124"/>
      <c r="F244" s="242"/>
      <c r="G244" s="124"/>
      <c r="H244" s="124"/>
      <c r="I244" s="124"/>
      <c r="J244" s="124"/>
      <c r="K244" s="242"/>
      <c r="L244" s="124"/>
      <c r="M244" s="124"/>
      <c r="N244" s="124"/>
      <c r="O244" s="124"/>
      <c r="P244" s="242"/>
      <c r="Q244" s="124"/>
      <c r="R244" s="124"/>
      <c r="S244" s="124"/>
      <c r="T244" s="124"/>
      <c r="U244" s="242"/>
      <c r="V244" s="124"/>
      <c r="W244" s="124"/>
      <c r="X244" s="124"/>
      <c r="Y244" s="124"/>
      <c r="Z244" s="242"/>
      <c r="AA244" s="124"/>
      <c r="AB244" s="124"/>
      <c r="AC244" s="124"/>
      <c r="AD244" s="124"/>
      <c r="AE244" s="242"/>
      <c r="AF244" s="124"/>
      <c r="AG244" s="124"/>
      <c r="AH244" s="124"/>
      <c r="AI244" s="124"/>
      <c r="AJ244" s="242"/>
      <c r="AK244" s="124"/>
      <c r="AL244" s="124"/>
      <c r="AM244" s="124"/>
      <c r="AN244" s="124"/>
      <c r="AO244" s="242"/>
      <c r="AP244" s="124"/>
      <c r="AQ244" s="124"/>
      <c r="AR244" s="124"/>
      <c r="AS244" s="124"/>
      <c r="AT244" s="242"/>
      <c r="AU244" s="124"/>
      <c r="AV244" s="124"/>
      <c r="AW244" s="124"/>
      <c r="AX244" s="124"/>
      <c r="AY244" s="242"/>
      <c r="AZ244" s="124"/>
      <c r="BA244" s="124"/>
      <c r="BB244" s="124"/>
      <c r="BC244" s="124"/>
      <c r="BD244" s="242"/>
      <c r="BE244" s="124"/>
      <c r="BF244" s="124"/>
      <c r="BG244" s="124"/>
      <c r="BH244" s="124"/>
      <c r="BI244" s="242"/>
      <c r="BJ244" s="124"/>
      <c r="BK244" s="124"/>
      <c r="BL244" s="124"/>
      <c r="BM244" s="124"/>
      <c r="BN244" s="242"/>
      <c r="BO244" s="124"/>
      <c r="BP244" s="124"/>
      <c r="BQ244" s="124"/>
      <c r="BR244" s="124"/>
      <c r="BS244" s="242"/>
      <c r="BT244" s="124"/>
      <c r="BU244" s="124"/>
      <c r="BV244" s="124"/>
      <c r="BW244" s="124"/>
      <c r="BX244" s="242"/>
      <c r="BY244" s="124"/>
      <c r="BZ244" s="124"/>
      <c r="CA244" s="124"/>
      <c r="CB244" s="124"/>
      <c r="CC244" s="242"/>
      <c r="CD244" s="124"/>
      <c r="CE244" s="124"/>
      <c r="CF244" s="124"/>
      <c r="CG244" s="124"/>
      <c r="CH244" s="242"/>
      <c r="CI244" s="124"/>
      <c r="CJ244" s="124"/>
      <c r="CK244" s="124"/>
      <c r="CL244" s="124"/>
      <c r="CM244" s="242"/>
      <c r="CN244" s="124"/>
      <c r="CO244" s="124"/>
      <c r="CP244" s="124"/>
      <c r="CQ244" s="124"/>
      <c r="CR244" s="242"/>
      <c r="CS244" s="124"/>
      <c r="CT244" s="124"/>
      <c r="CU244" s="124"/>
      <c r="CV244" s="124"/>
      <c r="CW244" s="242"/>
      <c r="CX244" s="124"/>
      <c r="CY244" s="124"/>
      <c r="CZ244" s="124"/>
      <c r="DA244" s="124"/>
      <c r="DB244" s="242"/>
      <c r="DC244" s="124"/>
      <c r="DD244" s="124"/>
      <c r="DE244" s="124"/>
      <c r="DF244" s="124"/>
      <c r="DG244" s="324"/>
      <c r="DH244" s="124"/>
      <c r="DI244" s="124"/>
      <c r="DJ244" s="124"/>
      <c r="DK244" s="124"/>
      <c r="DL244" s="242"/>
      <c r="DM244" s="124"/>
      <c r="DN244" s="124"/>
      <c r="DO244" s="124"/>
      <c r="DP244" s="124"/>
      <c r="DQ244" s="242"/>
      <c r="DR244" s="124"/>
      <c r="DS244" s="124"/>
      <c r="DT244" s="124"/>
      <c r="DU244" s="124"/>
      <c r="DV244" s="242"/>
      <c r="DW244" s="124"/>
      <c r="DX244" s="124"/>
      <c r="DY244" s="124"/>
      <c r="DZ244" s="124"/>
      <c r="EA244" s="242"/>
      <c r="EB244" s="124"/>
      <c r="EC244" s="124"/>
      <c r="ED244" s="124"/>
      <c r="EE244" s="124"/>
      <c r="EF244" s="242"/>
      <c r="EG244" s="124"/>
      <c r="EH244" s="124"/>
      <c r="EI244" s="124"/>
      <c r="EJ244" s="124"/>
      <c r="EK244" s="242"/>
      <c r="EL244" s="124"/>
      <c r="EM244" s="124"/>
      <c r="EN244" s="124"/>
      <c r="EO244" s="124"/>
      <c r="EP244" s="242"/>
      <c r="EQ244" s="124"/>
      <c r="ER244" s="124"/>
      <c r="ES244" s="124"/>
      <c r="ET244" s="124"/>
      <c r="EU244" s="242"/>
      <c r="EV244" s="124"/>
      <c r="EW244" s="124"/>
      <c r="EX244" s="124"/>
      <c r="EY244" s="124"/>
      <c r="EZ244" s="242"/>
      <c r="FA244" s="124"/>
      <c r="FB244" s="124"/>
      <c r="FC244" s="124"/>
      <c r="FD244" s="124"/>
      <c r="FE244" s="242"/>
      <c r="FF244" s="334"/>
      <c r="FG244" s="124"/>
      <c r="FL244" s="406"/>
      <c r="FM244" s="406"/>
      <c r="FN244" s="368"/>
      <c r="FO244" s="368"/>
      <c r="FP244" s="368"/>
      <c r="FQ244" s="368"/>
      <c r="FR244" s="368"/>
      <c r="FS244" s="368"/>
      <c r="FT244" s="124"/>
    </row>
    <row r="245" spans="1:184" s="7" customFormat="1" ht="12.75" customHeight="1" x14ac:dyDescent="0.2">
      <c r="A245" s="7" t="s">
        <v>268</v>
      </c>
      <c r="F245" s="99"/>
      <c r="K245" s="99"/>
      <c r="P245" s="99"/>
      <c r="U245" s="99"/>
      <c r="Z245" s="99"/>
      <c r="AE245" s="99"/>
      <c r="AJ245" s="99"/>
      <c r="AO245" s="99"/>
      <c r="AT245" s="99"/>
      <c r="AY245" s="99"/>
      <c r="BD245" s="99"/>
      <c r="BI245" s="99"/>
      <c r="BN245" s="99"/>
      <c r="BS245" s="99"/>
      <c r="BX245" s="99"/>
      <c r="CC245" s="99"/>
      <c r="CH245" s="99"/>
      <c r="CM245" s="99"/>
      <c r="CR245" s="99"/>
      <c r="CW245" s="99"/>
      <c r="DB245" s="99"/>
      <c r="DG245" s="505"/>
      <c r="DL245" s="99"/>
      <c r="DQ245" s="99"/>
      <c r="DV245" s="99"/>
      <c r="EA245" s="99"/>
      <c r="EF245" s="99"/>
      <c r="EK245" s="99"/>
      <c r="EP245" s="99"/>
      <c r="EU245" s="99"/>
      <c r="EZ245" s="99"/>
      <c r="FE245" s="99"/>
      <c r="FF245" s="336"/>
      <c r="FG245" s="6"/>
      <c r="FH245" s="346"/>
      <c r="FI245" s="336"/>
      <c r="FJ245" s="336"/>
      <c r="FK245" s="336"/>
      <c r="FL245" s="412"/>
      <c r="FM245" s="412"/>
      <c r="FN245" s="373"/>
      <c r="FO245" s="373"/>
      <c r="FP245" s="373"/>
      <c r="FQ245" s="373"/>
      <c r="FR245" s="373"/>
      <c r="FS245" s="373"/>
      <c r="FT245" s="6"/>
      <c r="FU245"/>
      <c r="FV245"/>
      <c r="FW245"/>
      <c r="FX245"/>
      <c r="FY245"/>
      <c r="FZ245"/>
      <c r="GA245" s="341"/>
    </row>
    <row r="246" spans="1:184" ht="12.75" customHeight="1" x14ac:dyDescent="0.2">
      <c r="A246" s="38" t="s">
        <v>326</v>
      </c>
      <c r="B246" s="23"/>
      <c r="C246" s="23"/>
      <c r="D246" s="23"/>
      <c r="E246" s="23"/>
      <c r="F246" s="279"/>
      <c r="G246" s="23"/>
      <c r="H246" s="23"/>
      <c r="I246" s="23"/>
      <c r="J246" s="23"/>
      <c r="K246" s="279"/>
      <c r="L246" s="23"/>
      <c r="M246" s="23"/>
      <c r="N246" s="23"/>
      <c r="O246" s="23"/>
      <c r="P246" s="120">
        <f>Model!P243</f>
        <v>437.98899999999998</v>
      </c>
      <c r="Q246" s="23"/>
      <c r="R246" s="23"/>
      <c r="S246" s="23"/>
      <c r="T246" s="23"/>
      <c r="U246" s="120">
        <f>Model!U243</f>
        <v>295.57099999999997</v>
      </c>
      <c r="V246" s="23"/>
      <c r="W246" s="23"/>
      <c r="X246" s="23"/>
      <c r="Y246" s="23"/>
      <c r="Z246" s="120">
        <f>Model!Z243</f>
        <v>174.5379999999999</v>
      </c>
      <c r="AA246" s="23"/>
      <c r="AB246" s="23"/>
      <c r="AC246" s="23"/>
      <c r="AD246" s="23"/>
      <c r="AE246" s="120">
        <f>Model!AE243</f>
        <v>317.36299999999989</v>
      </c>
      <c r="AF246" s="23"/>
      <c r="AG246" s="23"/>
      <c r="AH246" s="23"/>
      <c r="AI246" s="23"/>
      <c r="AJ246" s="120">
        <f>Model!AJ243</f>
        <v>581.84099999999978</v>
      </c>
      <c r="AK246" s="23"/>
      <c r="AL246" s="23"/>
      <c r="AM246" s="23"/>
      <c r="AN246" s="23"/>
      <c r="AO246" s="120">
        <f>Model!AO243</f>
        <v>623.34299999999973</v>
      </c>
      <c r="AP246" s="23"/>
      <c r="AQ246" s="23"/>
      <c r="AR246" s="23"/>
      <c r="AS246" s="23"/>
      <c r="AT246" s="120">
        <f>Model!AT243</f>
        <v>378.51099999999963</v>
      </c>
      <c r="AU246" s="23"/>
      <c r="AV246" s="23"/>
      <c r="AW246" s="23"/>
      <c r="AX246" s="23"/>
      <c r="AY246" s="120">
        <f>Model!AY243</f>
        <v>418.81899999999962</v>
      </c>
      <c r="AZ246" s="23"/>
      <c r="BA246" s="23"/>
      <c r="BB246" s="23"/>
      <c r="BC246" s="23"/>
      <c r="BD246" s="120">
        <f>Model!BD243</f>
        <v>522.99499999999978</v>
      </c>
      <c r="BE246" s="23"/>
      <c r="BF246" s="23"/>
      <c r="BG246" s="23"/>
      <c r="BH246" s="23"/>
      <c r="BI246" s="120">
        <f>Model!BI243</f>
        <v>2279.8609999999999</v>
      </c>
      <c r="BJ246" s="23"/>
      <c r="BK246" s="23"/>
      <c r="BL246" s="23"/>
      <c r="BM246" s="23"/>
      <c r="BN246" s="120">
        <f>Model!BN243</f>
        <v>1815.3519999999999</v>
      </c>
      <c r="BO246" s="23"/>
      <c r="BP246" s="23"/>
      <c r="BQ246" s="23"/>
      <c r="BR246" s="23"/>
      <c r="BS246" s="120">
        <f>Model!BS243</f>
        <v>1484.3519999999999</v>
      </c>
      <c r="BT246" s="23"/>
      <c r="BU246" s="23"/>
      <c r="BV246" s="23"/>
      <c r="BW246" s="23"/>
      <c r="BX246" s="120">
        <f>Model!BX243</f>
        <v>1095.3519999999999</v>
      </c>
      <c r="BY246" s="23"/>
      <c r="BZ246" s="23"/>
      <c r="CA246" s="23"/>
      <c r="CB246" s="23"/>
      <c r="CC246" s="120">
        <f>Model!CC243</f>
        <v>2280.3519999999999</v>
      </c>
      <c r="CD246" s="23">
        <f>CD243</f>
        <v>2600.3519999999999</v>
      </c>
      <c r="CE246" s="23">
        <f>CE243</f>
        <v>2592.3519999999999</v>
      </c>
      <c r="CF246" s="23">
        <f>CF243</f>
        <v>1947.3519999999999</v>
      </c>
      <c r="CG246" s="23">
        <f>CG243</f>
        <v>1390.3519999999999</v>
      </c>
      <c r="CH246" s="120">
        <f>Model!CH243</f>
        <v>1390.3519999999999</v>
      </c>
      <c r="CI246" s="23">
        <f>CI243</f>
        <v>1618.3519999999999</v>
      </c>
      <c r="CJ246" s="23">
        <f>CJ243</f>
        <v>1605.3519999999999</v>
      </c>
      <c r="CK246" s="23">
        <f>CK243</f>
        <v>1050.3519999999999</v>
      </c>
      <c r="CL246" s="23">
        <f>CL243</f>
        <v>2213.3519999999999</v>
      </c>
      <c r="CM246" s="120">
        <f>Model!CM243</f>
        <v>2213.3519999999999</v>
      </c>
      <c r="CN246" s="23">
        <f>CN243</f>
        <v>2982.3519999999999</v>
      </c>
      <c r="CO246" s="23">
        <f>CO243</f>
        <v>4653.3519999999999</v>
      </c>
      <c r="CP246" s="23">
        <f>CP243</f>
        <v>2390.3519999999999</v>
      </c>
      <c r="CQ246" s="23">
        <f>CQ243</f>
        <v>1368.3519999999999</v>
      </c>
      <c r="CR246" s="120">
        <f>Model!CR243</f>
        <v>1368.3519999999999</v>
      </c>
      <c r="CS246" s="23">
        <f>CS243</f>
        <v>1519.1909999999998</v>
      </c>
      <c r="CT246" s="23">
        <f>CT243</f>
        <v>1322.6839999999997</v>
      </c>
      <c r="CU246" s="23">
        <f>CU243</f>
        <v>1308.4369999999997</v>
      </c>
      <c r="CV246" s="23">
        <f>CV243</f>
        <v>1656.9709999999998</v>
      </c>
      <c r="CW246" s="120">
        <f>Model!CW243</f>
        <v>1656.971</v>
      </c>
      <c r="CX246" s="23">
        <f>CX243</f>
        <v>1644.835</v>
      </c>
      <c r="CY246" s="23">
        <f>CY243</f>
        <v>1524.6979999999999</v>
      </c>
      <c r="CZ246" s="23">
        <f>CZ243</f>
        <v>1455.8579999999999</v>
      </c>
      <c r="DA246" s="23">
        <f>DA243</f>
        <v>1715.317</v>
      </c>
      <c r="DB246" s="120">
        <f>Model!DB243</f>
        <v>1715.317</v>
      </c>
      <c r="DC246" s="23">
        <f>DC243</f>
        <v>2039.057</v>
      </c>
      <c r="DD246" s="23">
        <f>DD243</f>
        <v>1595.057</v>
      </c>
      <c r="DE246" s="23">
        <f>DE243</f>
        <v>1016.057</v>
      </c>
      <c r="DF246" s="23">
        <f>DF243</f>
        <v>829.05700000000002</v>
      </c>
      <c r="DG246" s="120">
        <f>Model!DG243</f>
        <v>829.05699999999979</v>
      </c>
      <c r="DH246" s="23">
        <f>DH243</f>
        <v>1558.0569999999998</v>
      </c>
      <c r="DI246" s="23">
        <f>DI243</f>
        <v>1083.0569999999998</v>
      </c>
      <c r="DJ246" s="23">
        <f>DJ243</f>
        <v>1168.0569999999998</v>
      </c>
      <c r="DK246" s="23">
        <f>DK243</f>
        <v>1113.0569999999998</v>
      </c>
      <c r="DL246" s="120">
        <f>Model!DL243</f>
        <v>1113.0569999999998</v>
      </c>
      <c r="DM246" s="23">
        <f>DM243</f>
        <v>1338.0569999999998</v>
      </c>
      <c r="DN246" s="23">
        <f>DN243</f>
        <v>1489.0569999999998</v>
      </c>
      <c r="DO246" s="23">
        <f>DO243</f>
        <v>1333.0569999999998</v>
      </c>
      <c r="DP246" s="23">
        <f>DP243</f>
        <v>1355.0569999999998</v>
      </c>
      <c r="DQ246" s="120">
        <f>Model!DQ243</f>
        <v>1355.0569999999998</v>
      </c>
      <c r="DR246" s="23">
        <f>DR243</f>
        <v>1741.0569999999998</v>
      </c>
      <c r="DS246" s="23">
        <f>DS243</f>
        <v>1882.0569999999998</v>
      </c>
      <c r="DT246" s="23">
        <f>DT243</f>
        <v>1832.0569999999998</v>
      </c>
      <c r="DU246" s="23">
        <f>DU243</f>
        <v>1282.0569999999998</v>
      </c>
      <c r="DV246" s="120">
        <f>Model!DV243</f>
        <v>1282.0569999999998</v>
      </c>
      <c r="DW246" s="23">
        <f>DW243</f>
        <v>2025.0569999999998</v>
      </c>
      <c r="DX246" s="23">
        <f>DX243</f>
        <v>1772.0569999999998</v>
      </c>
      <c r="DY246" s="23">
        <f>DY243</f>
        <v>1740.0569999999998</v>
      </c>
      <c r="DZ246" s="23">
        <f>DZ243</f>
        <v>1583.0569999999998</v>
      </c>
      <c r="EA246" s="120">
        <f>Model!EA243</f>
        <v>1583.0569999999998</v>
      </c>
      <c r="EB246" s="23">
        <f>EB243</f>
        <v>2388.0569999999998</v>
      </c>
      <c r="EC246" s="23">
        <f>EC243</f>
        <v>2040.0569999999998</v>
      </c>
      <c r="ED246" s="23">
        <f>ED243</f>
        <v>1966.0569999999998</v>
      </c>
      <c r="EE246" s="23">
        <f>EE243</f>
        <v>1680.0569999999998</v>
      </c>
      <c r="EF246" s="120">
        <f>Model!EF243</f>
        <v>1680.0569999999998</v>
      </c>
      <c r="EG246" s="23">
        <f t="shared" ref="EG246:EJ246" si="1065">EG243</f>
        <v>1851.0569999999998</v>
      </c>
      <c r="EH246" s="23">
        <f t="shared" si="1065"/>
        <v>1537.0569999999998</v>
      </c>
      <c r="EI246" s="23">
        <f t="shared" si="1065"/>
        <v>1460.0569999999998</v>
      </c>
      <c r="EJ246" s="23">
        <f t="shared" si="1065"/>
        <v>1495.0569999999998</v>
      </c>
      <c r="EK246" s="120">
        <f>Model!EK243</f>
        <v>1495.0569999999998</v>
      </c>
      <c r="EL246" s="23">
        <f t="shared" ref="EL246:EO246" si="1066">EL243</f>
        <v>1851.0569999999998</v>
      </c>
      <c r="EM246" s="23">
        <f t="shared" si="1066"/>
        <v>1537.0569999999998</v>
      </c>
      <c r="EN246" s="23">
        <f t="shared" si="1066"/>
        <v>1460.0569999999998</v>
      </c>
      <c r="EO246" s="23">
        <f t="shared" si="1066"/>
        <v>1495.0569999999998</v>
      </c>
      <c r="EP246" s="120">
        <f>Model!EP243</f>
        <v>1495.0569999999998</v>
      </c>
      <c r="EQ246" s="23">
        <f t="shared" ref="EQ246:ET246" si="1067">EQ243</f>
        <v>2763.510908804642</v>
      </c>
      <c r="ER246" s="23">
        <f t="shared" si="1067"/>
        <v>2501.4153033422981</v>
      </c>
      <c r="ES246" s="23">
        <f t="shared" si="1067"/>
        <v>2315.8948383064608</v>
      </c>
      <c r="ET246" s="23">
        <f t="shared" si="1067"/>
        <v>2315.8948383064608</v>
      </c>
      <c r="EU246" s="120">
        <f>Model!EU243</f>
        <v>2315.8948383064599</v>
      </c>
      <c r="EV246" s="23"/>
      <c r="EW246" s="23"/>
      <c r="EX246" s="23"/>
      <c r="EY246" s="23"/>
      <c r="EZ246" s="120">
        <f>Model!EZ243</f>
        <v>2006.2899987601122</v>
      </c>
      <c r="FA246" s="23"/>
      <c r="FB246" s="23"/>
      <c r="FC246" s="23"/>
      <c r="FD246" s="23"/>
      <c r="FE246" s="120">
        <f>Model!FE243</f>
        <v>2189.7218222259089</v>
      </c>
      <c r="FF246" s="23"/>
      <c r="FG246" s="444"/>
      <c r="FL246" s="376"/>
      <c r="FM246" s="376"/>
      <c r="FN246" s="377"/>
      <c r="FO246" s="377"/>
      <c r="FP246" s="377"/>
      <c r="FQ246" s="377"/>
      <c r="FR246" s="377"/>
      <c r="FS246" s="377"/>
      <c r="FT246" s="444"/>
    </row>
    <row r="247" spans="1:184" ht="12.75" customHeight="1" x14ac:dyDescent="0.2">
      <c r="A247" s="38" t="s">
        <v>327</v>
      </c>
      <c r="B247" s="839"/>
      <c r="C247" s="839"/>
      <c r="D247" s="839"/>
      <c r="E247" s="839"/>
      <c r="F247" s="279"/>
      <c r="G247" s="839"/>
      <c r="H247" s="839"/>
      <c r="I247" s="839"/>
      <c r="J247" s="839"/>
      <c r="K247" s="279"/>
      <c r="L247" s="839"/>
      <c r="M247" s="839"/>
      <c r="N247" s="839"/>
      <c r="O247" s="839"/>
      <c r="P247" s="851">
        <v>0</v>
      </c>
      <c r="Q247" s="839"/>
      <c r="R247" s="839"/>
      <c r="S247" s="839"/>
      <c r="T247" s="839"/>
      <c r="U247" s="851">
        <v>0</v>
      </c>
      <c r="V247" s="839"/>
      <c r="W247" s="839"/>
      <c r="X247" s="839"/>
      <c r="Y247" s="839"/>
      <c r="Z247" s="851">
        <v>0</v>
      </c>
      <c r="AA247" s="839"/>
      <c r="AB247" s="839"/>
      <c r="AC247" s="839"/>
      <c r="AD247" s="839"/>
      <c r="AE247" s="851">
        <v>0</v>
      </c>
      <c r="AF247" s="839"/>
      <c r="AG247" s="839"/>
      <c r="AH247" s="839"/>
      <c r="AI247" s="839"/>
      <c r="AJ247" s="851">
        <v>0</v>
      </c>
      <c r="AK247" s="839"/>
      <c r="AL247" s="839"/>
      <c r="AM247" s="839"/>
      <c r="AN247" s="839"/>
      <c r="AO247" s="851">
        <v>0</v>
      </c>
      <c r="AP247" s="839"/>
      <c r="AQ247" s="839"/>
      <c r="AR247" s="839"/>
      <c r="AS247" s="839"/>
      <c r="AT247" s="851">
        <v>0</v>
      </c>
      <c r="AU247" s="839"/>
      <c r="AV247" s="839"/>
      <c r="AW247" s="839"/>
      <c r="AX247" s="839"/>
      <c r="AY247" s="851">
        <v>0</v>
      </c>
      <c r="AZ247" s="839"/>
      <c r="BA247" s="839"/>
      <c r="BB247" s="839"/>
      <c r="BC247" s="839"/>
      <c r="BD247" s="851">
        <v>0</v>
      </c>
      <c r="BE247" s="839"/>
      <c r="BF247" s="839"/>
      <c r="BG247" s="839"/>
      <c r="BH247" s="839"/>
      <c r="BI247" s="851">
        <v>0</v>
      </c>
      <c r="BJ247" s="839"/>
      <c r="BK247" s="839"/>
      <c r="BL247" s="839"/>
      <c r="BM247" s="839"/>
      <c r="BN247" s="851">
        <v>0</v>
      </c>
      <c r="BO247" s="839"/>
      <c r="BP247" s="839"/>
      <c r="BQ247" s="839"/>
      <c r="BR247" s="839"/>
      <c r="BS247" s="851">
        <v>0</v>
      </c>
      <c r="BT247" s="839"/>
      <c r="BU247" s="839"/>
      <c r="BV247" s="839"/>
      <c r="BW247" s="839"/>
      <c r="BX247" s="851">
        <v>0</v>
      </c>
      <c r="BY247" s="839"/>
      <c r="BZ247" s="839"/>
      <c r="CA247" s="839"/>
      <c r="CB247" s="839"/>
      <c r="CC247" s="851">
        <v>251</v>
      </c>
      <c r="CD247" s="839">
        <v>320</v>
      </c>
      <c r="CE247" s="839">
        <v>396</v>
      </c>
      <c r="CF247" s="839">
        <v>354</v>
      </c>
      <c r="CG247" s="839">
        <v>369</v>
      </c>
      <c r="CH247" s="120">
        <v>369</v>
      </c>
      <c r="CI247" s="839">
        <v>315</v>
      </c>
      <c r="CJ247" s="839">
        <v>509</v>
      </c>
      <c r="CK247" s="839">
        <v>507</v>
      </c>
      <c r="CL247" s="839">
        <v>566</v>
      </c>
      <c r="CM247" s="120">
        <v>566</v>
      </c>
      <c r="CN247" s="839">
        <v>140</v>
      </c>
      <c r="CO247" s="839">
        <v>1185</v>
      </c>
      <c r="CP247" s="839">
        <v>1041</v>
      </c>
      <c r="CQ247" s="839">
        <v>435</v>
      </c>
      <c r="CR247" s="120">
        <v>435</v>
      </c>
      <c r="CS247" s="839">
        <v>999.48500000000001</v>
      </c>
      <c r="CT247" s="839">
        <v>1262.4849999999999</v>
      </c>
      <c r="CU247" s="839">
        <v>1354.1559999999999</v>
      </c>
      <c r="CV247" s="839">
        <v>1480.663</v>
      </c>
      <c r="CW247" s="120">
        <f>CV247</f>
        <v>1480.663</v>
      </c>
      <c r="CX247" s="839">
        <v>1663</v>
      </c>
      <c r="CY247" s="839">
        <v>2135</v>
      </c>
      <c r="CZ247" s="839">
        <v>2348</v>
      </c>
      <c r="DA247" s="839">
        <v>2277</v>
      </c>
      <c r="DB247" s="120">
        <f>DA247</f>
        <v>2277</v>
      </c>
      <c r="DC247" s="839">
        <v>2426</v>
      </c>
      <c r="DD247" s="839">
        <v>2779</v>
      </c>
      <c r="DE247" s="839">
        <v>2640</v>
      </c>
      <c r="DF247" s="839">
        <v>2315</v>
      </c>
      <c r="DG247" s="120">
        <f>DF247</f>
        <v>2315</v>
      </c>
      <c r="DH247" s="839">
        <v>2226</v>
      </c>
      <c r="DI247" s="839">
        <v>2173</v>
      </c>
      <c r="DJ247" s="839">
        <v>2067</v>
      </c>
      <c r="DK247" s="839">
        <v>1857</v>
      </c>
      <c r="DL247" s="120">
        <f>DK247</f>
        <v>1857</v>
      </c>
      <c r="DM247" s="839">
        <v>1797</v>
      </c>
      <c r="DN247" s="839">
        <v>1904</v>
      </c>
      <c r="DO247" s="839">
        <v>1995</v>
      </c>
      <c r="DP247" s="839">
        <v>1797</v>
      </c>
      <c r="DQ247" s="120">
        <f>DP247</f>
        <v>1797</v>
      </c>
      <c r="DR247" s="839">
        <v>1757</v>
      </c>
      <c r="DS247" s="839">
        <v>2112</v>
      </c>
      <c r="DT247" s="839">
        <v>1728</v>
      </c>
      <c r="DU247" s="839">
        <v>1706</v>
      </c>
      <c r="DV247" s="120">
        <f>DU247</f>
        <v>1706</v>
      </c>
      <c r="DW247" s="839">
        <v>1413</v>
      </c>
      <c r="DX247" s="839">
        <v>1360</v>
      </c>
      <c r="DY247" s="839">
        <v>1356</v>
      </c>
      <c r="DZ247" s="839">
        <v>1468</v>
      </c>
      <c r="EA247" s="120">
        <f>DZ247</f>
        <v>1468</v>
      </c>
      <c r="EB247" s="839">
        <v>1194</v>
      </c>
      <c r="EC247" s="839">
        <v>1375</v>
      </c>
      <c r="ED247" s="839">
        <v>1480</v>
      </c>
      <c r="EE247" s="839">
        <v>1625</v>
      </c>
      <c r="EF247" s="120">
        <f>EE247</f>
        <v>1625</v>
      </c>
      <c r="EG247" s="839">
        <v>1631</v>
      </c>
      <c r="EH247" s="839">
        <v>1615</v>
      </c>
      <c r="EI247" s="839">
        <v>1580</v>
      </c>
      <c r="EJ247" s="839">
        <v>1778</v>
      </c>
      <c r="EK247" s="120">
        <f>EJ247</f>
        <v>1778</v>
      </c>
      <c r="EL247" s="839">
        <v>1631</v>
      </c>
      <c r="EM247" s="839">
        <v>1615</v>
      </c>
      <c r="EN247" s="839">
        <v>1580</v>
      </c>
      <c r="EO247" s="839">
        <v>1778</v>
      </c>
      <c r="EP247" s="120">
        <f>EO247</f>
        <v>1778</v>
      </c>
      <c r="EQ247" s="23">
        <f>EP247-EQ226</f>
        <v>1778</v>
      </c>
      <c r="ER247" s="23">
        <f>EQ247-ER226</f>
        <v>1778</v>
      </c>
      <c r="ES247" s="23">
        <f>ER247-ES226</f>
        <v>1778</v>
      </c>
      <c r="ET247" s="23">
        <f>ES247-ET226</f>
        <v>804.58434879371725</v>
      </c>
      <c r="EU247" s="120">
        <f>ET247</f>
        <v>804.58434879371725</v>
      </c>
      <c r="EV247" s="23"/>
      <c r="EW247" s="23"/>
      <c r="EX247" s="23"/>
      <c r="EY247" s="23"/>
      <c r="EZ247" s="120">
        <f>EU247-Model!EZ226</f>
        <v>804.58434879371725</v>
      </c>
      <c r="FA247" s="23"/>
      <c r="FB247" s="23"/>
      <c r="FC247" s="23"/>
      <c r="FD247" s="23"/>
      <c r="FE247" s="120">
        <f>EZ247-Model!FE226</f>
        <v>804.58434879371725</v>
      </c>
      <c r="FF247" s="23"/>
      <c r="FG247" s="444"/>
      <c r="FL247" s="376"/>
      <c r="FM247" s="376"/>
      <c r="FN247" s="377"/>
      <c r="FO247" s="377"/>
      <c r="FP247" s="377"/>
      <c r="FQ247" s="377"/>
      <c r="FR247" s="377"/>
      <c r="FS247" s="377"/>
      <c r="FT247" s="444"/>
    </row>
    <row r="248" spans="1:184" ht="12.75" customHeight="1" x14ac:dyDescent="0.2">
      <c r="A248" s="42" t="s">
        <v>357</v>
      </c>
      <c r="B248" s="199"/>
      <c r="C248" s="199"/>
      <c r="D248" s="199"/>
      <c r="E248" s="199"/>
      <c r="F248" s="279"/>
      <c r="G248" s="199"/>
      <c r="H248" s="199"/>
      <c r="I248" s="199"/>
      <c r="J248" s="199"/>
      <c r="K248" s="279"/>
      <c r="L248" s="199"/>
      <c r="M248" s="199"/>
      <c r="N248" s="199"/>
      <c r="O248" s="199"/>
      <c r="P248" s="289">
        <f>SUM(P246:P247)</f>
        <v>437.98899999999998</v>
      </c>
      <c r="Q248" s="199"/>
      <c r="R248" s="199"/>
      <c r="S248" s="199"/>
      <c r="T248" s="199"/>
      <c r="U248" s="289">
        <f>SUM(U246:U247)</f>
        <v>295.57099999999997</v>
      </c>
      <c r="V248" s="199"/>
      <c r="W248" s="199"/>
      <c r="X248" s="199"/>
      <c r="Y248" s="199"/>
      <c r="Z248" s="289">
        <f>SUM(Z246:Z247)</f>
        <v>174.5379999999999</v>
      </c>
      <c r="AA248" s="199"/>
      <c r="AB248" s="199"/>
      <c r="AC248" s="199"/>
      <c r="AD248" s="199"/>
      <c r="AE248" s="289">
        <f>SUM(AE246:AE247)</f>
        <v>317.36299999999989</v>
      </c>
      <c r="AF248" s="199"/>
      <c r="AG248" s="199"/>
      <c r="AH248" s="199"/>
      <c r="AI248" s="199"/>
      <c r="AJ248" s="289">
        <f>SUM(AJ246:AJ247)</f>
        <v>581.84099999999978</v>
      </c>
      <c r="AK248" s="199"/>
      <c r="AL248" s="199"/>
      <c r="AM248" s="199"/>
      <c r="AN248" s="199"/>
      <c r="AO248" s="289">
        <f>SUM(AO246:AO247)</f>
        <v>623.34299999999973</v>
      </c>
      <c r="AP248" s="199"/>
      <c r="AQ248" s="199"/>
      <c r="AR248" s="199"/>
      <c r="AS248" s="199"/>
      <c r="AT248" s="289">
        <f>SUM(AT246:AT247)</f>
        <v>378.51099999999963</v>
      </c>
      <c r="AU248" s="199"/>
      <c r="AV248" s="199"/>
      <c r="AW248" s="199"/>
      <c r="AX248" s="199"/>
      <c r="AY248" s="289">
        <f>SUM(AY246:AY247)</f>
        <v>418.81899999999962</v>
      </c>
      <c r="AZ248" s="199"/>
      <c r="BA248" s="199"/>
      <c r="BB248" s="199"/>
      <c r="BC248" s="199"/>
      <c r="BD248" s="289">
        <f>SUM(BD246:BD247)</f>
        <v>522.99499999999978</v>
      </c>
      <c r="BE248" s="199"/>
      <c r="BF248" s="199"/>
      <c r="BG248" s="199"/>
      <c r="BH248" s="199"/>
      <c r="BI248" s="289">
        <f>SUM(BI246:BI247)</f>
        <v>2279.8609999999999</v>
      </c>
      <c r="BJ248" s="199"/>
      <c r="BK248" s="199"/>
      <c r="BL248" s="199"/>
      <c r="BM248" s="199"/>
      <c r="BN248" s="289">
        <f>SUM(BN246:BN247)</f>
        <v>1815.3519999999999</v>
      </c>
      <c r="BO248" s="199"/>
      <c r="BP248" s="199"/>
      <c r="BQ248" s="199"/>
      <c r="BR248" s="199"/>
      <c r="BS248" s="289">
        <f>SUM(BS246:BS247)</f>
        <v>1484.3519999999999</v>
      </c>
      <c r="BT248" s="199"/>
      <c r="BU248" s="199"/>
      <c r="BV248" s="199"/>
      <c r="BW248" s="199"/>
      <c r="BX248" s="289">
        <f>SUM(BX246:BX247)</f>
        <v>1095.3519999999999</v>
      </c>
      <c r="BY248" s="199"/>
      <c r="BZ248" s="199"/>
      <c r="CA248" s="199"/>
      <c r="CB248" s="199"/>
      <c r="CC248" s="289">
        <f t="shared" ref="CC248:DV248" si="1068">SUM(CC246:CC247)</f>
        <v>2531.3519999999999</v>
      </c>
      <c r="CD248" s="199">
        <f t="shared" si="1068"/>
        <v>2920.3519999999999</v>
      </c>
      <c r="CE248" s="199">
        <f t="shared" si="1068"/>
        <v>2988.3519999999999</v>
      </c>
      <c r="CF248" s="199">
        <f t="shared" si="1068"/>
        <v>2301.3519999999999</v>
      </c>
      <c r="CG248" s="199">
        <f t="shared" si="1068"/>
        <v>1759.3519999999999</v>
      </c>
      <c r="CH248" s="289">
        <f t="shared" si="1068"/>
        <v>1759.3519999999999</v>
      </c>
      <c r="CI248" s="199">
        <f t="shared" si="1068"/>
        <v>1933.3519999999999</v>
      </c>
      <c r="CJ248" s="199">
        <f t="shared" si="1068"/>
        <v>2114.3519999999999</v>
      </c>
      <c r="CK248" s="199">
        <f t="shared" si="1068"/>
        <v>1557.3519999999999</v>
      </c>
      <c r="CL248" s="199">
        <f t="shared" si="1068"/>
        <v>2779.3519999999999</v>
      </c>
      <c r="CM248" s="289">
        <f t="shared" si="1068"/>
        <v>2779.3519999999999</v>
      </c>
      <c r="CN248" s="199">
        <f t="shared" si="1068"/>
        <v>3122.3519999999999</v>
      </c>
      <c r="CO248" s="199">
        <f t="shared" si="1068"/>
        <v>5838.3519999999999</v>
      </c>
      <c r="CP248" s="199">
        <f t="shared" si="1068"/>
        <v>3431.3519999999999</v>
      </c>
      <c r="CQ248" s="199">
        <f t="shared" si="1068"/>
        <v>1803.3519999999999</v>
      </c>
      <c r="CR248" s="289">
        <f t="shared" si="1068"/>
        <v>1803.3519999999999</v>
      </c>
      <c r="CS248" s="199">
        <f t="shared" si="1068"/>
        <v>2518.6759999999999</v>
      </c>
      <c r="CT248" s="199">
        <f t="shared" si="1068"/>
        <v>2585.1689999999999</v>
      </c>
      <c r="CU248" s="199">
        <f t="shared" si="1068"/>
        <v>2662.5929999999998</v>
      </c>
      <c r="CV248" s="199">
        <f t="shared" si="1068"/>
        <v>3137.634</v>
      </c>
      <c r="CW248" s="289">
        <f t="shared" si="1068"/>
        <v>3137.634</v>
      </c>
      <c r="CX248" s="199">
        <f t="shared" si="1068"/>
        <v>3307.835</v>
      </c>
      <c r="CY248" s="199">
        <f>SUM(CY246:CY247)</f>
        <v>3659.6979999999999</v>
      </c>
      <c r="CZ248" s="199">
        <f>SUM(CZ246:CZ247)</f>
        <v>3803.8580000000002</v>
      </c>
      <c r="DA248" s="199">
        <f>SUM(DA246:DA247)</f>
        <v>3992.317</v>
      </c>
      <c r="DB248" s="289">
        <f t="shared" si="1068"/>
        <v>3992.317</v>
      </c>
      <c r="DC248" s="199">
        <f>SUM(DC246:DC247)</f>
        <v>4465.0569999999998</v>
      </c>
      <c r="DD248" s="199">
        <f>SUM(DD246:DD247)</f>
        <v>4374.0569999999998</v>
      </c>
      <c r="DE248" s="199">
        <f>SUM(DE246:DE247)</f>
        <v>3656.0569999999998</v>
      </c>
      <c r="DF248" s="199">
        <f>SUM(DF246:DF247)</f>
        <v>3144.0569999999998</v>
      </c>
      <c r="DG248" s="289">
        <f t="shared" si="1068"/>
        <v>3144.0569999999998</v>
      </c>
      <c r="DH248" s="199">
        <f t="shared" si="1068"/>
        <v>3784.0569999999998</v>
      </c>
      <c r="DI248" s="199">
        <f t="shared" si="1068"/>
        <v>3256.0569999999998</v>
      </c>
      <c r="DJ248" s="199">
        <f t="shared" si="1068"/>
        <v>3235.0569999999998</v>
      </c>
      <c r="DK248" s="199">
        <f t="shared" si="1068"/>
        <v>2970.0569999999998</v>
      </c>
      <c r="DL248" s="289">
        <f t="shared" si="1068"/>
        <v>2970.0569999999998</v>
      </c>
      <c r="DM248" s="199">
        <f t="shared" si="1068"/>
        <v>3135.0569999999998</v>
      </c>
      <c r="DN248" s="199">
        <f t="shared" si="1068"/>
        <v>3393.0569999999998</v>
      </c>
      <c r="DO248" s="199">
        <f t="shared" si="1068"/>
        <v>3328.0569999999998</v>
      </c>
      <c r="DP248" s="199">
        <f t="shared" si="1068"/>
        <v>3152.0569999999998</v>
      </c>
      <c r="DQ248" s="289">
        <f t="shared" si="1068"/>
        <v>3152.0569999999998</v>
      </c>
      <c r="DR248" s="199">
        <f t="shared" si="1068"/>
        <v>3498.0569999999998</v>
      </c>
      <c r="DS248" s="199">
        <f>SUM(DS246:DS247)</f>
        <v>3994.0569999999998</v>
      </c>
      <c r="DT248" s="199">
        <f>SUM(DT246:DT247)</f>
        <v>3560.0569999999998</v>
      </c>
      <c r="DU248" s="199">
        <f>SUM(DU246:DU247)</f>
        <v>2988.0569999999998</v>
      </c>
      <c r="DV248" s="289">
        <f t="shared" si="1068"/>
        <v>2988.0569999999998</v>
      </c>
      <c r="DW248" s="199">
        <f t="shared" ref="DW248:EA248" si="1069">SUM(DW246:DW247)</f>
        <v>3438.0569999999998</v>
      </c>
      <c r="DX248" s="199">
        <f t="shared" si="1069"/>
        <v>3132.0569999999998</v>
      </c>
      <c r="DY248" s="199">
        <f t="shared" si="1069"/>
        <v>3096.0569999999998</v>
      </c>
      <c r="DZ248" s="199">
        <f t="shared" si="1069"/>
        <v>3051.0569999999998</v>
      </c>
      <c r="EA248" s="289">
        <f t="shared" si="1069"/>
        <v>3051.0569999999998</v>
      </c>
      <c r="EB248" s="199">
        <f>SUM(EB246:EB247)</f>
        <v>3582.0569999999998</v>
      </c>
      <c r="EC248" s="199">
        <f>SUM(EC246:EC247)</f>
        <v>3415.0569999999998</v>
      </c>
      <c r="ED248" s="199">
        <f>SUM(ED246:ED247)</f>
        <v>3446.0569999999998</v>
      </c>
      <c r="EE248" s="199">
        <f>SUM(EE246:EE247)</f>
        <v>3305.0569999999998</v>
      </c>
      <c r="EF248" s="289">
        <f>SUM(EF246:EF247)</f>
        <v>3305.0569999999998</v>
      </c>
      <c r="EG248" s="199">
        <f t="shared" ref="EG248:EJ248" si="1070">SUM(EG246:EG247)</f>
        <v>3482.0569999999998</v>
      </c>
      <c r="EH248" s="199">
        <f t="shared" si="1070"/>
        <v>3152.0569999999998</v>
      </c>
      <c r="EI248" s="199">
        <f t="shared" si="1070"/>
        <v>3040.0569999999998</v>
      </c>
      <c r="EJ248" s="199">
        <f t="shared" si="1070"/>
        <v>3273.0569999999998</v>
      </c>
      <c r="EK248" s="289">
        <f>SUM(EK246:EK247)</f>
        <v>3273.0569999999998</v>
      </c>
      <c r="EL248" s="199">
        <f t="shared" ref="EL248:EO248" si="1071">SUM(EL246:EL247)</f>
        <v>3482.0569999999998</v>
      </c>
      <c r="EM248" s="199">
        <f t="shared" si="1071"/>
        <v>3152.0569999999998</v>
      </c>
      <c r="EN248" s="199">
        <f t="shared" si="1071"/>
        <v>3040.0569999999998</v>
      </c>
      <c r="EO248" s="199">
        <f t="shared" si="1071"/>
        <v>3273.0569999999998</v>
      </c>
      <c r="EP248" s="289">
        <f>SUM(EP246:EP247)</f>
        <v>3273.0569999999998</v>
      </c>
      <c r="EQ248" s="199">
        <f>SUM(EQ246:EQ247)</f>
        <v>4541.510908804642</v>
      </c>
      <c r="ER248" s="199">
        <f t="shared" ref="ER248:ET248" si="1072">SUM(ER246:ER247)</f>
        <v>4279.4153033422981</v>
      </c>
      <c r="ES248" s="199">
        <f t="shared" si="1072"/>
        <v>4093.8948383064608</v>
      </c>
      <c r="ET248" s="199">
        <f t="shared" si="1072"/>
        <v>3120.479187100178</v>
      </c>
      <c r="EU248" s="289">
        <f>SUM(EU246:EU247)</f>
        <v>3120.4791871001771</v>
      </c>
      <c r="EV248" s="199"/>
      <c r="EW248" s="199"/>
      <c r="EX248" s="199"/>
      <c r="EY248" s="199"/>
      <c r="EZ248" s="289">
        <f>SUM(EZ246:EZ247)</f>
        <v>2810.8743475538295</v>
      </c>
      <c r="FA248" s="199"/>
      <c r="FB248" s="199"/>
      <c r="FC248" s="199"/>
      <c r="FD248" s="199"/>
      <c r="FE248" s="289">
        <f>SUM(FE246:FE247)</f>
        <v>2994.3061710196262</v>
      </c>
      <c r="FF248" s="55"/>
      <c r="FG248" s="467"/>
      <c r="FL248" s="376"/>
      <c r="FM248" s="376"/>
      <c r="FN248" s="377"/>
      <c r="FO248" s="377"/>
      <c r="FP248" s="377"/>
      <c r="FQ248" s="377"/>
      <c r="FR248" s="377"/>
      <c r="FS248" s="377"/>
      <c r="FT248" s="467"/>
    </row>
    <row r="249" spans="1:184" ht="12.75" customHeight="1" x14ac:dyDescent="0.2">
      <c r="A249" s="86" t="s">
        <v>358</v>
      </c>
      <c r="B249" s="24"/>
      <c r="C249" s="24"/>
      <c r="D249" s="24"/>
      <c r="E249" s="24"/>
      <c r="F249" s="258"/>
      <c r="G249" s="24"/>
      <c r="H249" s="24"/>
      <c r="I249" s="24"/>
      <c r="J249" s="24"/>
      <c r="K249" s="258"/>
      <c r="L249" s="24"/>
      <c r="M249" s="24"/>
      <c r="N249" s="24"/>
      <c r="O249" s="24"/>
      <c r="P249" s="104">
        <f>P248/P109</f>
        <v>0.24292518104758848</v>
      </c>
      <c r="Q249" s="24"/>
      <c r="R249" s="24"/>
      <c r="S249" s="24"/>
      <c r="T249" s="24"/>
      <c r="U249" s="104">
        <f>U248/U109</f>
        <v>0.12869529097089569</v>
      </c>
      <c r="V249" s="24"/>
      <c r="W249" s="24"/>
      <c r="X249" s="24"/>
      <c r="Y249" s="24"/>
      <c r="Z249" s="104">
        <f>Z248/Z109</f>
        <v>6.7338931986282019E-2</v>
      </c>
      <c r="AA249" s="24"/>
      <c r="AB249" s="24"/>
      <c r="AC249" s="24"/>
      <c r="AD249" s="24"/>
      <c r="AE249" s="104">
        <f>AE248/AE109</f>
        <v>0.11047354956973297</v>
      </c>
      <c r="AF249" s="24"/>
      <c r="AG249" s="24"/>
      <c r="AH249" s="24"/>
      <c r="AI249" s="24"/>
      <c r="AJ249" s="104">
        <f>AJ248/AJ109</f>
        <v>0.17081971833466908</v>
      </c>
      <c r="AK249" s="24"/>
      <c r="AL249" s="24"/>
      <c r="AM249" s="24"/>
      <c r="AN249" s="24"/>
      <c r="AO249" s="104">
        <f>AO248/AO174</f>
        <v>0.16331470613895693</v>
      </c>
      <c r="AP249" s="24"/>
      <c r="AQ249" s="24"/>
      <c r="AR249" s="24"/>
      <c r="AS249" s="24"/>
      <c r="AT249" s="104">
        <f>AT248/AT174</f>
        <v>9.0901253128016862E-2</v>
      </c>
      <c r="AU249" s="24"/>
      <c r="AV249" s="24"/>
      <c r="AW249" s="24"/>
      <c r="AX249" s="24"/>
      <c r="AY249" s="104">
        <f>AY248/AY174</f>
        <v>8.8440778302668638E-2</v>
      </c>
      <c r="AZ249" s="24"/>
      <c r="BA249" s="24"/>
      <c r="BB249" s="24"/>
      <c r="BC249" s="24"/>
      <c r="BD249" s="104">
        <f>BD248/BD174</f>
        <v>9.2572695926762413E-2</v>
      </c>
      <c r="BE249" s="24"/>
      <c r="BF249" s="24"/>
      <c r="BG249" s="24"/>
      <c r="BH249" s="24"/>
      <c r="BI249" s="104">
        <f>BI248/BI174</f>
        <v>0.4104031664894745</v>
      </c>
      <c r="BJ249" s="24"/>
      <c r="BK249" s="24"/>
      <c r="BL249" s="24"/>
      <c r="BM249" s="24"/>
      <c r="BN249" s="104">
        <f>BN248/BN174</f>
        <v>0.33092012043521318</v>
      </c>
      <c r="BO249" s="24"/>
      <c r="BP249" s="24"/>
      <c r="BQ249" s="24"/>
      <c r="BR249" s="24"/>
      <c r="BS249" s="104">
        <f>BS248/BS174</f>
        <v>0.25005929919137465</v>
      </c>
      <c r="BT249" s="24"/>
      <c r="BU249" s="24"/>
      <c r="BV249" s="24"/>
      <c r="BW249" s="24"/>
      <c r="BX249" s="104">
        <f>BX248/BX174</f>
        <v>0.16776719252565475</v>
      </c>
      <c r="BY249" s="24"/>
      <c r="BZ249" s="24"/>
      <c r="CA249" s="24"/>
      <c r="CB249" s="24"/>
      <c r="CC249" s="104">
        <f t="shared" ref="CC249:DH249" si="1073">CC248/CC174</f>
        <v>0.33381933271792164</v>
      </c>
      <c r="CD249" s="24">
        <f t="shared" si="1073"/>
        <v>0.36784884746189694</v>
      </c>
      <c r="CE249" s="24">
        <f t="shared" si="1073"/>
        <v>0.35390241591662719</v>
      </c>
      <c r="CF249" s="24">
        <f t="shared" si="1073"/>
        <v>0.26160645674661814</v>
      </c>
      <c r="CG249" s="24">
        <f t="shared" si="1073"/>
        <v>0.19363328197226501</v>
      </c>
      <c r="CH249" s="104">
        <f t="shared" si="1073"/>
        <v>0.19363328197226501</v>
      </c>
      <c r="CI249" s="24">
        <f t="shared" si="1073"/>
        <v>0.20867263896384242</v>
      </c>
      <c r="CJ249" s="24">
        <f t="shared" si="1073"/>
        <v>0.22495499521225662</v>
      </c>
      <c r="CK249" s="24">
        <f t="shared" si="1073"/>
        <v>0.161467288750648</v>
      </c>
      <c r="CL249" s="24">
        <f t="shared" si="1073"/>
        <v>0.28185295608964606</v>
      </c>
      <c r="CM249" s="104">
        <f t="shared" si="1073"/>
        <v>0.28185295608964606</v>
      </c>
      <c r="CN249" s="24">
        <f t="shared" si="1073"/>
        <v>0.30632316295496909</v>
      </c>
      <c r="CO249" s="24">
        <f t="shared" si="1073"/>
        <v>0.55714781944842062</v>
      </c>
      <c r="CP249" s="24">
        <f t="shared" si="1073"/>
        <v>0.31824819143016136</v>
      </c>
      <c r="CQ249" s="24">
        <f t="shared" si="1073"/>
        <v>0.16358417997097241</v>
      </c>
      <c r="CR249" s="104">
        <f t="shared" si="1073"/>
        <v>0.16358417997097241</v>
      </c>
      <c r="CS249" s="24">
        <f t="shared" si="1073"/>
        <v>0.22107311053190326</v>
      </c>
      <c r="CT249" s="24">
        <f t="shared" si="1073"/>
        <v>0.22013413594867948</v>
      </c>
      <c r="CU249" s="24">
        <f t="shared" si="1073"/>
        <v>0.21975823724146809</v>
      </c>
      <c r="CV249" s="24">
        <f t="shared" si="1073"/>
        <v>0.24720491139530121</v>
      </c>
      <c r="CW249" s="104">
        <f t="shared" si="1073"/>
        <v>0.24720491139530121</v>
      </c>
      <c r="CX249" s="24">
        <f t="shared" si="1073"/>
        <v>0.2538897418822611</v>
      </c>
      <c r="CY249" s="24">
        <f t="shared" si="1073"/>
        <v>0.26756138975250354</v>
      </c>
      <c r="CZ249" s="24">
        <f t="shared" si="1073"/>
        <v>0.2664778834365133</v>
      </c>
      <c r="DA249" s="24">
        <f t="shared" si="1073"/>
        <v>0.27114091069896712</v>
      </c>
      <c r="DB249" s="104">
        <f t="shared" si="1073"/>
        <v>0.27114091069896712</v>
      </c>
      <c r="DC249" s="24">
        <f t="shared" si="1073"/>
        <v>0.29263651384638034</v>
      </c>
      <c r="DD249" s="24">
        <f t="shared" si="1073"/>
        <v>0.27690861077697304</v>
      </c>
      <c r="DE249" s="24">
        <f t="shared" si="1073"/>
        <v>0.22502923764963581</v>
      </c>
      <c r="DF249" s="24">
        <f t="shared" si="1073"/>
        <v>0.1894577358728646</v>
      </c>
      <c r="DG249" s="104">
        <f t="shared" si="1073"/>
        <v>0.1894577358728646</v>
      </c>
      <c r="DH249" s="24">
        <f t="shared" si="1073"/>
        <v>0.2250137955640126</v>
      </c>
      <c r="DI249" s="24">
        <f t="shared" ref="DI249:EA249" si="1074">DI248/DI174</f>
        <v>0.19124027957241865</v>
      </c>
      <c r="DJ249" s="24">
        <f t="shared" si="1074"/>
        <v>0.19002919407894736</v>
      </c>
      <c r="DK249" s="24">
        <f t="shared" si="1074"/>
        <v>0.17379934460764232</v>
      </c>
      <c r="DL249" s="104">
        <f t="shared" si="1074"/>
        <v>0.17379934460764232</v>
      </c>
      <c r="DM249" s="24">
        <f t="shared" si="1074"/>
        <v>0.18246170410895121</v>
      </c>
      <c r="DN249" s="24">
        <f t="shared" si="1074"/>
        <v>0.19716758672787493</v>
      </c>
      <c r="DO249" s="24">
        <f t="shared" si="1074"/>
        <v>0.19077426196617941</v>
      </c>
      <c r="DP249" s="24">
        <f t="shared" si="1074"/>
        <v>0.17808231638418079</v>
      </c>
      <c r="DQ249" s="104">
        <f t="shared" si="1074"/>
        <v>0.17808231638418079</v>
      </c>
      <c r="DR249" s="24">
        <f t="shared" si="1074"/>
        <v>0.19671898549094588</v>
      </c>
      <c r="DS249" s="24">
        <f t="shared" si="1074"/>
        <v>0.22005823691460055</v>
      </c>
      <c r="DT249" s="24">
        <f t="shared" si="1074"/>
        <v>0.19342879652268405</v>
      </c>
      <c r="DU249" s="24">
        <f t="shared" si="1074"/>
        <v>0.1606050524052674</v>
      </c>
      <c r="DV249" s="104">
        <f t="shared" si="1074"/>
        <v>0.1606050524052674</v>
      </c>
      <c r="DW249" s="24">
        <f>DW248/DW174</f>
        <v>0.18236126876359199</v>
      </c>
      <c r="DX249" s="24">
        <f t="shared" si="1074"/>
        <v>0.16525389120455863</v>
      </c>
      <c r="DY249" s="24">
        <f t="shared" si="1074"/>
        <v>0.16042577335613242</v>
      </c>
      <c r="DZ249" s="24">
        <f t="shared" si="1074"/>
        <v>0.15528588151465797</v>
      </c>
      <c r="EA249" s="104">
        <f t="shared" si="1074"/>
        <v>0.15528588151465797</v>
      </c>
      <c r="EB249" s="24">
        <f t="shared" ref="EB249:EF249" si="1075">EB248/EB174</f>
        <v>0.17856714855433697</v>
      </c>
      <c r="EC249" s="24">
        <f t="shared" si="1075"/>
        <v>0.16795637633403826</v>
      </c>
      <c r="ED249" s="24">
        <f t="shared" si="1075"/>
        <v>0.16953935845714846</v>
      </c>
      <c r="EE249" s="24">
        <f t="shared" si="1075"/>
        <v>0.16181429620563034</v>
      </c>
      <c r="EF249" s="104">
        <f t="shared" si="1075"/>
        <v>0.16181429620563034</v>
      </c>
      <c r="EG249" s="24">
        <f t="shared" ref="EG249:EK249" si="1076">EG248/EG174</f>
        <v>0.17000571233278</v>
      </c>
      <c r="EH249" s="24">
        <f t="shared" si="1076"/>
        <v>0.15123582189809037</v>
      </c>
      <c r="EI249" s="24">
        <f t="shared" ref="EI249" si="1077">EI248/EI174</f>
        <v>0.14494407361495185</v>
      </c>
      <c r="EJ249" s="24">
        <f t="shared" si="1076"/>
        <v>0.15459366143963724</v>
      </c>
      <c r="EK249" s="104">
        <f t="shared" si="1076"/>
        <v>0.15459366143963724</v>
      </c>
      <c r="EL249" s="24">
        <f t="shared" ref="EL249:EP249" si="1078">EL248/EL174</f>
        <v>0.16469077235964621</v>
      </c>
      <c r="EM249" s="24">
        <f t="shared" si="1078"/>
        <v>0.1491744912446758</v>
      </c>
      <c r="EN249" s="24">
        <f t="shared" si="1078"/>
        <v>0.14365641243738775</v>
      </c>
      <c r="EO249" s="24">
        <f t="shared" si="1078"/>
        <v>0.15478374160597749</v>
      </c>
      <c r="EP249" s="104">
        <f t="shared" si="1078"/>
        <v>0.15478374160597749</v>
      </c>
      <c r="EQ249" s="24">
        <f>EQ248/EQ174</f>
        <v>0.21378572817341443</v>
      </c>
      <c r="ER249" s="24">
        <f t="shared" ref="ER249:ET249" si="1079">ER248/ER174</f>
        <v>0.19977298446430136</v>
      </c>
      <c r="ES249" s="24">
        <f t="shared" si="1079"/>
        <v>0.18849588560541436</v>
      </c>
      <c r="ET249" s="24">
        <f t="shared" si="1079"/>
        <v>0.14054453177539197</v>
      </c>
      <c r="EU249" s="104">
        <f>EU248/EU174</f>
        <v>0.14054453177539192</v>
      </c>
      <c r="EV249" s="24"/>
      <c r="EW249" s="24"/>
      <c r="EX249" s="24"/>
      <c r="EY249" s="24"/>
      <c r="EZ249" s="104">
        <f>EZ248/EZ174</f>
        <v>0.11927775719314972</v>
      </c>
      <c r="FA249" s="24"/>
      <c r="FB249" s="24"/>
      <c r="FC249" s="24"/>
      <c r="FD249" s="24"/>
      <c r="FE249" s="104">
        <f>FE248/FE174</f>
        <v>0.11984695297414003</v>
      </c>
      <c r="FF249" s="24"/>
      <c r="FG249" s="465"/>
      <c r="FL249" s="388"/>
      <c r="FM249" s="388"/>
      <c r="FN249" s="389"/>
      <c r="FO249" s="389"/>
      <c r="FP249" s="389"/>
      <c r="FQ249" s="389"/>
      <c r="FR249" s="389"/>
      <c r="FS249" s="389"/>
      <c r="FT249" s="465"/>
    </row>
    <row r="250" spans="1:184" ht="12.75" customHeight="1" x14ac:dyDescent="0.2">
      <c r="A250" s="38" t="s">
        <v>359</v>
      </c>
      <c r="B250" s="840"/>
      <c r="C250" s="840"/>
      <c r="D250" s="840"/>
      <c r="E250" s="840"/>
      <c r="F250" s="279"/>
      <c r="G250" s="840"/>
      <c r="H250" s="840"/>
      <c r="I250" s="840"/>
      <c r="J250" s="840"/>
      <c r="K250" s="279"/>
      <c r="L250" s="840"/>
      <c r="M250" s="840"/>
      <c r="N250" s="840"/>
      <c r="O250" s="840"/>
      <c r="P250" s="851">
        <v>0</v>
      </c>
      <c r="Q250" s="840"/>
      <c r="R250" s="840"/>
      <c r="S250" s="840"/>
      <c r="T250" s="840"/>
      <c r="U250" s="851">
        <v>0</v>
      </c>
      <c r="V250" s="840"/>
      <c r="W250" s="840"/>
      <c r="X250" s="840"/>
      <c r="Y250" s="840"/>
      <c r="Z250" s="851">
        <v>0</v>
      </c>
      <c r="AA250" s="840"/>
      <c r="AB250" s="840"/>
      <c r="AC250" s="840"/>
      <c r="AD250" s="840"/>
      <c r="AE250" s="851">
        <v>0</v>
      </c>
      <c r="AF250" s="840"/>
      <c r="AG250" s="840"/>
      <c r="AH250" s="840"/>
      <c r="AI250" s="840"/>
      <c r="AJ250" s="851">
        <v>0</v>
      </c>
      <c r="AK250" s="840"/>
      <c r="AL250" s="840"/>
      <c r="AM250" s="840"/>
      <c r="AN250" s="840"/>
      <c r="AO250" s="851">
        <v>0</v>
      </c>
      <c r="AP250" s="840"/>
      <c r="AQ250" s="840"/>
      <c r="AR250" s="840"/>
      <c r="AS250" s="840"/>
      <c r="AT250" s="851">
        <v>0</v>
      </c>
      <c r="AU250" s="840"/>
      <c r="AV250" s="840"/>
      <c r="AW250" s="840"/>
      <c r="AX250" s="840"/>
      <c r="AY250" s="851">
        <v>0</v>
      </c>
      <c r="AZ250" s="840"/>
      <c r="BA250" s="840"/>
      <c r="BB250" s="840"/>
      <c r="BC250" s="840"/>
      <c r="BD250" s="851">
        <v>0</v>
      </c>
      <c r="BE250" s="840"/>
      <c r="BF250" s="840"/>
      <c r="BG250" s="840"/>
      <c r="BH250" s="840"/>
      <c r="BI250" s="851">
        <v>0</v>
      </c>
      <c r="BJ250" s="840"/>
      <c r="BK250" s="840"/>
      <c r="BL250" s="840"/>
      <c r="BM250" s="840"/>
      <c r="BN250" s="851">
        <v>0</v>
      </c>
      <c r="BO250" s="840"/>
      <c r="BP250" s="840"/>
      <c r="BQ250" s="840"/>
      <c r="BR250" s="840"/>
      <c r="BS250" s="851">
        <v>0</v>
      </c>
      <c r="BT250" s="840"/>
      <c r="BU250" s="840"/>
      <c r="BV250" s="840"/>
      <c r="BW250" s="840"/>
      <c r="BX250" s="851">
        <v>0</v>
      </c>
      <c r="BY250" s="840"/>
      <c r="BZ250" s="840"/>
      <c r="CA250" s="840"/>
      <c r="CB250" s="840"/>
      <c r="CC250" s="851">
        <v>0</v>
      </c>
      <c r="CD250" s="840">
        <v>0</v>
      </c>
      <c r="CE250" s="840">
        <v>0</v>
      </c>
      <c r="CF250" s="840">
        <v>0</v>
      </c>
      <c r="CG250" s="840">
        <v>0</v>
      </c>
      <c r="CH250" s="120">
        <v>0</v>
      </c>
      <c r="CI250" s="840">
        <v>0</v>
      </c>
      <c r="CJ250" s="840">
        <v>0</v>
      </c>
      <c r="CK250" s="840">
        <v>0</v>
      </c>
      <c r="CL250" s="840">
        <v>0</v>
      </c>
      <c r="CM250" s="120">
        <v>0</v>
      </c>
      <c r="CN250" s="840">
        <v>0</v>
      </c>
      <c r="CO250" s="840">
        <v>0</v>
      </c>
      <c r="CP250" s="840">
        <v>0</v>
      </c>
      <c r="CQ250" s="840">
        <v>0</v>
      </c>
      <c r="CR250" s="120">
        <v>0</v>
      </c>
      <c r="CS250" s="840">
        <v>89.912999999999997</v>
      </c>
      <c r="CT250" s="840">
        <v>70.766999999999996</v>
      </c>
      <c r="CU250" s="840">
        <v>55.216000000000001</v>
      </c>
      <c r="CV250" s="840">
        <v>52.39</v>
      </c>
      <c r="CW250" s="120">
        <f>CV250</f>
        <v>52.39</v>
      </c>
      <c r="CX250" s="840">
        <v>53.082999999999998</v>
      </c>
      <c r="CY250" s="840">
        <v>53.816000000000003</v>
      </c>
      <c r="CZ250" s="840">
        <v>65.510000000000005</v>
      </c>
      <c r="DA250" s="840">
        <v>52.728999999999999</v>
      </c>
      <c r="DB250" s="120">
        <f>DA250</f>
        <v>52.728999999999999</v>
      </c>
      <c r="DC250" s="840">
        <v>52</v>
      </c>
      <c r="DD250" s="840">
        <v>0</v>
      </c>
      <c r="DE250" s="840">
        <v>0</v>
      </c>
      <c r="DF250" s="840">
        <v>0</v>
      </c>
      <c r="DG250" s="120">
        <f>DF250</f>
        <v>0</v>
      </c>
      <c r="DH250" s="840">
        <v>0</v>
      </c>
      <c r="DI250" s="840">
        <v>0</v>
      </c>
      <c r="DJ250" s="840">
        <v>0</v>
      </c>
      <c r="DK250" s="840">
        <v>0</v>
      </c>
      <c r="DL250" s="120">
        <f>DK250</f>
        <v>0</v>
      </c>
      <c r="DM250" s="840">
        <v>0</v>
      </c>
      <c r="DN250" s="840">
        <v>0</v>
      </c>
      <c r="DO250" s="840">
        <v>0</v>
      </c>
      <c r="DP250" s="840">
        <v>0</v>
      </c>
      <c r="DQ250" s="120">
        <f>DP250</f>
        <v>0</v>
      </c>
      <c r="DR250" s="840">
        <v>0</v>
      </c>
      <c r="DS250" s="840">
        <v>0</v>
      </c>
      <c r="DT250" s="840">
        <v>0</v>
      </c>
      <c r="DU250" s="840">
        <v>0</v>
      </c>
      <c r="DV250" s="120">
        <f>DU250</f>
        <v>0</v>
      </c>
      <c r="DW250" s="840">
        <v>0</v>
      </c>
      <c r="DX250" s="840">
        <v>0</v>
      </c>
      <c r="DY250" s="840">
        <v>0</v>
      </c>
      <c r="DZ250" s="840">
        <v>0</v>
      </c>
      <c r="EA250" s="120">
        <f>DZ250</f>
        <v>0</v>
      </c>
      <c r="EB250" s="840">
        <v>0</v>
      </c>
      <c r="EC250" s="840">
        <v>0</v>
      </c>
      <c r="ED250" s="840">
        <v>0</v>
      </c>
      <c r="EE250" s="840">
        <v>0</v>
      </c>
      <c r="EF250" s="120">
        <f>EE250</f>
        <v>0</v>
      </c>
      <c r="EG250" s="840">
        <v>0</v>
      </c>
      <c r="EH250" s="840">
        <v>0</v>
      </c>
      <c r="EI250" s="840">
        <v>0</v>
      </c>
      <c r="EJ250" s="840">
        <v>0</v>
      </c>
      <c r="EK250" s="120">
        <f>EJ250</f>
        <v>0</v>
      </c>
      <c r="EL250" s="840">
        <v>0</v>
      </c>
      <c r="EM250" s="840">
        <v>0</v>
      </c>
      <c r="EN250" s="840">
        <v>0</v>
      </c>
      <c r="EO250" s="840">
        <v>0</v>
      </c>
      <c r="EP250" s="120">
        <f>EO250</f>
        <v>0</v>
      </c>
      <c r="EQ250" s="174">
        <f t="shared" ref="EQ250" si="1080">EQ251*EQ174</f>
        <v>0</v>
      </c>
      <c r="ER250" s="174">
        <f t="shared" ref="ER250:ET250" si="1081">ER251*ER174</f>
        <v>0</v>
      </c>
      <c r="ES250" s="174">
        <f t="shared" si="1081"/>
        <v>0</v>
      </c>
      <c r="ET250" s="174">
        <f t="shared" si="1081"/>
        <v>0</v>
      </c>
      <c r="EU250" s="120">
        <f>ET250</f>
        <v>0</v>
      </c>
      <c r="EV250" s="174"/>
      <c r="EW250" s="174"/>
      <c r="EX250" s="174"/>
      <c r="EY250" s="174"/>
      <c r="EZ250" s="120">
        <f>EZ251*EZ174</f>
        <v>0</v>
      </c>
      <c r="FA250" s="174"/>
      <c r="FB250" s="174"/>
      <c r="FC250" s="174"/>
      <c r="FD250" s="174"/>
      <c r="FE250" s="120">
        <f>FE251*FE174</f>
        <v>0</v>
      </c>
      <c r="FF250" s="23"/>
      <c r="FG250" s="444"/>
      <c r="FL250" s="376"/>
      <c r="FM250" s="376"/>
      <c r="FN250" s="377"/>
      <c r="FO250" s="377"/>
      <c r="FP250" s="377"/>
      <c r="FQ250" s="377"/>
      <c r="FR250" s="377"/>
      <c r="FS250" s="377"/>
      <c r="FT250" s="444"/>
    </row>
    <row r="251" spans="1:184" ht="12.75" customHeight="1" x14ac:dyDescent="0.2">
      <c r="A251" s="87" t="s">
        <v>360</v>
      </c>
      <c r="B251" s="24"/>
      <c r="C251" s="24"/>
      <c r="D251" s="24"/>
      <c r="E251" s="24"/>
      <c r="F251" s="258"/>
      <c r="G251" s="24"/>
      <c r="H251" s="24"/>
      <c r="I251" s="24"/>
      <c r="J251" s="24"/>
      <c r="K251" s="258"/>
      <c r="L251" s="24"/>
      <c r="M251" s="24"/>
      <c r="N251" s="24"/>
      <c r="O251" s="24"/>
      <c r="P251" s="104">
        <f>P250/P109</f>
        <v>0</v>
      </c>
      <c r="Q251" s="24"/>
      <c r="R251" s="24"/>
      <c r="S251" s="24"/>
      <c r="T251" s="24"/>
      <c r="U251" s="104">
        <f>U250/U109</f>
        <v>0</v>
      </c>
      <c r="V251" s="24"/>
      <c r="W251" s="24"/>
      <c r="X251" s="24"/>
      <c r="Y251" s="24"/>
      <c r="Z251" s="104">
        <f>Z250/Z109</f>
        <v>0</v>
      </c>
      <c r="AA251" s="24"/>
      <c r="AB251" s="24"/>
      <c r="AC251" s="24"/>
      <c r="AD251" s="24"/>
      <c r="AE251" s="104">
        <f>AE250/AE109</f>
        <v>0</v>
      </c>
      <c r="AF251" s="24"/>
      <c r="AG251" s="24"/>
      <c r="AH251" s="24"/>
      <c r="AI251" s="24"/>
      <c r="AJ251" s="104">
        <f>AJ250/AJ109</f>
        <v>0</v>
      </c>
      <c r="AK251" s="24"/>
      <c r="AL251" s="24"/>
      <c r="AM251" s="24"/>
      <c r="AN251" s="24"/>
      <c r="AO251" s="104">
        <f>AO250/AO109</f>
        <v>0</v>
      </c>
      <c r="AP251" s="24"/>
      <c r="AQ251" s="24"/>
      <c r="AR251" s="24"/>
      <c r="AS251" s="24"/>
      <c r="AT251" s="104">
        <f>AT250/AT174</f>
        <v>0</v>
      </c>
      <c r="AU251" s="24"/>
      <c r="AV251" s="24"/>
      <c r="AW251" s="24"/>
      <c r="AX251" s="24"/>
      <c r="AY251" s="104">
        <f>AY250/AY174</f>
        <v>0</v>
      </c>
      <c r="AZ251" s="24"/>
      <c r="BA251" s="24"/>
      <c r="BB251" s="24"/>
      <c r="BC251" s="24"/>
      <c r="BD251" s="104">
        <f>BD250/BD174</f>
        <v>0</v>
      </c>
      <c r="BE251" s="24"/>
      <c r="BF251" s="24"/>
      <c r="BG251" s="24"/>
      <c r="BH251" s="24"/>
      <c r="BI251" s="104">
        <f>BI250/BI174</f>
        <v>0</v>
      </c>
      <c r="BJ251" s="24"/>
      <c r="BK251" s="24"/>
      <c r="BL251" s="24"/>
      <c r="BM251" s="24"/>
      <c r="BN251" s="104">
        <f>BN250/BN174</f>
        <v>0</v>
      </c>
      <c r="BO251" s="24"/>
      <c r="BP251" s="24"/>
      <c r="BQ251" s="24"/>
      <c r="BR251" s="24"/>
      <c r="BS251" s="104">
        <f>BS250/BS174</f>
        <v>0</v>
      </c>
      <c r="BT251" s="24"/>
      <c r="BU251" s="24"/>
      <c r="BV251" s="24"/>
      <c r="BW251" s="24"/>
      <c r="BX251" s="104">
        <f>BX250/BX174</f>
        <v>0</v>
      </c>
      <c r="BY251" s="24"/>
      <c r="BZ251" s="24"/>
      <c r="CA251" s="24"/>
      <c r="CB251" s="24"/>
      <c r="CC251" s="104">
        <f t="shared" ref="CC251:CV251" si="1082">CC250/CC174</f>
        <v>0</v>
      </c>
      <c r="CD251" s="24">
        <f t="shared" si="1082"/>
        <v>0</v>
      </c>
      <c r="CE251" s="24">
        <f t="shared" si="1082"/>
        <v>0</v>
      </c>
      <c r="CF251" s="24">
        <f t="shared" si="1082"/>
        <v>0</v>
      </c>
      <c r="CG251" s="24">
        <f t="shared" si="1082"/>
        <v>0</v>
      </c>
      <c r="CH251" s="104">
        <f t="shared" si="1082"/>
        <v>0</v>
      </c>
      <c r="CI251" s="24">
        <f t="shared" si="1082"/>
        <v>0</v>
      </c>
      <c r="CJ251" s="24">
        <f t="shared" si="1082"/>
        <v>0</v>
      </c>
      <c r="CK251" s="24">
        <f t="shared" si="1082"/>
        <v>0</v>
      </c>
      <c r="CL251" s="24">
        <f t="shared" si="1082"/>
        <v>0</v>
      </c>
      <c r="CM251" s="104">
        <f t="shared" si="1082"/>
        <v>0</v>
      </c>
      <c r="CN251" s="24">
        <f t="shared" si="1082"/>
        <v>0</v>
      </c>
      <c r="CO251" s="24">
        <f t="shared" si="1082"/>
        <v>0</v>
      </c>
      <c r="CP251" s="24">
        <f t="shared" si="1082"/>
        <v>0</v>
      </c>
      <c r="CQ251" s="24">
        <f t="shared" si="1082"/>
        <v>0</v>
      </c>
      <c r="CR251" s="104">
        <f t="shared" si="1082"/>
        <v>0</v>
      </c>
      <c r="CS251" s="24">
        <f t="shared" si="1082"/>
        <v>7.8919823698066043E-3</v>
      </c>
      <c r="CT251" s="24">
        <f t="shared" si="1082"/>
        <v>6.0260015490980279E-3</v>
      </c>
      <c r="CU251" s="24">
        <f t="shared" si="1082"/>
        <v>4.5572758688710224E-3</v>
      </c>
      <c r="CV251" s="24">
        <f t="shared" si="1082"/>
        <v>4.1276532916203201E-3</v>
      </c>
      <c r="CW251" s="104">
        <v>0</v>
      </c>
      <c r="CX251" s="24">
        <f>CX250/CX174</f>
        <v>4.0743353789823456E-3</v>
      </c>
      <c r="CY251" s="24">
        <f>CY250/CY174</f>
        <v>3.9345005382741237E-3</v>
      </c>
      <c r="CZ251" s="24">
        <f>CZ250/CZ174</f>
        <v>4.5892791329029603E-3</v>
      </c>
      <c r="DA251" s="24">
        <f>DA250/DA174</f>
        <v>3.5811257172829302E-3</v>
      </c>
      <c r="DB251" s="104">
        <v>0</v>
      </c>
      <c r="DC251" s="24">
        <f>DC250/DC174</f>
        <v>3.408041312801108E-3</v>
      </c>
      <c r="DD251" s="24">
        <f>DD250/DD174</f>
        <v>0</v>
      </c>
      <c r="DE251" s="24">
        <f>DE250/DE174</f>
        <v>0</v>
      </c>
      <c r="DF251" s="24">
        <f>DF250/DF174</f>
        <v>0</v>
      </c>
      <c r="DG251" s="104">
        <v>0</v>
      </c>
      <c r="DH251" s="24">
        <f>DH250/DH174</f>
        <v>0</v>
      </c>
      <c r="DI251" s="24">
        <f>DI250/DI174</f>
        <v>0</v>
      </c>
      <c r="DJ251" s="24">
        <f>DJ250/DJ174</f>
        <v>0</v>
      </c>
      <c r="DK251" s="24">
        <f>DK250/DK174</f>
        <v>0</v>
      </c>
      <c r="DL251" s="104">
        <v>0</v>
      </c>
      <c r="DM251" s="24">
        <f>DM250/DM174</f>
        <v>0</v>
      </c>
      <c r="DN251" s="24">
        <f>DN250/DN174</f>
        <v>0</v>
      </c>
      <c r="DO251" s="24">
        <f>DO250/DO174</f>
        <v>0</v>
      </c>
      <c r="DP251" s="24">
        <f>DP250/DP174</f>
        <v>0</v>
      </c>
      <c r="DQ251" s="104">
        <v>0</v>
      </c>
      <c r="DR251" s="24">
        <f>DR250/DR174</f>
        <v>0</v>
      </c>
      <c r="DS251" s="24">
        <f>DS250/DS174</f>
        <v>0</v>
      </c>
      <c r="DT251" s="24">
        <f>DT250/DT174</f>
        <v>0</v>
      </c>
      <c r="DU251" s="24">
        <f>DU250/DU174</f>
        <v>0</v>
      </c>
      <c r="DV251" s="104">
        <v>0</v>
      </c>
      <c r="DW251" s="24">
        <f t="shared" ref="DW251:EK251" si="1083">DW250/DW174</f>
        <v>0</v>
      </c>
      <c r="DX251" s="24">
        <f t="shared" si="1083"/>
        <v>0</v>
      </c>
      <c r="DY251" s="24">
        <f t="shared" si="1083"/>
        <v>0</v>
      </c>
      <c r="DZ251" s="24">
        <f t="shared" si="1083"/>
        <v>0</v>
      </c>
      <c r="EA251" s="104">
        <f t="shared" si="1083"/>
        <v>0</v>
      </c>
      <c r="EB251" s="24">
        <f t="shared" si="1083"/>
        <v>0</v>
      </c>
      <c r="EC251" s="24">
        <f t="shared" si="1083"/>
        <v>0</v>
      </c>
      <c r="ED251" s="24">
        <f t="shared" si="1083"/>
        <v>0</v>
      </c>
      <c r="EE251" s="24">
        <f t="shared" si="1083"/>
        <v>0</v>
      </c>
      <c r="EF251" s="104">
        <f t="shared" si="1083"/>
        <v>0</v>
      </c>
      <c r="EG251" s="24">
        <f t="shared" si="1083"/>
        <v>0</v>
      </c>
      <c r="EH251" s="24">
        <f t="shared" si="1083"/>
        <v>0</v>
      </c>
      <c r="EI251" s="24">
        <f t="shared" si="1083"/>
        <v>0</v>
      </c>
      <c r="EJ251" s="24">
        <f t="shared" si="1083"/>
        <v>0</v>
      </c>
      <c r="EK251" s="104">
        <f t="shared" si="1083"/>
        <v>0</v>
      </c>
      <c r="EL251" s="24">
        <f t="shared" ref="EL251:EP251" si="1084">EL250/EL174</f>
        <v>0</v>
      </c>
      <c r="EM251" s="24">
        <f t="shared" si="1084"/>
        <v>0</v>
      </c>
      <c r="EN251" s="24">
        <f t="shared" si="1084"/>
        <v>0</v>
      </c>
      <c r="EO251" s="24">
        <f t="shared" si="1084"/>
        <v>0</v>
      </c>
      <c r="EP251" s="104">
        <f t="shared" si="1084"/>
        <v>0</v>
      </c>
      <c r="EQ251" s="170">
        <f>EL251</f>
        <v>0</v>
      </c>
      <c r="ER251" s="170">
        <f>EM251</f>
        <v>0</v>
      </c>
      <c r="ES251" s="170">
        <f>EN251</f>
        <v>0</v>
      </c>
      <c r="ET251" s="170">
        <f>EO251</f>
        <v>0</v>
      </c>
      <c r="EU251" s="104">
        <v>0</v>
      </c>
      <c r="EV251" s="170"/>
      <c r="EW251" s="170"/>
      <c r="EX251" s="170"/>
      <c r="EY251" s="170"/>
      <c r="EZ251" s="326">
        <f>+EU251</f>
        <v>0</v>
      </c>
      <c r="FA251" s="170"/>
      <c r="FB251" s="170"/>
      <c r="FC251" s="170"/>
      <c r="FD251" s="170"/>
      <c r="FE251" s="326">
        <f>+EZ251</f>
        <v>0</v>
      </c>
      <c r="FF251" s="24"/>
      <c r="FG251" s="465"/>
      <c r="FL251" s="388"/>
      <c r="FM251" s="388"/>
      <c r="FN251" s="389"/>
      <c r="FO251" s="389"/>
      <c r="FP251" s="389"/>
      <c r="FQ251" s="389"/>
      <c r="FR251" s="389"/>
      <c r="FS251" s="389"/>
      <c r="FT251" s="465"/>
    </row>
    <row r="252" spans="1:184" ht="12.75" customHeight="1" x14ac:dyDescent="0.2">
      <c r="A252" s="36" t="s">
        <v>361</v>
      </c>
      <c r="B252" s="37"/>
      <c r="C252" s="37"/>
      <c r="D252" s="37"/>
      <c r="E252" s="37"/>
      <c r="F252" s="261"/>
      <c r="G252" s="37"/>
      <c r="H252" s="37"/>
      <c r="I252" s="37"/>
      <c r="J252" s="37"/>
      <c r="K252" s="261"/>
      <c r="L252" s="37"/>
      <c r="M252" s="37"/>
      <c r="N252" s="37"/>
      <c r="O252" s="37"/>
      <c r="P252" s="106">
        <f>P250+P248</f>
        <v>437.98899999999998</v>
      </c>
      <c r="Q252" s="37"/>
      <c r="R252" s="37"/>
      <c r="S252" s="37"/>
      <c r="T252" s="37"/>
      <c r="U252" s="106">
        <f>U250+U248</f>
        <v>295.57099999999997</v>
      </c>
      <c r="V252" s="37"/>
      <c r="W252" s="37"/>
      <c r="X252" s="37"/>
      <c r="Y252" s="37"/>
      <c r="Z252" s="106">
        <f>Z250+Z248</f>
        <v>174.5379999999999</v>
      </c>
      <c r="AA252" s="37"/>
      <c r="AB252" s="37"/>
      <c r="AC252" s="37"/>
      <c r="AD252" s="37"/>
      <c r="AE252" s="106">
        <f>AE250+AE248</f>
        <v>317.36299999999989</v>
      </c>
      <c r="AF252" s="37"/>
      <c r="AG252" s="37"/>
      <c r="AH252" s="37"/>
      <c r="AI252" s="37"/>
      <c r="AJ252" s="106">
        <f>AJ250+AJ248</f>
        <v>581.84099999999978</v>
      </c>
      <c r="AK252" s="37"/>
      <c r="AL252" s="37"/>
      <c r="AM252" s="37"/>
      <c r="AN252" s="37"/>
      <c r="AO252" s="106">
        <f>AO250+AO248</f>
        <v>623.34299999999973</v>
      </c>
      <c r="AP252" s="37"/>
      <c r="AQ252" s="37"/>
      <c r="AR252" s="37"/>
      <c r="AS252" s="37"/>
      <c r="AT252" s="106">
        <f>AT250+AT248</f>
        <v>378.51099999999963</v>
      </c>
      <c r="AU252" s="37"/>
      <c r="AV252" s="37"/>
      <c r="AW252" s="37"/>
      <c r="AX252" s="37"/>
      <c r="AY252" s="106">
        <f>AY250+AY248</f>
        <v>418.81899999999962</v>
      </c>
      <c r="AZ252" s="37"/>
      <c r="BA252" s="37"/>
      <c r="BB252" s="37"/>
      <c r="BC252" s="37"/>
      <c r="BD252" s="106">
        <f>BD250+BD248</f>
        <v>522.99499999999978</v>
      </c>
      <c r="BE252" s="37"/>
      <c r="BF252" s="37"/>
      <c r="BG252" s="37"/>
      <c r="BH252" s="37"/>
      <c r="BI252" s="106">
        <f>BI250+BI248</f>
        <v>2279.8609999999999</v>
      </c>
      <c r="BJ252" s="37"/>
      <c r="BK252" s="37"/>
      <c r="BL252" s="37"/>
      <c r="BM252" s="37"/>
      <c r="BN252" s="106">
        <f>BN250+BN248</f>
        <v>1815.3519999999999</v>
      </c>
      <c r="BO252" s="37"/>
      <c r="BP252" s="37"/>
      <c r="BQ252" s="37"/>
      <c r="BR252" s="37"/>
      <c r="BS252" s="106">
        <f>BS250+BS248</f>
        <v>1484.3519999999999</v>
      </c>
      <c r="BT252" s="37"/>
      <c r="BU252" s="37"/>
      <c r="BV252" s="37"/>
      <c r="BW252" s="37"/>
      <c r="BX252" s="106">
        <f>BX250+BX248</f>
        <v>1095.3519999999999</v>
      </c>
      <c r="BY252" s="37"/>
      <c r="BZ252" s="37"/>
      <c r="CA252" s="37"/>
      <c r="CB252" s="37"/>
      <c r="CC252" s="106">
        <f t="shared" ref="CC252:CW252" si="1085">CC250+CC248</f>
        <v>2531.3519999999999</v>
      </c>
      <c r="CD252" s="37">
        <f t="shared" si="1085"/>
        <v>2920.3519999999999</v>
      </c>
      <c r="CE252" s="37">
        <f t="shared" si="1085"/>
        <v>2988.3519999999999</v>
      </c>
      <c r="CF252" s="37">
        <f t="shared" si="1085"/>
        <v>2301.3519999999999</v>
      </c>
      <c r="CG252" s="37">
        <f t="shared" si="1085"/>
        <v>1759.3519999999999</v>
      </c>
      <c r="CH252" s="106">
        <f t="shared" si="1085"/>
        <v>1759.3519999999999</v>
      </c>
      <c r="CI252" s="37">
        <f t="shared" si="1085"/>
        <v>1933.3519999999999</v>
      </c>
      <c r="CJ252" s="37">
        <f t="shared" si="1085"/>
        <v>2114.3519999999999</v>
      </c>
      <c r="CK252" s="37">
        <f t="shared" si="1085"/>
        <v>1557.3519999999999</v>
      </c>
      <c r="CL252" s="37">
        <f t="shared" si="1085"/>
        <v>2779.3519999999999</v>
      </c>
      <c r="CM252" s="106">
        <f t="shared" si="1085"/>
        <v>2779.3519999999999</v>
      </c>
      <c r="CN252" s="37">
        <f t="shared" si="1085"/>
        <v>3122.3519999999999</v>
      </c>
      <c r="CO252" s="37">
        <f t="shared" si="1085"/>
        <v>5838.3519999999999</v>
      </c>
      <c r="CP252" s="37">
        <f t="shared" si="1085"/>
        <v>3431.3519999999999</v>
      </c>
      <c r="CQ252" s="37">
        <f t="shared" si="1085"/>
        <v>1803.3519999999999</v>
      </c>
      <c r="CR252" s="106">
        <f t="shared" si="1085"/>
        <v>1803.3519999999999</v>
      </c>
      <c r="CS252" s="37">
        <f t="shared" si="1085"/>
        <v>2608.5889999999999</v>
      </c>
      <c r="CT252" s="37">
        <f>CT250+CT248</f>
        <v>2655.9359999999997</v>
      </c>
      <c r="CU252" s="37">
        <f t="shared" si="1085"/>
        <v>2717.8089999999997</v>
      </c>
      <c r="CV252" s="37">
        <f t="shared" si="1085"/>
        <v>3190.0239999999999</v>
      </c>
      <c r="CW252" s="106">
        <f t="shared" si="1085"/>
        <v>3190.0239999999999</v>
      </c>
      <c r="CX252" s="37">
        <f t="shared" ref="CX252:DG252" si="1086">CX250+CX248</f>
        <v>3360.9180000000001</v>
      </c>
      <c r="CY252" s="37">
        <f t="shared" si="1086"/>
        <v>3713.5139999999997</v>
      </c>
      <c r="CZ252" s="37">
        <f t="shared" si="1086"/>
        <v>3869.3680000000004</v>
      </c>
      <c r="DA252" s="37">
        <f>DA250+DA248</f>
        <v>4045.0459999999998</v>
      </c>
      <c r="DB252" s="106">
        <f t="shared" si="1086"/>
        <v>4045.0459999999998</v>
      </c>
      <c r="DC252" s="37">
        <f>DC250+DC248</f>
        <v>4517.0569999999998</v>
      </c>
      <c r="DD252" s="37">
        <f>DD250+DD248</f>
        <v>4374.0569999999998</v>
      </c>
      <c r="DE252" s="37">
        <f t="shared" si="1086"/>
        <v>3656.0569999999998</v>
      </c>
      <c r="DF252" s="37">
        <f t="shared" si="1086"/>
        <v>3144.0569999999998</v>
      </c>
      <c r="DG252" s="106">
        <f t="shared" si="1086"/>
        <v>3144.0569999999998</v>
      </c>
      <c r="DH252" s="37">
        <f t="shared" ref="DH252:DT252" si="1087">DH250+DH248</f>
        <v>3784.0569999999998</v>
      </c>
      <c r="DI252" s="37">
        <f t="shared" si="1087"/>
        <v>3256.0569999999998</v>
      </c>
      <c r="DJ252" s="37">
        <f t="shared" si="1087"/>
        <v>3235.0569999999998</v>
      </c>
      <c r="DK252" s="37">
        <f t="shared" ref="DK252:DP252" si="1088">DK250+DK248</f>
        <v>2970.0569999999998</v>
      </c>
      <c r="DL252" s="106">
        <f t="shared" si="1088"/>
        <v>2970.0569999999998</v>
      </c>
      <c r="DM252" s="37">
        <f t="shared" si="1088"/>
        <v>3135.0569999999998</v>
      </c>
      <c r="DN252" s="37">
        <f t="shared" si="1088"/>
        <v>3393.0569999999998</v>
      </c>
      <c r="DO252" s="37">
        <f t="shared" si="1088"/>
        <v>3328.0569999999998</v>
      </c>
      <c r="DP252" s="37">
        <f t="shared" si="1088"/>
        <v>3152.0569999999998</v>
      </c>
      <c r="DQ252" s="106">
        <f t="shared" si="1087"/>
        <v>3152.0569999999998</v>
      </c>
      <c r="DR252" s="37">
        <f t="shared" si="1087"/>
        <v>3498.0569999999998</v>
      </c>
      <c r="DS252" s="37">
        <f t="shared" si="1087"/>
        <v>3994.0569999999998</v>
      </c>
      <c r="DT252" s="37">
        <f t="shared" si="1087"/>
        <v>3560.0569999999998</v>
      </c>
      <c r="DU252" s="37">
        <f t="shared" ref="DU252:EA252" si="1089">DU250+DU248</f>
        <v>2988.0569999999998</v>
      </c>
      <c r="DV252" s="106">
        <f t="shared" si="1089"/>
        <v>2988.0569999999998</v>
      </c>
      <c r="DW252" s="37">
        <f>DW250+DW248</f>
        <v>3438.0569999999998</v>
      </c>
      <c r="DX252" s="37">
        <f t="shared" si="1089"/>
        <v>3132.0569999999998</v>
      </c>
      <c r="DY252" s="37">
        <f t="shared" si="1089"/>
        <v>3096.0569999999998</v>
      </c>
      <c r="DZ252" s="37">
        <f t="shared" si="1089"/>
        <v>3051.0569999999998</v>
      </c>
      <c r="EA252" s="106">
        <f t="shared" si="1089"/>
        <v>3051.0569999999998</v>
      </c>
      <c r="EB252" s="37">
        <f t="shared" ref="EB252:EF252" si="1090">EB250+EB248</f>
        <v>3582.0569999999998</v>
      </c>
      <c r="EC252" s="37">
        <f t="shared" si="1090"/>
        <v>3415.0569999999998</v>
      </c>
      <c r="ED252" s="37">
        <f t="shared" si="1090"/>
        <v>3446.0569999999998</v>
      </c>
      <c r="EE252" s="37">
        <f t="shared" si="1090"/>
        <v>3305.0569999999998</v>
      </c>
      <c r="EF252" s="106">
        <f t="shared" si="1090"/>
        <v>3305.0569999999998</v>
      </c>
      <c r="EG252" s="37">
        <f t="shared" ref="EG252:EK252" si="1091">EG250+EG248</f>
        <v>3482.0569999999998</v>
      </c>
      <c r="EH252" s="37">
        <f t="shared" si="1091"/>
        <v>3152.0569999999998</v>
      </c>
      <c r="EI252" s="37">
        <f t="shared" si="1091"/>
        <v>3040.0569999999998</v>
      </c>
      <c r="EJ252" s="37">
        <f t="shared" si="1091"/>
        <v>3273.0569999999998</v>
      </c>
      <c r="EK252" s="106">
        <f t="shared" si="1091"/>
        <v>3273.0569999999998</v>
      </c>
      <c r="EL252" s="37">
        <f t="shared" ref="EL252:EP252" si="1092">EL250+EL248</f>
        <v>3482.0569999999998</v>
      </c>
      <c r="EM252" s="37">
        <f t="shared" si="1092"/>
        <v>3152.0569999999998</v>
      </c>
      <c r="EN252" s="37">
        <f t="shared" si="1092"/>
        <v>3040.0569999999998</v>
      </c>
      <c r="EO252" s="37">
        <f t="shared" si="1092"/>
        <v>3273.0569999999998</v>
      </c>
      <c r="EP252" s="106">
        <f t="shared" si="1092"/>
        <v>3273.0569999999998</v>
      </c>
      <c r="EQ252" s="37">
        <f t="shared" ref="EQ252:EU252" si="1093">EQ250+EQ248</f>
        <v>4541.510908804642</v>
      </c>
      <c r="ER252" s="37">
        <f t="shared" si="1093"/>
        <v>4279.4153033422981</v>
      </c>
      <c r="ES252" s="37">
        <f t="shared" si="1093"/>
        <v>4093.8948383064608</v>
      </c>
      <c r="ET252" s="37">
        <f t="shared" si="1093"/>
        <v>3120.479187100178</v>
      </c>
      <c r="EU252" s="106">
        <f t="shared" si="1093"/>
        <v>3120.4791871001771</v>
      </c>
      <c r="EV252" s="37"/>
      <c r="EW252" s="37"/>
      <c r="EX252" s="37"/>
      <c r="EY252" s="37"/>
      <c r="EZ252" s="106">
        <f>EZ250+EZ248</f>
        <v>2810.8743475538295</v>
      </c>
      <c r="FA252" s="37"/>
      <c r="FB252" s="37"/>
      <c r="FC252" s="37"/>
      <c r="FD252" s="37"/>
      <c r="FE252" s="106">
        <f>FE250+FE248</f>
        <v>2994.3061710196262</v>
      </c>
      <c r="FF252" s="37"/>
      <c r="FG252" s="451"/>
      <c r="FL252" s="425"/>
      <c r="FM252" s="425"/>
      <c r="FN252" s="384"/>
      <c r="FO252" s="384"/>
      <c r="FP252" s="384"/>
      <c r="FQ252" s="384"/>
      <c r="FR252" s="384"/>
      <c r="FS252" s="384"/>
      <c r="FT252" s="451"/>
    </row>
    <row r="253" spans="1:184" ht="12.75" customHeight="1" x14ac:dyDescent="0.2">
      <c r="A253" s="88" t="s">
        <v>392</v>
      </c>
      <c r="B253" s="839"/>
      <c r="C253" s="839"/>
      <c r="D253" s="839"/>
      <c r="E253" s="839"/>
      <c r="F253" s="279"/>
      <c r="G253" s="839"/>
      <c r="H253" s="839"/>
      <c r="I253" s="839"/>
      <c r="J253" s="839"/>
      <c r="K253" s="279"/>
      <c r="L253" s="839"/>
      <c r="M253" s="839"/>
      <c r="N253" s="839"/>
      <c r="O253" s="839"/>
      <c r="P253" s="851">
        <v>0</v>
      </c>
      <c r="Q253" s="839"/>
      <c r="R253" s="839"/>
      <c r="S253" s="839"/>
      <c r="T253" s="839"/>
      <c r="U253" s="851">
        <v>10.475</v>
      </c>
      <c r="V253" s="839"/>
      <c r="W253" s="839"/>
      <c r="X253" s="839"/>
      <c r="Y253" s="839"/>
      <c r="Z253" s="851">
        <v>9.8219999999999992</v>
      </c>
      <c r="AA253" s="839"/>
      <c r="AB253" s="839"/>
      <c r="AC253" s="839"/>
      <c r="AD253" s="839"/>
      <c r="AE253" s="851">
        <v>10.476000000000001</v>
      </c>
      <c r="AF253" s="839"/>
      <c r="AG253" s="839"/>
      <c r="AH253" s="839"/>
      <c r="AI253" s="839"/>
      <c r="AJ253" s="851">
        <v>11.56</v>
      </c>
      <c r="AK253" s="839"/>
      <c r="AL253" s="839"/>
      <c r="AM253" s="839"/>
      <c r="AN253" s="839"/>
      <c r="AO253" s="851">
        <v>18.843</v>
      </c>
      <c r="AP253" s="839"/>
      <c r="AQ253" s="839"/>
      <c r="AR253" s="839"/>
      <c r="AS253" s="839"/>
      <c r="AT253" s="851">
        <v>20.734000000000002</v>
      </c>
      <c r="AU253" s="839"/>
      <c r="AV253" s="839"/>
      <c r="AW253" s="839"/>
      <c r="AX253" s="839"/>
      <c r="AY253" s="851">
        <v>20.928999999999998</v>
      </c>
      <c r="AZ253" s="839"/>
      <c r="BA253" s="839"/>
      <c r="BB253" s="839"/>
      <c r="BC253" s="839"/>
      <c r="BD253" s="851">
        <v>28.004999999999999</v>
      </c>
      <c r="BE253" s="839"/>
      <c r="BF253" s="839"/>
      <c r="BG253" s="839"/>
      <c r="BH253" s="839"/>
      <c r="BI253" s="851">
        <v>46.4</v>
      </c>
      <c r="BJ253" s="839"/>
      <c r="BK253" s="839"/>
      <c r="BL253" s="839"/>
      <c r="BM253" s="839"/>
      <c r="BN253" s="851">
        <v>0</v>
      </c>
      <c r="BO253" s="839"/>
      <c r="BP253" s="839"/>
      <c r="BQ253" s="839"/>
      <c r="BR253" s="839"/>
      <c r="BS253" s="851">
        <v>0</v>
      </c>
      <c r="BT253" s="839"/>
      <c r="BU253" s="839"/>
      <c r="BV253" s="839"/>
      <c r="BW253" s="839"/>
      <c r="BX253" s="851">
        <v>0</v>
      </c>
      <c r="BY253" s="839"/>
      <c r="BZ253" s="839"/>
      <c r="CA253" s="839"/>
      <c r="CB253" s="839"/>
      <c r="CC253" s="851">
        <v>0</v>
      </c>
      <c r="CD253" s="839">
        <v>0</v>
      </c>
      <c r="CE253" s="839">
        <v>0</v>
      </c>
      <c r="CF253" s="839">
        <v>0</v>
      </c>
      <c r="CG253" s="839">
        <v>0</v>
      </c>
      <c r="CH253" s="120">
        <v>0</v>
      </c>
      <c r="CI253" s="839">
        <v>0</v>
      </c>
      <c r="CJ253" s="839">
        <v>0</v>
      </c>
      <c r="CK253" s="839">
        <v>0</v>
      </c>
      <c r="CL253" s="839">
        <v>0</v>
      </c>
      <c r="CM253" s="120">
        <v>0</v>
      </c>
      <c r="CN253" s="839">
        <v>0</v>
      </c>
      <c r="CO253" s="839">
        <v>0</v>
      </c>
      <c r="CP253" s="839">
        <v>0</v>
      </c>
      <c r="CQ253" s="839">
        <v>365</v>
      </c>
      <c r="CR253" s="120">
        <v>365</v>
      </c>
      <c r="CS253" s="839">
        <v>372.99200000000002</v>
      </c>
      <c r="CT253" s="839">
        <v>372.69200000000001</v>
      </c>
      <c r="CU253" s="839">
        <v>372.99200000000002</v>
      </c>
      <c r="CV253" s="839">
        <v>295.20600000000002</v>
      </c>
      <c r="CW253" s="120">
        <f>CV253</f>
        <v>295.20600000000002</v>
      </c>
      <c r="CX253" s="839">
        <v>295.20600000000002</v>
      </c>
      <c r="CY253" s="839">
        <v>256.20600000000002</v>
      </c>
      <c r="CZ253" s="839">
        <v>66.567999999999998</v>
      </c>
      <c r="DA253" s="839">
        <v>230.108</v>
      </c>
      <c r="DB253" s="120">
        <f>DA253</f>
        <v>230.108</v>
      </c>
      <c r="DC253" s="839">
        <v>16.108000000000001</v>
      </c>
      <c r="DD253" s="839">
        <v>0</v>
      </c>
      <c r="DE253" s="839">
        <v>0</v>
      </c>
      <c r="DF253" s="839">
        <v>263</v>
      </c>
      <c r="DG253" s="120">
        <f>DF253</f>
        <v>263</v>
      </c>
      <c r="DH253" s="839">
        <v>219</v>
      </c>
      <c r="DI253" s="839">
        <v>284</v>
      </c>
      <c r="DJ253" s="839">
        <v>219</v>
      </c>
      <c r="DK253" s="839">
        <v>246</v>
      </c>
      <c r="DL253" s="120">
        <f>DK253</f>
        <v>246</v>
      </c>
      <c r="DM253" s="839">
        <v>255</v>
      </c>
      <c r="DN253" s="839">
        <v>287</v>
      </c>
      <c r="DO253" s="839">
        <v>233</v>
      </c>
      <c r="DP253" s="839">
        <v>168</v>
      </c>
      <c r="DQ253" s="120">
        <f>DP253</f>
        <v>168</v>
      </c>
      <c r="DR253" s="839">
        <v>180</v>
      </c>
      <c r="DS253" s="839">
        <v>165</v>
      </c>
      <c r="DT253" s="839">
        <v>237</v>
      </c>
      <c r="DU253" s="839">
        <v>477</v>
      </c>
      <c r="DV253" s="120">
        <f>DU253</f>
        <v>477</v>
      </c>
      <c r="DW253" s="839">
        <v>452</v>
      </c>
      <c r="DX253" s="839">
        <v>421</v>
      </c>
      <c r="DY253" s="839">
        <v>465</v>
      </c>
      <c r="DZ253" s="839">
        <v>474</v>
      </c>
      <c r="EA253" s="120">
        <f>DZ253</f>
        <v>474</v>
      </c>
      <c r="EB253" s="839">
        <v>511</v>
      </c>
      <c r="EC253" s="839">
        <v>524</v>
      </c>
      <c r="ED253" s="839">
        <v>858</v>
      </c>
      <c r="EE253" s="839">
        <v>546</v>
      </c>
      <c r="EF253" s="120">
        <f>EE253</f>
        <v>546</v>
      </c>
      <c r="EG253" s="839">
        <v>585</v>
      </c>
      <c r="EH253" s="839">
        <v>576</v>
      </c>
      <c r="EI253" s="839">
        <v>579</v>
      </c>
      <c r="EJ253" s="839">
        <v>0</v>
      </c>
      <c r="EK253" s="120">
        <f>EJ253</f>
        <v>0</v>
      </c>
      <c r="EL253" s="839">
        <v>585</v>
      </c>
      <c r="EM253" s="839">
        <v>576</v>
      </c>
      <c r="EN253" s="839">
        <v>579</v>
      </c>
      <c r="EO253" s="839">
        <v>0</v>
      </c>
      <c r="EP253" s="120">
        <f>EO253</f>
        <v>0</v>
      </c>
      <c r="EQ253" s="23">
        <v>0</v>
      </c>
      <c r="ER253" s="23">
        <v>0</v>
      </c>
      <c r="ES253" s="23">
        <v>0</v>
      </c>
      <c r="ET253" s="23">
        <v>0</v>
      </c>
      <c r="EU253" s="120">
        <f>ET253</f>
        <v>0</v>
      </c>
      <c r="EV253" s="23"/>
      <c r="EW253" s="23"/>
      <c r="EX253" s="23"/>
      <c r="EY253" s="23"/>
      <c r="EZ253" s="120">
        <v>0</v>
      </c>
      <c r="FA253" s="23"/>
      <c r="FB253" s="23"/>
      <c r="FC253" s="23"/>
      <c r="FD253" s="23"/>
      <c r="FE253" s="120">
        <v>0</v>
      </c>
      <c r="FF253" s="23"/>
      <c r="FG253" s="444"/>
      <c r="FL253" s="376"/>
      <c r="FM253" s="376"/>
      <c r="FN253" s="376"/>
      <c r="FO253" s="376"/>
      <c r="FP253" s="376"/>
      <c r="FQ253" s="376"/>
      <c r="FR253" s="376"/>
      <c r="FS253" s="376"/>
      <c r="FT253" s="444"/>
      <c r="GB253" s="399"/>
    </row>
    <row r="254" spans="1:184" ht="12.75" customHeight="1" x14ac:dyDescent="0.2">
      <c r="A254" s="174" t="s">
        <v>165</v>
      </c>
      <c r="B254" s="23"/>
      <c r="C254" s="23"/>
      <c r="D254" s="23"/>
      <c r="E254" s="23"/>
      <c r="F254" s="279"/>
      <c r="G254" s="23"/>
      <c r="H254" s="23"/>
      <c r="I254" s="23"/>
      <c r="J254" s="23"/>
      <c r="K254" s="279"/>
      <c r="L254" s="23"/>
      <c r="M254" s="23"/>
      <c r="N254" s="23"/>
      <c r="O254" s="23"/>
      <c r="P254" s="120">
        <f>P256-P246-P253-P247-P250</f>
        <v>103.90500000000003</v>
      </c>
      <c r="Q254" s="23"/>
      <c r="R254" s="23"/>
      <c r="S254" s="23"/>
      <c r="T254" s="23"/>
      <c r="U254" s="120">
        <f>U256-U246-U253-U247-U250</f>
        <v>125.97800000000004</v>
      </c>
      <c r="V254" s="23"/>
      <c r="W254" s="23"/>
      <c r="X254" s="23"/>
      <c r="Y254" s="23"/>
      <c r="Z254" s="120">
        <f>Z256-Z246-Z253-Z247-Z250</f>
        <v>130.53800000000012</v>
      </c>
      <c r="AA254" s="23"/>
      <c r="AB254" s="23"/>
      <c r="AC254" s="23"/>
      <c r="AD254" s="23"/>
      <c r="AE254" s="120">
        <f>AE256-AE246-AE253-AE247-AE250</f>
        <v>145.29700000000014</v>
      </c>
      <c r="AF254" s="23"/>
      <c r="AG254" s="23"/>
      <c r="AH254" s="23"/>
      <c r="AI254" s="23"/>
      <c r="AJ254" s="120">
        <f>AJ256-AJ246-AJ253-AJ247-AJ250</f>
        <v>157.58900000000023</v>
      </c>
      <c r="AK254" s="23"/>
      <c r="AL254" s="23"/>
      <c r="AM254" s="23"/>
      <c r="AN254" s="23"/>
      <c r="AO254" s="120">
        <f>AO256-AO246-AO253-AO247-AO250</f>
        <v>164.23000000000033</v>
      </c>
      <c r="AP254" s="23"/>
      <c r="AQ254" s="23"/>
      <c r="AR254" s="23"/>
      <c r="AS254" s="23"/>
      <c r="AT254" s="120">
        <f>AT256-AT246-AT253-AT247-AT250</f>
        <v>174.91000000000034</v>
      </c>
      <c r="AU254" s="23"/>
      <c r="AV254" s="23"/>
      <c r="AW254" s="23"/>
      <c r="AX254" s="23"/>
      <c r="AY254" s="120">
        <f>AY256-AY246-AY253-AY247-AY250</f>
        <v>192.84700000000041</v>
      </c>
      <c r="AZ254" s="23"/>
      <c r="BA254" s="23"/>
      <c r="BB254" s="23"/>
      <c r="BC254" s="23"/>
      <c r="BD254" s="120">
        <f>BD256-BD246-BD253-BD247-BD250</f>
        <v>280.53600000000017</v>
      </c>
      <c r="BE254" s="23"/>
      <c r="BF254" s="23"/>
      <c r="BG254" s="23"/>
      <c r="BH254" s="23"/>
      <c r="BI254" s="120">
        <f>BI256-BI246-BI253-BI247-BI250</f>
        <v>193.95800000000017</v>
      </c>
      <c r="BJ254" s="23"/>
      <c r="BK254" s="23"/>
      <c r="BL254" s="23"/>
      <c r="BM254" s="23"/>
      <c r="BN254" s="120">
        <f>BN256-BN246-BN253-BN247-BN250</f>
        <v>416.60800000000017</v>
      </c>
      <c r="BO254" s="23"/>
      <c r="BP254" s="23"/>
      <c r="BQ254" s="23"/>
      <c r="BR254" s="23"/>
      <c r="BS254" s="120">
        <f>BS256-BS246-BS253-BS247-BS250</f>
        <v>828.64800000000014</v>
      </c>
      <c r="BT254" s="23"/>
      <c r="BU254" s="23"/>
      <c r="BV254" s="23"/>
      <c r="BW254" s="23"/>
      <c r="BX254" s="120">
        <f>BX256-BX246-BX253-BX247-BX250</f>
        <v>1076.6480000000001</v>
      </c>
      <c r="BY254" s="23"/>
      <c r="BZ254" s="23"/>
      <c r="CA254" s="23"/>
      <c r="CB254" s="23"/>
      <c r="CC254" s="120">
        <f t="shared" ref="CC254:CV254" si="1094">CC256-CC246-CC253-CC247-CC250</f>
        <v>1088.6480000000001</v>
      </c>
      <c r="CD254" s="23">
        <f t="shared" si="1094"/>
        <v>1171.6480000000001</v>
      </c>
      <c r="CE254" s="23">
        <f t="shared" si="1094"/>
        <v>1369.6480000000001</v>
      </c>
      <c r="CF254" s="23">
        <f t="shared" si="1094"/>
        <v>999.64800000000014</v>
      </c>
      <c r="CG254" s="23">
        <f t="shared" si="1094"/>
        <v>841.64800000000014</v>
      </c>
      <c r="CH254" s="120">
        <f t="shared" si="1094"/>
        <v>841.64800000000014</v>
      </c>
      <c r="CI254" s="23">
        <f t="shared" si="1094"/>
        <v>1065.6480000000001</v>
      </c>
      <c r="CJ254" s="23">
        <f t="shared" si="1094"/>
        <v>1191.6480000000001</v>
      </c>
      <c r="CK254" s="23">
        <f t="shared" si="1094"/>
        <v>1312.6480000000001</v>
      </c>
      <c r="CL254" s="23">
        <f t="shared" si="1094"/>
        <v>1663.6480000000001</v>
      </c>
      <c r="CM254" s="120">
        <f t="shared" si="1094"/>
        <v>1663.6480000000001</v>
      </c>
      <c r="CN254" s="23">
        <f t="shared" si="1094"/>
        <v>1927.6480000000001</v>
      </c>
      <c r="CO254" s="23">
        <f t="shared" si="1094"/>
        <v>3090.6480000000001</v>
      </c>
      <c r="CP254" s="23">
        <f t="shared" si="1094"/>
        <v>1869.6480000000001</v>
      </c>
      <c r="CQ254" s="23">
        <f t="shared" si="1094"/>
        <v>484.64800000000014</v>
      </c>
      <c r="CR254" s="120">
        <f t="shared" si="1094"/>
        <v>484.64800000000014</v>
      </c>
      <c r="CS254" s="23">
        <f t="shared" si="1094"/>
        <v>619.48200000000031</v>
      </c>
      <c r="CT254" s="23">
        <f t="shared" si="1094"/>
        <v>690.07000000000016</v>
      </c>
      <c r="CU254" s="23">
        <f t="shared" si="1094"/>
        <v>670.27899999999988</v>
      </c>
      <c r="CV254" s="23">
        <f t="shared" si="1094"/>
        <v>630.1930000000001</v>
      </c>
      <c r="CW254" s="120">
        <f>CV254</f>
        <v>630.1930000000001</v>
      </c>
      <c r="CX254" s="23">
        <f>CX256-CX246-CX253-CX247-CX250</f>
        <v>726.71600000000001</v>
      </c>
      <c r="CY254" s="23">
        <f>CY256-CY246-CY253-CY247-CY250</f>
        <v>750.36500000000001</v>
      </c>
      <c r="CZ254" s="23">
        <f>CZ256-CZ246-CZ253-CZ247-CZ250</f>
        <v>773.98099999999999</v>
      </c>
      <c r="DA254" s="23">
        <f>DA256-DA246-DA253-DA247-DA250</f>
        <v>684.14700000000016</v>
      </c>
      <c r="DB254" s="120">
        <f>DA254</f>
        <v>684.14700000000016</v>
      </c>
      <c r="DC254" s="23">
        <f>DC256-DC246-DC253-DC247-DC250</f>
        <v>1099.0039999999999</v>
      </c>
      <c r="DD254" s="23">
        <f>DD256-DD246-DD253-DD247-DD250</f>
        <v>1046.9430000000002</v>
      </c>
      <c r="DE254" s="23">
        <f>DE256-DE246-DE253-DE247-DE250</f>
        <v>937.94300000000021</v>
      </c>
      <c r="DF254" s="23">
        <f>DF256-DF246-DF253-DF247-DF250</f>
        <v>937.94300000000021</v>
      </c>
      <c r="DG254" s="120">
        <f>DF254</f>
        <v>937.94300000000021</v>
      </c>
      <c r="DH254" s="23">
        <f>DH256-DH246-DH253-DH247-DH250</f>
        <v>1116.9430000000002</v>
      </c>
      <c r="DI254" s="23">
        <f>DI256-DI246-DI253-DI247-DI250</f>
        <v>1150.9430000000002</v>
      </c>
      <c r="DJ254" s="23">
        <f>DJ256-DJ246-DJ253-DJ247-DJ250</f>
        <v>1197.9430000000002</v>
      </c>
      <c r="DK254" s="23">
        <f>DK256-DK246-DK253-DK247-DK250</f>
        <v>1010.9430000000002</v>
      </c>
      <c r="DL254" s="120">
        <f>DK254</f>
        <v>1010.9430000000002</v>
      </c>
      <c r="DM254" s="23">
        <f>DM256-DM246-DM253-DM247-DM250</f>
        <v>1123.9430000000002</v>
      </c>
      <c r="DN254" s="23">
        <f>DN256-DN246-DN253-DN247-DN250</f>
        <v>1183.9430000000002</v>
      </c>
      <c r="DO254" s="23">
        <f>DO256-DO246-DO253-DO247-DO250</f>
        <v>1211.9430000000002</v>
      </c>
      <c r="DP254" s="23">
        <f>DP256-DP246-DP253-DP247-DP250</f>
        <v>1135.9430000000002</v>
      </c>
      <c r="DQ254" s="120">
        <f>DP254</f>
        <v>1135.9430000000002</v>
      </c>
      <c r="DR254" s="23">
        <f>DR256-DR246-DR253-DR247-DR250</f>
        <v>1135.9430000000002</v>
      </c>
      <c r="DS254" s="23">
        <f>DS256-DS246-DS253-DS247-DS250</f>
        <v>1157.9430000000002</v>
      </c>
      <c r="DT254" s="23">
        <f>DT256-DT246-DT253-DT247-DT250</f>
        <v>1104.9430000000002</v>
      </c>
      <c r="DU254" s="23">
        <f>DU256-DU246-DU253-DU247-DU250</f>
        <v>938.94300000000021</v>
      </c>
      <c r="DV254" s="120">
        <f>DU254</f>
        <v>938.94300000000021</v>
      </c>
      <c r="DW254" s="23">
        <f>DW256-DW246-DW253-DW247-DW250</f>
        <v>1072.9430000000002</v>
      </c>
      <c r="DX254" s="23">
        <f>DX256-DX246-DX253-DX247-DX250</f>
        <v>1042.9430000000002</v>
      </c>
      <c r="DY254" s="23">
        <f>DY256-DY246-DY253-DY247-DY250</f>
        <v>1011.9430000000002</v>
      </c>
      <c r="DZ254" s="23">
        <f>DZ256-DZ246-DZ253-DZ247-DZ250</f>
        <v>498.94300000000021</v>
      </c>
      <c r="EA254" s="120">
        <f>DZ254</f>
        <v>498.94300000000021</v>
      </c>
      <c r="EB254" s="23">
        <f>EB256-EB246-EB253-EB247-EB250</f>
        <v>480.94300000000021</v>
      </c>
      <c r="EC254" s="23">
        <f>EC256-EC246-EC253-EC247-EC250</f>
        <v>529.94300000000021</v>
      </c>
      <c r="ED254" s="23">
        <f>ED256-ED246-ED253-ED247-ED250</f>
        <v>534.94300000000021</v>
      </c>
      <c r="EE254" s="23">
        <f>EE256-EE246-EE253-EE247-EE250</f>
        <v>646.94300000000021</v>
      </c>
      <c r="EF254" s="120">
        <f>EE254</f>
        <v>646.94300000000021</v>
      </c>
      <c r="EG254" s="23">
        <f>EG256-EG246-EG253-EG247-EG250</f>
        <v>590.94300000000021</v>
      </c>
      <c r="EH254" s="23">
        <f>EH256-EH246-EH253-EH247-EH250</f>
        <v>614.94300000000021</v>
      </c>
      <c r="EI254" s="23">
        <f>EI256-EI246-EI253-EI247-EI250</f>
        <v>660.94300000000021</v>
      </c>
      <c r="EJ254" s="23">
        <f>EJ256-EJ246-EJ253-EJ247-EJ250</f>
        <v>1541.9430000000002</v>
      </c>
      <c r="EK254" s="120">
        <f>EJ254</f>
        <v>1541.9430000000002</v>
      </c>
      <c r="EL254" s="23">
        <f>EL256-EL246-EL253-EL247-EL250</f>
        <v>590.94300000000021</v>
      </c>
      <c r="EM254" s="23">
        <f>EM256-EM246-EM253-EM247-EM250</f>
        <v>614.94300000000021</v>
      </c>
      <c r="EN254" s="23">
        <f>EN256-EN246-EN253-EN247-EN250</f>
        <v>660.94300000000021</v>
      </c>
      <c r="EO254" s="23">
        <f>EO256-EO246-EO253-EO247-EO250</f>
        <v>1541.9430000000002</v>
      </c>
      <c r="EP254" s="120">
        <f>EO254</f>
        <v>1541.9430000000002</v>
      </c>
      <c r="EQ254" s="23">
        <f>EQ255*Model!EQ$174</f>
        <v>593.7459156259747</v>
      </c>
      <c r="ER254" s="23">
        <f>ER255*Model!ER$174</f>
        <v>623.42331891087485</v>
      </c>
      <c r="ES254" s="23">
        <f>ES255*Model!ES$174</f>
        <v>678.33168698438647</v>
      </c>
      <c r="ET254" s="23">
        <f>ET255*Model!ET$174</f>
        <v>1619.0021636296979</v>
      </c>
      <c r="EU254" s="120">
        <f>ET254</f>
        <v>1619.0021636296979</v>
      </c>
      <c r="EV254" s="23"/>
      <c r="EW254" s="23"/>
      <c r="EX254" s="23"/>
      <c r="EY254" s="23"/>
      <c r="EZ254" s="120">
        <f>EZ255*Model!EZ$174</f>
        <v>1718.3912775461761</v>
      </c>
      <c r="FA254" s="23"/>
      <c r="FB254" s="23"/>
      <c r="FC254" s="23"/>
      <c r="FD254" s="23"/>
      <c r="FE254" s="120">
        <f>FE255*Model!FE$174</f>
        <v>1821.8360869795679</v>
      </c>
      <c r="FF254" s="23"/>
      <c r="FG254" s="444"/>
      <c r="FL254" s="376"/>
      <c r="FM254" s="376"/>
      <c r="FN254" s="376"/>
      <c r="FO254" s="376"/>
      <c r="FP254" s="376"/>
      <c r="FQ254" s="376"/>
      <c r="FR254" s="376"/>
      <c r="FS254" s="376"/>
      <c r="FT254" s="444"/>
      <c r="GB254" s="399"/>
    </row>
    <row r="255" spans="1:184" ht="12.75" customHeight="1" x14ac:dyDescent="0.2">
      <c r="A255" s="86" t="s">
        <v>358</v>
      </c>
      <c r="B255" s="24"/>
      <c r="C255" s="24"/>
      <c r="D255" s="24"/>
      <c r="E255" s="24"/>
      <c r="F255" s="258"/>
      <c r="G255" s="24"/>
      <c r="H255" s="24"/>
      <c r="I255" s="24"/>
      <c r="J255" s="24"/>
      <c r="K255" s="258"/>
      <c r="L255" s="24"/>
      <c r="M255" s="24"/>
      <c r="N255" s="24"/>
      <c r="O255" s="24"/>
      <c r="P255" s="104"/>
      <c r="Q255" s="24"/>
      <c r="R255" s="24"/>
      <c r="S255" s="24"/>
      <c r="T255" s="24"/>
      <c r="U255" s="104"/>
      <c r="V255" s="24"/>
      <c r="W255" s="24"/>
      <c r="X255" s="24"/>
      <c r="Y255" s="24"/>
      <c r="Z255" s="104"/>
      <c r="AA255" s="24"/>
      <c r="AB255" s="24"/>
      <c r="AC255" s="24"/>
      <c r="AD255" s="24"/>
      <c r="AE255" s="104"/>
      <c r="AF255" s="24"/>
      <c r="AG255" s="24"/>
      <c r="AH255" s="24"/>
      <c r="AI255" s="24"/>
      <c r="AJ255" s="104">
        <f>AJ254/Model!AJ$109</f>
        <v>4.6265747158832422E-2</v>
      </c>
      <c r="AK255" s="24"/>
      <c r="AL255" s="24"/>
      <c r="AM255" s="24"/>
      <c r="AN255" s="24"/>
      <c r="AO255" s="104">
        <f>AO254/Model!AO$109</f>
        <v>4.3027954415467827E-2</v>
      </c>
      <c r="AP255" s="24"/>
      <c r="AQ255" s="24"/>
      <c r="AR255" s="24"/>
      <c r="AS255" s="24"/>
      <c r="AT255" s="104">
        <f>AT254/Model!AT$109</f>
        <v>4.2005485136816303E-2</v>
      </c>
      <c r="AU255" s="24"/>
      <c r="AV255" s="24"/>
      <c r="AW255" s="24"/>
      <c r="AX255" s="24"/>
      <c r="AY255" s="104">
        <f>AY254/Model!AY$109</f>
        <v>4.0722934664699527E-2</v>
      </c>
      <c r="AZ255" s="24"/>
      <c r="BA255" s="24"/>
      <c r="BB255" s="24"/>
      <c r="BC255" s="24"/>
      <c r="BD255" s="104">
        <f>BD254/Model!BD$109</f>
        <v>4.9656256416428922E-2</v>
      </c>
      <c r="BE255" s="24"/>
      <c r="BF255" s="24"/>
      <c r="BG255" s="24"/>
      <c r="BH255" s="24"/>
      <c r="BI255" s="104">
        <f>BI254/Model!BI$109</f>
        <v>3.4914837951070511E-2</v>
      </c>
      <c r="BJ255" s="24"/>
      <c r="BK255" s="24"/>
      <c r="BL255" s="24"/>
      <c r="BM255" s="24"/>
      <c r="BN255" s="104">
        <f>BN254/Model!BN$109</f>
        <v>7.5943381522852516E-2</v>
      </c>
      <c r="BO255" s="24"/>
      <c r="BP255" s="24"/>
      <c r="BQ255" s="24"/>
      <c r="BR255" s="24"/>
      <c r="BS255" s="104">
        <f>BS254/Model!BS$109</f>
        <v>0.13959703504043128</v>
      </c>
      <c r="BT255" s="24"/>
      <c r="BU255" s="24"/>
      <c r="BV255" s="24"/>
      <c r="BW255" s="24"/>
      <c r="BX255" s="104">
        <f>BX254/Model!BX$109</f>
        <v>0.16490243528871193</v>
      </c>
      <c r="BY255" s="24"/>
      <c r="BZ255" s="24"/>
      <c r="CA255" s="24"/>
      <c r="CB255" s="24"/>
      <c r="CC255" s="104">
        <f>CC254/Model!CC$174</f>
        <v>0.14356428854015563</v>
      </c>
      <c r="CD255" s="24">
        <f>CD254/Model!CD$174</f>
        <v>0.14758130746945461</v>
      </c>
      <c r="CE255" s="24">
        <f>CE254/Model!CE$174</f>
        <v>0.1622036949313122</v>
      </c>
      <c r="CF255" s="24">
        <f>CF254/Model!CF$174</f>
        <v>0.11363510287598047</v>
      </c>
      <c r="CG255" s="24">
        <f>CG254/Model!CG$174</f>
        <v>9.2631300902487362E-2</v>
      </c>
      <c r="CH255" s="104">
        <f>CH254/Model!CH$109</f>
        <v>9.2631300902487362E-2</v>
      </c>
      <c r="CI255" s="24">
        <f>CI254/Model!CI$174</f>
        <v>0.1150186724230977</v>
      </c>
      <c r="CJ255" s="24">
        <f>CJ254/Model!CJ$174</f>
        <v>0.12678455154803703</v>
      </c>
      <c r="CK255" s="24">
        <f>CK254/Model!CK$174</f>
        <v>0.1360962156557802</v>
      </c>
      <c r="CL255" s="24">
        <f>CL254/Model!CL$174</f>
        <v>0.16870986715343272</v>
      </c>
      <c r="CM255" s="104">
        <f>CM254/Model!CM$109</f>
        <v>0.16870986715343272</v>
      </c>
      <c r="CN255" s="24">
        <f>CN254/Model!CN$174</f>
        <v>0.18911488276268029</v>
      </c>
      <c r="CO255" s="24">
        <f>CO254/Model!CO$174</f>
        <v>0.29493730317778416</v>
      </c>
      <c r="CP255" s="24">
        <f>CP254/Model!CP$174</f>
        <v>0.17340456316082362</v>
      </c>
      <c r="CQ255" s="24">
        <f>CQ254/Model!CQ$174</f>
        <v>4.396298984034834E-2</v>
      </c>
      <c r="CR255" s="104">
        <f>CR254/Model!CR$109</f>
        <v>4.396298984034834E-2</v>
      </c>
      <c r="CS255" s="24">
        <f>CS254/Model!CS$174</f>
        <v>5.4374128573315729E-2</v>
      </c>
      <c r="CT255" s="24">
        <f>CT254/Model!CT$174</f>
        <v>5.876132786448595E-2</v>
      </c>
      <c r="CU255" s="24">
        <f>CU254/Model!CU$174</f>
        <v>5.5321760216440884E-2</v>
      </c>
      <c r="CV255" s="24">
        <f>CV254/Model!CV$174</f>
        <v>4.9651044298646398E-2</v>
      </c>
      <c r="CW255" s="104">
        <f>CW254/Model!CW$109</f>
        <v>4.9651044298646398E-2</v>
      </c>
      <c r="CX255" s="24">
        <f>CX254/Model!CX$174</f>
        <v>5.5778398155200991E-2</v>
      </c>
      <c r="CY255" s="24">
        <f>CY254/Model!CY$174</f>
        <v>5.4859363319497222E-2</v>
      </c>
      <c r="CZ255" s="24">
        <f>CZ254/Model!CZ$174</f>
        <v>5.42209563816725E-2</v>
      </c>
      <c r="DA255" s="24">
        <f>DA254/Model!DA$174</f>
        <v>4.6464306474652758E-2</v>
      </c>
      <c r="DB255" s="104">
        <f>DB254/Model!DB$109</f>
        <v>4.6464306474652758E-2</v>
      </c>
      <c r="DC255" s="24">
        <f>DC254/Model!DC$174</f>
        <v>7.2027904517955169E-2</v>
      </c>
      <c r="DD255" s="24">
        <f>DD254/Model!DD$174</f>
        <v>6.627886460845768E-2</v>
      </c>
      <c r="DE255" s="24">
        <f>DE254/Model!DE$174</f>
        <v>5.7730116967216978E-2</v>
      </c>
      <c r="DF255" s="24">
        <f>DF254/Model!DF$174</f>
        <v>5.6519508761387685E-2</v>
      </c>
      <c r="DG255" s="104">
        <f>DG254/Model!DG$109</f>
        <v>5.6519508761387685E-2</v>
      </c>
      <c r="DH255" s="24">
        <f>DH254/Model!DH$174</f>
        <v>6.6417494202295313E-2</v>
      </c>
      <c r="DI255" s="24">
        <f>DI254/Model!DI$174</f>
        <v>6.7599142487959604E-2</v>
      </c>
      <c r="DJ255" s="24">
        <f>DJ254/Model!DJ$174</f>
        <v>7.0367892387218051E-2</v>
      </c>
      <c r="DK255" s="24">
        <f>DK254/Model!DK$174</f>
        <v>5.9157528234536849E-2</v>
      </c>
      <c r="DL255" s="104">
        <f>DL254/Model!DL$109</f>
        <v>5.9157528234536849E-2</v>
      </c>
      <c r="DM255" s="24">
        <f>DM254/Model!DM$174</f>
        <v>6.541397974624609E-2</v>
      </c>
      <c r="DN255" s="24">
        <f>DN254/Model!DN$174</f>
        <v>6.8797896449532228E-2</v>
      </c>
      <c r="DO255" s="24">
        <f>DO254/Model!DO$174</f>
        <v>6.9472226999140171E-2</v>
      </c>
      <c r="DP255" s="24">
        <f>DP254/Model!DP$174</f>
        <v>6.4177570621468935E-2</v>
      </c>
      <c r="DQ255" s="104">
        <f>DQ254/Model!DQ$109</f>
        <v>6.4177570621468935E-2</v>
      </c>
      <c r="DR255" s="24">
        <f>DR254/Model!DR$174</f>
        <v>6.3881621864807114E-2</v>
      </c>
      <c r="DS255" s="24">
        <f>DS254/Model!DS$174</f>
        <v>6.3798512396694221E-2</v>
      </c>
      <c r="DT255" s="24">
        <f>DT254/Model!DT$174</f>
        <v>6.0034936158652553E-2</v>
      </c>
      <c r="DU255" s="24">
        <f>DU254/Model!DU$174</f>
        <v>5.0467239989250214E-2</v>
      </c>
      <c r="DV255" s="104">
        <f>DV254/Model!DV$109</f>
        <v>5.0467239989250214E-2</v>
      </c>
      <c r="DW255" s="24">
        <f>DW254/Model!DW$174</f>
        <v>5.6910995597517645E-2</v>
      </c>
      <c r="DX255" s="24">
        <f>DX254/Model!DX$174</f>
        <v>5.5027858386535122E-2</v>
      </c>
      <c r="DY255" s="24">
        <f>DY254/Model!DY$174</f>
        <v>5.2434996631949851E-2</v>
      </c>
      <c r="DZ255" s="24">
        <f>DZ254/Model!DZ$174</f>
        <v>2.5394085912052129E-2</v>
      </c>
      <c r="EA255" s="104">
        <f>EA254/Model!EA$109</f>
        <v>2.5394085912052129E-2</v>
      </c>
      <c r="EB255" s="24">
        <f>EB254/Model!EB$174</f>
        <v>2.3975224327018953E-2</v>
      </c>
      <c r="EC255" s="24">
        <f>EC254/Model!EC$174</f>
        <v>2.6063197757340294E-2</v>
      </c>
      <c r="ED255" s="24">
        <f>ED254/Model!ED$174</f>
        <v>2.6318163927974033E-2</v>
      </c>
      <c r="EE255" s="24">
        <f>EE254/Model!EE$174</f>
        <v>3.1674075887392912E-2</v>
      </c>
      <c r="EF255" s="104">
        <f>EF254/Model!EF$109</f>
        <v>3.1674075887392912E-2</v>
      </c>
      <c r="EG255" s="24">
        <f>EG254/Model!EG$174</f>
        <v>2.8851821111219617E-2</v>
      </c>
      <c r="EH255" s="24">
        <f>EH254/Model!EH$174</f>
        <v>2.9504989924191545E-2</v>
      </c>
      <c r="EI255" s="24">
        <f>EI254/Model!EI$174</f>
        <v>3.1512491656336426E-2</v>
      </c>
      <c r="EJ255" s="24">
        <f>EJ254/Model!EJ$174</f>
        <v>7.2829350085017952E-2</v>
      </c>
      <c r="EK255" s="104">
        <f>EK254/Model!EK$109</f>
        <v>7.2829350085017952E-2</v>
      </c>
      <c r="EL255" s="24">
        <f>EL254/Model!EL$174</f>
        <v>2.7949817906635775E-2</v>
      </c>
      <c r="EM255" s="24">
        <f>EM254/Model!EM$174</f>
        <v>2.9102839564600105E-2</v>
      </c>
      <c r="EN255" s="24">
        <f>EN254/Model!EN$174</f>
        <v>3.1232539457518204E-2</v>
      </c>
      <c r="EO255" s="24">
        <f>EO254/Model!EO$174</f>
        <v>7.2918897190958107E-2</v>
      </c>
      <c r="EP255" s="104">
        <f>EP254/Model!EP$109</f>
        <v>7.2918897190958107E-2</v>
      </c>
      <c r="EQ255" s="170">
        <f>+EL255</f>
        <v>2.7949817906635775E-2</v>
      </c>
      <c r="ER255" s="170">
        <f>+EM255</f>
        <v>2.9102839564600105E-2</v>
      </c>
      <c r="ES255" s="170">
        <f>+EN255</f>
        <v>3.1232539457518204E-2</v>
      </c>
      <c r="ET255" s="170">
        <f>+EO255</f>
        <v>7.2918897190958107E-2</v>
      </c>
      <c r="EU255" s="104">
        <f>EU254/Model!EU$109</f>
        <v>7.2918897190958107E-2</v>
      </c>
      <c r="EV255" s="170"/>
      <c r="EW255" s="170"/>
      <c r="EX255" s="170"/>
      <c r="EY255" s="170"/>
      <c r="EZ255" s="326">
        <f>+EU255</f>
        <v>7.2918897190958107E-2</v>
      </c>
      <c r="FA255" s="170"/>
      <c r="FB255" s="170"/>
      <c r="FC255" s="170"/>
      <c r="FD255" s="170"/>
      <c r="FE255" s="326">
        <f>+EZ255</f>
        <v>7.2918897190958107E-2</v>
      </c>
      <c r="FF255" s="170"/>
      <c r="FG255" s="468"/>
      <c r="FL255" s="388"/>
      <c r="FM255" s="388"/>
      <c r="FN255" s="389"/>
      <c r="FO255" s="389"/>
      <c r="FP255" s="389"/>
      <c r="FQ255" s="389"/>
      <c r="FR255" s="389"/>
      <c r="FS255" s="389"/>
      <c r="FT255" s="468"/>
    </row>
    <row r="256" spans="1:184" ht="12.75" customHeight="1" x14ac:dyDescent="0.2">
      <c r="A256" s="200" t="s">
        <v>103</v>
      </c>
      <c r="B256" s="841"/>
      <c r="C256" s="841"/>
      <c r="D256" s="841"/>
      <c r="E256" s="841"/>
      <c r="F256" s="284"/>
      <c r="G256" s="841"/>
      <c r="H256" s="841"/>
      <c r="I256" s="841"/>
      <c r="J256" s="841"/>
      <c r="K256" s="284"/>
      <c r="L256" s="841"/>
      <c r="M256" s="841"/>
      <c r="N256" s="841"/>
      <c r="O256" s="841"/>
      <c r="P256" s="852">
        <v>541.89400000000001</v>
      </c>
      <c r="Q256" s="841"/>
      <c r="R256" s="841"/>
      <c r="S256" s="841"/>
      <c r="T256" s="841"/>
      <c r="U256" s="852">
        <v>432.024</v>
      </c>
      <c r="V256" s="841"/>
      <c r="W256" s="841"/>
      <c r="X256" s="841"/>
      <c r="Y256" s="841"/>
      <c r="Z256" s="852">
        <v>314.89800000000002</v>
      </c>
      <c r="AA256" s="841"/>
      <c r="AB256" s="841"/>
      <c r="AC256" s="841"/>
      <c r="AD256" s="841"/>
      <c r="AE256" s="852">
        <v>473.13600000000002</v>
      </c>
      <c r="AF256" s="841"/>
      <c r="AG256" s="841"/>
      <c r="AH256" s="841"/>
      <c r="AI256" s="841"/>
      <c r="AJ256" s="852">
        <v>750.99</v>
      </c>
      <c r="AK256" s="841"/>
      <c r="AL256" s="841"/>
      <c r="AM256" s="841"/>
      <c r="AN256" s="841"/>
      <c r="AO256" s="852">
        <v>806.41600000000005</v>
      </c>
      <c r="AP256" s="841"/>
      <c r="AQ256" s="841"/>
      <c r="AR256" s="841"/>
      <c r="AS256" s="841"/>
      <c r="AT256" s="852">
        <v>574.15499999999997</v>
      </c>
      <c r="AU256" s="841"/>
      <c r="AV256" s="841"/>
      <c r="AW256" s="841"/>
      <c r="AX256" s="841"/>
      <c r="AY256" s="852">
        <v>632.59500000000003</v>
      </c>
      <c r="AZ256" s="841"/>
      <c r="BA256" s="841"/>
      <c r="BB256" s="841"/>
      <c r="BC256" s="841"/>
      <c r="BD256" s="852">
        <v>831.53599999999994</v>
      </c>
      <c r="BE256" s="841"/>
      <c r="BF256" s="841"/>
      <c r="BG256" s="841"/>
      <c r="BH256" s="841"/>
      <c r="BI256" s="852">
        <v>2520.2190000000001</v>
      </c>
      <c r="BJ256" s="841"/>
      <c r="BK256" s="841"/>
      <c r="BL256" s="841"/>
      <c r="BM256" s="841"/>
      <c r="BN256" s="852">
        <v>2231.96</v>
      </c>
      <c r="BO256" s="841"/>
      <c r="BP256" s="841"/>
      <c r="BQ256" s="841"/>
      <c r="BR256" s="841"/>
      <c r="BS256" s="852">
        <v>2313</v>
      </c>
      <c r="BT256" s="841"/>
      <c r="BU256" s="841"/>
      <c r="BV256" s="841"/>
      <c r="BW256" s="841"/>
      <c r="BX256" s="852">
        <v>2172</v>
      </c>
      <c r="BY256" s="841"/>
      <c r="BZ256" s="841"/>
      <c r="CA256" s="841"/>
      <c r="CB256" s="841"/>
      <c r="CC256" s="852">
        <v>3620</v>
      </c>
      <c r="CD256" s="841">
        <v>4092</v>
      </c>
      <c r="CE256" s="841">
        <v>4358</v>
      </c>
      <c r="CF256" s="841">
        <v>3301</v>
      </c>
      <c r="CG256" s="841">
        <v>2601</v>
      </c>
      <c r="CH256" s="293">
        <v>2601</v>
      </c>
      <c r="CI256" s="841">
        <v>2999</v>
      </c>
      <c r="CJ256" s="841">
        <v>3306</v>
      </c>
      <c r="CK256" s="841">
        <v>2870</v>
      </c>
      <c r="CL256" s="841">
        <v>4443</v>
      </c>
      <c r="CM256" s="293">
        <v>4443</v>
      </c>
      <c r="CN256" s="841">
        <v>5050</v>
      </c>
      <c r="CO256" s="841">
        <v>8929</v>
      </c>
      <c r="CP256" s="841">
        <v>5301</v>
      </c>
      <c r="CQ256" s="841">
        <v>2653</v>
      </c>
      <c r="CR256" s="293">
        <f>CQ256</f>
        <v>2653</v>
      </c>
      <c r="CS256" s="841">
        <v>3601.0630000000001</v>
      </c>
      <c r="CT256" s="841">
        <v>3718.6979999999999</v>
      </c>
      <c r="CU256" s="841">
        <v>3761.08</v>
      </c>
      <c r="CV256" s="841">
        <v>4115.4229999999998</v>
      </c>
      <c r="CW256" s="293">
        <f>CW246+CW253+CW254+CW247+CW250</f>
        <v>4115.4230000000007</v>
      </c>
      <c r="CX256" s="841">
        <v>4382.84</v>
      </c>
      <c r="CY256" s="841">
        <v>4720.085</v>
      </c>
      <c r="CZ256" s="841">
        <v>4709.9170000000004</v>
      </c>
      <c r="DA256" s="841">
        <v>4959.3010000000004</v>
      </c>
      <c r="DB256" s="293">
        <f>DB246+DB253+DB254+DB247+DB250</f>
        <v>4959.3010000000004</v>
      </c>
      <c r="DC256" s="841">
        <v>5632.1689999999999</v>
      </c>
      <c r="DD256" s="841">
        <v>5421</v>
      </c>
      <c r="DE256" s="841">
        <v>4594</v>
      </c>
      <c r="DF256" s="841">
        <v>4345</v>
      </c>
      <c r="DG256" s="293">
        <f>DG246+DG253+DG254+DG247+DG250</f>
        <v>4345</v>
      </c>
      <c r="DH256" s="841">
        <v>5120</v>
      </c>
      <c r="DI256" s="841">
        <v>4691</v>
      </c>
      <c r="DJ256" s="841">
        <v>4652</v>
      </c>
      <c r="DK256" s="841">
        <v>4227</v>
      </c>
      <c r="DL256" s="293">
        <f>DL246+DL253+DL254+DL247+DL250</f>
        <v>4227</v>
      </c>
      <c r="DM256" s="841">
        <v>4514</v>
      </c>
      <c r="DN256" s="841">
        <v>4864</v>
      </c>
      <c r="DO256" s="841">
        <v>4773</v>
      </c>
      <c r="DP256" s="841">
        <v>4456</v>
      </c>
      <c r="DQ256" s="293">
        <f>DQ246+DQ253+DQ254+DQ247+DQ250</f>
        <v>4456</v>
      </c>
      <c r="DR256" s="841">
        <v>4814</v>
      </c>
      <c r="DS256" s="841">
        <v>5317</v>
      </c>
      <c r="DT256" s="841">
        <v>4902</v>
      </c>
      <c r="DU256" s="841">
        <v>4404</v>
      </c>
      <c r="DV256" s="293">
        <f t="shared" ref="DV256:EA256" si="1095">DV246+DV253+DV254+DV247+DV250</f>
        <v>4404</v>
      </c>
      <c r="DW256" s="841">
        <v>4963</v>
      </c>
      <c r="DX256" s="841">
        <v>4596</v>
      </c>
      <c r="DY256" s="841">
        <v>4573</v>
      </c>
      <c r="DZ256" s="841">
        <v>4024</v>
      </c>
      <c r="EA256" s="293">
        <f t="shared" si="1095"/>
        <v>4024</v>
      </c>
      <c r="EB256" s="841">
        <v>4574</v>
      </c>
      <c r="EC256" s="841">
        <v>4469</v>
      </c>
      <c r="ED256" s="841">
        <v>4839</v>
      </c>
      <c r="EE256" s="841">
        <v>4498</v>
      </c>
      <c r="EF256" s="293">
        <f>EF246+EF253+EF254+EF247+EF250</f>
        <v>4498</v>
      </c>
      <c r="EG256" s="841">
        <v>4658</v>
      </c>
      <c r="EH256" s="841">
        <v>4343</v>
      </c>
      <c r="EI256" s="841">
        <v>4280</v>
      </c>
      <c r="EJ256" s="841">
        <v>4815</v>
      </c>
      <c r="EK256" s="293">
        <f>EK246+EK253+EK254+EK247+EK250</f>
        <v>4815</v>
      </c>
      <c r="EL256" s="841">
        <v>4658</v>
      </c>
      <c r="EM256" s="841">
        <v>4343</v>
      </c>
      <c r="EN256" s="841">
        <v>4280</v>
      </c>
      <c r="EO256" s="841">
        <v>4815</v>
      </c>
      <c r="EP256" s="293">
        <f>EP246+EP253+EP254+EP247+EP250</f>
        <v>4815</v>
      </c>
      <c r="EQ256" s="200">
        <f t="shared" ref="EQ256" si="1096">EQ246+EQ253+EQ254+EQ247+EQ250</f>
        <v>5135.2568244306167</v>
      </c>
      <c r="ER256" s="200">
        <f t="shared" ref="ER256:ET256" si="1097">ER246+ER253+ER254+ER247+ER250</f>
        <v>4902.8386222531735</v>
      </c>
      <c r="ES256" s="200">
        <f t="shared" si="1097"/>
        <v>4772.2265252908473</v>
      </c>
      <c r="ET256" s="200">
        <f t="shared" si="1097"/>
        <v>4739.4813507298759</v>
      </c>
      <c r="EU256" s="293">
        <f>EU246+EU253+EU254+EU247+EU250</f>
        <v>4739.481350729875</v>
      </c>
      <c r="EV256" s="200"/>
      <c r="EW256" s="200"/>
      <c r="EX256" s="200"/>
      <c r="EY256" s="200"/>
      <c r="EZ256" s="293">
        <f>EZ246+EZ253+EZ254+EZ247+EZ250</f>
        <v>4529.2656251000053</v>
      </c>
      <c r="FA256" s="200"/>
      <c r="FB256" s="200"/>
      <c r="FC256" s="200"/>
      <c r="FD256" s="200"/>
      <c r="FE256" s="293">
        <f>FE246+FE253+FE254+FE247+FE250</f>
        <v>4816.142257999194</v>
      </c>
      <c r="FF256" s="55"/>
      <c r="FG256" s="467"/>
      <c r="FL256" s="376"/>
      <c r="FM256" s="376"/>
      <c r="FN256" s="377"/>
      <c r="FO256" s="377"/>
      <c r="FP256" s="377"/>
      <c r="FQ256" s="377"/>
      <c r="FR256" s="377"/>
      <c r="FS256" s="377"/>
      <c r="FT256" s="467"/>
    </row>
    <row r="257" spans="1:184" s="90" customFormat="1" ht="12.75" customHeight="1" x14ac:dyDescent="0.2">
      <c r="A257" s="89" t="s">
        <v>393</v>
      </c>
      <c r="B257" s="41"/>
      <c r="C257" s="41"/>
      <c r="D257" s="41"/>
      <c r="E257" s="41"/>
      <c r="F257" s="285"/>
      <c r="G257" s="41"/>
      <c r="H257" s="41"/>
      <c r="I257" s="41"/>
      <c r="J257" s="41"/>
      <c r="K257" s="285"/>
      <c r="L257" s="41"/>
      <c r="M257" s="41"/>
      <c r="N257" s="41"/>
      <c r="O257" s="41"/>
      <c r="P257" s="294">
        <f>P254+P250</f>
        <v>103.90500000000003</v>
      </c>
      <c r="Q257" s="41"/>
      <c r="R257" s="41"/>
      <c r="S257" s="41"/>
      <c r="T257" s="41"/>
      <c r="U257" s="294">
        <f>U254+U250</f>
        <v>125.97800000000004</v>
      </c>
      <c r="V257" s="41"/>
      <c r="W257" s="41"/>
      <c r="X257" s="41"/>
      <c r="Y257" s="41"/>
      <c r="Z257" s="294">
        <f>Z254+Z250</f>
        <v>130.53800000000012</v>
      </c>
      <c r="AA257" s="41"/>
      <c r="AB257" s="41"/>
      <c r="AC257" s="41"/>
      <c r="AD257" s="41"/>
      <c r="AE257" s="294">
        <f>AE254+AE250</f>
        <v>145.29700000000014</v>
      </c>
      <c r="AF257" s="41"/>
      <c r="AG257" s="41"/>
      <c r="AH257" s="41"/>
      <c r="AI257" s="41"/>
      <c r="AJ257" s="294">
        <f>AJ254+AJ250</f>
        <v>157.58900000000023</v>
      </c>
      <c r="AK257" s="41"/>
      <c r="AL257" s="41"/>
      <c r="AM257" s="41"/>
      <c r="AN257" s="41"/>
      <c r="AO257" s="294">
        <f>AO254+AO250</f>
        <v>164.23000000000033</v>
      </c>
      <c r="AP257" s="41"/>
      <c r="AQ257" s="41"/>
      <c r="AR257" s="41"/>
      <c r="AS257" s="41"/>
      <c r="AT257" s="294">
        <f>AT254+AT250</f>
        <v>174.91000000000034</v>
      </c>
      <c r="AU257" s="41"/>
      <c r="AV257" s="41"/>
      <c r="AW257" s="41"/>
      <c r="AX257" s="41"/>
      <c r="AY257" s="294">
        <f>AY254+AY250</f>
        <v>192.84700000000041</v>
      </c>
      <c r="AZ257" s="41"/>
      <c r="BA257" s="41"/>
      <c r="BB257" s="41"/>
      <c r="BC257" s="41"/>
      <c r="BD257" s="294">
        <f>BD254+BD250</f>
        <v>280.53600000000017</v>
      </c>
      <c r="BE257" s="41"/>
      <c r="BF257" s="41"/>
      <c r="BG257" s="41"/>
      <c r="BH257" s="41"/>
      <c r="BI257" s="294">
        <f>BI254+BI250</f>
        <v>193.95800000000017</v>
      </c>
      <c r="BJ257" s="41"/>
      <c r="BK257" s="41"/>
      <c r="BL257" s="41"/>
      <c r="BM257" s="41"/>
      <c r="BN257" s="294">
        <f>BN254+BN250</f>
        <v>416.60800000000017</v>
      </c>
      <c r="BO257" s="41"/>
      <c r="BP257" s="41"/>
      <c r="BQ257" s="41"/>
      <c r="BR257" s="41"/>
      <c r="BS257" s="294">
        <f>BS254+BS250</f>
        <v>828.64800000000014</v>
      </c>
      <c r="BT257" s="41"/>
      <c r="BU257" s="41"/>
      <c r="BV257" s="41"/>
      <c r="BW257" s="41"/>
      <c r="BX257" s="294">
        <f>BX254+BX250</f>
        <v>1076.6480000000001</v>
      </c>
      <c r="BY257" s="41"/>
      <c r="BZ257" s="41"/>
      <c r="CA257" s="41"/>
      <c r="CB257" s="41"/>
      <c r="CC257" s="294">
        <f t="shared" ref="CC257:DG257" si="1098">CC254+CC250</f>
        <v>1088.6480000000001</v>
      </c>
      <c r="CD257" s="41">
        <f t="shared" si="1098"/>
        <v>1171.6480000000001</v>
      </c>
      <c r="CE257" s="41">
        <f t="shared" si="1098"/>
        <v>1369.6480000000001</v>
      </c>
      <c r="CF257" s="41">
        <f t="shared" si="1098"/>
        <v>999.64800000000014</v>
      </c>
      <c r="CG257" s="41">
        <f t="shared" si="1098"/>
        <v>841.64800000000014</v>
      </c>
      <c r="CH257" s="294">
        <f t="shared" si="1098"/>
        <v>841.64800000000014</v>
      </c>
      <c r="CI257" s="41">
        <f t="shared" si="1098"/>
        <v>1065.6480000000001</v>
      </c>
      <c r="CJ257" s="41">
        <f t="shared" si="1098"/>
        <v>1191.6480000000001</v>
      </c>
      <c r="CK257" s="41">
        <f t="shared" si="1098"/>
        <v>1312.6480000000001</v>
      </c>
      <c r="CL257" s="41">
        <f t="shared" si="1098"/>
        <v>1663.6480000000001</v>
      </c>
      <c r="CM257" s="294">
        <f t="shared" si="1098"/>
        <v>1663.6480000000001</v>
      </c>
      <c r="CN257" s="41">
        <f t="shared" si="1098"/>
        <v>1927.6480000000001</v>
      </c>
      <c r="CO257" s="41">
        <f t="shared" si="1098"/>
        <v>3090.6480000000001</v>
      </c>
      <c r="CP257" s="41">
        <f t="shared" si="1098"/>
        <v>1869.6480000000001</v>
      </c>
      <c r="CQ257" s="41">
        <f t="shared" si="1098"/>
        <v>484.64800000000014</v>
      </c>
      <c r="CR257" s="294">
        <f t="shared" si="1098"/>
        <v>484.64800000000014</v>
      </c>
      <c r="CS257" s="41">
        <f t="shared" si="1098"/>
        <v>709.39500000000032</v>
      </c>
      <c r="CT257" s="41">
        <f t="shared" si="1098"/>
        <v>760.83700000000022</v>
      </c>
      <c r="CU257" s="41">
        <f t="shared" si="1098"/>
        <v>725.49499999999989</v>
      </c>
      <c r="CV257" s="41">
        <f t="shared" si="1098"/>
        <v>682.58300000000008</v>
      </c>
      <c r="CW257" s="294">
        <f t="shared" si="1098"/>
        <v>682.58300000000008</v>
      </c>
      <c r="CX257" s="41">
        <f t="shared" si="1098"/>
        <v>779.79899999999998</v>
      </c>
      <c r="CY257" s="41">
        <f t="shared" si="1098"/>
        <v>804.18100000000004</v>
      </c>
      <c r="CZ257" s="41">
        <f t="shared" si="1098"/>
        <v>839.49099999999999</v>
      </c>
      <c r="DA257" s="41">
        <f t="shared" si="1098"/>
        <v>736.8760000000002</v>
      </c>
      <c r="DB257" s="294">
        <f t="shared" si="1098"/>
        <v>736.8760000000002</v>
      </c>
      <c r="DC257" s="41">
        <f t="shared" si="1098"/>
        <v>1151.0039999999999</v>
      </c>
      <c r="DD257" s="41">
        <f t="shared" si="1098"/>
        <v>1046.9430000000002</v>
      </c>
      <c r="DE257" s="41">
        <f t="shared" si="1098"/>
        <v>937.94300000000021</v>
      </c>
      <c r="DF257" s="41">
        <f t="shared" si="1098"/>
        <v>937.94300000000021</v>
      </c>
      <c r="DG257" s="294">
        <f t="shared" si="1098"/>
        <v>937.94300000000021</v>
      </c>
      <c r="DH257" s="41">
        <f t="shared" ref="DH257:DT257" si="1099">DH254+DH250</f>
        <v>1116.9430000000002</v>
      </c>
      <c r="DI257" s="41">
        <f t="shared" si="1099"/>
        <v>1150.9430000000002</v>
      </c>
      <c r="DJ257" s="41">
        <f t="shared" si="1099"/>
        <v>1197.9430000000002</v>
      </c>
      <c r="DK257" s="41">
        <f t="shared" ref="DK257:DP257" si="1100">DK254+DK250</f>
        <v>1010.9430000000002</v>
      </c>
      <c r="DL257" s="294">
        <f t="shared" si="1100"/>
        <v>1010.9430000000002</v>
      </c>
      <c r="DM257" s="41">
        <f t="shared" si="1100"/>
        <v>1123.9430000000002</v>
      </c>
      <c r="DN257" s="41">
        <f t="shared" si="1100"/>
        <v>1183.9430000000002</v>
      </c>
      <c r="DO257" s="41">
        <f t="shared" si="1100"/>
        <v>1211.9430000000002</v>
      </c>
      <c r="DP257" s="41">
        <f t="shared" si="1100"/>
        <v>1135.9430000000002</v>
      </c>
      <c r="DQ257" s="294">
        <f t="shared" si="1099"/>
        <v>1135.9430000000002</v>
      </c>
      <c r="DR257" s="41">
        <f t="shared" si="1099"/>
        <v>1135.9430000000002</v>
      </c>
      <c r="DS257" s="41">
        <f t="shared" si="1099"/>
        <v>1157.9430000000002</v>
      </c>
      <c r="DT257" s="41">
        <f t="shared" si="1099"/>
        <v>1104.9430000000002</v>
      </c>
      <c r="DU257" s="41">
        <f t="shared" ref="DU257:EA257" si="1101">DU254+DU250</f>
        <v>938.94300000000021</v>
      </c>
      <c r="DV257" s="294">
        <f t="shared" si="1101"/>
        <v>938.94300000000021</v>
      </c>
      <c r="DW257" s="41">
        <f>DW254+DW250</f>
        <v>1072.9430000000002</v>
      </c>
      <c r="DX257" s="41">
        <f t="shared" si="1101"/>
        <v>1042.9430000000002</v>
      </c>
      <c r="DY257" s="41">
        <f t="shared" si="1101"/>
        <v>1011.9430000000002</v>
      </c>
      <c r="DZ257" s="41">
        <f t="shared" si="1101"/>
        <v>498.94300000000021</v>
      </c>
      <c r="EA257" s="294">
        <f t="shared" si="1101"/>
        <v>498.94300000000021</v>
      </c>
      <c r="EB257" s="41">
        <f t="shared" ref="EB257:EF257" si="1102">EB254+EB250</f>
        <v>480.94300000000021</v>
      </c>
      <c r="EC257" s="41">
        <f t="shared" si="1102"/>
        <v>529.94300000000021</v>
      </c>
      <c r="ED257" s="41">
        <f t="shared" si="1102"/>
        <v>534.94300000000021</v>
      </c>
      <c r="EE257" s="41">
        <f t="shared" si="1102"/>
        <v>646.94300000000021</v>
      </c>
      <c r="EF257" s="294">
        <f t="shared" si="1102"/>
        <v>646.94300000000021</v>
      </c>
      <c r="EG257" s="41">
        <f t="shared" ref="EG257:EK257" si="1103">EG254+EG250</f>
        <v>590.94300000000021</v>
      </c>
      <c r="EH257" s="41">
        <f t="shared" si="1103"/>
        <v>614.94300000000021</v>
      </c>
      <c r="EI257" s="41">
        <f t="shared" si="1103"/>
        <v>660.94300000000021</v>
      </c>
      <c r="EJ257" s="41">
        <f t="shared" si="1103"/>
        <v>1541.9430000000002</v>
      </c>
      <c r="EK257" s="294">
        <f t="shared" si="1103"/>
        <v>1541.9430000000002</v>
      </c>
      <c r="EL257" s="41">
        <f t="shared" ref="EL257:EP257" si="1104">EL254+EL250</f>
        <v>590.94300000000021</v>
      </c>
      <c r="EM257" s="41">
        <f t="shared" si="1104"/>
        <v>614.94300000000021</v>
      </c>
      <c r="EN257" s="41">
        <f t="shared" si="1104"/>
        <v>660.94300000000021</v>
      </c>
      <c r="EO257" s="41">
        <f t="shared" si="1104"/>
        <v>1541.9430000000002</v>
      </c>
      <c r="EP257" s="294">
        <f t="shared" si="1104"/>
        <v>1541.9430000000002</v>
      </c>
      <c r="EQ257" s="41">
        <f t="shared" ref="EQ257:EU257" si="1105">EQ254+EQ250</f>
        <v>593.7459156259747</v>
      </c>
      <c r="ER257" s="41">
        <f t="shared" si="1105"/>
        <v>623.42331891087485</v>
      </c>
      <c r="ES257" s="41">
        <f t="shared" si="1105"/>
        <v>678.33168698438647</v>
      </c>
      <c r="ET257" s="41">
        <f t="shared" si="1105"/>
        <v>1619.0021636296979</v>
      </c>
      <c r="EU257" s="294">
        <f t="shared" si="1105"/>
        <v>1619.0021636296979</v>
      </c>
      <c r="EV257" s="41"/>
      <c r="EW257" s="41"/>
      <c r="EX257" s="41"/>
      <c r="EY257" s="41"/>
      <c r="EZ257" s="294">
        <f>EZ254+EZ250</f>
        <v>1718.3912775461761</v>
      </c>
      <c r="FA257" s="41"/>
      <c r="FB257" s="41"/>
      <c r="FC257" s="41"/>
      <c r="FD257" s="41"/>
      <c r="FE257" s="294">
        <f>FE254+FE250</f>
        <v>1821.8360869795679</v>
      </c>
      <c r="FF257" s="232"/>
      <c r="FG257" s="469"/>
      <c r="FH257" s="349"/>
      <c r="FI257" s="352"/>
      <c r="FJ257" s="352"/>
      <c r="FK257" s="352"/>
      <c r="FL257" s="430"/>
      <c r="FM257" s="430"/>
      <c r="FN257" s="390"/>
      <c r="FO257" s="390"/>
      <c r="FP257" s="390"/>
      <c r="FQ257" s="390"/>
      <c r="FR257" s="390"/>
      <c r="FS257" s="390"/>
      <c r="FT257" s="469"/>
      <c r="FU257"/>
      <c r="FV257"/>
      <c r="FW257"/>
      <c r="FX257"/>
      <c r="FY257"/>
      <c r="FZ257"/>
      <c r="GA257" s="344"/>
    </row>
    <row r="258" spans="1:184" ht="12.75" customHeight="1" x14ac:dyDescent="0.2">
      <c r="A258" s="91" t="s">
        <v>394</v>
      </c>
      <c r="B258" s="839"/>
      <c r="C258" s="839"/>
      <c r="D258" s="839"/>
      <c r="E258" s="839"/>
      <c r="F258" s="279"/>
      <c r="G258" s="839"/>
      <c r="H258" s="839"/>
      <c r="I258" s="839"/>
      <c r="J258" s="839"/>
      <c r="K258" s="279"/>
      <c r="L258" s="839"/>
      <c r="M258" s="839"/>
      <c r="N258" s="839"/>
      <c r="O258" s="839"/>
      <c r="P258" s="851">
        <v>2383.127</v>
      </c>
      <c r="Q258" s="839"/>
      <c r="R258" s="839"/>
      <c r="S258" s="839"/>
      <c r="T258" s="839"/>
      <c r="U258" s="851">
        <v>2829.6440000000002</v>
      </c>
      <c r="V258" s="839"/>
      <c r="W258" s="839"/>
      <c r="X258" s="839"/>
      <c r="Y258" s="839"/>
      <c r="Z258" s="851">
        <v>3342.8009999999995</v>
      </c>
      <c r="AA258" s="839"/>
      <c r="AB258" s="839"/>
      <c r="AC258" s="839"/>
      <c r="AD258" s="839"/>
      <c r="AE258" s="851">
        <v>3784.3880000000004</v>
      </c>
      <c r="AF258" s="839"/>
      <c r="AG258" s="839"/>
      <c r="AH258" s="839"/>
      <c r="AI258" s="839"/>
      <c r="AJ258" s="851">
        <v>4157.6280000000006</v>
      </c>
      <c r="AK258" s="839"/>
      <c r="AL258" s="839"/>
      <c r="AM258" s="839"/>
      <c r="AN258" s="839"/>
      <c r="AO258" s="851">
        <v>4811.3239999999996</v>
      </c>
      <c r="AP258" s="839"/>
      <c r="AQ258" s="839"/>
      <c r="AR258" s="839"/>
      <c r="AS258" s="839"/>
      <c r="AT258" s="851">
        <v>5739.0190000000002</v>
      </c>
      <c r="AU258" s="839"/>
      <c r="AV258" s="839"/>
      <c r="AW258" s="839"/>
      <c r="AX258" s="839"/>
      <c r="AY258" s="851">
        <v>6848.9650000000011</v>
      </c>
      <c r="AZ258" s="839"/>
      <c r="BA258" s="839"/>
      <c r="BB258" s="839"/>
      <c r="BC258" s="839"/>
      <c r="BD258" s="851">
        <v>7967.7949999999992</v>
      </c>
      <c r="BE258" s="839"/>
      <c r="BF258" s="839"/>
      <c r="BG258" s="839"/>
      <c r="BH258" s="839"/>
      <c r="BI258" s="851">
        <v>8901.6939999999995</v>
      </c>
      <c r="BJ258" s="839"/>
      <c r="BK258" s="839"/>
      <c r="BL258" s="839"/>
      <c r="BM258" s="839"/>
      <c r="BN258" s="851">
        <v>9455.6569999999992</v>
      </c>
      <c r="BO258" s="839"/>
      <c r="BP258" s="839"/>
      <c r="BQ258" s="839"/>
      <c r="BR258" s="839"/>
      <c r="BS258" s="851">
        <v>10550</v>
      </c>
      <c r="BT258" s="839"/>
      <c r="BU258" s="839"/>
      <c r="BV258" s="839"/>
      <c r="BW258" s="839"/>
      <c r="BX258" s="851">
        <v>11921</v>
      </c>
      <c r="BY258" s="839"/>
      <c r="BZ258" s="839"/>
      <c r="CA258" s="839"/>
      <c r="CB258" s="839"/>
      <c r="CC258" s="851">
        <v>12915</v>
      </c>
      <c r="CD258" s="839">
        <v>12754</v>
      </c>
      <c r="CE258" s="839">
        <v>13141</v>
      </c>
      <c r="CF258" s="839">
        <v>13515</v>
      </c>
      <c r="CG258" s="839">
        <v>13859</v>
      </c>
      <c r="CH258" s="120">
        <v>13859</v>
      </c>
      <c r="CI258" s="839">
        <v>14182</v>
      </c>
      <c r="CJ258" s="839">
        <v>14494</v>
      </c>
      <c r="CK258" s="839">
        <v>14811</v>
      </c>
      <c r="CL258" s="839">
        <v>15160</v>
      </c>
      <c r="CM258" s="120">
        <v>15160</v>
      </c>
      <c r="CN258" s="839">
        <v>15504</v>
      </c>
      <c r="CO258" s="839">
        <v>15721</v>
      </c>
      <c r="CP258" s="839">
        <v>15890</v>
      </c>
      <c r="CQ258" s="839">
        <v>15871</v>
      </c>
      <c r="CR258" s="120">
        <v>15871</v>
      </c>
      <c r="CS258" s="839">
        <v>17269.690999999999</v>
      </c>
      <c r="CT258" s="839">
        <v>17226.618999999999</v>
      </c>
      <c r="CU258" s="839">
        <v>17406.375</v>
      </c>
      <c r="CV258" s="839">
        <v>17441.399000000001</v>
      </c>
      <c r="CW258" s="120">
        <f>CV258</f>
        <v>17441.399000000001</v>
      </c>
      <c r="CX258" s="839">
        <v>17582.645</v>
      </c>
      <c r="CY258" s="839">
        <v>17751.234</v>
      </c>
      <c r="CZ258" s="839">
        <v>17832.057000000001</v>
      </c>
      <c r="DA258" s="839">
        <v>17914.736000000001</v>
      </c>
      <c r="DB258" s="120">
        <f>DA258</f>
        <v>17914.736000000001</v>
      </c>
      <c r="DC258" s="839">
        <v>18013.789000000001</v>
      </c>
      <c r="DD258" s="839">
        <v>17767</v>
      </c>
      <c r="DE258" s="839">
        <v>17983</v>
      </c>
      <c r="DF258" s="839">
        <v>18421</v>
      </c>
      <c r="DG258" s="120">
        <f>DF258</f>
        <v>18421</v>
      </c>
      <c r="DH258" s="839">
        <v>18551</v>
      </c>
      <c r="DI258" s="839">
        <v>18942</v>
      </c>
      <c r="DJ258" s="839">
        <v>19294</v>
      </c>
      <c r="DK258" s="839">
        <v>19497</v>
      </c>
      <c r="DL258" s="120">
        <f>DK258</f>
        <v>19497</v>
      </c>
      <c r="DM258" s="839">
        <v>19991</v>
      </c>
      <c r="DN258" s="839">
        <v>20223</v>
      </c>
      <c r="DO258" s="839">
        <v>20438</v>
      </c>
      <c r="DP258" s="839">
        <v>20820</v>
      </c>
      <c r="DQ258" s="120">
        <f>DP258</f>
        <v>20820</v>
      </c>
      <c r="DR258" s="839">
        <v>21063</v>
      </c>
      <c r="DS258" s="839">
        <v>21587</v>
      </c>
      <c r="DT258" s="839">
        <v>22056</v>
      </c>
      <c r="DU258" s="839">
        <v>22513</v>
      </c>
      <c r="DV258" s="120">
        <f>DU258</f>
        <v>22513</v>
      </c>
      <c r="DW258" s="839">
        <v>23062</v>
      </c>
      <c r="DX258" s="839">
        <v>23523</v>
      </c>
      <c r="DY258" s="839">
        <v>23825</v>
      </c>
      <c r="DZ258" s="839">
        <v>24685</v>
      </c>
      <c r="EA258" s="120">
        <f>DZ258</f>
        <v>24685</v>
      </c>
      <c r="EB258" s="839">
        <v>25231</v>
      </c>
      <c r="EC258" s="839">
        <v>25658</v>
      </c>
      <c r="ED258" s="839">
        <v>25841</v>
      </c>
      <c r="EE258" s="839">
        <v>26464</v>
      </c>
      <c r="EF258" s="120">
        <f>EE258</f>
        <v>26464</v>
      </c>
      <c r="EG258" s="839">
        <v>26783</v>
      </c>
      <c r="EH258" s="839">
        <v>27202</v>
      </c>
      <c r="EI258" s="839">
        <v>27801</v>
      </c>
      <c r="EJ258" s="839">
        <v>28229</v>
      </c>
      <c r="EK258" s="120">
        <f>EJ258</f>
        <v>28229</v>
      </c>
      <c r="EL258" s="839">
        <v>26783</v>
      </c>
      <c r="EM258" s="839">
        <v>27202</v>
      </c>
      <c r="EN258" s="839">
        <v>27801</v>
      </c>
      <c r="EO258" s="839">
        <v>28229</v>
      </c>
      <c r="EP258" s="120">
        <f>EO258</f>
        <v>28229</v>
      </c>
      <c r="EQ258" s="23">
        <f>EP258-EQ219</f>
        <v>28704</v>
      </c>
      <c r="ER258" s="23">
        <f>EQ258-ER219</f>
        <v>29179</v>
      </c>
      <c r="ES258" s="23">
        <f>ER258-ES219</f>
        <v>29654</v>
      </c>
      <c r="ET258" s="23">
        <f>ES258-ET219</f>
        <v>30129</v>
      </c>
      <c r="EU258" s="120">
        <f>ET258</f>
        <v>30129</v>
      </c>
      <c r="EV258" s="23"/>
      <c r="EW258" s="23"/>
      <c r="EX258" s="23"/>
      <c r="EY258" s="23"/>
      <c r="EZ258" s="120">
        <f>EU258-EZ219</f>
        <v>32029</v>
      </c>
      <c r="FA258" s="23"/>
      <c r="FB258" s="23"/>
      <c r="FC258" s="23"/>
      <c r="FD258" s="23"/>
      <c r="FE258" s="120">
        <f>EZ258-FE219</f>
        <v>33929</v>
      </c>
      <c r="FF258" s="23"/>
      <c r="FG258" s="444"/>
      <c r="FL258" s="376"/>
      <c r="FM258" s="376"/>
      <c r="FN258" s="377"/>
      <c r="FO258" s="377"/>
      <c r="FP258" s="377"/>
      <c r="FQ258" s="377"/>
      <c r="FR258" s="377"/>
      <c r="FS258" s="377"/>
      <c r="FT258" s="444"/>
    </row>
    <row r="259" spans="1:184" ht="12.75" customHeight="1" x14ac:dyDescent="0.2">
      <c r="A259" s="91" t="s">
        <v>395</v>
      </c>
      <c r="B259" s="827"/>
      <c r="C259" s="827"/>
      <c r="D259" s="827"/>
      <c r="E259" s="827"/>
      <c r="F259" s="279"/>
      <c r="G259" s="827"/>
      <c r="H259" s="827"/>
      <c r="I259" s="827"/>
      <c r="J259" s="827"/>
      <c r="K259" s="279"/>
      <c r="L259" s="827"/>
      <c r="M259" s="827"/>
      <c r="N259" s="827"/>
      <c r="O259" s="827"/>
      <c r="P259" s="848">
        <v>-559.03399999999999</v>
      </c>
      <c r="Q259" s="827"/>
      <c r="R259" s="827"/>
      <c r="S259" s="827"/>
      <c r="T259" s="827"/>
      <c r="U259" s="848">
        <v>-688.28</v>
      </c>
      <c r="V259" s="827"/>
      <c r="W259" s="827"/>
      <c r="X259" s="827"/>
      <c r="Y259" s="827"/>
      <c r="Z259" s="848">
        <v>-837.83799999999997</v>
      </c>
      <c r="AA259" s="827"/>
      <c r="AB259" s="827"/>
      <c r="AC259" s="827"/>
      <c r="AD259" s="827"/>
      <c r="AE259" s="848">
        <v>-1005.081</v>
      </c>
      <c r="AF259" s="827"/>
      <c r="AG259" s="827"/>
      <c r="AH259" s="827"/>
      <c r="AI259" s="827"/>
      <c r="AJ259" s="848">
        <v>-1188.405</v>
      </c>
      <c r="AK259" s="827"/>
      <c r="AL259" s="827"/>
      <c r="AM259" s="827"/>
      <c r="AN259" s="827"/>
      <c r="AO259" s="848">
        <v>-1375.6310000000001</v>
      </c>
      <c r="AP259" s="827"/>
      <c r="AQ259" s="827"/>
      <c r="AR259" s="827"/>
      <c r="AS259" s="827"/>
      <c r="AT259" s="848">
        <v>-1601.4090000000001</v>
      </c>
      <c r="AU259" s="827"/>
      <c r="AV259" s="827"/>
      <c r="AW259" s="827"/>
      <c r="AX259" s="827"/>
      <c r="AY259" s="848">
        <v>-1840.799</v>
      </c>
      <c r="AZ259" s="827"/>
      <c r="BA259" s="827"/>
      <c r="BB259" s="827"/>
      <c r="BC259" s="827"/>
      <c r="BD259" s="848">
        <v>-2148.0700000000002</v>
      </c>
      <c r="BE259" s="827"/>
      <c r="BF259" s="827"/>
      <c r="BG259" s="827"/>
      <c r="BH259" s="827"/>
      <c r="BI259" s="848">
        <v>-2456.2069999999999</v>
      </c>
      <c r="BJ259" s="827"/>
      <c r="BK259" s="827"/>
      <c r="BL259" s="827"/>
      <c r="BM259" s="827"/>
      <c r="BN259" s="848">
        <v>-2810.1930000000002</v>
      </c>
      <c r="BO259" s="827"/>
      <c r="BP259" s="827"/>
      <c r="BQ259" s="827"/>
      <c r="BR259" s="827"/>
      <c r="BS259" s="848">
        <v>-3107</v>
      </c>
      <c r="BT259" s="827"/>
      <c r="BU259" s="827"/>
      <c r="BV259" s="827"/>
      <c r="BW259" s="827"/>
      <c r="BX259" s="848">
        <v>-3198</v>
      </c>
      <c r="BY259" s="827"/>
      <c r="BZ259" s="827"/>
      <c r="CA259" s="827"/>
      <c r="CB259" s="827"/>
      <c r="CC259" s="848">
        <v>-3488</v>
      </c>
      <c r="CD259" s="827">
        <v>-3403</v>
      </c>
      <c r="CE259" s="827">
        <v>-3517</v>
      </c>
      <c r="CF259" s="827">
        <v>-3640</v>
      </c>
      <c r="CG259" s="827">
        <v>-3765</v>
      </c>
      <c r="CH259" s="103">
        <v>-3765</v>
      </c>
      <c r="CI259" s="827">
        <v>-3897</v>
      </c>
      <c r="CJ259" s="827">
        <v>-4007</v>
      </c>
      <c r="CK259" s="827">
        <v>-4144</v>
      </c>
      <c r="CL259" s="827">
        <v>-4286</v>
      </c>
      <c r="CM259" s="103">
        <v>-4286</v>
      </c>
      <c r="CN259" s="827">
        <v>-4413</v>
      </c>
      <c r="CO259" s="827">
        <v>-4551</v>
      </c>
      <c r="CP259" s="827">
        <v>-4692</v>
      </c>
      <c r="CQ259" s="827">
        <v>-4831</v>
      </c>
      <c r="CR259" s="103">
        <f>-4831</f>
        <v>-4831</v>
      </c>
      <c r="CS259" s="827">
        <v>-5163.0410000000002</v>
      </c>
      <c r="CT259" s="827">
        <v>-5290.643</v>
      </c>
      <c r="CU259" s="827">
        <v>-5387.9859999999999</v>
      </c>
      <c r="CV259" s="827">
        <v>-5487.36</v>
      </c>
      <c r="CW259" s="103">
        <f>CV259</f>
        <v>-5487.36</v>
      </c>
      <c r="CX259" s="827">
        <v>-5646.7830000000004</v>
      </c>
      <c r="CY259" s="827">
        <v>-5810.9250000000002</v>
      </c>
      <c r="CZ259" s="827">
        <v>-5951.7129999999997</v>
      </c>
      <c r="DA259" s="827">
        <v>-6042.7160000000003</v>
      </c>
      <c r="DB259" s="103">
        <f>DA259</f>
        <v>-6042.7160000000003</v>
      </c>
      <c r="DC259" s="827">
        <v>-6209.076</v>
      </c>
      <c r="DD259" s="827">
        <v>-6046</v>
      </c>
      <c r="DE259" s="827">
        <v>-6149</v>
      </c>
      <c r="DF259" s="827">
        <v>-6294</v>
      </c>
      <c r="DG259" s="103">
        <f>DF259</f>
        <v>-6294</v>
      </c>
      <c r="DH259" s="827">
        <v>-6456</v>
      </c>
      <c r="DI259" s="827">
        <v>-6600</v>
      </c>
      <c r="DJ259" s="827">
        <v>-6722</v>
      </c>
      <c r="DK259" s="827">
        <v>-6731</v>
      </c>
      <c r="DL259" s="103">
        <f>DK259</f>
        <v>-6731</v>
      </c>
      <c r="DM259" s="827">
        <v>-6861</v>
      </c>
      <c r="DN259" s="827">
        <v>-7059</v>
      </c>
      <c r="DO259" s="827">
        <v>-7235</v>
      </c>
      <c r="DP259" s="827">
        <v>-7431</v>
      </c>
      <c r="DQ259" s="103">
        <f>DP259</f>
        <v>-7431</v>
      </c>
      <c r="DR259" s="827">
        <v>-7643</v>
      </c>
      <c r="DS259" s="827">
        <v>-7860</v>
      </c>
      <c r="DT259" s="827">
        <v>-8091</v>
      </c>
      <c r="DU259" s="827">
        <v>-8221</v>
      </c>
      <c r="DV259" s="103">
        <f>DU259</f>
        <v>-8221</v>
      </c>
      <c r="DW259" s="827">
        <v>-8455</v>
      </c>
      <c r="DX259" s="827">
        <v>-8663</v>
      </c>
      <c r="DY259" s="827">
        <v>-8896</v>
      </c>
      <c r="DZ259" s="827">
        <v>-9084</v>
      </c>
      <c r="EA259" s="103">
        <f>DZ259</f>
        <v>-9084</v>
      </c>
      <c r="EB259" s="827">
        <v>-9267</v>
      </c>
      <c r="EC259" s="827">
        <v>-9364</v>
      </c>
      <c r="ED259" s="827">
        <v>-9295</v>
      </c>
      <c r="EE259" s="827">
        <v>-9420</v>
      </c>
      <c r="EF259" s="103">
        <f>EE259</f>
        <v>-9420</v>
      </c>
      <c r="EG259" s="827">
        <v>-9497</v>
      </c>
      <c r="EH259" s="827">
        <v>-9523</v>
      </c>
      <c r="EI259" s="827">
        <v>-9645</v>
      </c>
      <c r="EJ259" s="827">
        <v>-9690</v>
      </c>
      <c r="EK259" s="103">
        <f>EJ259</f>
        <v>-9690</v>
      </c>
      <c r="EL259" s="827">
        <v>-9497</v>
      </c>
      <c r="EM259" s="827">
        <v>-9523</v>
      </c>
      <c r="EN259" s="827">
        <v>-9645</v>
      </c>
      <c r="EO259" s="827">
        <v>-9690</v>
      </c>
      <c r="EP259" s="103">
        <f>EO259</f>
        <v>-9690</v>
      </c>
      <c r="EQ259" s="33">
        <f>EP259-EQ210</f>
        <v>-9976.2000000000007</v>
      </c>
      <c r="ER259" s="33">
        <f>EQ259-ER210</f>
        <v>-10272.870000000001</v>
      </c>
      <c r="ES259" s="33">
        <f>ER259-ES210</f>
        <v>-10580.910000000002</v>
      </c>
      <c r="ET259" s="33">
        <f>ES259-ET210</f>
        <v>-10898.970000000001</v>
      </c>
      <c r="EU259" s="103">
        <f>ET259</f>
        <v>-10898.970000000001</v>
      </c>
      <c r="EV259" s="33"/>
      <c r="EW259" s="33"/>
      <c r="EX259" s="33"/>
      <c r="EY259" s="33"/>
      <c r="EZ259" s="103">
        <f>EU259-EZ210</f>
        <v>-12144.2091</v>
      </c>
      <c r="FA259" s="33"/>
      <c r="FB259" s="33"/>
      <c r="FC259" s="33"/>
      <c r="FD259" s="33"/>
      <c r="FE259" s="103">
        <f>EZ259-FE210</f>
        <v>-13426.805372999999</v>
      </c>
      <c r="FF259" s="33"/>
      <c r="FG259" s="460"/>
      <c r="FL259" s="425"/>
      <c r="FM259" s="425"/>
      <c r="FN259" s="384"/>
      <c r="FO259" s="384"/>
      <c r="FP259" s="384"/>
      <c r="FQ259" s="384"/>
      <c r="FR259" s="384"/>
      <c r="FS259" s="384"/>
      <c r="FT259" s="460"/>
    </row>
    <row r="260" spans="1:184" ht="12.75" customHeight="1" x14ac:dyDescent="0.2">
      <c r="A260" s="36" t="s">
        <v>396</v>
      </c>
      <c r="B260" s="199"/>
      <c r="C260" s="199"/>
      <c r="D260" s="199"/>
      <c r="E260" s="199"/>
      <c r="F260" s="279"/>
      <c r="G260" s="199"/>
      <c r="H260" s="199"/>
      <c r="I260" s="199"/>
      <c r="J260" s="199"/>
      <c r="K260" s="279"/>
      <c r="L260" s="199"/>
      <c r="M260" s="199"/>
      <c r="N260" s="199"/>
      <c r="O260" s="199"/>
      <c r="P260" s="289">
        <f>SUM(P258:P259)</f>
        <v>1824.0929999999998</v>
      </c>
      <c r="Q260" s="199"/>
      <c r="R260" s="199"/>
      <c r="S260" s="199"/>
      <c r="T260" s="199"/>
      <c r="U260" s="289">
        <f>SUM(U258:U259)</f>
        <v>2141.3640000000005</v>
      </c>
      <c r="V260" s="199"/>
      <c r="W260" s="199"/>
      <c r="X260" s="199"/>
      <c r="Y260" s="199"/>
      <c r="Z260" s="289">
        <f>SUM(Z258:Z259)</f>
        <v>2504.9629999999997</v>
      </c>
      <c r="AA260" s="199"/>
      <c r="AB260" s="199"/>
      <c r="AC260" s="199"/>
      <c r="AD260" s="199"/>
      <c r="AE260" s="289">
        <f>SUM(AE258:AE259)</f>
        <v>2779.3070000000002</v>
      </c>
      <c r="AF260" s="199"/>
      <c r="AG260" s="199"/>
      <c r="AH260" s="199"/>
      <c r="AI260" s="199"/>
      <c r="AJ260" s="289">
        <f>SUM(AJ258:AJ259)</f>
        <v>2969.2230000000009</v>
      </c>
      <c r="AK260" s="199"/>
      <c r="AL260" s="199"/>
      <c r="AM260" s="199"/>
      <c r="AN260" s="199"/>
      <c r="AO260" s="289">
        <f>SUM(AO258:AO259)</f>
        <v>3435.6929999999993</v>
      </c>
      <c r="AP260" s="199"/>
      <c r="AQ260" s="199"/>
      <c r="AR260" s="199"/>
      <c r="AS260" s="199"/>
      <c r="AT260" s="289">
        <f>SUM(AT258:AT259)</f>
        <v>4137.6100000000006</v>
      </c>
      <c r="AU260" s="199"/>
      <c r="AV260" s="199"/>
      <c r="AW260" s="199"/>
      <c r="AX260" s="199"/>
      <c r="AY260" s="289">
        <f>SUM(AY258:AY259)</f>
        <v>5008.1660000000011</v>
      </c>
      <c r="AZ260" s="199"/>
      <c r="BA260" s="199"/>
      <c r="BB260" s="199"/>
      <c r="BC260" s="199"/>
      <c r="BD260" s="289">
        <f>SUM(BD258:BD259)</f>
        <v>5819.7249999999985</v>
      </c>
      <c r="BE260" s="199"/>
      <c r="BF260" s="199"/>
      <c r="BG260" s="199"/>
      <c r="BH260" s="199"/>
      <c r="BI260" s="289">
        <f>SUM(BI258:BI259)</f>
        <v>6445.4869999999992</v>
      </c>
      <c r="BJ260" s="199"/>
      <c r="BK260" s="199"/>
      <c r="BL260" s="199"/>
      <c r="BM260" s="199"/>
      <c r="BN260" s="289">
        <f>SUM(BN258:BN259)</f>
        <v>6645.463999999999</v>
      </c>
      <c r="BO260" s="199"/>
      <c r="BP260" s="199"/>
      <c r="BQ260" s="199"/>
      <c r="BR260" s="199"/>
      <c r="BS260" s="289">
        <f>SUM(BS258:BS259)</f>
        <v>7443</v>
      </c>
      <c r="BT260" s="199"/>
      <c r="BU260" s="199"/>
      <c r="BV260" s="199"/>
      <c r="BW260" s="199"/>
      <c r="BX260" s="289">
        <f>SUM(BX258:BX259)</f>
        <v>8723</v>
      </c>
      <c r="BY260" s="199"/>
      <c r="BZ260" s="199"/>
      <c r="CA260" s="199"/>
      <c r="CB260" s="199"/>
      <c r="CC260" s="289">
        <f t="shared" ref="CC260:DV260" si="1106">SUM(CC258:CC259)</f>
        <v>9427</v>
      </c>
      <c r="CD260" s="199">
        <f t="shared" si="1106"/>
        <v>9351</v>
      </c>
      <c r="CE260" s="199">
        <f t="shared" si="1106"/>
        <v>9624</v>
      </c>
      <c r="CF260" s="199">
        <f t="shared" si="1106"/>
        <v>9875</v>
      </c>
      <c r="CG260" s="199">
        <f t="shared" si="1106"/>
        <v>10094</v>
      </c>
      <c r="CH260" s="289">
        <f t="shared" si="1106"/>
        <v>10094</v>
      </c>
      <c r="CI260" s="199">
        <f t="shared" si="1106"/>
        <v>10285</v>
      </c>
      <c r="CJ260" s="199">
        <f t="shared" si="1106"/>
        <v>10487</v>
      </c>
      <c r="CK260" s="199">
        <f t="shared" si="1106"/>
        <v>10667</v>
      </c>
      <c r="CL260" s="199">
        <f t="shared" si="1106"/>
        <v>10874</v>
      </c>
      <c r="CM260" s="289">
        <f t="shared" si="1106"/>
        <v>10874</v>
      </c>
      <c r="CN260" s="199">
        <f t="shared" si="1106"/>
        <v>11091</v>
      </c>
      <c r="CO260" s="199">
        <f t="shared" si="1106"/>
        <v>11170</v>
      </c>
      <c r="CP260" s="199">
        <f t="shared" si="1106"/>
        <v>11198</v>
      </c>
      <c r="CQ260" s="199">
        <f t="shared" si="1106"/>
        <v>11040</v>
      </c>
      <c r="CR260" s="289">
        <f t="shared" si="1106"/>
        <v>11040</v>
      </c>
      <c r="CS260" s="199">
        <f t="shared" si="1106"/>
        <v>12106.649999999998</v>
      </c>
      <c r="CT260" s="199">
        <f t="shared" si="1106"/>
        <v>11935.975999999999</v>
      </c>
      <c r="CU260" s="199">
        <f t="shared" si="1106"/>
        <v>12018.388999999999</v>
      </c>
      <c r="CV260" s="199">
        <f t="shared" si="1106"/>
        <v>11954.039000000001</v>
      </c>
      <c r="CW260" s="289">
        <f t="shared" si="1106"/>
        <v>11954.039000000001</v>
      </c>
      <c r="CX260" s="199">
        <f>SUM(CX258:CX259)</f>
        <v>11935.862000000001</v>
      </c>
      <c r="CY260" s="199">
        <f>SUM(CY258:CY259)</f>
        <v>11940.309000000001</v>
      </c>
      <c r="CZ260" s="199">
        <f>SUM(CZ258:CZ259)</f>
        <v>11880.344000000001</v>
      </c>
      <c r="DA260" s="199">
        <f>SUM(DA258:DA259)</f>
        <v>11872.02</v>
      </c>
      <c r="DB260" s="289">
        <f t="shared" si="1106"/>
        <v>11872.02</v>
      </c>
      <c r="DC260" s="199">
        <f>SUM(DC258:DC259)</f>
        <v>11804.713</v>
      </c>
      <c r="DD260" s="199">
        <f>SUM(DD258:DD259)</f>
        <v>11721</v>
      </c>
      <c r="DE260" s="199">
        <f>SUM(DE258:DE259)</f>
        <v>11834</v>
      </c>
      <c r="DF260" s="199">
        <f>SUM(DF258:DF259)</f>
        <v>12127</v>
      </c>
      <c r="DG260" s="289">
        <f t="shared" si="1106"/>
        <v>12127</v>
      </c>
      <c r="DH260" s="199">
        <f t="shared" si="1106"/>
        <v>12095</v>
      </c>
      <c r="DI260" s="199">
        <f t="shared" si="1106"/>
        <v>12342</v>
      </c>
      <c r="DJ260" s="199">
        <f t="shared" si="1106"/>
        <v>12572</v>
      </c>
      <c r="DK260" s="199">
        <f t="shared" si="1106"/>
        <v>12766</v>
      </c>
      <c r="DL260" s="289">
        <f t="shared" si="1106"/>
        <v>12766</v>
      </c>
      <c r="DM260" s="199">
        <f t="shared" si="1106"/>
        <v>13130</v>
      </c>
      <c r="DN260" s="199">
        <f t="shared" si="1106"/>
        <v>13164</v>
      </c>
      <c r="DO260" s="199">
        <f t="shared" si="1106"/>
        <v>13203</v>
      </c>
      <c r="DP260" s="199">
        <f t="shared" si="1106"/>
        <v>13389</v>
      </c>
      <c r="DQ260" s="289">
        <f t="shared" si="1106"/>
        <v>13389</v>
      </c>
      <c r="DR260" s="199">
        <f t="shared" si="1106"/>
        <v>13420</v>
      </c>
      <c r="DS260" s="199">
        <f>SUM(DS258:DS259)</f>
        <v>13727</v>
      </c>
      <c r="DT260" s="199">
        <f>SUM(DT258:DT259)</f>
        <v>13965</v>
      </c>
      <c r="DU260" s="199">
        <f>SUM(DU258:DU259)</f>
        <v>14292</v>
      </c>
      <c r="DV260" s="289">
        <f t="shared" si="1106"/>
        <v>14292</v>
      </c>
      <c r="DW260" s="199">
        <f t="shared" ref="DW260:EA260" si="1107">SUM(DW258:DW259)</f>
        <v>14607</v>
      </c>
      <c r="DX260" s="199">
        <f t="shared" si="1107"/>
        <v>14860</v>
      </c>
      <c r="DY260" s="199">
        <f t="shared" si="1107"/>
        <v>14929</v>
      </c>
      <c r="DZ260" s="199">
        <f t="shared" si="1107"/>
        <v>15601</v>
      </c>
      <c r="EA260" s="289">
        <f t="shared" si="1107"/>
        <v>15601</v>
      </c>
      <c r="EB260" s="199">
        <f>SUM(EB258:EB259)</f>
        <v>15964</v>
      </c>
      <c r="EC260" s="199">
        <f>SUM(EC258:EC259)</f>
        <v>16294</v>
      </c>
      <c r="ED260" s="199">
        <f>SUM(ED258:ED259)</f>
        <v>16546</v>
      </c>
      <c r="EE260" s="199">
        <f>SUM(EE258:EE259)</f>
        <v>17044</v>
      </c>
      <c r="EF260" s="289">
        <f>SUM(EF258:EF259)</f>
        <v>17044</v>
      </c>
      <c r="EG260" s="199">
        <f t="shared" ref="EG260:EJ260" si="1108">SUM(EG258:EG259)</f>
        <v>17286</v>
      </c>
      <c r="EH260" s="199">
        <f t="shared" si="1108"/>
        <v>17679</v>
      </c>
      <c r="EI260" s="199">
        <f t="shared" si="1108"/>
        <v>18156</v>
      </c>
      <c r="EJ260" s="199">
        <f t="shared" si="1108"/>
        <v>18539</v>
      </c>
      <c r="EK260" s="289">
        <f>SUM(EK258:EK259)</f>
        <v>18539</v>
      </c>
      <c r="EL260" s="199">
        <f t="shared" ref="EL260:EO260" si="1109">SUM(EL258:EL259)</f>
        <v>17286</v>
      </c>
      <c r="EM260" s="199">
        <f t="shared" si="1109"/>
        <v>17679</v>
      </c>
      <c r="EN260" s="199">
        <f t="shared" si="1109"/>
        <v>18156</v>
      </c>
      <c r="EO260" s="199">
        <f t="shared" si="1109"/>
        <v>18539</v>
      </c>
      <c r="EP260" s="289">
        <f>SUM(EP258:EP259)</f>
        <v>18539</v>
      </c>
      <c r="EQ260" s="199">
        <f t="shared" ref="EQ260:ET260" si="1110">SUM(EQ258:EQ259)</f>
        <v>18727.8</v>
      </c>
      <c r="ER260" s="199">
        <f t="shared" si="1110"/>
        <v>18906.129999999997</v>
      </c>
      <c r="ES260" s="199">
        <f t="shared" si="1110"/>
        <v>19073.089999999997</v>
      </c>
      <c r="ET260" s="199">
        <f t="shared" si="1110"/>
        <v>19230.03</v>
      </c>
      <c r="EU260" s="289">
        <f>SUM(EU258:EU259)</f>
        <v>19230.03</v>
      </c>
      <c r="EV260" s="199"/>
      <c r="EW260" s="199"/>
      <c r="EX260" s="199"/>
      <c r="EY260" s="199"/>
      <c r="EZ260" s="289">
        <f>SUM(EZ258:EZ259)</f>
        <v>19884.7909</v>
      </c>
      <c r="FA260" s="199"/>
      <c r="FB260" s="199"/>
      <c r="FC260" s="199"/>
      <c r="FD260" s="199"/>
      <c r="FE260" s="289">
        <f>SUM(FE258:FE259)</f>
        <v>20502.194627000001</v>
      </c>
      <c r="FF260" s="55"/>
      <c r="FG260" s="467"/>
      <c r="FL260" s="376"/>
      <c r="FM260" s="376"/>
      <c r="FN260" s="377"/>
      <c r="FO260" s="377"/>
      <c r="FP260" s="377"/>
      <c r="FQ260" s="377"/>
      <c r="FR260" s="377"/>
      <c r="FS260" s="377"/>
      <c r="FT260" s="467"/>
    </row>
    <row r="261" spans="1:184" ht="12.75" customHeight="1" x14ac:dyDescent="0.2">
      <c r="A261" s="46" t="s">
        <v>74</v>
      </c>
      <c r="B261" s="839"/>
      <c r="C261" s="839"/>
      <c r="D261" s="839"/>
      <c r="E261" s="839"/>
      <c r="F261" s="279"/>
      <c r="G261" s="839"/>
      <c r="H261" s="839"/>
      <c r="I261" s="839"/>
      <c r="J261" s="839"/>
      <c r="K261" s="279"/>
      <c r="L261" s="839"/>
      <c r="M261" s="839"/>
      <c r="N261" s="839"/>
      <c r="O261" s="839"/>
      <c r="P261" s="851">
        <v>0</v>
      </c>
      <c r="Q261" s="839"/>
      <c r="R261" s="839"/>
      <c r="S261" s="839"/>
      <c r="T261" s="839"/>
      <c r="U261" s="851">
        <v>0</v>
      </c>
      <c r="V261" s="839"/>
      <c r="W261" s="839"/>
      <c r="X261" s="839"/>
      <c r="Y261" s="839"/>
      <c r="Z261" s="851">
        <v>0</v>
      </c>
      <c r="AA261" s="839"/>
      <c r="AB261" s="839"/>
      <c r="AC261" s="839"/>
      <c r="AD261" s="839"/>
      <c r="AE261" s="851">
        <v>0</v>
      </c>
      <c r="AF261" s="839"/>
      <c r="AG261" s="839"/>
      <c r="AH261" s="839"/>
      <c r="AI261" s="839"/>
      <c r="AJ261" s="851">
        <v>0</v>
      </c>
      <c r="AK261" s="839"/>
      <c r="AL261" s="839"/>
      <c r="AM261" s="839"/>
      <c r="AN261" s="839"/>
      <c r="AO261" s="851">
        <v>0</v>
      </c>
      <c r="AP261" s="839"/>
      <c r="AQ261" s="839"/>
      <c r="AR261" s="839"/>
      <c r="AS261" s="839"/>
      <c r="AT261" s="851">
        <v>0</v>
      </c>
      <c r="AU261" s="839"/>
      <c r="AV261" s="839"/>
      <c r="AW261" s="839"/>
      <c r="AX261" s="839"/>
      <c r="AY261" s="851">
        <v>0</v>
      </c>
      <c r="AZ261" s="839"/>
      <c r="BA261" s="839"/>
      <c r="BB261" s="839"/>
      <c r="BC261" s="839"/>
      <c r="BD261" s="851">
        <v>0</v>
      </c>
      <c r="BE261" s="839"/>
      <c r="BF261" s="839"/>
      <c r="BG261" s="839"/>
      <c r="BH261" s="839"/>
      <c r="BI261" s="851">
        <v>0</v>
      </c>
      <c r="BJ261" s="839"/>
      <c r="BK261" s="839"/>
      <c r="BL261" s="839"/>
      <c r="BM261" s="839"/>
      <c r="BN261" s="851">
        <v>0</v>
      </c>
      <c r="BO261" s="839"/>
      <c r="BP261" s="839"/>
      <c r="BQ261" s="839"/>
      <c r="BR261" s="839"/>
      <c r="BS261" s="851">
        <v>0</v>
      </c>
      <c r="BT261" s="839"/>
      <c r="BU261" s="839"/>
      <c r="BV261" s="839"/>
      <c r="BW261" s="839"/>
      <c r="BX261" s="851">
        <v>0</v>
      </c>
      <c r="BY261" s="839"/>
      <c r="BZ261" s="839"/>
      <c r="CA261" s="839"/>
      <c r="CB261" s="839"/>
      <c r="CC261" s="851">
        <v>0</v>
      </c>
      <c r="CD261" s="839">
        <v>0</v>
      </c>
      <c r="CE261" s="839">
        <v>0</v>
      </c>
      <c r="CF261" s="839">
        <v>0</v>
      </c>
      <c r="CG261" s="839">
        <v>0</v>
      </c>
      <c r="CH261" s="120">
        <v>0</v>
      </c>
      <c r="CI261" s="839">
        <v>0</v>
      </c>
      <c r="CJ261" s="839">
        <v>0</v>
      </c>
      <c r="CK261" s="839">
        <v>0</v>
      </c>
      <c r="CL261" s="839">
        <v>0</v>
      </c>
      <c r="CM261" s="120">
        <v>0</v>
      </c>
      <c r="CN261" s="839">
        <v>0</v>
      </c>
      <c r="CO261" s="839">
        <v>0</v>
      </c>
      <c r="CP261" s="839">
        <v>0</v>
      </c>
      <c r="CQ261" s="839">
        <v>0</v>
      </c>
      <c r="CR261" s="120">
        <v>0</v>
      </c>
      <c r="CS261" s="839">
        <v>0</v>
      </c>
      <c r="CT261" s="839">
        <v>0</v>
      </c>
      <c r="CU261" s="839">
        <v>0</v>
      </c>
      <c r="CV261" s="839">
        <v>0</v>
      </c>
      <c r="CW261" s="120">
        <f>CV261</f>
        <v>0</v>
      </c>
      <c r="CX261" s="839">
        <v>0</v>
      </c>
      <c r="CY261" s="839">
        <v>0</v>
      </c>
      <c r="CZ261" s="839">
        <v>0</v>
      </c>
      <c r="DA261" s="839">
        <v>0</v>
      </c>
      <c r="DB261" s="120">
        <f>DA261</f>
        <v>0</v>
      </c>
      <c r="DC261" s="839">
        <v>0</v>
      </c>
      <c r="DD261" s="839">
        <v>971</v>
      </c>
      <c r="DE261" s="839">
        <v>970</v>
      </c>
      <c r="DF261" s="839">
        <v>970</v>
      </c>
      <c r="DG261" s="120">
        <f>DF261</f>
        <v>970</v>
      </c>
      <c r="DH261" s="839">
        <v>970</v>
      </c>
      <c r="DI261" s="839">
        <v>970</v>
      </c>
      <c r="DJ261" s="839">
        <v>970</v>
      </c>
      <c r="DK261" s="839">
        <v>970</v>
      </c>
      <c r="DL261" s="120">
        <f>DK261</f>
        <v>970</v>
      </c>
      <c r="DM261" s="839">
        <v>970</v>
      </c>
      <c r="DN261" s="839">
        <v>970</v>
      </c>
      <c r="DO261" s="839">
        <v>970</v>
      </c>
      <c r="DP261" s="839">
        <v>970</v>
      </c>
      <c r="DQ261" s="120">
        <f>DP261</f>
        <v>970</v>
      </c>
      <c r="DR261" s="839">
        <v>970</v>
      </c>
      <c r="DS261" s="839">
        <v>970</v>
      </c>
      <c r="DT261" s="839">
        <v>970</v>
      </c>
      <c r="DU261" s="839">
        <v>970</v>
      </c>
      <c r="DV261" s="120">
        <f>DU261</f>
        <v>970</v>
      </c>
      <c r="DW261" s="839">
        <v>970</v>
      </c>
      <c r="DX261" s="839">
        <v>970</v>
      </c>
      <c r="DY261" s="839">
        <v>970</v>
      </c>
      <c r="DZ261" s="839">
        <v>970</v>
      </c>
      <c r="EA261" s="120">
        <f t="shared" ref="EA261:EA262" si="1111">DZ261</f>
        <v>970</v>
      </c>
      <c r="EB261" s="839">
        <v>970</v>
      </c>
      <c r="EC261" s="839">
        <v>970</v>
      </c>
      <c r="ED261" s="839">
        <v>970</v>
      </c>
      <c r="EE261" s="839">
        <v>970</v>
      </c>
      <c r="EF261" s="120">
        <f>EE261</f>
        <v>970</v>
      </c>
      <c r="EG261" s="839">
        <v>970</v>
      </c>
      <c r="EH261" s="839">
        <v>970</v>
      </c>
      <c r="EI261" s="839">
        <v>970</v>
      </c>
      <c r="EJ261" s="839">
        <v>970</v>
      </c>
      <c r="EK261" s="120">
        <f>EJ261</f>
        <v>970</v>
      </c>
      <c r="EL261" s="839">
        <v>970</v>
      </c>
      <c r="EM261" s="839">
        <v>970</v>
      </c>
      <c r="EN261" s="839">
        <v>970</v>
      </c>
      <c r="EO261" s="839">
        <v>970</v>
      </c>
      <c r="EP261" s="120">
        <f t="shared" ref="EP261:EU262" si="1112">EO261</f>
        <v>970</v>
      </c>
      <c r="EQ261" s="23">
        <f t="shared" si="1112"/>
        <v>970</v>
      </c>
      <c r="ER261" s="23">
        <f t="shared" si="1112"/>
        <v>970</v>
      </c>
      <c r="ES261" s="23">
        <f t="shared" si="1112"/>
        <v>970</v>
      </c>
      <c r="ET261" s="23">
        <f t="shared" si="1112"/>
        <v>970</v>
      </c>
      <c r="EU261" s="120">
        <f t="shared" si="1112"/>
        <v>970</v>
      </c>
      <c r="EV261" s="23"/>
      <c r="EW261" s="23"/>
      <c r="EX261" s="23"/>
      <c r="EY261" s="23"/>
      <c r="EZ261" s="120">
        <f>EU261</f>
        <v>970</v>
      </c>
      <c r="FA261" s="23"/>
      <c r="FB261" s="23"/>
      <c r="FC261" s="23"/>
      <c r="FD261" s="23"/>
      <c r="FE261" s="120">
        <f>EZ261</f>
        <v>970</v>
      </c>
      <c r="FF261" s="168"/>
      <c r="FG261" s="470"/>
      <c r="FL261" s="376"/>
      <c r="FM261" s="376"/>
      <c r="FN261" s="376"/>
      <c r="FO261" s="376"/>
      <c r="FP261" s="376"/>
      <c r="FQ261" s="376"/>
      <c r="FR261" s="376"/>
      <c r="FS261" s="376"/>
      <c r="FT261" s="470"/>
      <c r="GB261" s="399"/>
    </row>
    <row r="262" spans="1:184" ht="12.75" customHeight="1" x14ac:dyDescent="0.2">
      <c r="A262" s="174" t="s">
        <v>397</v>
      </c>
      <c r="B262" s="839"/>
      <c r="C262" s="839"/>
      <c r="D262" s="839"/>
      <c r="E262" s="839"/>
      <c r="F262" s="279"/>
      <c r="G262" s="839"/>
      <c r="H262" s="839"/>
      <c r="I262" s="839"/>
      <c r="J262" s="839"/>
      <c r="K262" s="279"/>
      <c r="L262" s="839"/>
      <c r="M262" s="839"/>
      <c r="N262" s="839"/>
      <c r="O262" s="839"/>
      <c r="P262" s="120">
        <f>P265-P256-P260-P261</f>
        <v>2.8690000000003693</v>
      </c>
      <c r="Q262" s="839"/>
      <c r="R262" s="839"/>
      <c r="S262" s="839"/>
      <c r="T262" s="839"/>
      <c r="U262" s="120">
        <f>U265-U256-U260-U261</f>
        <v>2.6489999999994325</v>
      </c>
      <c r="V262" s="839"/>
      <c r="W262" s="839"/>
      <c r="X262" s="839"/>
      <c r="Y262" s="839"/>
      <c r="Z262" s="120">
        <f>Z265-Z256-Z260-Z261</f>
        <v>3.2100000000000364</v>
      </c>
      <c r="AA262" s="839"/>
      <c r="AB262" s="839"/>
      <c r="AC262" s="839"/>
      <c r="AD262" s="839"/>
      <c r="AE262" s="120">
        <f>AE265-AE256-AE260-AE261</f>
        <v>3.6789999999996326</v>
      </c>
      <c r="AF262" s="839"/>
      <c r="AG262" s="839"/>
      <c r="AH262" s="839"/>
      <c r="AI262" s="839"/>
      <c r="AJ262" s="120">
        <f>AJ265-AJ256-AJ260-AJ261</f>
        <v>3.2659999999987122</v>
      </c>
      <c r="AK262" s="839"/>
      <c r="AL262" s="839"/>
      <c r="AM262" s="839"/>
      <c r="AN262" s="839"/>
      <c r="AO262" s="120">
        <f>AO265-AO256-AO260-AO261</f>
        <v>4.0510000000003856</v>
      </c>
      <c r="AP262" s="839"/>
      <c r="AQ262" s="839"/>
      <c r="AR262" s="839"/>
      <c r="AS262" s="839"/>
      <c r="AT262" s="120">
        <f>AT265-AT256-AT260-AT261</f>
        <v>4.2309999999997672</v>
      </c>
      <c r="AU262" s="839"/>
      <c r="AV262" s="839"/>
      <c r="AW262" s="839"/>
      <c r="AX262" s="839"/>
      <c r="AY262" s="120">
        <f>AY265-AY256-AY260-AY261</f>
        <v>12.941999999999098</v>
      </c>
      <c r="AZ262" s="839"/>
      <c r="BA262" s="839"/>
      <c r="BB262" s="839"/>
      <c r="BC262" s="839"/>
      <c r="BD262" s="120">
        <f>BD265-BD256-BD260-BD261</f>
        <v>18.311000000001513</v>
      </c>
      <c r="BE262" s="839"/>
      <c r="BF262" s="839"/>
      <c r="BG262" s="839"/>
      <c r="BH262" s="839"/>
      <c r="BI262" s="120">
        <f>BI265-BI256-BI260-BI261</f>
        <v>31.4350000000004</v>
      </c>
      <c r="BJ262" s="839"/>
      <c r="BK262" s="839"/>
      <c r="BL262" s="839"/>
      <c r="BM262" s="839"/>
      <c r="BN262" s="120">
        <f>BN265-BN256-BN260-BN261</f>
        <v>76.326000000000931</v>
      </c>
      <c r="BO262" s="839"/>
      <c r="BP262" s="839"/>
      <c r="BQ262" s="839"/>
      <c r="BR262" s="839"/>
      <c r="BS262" s="120">
        <f>BS265-BS256-BS260-BS261</f>
        <v>122</v>
      </c>
      <c r="BT262" s="839"/>
      <c r="BU262" s="839"/>
      <c r="BV262" s="839"/>
      <c r="BW262" s="839"/>
      <c r="BX262" s="120">
        <f>BX265-BX256-BX260-BX261</f>
        <v>442</v>
      </c>
      <c r="BY262" s="839"/>
      <c r="BZ262" s="839"/>
      <c r="CA262" s="839"/>
      <c r="CB262" s="839"/>
      <c r="CC262" s="120">
        <f t="shared" ref="CC262:CV262" si="1113">CC265-CC256-CC260-CC261</f>
        <v>1171</v>
      </c>
      <c r="CD262" s="839">
        <f t="shared" si="1113"/>
        <v>1280</v>
      </c>
      <c r="CE262" s="839">
        <f t="shared" si="1113"/>
        <v>1362</v>
      </c>
      <c r="CF262" s="839">
        <f t="shared" si="1113"/>
        <v>911</v>
      </c>
      <c r="CG262" s="839">
        <f t="shared" si="1113"/>
        <v>765</v>
      </c>
      <c r="CH262" s="120">
        <f t="shared" si="1113"/>
        <v>765</v>
      </c>
      <c r="CI262" s="839">
        <f t="shared" si="1113"/>
        <v>954</v>
      </c>
      <c r="CJ262" s="839">
        <f t="shared" si="1113"/>
        <v>1060</v>
      </c>
      <c r="CK262" s="839">
        <f t="shared" si="1113"/>
        <v>987</v>
      </c>
      <c r="CL262" s="839">
        <f t="shared" si="1113"/>
        <v>1455</v>
      </c>
      <c r="CM262" s="120">
        <f t="shared" si="1113"/>
        <v>1455</v>
      </c>
      <c r="CN262" s="839">
        <f t="shared" si="1113"/>
        <v>1890</v>
      </c>
      <c r="CO262" s="839">
        <f t="shared" si="1113"/>
        <v>3163</v>
      </c>
      <c r="CP262" s="839">
        <f t="shared" si="1113"/>
        <v>1676</v>
      </c>
      <c r="CQ262" s="839">
        <f t="shared" si="1113"/>
        <v>375</v>
      </c>
      <c r="CR262" s="120">
        <f t="shared" si="1113"/>
        <v>375</v>
      </c>
      <c r="CS262" s="839">
        <f t="shared" si="1113"/>
        <v>570.06300000000192</v>
      </c>
      <c r="CT262" s="839">
        <f t="shared" si="1113"/>
        <v>481.83000000000175</v>
      </c>
      <c r="CU262" s="839">
        <f t="shared" si="1113"/>
        <v>477.56100000000151</v>
      </c>
      <c r="CV262" s="839">
        <f t="shared" si="1113"/>
        <v>483.70999999999913</v>
      </c>
      <c r="CW262" s="120">
        <f>CV262</f>
        <v>483.70999999999913</v>
      </c>
      <c r="CX262" s="839">
        <f>CX265-CX256-CX260-CX261</f>
        <v>497.11999999999898</v>
      </c>
      <c r="CY262" s="839">
        <f>CY265-CY256-CY260-CY261</f>
        <v>583.77699999999822</v>
      </c>
      <c r="CZ262" s="839">
        <f>CZ265-CZ256-CZ260-CZ261</f>
        <v>729.86499999999796</v>
      </c>
      <c r="DA262" s="839">
        <f>DA265-DA256-DA260-DA261</f>
        <v>811.02699999999822</v>
      </c>
      <c r="DB262" s="120">
        <f>DA262</f>
        <v>811.02699999999822</v>
      </c>
      <c r="DC262" s="839">
        <f>DC265-DC256-DC260-DC261</f>
        <v>1293.0180000000018</v>
      </c>
      <c r="DD262" s="839">
        <f>DD265-DD256-DD260-DD261</f>
        <v>832</v>
      </c>
      <c r="DE262" s="839">
        <f>DE265-DE256-DE260-DE261</f>
        <v>487</v>
      </c>
      <c r="DF262" s="839">
        <f>DF265-DF256-DF260-DF261</f>
        <v>626</v>
      </c>
      <c r="DG262" s="120">
        <f>DF262</f>
        <v>626</v>
      </c>
      <c r="DH262" s="839">
        <v>641</v>
      </c>
      <c r="DI262" s="839">
        <v>513</v>
      </c>
      <c r="DJ262" s="839">
        <v>619</v>
      </c>
      <c r="DK262" s="839">
        <v>633</v>
      </c>
      <c r="DL262" s="120">
        <f>DK262</f>
        <v>633</v>
      </c>
      <c r="DM262" s="839">
        <v>583</v>
      </c>
      <c r="DN262" s="839">
        <v>384</v>
      </c>
      <c r="DO262" s="839">
        <v>418</v>
      </c>
      <c r="DP262" s="839">
        <v>530</v>
      </c>
      <c r="DQ262" s="120">
        <f>DP262</f>
        <v>530</v>
      </c>
      <c r="DR262" s="839">
        <v>772</v>
      </c>
      <c r="DS262" s="839">
        <v>877</v>
      </c>
      <c r="DT262" s="839">
        <v>702</v>
      </c>
      <c r="DU262" s="839">
        <v>534</v>
      </c>
      <c r="DV262" s="120">
        <f>DU262</f>
        <v>534</v>
      </c>
      <c r="DW262" s="839">
        <v>623</v>
      </c>
      <c r="DX262" s="839">
        <v>649</v>
      </c>
      <c r="DY262" s="839">
        <v>687</v>
      </c>
      <c r="DZ262" s="839">
        <v>717</v>
      </c>
      <c r="EA262" s="120">
        <f t="shared" si="1111"/>
        <v>717</v>
      </c>
      <c r="EB262" s="839">
        <v>733</v>
      </c>
      <c r="EC262" s="839">
        <v>714</v>
      </c>
      <c r="ED262" s="839">
        <v>690</v>
      </c>
      <c r="EE262" s="839">
        <v>774</v>
      </c>
      <c r="EF262" s="120">
        <f>EE262</f>
        <v>774</v>
      </c>
      <c r="EG262" s="839">
        <v>849</v>
      </c>
      <c r="EH262" s="839">
        <v>929</v>
      </c>
      <c r="EI262" s="839">
        <v>843</v>
      </c>
      <c r="EJ262" s="839">
        <v>786</v>
      </c>
      <c r="EK262" s="120">
        <f>EJ262</f>
        <v>786</v>
      </c>
      <c r="EL262" s="839">
        <v>849</v>
      </c>
      <c r="EM262" s="839">
        <v>929</v>
      </c>
      <c r="EN262" s="839">
        <v>843</v>
      </c>
      <c r="EO262" s="839">
        <v>786</v>
      </c>
      <c r="EP262" s="120">
        <f t="shared" si="1112"/>
        <v>786</v>
      </c>
      <c r="EQ262" s="23">
        <f t="shared" si="1112"/>
        <v>786</v>
      </c>
      <c r="ER262" s="23">
        <f t="shared" si="1112"/>
        <v>786</v>
      </c>
      <c r="ES262" s="23">
        <f t="shared" si="1112"/>
        <v>786</v>
      </c>
      <c r="ET262" s="23">
        <f t="shared" si="1112"/>
        <v>786</v>
      </c>
      <c r="EU262" s="120">
        <f t="shared" si="1112"/>
        <v>786</v>
      </c>
      <c r="EV262" s="23"/>
      <c r="EW262" s="23"/>
      <c r="EX262" s="23"/>
      <c r="EY262" s="23"/>
      <c r="EZ262" s="120">
        <f>EU262</f>
        <v>786</v>
      </c>
      <c r="FA262" s="23"/>
      <c r="FB262" s="23"/>
      <c r="FC262" s="23"/>
      <c r="FD262" s="23"/>
      <c r="FE262" s="120">
        <f>EZ262</f>
        <v>786</v>
      </c>
      <c r="FF262" s="23"/>
      <c r="FG262" s="444"/>
      <c r="FL262" s="376"/>
      <c r="FM262" s="376"/>
      <c r="FN262" s="376"/>
      <c r="FO262" s="376"/>
      <c r="FP262" s="376"/>
      <c r="FQ262" s="376"/>
      <c r="FR262" s="376"/>
      <c r="FS262" s="376"/>
      <c r="FT262" s="444"/>
      <c r="GB262" s="399"/>
    </row>
    <row r="263" spans="1:184" ht="12.75" customHeight="1" x14ac:dyDescent="0.2">
      <c r="A263" s="86" t="s">
        <v>358</v>
      </c>
      <c r="B263" s="24"/>
      <c r="C263" s="24"/>
      <c r="D263" s="24"/>
      <c r="E263" s="24"/>
      <c r="F263" s="258"/>
      <c r="G263" s="24"/>
      <c r="H263" s="24"/>
      <c r="I263" s="24"/>
      <c r="J263" s="24"/>
      <c r="K263" s="258"/>
      <c r="L263" s="24"/>
      <c r="M263" s="24"/>
      <c r="N263" s="24"/>
      <c r="O263" s="24"/>
      <c r="P263" s="104"/>
      <c r="Q263" s="24"/>
      <c r="R263" s="24"/>
      <c r="S263" s="24"/>
      <c r="T263" s="24"/>
      <c r="U263" s="104"/>
      <c r="V263" s="24"/>
      <c r="W263" s="24"/>
      <c r="X263" s="24"/>
      <c r="Y263" s="24"/>
      <c r="Z263" s="104">
        <f>Z262/Model!Z$109</f>
        <v>1.2384579385346906E-3</v>
      </c>
      <c r="AA263" s="24"/>
      <c r="AB263" s="24"/>
      <c r="AC263" s="24"/>
      <c r="AD263" s="24"/>
      <c r="AE263" s="104">
        <f>AE262/Model!AE$109</f>
        <v>1.2806539794084602E-3</v>
      </c>
      <c r="AF263" s="24"/>
      <c r="AG263" s="24"/>
      <c r="AH263" s="24"/>
      <c r="AI263" s="24"/>
      <c r="AJ263" s="104">
        <f>AJ262/Model!AJ$109</f>
        <v>9.5884820781074115E-4</v>
      </c>
      <c r="AK263" s="24"/>
      <c r="AL263" s="24"/>
      <c r="AM263" s="24"/>
      <c r="AN263" s="24"/>
      <c r="AO263" s="104">
        <f>AO262/Model!AO$109</f>
        <v>1.06135446226071E-3</v>
      </c>
      <c r="AP263" s="24"/>
      <c r="AQ263" s="24"/>
      <c r="AR263" s="24"/>
      <c r="AS263" s="24"/>
      <c r="AT263" s="104">
        <f>AT262/Model!AT$109</f>
        <v>1.0160951781708288E-3</v>
      </c>
      <c r="AU263" s="24"/>
      <c r="AV263" s="24"/>
      <c r="AW263" s="24"/>
      <c r="AX263" s="24"/>
      <c r="AY263" s="104">
        <f>AY262/Model!AY$109</f>
        <v>2.7329241337977952E-3</v>
      </c>
      <c r="AZ263" s="24"/>
      <c r="BA263" s="24"/>
      <c r="BB263" s="24"/>
      <c r="BC263" s="24"/>
      <c r="BD263" s="104">
        <f>BD262/Model!BD$109</f>
        <v>3.2411373629099463E-3</v>
      </c>
      <c r="BE263" s="24"/>
      <c r="BF263" s="24"/>
      <c r="BG263" s="24"/>
      <c r="BH263" s="24"/>
      <c r="BI263" s="104">
        <f>BI262/Model!BI$109</f>
        <v>5.6586886387357807E-3</v>
      </c>
      <c r="BJ263" s="24"/>
      <c r="BK263" s="24"/>
      <c r="BL263" s="24"/>
      <c r="BM263" s="24"/>
      <c r="BN263" s="104">
        <f>BN262/Model!BN$109</f>
        <v>1.3913449905218598E-2</v>
      </c>
      <c r="BO263" s="24"/>
      <c r="BP263" s="24"/>
      <c r="BQ263" s="24"/>
      <c r="BR263" s="24"/>
      <c r="BS263" s="104">
        <f>BS262/Model!BS$109</f>
        <v>2.055256064690027E-2</v>
      </c>
      <c r="BT263" s="24"/>
      <c r="BU263" s="24"/>
      <c r="BV263" s="24"/>
      <c r="BW263" s="24"/>
      <c r="BX263" s="104">
        <f>BX262/Model!BX$109</f>
        <v>6.7697962934599482E-2</v>
      </c>
      <c r="BY263" s="24"/>
      <c r="BZ263" s="24"/>
      <c r="CA263" s="24"/>
      <c r="CB263" s="24"/>
      <c r="CC263" s="104">
        <f>CC262/Model!CC$109</f>
        <v>0.1544243703019913</v>
      </c>
      <c r="CD263" s="24">
        <f>CD262/Model!CD$174</f>
        <v>0.16122937397657136</v>
      </c>
      <c r="CE263" s="24">
        <f>CE262/Model!CE$174</f>
        <v>0.16129796305068689</v>
      </c>
      <c r="CF263" s="24">
        <f>CF262/Model!CF$174</f>
        <v>0.10355803114698192</v>
      </c>
      <c r="CG263" s="24">
        <f>CG262/Model!CG$174</f>
        <v>8.4195465551397758E-2</v>
      </c>
      <c r="CH263" s="104">
        <f>CH262/Model!CH$174</f>
        <v>8.4195465551397758E-2</v>
      </c>
      <c r="CI263" s="24">
        <f>CI262/Model!CI$174</f>
        <v>0.1029681597409606</v>
      </c>
      <c r="CJ263" s="24">
        <f>CJ262/Model!CJ$174</f>
        <v>0.11277795510160656</v>
      </c>
      <c r="CK263" s="24">
        <f>CK262/Model!CK$174</f>
        <v>0.10233281493001556</v>
      </c>
      <c r="CL263" s="24">
        <f>CL262/Model!CL$174</f>
        <v>0.14755095832065712</v>
      </c>
      <c r="CM263" s="104">
        <f>CM262/Model!CM$174</f>
        <v>0.14755095832065712</v>
      </c>
      <c r="CN263" s="24">
        <f>CN262/Model!CN$174</f>
        <v>0.18542136760521927</v>
      </c>
      <c r="CO263" s="24">
        <f>CO262/Model!CO$174</f>
        <v>0.30184177879568663</v>
      </c>
      <c r="CP263" s="24">
        <f>CP262/Model!CP$174</f>
        <v>0.15544425895010203</v>
      </c>
      <c r="CQ263" s="24">
        <f>CQ262/Model!CQ$174</f>
        <v>3.4016690856313495E-2</v>
      </c>
      <c r="CR263" s="104">
        <f>CR262/Model!CR$174</f>
        <v>3.4016690856313495E-2</v>
      </c>
      <c r="CS263" s="24">
        <f>CS262/Model!CS$174</f>
        <v>5.0036447962798235E-2</v>
      </c>
      <c r="CT263" s="24">
        <f>CT262/Model!CT$174</f>
        <v>4.1029128356464363E-2</v>
      </c>
      <c r="CU263" s="24">
        <f>CU262/Model!CU$174</f>
        <v>3.9415698732503647E-2</v>
      </c>
      <c r="CV263" s="24">
        <f>CV262/Model!CV$174</f>
        <v>3.8110081574530663E-2</v>
      </c>
      <c r="CW263" s="104">
        <f>CW262/Model!CW$174</f>
        <v>3.8110081574530663E-2</v>
      </c>
      <c r="CX263" s="24">
        <f>CX262/Model!CX$174</f>
        <v>3.8155974673618663E-2</v>
      </c>
      <c r="CY263" s="24">
        <f>CY262/Model!CY$174</f>
        <v>4.2680075084213724E-2</v>
      </c>
      <c r="CZ263" s="24">
        <f>CZ262/Model!CZ$174</f>
        <v>5.1130426108017241E-2</v>
      </c>
      <c r="DA263" s="24">
        <f>DA262/Model!DA$174</f>
        <v>5.5081447535716907E-2</v>
      </c>
      <c r="DB263" s="104">
        <f>DB262/Model!DB$174</f>
        <v>5.5081447535716907E-2</v>
      </c>
      <c r="DC263" s="24">
        <f>DC262/Model!DC$174</f>
        <v>8.4743437734528262E-2</v>
      </c>
      <c r="DD263" s="24">
        <f>DD262/Model!DD$174</f>
        <v>5.2671459051960585E-2</v>
      </c>
      <c r="DE263" s="24">
        <f>DE262/Model!DE$174</f>
        <v>2.9974707378843557E-2</v>
      </c>
      <c r="DF263" s="24">
        <f>DF262/Model!DF$174</f>
        <v>3.7722135017403707E-2</v>
      </c>
      <c r="DG263" s="104">
        <f>DG262/Model!DG$174</f>
        <v>3.7722135017403707E-2</v>
      </c>
      <c r="DH263" s="24">
        <f>DH262/Model!DH$174</f>
        <v>3.8116191948623417E-2</v>
      </c>
      <c r="DI263" s="24">
        <f>DI262/Model!DI$174</f>
        <v>3.0130388817103254E-2</v>
      </c>
      <c r="DJ263" s="24">
        <f>DJ262/Model!DJ$174</f>
        <v>3.6360432330827065E-2</v>
      </c>
      <c r="DK263" s="24">
        <f>DK262/Model!DK$174</f>
        <v>3.7041371642577099E-2</v>
      </c>
      <c r="DL263" s="104">
        <f>DL262/Model!DL$174</f>
        <v>3.7041371642577099E-2</v>
      </c>
      <c r="DM263" s="24">
        <f>DM262/Model!DM$174</f>
        <v>3.3930857874519847E-2</v>
      </c>
      <c r="DN263" s="24">
        <f>DN262/Model!DN$174</f>
        <v>2.2313905514556337E-2</v>
      </c>
      <c r="DO263" s="24">
        <f>DO262/Model!DO$174</f>
        <v>2.3961020349670393E-2</v>
      </c>
      <c r="DP263" s="24">
        <f>DP262/Model!DP$174</f>
        <v>2.9943502824858758E-2</v>
      </c>
      <c r="DQ263" s="104">
        <f>DQ262/Model!DQ$174</f>
        <v>2.9943502824858758E-2</v>
      </c>
      <c r="DR263" s="24">
        <f>DR262/Model!DR$174</f>
        <v>4.3414689011359801E-2</v>
      </c>
      <c r="DS263" s="24">
        <f>DS262/Model!DS$174</f>
        <v>4.8319559228650139E-2</v>
      </c>
      <c r="DT263" s="24">
        <f>DT262/Model!DT$174</f>
        <v>3.8141809290953545E-2</v>
      </c>
      <c r="DU263" s="24">
        <f>DU262/Model!DU$174</f>
        <v>2.8701961838215533E-2</v>
      </c>
      <c r="DV263" s="104">
        <f>DV262/Model!DV$174</f>
        <v>2.8701961838215533E-2</v>
      </c>
      <c r="DW263" s="24">
        <f>DW262/Model!DW$174</f>
        <v>3.3045138704715427E-2</v>
      </c>
      <c r="DX263" s="24">
        <f>DX262/Model!DX$174</f>
        <v>3.4242600116076612E-2</v>
      </c>
      <c r="DY263" s="24">
        <f>DY262/Model!DY$174</f>
        <v>3.5597699362661279E-2</v>
      </c>
      <c r="DZ263" s="24">
        <f>DZ262/Model!DZ$174</f>
        <v>3.6492263843648211E-2</v>
      </c>
      <c r="EA263" s="104">
        <f>EA262/Model!EA$174</f>
        <v>3.6492263843648211E-2</v>
      </c>
      <c r="EB263" s="24">
        <f>EB262/Model!EB$174</f>
        <v>3.6540378863409773E-2</v>
      </c>
      <c r="EC263" s="24">
        <f>EC262/Model!EC$174</f>
        <v>3.5115329759504252E-2</v>
      </c>
      <c r="ED263" s="24">
        <f>ED262/Model!ED$174</f>
        <v>3.3946669290563808E-2</v>
      </c>
      <c r="EE263" s="24">
        <f>EE262/Model!EE$174</f>
        <v>3.7894736842105266E-2</v>
      </c>
      <c r="EF263" s="104">
        <f>EF262/Model!EF$174</f>
        <v>3.7894736842105266E-2</v>
      </c>
      <c r="EG263" s="24">
        <f>EG262/Model!EG$174</f>
        <v>4.1451030172834684E-2</v>
      </c>
      <c r="EH263" s="24">
        <f>EH262/Model!EH$174</f>
        <v>4.4573457441704253E-2</v>
      </c>
      <c r="EI263" s="24">
        <f>EI262/Model!EI$174</f>
        <v>4.0192619433584438E-2</v>
      </c>
      <c r="EJ263" s="24">
        <f>EJ262/Model!EJ$174</f>
        <v>3.7124504061968641E-2</v>
      </c>
      <c r="EK263" s="104">
        <f>EK262/Model!EK$174</f>
        <v>3.7124504061968641E-2</v>
      </c>
      <c r="EL263" s="24">
        <f>EL262/Model!EL$174</f>
        <v>4.0155134086931846E-2</v>
      </c>
      <c r="EM263" s="24">
        <f>EM262/Model!EM$174</f>
        <v>4.3965925224798863E-2</v>
      </c>
      <c r="EN263" s="24">
        <f>EN262/Model!EN$174</f>
        <v>3.9835554295435213E-2</v>
      </c>
      <c r="EO263" s="24">
        <f>EO262/Model!EO$174</f>
        <v>3.7170150383051166E-2</v>
      </c>
      <c r="EP263" s="104">
        <f>EP262/Model!EP$174</f>
        <v>3.7170150383051166E-2</v>
      </c>
      <c r="EQ263" s="24">
        <f>EQ262/Model!EQ$174</f>
        <v>3.6999929256700148E-2</v>
      </c>
      <c r="ER263" s="24">
        <f>ER262/Model!ER$174</f>
        <v>3.6692294310931746E-2</v>
      </c>
      <c r="ES263" s="24">
        <f>ES262/Model!ES$174</f>
        <v>3.6189929623874934E-2</v>
      </c>
      <c r="ET263" s="24">
        <f>ET262/Model!ET$174</f>
        <v>3.5400973809447067E-2</v>
      </c>
      <c r="EU263" s="104">
        <f>EU262/Model!EU$174</f>
        <v>3.5400973809447067E-2</v>
      </c>
      <c r="EV263" s="24"/>
      <c r="EW263" s="24"/>
      <c r="EX263" s="24"/>
      <c r="EY263" s="24"/>
      <c r="EZ263" s="104">
        <f>EZ262/Model!EZ$174</f>
        <v>3.3353435821634601E-2</v>
      </c>
      <c r="FA263" s="24"/>
      <c r="FB263" s="24"/>
      <c r="FC263" s="24"/>
      <c r="FD263" s="24"/>
      <c r="FE263" s="104">
        <f>FE262/Model!FE$174</f>
        <v>3.1459610226030096E-2</v>
      </c>
      <c r="FF263" s="24"/>
      <c r="FG263" s="465"/>
      <c r="FL263" s="388"/>
      <c r="FM263" s="388"/>
      <c r="FN263" s="389"/>
      <c r="FO263" s="389"/>
      <c r="FP263" s="389"/>
      <c r="FQ263" s="389"/>
      <c r="FR263" s="389"/>
      <c r="FS263" s="389"/>
      <c r="FT263" s="465"/>
    </row>
    <row r="264" spans="1:184" ht="12.75" customHeight="1" x14ac:dyDescent="0.2">
      <c r="A264" s="44" t="s">
        <v>440</v>
      </c>
      <c r="B264" s="44"/>
      <c r="C264" s="44"/>
      <c r="D264" s="44"/>
      <c r="E264" s="44"/>
      <c r="F264" s="286"/>
      <c r="G264" s="44"/>
      <c r="H264" s="44"/>
      <c r="I264" s="44"/>
      <c r="J264" s="44"/>
      <c r="K264" s="286"/>
      <c r="L264" s="44"/>
      <c r="M264" s="44"/>
      <c r="N264" s="44"/>
      <c r="O264" s="44"/>
      <c r="P264" s="111">
        <f>P265-P256</f>
        <v>1826.9620000000002</v>
      </c>
      <c r="Q264" s="44"/>
      <c r="R264" s="44"/>
      <c r="S264" s="44"/>
      <c r="T264" s="44"/>
      <c r="U264" s="111">
        <f>U265-U256</f>
        <v>2144.0129999999999</v>
      </c>
      <c r="V264" s="44"/>
      <c r="W264" s="44"/>
      <c r="X264" s="44"/>
      <c r="Y264" s="44"/>
      <c r="Z264" s="111">
        <f>Z265-Z256</f>
        <v>2508.1729999999998</v>
      </c>
      <c r="AA264" s="44"/>
      <c r="AB264" s="44"/>
      <c r="AC264" s="44"/>
      <c r="AD264" s="44"/>
      <c r="AE264" s="111">
        <f>AE265-AE256</f>
        <v>2782.9859999999999</v>
      </c>
      <c r="AF264" s="44"/>
      <c r="AG264" s="44"/>
      <c r="AH264" s="44"/>
      <c r="AI264" s="44"/>
      <c r="AJ264" s="111">
        <f>AJ265-AJ256</f>
        <v>2972.4889999999996</v>
      </c>
      <c r="AK264" s="44"/>
      <c r="AL264" s="44"/>
      <c r="AM264" s="44"/>
      <c r="AN264" s="44"/>
      <c r="AO264" s="111">
        <f>AO265-AO256</f>
        <v>3439.7439999999997</v>
      </c>
      <c r="AP264" s="44"/>
      <c r="AQ264" s="44"/>
      <c r="AR264" s="44"/>
      <c r="AS264" s="44"/>
      <c r="AT264" s="111">
        <f>AT265-AT256</f>
        <v>4141.8410000000003</v>
      </c>
      <c r="AU264" s="44"/>
      <c r="AV264" s="44"/>
      <c r="AW264" s="44"/>
      <c r="AX264" s="44"/>
      <c r="AY264" s="111">
        <f>AY265-AY256</f>
        <v>5021.1080000000002</v>
      </c>
      <c r="AZ264" s="44"/>
      <c r="BA264" s="44"/>
      <c r="BB264" s="44"/>
      <c r="BC264" s="44"/>
      <c r="BD264" s="111">
        <f>BD265-BD256</f>
        <v>5838.0360000000001</v>
      </c>
      <c r="BE264" s="44"/>
      <c r="BF264" s="44"/>
      <c r="BG264" s="44"/>
      <c r="BH264" s="44"/>
      <c r="BI264" s="111">
        <f>BI265-BI256</f>
        <v>6476.9219999999996</v>
      </c>
      <c r="BJ264" s="44"/>
      <c r="BK264" s="44"/>
      <c r="BL264" s="44"/>
      <c r="BM264" s="44"/>
      <c r="BN264" s="111">
        <f>BN265-BN256</f>
        <v>6721.79</v>
      </c>
      <c r="BO264" s="44"/>
      <c r="BP264" s="44"/>
      <c r="BQ264" s="44"/>
      <c r="BR264" s="44"/>
      <c r="BS264" s="111">
        <f>BS265-BS256</f>
        <v>7565</v>
      </c>
      <c r="BT264" s="44"/>
      <c r="BU264" s="44"/>
      <c r="BV264" s="44"/>
      <c r="BW264" s="44"/>
      <c r="BX264" s="111">
        <f>BX265-BX256</f>
        <v>9165</v>
      </c>
      <c r="BY264" s="44"/>
      <c r="BZ264" s="44"/>
      <c r="CA264" s="44"/>
      <c r="CB264" s="44"/>
      <c r="CC264" s="111">
        <f t="shared" ref="CC264:DG264" si="1114">CC265-CC256</f>
        <v>10598</v>
      </c>
      <c r="CD264" s="44">
        <f t="shared" si="1114"/>
        <v>10631</v>
      </c>
      <c r="CE264" s="44">
        <f t="shared" si="1114"/>
        <v>10986</v>
      </c>
      <c r="CF264" s="44">
        <f t="shared" si="1114"/>
        <v>10786</v>
      </c>
      <c r="CG264" s="44">
        <f t="shared" si="1114"/>
        <v>10859</v>
      </c>
      <c r="CH264" s="111">
        <f t="shared" si="1114"/>
        <v>10859</v>
      </c>
      <c r="CI264" s="44">
        <f t="shared" si="1114"/>
        <v>11239</v>
      </c>
      <c r="CJ264" s="44">
        <f t="shared" si="1114"/>
        <v>11547</v>
      </c>
      <c r="CK264" s="44">
        <f t="shared" si="1114"/>
        <v>11654</v>
      </c>
      <c r="CL264" s="44">
        <f t="shared" si="1114"/>
        <v>12329</v>
      </c>
      <c r="CM264" s="111">
        <f t="shared" si="1114"/>
        <v>12329</v>
      </c>
      <c r="CN264" s="44">
        <f t="shared" si="1114"/>
        <v>12981</v>
      </c>
      <c r="CO264" s="44">
        <f t="shared" si="1114"/>
        <v>14333</v>
      </c>
      <c r="CP264" s="44">
        <f t="shared" si="1114"/>
        <v>12874</v>
      </c>
      <c r="CQ264" s="44">
        <f t="shared" si="1114"/>
        <v>11415</v>
      </c>
      <c r="CR264" s="111">
        <f t="shared" si="1114"/>
        <v>11415</v>
      </c>
      <c r="CS264" s="44">
        <f t="shared" si="1114"/>
        <v>12676.713</v>
      </c>
      <c r="CT264" s="44">
        <f t="shared" si="1114"/>
        <v>12417.806</v>
      </c>
      <c r="CU264" s="44">
        <f t="shared" si="1114"/>
        <v>12495.95</v>
      </c>
      <c r="CV264" s="44">
        <f t="shared" si="1114"/>
        <v>12437.749</v>
      </c>
      <c r="CW264" s="111">
        <f t="shared" si="1114"/>
        <v>12437.748999999998</v>
      </c>
      <c r="CX264" s="44">
        <f t="shared" si="1114"/>
        <v>12432.982</v>
      </c>
      <c r="CY264" s="44">
        <f t="shared" si="1114"/>
        <v>12524.085999999999</v>
      </c>
      <c r="CZ264" s="44">
        <f t="shared" si="1114"/>
        <v>12610.208999999999</v>
      </c>
      <c r="DA264" s="44">
        <f t="shared" si="1114"/>
        <v>12683.046999999999</v>
      </c>
      <c r="DB264" s="111">
        <f t="shared" si="1114"/>
        <v>12683.046999999999</v>
      </c>
      <c r="DC264" s="44">
        <f t="shared" si="1114"/>
        <v>13097.731000000002</v>
      </c>
      <c r="DD264" s="44">
        <f t="shared" si="1114"/>
        <v>13524</v>
      </c>
      <c r="DE264" s="44">
        <f t="shared" si="1114"/>
        <v>13291</v>
      </c>
      <c r="DF264" s="44">
        <f t="shared" si="1114"/>
        <v>13723</v>
      </c>
      <c r="DG264" s="111">
        <f t="shared" si="1114"/>
        <v>13723</v>
      </c>
      <c r="DH264" s="44">
        <f t="shared" ref="DH264:DT264" si="1115">DH265-DH256</f>
        <v>13706</v>
      </c>
      <c r="DI264" s="44">
        <f t="shared" si="1115"/>
        <v>13825</v>
      </c>
      <c r="DJ264" s="44">
        <f t="shared" si="1115"/>
        <v>14161</v>
      </c>
      <c r="DK264" s="44">
        <f t="shared" ref="DK264:DP264" si="1116">DK265-DK256</f>
        <v>14369</v>
      </c>
      <c r="DL264" s="111">
        <f t="shared" si="1116"/>
        <v>14369</v>
      </c>
      <c r="DM264" s="44">
        <f t="shared" si="1116"/>
        <v>14683</v>
      </c>
      <c r="DN264" s="44">
        <f t="shared" si="1116"/>
        <v>14518</v>
      </c>
      <c r="DO264" s="44">
        <f t="shared" si="1116"/>
        <v>14591</v>
      </c>
      <c r="DP264" s="44">
        <f t="shared" si="1116"/>
        <v>14889</v>
      </c>
      <c r="DQ264" s="111">
        <f t="shared" si="1115"/>
        <v>14889</v>
      </c>
      <c r="DR264" s="44">
        <f t="shared" si="1115"/>
        <v>15162</v>
      </c>
      <c r="DS264" s="44">
        <f t="shared" si="1115"/>
        <v>15574</v>
      </c>
      <c r="DT264" s="44">
        <f t="shared" si="1115"/>
        <v>15637</v>
      </c>
      <c r="DU264" s="44">
        <f t="shared" ref="DU264:EA264" si="1117">DU265-DU256</f>
        <v>15796</v>
      </c>
      <c r="DV264" s="111">
        <f t="shared" si="1117"/>
        <v>15796</v>
      </c>
      <c r="DW264" s="44">
        <f>DW265-DW256</f>
        <v>16200</v>
      </c>
      <c r="DX264" s="44">
        <f t="shared" si="1117"/>
        <v>16479</v>
      </c>
      <c r="DY264" s="44">
        <f t="shared" si="1117"/>
        <v>16586</v>
      </c>
      <c r="DZ264" s="44">
        <f t="shared" si="1117"/>
        <v>17288</v>
      </c>
      <c r="EA264" s="111">
        <f t="shared" si="1117"/>
        <v>17288</v>
      </c>
      <c r="EB264" s="44">
        <f t="shared" ref="EB264:EF264" si="1118">EB265-EB256</f>
        <v>17667</v>
      </c>
      <c r="EC264" s="44">
        <f t="shared" si="1118"/>
        <v>17978</v>
      </c>
      <c r="ED264" s="44">
        <f t="shared" si="1118"/>
        <v>18206</v>
      </c>
      <c r="EE264" s="44">
        <f t="shared" si="1118"/>
        <v>18788</v>
      </c>
      <c r="EF264" s="111">
        <f t="shared" si="1118"/>
        <v>18788</v>
      </c>
      <c r="EG264" s="44">
        <f t="shared" ref="EG264:EK264" si="1119">EG265-EG256</f>
        <v>19105</v>
      </c>
      <c r="EH264" s="44">
        <f t="shared" si="1119"/>
        <v>19578</v>
      </c>
      <c r="EI264" s="44">
        <f t="shared" si="1119"/>
        <v>19969</v>
      </c>
      <c r="EJ264" s="44">
        <f t="shared" si="1119"/>
        <v>20295</v>
      </c>
      <c r="EK264" s="111">
        <f t="shared" si="1119"/>
        <v>20295</v>
      </c>
      <c r="EL264" s="44">
        <f t="shared" ref="EL264:EP264" si="1120">EL265-EL256</f>
        <v>19105</v>
      </c>
      <c r="EM264" s="44">
        <f t="shared" si="1120"/>
        <v>19578</v>
      </c>
      <c r="EN264" s="44">
        <f t="shared" si="1120"/>
        <v>19969</v>
      </c>
      <c r="EO264" s="44">
        <f t="shared" si="1120"/>
        <v>20295</v>
      </c>
      <c r="EP264" s="111">
        <f t="shared" si="1120"/>
        <v>20295</v>
      </c>
      <c r="EQ264" s="44">
        <f t="shared" ref="EQ264:EU264" si="1121">EQ265-EQ256</f>
        <v>20483.8</v>
      </c>
      <c r="ER264" s="44">
        <f t="shared" si="1121"/>
        <v>20662.129999999997</v>
      </c>
      <c r="ES264" s="44">
        <f t="shared" si="1121"/>
        <v>20829.089999999997</v>
      </c>
      <c r="ET264" s="44">
        <f t="shared" si="1121"/>
        <v>20986.03</v>
      </c>
      <c r="EU264" s="111">
        <f t="shared" si="1121"/>
        <v>20986.03</v>
      </c>
      <c r="EV264" s="44"/>
      <c r="EW264" s="44"/>
      <c r="EX264" s="44"/>
      <c r="EY264" s="44"/>
      <c r="EZ264" s="111">
        <f>EZ265-EZ256</f>
        <v>21640.7909</v>
      </c>
      <c r="FA264" s="44"/>
      <c r="FB264" s="44"/>
      <c r="FC264" s="44"/>
      <c r="FD264" s="44"/>
      <c r="FE264" s="111">
        <f>FE265-FE256</f>
        <v>22258.194627000004</v>
      </c>
      <c r="FF264" s="37"/>
      <c r="FG264" s="451"/>
      <c r="FL264" s="425"/>
      <c r="FM264" s="425"/>
      <c r="FN264" s="384"/>
      <c r="FO264" s="384"/>
      <c r="FP264" s="384"/>
      <c r="FQ264" s="384"/>
      <c r="FR264" s="384"/>
      <c r="FS264" s="384"/>
      <c r="FT264" s="451"/>
    </row>
    <row r="265" spans="1:184" ht="12.75" customHeight="1" x14ac:dyDescent="0.2">
      <c r="A265" s="72" t="s">
        <v>425</v>
      </c>
      <c r="B265" s="233"/>
      <c r="C265" s="233"/>
      <c r="D265" s="233"/>
      <c r="E265" s="233"/>
      <c r="F265" s="276"/>
      <c r="G265" s="233"/>
      <c r="H265" s="233"/>
      <c r="I265" s="233"/>
      <c r="J265" s="233"/>
      <c r="K265" s="276"/>
      <c r="L265" s="233"/>
      <c r="M265" s="233"/>
      <c r="N265" s="233"/>
      <c r="O265" s="233"/>
      <c r="P265" s="853">
        <v>2368.8560000000002</v>
      </c>
      <c r="Q265" s="233"/>
      <c r="R265" s="233"/>
      <c r="S265" s="233"/>
      <c r="T265" s="233"/>
      <c r="U265" s="853">
        <v>2576.0369999999998</v>
      </c>
      <c r="V265" s="233"/>
      <c r="W265" s="233"/>
      <c r="X265" s="233"/>
      <c r="Y265" s="233"/>
      <c r="Z265" s="853">
        <v>2823.0709999999999</v>
      </c>
      <c r="AA265" s="233"/>
      <c r="AB265" s="233"/>
      <c r="AC265" s="233"/>
      <c r="AD265" s="233"/>
      <c r="AE265" s="853">
        <v>3256.1219999999998</v>
      </c>
      <c r="AF265" s="233"/>
      <c r="AG265" s="233"/>
      <c r="AH265" s="233"/>
      <c r="AI265" s="233"/>
      <c r="AJ265" s="853">
        <v>3723.4789999999998</v>
      </c>
      <c r="AK265" s="233"/>
      <c r="AL265" s="233"/>
      <c r="AM265" s="233"/>
      <c r="AN265" s="233"/>
      <c r="AO265" s="853">
        <v>4246.16</v>
      </c>
      <c r="AP265" s="233"/>
      <c r="AQ265" s="233"/>
      <c r="AR265" s="233"/>
      <c r="AS265" s="233"/>
      <c r="AT265" s="853">
        <v>4715.9960000000001</v>
      </c>
      <c r="AU265" s="233"/>
      <c r="AV265" s="233"/>
      <c r="AW265" s="233"/>
      <c r="AX265" s="233"/>
      <c r="AY265" s="853">
        <v>5653.7030000000004</v>
      </c>
      <c r="AZ265" s="233"/>
      <c r="BA265" s="233"/>
      <c r="BB265" s="233"/>
      <c r="BC265" s="233"/>
      <c r="BD265" s="853">
        <v>6669.5720000000001</v>
      </c>
      <c r="BE265" s="233"/>
      <c r="BF265" s="233"/>
      <c r="BG265" s="233"/>
      <c r="BH265" s="233"/>
      <c r="BI265" s="853">
        <v>8997.1409999999996</v>
      </c>
      <c r="BJ265" s="233"/>
      <c r="BK265" s="233"/>
      <c r="BL265" s="233"/>
      <c r="BM265" s="233"/>
      <c r="BN265" s="853">
        <v>8953.75</v>
      </c>
      <c r="BO265" s="233"/>
      <c r="BP265" s="233"/>
      <c r="BQ265" s="233"/>
      <c r="BR265" s="233"/>
      <c r="BS265" s="853">
        <v>9878</v>
      </c>
      <c r="BT265" s="233"/>
      <c r="BU265" s="233"/>
      <c r="BV265" s="233"/>
      <c r="BW265" s="233"/>
      <c r="BX265" s="853">
        <v>11337</v>
      </c>
      <c r="BY265" s="233"/>
      <c r="BZ265" s="233"/>
      <c r="CA265" s="233"/>
      <c r="CB265" s="233"/>
      <c r="CC265" s="853">
        <v>14218</v>
      </c>
      <c r="CD265" s="233">
        <v>14723</v>
      </c>
      <c r="CE265" s="233">
        <v>15344</v>
      </c>
      <c r="CF265" s="233">
        <v>14087</v>
      </c>
      <c r="CG265" s="233">
        <v>13460</v>
      </c>
      <c r="CH265" s="295">
        <v>13460</v>
      </c>
      <c r="CI265" s="233">
        <v>14238</v>
      </c>
      <c r="CJ265" s="233">
        <v>14853</v>
      </c>
      <c r="CK265" s="233">
        <v>14524</v>
      </c>
      <c r="CL265" s="233">
        <v>16772</v>
      </c>
      <c r="CM265" s="295">
        <v>16772</v>
      </c>
      <c r="CN265" s="233">
        <v>18031</v>
      </c>
      <c r="CO265" s="233">
        <v>23262</v>
      </c>
      <c r="CP265" s="233">
        <v>18175</v>
      </c>
      <c r="CQ265" s="233">
        <v>14068</v>
      </c>
      <c r="CR265" s="295">
        <f>CQ265</f>
        <v>14068</v>
      </c>
      <c r="CS265" s="233">
        <v>16277.776</v>
      </c>
      <c r="CT265" s="233">
        <v>16136.504000000001</v>
      </c>
      <c r="CU265" s="233">
        <v>16257.03</v>
      </c>
      <c r="CV265" s="233">
        <v>16553.171999999999</v>
      </c>
      <c r="CW265" s="295">
        <f>CW256+CW260+CW261+CW262</f>
        <v>16553.171999999999</v>
      </c>
      <c r="CX265" s="233">
        <v>16815.822</v>
      </c>
      <c r="CY265" s="233">
        <v>17244.170999999998</v>
      </c>
      <c r="CZ265" s="233">
        <v>17320.126</v>
      </c>
      <c r="DA265" s="233">
        <v>17642.347999999998</v>
      </c>
      <c r="DB265" s="295">
        <f>DB256+DB260+DB261+DB262</f>
        <v>17642.347999999998</v>
      </c>
      <c r="DC265" s="233">
        <v>18729.900000000001</v>
      </c>
      <c r="DD265" s="233">
        <v>18945</v>
      </c>
      <c r="DE265" s="233">
        <v>17885</v>
      </c>
      <c r="DF265" s="233">
        <v>18068</v>
      </c>
      <c r="DG265" s="295">
        <f t="shared" ref="DG265:DQ265" si="1122">DG256+DG260+DG261+DG262</f>
        <v>18068</v>
      </c>
      <c r="DH265" s="233">
        <f t="shared" si="1122"/>
        <v>18826</v>
      </c>
      <c r="DI265" s="233">
        <f t="shared" si="1122"/>
        <v>18516</v>
      </c>
      <c r="DJ265" s="233">
        <f t="shared" si="1122"/>
        <v>18813</v>
      </c>
      <c r="DK265" s="233">
        <f t="shared" si="1122"/>
        <v>18596</v>
      </c>
      <c r="DL265" s="295">
        <f t="shared" si="1122"/>
        <v>18596</v>
      </c>
      <c r="DM265" s="233">
        <f t="shared" si="1122"/>
        <v>19197</v>
      </c>
      <c r="DN265" s="233">
        <f>DN256+DN260+DN261+DN262</f>
        <v>19382</v>
      </c>
      <c r="DO265" s="233">
        <f>DO256+DO260+DO261+DO262</f>
        <v>19364</v>
      </c>
      <c r="DP265" s="233">
        <f>DP256+DP260+DP261+DP262</f>
        <v>19345</v>
      </c>
      <c r="DQ265" s="295">
        <f t="shared" si="1122"/>
        <v>19345</v>
      </c>
      <c r="DR265" s="233">
        <f t="shared" ref="DR265:EA265" si="1123">DR256+DR260+DR261+DR262</f>
        <v>19976</v>
      </c>
      <c r="DS265" s="233">
        <f t="shared" si="1123"/>
        <v>20891</v>
      </c>
      <c r="DT265" s="233">
        <f>DT256+DT260+DT261+DT262</f>
        <v>20539</v>
      </c>
      <c r="DU265" s="233">
        <f t="shared" si="1123"/>
        <v>20200</v>
      </c>
      <c r="DV265" s="295">
        <f t="shared" si="1123"/>
        <v>20200</v>
      </c>
      <c r="DW265" s="233">
        <f>DW256+DW260+DW261+DW262</f>
        <v>21163</v>
      </c>
      <c r="DX265" s="233">
        <f t="shared" si="1123"/>
        <v>21075</v>
      </c>
      <c r="DY265" s="233">
        <f t="shared" si="1123"/>
        <v>21159</v>
      </c>
      <c r="DZ265" s="233">
        <f t="shared" si="1123"/>
        <v>21312</v>
      </c>
      <c r="EA265" s="295">
        <f t="shared" si="1123"/>
        <v>21312</v>
      </c>
      <c r="EB265" s="233">
        <f t="shared" ref="EB265:EF265" si="1124">EB256+EB260+EB261+EB262</f>
        <v>22241</v>
      </c>
      <c r="EC265" s="233">
        <f t="shared" si="1124"/>
        <v>22447</v>
      </c>
      <c r="ED265" s="233">
        <f t="shared" si="1124"/>
        <v>23045</v>
      </c>
      <c r="EE265" s="233">
        <f t="shared" si="1124"/>
        <v>23286</v>
      </c>
      <c r="EF265" s="295">
        <f t="shared" si="1124"/>
        <v>23286</v>
      </c>
      <c r="EG265" s="233">
        <f t="shared" ref="EG265:EK265" si="1125">EG256+EG260+EG261+EG262</f>
        <v>23763</v>
      </c>
      <c r="EH265" s="233">
        <f t="shared" si="1125"/>
        <v>23921</v>
      </c>
      <c r="EI265" s="233">
        <f t="shared" si="1125"/>
        <v>24249</v>
      </c>
      <c r="EJ265" s="233">
        <f t="shared" si="1125"/>
        <v>25110</v>
      </c>
      <c r="EK265" s="295">
        <f t="shared" si="1125"/>
        <v>25110</v>
      </c>
      <c r="EL265" s="233">
        <f t="shared" ref="EL265:EP265" si="1126">EL256+EL260+EL261+EL262</f>
        <v>23763</v>
      </c>
      <c r="EM265" s="233">
        <f t="shared" si="1126"/>
        <v>23921</v>
      </c>
      <c r="EN265" s="233">
        <f t="shared" si="1126"/>
        <v>24249</v>
      </c>
      <c r="EO265" s="233">
        <f t="shared" si="1126"/>
        <v>25110</v>
      </c>
      <c r="EP265" s="295">
        <f t="shared" si="1126"/>
        <v>25110</v>
      </c>
      <c r="EQ265" s="233">
        <f t="shared" ref="EQ265:EU265" si="1127">EQ256+EQ260+EQ261+EQ262</f>
        <v>25619.056824430616</v>
      </c>
      <c r="ER265" s="233">
        <f t="shared" si="1127"/>
        <v>25564.968622253171</v>
      </c>
      <c r="ES265" s="233">
        <f t="shared" si="1127"/>
        <v>25601.316525290844</v>
      </c>
      <c r="ET265" s="233">
        <f t="shared" si="1127"/>
        <v>25725.511350729874</v>
      </c>
      <c r="EU265" s="295">
        <f t="shared" si="1127"/>
        <v>25725.511350729874</v>
      </c>
      <c r="EV265" s="233"/>
      <c r="EW265" s="233"/>
      <c r="EX265" s="233"/>
      <c r="EY265" s="233"/>
      <c r="EZ265" s="295">
        <f>EZ256+EZ260+EZ261+EZ262</f>
        <v>26170.056525100004</v>
      </c>
      <c r="FA265" s="233"/>
      <c r="FB265" s="233"/>
      <c r="FC265" s="233"/>
      <c r="FD265" s="233"/>
      <c r="FE265" s="295">
        <f>FE256+FE260+FE261+FE262</f>
        <v>27074.336884999197</v>
      </c>
      <c r="FF265" s="55"/>
      <c r="FG265" s="467"/>
      <c r="FL265" s="376"/>
      <c r="FM265" s="376"/>
      <c r="FN265" s="377"/>
      <c r="FO265" s="377"/>
      <c r="FP265" s="377"/>
      <c r="FQ265" s="377"/>
      <c r="FR265" s="377"/>
      <c r="FS265" s="377"/>
      <c r="FT265" s="467"/>
    </row>
    <row r="266" spans="1:184" s="7" customFormat="1" ht="12.75" customHeight="1" x14ac:dyDescent="0.2">
      <c r="A266" s="7" t="s">
        <v>398</v>
      </c>
      <c r="F266" s="99"/>
      <c r="K266" s="99"/>
      <c r="P266" s="99"/>
      <c r="U266" s="99"/>
      <c r="Z266" s="99"/>
      <c r="AE266" s="99"/>
      <c r="AJ266" s="99"/>
      <c r="AO266" s="99"/>
      <c r="AT266" s="99"/>
      <c r="AY266" s="99"/>
      <c r="BD266" s="99"/>
      <c r="BI266" s="99"/>
      <c r="BN266" s="99"/>
      <c r="BS266" s="99"/>
      <c r="BX266" s="99"/>
      <c r="CC266" s="99"/>
      <c r="CH266" s="99"/>
      <c r="CM266" s="99"/>
      <c r="CR266" s="99"/>
      <c r="CW266" s="99"/>
      <c r="DB266" s="99"/>
      <c r="DG266" s="505"/>
      <c r="DL266" s="99"/>
      <c r="DQ266" s="99"/>
      <c r="DV266" s="99"/>
      <c r="EA266" s="99"/>
      <c r="EF266" s="99"/>
      <c r="EK266" s="99"/>
      <c r="EP266" s="99"/>
      <c r="EU266" s="99"/>
      <c r="EZ266" s="99"/>
      <c r="FE266" s="99"/>
      <c r="FF266" s="336"/>
      <c r="FG266" s="6"/>
      <c r="FH266" s="346"/>
      <c r="FI266" s="336"/>
      <c r="FJ266" s="336"/>
      <c r="FK266" s="336"/>
      <c r="FL266" s="412"/>
      <c r="FM266" s="412"/>
      <c r="FN266" s="373"/>
      <c r="FO266" s="373"/>
      <c r="FP266" s="373"/>
      <c r="FQ266" s="373"/>
      <c r="FR266" s="373"/>
      <c r="FS266" s="373"/>
      <c r="FT266" s="6"/>
      <c r="FU266"/>
      <c r="FV266"/>
      <c r="FW266"/>
      <c r="FX266"/>
      <c r="FY266"/>
      <c r="FZ266"/>
      <c r="GA266" s="341"/>
    </row>
    <row r="267" spans="1:184" ht="12.75" customHeight="1" x14ac:dyDescent="0.2">
      <c r="A267" s="174" t="s">
        <v>166</v>
      </c>
      <c r="B267" s="834"/>
      <c r="C267" s="834"/>
      <c r="D267" s="834"/>
      <c r="E267" s="834"/>
      <c r="F267" s="279"/>
      <c r="G267" s="834"/>
      <c r="H267" s="834"/>
      <c r="I267" s="834"/>
      <c r="J267" s="834"/>
      <c r="K267" s="279"/>
      <c r="L267" s="834"/>
      <c r="M267" s="834"/>
      <c r="N267" s="834"/>
      <c r="O267" s="834"/>
      <c r="P267" s="120">
        <v>0</v>
      </c>
      <c r="Q267" s="834"/>
      <c r="R267" s="834"/>
      <c r="S267" s="834"/>
      <c r="T267" s="834"/>
      <c r="U267" s="120">
        <v>0</v>
      </c>
      <c r="V267" s="834"/>
      <c r="W267" s="834"/>
      <c r="X267" s="834"/>
      <c r="Y267" s="834"/>
      <c r="Z267" s="120">
        <v>0</v>
      </c>
      <c r="AA267" s="834"/>
      <c r="AB267" s="834"/>
      <c r="AC267" s="834"/>
      <c r="AD267" s="834"/>
      <c r="AE267" s="120">
        <v>0</v>
      </c>
      <c r="AF267" s="834"/>
      <c r="AG267" s="834"/>
      <c r="AH267" s="834"/>
      <c r="AI267" s="834"/>
      <c r="AJ267" s="120">
        <v>0</v>
      </c>
      <c r="AK267" s="834"/>
      <c r="AL267" s="834"/>
      <c r="AM267" s="834"/>
      <c r="AN267" s="834"/>
      <c r="AO267" s="120">
        <v>0</v>
      </c>
      <c r="AP267" s="834"/>
      <c r="AQ267" s="834"/>
      <c r="AR267" s="834"/>
      <c r="AS267" s="834"/>
      <c r="AT267" s="120">
        <v>0</v>
      </c>
      <c r="AU267" s="834"/>
      <c r="AV267" s="834"/>
      <c r="AW267" s="834"/>
      <c r="AX267" s="834"/>
      <c r="AY267" s="120">
        <v>0</v>
      </c>
      <c r="AZ267" s="834"/>
      <c r="BA267" s="834"/>
      <c r="BB267" s="834"/>
      <c r="BC267" s="834"/>
      <c r="BD267" s="120">
        <v>0</v>
      </c>
      <c r="BE267" s="834"/>
      <c r="BF267" s="834"/>
      <c r="BG267" s="834"/>
      <c r="BH267" s="834"/>
      <c r="BI267" s="120">
        <v>475</v>
      </c>
      <c r="BJ267" s="834"/>
      <c r="BK267" s="834"/>
      <c r="BL267" s="834"/>
      <c r="BM267" s="834"/>
      <c r="BN267" s="120">
        <v>0</v>
      </c>
      <c r="BO267" s="834"/>
      <c r="BP267" s="834"/>
      <c r="BQ267" s="834"/>
      <c r="BR267" s="834"/>
      <c r="BS267" s="120">
        <v>0</v>
      </c>
      <c r="BT267" s="834"/>
      <c r="BU267" s="834"/>
      <c r="BV267" s="834"/>
      <c r="BW267" s="834"/>
      <c r="BX267" s="120">
        <v>0</v>
      </c>
      <c r="BY267" s="834"/>
      <c r="BZ267" s="834"/>
      <c r="CA267" s="834"/>
      <c r="CB267" s="834"/>
      <c r="CC267" s="120">
        <v>0</v>
      </c>
      <c r="CD267" s="834">
        <v>0</v>
      </c>
      <c r="CE267" s="834">
        <v>0</v>
      </c>
      <c r="CF267" s="834">
        <v>0</v>
      </c>
      <c r="CG267" s="834">
        <v>0</v>
      </c>
      <c r="CH267" s="120">
        <v>0</v>
      </c>
      <c r="CI267" s="834">
        <v>0</v>
      </c>
      <c r="CJ267" s="834">
        <v>0</v>
      </c>
      <c r="CK267" s="834">
        <v>0</v>
      </c>
      <c r="CL267" s="834">
        <v>0</v>
      </c>
      <c r="CM267" s="120">
        <v>0</v>
      </c>
      <c r="CN267" s="834">
        <v>0</v>
      </c>
      <c r="CO267" s="834">
        <v>0</v>
      </c>
      <c r="CP267" s="834">
        <v>0</v>
      </c>
      <c r="CQ267" s="834">
        <v>0</v>
      </c>
      <c r="CR267" s="120">
        <v>0</v>
      </c>
      <c r="CS267" s="834">
        <v>90</v>
      </c>
      <c r="CT267" s="834">
        <v>90</v>
      </c>
      <c r="CU267" s="834">
        <v>125</v>
      </c>
      <c r="CV267" s="834">
        <v>125</v>
      </c>
      <c r="CW267" s="120">
        <f>CV267</f>
        <v>125</v>
      </c>
      <c r="CX267" s="834">
        <v>0</v>
      </c>
      <c r="CY267" s="834">
        <v>0</v>
      </c>
      <c r="CZ267" s="834">
        <v>0</v>
      </c>
      <c r="DA267" s="834">
        <v>50</v>
      </c>
      <c r="DB267" s="120">
        <f>DA267</f>
        <v>50</v>
      </c>
      <c r="DC267" s="834">
        <v>15</v>
      </c>
      <c r="DD267" s="834">
        <v>0</v>
      </c>
      <c r="DE267" s="834">
        <v>0</v>
      </c>
      <c r="DF267" s="834">
        <v>0</v>
      </c>
      <c r="DG267" s="120">
        <f>DF267</f>
        <v>0</v>
      </c>
      <c r="DH267" s="834">
        <v>0</v>
      </c>
      <c r="DI267" s="834">
        <v>0</v>
      </c>
      <c r="DJ267" s="834">
        <v>0</v>
      </c>
      <c r="DK267" s="834">
        <v>0</v>
      </c>
      <c r="DL267" s="120">
        <f>DK267</f>
        <v>0</v>
      </c>
      <c r="DM267" s="834">
        <v>0</v>
      </c>
      <c r="DN267" s="834">
        <v>0</v>
      </c>
      <c r="DO267" s="834">
        <v>0</v>
      </c>
      <c r="DP267" s="834">
        <v>0</v>
      </c>
      <c r="DQ267" s="120">
        <f>DP267</f>
        <v>0</v>
      </c>
      <c r="DR267" s="834">
        <v>0</v>
      </c>
      <c r="DS267" s="834">
        <v>0</v>
      </c>
      <c r="DT267" s="834">
        <v>0</v>
      </c>
      <c r="DU267" s="834">
        <f t="shared" ref="DU267:EA267" si="1128">DT267</f>
        <v>0</v>
      </c>
      <c r="DV267" s="120">
        <f t="shared" si="1128"/>
        <v>0</v>
      </c>
      <c r="DW267" s="834">
        <f t="shared" si="1128"/>
        <v>0</v>
      </c>
      <c r="DX267" s="834">
        <f t="shared" si="1128"/>
        <v>0</v>
      </c>
      <c r="DY267" s="834">
        <v>0</v>
      </c>
      <c r="DZ267" s="834">
        <v>0</v>
      </c>
      <c r="EA267" s="120">
        <f t="shared" si="1128"/>
        <v>0</v>
      </c>
      <c r="EB267" s="834">
        <v>0</v>
      </c>
      <c r="EC267" s="834">
        <v>0</v>
      </c>
      <c r="ED267" s="834">
        <v>0</v>
      </c>
      <c r="EE267" s="834">
        <v>0</v>
      </c>
      <c r="EF267" s="120">
        <f t="shared" ref="EF267:EK268" si="1129">EE267</f>
        <v>0</v>
      </c>
      <c r="EG267" s="834">
        <v>0</v>
      </c>
      <c r="EH267" s="834">
        <v>0</v>
      </c>
      <c r="EI267" s="834">
        <v>0</v>
      </c>
      <c r="EJ267" s="834">
        <v>0</v>
      </c>
      <c r="EK267" s="120">
        <f t="shared" si="1129"/>
        <v>0</v>
      </c>
      <c r="EL267" s="834">
        <v>0</v>
      </c>
      <c r="EM267" s="834">
        <v>0</v>
      </c>
      <c r="EN267" s="834">
        <v>0</v>
      </c>
      <c r="EO267" s="834">
        <v>0</v>
      </c>
      <c r="EP267" s="120">
        <f t="shared" ref="EP267:EP268" si="1130">EO267</f>
        <v>0</v>
      </c>
      <c r="EQ267" s="235">
        <f t="shared" ref="EQ267:EU268" si="1131">EP267</f>
        <v>0</v>
      </c>
      <c r="ER267" s="235">
        <f t="shared" si="1131"/>
        <v>0</v>
      </c>
      <c r="ES267" s="235">
        <f t="shared" si="1131"/>
        <v>0</v>
      </c>
      <c r="ET267" s="235">
        <f t="shared" si="1131"/>
        <v>0</v>
      </c>
      <c r="EU267" s="120">
        <f t="shared" si="1131"/>
        <v>0</v>
      </c>
      <c r="EV267" s="235"/>
      <c r="EW267" s="235"/>
      <c r="EX267" s="235"/>
      <c r="EY267" s="235"/>
      <c r="EZ267" s="120">
        <f>EU267</f>
        <v>0</v>
      </c>
      <c r="FA267" s="235"/>
      <c r="FB267" s="235"/>
      <c r="FC267" s="235"/>
      <c r="FD267" s="235"/>
      <c r="FE267" s="120">
        <f>EZ267</f>
        <v>0</v>
      </c>
      <c r="FF267" s="23"/>
      <c r="FG267" s="444"/>
      <c r="FL267" s="376"/>
      <c r="FM267" s="376"/>
      <c r="FN267" s="376"/>
      <c r="FO267" s="376"/>
      <c r="FP267" s="376"/>
      <c r="FQ267" s="376"/>
      <c r="FR267" s="376"/>
      <c r="FS267" s="376"/>
      <c r="FT267" s="444"/>
    </row>
    <row r="268" spans="1:184" ht="12.75" customHeight="1" x14ac:dyDescent="0.2">
      <c r="A268" s="174" t="s">
        <v>159</v>
      </c>
      <c r="B268" s="834"/>
      <c r="C268" s="834"/>
      <c r="D268" s="834"/>
      <c r="E268" s="834"/>
      <c r="F268" s="279"/>
      <c r="G268" s="834"/>
      <c r="H268" s="834"/>
      <c r="I268" s="834"/>
      <c r="J268" s="834"/>
      <c r="K268" s="279"/>
      <c r="L268" s="834"/>
      <c r="M268" s="834"/>
      <c r="N268" s="834"/>
      <c r="O268" s="834"/>
      <c r="P268" s="851">
        <v>16.234000000000002</v>
      </c>
      <c r="Q268" s="834"/>
      <c r="R268" s="834"/>
      <c r="S268" s="834"/>
      <c r="T268" s="834"/>
      <c r="U268" s="851">
        <v>16.068000000000001</v>
      </c>
      <c r="V268" s="834"/>
      <c r="W268" s="834"/>
      <c r="X268" s="834"/>
      <c r="Y268" s="834"/>
      <c r="Z268" s="851">
        <v>9.5530000000000008</v>
      </c>
      <c r="AA268" s="834"/>
      <c r="AB268" s="834"/>
      <c r="AC268" s="834"/>
      <c r="AD268" s="834"/>
      <c r="AE268" s="851">
        <v>13.516</v>
      </c>
      <c r="AF268" s="834"/>
      <c r="AG268" s="834"/>
      <c r="AH268" s="834"/>
      <c r="AI268" s="834"/>
      <c r="AJ268" s="851">
        <v>12.327</v>
      </c>
      <c r="AK268" s="834"/>
      <c r="AL268" s="834"/>
      <c r="AM268" s="834"/>
      <c r="AN268" s="834"/>
      <c r="AO268" s="851">
        <v>121.324</v>
      </c>
      <c r="AP268" s="834"/>
      <c r="AQ268" s="834"/>
      <c r="AR268" s="834"/>
      <c r="AS268" s="834"/>
      <c r="AT268" s="851">
        <v>11.996</v>
      </c>
      <c r="AU268" s="834"/>
      <c r="AV268" s="834"/>
      <c r="AW268" s="834"/>
      <c r="AX268" s="834"/>
      <c r="AY268" s="851">
        <v>7.8730000000000002</v>
      </c>
      <c r="AZ268" s="834"/>
      <c r="BA268" s="834"/>
      <c r="BB268" s="834"/>
      <c r="BC268" s="834"/>
      <c r="BD268" s="851">
        <v>108.752</v>
      </c>
      <c r="BE268" s="834"/>
      <c r="BF268" s="834"/>
      <c r="BG268" s="834"/>
      <c r="BH268" s="834"/>
      <c r="BI268" s="851">
        <v>39.567</v>
      </c>
      <c r="BJ268" s="834"/>
      <c r="BK268" s="834"/>
      <c r="BL268" s="834"/>
      <c r="BM268" s="834"/>
      <c r="BN268" s="851">
        <v>130.45400000000001</v>
      </c>
      <c r="BO268" s="834"/>
      <c r="BP268" s="834"/>
      <c r="BQ268" s="834"/>
      <c r="BR268" s="834"/>
      <c r="BS268" s="851">
        <v>206</v>
      </c>
      <c r="BT268" s="834"/>
      <c r="BU268" s="834"/>
      <c r="BV268" s="834"/>
      <c r="BW268" s="834"/>
      <c r="BX268" s="851">
        <v>146</v>
      </c>
      <c r="BY268" s="834"/>
      <c r="BZ268" s="834"/>
      <c r="CA268" s="834"/>
      <c r="CB268" s="834"/>
      <c r="CC268" s="851">
        <v>601</v>
      </c>
      <c r="CD268" s="834">
        <v>574</v>
      </c>
      <c r="CE268" s="834">
        <v>483</v>
      </c>
      <c r="CF268" s="834">
        <v>585</v>
      </c>
      <c r="CG268" s="834">
        <v>122</v>
      </c>
      <c r="CH268" s="120">
        <v>122</v>
      </c>
      <c r="CI268" s="834">
        <v>123</v>
      </c>
      <c r="CJ268" s="834">
        <v>123</v>
      </c>
      <c r="CK268" s="834">
        <v>24</v>
      </c>
      <c r="CL268" s="834">
        <v>41</v>
      </c>
      <c r="CM268" s="120">
        <v>41</v>
      </c>
      <c r="CN268" s="834">
        <v>40</v>
      </c>
      <c r="CO268" s="834">
        <v>71</v>
      </c>
      <c r="CP268" s="834">
        <v>72</v>
      </c>
      <c r="CQ268" s="834">
        <v>163</v>
      </c>
      <c r="CR268" s="120">
        <v>163</v>
      </c>
      <c r="CS268" s="834">
        <v>229.619</v>
      </c>
      <c r="CT268" s="834">
        <v>168.43700000000001</v>
      </c>
      <c r="CU268" s="834">
        <v>351.78399999999999</v>
      </c>
      <c r="CV268" s="834">
        <v>347.089</v>
      </c>
      <c r="CW268" s="120">
        <f>CV268</f>
        <v>347.089</v>
      </c>
      <c r="CX268" s="834">
        <v>330.60199999999998</v>
      </c>
      <c r="CY268" s="834">
        <v>274.77099999999996</v>
      </c>
      <c r="CZ268" s="834">
        <v>177.471</v>
      </c>
      <c r="DA268" s="834">
        <v>574.48299999999995</v>
      </c>
      <c r="DB268" s="120">
        <f>DA268</f>
        <v>574.48299999999995</v>
      </c>
      <c r="DC268" s="834">
        <v>976.18</v>
      </c>
      <c r="DD268" s="834">
        <v>990</v>
      </c>
      <c r="DE268" s="834">
        <v>986</v>
      </c>
      <c r="DF268" s="834">
        <v>644</v>
      </c>
      <c r="DG268" s="120">
        <f>DF268</f>
        <v>644</v>
      </c>
      <c r="DH268" s="834">
        <v>259</v>
      </c>
      <c r="DI268" s="834">
        <v>257</v>
      </c>
      <c r="DJ268" s="834">
        <v>265</v>
      </c>
      <c r="DK268" s="834">
        <v>271</v>
      </c>
      <c r="DL268" s="120">
        <f>DK268</f>
        <v>271</v>
      </c>
      <c r="DM268" s="834">
        <v>280</v>
      </c>
      <c r="DN268" s="834">
        <v>263</v>
      </c>
      <c r="DO268" s="834">
        <v>259</v>
      </c>
      <c r="DP268" s="834">
        <v>629</v>
      </c>
      <c r="DQ268" s="120">
        <f>DP268</f>
        <v>629</v>
      </c>
      <c r="DR268" s="834">
        <v>642</v>
      </c>
      <c r="DS268" s="834">
        <v>605</v>
      </c>
      <c r="DT268" s="834">
        <v>607</v>
      </c>
      <c r="DU268" s="834">
        <v>258</v>
      </c>
      <c r="DV268" s="120">
        <f>DU268</f>
        <v>258</v>
      </c>
      <c r="DW268" s="834">
        <v>271</v>
      </c>
      <c r="DX268" s="834">
        <v>276</v>
      </c>
      <c r="DY268" s="834">
        <v>287</v>
      </c>
      <c r="DZ268" s="834">
        <v>637</v>
      </c>
      <c r="EA268" s="120">
        <f>DZ268</f>
        <v>637</v>
      </c>
      <c r="EB268" s="834">
        <v>953</v>
      </c>
      <c r="EC268" s="834">
        <v>963</v>
      </c>
      <c r="ED268" s="834">
        <v>972</v>
      </c>
      <c r="EE268" s="834">
        <v>566</v>
      </c>
      <c r="EF268" s="120">
        <f t="shared" si="1129"/>
        <v>566</v>
      </c>
      <c r="EG268" s="834">
        <v>285</v>
      </c>
      <c r="EH268" s="834">
        <v>307</v>
      </c>
      <c r="EI268" s="834">
        <v>316</v>
      </c>
      <c r="EJ268" s="834">
        <v>348</v>
      </c>
      <c r="EK268" s="120">
        <f t="shared" si="1129"/>
        <v>348</v>
      </c>
      <c r="EL268" s="834">
        <v>285</v>
      </c>
      <c r="EM268" s="834">
        <v>307</v>
      </c>
      <c r="EN268" s="834">
        <v>316</v>
      </c>
      <c r="EO268" s="834">
        <v>348</v>
      </c>
      <c r="EP268" s="120">
        <f t="shared" si="1130"/>
        <v>348</v>
      </c>
      <c r="EQ268" s="235">
        <f t="shared" si="1131"/>
        <v>348</v>
      </c>
      <c r="ER268" s="235">
        <f t="shared" si="1131"/>
        <v>348</v>
      </c>
      <c r="ES268" s="235">
        <f t="shared" si="1131"/>
        <v>348</v>
      </c>
      <c r="ET268" s="235">
        <f t="shared" si="1131"/>
        <v>348</v>
      </c>
      <c r="EU268" s="120">
        <f t="shared" si="1131"/>
        <v>348</v>
      </c>
      <c r="EV268" s="235"/>
      <c r="EW268" s="235"/>
      <c r="EX268" s="235"/>
      <c r="EY268" s="235"/>
      <c r="EZ268" s="120">
        <f>EU268</f>
        <v>348</v>
      </c>
      <c r="FA268" s="235"/>
      <c r="FB268" s="235"/>
      <c r="FC268" s="235"/>
      <c r="FD268" s="235"/>
      <c r="FE268" s="120">
        <f>EZ268</f>
        <v>348</v>
      </c>
      <c r="FF268" s="23"/>
      <c r="FG268" s="444"/>
      <c r="FL268" s="376"/>
      <c r="FM268" s="376"/>
      <c r="FN268" s="376"/>
      <c r="FO268" s="376"/>
      <c r="FP268" s="376"/>
      <c r="FQ268" s="376"/>
      <c r="FR268" s="376"/>
      <c r="FS268" s="376"/>
      <c r="FT268" s="444"/>
    </row>
    <row r="269" spans="1:184" ht="12.75" customHeight="1" x14ac:dyDescent="0.2">
      <c r="A269" s="174" t="s">
        <v>158</v>
      </c>
      <c r="B269" s="834"/>
      <c r="C269" s="834"/>
      <c r="D269" s="834"/>
      <c r="E269" s="834"/>
      <c r="F269" s="279"/>
      <c r="G269" s="834"/>
      <c r="H269" s="834"/>
      <c r="I269" s="834"/>
      <c r="J269" s="834"/>
      <c r="K269" s="279"/>
      <c r="L269" s="834"/>
      <c r="M269" s="834"/>
      <c r="N269" s="834"/>
      <c r="O269" s="834"/>
      <c r="P269" s="120"/>
      <c r="Q269" s="834"/>
      <c r="R269" s="834"/>
      <c r="S269" s="834"/>
      <c r="T269" s="834"/>
      <c r="U269" s="120"/>
      <c r="V269" s="834"/>
      <c r="W269" s="834"/>
      <c r="X269" s="834"/>
      <c r="Y269" s="834"/>
      <c r="Z269" s="120">
        <v>106.139</v>
      </c>
      <c r="AA269" s="834"/>
      <c r="AB269" s="834"/>
      <c r="AC269" s="834"/>
      <c r="AD269" s="834"/>
      <c r="AE269" s="120">
        <v>131.15600000000001</v>
      </c>
      <c r="AF269" s="834"/>
      <c r="AG269" s="834"/>
      <c r="AH269" s="834"/>
      <c r="AI269" s="834"/>
      <c r="AJ269" s="120">
        <v>158.09800000000001</v>
      </c>
      <c r="AK269" s="834"/>
      <c r="AL269" s="834"/>
      <c r="AM269" s="834"/>
      <c r="AN269" s="834"/>
      <c r="AO269" s="120">
        <v>153.34100000000001</v>
      </c>
      <c r="AP269" s="834"/>
      <c r="AQ269" s="834"/>
      <c r="AR269" s="834"/>
      <c r="AS269" s="834"/>
      <c r="AT269" s="120">
        <v>200.078</v>
      </c>
      <c r="AU269" s="834"/>
      <c r="AV269" s="834"/>
      <c r="AW269" s="834"/>
      <c r="AX269" s="834"/>
      <c r="AY269" s="120">
        <v>256.94200000000001</v>
      </c>
      <c r="AZ269" s="834"/>
      <c r="BA269" s="834"/>
      <c r="BB269" s="834"/>
      <c r="BC269" s="834"/>
      <c r="BD269" s="120">
        <v>377.06099999999998</v>
      </c>
      <c r="BE269" s="834"/>
      <c r="BF269" s="834"/>
      <c r="BG269" s="834"/>
      <c r="BH269" s="834"/>
      <c r="BI269" s="120">
        <v>450.4</v>
      </c>
      <c r="BJ269" s="834"/>
      <c r="BK269" s="834"/>
      <c r="BL269" s="834"/>
      <c r="BM269" s="834"/>
      <c r="BN269" s="120">
        <v>412</v>
      </c>
      <c r="BO269" s="834"/>
      <c r="BP269" s="834"/>
      <c r="BQ269" s="834"/>
      <c r="BR269" s="834"/>
      <c r="BS269" s="120">
        <v>462</v>
      </c>
      <c r="BT269" s="834"/>
      <c r="BU269" s="834"/>
      <c r="BV269" s="834"/>
      <c r="BW269" s="834"/>
      <c r="BX269" s="120">
        <v>529</v>
      </c>
      <c r="BY269" s="834"/>
      <c r="BZ269" s="834"/>
      <c r="CA269" s="834"/>
      <c r="CB269" s="834"/>
      <c r="CC269" s="120">
        <v>649</v>
      </c>
      <c r="CD269" s="834">
        <v>929</v>
      </c>
      <c r="CE269" s="834">
        <v>958</v>
      </c>
      <c r="CF269" s="834">
        <v>968</v>
      </c>
      <c r="CG269" s="834">
        <v>799</v>
      </c>
      <c r="CH269" s="120">
        <v>799</v>
      </c>
      <c r="CI269" s="834">
        <v>1010</v>
      </c>
      <c r="CJ269" s="834">
        <v>1122</v>
      </c>
      <c r="CK269" s="834">
        <v>1095</v>
      </c>
      <c r="CL269" s="834">
        <v>931</v>
      </c>
      <c r="CM269" s="120">
        <v>931</v>
      </c>
      <c r="CN269" s="834">
        <v>1198</v>
      </c>
      <c r="CO269" s="834">
        <v>1303</v>
      </c>
      <c r="CP269" s="834">
        <v>1275</v>
      </c>
      <c r="CQ269" s="834">
        <v>963</v>
      </c>
      <c r="CR269" s="120">
        <v>963</v>
      </c>
      <c r="CS269" s="834">
        <v>1547.97</v>
      </c>
      <c r="CT269" s="834">
        <v>1483.0239999999999</v>
      </c>
      <c r="CU269" s="834">
        <v>1482.4169999999999</v>
      </c>
      <c r="CV269" s="834">
        <v>1270.8910000000001</v>
      </c>
      <c r="CW269" s="120">
        <f>CV269</f>
        <v>1270.8910000000001</v>
      </c>
      <c r="CX269" s="834">
        <v>1739.885</v>
      </c>
      <c r="CY269" s="834">
        <v>1818.5050000000001</v>
      </c>
      <c r="CZ269" s="834">
        <v>1743.0430000000001</v>
      </c>
      <c r="DA269" s="834">
        <v>1449.9449999999999</v>
      </c>
      <c r="DB269" s="120">
        <f>DA269</f>
        <v>1449.9449999999999</v>
      </c>
      <c r="DC269" s="834">
        <v>2113.4690000000001</v>
      </c>
      <c r="DD269" s="834">
        <v>2149</v>
      </c>
      <c r="DE269" s="834">
        <v>2058</v>
      </c>
      <c r="DF269" s="834">
        <v>1836</v>
      </c>
      <c r="DG269" s="120">
        <f>DF269</f>
        <v>1836</v>
      </c>
      <c r="DH269" s="834">
        <v>2556</v>
      </c>
      <c r="DI269" s="834">
        <v>2528</v>
      </c>
      <c r="DJ269" s="834">
        <v>2524</v>
      </c>
      <c r="DK269" s="834">
        <v>2170</v>
      </c>
      <c r="DL269" s="120">
        <f>DK269</f>
        <v>2170</v>
      </c>
      <c r="DM269" s="834">
        <v>2877</v>
      </c>
      <c r="DN269" s="834">
        <v>3077</v>
      </c>
      <c r="DO269" s="834">
        <v>2981</v>
      </c>
      <c r="DP269" s="834">
        <v>2571</v>
      </c>
      <c r="DQ269" s="120">
        <f>DP269</f>
        <v>2571</v>
      </c>
      <c r="DR269" s="834">
        <v>3332</v>
      </c>
      <c r="DS269" s="834">
        <v>3485</v>
      </c>
      <c r="DT269" s="834">
        <v>3377</v>
      </c>
      <c r="DU269" s="834">
        <v>2897</v>
      </c>
      <c r="DV269" s="120">
        <f>DU269</f>
        <v>2897</v>
      </c>
      <c r="DW269" s="834">
        <v>3613</v>
      </c>
      <c r="DX269" s="834">
        <v>3815</v>
      </c>
      <c r="DY269" s="834">
        <v>3513</v>
      </c>
      <c r="DZ269" s="834">
        <v>2990</v>
      </c>
      <c r="EA269" s="120">
        <f>DZ269</f>
        <v>2990</v>
      </c>
      <c r="EB269" s="834">
        <v>3675</v>
      </c>
      <c r="EC269" s="834">
        <v>3754</v>
      </c>
      <c r="ED269" s="834">
        <v>3677</v>
      </c>
      <c r="EE269" s="834">
        <v>3115</v>
      </c>
      <c r="EF269" s="120">
        <f>EE269</f>
        <v>3115</v>
      </c>
      <c r="EG269" s="834">
        <v>4012</v>
      </c>
      <c r="EH269" s="834">
        <v>4012</v>
      </c>
      <c r="EI269" s="834">
        <v>3932</v>
      </c>
      <c r="EJ269" s="834">
        <v>3460</v>
      </c>
      <c r="EK269" s="120">
        <f>EJ269</f>
        <v>3460</v>
      </c>
      <c r="EL269" s="834">
        <v>4012</v>
      </c>
      <c r="EM269" s="834">
        <v>4012</v>
      </c>
      <c r="EN269" s="834">
        <v>3932</v>
      </c>
      <c r="EO269" s="834">
        <v>3495</v>
      </c>
      <c r="EP269" s="120">
        <f>EO269</f>
        <v>3495</v>
      </c>
      <c r="EQ269" s="234">
        <f>EQ270*Model!EQ$175</f>
        <v>4131.1506638106111</v>
      </c>
      <c r="ER269" s="234">
        <f>ER270*Model!ER$175</f>
        <v>4127.2047329719708</v>
      </c>
      <c r="ES269" s="234">
        <f>ES270*Model!ES$175</f>
        <v>4053.8242293017811</v>
      </c>
      <c r="ET269" s="234">
        <f>ET270*Model!ET$175</f>
        <v>3651.7009987704923</v>
      </c>
      <c r="EU269" s="120">
        <f>ET269</f>
        <v>3651.7009987704923</v>
      </c>
      <c r="EV269" s="234"/>
      <c r="EW269" s="234"/>
      <c r="EX269" s="234"/>
      <c r="EY269" s="234"/>
      <c r="EZ269" s="120">
        <f>EZ270*Model!EZ$175</f>
        <v>3872.6289091961071</v>
      </c>
      <c r="FA269" s="234"/>
      <c r="FB269" s="234"/>
      <c r="FC269" s="234"/>
      <c r="FD269" s="234"/>
      <c r="FE269" s="120">
        <f>FE270*Model!FE$175</f>
        <v>4106.9229582024718</v>
      </c>
      <c r="FF269" s="23"/>
      <c r="FG269" s="444"/>
      <c r="FL269" s="376"/>
      <c r="FM269" s="376"/>
      <c r="FN269" s="376"/>
      <c r="FO269" s="376"/>
      <c r="FP269" s="376"/>
      <c r="FQ269" s="376"/>
      <c r="FR269" s="376"/>
      <c r="FS269" s="376"/>
      <c r="FT269" s="444"/>
    </row>
    <row r="270" spans="1:184" ht="12.75" customHeight="1" x14ac:dyDescent="0.2">
      <c r="A270" s="87" t="s">
        <v>360</v>
      </c>
      <c r="B270" s="192"/>
      <c r="C270" s="192"/>
      <c r="D270" s="192"/>
      <c r="E270" s="192"/>
      <c r="F270" s="258"/>
      <c r="G270" s="192"/>
      <c r="H270" s="192"/>
      <c r="I270" s="192"/>
      <c r="J270" s="192"/>
      <c r="K270" s="258"/>
      <c r="L270" s="192"/>
      <c r="M270" s="192"/>
      <c r="N270" s="192"/>
      <c r="O270" s="192"/>
      <c r="P270" s="104"/>
      <c r="Q270" s="192"/>
      <c r="R270" s="192"/>
      <c r="S270" s="192"/>
      <c r="T270" s="192"/>
      <c r="U270" s="104"/>
      <c r="V270" s="192"/>
      <c r="W270" s="192"/>
      <c r="X270" s="192"/>
      <c r="Y270" s="192"/>
      <c r="Z270" s="104"/>
      <c r="AA270" s="192"/>
      <c r="AB270" s="192"/>
      <c r="AC270" s="192"/>
      <c r="AD270" s="192"/>
      <c r="AE270" s="104"/>
      <c r="AF270" s="192"/>
      <c r="AG270" s="192"/>
      <c r="AH270" s="192"/>
      <c r="AI270" s="192"/>
      <c r="AJ270" s="104">
        <f>AJ269/AJ175</f>
        <v>4.8359281275942592E-2</v>
      </c>
      <c r="AK270" s="192"/>
      <c r="AL270" s="192"/>
      <c r="AM270" s="192"/>
      <c r="AN270" s="192"/>
      <c r="AO270" s="104">
        <f>AO269/AO175</f>
        <v>4.213599003954998E-2</v>
      </c>
      <c r="AP270" s="192"/>
      <c r="AQ270" s="192"/>
      <c r="AR270" s="192"/>
      <c r="AS270" s="192"/>
      <c r="AT270" s="104">
        <f>AT269/AT175</f>
        <v>5.0476552564331888E-2</v>
      </c>
      <c r="AU270" s="192"/>
      <c r="AV270" s="192"/>
      <c r="AW270" s="192"/>
      <c r="AX270" s="192"/>
      <c r="AY270" s="104">
        <f>AY269/AY175</f>
        <v>5.6314610671901674E-2</v>
      </c>
      <c r="AZ270" s="192"/>
      <c r="BA270" s="192"/>
      <c r="BB270" s="192"/>
      <c r="BC270" s="192"/>
      <c r="BD270" s="104">
        <f>BD269/BD175</f>
        <v>6.8958195599276878E-2</v>
      </c>
      <c r="BE270" s="192"/>
      <c r="BF270" s="192"/>
      <c r="BG270" s="192"/>
      <c r="BH270" s="192"/>
      <c r="BI270" s="104">
        <f>BI269/BI175</f>
        <v>8.3737675000399719E-2</v>
      </c>
      <c r="BJ270" s="192"/>
      <c r="BK270" s="192"/>
      <c r="BL270" s="192"/>
      <c r="BM270" s="192"/>
      <c r="BN270" s="104">
        <f>BN269/BN175</f>
        <v>7.765747361766398E-2</v>
      </c>
      <c r="BO270" s="192"/>
      <c r="BP270" s="192"/>
      <c r="BQ270" s="192"/>
      <c r="BR270" s="192"/>
      <c r="BS270" s="104">
        <f>BS269/BS175</f>
        <v>8.0473785054868491E-2</v>
      </c>
      <c r="BT270" s="192"/>
      <c r="BU270" s="192"/>
      <c r="BV270" s="192"/>
      <c r="BW270" s="192"/>
      <c r="BX270" s="104">
        <f>BX269/BX175</f>
        <v>8.4222257602292627E-2</v>
      </c>
      <c r="BY270" s="192"/>
      <c r="BZ270" s="192"/>
      <c r="CA270" s="192"/>
      <c r="CB270" s="192"/>
      <c r="CC270" s="104">
        <f t="shared" ref="CC270:DU270" si="1132">CC269/CC175</f>
        <v>8.9172849683979122E-2</v>
      </c>
      <c r="CD270" s="192">
        <f t="shared" si="1132"/>
        <v>0.12184805062793061</v>
      </c>
      <c r="CE270" s="192">
        <f t="shared" si="1132"/>
        <v>0.11800209398287861</v>
      </c>
      <c r="CF270" s="192">
        <f t="shared" si="1132"/>
        <v>0.11435659647361116</v>
      </c>
      <c r="CG270" s="192">
        <f t="shared" si="1132"/>
        <v>9.1314285714285709E-2</v>
      </c>
      <c r="CH270" s="104">
        <f t="shared" si="1132"/>
        <v>9.1314285714285709E-2</v>
      </c>
      <c r="CI270" s="192">
        <f t="shared" si="1132"/>
        <v>0.11318111780361395</v>
      </c>
      <c r="CJ270" s="192">
        <f t="shared" si="1132"/>
        <v>0.1241631162507608</v>
      </c>
      <c r="CK270" s="192">
        <f t="shared" si="1132"/>
        <v>0.11824734753381388</v>
      </c>
      <c r="CL270" s="192">
        <f t="shared" si="1132"/>
        <v>9.8445595854922283E-2</v>
      </c>
      <c r="CM270" s="104">
        <f t="shared" si="1132"/>
        <v>9.8445595854922283E-2</v>
      </c>
      <c r="CN270" s="192">
        <f t="shared" si="1132"/>
        <v>0.12275847935239266</v>
      </c>
      <c r="CO270" s="192">
        <f t="shared" si="1132"/>
        <v>0.12989731831322898</v>
      </c>
      <c r="CP270" s="192">
        <f t="shared" si="1132"/>
        <v>0.1235944164404808</v>
      </c>
      <c r="CQ270" s="192">
        <f t="shared" si="1132"/>
        <v>9.127962085308057E-2</v>
      </c>
      <c r="CR270" s="104">
        <f t="shared" si="1132"/>
        <v>9.127962085308057E-2</v>
      </c>
      <c r="CS270" s="192">
        <f t="shared" si="1132"/>
        <v>0.14235383688269954</v>
      </c>
      <c r="CT270" s="192">
        <f t="shared" si="1132"/>
        <v>0.13276763122028218</v>
      </c>
      <c r="CU270" s="192">
        <f t="shared" si="1132"/>
        <v>0.12910220738380565</v>
      </c>
      <c r="CV270" s="192">
        <f t="shared" si="1132"/>
        <v>0.1060758461442797</v>
      </c>
      <c r="CW270" s="104">
        <f t="shared" si="1132"/>
        <v>0.1060758461442797</v>
      </c>
      <c r="CX270" s="192">
        <f t="shared" si="1132"/>
        <v>0.14168943076824853</v>
      </c>
      <c r="CY270" s="192">
        <f t="shared" si="1132"/>
        <v>0.14143428200463898</v>
      </c>
      <c r="CZ270" s="192">
        <f t="shared" si="1132"/>
        <v>0.13023176198853542</v>
      </c>
      <c r="DA270" s="192">
        <f t="shared" si="1132"/>
        <v>0.10540681887310166</v>
      </c>
      <c r="DB270" s="104">
        <f t="shared" si="1132"/>
        <v>0.10540681887310166</v>
      </c>
      <c r="DC270" s="192">
        <f t="shared" si="1132"/>
        <v>0.14821188347843492</v>
      </c>
      <c r="DD270" s="192">
        <f t="shared" si="1132"/>
        <v>0.14551949273895654</v>
      </c>
      <c r="DE270" s="192">
        <f t="shared" si="1132"/>
        <v>0.13561081304481135</v>
      </c>
      <c r="DF270" s="192">
        <f t="shared" si="1132"/>
        <v>0.11811797914548591</v>
      </c>
      <c r="DG270" s="104">
        <f t="shared" si="1132"/>
        <v>0.11811797914548591</v>
      </c>
      <c r="DH270" s="192">
        <f t="shared" si="1132"/>
        <v>0.16224450933096357</v>
      </c>
      <c r="DI270" s="192">
        <f t="shared" si="1132"/>
        <v>0.15827698472326571</v>
      </c>
      <c r="DJ270" s="192">
        <f t="shared" si="1132"/>
        <v>0.15761208942175597</v>
      </c>
      <c r="DK270" s="192">
        <f t="shared" si="1132"/>
        <v>0.13484123531970421</v>
      </c>
      <c r="DL270" s="104">
        <f t="shared" si="1132"/>
        <v>0.13484123531970421</v>
      </c>
      <c r="DM270" s="192">
        <f t="shared" si="1132"/>
        <v>0.17781211372064276</v>
      </c>
      <c r="DN270" s="192">
        <f t="shared" si="1132"/>
        <v>0.18978597421821994</v>
      </c>
      <c r="DO270" s="192">
        <f t="shared" si="1132"/>
        <v>0.18107270849784365</v>
      </c>
      <c r="DP270" s="192">
        <f t="shared" si="1132"/>
        <v>0.15375874648645416</v>
      </c>
      <c r="DQ270" s="104">
        <f t="shared" si="1132"/>
        <v>0.15375874648645416</v>
      </c>
      <c r="DR270" s="192">
        <f t="shared" si="1132"/>
        <v>0.19814462416745957</v>
      </c>
      <c r="DS270" s="192">
        <f t="shared" si="1132"/>
        <v>0.20275773795671398</v>
      </c>
      <c r="DT270" s="192">
        <f t="shared" si="1132"/>
        <v>0.19356872635561159</v>
      </c>
      <c r="DU270" s="192">
        <f t="shared" si="1132"/>
        <v>0.16406161513195153</v>
      </c>
      <c r="DV270" s="104">
        <f t="shared" ref="DV270:EH270" si="1133">DV269/DV175</f>
        <v>0.16406161513195153</v>
      </c>
      <c r="DW270" s="192">
        <f t="shared" si="1133"/>
        <v>0.20180975255543765</v>
      </c>
      <c r="DX270" s="192">
        <f t="shared" si="1133"/>
        <v>0.211909126256735</v>
      </c>
      <c r="DY270" s="192">
        <f t="shared" si="1133"/>
        <v>0.19350041310933627</v>
      </c>
      <c r="DZ270" s="192">
        <f t="shared" si="1133"/>
        <v>0.16339690693480519</v>
      </c>
      <c r="EA270" s="104">
        <f t="shared" si="1133"/>
        <v>0.16339690693480519</v>
      </c>
      <c r="EB270" s="192">
        <f t="shared" si="1133"/>
        <v>0.1984448404341487</v>
      </c>
      <c r="EC270" s="192">
        <f t="shared" si="1133"/>
        <v>0.20213224208485892</v>
      </c>
      <c r="ED270" s="192">
        <f t="shared" si="1133"/>
        <v>0.19848852901484482</v>
      </c>
      <c r="EE270" s="192">
        <f t="shared" si="1133"/>
        <v>0.16751815004033344</v>
      </c>
      <c r="EF270" s="104">
        <f>EF269/EF175</f>
        <v>0.16751815004033344</v>
      </c>
      <c r="EG270" s="192">
        <f t="shared" si="1133"/>
        <v>0.21545566833145374</v>
      </c>
      <c r="EH270" s="192">
        <f t="shared" si="1133"/>
        <v>0.21172621246503773</v>
      </c>
      <c r="EI270" s="192">
        <f t="shared" ref="EI270:EJ270" si="1134">EI269/EI175</f>
        <v>0.2066754270696452</v>
      </c>
      <c r="EJ270" s="192">
        <f t="shared" si="1134"/>
        <v>0.18077324973876699</v>
      </c>
      <c r="EK270" s="104">
        <f>EK269/EK175</f>
        <v>0.18077324973876699</v>
      </c>
      <c r="EL270" s="192">
        <f t="shared" ref="EL270:EO270" si="1135">EL269/EL175</f>
        <v>0.20828574395182223</v>
      </c>
      <c r="EM270" s="192">
        <f t="shared" si="1135"/>
        <v>0.20671887881286066</v>
      </c>
      <c r="EN270" s="192">
        <f t="shared" si="1135"/>
        <v>0.20054062324679961</v>
      </c>
      <c r="EO270" s="192">
        <f t="shared" si="1135"/>
        <v>0.17683667273831208</v>
      </c>
      <c r="EP270" s="104">
        <f>EP269/EP175</f>
        <v>0.17683667273831208</v>
      </c>
      <c r="EQ270" s="170">
        <f>+EL270</f>
        <v>0.20828574395182223</v>
      </c>
      <c r="ER270" s="170">
        <f>+EM270</f>
        <v>0.20671887881286066</v>
      </c>
      <c r="ES270" s="170">
        <f>+EN270</f>
        <v>0.20054062324679961</v>
      </c>
      <c r="ET270" s="170">
        <f>+EO270</f>
        <v>0.17683667273831208</v>
      </c>
      <c r="EU270" s="104">
        <f>EU269/EU175</f>
        <v>0.17683667273831208</v>
      </c>
      <c r="EV270" s="170"/>
      <c r="EW270" s="170"/>
      <c r="EX270" s="170"/>
      <c r="EY270" s="170"/>
      <c r="EZ270" s="326">
        <f>+EU270</f>
        <v>0.17683667273831208</v>
      </c>
      <c r="FA270" s="170"/>
      <c r="FB270" s="170"/>
      <c r="FC270" s="170"/>
      <c r="FD270" s="170"/>
      <c r="FE270" s="326">
        <f>+EZ270</f>
        <v>0.17683667273831208</v>
      </c>
      <c r="FF270" s="170"/>
      <c r="FG270" s="468"/>
      <c r="FL270" s="388"/>
      <c r="FM270" s="388"/>
      <c r="FN270" s="388"/>
      <c r="FO270" s="388"/>
      <c r="FP270" s="388"/>
      <c r="FQ270" s="388"/>
      <c r="FR270" s="388"/>
      <c r="FS270" s="388"/>
      <c r="FT270" s="468"/>
    </row>
    <row r="271" spans="1:184" ht="12.75" customHeight="1" x14ac:dyDescent="0.2">
      <c r="A271" s="199" t="s">
        <v>161</v>
      </c>
      <c r="B271" s="199"/>
      <c r="C271" s="199"/>
      <c r="D271" s="199"/>
      <c r="E271" s="199"/>
      <c r="F271" s="279"/>
      <c r="G271" s="199"/>
      <c r="H271" s="199"/>
      <c r="I271" s="199"/>
      <c r="J271" s="199"/>
      <c r="K271" s="279"/>
      <c r="L271" s="199"/>
      <c r="M271" s="199"/>
      <c r="N271" s="199"/>
      <c r="O271" s="199"/>
      <c r="P271" s="289">
        <f>P273-P267-P268</f>
        <v>363.05799999999999</v>
      </c>
      <c r="Q271" s="199"/>
      <c r="R271" s="199"/>
      <c r="S271" s="199"/>
      <c r="T271" s="199"/>
      <c r="U271" s="289">
        <f>U273-U267-U268</f>
        <v>462.54400000000004</v>
      </c>
      <c r="V271" s="199"/>
      <c r="W271" s="199"/>
      <c r="X271" s="199"/>
      <c r="Y271" s="199"/>
      <c r="Z271" s="289">
        <f>Z273-Z267-Z268</f>
        <v>512.71699999999998</v>
      </c>
      <c r="AA271" s="199"/>
      <c r="AB271" s="199"/>
      <c r="AC271" s="199"/>
      <c r="AD271" s="199"/>
      <c r="AE271" s="289">
        <f>AE273-AE267-AE268</f>
        <v>597.10500000000002</v>
      </c>
      <c r="AF271" s="199"/>
      <c r="AG271" s="199"/>
      <c r="AH271" s="199"/>
      <c r="AI271" s="199"/>
      <c r="AJ271" s="289">
        <f>AJ273-AJ267-AJ268</f>
        <v>753.077</v>
      </c>
      <c r="AK271" s="199"/>
      <c r="AL271" s="199"/>
      <c r="AM271" s="199"/>
      <c r="AN271" s="199"/>
      <c r="AO271" s="289">
        <f>AO273-AO267-AO268</f>
        <v>747.18900000000008</v>
      </c>
      <c r="AP271" s="199"/>
      <c r="AQ271" s="199"/>
      <c r="AR271" s="199"/>
      <c r="AS271" s="199"/>
      <c r="AT271" s="289">
        <f>AT273-AT267-AT268</f>
        <v>838.65700000000004</v>
      </c>
      <c r="AU271" s="199"/>
      <c r="AV271" s="199"/>
      <c r="AW271" s="199"/>
      <c r="AX271" s="199"/>
      <c r="AY271" s="289">
        <f>AY273-AY267-AY268</f>
        <v>954.18299999999999</v>
      </c>
      <c r="AZ271" s="199"/>
      <c r="BA271" s="199"/>
      <c r="BB271" s="199"/>
      <c r="BC271" s="199"/>
      <c r="BD271" s="289">
        <f>BD273-BD267-BD268</f>
        <v>1189.6510000000001</v>
      </c>
      <c r="BE271" s="199"/>
      <c r="BF271" s="199"/>
      <c r="BG271" s="199"/>
      <c r="BH271" s="199"/>
      <c r="BI271" s="289">
        <f>BI273-BI267-BI268</f>
        <v>1724.6179999999999</v>
      </c>
      <c r="BJ271" s="199"/>
      <c r="BK271" s="199"/>
      <c r="BL271" s="199"/>
      <c r="BM271" s="199"/>
      <c r="BN271" s="289">
        <f>BN273-BN267-BN268</f>
        <v>1303.374</v>
      </c>
      <c r="BO271" s="199"/>
      <c r="BP271" s="199"/>
      <c r="BQ271" s="199"/>
      <c r="BR271" s="199"/>
      <c r="BS271" s="289">
        <f>BS273-BS267-BS268</f>
        <v>1517</v>
      </c>
      <c r="BT271" s="199"/>
      <c r="BU271" s="199"/>
      <c r="BV271" s="199"/>
      <c r="BW271" s="199"/>
      <c r="BX271" s="289">
        <f>BX273-BX267-BX268</f>
        <v>1996</v>
      </c>
      <c r="BY271" s="199"/>
      <c r="BZ271" s="199"/>
      <c r="CA271" s="199"/>
      <c r="CB271" s="199"/>
      <c r="CC271" s="289">
        <f>CC273-CC267-CC268</f>
        <v>3247</v>
      </c>
      <c r="CD271" s="199">
        <f t="shared" ref="CD271:CV271" si="1136">CD273-CD267-CD268-CD269</f>
        <v>2946</v>
      </c>
      <c r="CE271" s="199">
        <f t="shared" si="1136"/>
        <v>3244</v>
      </c>
      <c r="CF271" s="199">
        <f t="shared" si="1136"/>
        <v>2391</v>
      </c>
      <c r="CG271" s="199">
        <f t="shared" si="1136"/>
        <v>1966</v>
      </c>
      <c r="CH271" s="289">
        <f t="shared" si="1136"/>
        <v>1966</v>
      </c>
      <c r="CI271" s="199">
        <f t="shared" si="1136"/>
        <v>2391</v>
      </c>
      <c r="CJ271" s="199">
        <f t="shared" si="1136"/>
        <v>2840</v>
      </c>
      <c r="CK271" s="199">
        <f t="shared" si="1136"/>
        <v>2707</v>
      </c>
      <c r="CL271" s="199">
        <f t="shared" si="1136"/>
        <v>3866</v>
      </c>
      <c r="CM271" s="289">
        <f t="shared" si="1136"/>
        <v>3866</v>
      </c>
      <c r="CN271" s="199">
        <f t="shared" si="1136"/>
        <v>4543</v>
      </c>
      <c r="CO271" s="199">
        <f t="shared" si="1136"/>
        <v>7000</v>
      </c>
      <c r="CP271" s="199">
        <f t="shared" si="1136"/>
        <v>4241</v>
      </c>
      <c r="CQ271" s="199">
        <f t="shared" si="1136"/>
        <v>1680</v>
      </c>
      <c r="CR271" s="289">
        <f t="shared" si="1136"/>
        <v>1680</v>
      </c>
      <c r="CS271" s="199">
        <f t="shared" si="1136"/>
        <v>1964.4849999999999</v>
      </c>
      <c r="CT271" s="199">
        <f t="shared" si="1136"/>
        <v>1999.7760000000003</v>
      </c>
      <c r="CU271" s="199">
        <f t="shared" si="1136"/>
        <v>1839.6990000000001</v>
      </c>
      <c r="CV271" s="199">
        <f t="shared" si="1136"/>
        <v>1678.5589999999997</v>
      </c>
      <c r="CW271" s="289">
        <f>CV271</f>
        <v>1678.5589999999997</v>
      </c>
      <c r="CX271" s="199">
        <f>CX273-CX267-CX268-CX269</f>
        <v>1600.586</v>
      </c>
      <c r="CY271" s="199">
        <f>CY273-CY267-CY268-CY269</f>
        <v>1963.2839999999997</v>
      </c>
      <c r="CZ271" s="199">
        <f>CZ273-CZ267-CZ268-CZ269</f>
        <v>1868.252</v>
      </c>
      <c r="DA271" s="199">
        <f>DA273-DA267-DA268-DA269</f>
        <v>1847.9599999999998</v>
      </c>
      <c r="DB271" s="289">
        <f>DA271</f>
        <v>1847.9599999999998</v>
      </c>
      <c r="DC271" s="199">
        <f>DC273-DC267-DC268-DC269</f>
        <v>2017.5719999999992</v>
      </c>
      <c r="DD271" s="199">
        <f>DD273-DD267-DD268-DD269</f>
        <v>2179</v>
      </c>
      <c r="DE271" s="199">
        <f>DE273-DE267-DE268-DE269</f>
        <v>2276</v>
      </c>
      <c r="DF271" s="199">
        <f>DF273-DF267-DF268-DF269</f>
        <v>2053</v>
      </c>
      <c r="DG271" s="289">
        <f>DF271</f>
        <v>2053</v>
      </c>
      <c r="DH271" s="199">
        <f>DH273-DH267-DH268-DH269</f>
        <v>2232</v>
      </c>
      <c r="DI271" s="199">
        <f>DI273-DI267-DI268-DI269</f>
        <v>2295</v>
      </c>
      <c r="DJ271" s="199">
        <f>DJ273-DJ267-DJ268-DJ269</f>
        <v>2180</v>
      </c>
      <c r="DK271" s="199">
        <f>DK273-DK267-DK268-DK269</f>
        <v>2209</v>
      </c>
      <c r="DL271" s="289">
        <f>DK271</f>
        <v>2209</v>
      </c>
      <c r="DM271" s="199">
        <f>DM273-DM267-DM268-DM269</f>
        <v>2254</v>
      </c>
      <c r="DN271" s="199">
        <f>DN273-DN267-DN268-DN269</f>
        <v>2439</v>
      </c>
      <c r="DO271" s="199">
        <f>DO273-DO267-DO268-DO269</f>
        <v>2306</v>
      </c>
      <c r="DP271" s="199">
        <f>DP273-DP267-DP268-DP269</f>
        <v>2476</v>
      </c>
      <c r="DQ271" s="289">
        <f>DP271</f>
        <v>2476</v>
      </c>
      <c r="DR271" s="199">
        <f>DR273-DR267-DR268-DR269</f>
        <v>2467</v>
      </c>
      <c r="DS271" s="199">
        <f>DS273-DS267-DS268-DS269</f>
        <v>2937</v>
      </c>
      <c r="DT271" s="199">
        <f>DT273-DT267-DT268-DT269</f>
        <v>2462</v>
      </c>
      <c r="DU271" s="199">
        <f>DU273-DU267-DU268-DU269</f>
        <v>2768</v>
      </c>
      <c r="DV271" s="289">
        <f>DU271</f>
        <v>2768</v>
      </c>
      <c r="DW271" s="199">
        <f>DW273-DW267-DW268-DW269</f>
        <v>3019</v>
      </c>
      <c r="DX271" s="199">
        <f>DX273-DX267-DX268-DX269</f>
        <v>2785</v>
      </c>
      <c r="DY271" s="199">
        <f>DY273-DY267-DY268-DY269</f>
        <v>3284</v>
      </c>
      <c r="DZ271" s="199">
        <f>DZ273-DZ267-DZ268-DZ269</f>
        <v>3779</v>
      </c>
      <c r="EA271" s="289">
        <f>DZ271</f>
        <v>3779</v>
      </c>
      <c r="EB271" s="199">
        <f>EB273-EB267-EB268-EB269</f>
        <v>3625</v>
      </c>
      <c r="EC271" s="199">
        <f>EC273-EC267-EC268-EC269</f>
        <v>3116</v>
      </c>
      <c r="ED271" s="199">
        <f>ED273-ED267-ED268-ED269</f>
        <v>3167</v>
      </c>
      <c r="EE271" s="199">
        <f>EE273-EE267-EE268-EE269</f>
        <v>3163</v>
      </c>
      <c r="EF271" s="289">
        <f>EE271</f>
        <v>3163</v>
      </c>
      <c r="EG271" s="199">
        <f>EG273-EG267-EG268-EG269</f>
        <v>3161</v>
      </c>
      <c r="EH271" s="199">
        <f>EH273-EH267-EH268-EH269</f>
        <v>2778</v>
      </c>
      <c r="EI271" s="199">
        <f>EI273-EI267-EI268-EI269</f>
        <v>2717</v>
      </c>
      <c r="EJ271" s="199">
        <f>EJ273-EJ267-EJ268-EJ269</f>
        <v>3097</v>
      </c>
      <c r="EK271" s="289">
        <f>EJ271</f>
        <v>3097</v>
      </c>
      <c r="EL271" s="199">
        <f>EL273-EL267-EL268-EL269</f>
        <v>3161</v>
      </c>
      <c r="EM271" s="199">
        <f>EM273-EM267-EM268-EM269</f>
        <v>2778</v>
      </c>
      <c r="EN271" s="199">
        <f>EN273-EN267-EN268-EN269</f>
        <v>2717</v>
      </c>
      <c r="EO271" s="199">
        <f>EO273-EO267-EO268-EO269</f>
        <v>3020</v>
      </c>
      <c r="EP271" s="289">
        <f>EO271</f>
        <v>3020</v>
      </c>
      <c r="EQ271" s="199">
        <f t="shared" ref="EQ271" si="1137">EQ272*EQ178</f>
        <v>3168.8050433860976</v>
      </c>
      <c r="ER271" s="199">
        <f t="shared" ref="ER271:ET271" si="1138">ER272*ER178</f>
        <v>2818.0246362252501</v>
      </c>
      <c r="ES271" s="199">
        <f t="shared" si="1138"/>
        <v>2798.6524527028378</v>
      </c>
      <c r="ET271" s="199">
        <f t="shared" si="1138"/>
        <v>3172.6480890819021</v>
      </c>
      <c r="EU271" s="289">
        <f>ET271</f>
        <v>3172.6480890819021</v>
      </c>
      <c r="EV271" s="199"/>
      <c r="EW271" s="199"/>
      <c r="EX271" s="199"/>
      <c r="EY271" s="199"/>
      <c r="EZ271" s="289">
        <f>EZ272*EZ178</f>
        <v>3349.3666598147615</v>
      </c>
      <c r="FA271" s="199"/>
      <c r="FB271" s="199"/>
      <c r="FC271" s="199"/>
      <c r="FD271" s="199"/>
      <c r="FE271" s="289">
        <f>FE272*FE178</f>
        <v>3543.3643687491299</v>
      </c>
      <c r="FF271" s="55"/>
      <c r="FG271" s="467"/>
      <c r="FL271" s="376"/>
      <c r="FM271" s="376"/>
      <c r="FN271" s="377"/>
      <c r="FO271" s="377"/>
      <c r="FP271" s="377"/>
      <c r="FQ271" s="377"/>
      <c r="FR271" s="377"/>
      <c r="FS271" s="377"/>
      <c r="FT271" s="467"/>
    </row>
    <row r="272" spans="1:184" ht="12.75" customHeight="1" x14ac:dyDescent="0.2">
      <c r="A272" s="86" t="s">
        <v>375</v>
      </c>
      <c r="B272" s="19"/>
      <c r="C272" s="19"/>
      <c r="D272" s="19"/>
      <c r="E272" s="19"/>
      <c r="F272" s="258"/>
      <c r="G272" s="19"/>
      <c r="H272" s="19"/>
      <c r="I272" s="19"/>
      <c r="J272" s="19"/>
      <c r="K272" s="258"/>
      <c r="L272" s="19"/>
      <c r="M272" s="19"/>
      <c r="N272" s="19"/>
      <c r="O272" s="19"/>
      <c r="P272" s="104"/>
      <c r="Q272" s="19"/>
      <c r="R272" s="19"/>
      <c r="S272" s="19"/>
      <c r="T272" s="19"/>
      <c r="U272" s="104"/>
      <c r="V272" s="19"/>
      <c r="W272" s="19"/>
      <c r="X272" s="19"/>
      <c r="Y272" s="19"/>
      <c r="Z272" s="104"/>
      <c r="AA272" s="19"/>
      <c r="AB272" s="19"/>
      <c r="AC272" s="19"/>
      <c r="AD272" s="19"/>
      <c r="AE272" s="104"/>
      <c r="AF272" s="19"/>
      <c r="AG272" s="19"/>
      <c r="AH272" s="19"/>
      <c r="AI272" s="19"/>
      <c r="AJ272" s="104">
        <f>AJ271/AJ178</f>
        <v>0.29295060960950914</v>
      </c>
      <c r="AK272" s="19"/>
      <c r="AL272" s="19"/>
      <c r="AM272" s="19"/>
      <c r="AN272" s="19"/>
      <c r="AO272" s="104">
        <f>AO271/AO178</f>
        <v>0.2670789914188173</v>
      </c>
      <c r="AP272" s="19"/>
      <c r="AQ272" s="19"/>
      <c r="AR272" s="19"/>
      <c r="AS272" s="19"/>
      <c r="AT272" s="104">
        <f>AT271/AT178</f>
        <v>0.27123263393101144</v>
      </c>
      <c r="AU272" s="19"/>
      <c r="AV272" s="19"/>
      <c r="AW272" s="19"/>
      <c r="AX272" s="19"/>
      <c r="AY272" s="104">
        <f>AY271/AY178</f>
        <v>0.27564828477962194</v>
      </c>
      <c r="AZ272" s="19"/>
      <c r="BA272" s="19"/>
      <c r="BB272" s="19"/>
      <c r="BC272" s="19"/>
      <c r="BD272" s="104">
        <f>BD271/BD178</f>
        <v>0.3111020978355325</v>
      </c>
      <c r="BE272" s="19"/>
      <c r="BF272" s="19"/>
      <c r="BG272" s="19"/>
      <c r="BH272" s="19"/>
      <c r="BI272" s="104">
        <f>BI271/BI178</f>
        <v>0.41521671770348989</v>
      </c>
      <c r="BJ272" s="19"/>
      <c r="BK272" s="19"/>
      <c r="BL272" s="19"/>
      <c r="BM272" s="19"/>
      <c r="BN272" s="104">
        <f>BN271/BN178</f>
        <v>0.30058531590454135</v>
      </c>
      <c r="BO272" s="19"/>
      <c r="BP272" s="19"/>
      <c r="BQ272" s="19"/>
      <c r="BR272" s="19"/>
      <c r="BS272" s="104">
        <f>BS271/BS178</f>
        <v>0.33100589133755182</v>
      </c>
      <c r="BT272" s="19"/>
      <c r="BU272" s="19"/>
      <c r="BV272" s="19"/>
      <c r="BW272" s="19"/>
      <c r="BX272" s="104">
        <f>BX271/BX178</f>
        <v>0.4044005916080799</v>
      </c>
      <c r="BY272" s="19"/>
      <c r="BZ272" s="19"/>
      <c r="CA272" s="19"/>
      <c r="CB272" s="19"/>
      <c r="CC272" s="104">
        <f t="shared" ref="CC272:DU272" si="1139">CC271/CC178</f>
        <v>0.58854449882182347</v>
      </c>
      <c r="CD272" s="19">
        <f t="shared" si="1139"/>
        <v>0.52285957688485019</v>
      </c>
      <c r="CE272" s="19">
        <f t="shared" si="1139"/>
        <v>0.55875159323435186</v>
      </c>
      <c r="CF272" s="19">
        <f t="shared" si="1139"/>
        <v>0.40387149082801249</v>
      </c>
      <c r="CG272" s="19">
        <f t="shared" si="1139"/>
        <v>0.32692563522681917</v>
      </c>
      <c r="CH272" s="104">
        <f t="shared" si="1139"/>
        <v>0.32692563522681917</v>
      </c>
      <c r="CI272" s="19">
        <f t="shared" si="1139"/>
        <v>0.38921083474410739</v>
      </c>
      <c r="CJ272" s="19">
        <f t="shared" si="1139"/>
        <v>0.45354370947650841</v>
      </c>
      <c r="CK272" s="19">
        <f t="shared" si="1139"/>
        <v>0.42327297745254405</v>
      </c>
      <c r="CL272" s="19">
        <f t="shared" si="1139"/>
        <v>0.59376439870987563</v>
      </c>
      <c r="CM272" s="104">
        <f t="shared" si="1139"/>
        <v>0.59376439870987563</v>
      </c>
      <c r="CN272" s="19">
        <f t="shared" si="1139"/>
        <v>0.68315789473684208</v>
      </c>
      <c r="CO272" s="19">
        <f t="shared" si="1139"/>
        <v>1.0336680448907265</v>
      </c>
      <c r="CP272" s="19">
        <f t="shared" si="1139"/>
        <v>0.61241877256317689</v>
      </c>
      <c r="CQ272" s="19">
        <f t="shared" si="1139"/>
        <v>0.23965763195435091</v>
      </c>
      <c r="CR272" s="104">
        <f t="shared" si="1139"/>
        <v>0.23965763195435091</v>
      </c>
      <c r="CS272" s="19">
        <f t="shared" si="1139"/>
        <v>0.26578061628021193</v>
      </c>
      <c r="CT272" s="19">
        <f t="shared" si="1139"/>
        <v>0.25758432516553581</v>
      </c>
      <c r="CU272" s="19">
        <f t="shared" si="1139"/>
        <v>0.22720493075846621</v>
      </c>
      <c r="CV272" s="19">
        <f t="shared" si="1139"/>
        <v>0.19797869500947274</v>
      </c>
      <c r="CW272" s="104">
        <f t="shared" si="1139"/>
        <v>0.19797869500947277</v>
      </c>
      <c r="CX272" s="19">
        <f t="shared" si="1139"/>
        <v>0.18687451335552671</v>
      </c>
      <c r="CY272" s="19">
        <f t="shared" si="1139"/>
        <v>0.22559141961966164</v>
      </c>
      <c r="CZ272" s="19">
        <f t="shared" si="1139"/>
        <v>0.21042859694820573</v>
      </c>
      <c r="DA272" s="19">
        <f t="shared" si="1139"/>
        <v>0.20269551381682815</v>
      </c>
      <c r="DB272" s="104">
        <f t="shared" si="1139"/>
        <v>0.20269551381682815</v>
      </c>
      <c r="DC272" s="19">
        <f t="shared" si="1139"/>
        <v>0.21625321527847591</v>
      </c>
      <c r="DD272" s="19">
        <f t="shared" si="1139"/>
        <v>0.2283666367138513</v>
      </c>
      <c r="DE272" s="19">
        <f t="shared" si="1139"/>
        <v>0.23484075093735099</v>
      </c>
      <c r="DF272" s="19">
        <f t="shared" si="1139"/>
        <v>0.21044163632364102</v>
      </c>
      <c r="DG272" s="104">
        <f t="shared" si="1139"/>
        <v>0.21044163632364102</v>
      </c>
      <c r="DH272" s="19">
        <f t="shared" si="1139"/>
        <v>0.22701383238405207</v>
      </c>
      <c r="DI272" s="19">
        <f t="shared" si="1139"/>
        <v>0.23163100524828423</v>
      </c>
      <c r="DJ272" s="19">
        <f t="shared" si="1139"/>
        <v>0.21736962807857213</v>
      </c>
      <c r="DK272" s="19">
        <f t="shared" si="1139"/>
        <v>0.21737846880535328</v>
      </c>
      <c r="DL272" s="104">
        <f t="shared" si="1139"/>
        <v>0.21737846880535328</v>
      </c>
      <c r="DM272" s="19">
        <f t="shared" si="1139"/>
        <v>0.21968810916179338</v>
      </c>
      <c r="DN272" s="19">
        <f t="shared" si="1139"/>
        <v>0.23481274670260904</v>
      </c>
      <c r="DO272" s="19">
        <f t="shared" si="1139"/>
        <v>0.22005916595094951</v>
      </c>
      <c r="DP272" s="19">
        <f t="shared" si="1139"/>
        <v>0.23420355656451003</v>
      </c>
      <c r="DQ272" s="104">
        <f t="shared" si="1139"/>
        <v>0.23420355656451003</v>
      </c>
      <c r="DR272" s="19">
        <f t="shared" si="1139"/>
        <v>0.23170846247769325</v>
      </c>
      <c r="DS272" s="19">
        <f t="shared" si="1139"/>
        <v>0.27384615384615385</v>
      </c>
      <c r="DT272" s="19">
        <f t="shared" si="1139"/>
        <v>0.2274364896073903</v>
      </c>
      <c r="DU272" s="19">
        <f t="shared" si="1139"/>
        <v>0.25253170331174163</v>
      </c>
      <c r="DV272" s="104">
        <f t="shared" ref="DV272:EE272" si="1140">DV271/DV178</f>
        <v>0.25253170331174163</v>
      </c>
      <c r="DW272" s="19">
        <f t="shared" si="1140"/>
        <v>0.27166381715108434</v>
      </c>
      <c r="DX272" s="19">
        <f t="shared" si="1140"/>
        <v>0.24639476245244626</v>
      </c>
      <c r="DY272" s="19">
        <f t="shared" si="1140"/>
        <v>0.28464938892259684</v>
      </c>
      <c r="DZ272" s="19">
        <f t="shared" si="1140"/>
        <v>0.32153492725261634</v>
      </c>
      <c r="EA272" s="104">
        <f t="shared" si="1140"/>
        <v>0.32153492725261634</v>
      </c>
      <c r="EB272" s="19">
        <f t="shared" si="1140"/>
        <v>0.3017815517815518</v>
      </c>
      <c r="EC272" s="19">
        <f t="shared" si="1140"/>
        <v>0.25472083708002941</v>
      </c>
      <c r="ED272" s="19">
        <f t="shared" si="1140"/>
        <v>0.25641648449518256</v>
      </c>
      <c r="EE272" s="19">
        <f t="shared" si="1140"/>
        <v>0.25069350875802487</v>
      </c>
      <c r="EF272" s="104">
        <f>EF271/EF178</f>
        <v>0.25069350875802487</v>
      </c>
      <c r="EG272" s="19">
        <f t="shared" ref="EG272:EH272" si="1141">EG271/EG178</f>
        <v>0.24532402017850213</v>
      </c>
      <c r="EH272" s="19">
        <f t="shared" si="1141"/>
        <v>0.21050238690611503</v>
      </c>
      <c r="EI272" s="19">
        <f t="shared" ref="EI272:EJ272" si="1142">EI271/EI178</f>
        <v>0.20247410388255457</v>
      </c>
      <c r="EJ272" s="19">
        <f t="shared" si="1142"/>
        <v>0.22736950297334999</v>
      </c>
      <c r="EK272" s="104">
        <f>EK271/EK178</f>
        <v>0.22736950297334999</v>
      </c>
      <c r="EL272" s="19">
        <f t="shared" ref="EL272:EO272" si="1143">EL271/EL178</f>
        <v>0.23225569434239529</v>
      </c>
      <c r="EM272" s="19">
        <f t="shared" si="1143"/>
        <v>0.20429474922782762</v>
      </c>
      <c r="EN272" s="19">
        <f t="shared" si="1143"/>
        <v>0.2</v>
      </c>
      <c r="EO272" s="19">
        <f t="shared" si="1143"/>
        <v>0.22259895334266971</v>
      </c>
      <c r="EP272" s="104">
        <f>EP271/EP178</f>
        <v>0.22259895334266971</v>
      </c>
      <c r="EQ272" s="170">
        <f>+EL272</f>
        <v>0.23225569434239529</v>
      </c>
      <c r="ER272" s="170">
        <f>+EM272</f>
        <v>0.20429474922782762</v>
      </c>
      <c r="ES272" s="170">
        <f>+EN272</f>
        <v>0.2</v>
      </c>
      <c r="ET272" s="170">
        <f>+EO272</f>
        <v>0.22259895334266971</v>
      </c>
      <c r="EU272" s="104">
        <f>EU271/EU178</f>
        <v>0.22259895334266977</v>
      </c>
      <c r="EV272" s="170"/>
      <c r="EW272" s="170"/>
      <c r="EX272" s="170"/>
      <c r="EY272" s="170"/>
      <c r="EZ272" s="326">
        <f>+EU272</f>
        <v>0.22259895334266977</v>
      </c>
      <c r="FA272" s="170"/>
      <c r="FB272" s="170"/>
      <c r="FC272" s="170"/>
      <c r="FD272" s="170"/>
      <c r="FE272" s="326">
        <f>+EZ272</f>
        <v>0.22259895334266977</v>
      </c>
      <c r="FF272" s="170"/>
      <c r="FG272" s="468"/>
      <c r="FL272" s="388"/>
      <c r="FM272" s="388"/>
      <c r="FN272" s="389"/>
      <c r="FO272" s="389"/>
      <c r="FP272" s="389"/>
      <c r="FQ272" s="389"/>
      <c r="FR272" s="389"/>
      <c r="FS272" s="389"/>
      <c r="FT272" s="468"/>
    </row>
    <row r="273" spans="1:183" ht="12.75" customHeight="1" x14ac:dyDescent="0.2">
      <c r="A273" s="200" t="s">
        <v>372</v>
      </c>
      <c r="B273" s="842"/>
      <c r="C273" s="842"/>
      <c r="D273" s="842"/>
      <c r="E273" s="842"/>
      <c r="F273" s="284"/>
      <c r="G273" s="842"/>
      <c r="H273" s="842"/>
      <c r="I273" s="842"/>
      <c r="J273" s="842"/>
      <c r="K273" s="284"/>
      <c r="L273" s="842"/>
      <c r="M273" s="842"/>
      <c r="N273" s="842"/>
      <c r="O273" s="842"/>
      <c r="P273" s="852">
        <v>379.29199999999997</v>
      </c>
      <c r="Q273" s="842"/>
      <c r="R273" s="842"/>
      <c r="S273" s="842"/>
      <c r="T273" s="842"/>
      <c r="U273" s="852">
        <v>478.61200000000002</v>
      </c>
      <c r="V273" s="842"/>
      <c r="W273" s="842"/>
      <c r="X273" s="842"/>
      <c r="Y273" s="842"/>
      <c r="Z273" s="852">
        <v>522.27</v>
      </c>
      <c r="AA273" s="842"/>
      <c r="AB273" s="842"/>
      <c r="AC273" s="842"/>
      <c r="AD273" s="842"/>
      <c r="AE273" s="852">
        <v>610.62099999999998</v>
      </c>
      <c r="AF273" s="842"/>
      <c r="AG273" s="842"/>
      <c r="AH273" s="842"/>
      <c r="AI273" s="842"/>
      <c r="AJ273" s="852">
        <v>765.404</v>
      </c>
      <c r="AK273" s="842"/>
      <c r="AL273" s="842"/>
      <c r="AM273" s="842"/>
      <c r="AN273" s="842"/>
      <c r="AO273" s="852">
        <v>868.51300000000003</v>
      </c>
      <c r="AP273" s="842"/>
      <c r="AQ273" s="842"/>
      <c r="AR273" s="842"/>
      <c r="AS273" s="842"/>
      <c r="AT273" s="852">
        <v>850.65300000000002</v>
      </c>
      <c r="AU273" s="842"/>
      <c r="AV273" s="842"/>
      <c r="AW273" s="842"/>
      <c r="AX273" s="842"/>
      <c r="AY273" s="852">
        <v>962.05600000000004</v>
      </c>
      <c r="AZ273" s="842"/>
      <c r="BA273" s="842"/>
      <c r="BB273" s="842"/>
      <c r="BC273" s="842"/>
      <c r="BD273" s="852">
        <v>1298.403</v>
      </c>
      <c r="BE273" s="842"/>
      <c r="BF273" s="842"/>
      <c r="BG273" s="842"/>
      <c r="BH273" s="842"/>
      <c r="BI273" s="852">
        <v>2239.1849999999999</v>
      </c>
      <c r="BJ273" s="842"/>
      <c r="BK273" s="842"/>
      <c r="BL273" s="842"/>
      <c r="BM273" s="842"/>
      <c r="BN273" s="852">
        <v>1433.828</v>
      </c>
      <c r="BO273" s="842"/>
      <c r="BP273" s="842"/>
      <c r="BQ273" s="842"/>
      <c r="BR273" s="842"/>
      <c r="BS273" s="852">
        <v>1723</v>
      </c>
      <c r="BT273" s="842"/>
      <c r="BU273" s="842"/>
      <c r="BV273" s="842"/>
      <c r="BW273" s="842"/>
      <c r="BX273" s="852">
        <v>2142</v>
      </c>
      <c r="BY273" s="842"/>
      <c r="BZ273" s="842"/>
      <c r="CA273" s="842"/>
      <c r="CB273" s="842"/>
      <c r="CC273" s="852">
        <v>3848</v>
      </c>
      <c r="CD273" s="842">
        <v>4449</v>
      </c>
      <c r="CE273" s="842">
        <v>4685</v>
      </c>
      <c r="CF273" s="842">
        <v>3944</v>
      </c>
      <c r="CG273" s="842">
        <v>2887</v>
      </c>
      <c r="CH273" s="293">
        <v>2887</v>
      </c>
      <c r="CI273" s="842">
        <v>3524</v>
      </c>
      <c r="CJ273" s="842">
        <v>4085</v>
      </c>
      <c r="CK273" s="842">
        <v>3826</v>
      </c>
      <c r="CL273" s="842">
        <v>4838</v>
      </c>
      <c r="CM273" s="293">
        <v>4838</v>
      </c>
      <c r="CN273" s="842">
        <v>5781</v>
      </c>
      <c r="CO273" s="842">
        <v>8374</v>
      </c>
      <c r="CP273" s="842">
        <v>5588</v>
      </c>
      <c r="CQ273" s="842">
        <v>2806</v>
      </c>
      <c r="CR273" s="293">
        <v>2806</v>
      </c>
      <c r="CS273" s="842">
        <v>3832.0740000000001</v>
      </c>
      <c r="CT273" s="842">
        <v>3741.2370000000001</v>
      </c>
      <c r="CU273" s="842">
        <v>3798.9</v>
      </c>
      <c r="CV273" s="842">
        <v>3421.5389999999998</v>
      </c>
      <c r="CW273" s="293">
        <f>CW267+CW268+CW271+CW269</f>
        <v>3421.5389999999998</v>
      </c>
      <c r="CX273" s="842">
        <v>3671.0729999999999</v>
      </c>
      <c r="CY273" s="842">
        <v>4056.56</v>
      </c>
      <c r="CZ273" s="842">
        <v>3788.7660000000001</v>
      </c>
      <c r="DA273" s="842">
        <v>3922.3879999999999</v>
      </c>
      <c r="DB273" s="293">
        <f>DB267+DB268+DB271+DB269</f>
        <v>3922.3879999999999</v>
      </c>
      <c r="DC273" s="842">
        <v>5122.2209999999995</v>
      </c>
      <c r="DD273" s="842">
        <v>5318</v>
      </c>
      <c r="DE273" s="842">
        <v>5320</v>
      </c>
      <c r="DF273" s="842">
        <v>4533</v>
      </c>
      <c r="DG273" s="293">
        <f>DG267+DG268+DG271+DG269</f>
        <v>4533</v>
      </c>
      <c r="DH273" s="842">
        <v>5047</v>
      </c>
      <c r="DI273" s="842">
        <v>5080</v>
      </c>
      <c r="DJ273" s="842">
        <v>4969</v>
      </c>
      <c r="DK273" s="842">
        <v>4650</v>
      </c>
      <c r="DL273" s="293">
        <f>DL267+DL268+DL271+DL269</f>
        <v>4650</v>
      </c>
      <c r="DM273" s="842">
        <v>5411</v>
      </c>
      <c r="DN273" s="842">
        <v>5779</v>
      </c>
      <c r="DO273" s="842">
        <v>5546</v>
      </c>
      <c r="DP273" s="842">
        <v>5676</v>
      </c>
      <c r="DQ273" s="293">
        <f>DQ267+DQ268+DQ271+DQ269</f>
        <v>5676</v>
      </c>
      <c r="DR273" s="842">
        <v>6441</v>
      </c>
      <c r="DS273" s="842">
        <v>7027</v>
      </c>
      <c r="DT273" s="842">
        <v>6446</v>
      </c>
      <c r="DU273" s="842">
        <v>5923</v>
      </c>
      <c r="DV273" s="293">
        <f t="shared" ref="DV273:EA273" si="1144">DV267+DV268+DV271+DV269</f>
        <v>5923</v>
      </c>
      <c r="DW273" s="842">
        <v>6903</v>
      </c>
      <c r="DX273" s="842">
        <v>6876</v>
      </c>
      <c r="DY273" s="842">
        <v>7084</v>
      </c>
      <c r="DZ273" s="842">
        <v>7406</v>
      </c>
      <c r="EA273" s="293">
        <f t="shared" si="1144"/>
        <v>7406</v>
      </c>
      <c r="EB273" s="842">
        <v>8253</v>
      </c>
      <c r="EC273" s="842">
        <v>7833</v>
      </c>
      <c r="ED273" s="842">
        <v>7816</v>
      </c>
      <c r="EE273" s="842">
        <v>6844</v>
      </c>
      <c r="EF273" s="293">
        <f>EF267+EF268+EF271+EF269</f>
        <v>6844</v>
      </c>
      <c r="EG273" s="842">
        <v>7458</v>
      </c>
      <c r="EH273" s="842">
        <v>7097</v>
      </c>
      <c r="EI273" s="842">
        <v>6965</v>
      </c>
      <c r="EJ273" s="842">
        <v>6905</v>
      </c>
      <c r="EK273" s="293">
        <f>EK267+EK268+EK271+EK269</f>
        <v>6905</v>
      </c>
      <c r="EL273" s="842">
        <v>7458</v>
      </c>
      <c r="EM273" s="842">
        <v>7097</v>
      </c>
      <c r="EN273" s="842">
        <v>6965</v>
      </c>
      <c r="EO273" s="842">
        <v>6863</v>
      </c>
      <c r="EP273" s="293">
        <f>EP267+EP268+EP271+EP269</f>
        <v>6863</v>
      </c>
      <c r="EQ273" s="203">
        <f t="shared" ref="EQ273" si="1145">EQ267+EQ268+EQ271+EQ269</f>
        <v>7647.9557071967083</v>
      </c>
      <c r="ER273" s="203">
        <f t="shared" ref="ER273:ET273" si="1146">ER267+ER268+ER271+ER269</f>
        <v>7293.2293691972209</v>
      </c>
      <c r="ES273" s="203">
        <f t="shared" si="1146"/>
        <v>7200.4766820046189</v>
      </c>
      <c r="ET273" s="203">
        <f t="shared" si="1146"/>
        <v>7172.3490878523944</v>
      </c>
      <c r="EU273" s="293">
        <f>EU267+EU268+EU271+EU269</f>
        <v>7172.3490878523944</v>
      </c>
      <c r="EV273" s="203"/>
      <c r="EW273" s="203"/>
      <c r="EX273" s="203"/>
      <c r="EY273" s="203"/>
      <c r="EZ273" s="293">
        <f>EZ267+EZ268+EZ271+EZ269</f>
        <v>7569.9955690108691</v>
      </c>
      <c r="FA273" s="203"/>
      <c r="FB273" s="203"/>
      <c r="FC273" s="203"/>
      <c r="FD273" s="203"/>
      <c r="FE273" s="293">
        <f>FE267+FE268+FE271+FE269</f>
        <v>7998.2873269516022</v>
      </c>
      <c r="FF273" s="55"/>
      <c r="FG273" s="467"/>
      <c r="FL273" s="376"/>
      <c r="FM273" s="376"/>
      <c r="FN273" s="377"/>
      <c r="FO273" s="377"/>
      <c r="FP273" s="377"/>
      <c r="FQ273" s="377"/>
      <c r="FR273" s="377"/>
      <c r="FS273" s="377"/>
      <c r="FT273" s="467"/>
    </row>
    <row r="274" spans="1:183" ht="12.75" customHeight="1" x14ac:dyDescent="0.2">
      <c r="A274" s="38" t="s">
        <v>162</v>
      </c>
      <c r="B274" s="834"/>
      <c r="C274" s="834"/>
      <c r="D274" s="834"/>
      <c r="E274" s="834"/>
      <c r="F274" s="279"/>
      <c r="G274" s="834"/>
      <c r="H274" s="834"/>
      <c r="I274" s="834"/>
      <c r="J274" s="834"/>
      <c r="K274" s="279"/>
      <c r="L274" s="834"/>
      <c r="M274" s="834"/>
      <c r="N274" s="834"/>
      <c r="O274" s="834"/>
      <c r="P274" s="851">
        <v>735.75400000000002</v>
      </c>
      <c r="Q274" s="834"/>
      <c r="R274" s="834"/>
      <c r="S274" s="834"/>
      <c r="T274" s="834"/>
      <c r="U274" s="851">
        <v>639.13599999999997</v>
      </c>
      <c r="V274" s="834"/>
      <c r="W274" s="834"/>
      <c r="X274" s="834"/>
      <c r="Y274" s="834"/>
      <c r="Z274" s="851">
        <v>583.07100000000003</v>
      </c>
      <c r="AA274" s="834"/>
      <c r="AB274" s="834"/>
      <c r="AC274" s="834"/>
      <c r="AD274" s="834"/>
      <c r="AE274" s="851">
        <v>661.01</v>
      </c>
      <c r="AF274" s="834"/>
      <c r="AG274" s="834"/>
      <c r="AH274" s="834"/>
      <c r="AI274" s="834"/>
      <c r="AJ274" s="851">
        <v>650.226</v>
      </c>
      <c r="AK274" s="834"/>
      <c r="AL274" s="834"/>
      <c r="AM274" s="834"/>
      <c r="AN274" s="834"/>
      <c r="AO274" s="851">
        <v>628.10599999999999</v>
      </c>
      <c r="AP274" s="834"/>
      <c r="AQ274" s="834"/>
      <c r="AR274" s="834"/>
      <c r="AS274" s="834"/>
      <c r="AT274" s="851">
        <v>623.30899999999997</v>
      </c>
      <c r="AU274" s="834"/>
      <c r="AV274" s="834"/>
      <c r="AW274" s="834"/>
      <c r="AX274" s="834"/>
      <c r="AY274" s="851">
        <v>871.71699999999998</v>
      </c>
      <c r="AZ274" s="834"/>
      <c r="BA274" s="834"/>
      <c r="BB274" s="834"/>
      <c r="BC274" s="834"/>
      <c r="BD274" s="851">
        <v>760.99199999999996</v>
      </c>
      <c r="BE274" s="834"/>
      <c r="BF274" s="834"/>
      <c r="BG274" s="834"/>
      <c r="BH274" s="834"/>
      <c r="BI274" s="851">
        <v>1327.1579999999999</v>
      </c>
      <c r="BJ274" s="834"/>
      <c r="BK274" s="834"/>
      <c r="BL274" s="834"/>
      <c r="BM274" s="834"/>
      <c r="BN274" s="851">
        <v>1552.7809999999999</v>
      </c>
      <c r="BO274" s="834"/>
      <c r="BP274" s="834"/>
      <c r="BQ274" s="834"/>
      <c r="BR274" s="834"/>
      <c r="BS274" s="851">
        <v>1332</v>
      </c>
      <c r="BT274" s="834"/>
      <c r="BU274" s="834"/>
      <c r="BV274" s="834"/>
      <c r="BW274" s="834"/>
      <c r="BX274" s="851">
        <v>1700</v>
      </c>
      <c r="BY274" s="834"/>
      <c r="BZ274" s="834"/>
      <c r="CA274" s="834"/>
      <c r="CB274" s="834"/>
      <c r="CC274" s="851">
        <v>1394</v>
      </c>
      <c r="CD274" s="834">
        <v>1368</v>
      </c>
      <c r="CE274" s="834">
        <v>1350</v>
      </c>
      <c r="CF274" s="834">
        <v>1275</v>
      </c>
      <c r="CG274" s="834">
        <v>1567</v>
      </c>
      <c r="CH274" s="120">
        <v>1567</v>
      </c>
      <c r="CI274" s="834">
        <v>1556</v>
      </c>
      <c r="CJ274" s="834">
        <v>1518</v>
      </c>
      <c r="CK274" s="834">
        <v>1555</v>
      </c>
      <c r="CL274" s="834">
        <v>2050</v>
      </c>
      <c r="CM274" s="120">
        <v>2050</v>
      </c>
      <c r="CN274" s="834">
        <v>2079</v>
      </c>
      <c r="CO274" s="834">
        <v>2590</v>
      </c>
      <c r="CP274" s="834">
        <v>2580</v>
      </c>
      <c r="CQ274" s="834">
        <v>3498</v>
      </c>
      <c r="CR274" s="120">
        <v>3498</v>
      </c>
      <c r="CS274" s="834">
        <v>4378.174</v>
      </c>
      <c r="CT274" s="834">
        <v>4173.4539999999997</v>
      </c>
      <c r="CU274" s="834">
        <v>4211.3729999999996</v>
      </c>
      <c r="CV274" s="834">
        <v>4256.9279999999999</v>
      </c>
      <c r="CW274" s="120">
        <f>CV274</f>
        <v>4256.9279999999999</v>
      </c>
      <c r="CX274" s="834">
        <v>4226.4960000000001</v>
      </c>
      <c r="CY274" s="834">
        <v>4242.8639999999996</v>
      </c>
      <c r="CZ274" s="834">
        <v>4252.098</v>
      </c>
      <c r="DA274" s="834">
        <v>3752.0070000000001</v>
      </c>
      <c r="DB274" s="120">
        <f>DA274</f>
        <v>3752.0070000000001</v>
      </c>
      <c r="DC274" s="834">
        <v>3311.2190000000001</v>
      </c>
      <c r="DD274" s="834">
        <v>3242</v>
      </c>
      <c r="DE274" s="834">
        <v>3220</v>
      </c>
      <c r="DF274" s="834">
        <v>3107</v>
      </c>
      <c r="DG274" s="120">
        <f>DF274</f>
        <v>3107</v>
      </c>
      <c r="DH274" s="834">
        <v>3048</v>
      </c>
      <c r="DI274" s="834">
        <v>3019</v>
      </c>
      <c r="DJ274" s="834">
        <v>2961</v>
      </c>
      <c r="DK274" s="834">
        <v>2883</v>
      </c>
      <c r="DL274" s="120">
        <f>DK274</f>
        <v>2883</v>
      </c>
      <c r="DM274" s="834">
        <v>2708</v>
      </c>
      <c r="DN274" s="834">
        <v>2671</v>
      </c>
      <c r="DO274" s="834">
        <v>2616</v>
      </c>
      <c r="DP274" s="834">
        <v>2191</v>
      </c>
      <c r="DQ274" s="120">
        <f>DP274</f>
        <v>2191</v>
      </c>
      <c r="DR274" s="834">
        <v>2172</v>
      </c>
      <c r="DS274" s="834">
        <v>2153</v>
      </c>
      <c r="DT274" s="834">
        <v>2125</v>
      </c>
      <c r="DU274" s="834">
        <v>2434</v>
      </c>
      <c r="DV274" s="120">
        <f>DU274</f>
        <v>2434</v>
      </c>
      <c r="DW274" s="834">
        <v>2416</v>
      </c>
      <c r="DX274" s="834">
        <v>2411</v>
      </c>
      <c r="DY274" s="834">
        <v>2381</v>
      </c>
      <c r="DZ274" s="834">
        <v>2541</v>
      </c>
      <c r="EA274" s="120">
        <f>DZ274</f>
        <v>2541</v>
      </c>
      <c r="EB274" s="834">
        <v>2355</v>
      </c>
      <c r="EC274" s="834">
        <v>2391</v>
      </c>
      <c r="ED274" s="834">
        <v>2323</v>
      </c>
      <c r="EE274" s="834">
        <v>2821</v>
      </c>
      <c r="EF274" s="120">
        <f>EE274</f>
        <v>2821</v>
      </c>
      <c r="EG274" s="834">
        <v>2781</v>
      </c>
      <c r="EH274" s="834">
        <v>2788</v>
      </c>
      <c r="EI274" s="834">
        <v>2763</v>
      </c>
      <c r="EJ274" s="834">
        <v>3320</v>
      </c>
      <c r="EK274" s="120">
        <f>EJ274</f>
        <v>3320</v>
      </c>
      <c r="EL274" s="834">
        <v>2781</v>
      </c>
      <c r="EM274" s="834">
        <v>2788</v>
      </c>
      <c r="EN274" s="834">
        <v>2763</v>
      </c>
      <c r="EO274" s="834">
        <v>3320</v>
      </c>
      <c r="EP274" s="120">
        <f>EO274</f>
        <v>3320</v>
      </c>
      <c r="EQ274" s="234">
        <f>EP274+Model!EQ237</f>
        <v>3381</v>
      </c>
      <c r="ER274" s="234">
        <f>EQ274+Model!ER237</f>
        <v>3442</v>
      </c>
      <c r="ES274" s="234">
        <f>ER274+Model!ES237</f>
        <v>3503</v>
      </c>
      <c r="ET274" s="234">
        <f>ES274+Model!ET237</f>
        <v>3564</v>
      </c>
      <c r="EU274" s="120">
        <f>ET274</f>
        <v>3564</v>
      </c>
      <c r="EV274" s="234"/>
      <c r="EW274" s="234"/>
      <c r="EX274" s="234"/>
      <c r="EY274" s="234"/>
      <c r="EZ274" s="120">
        <f>EU274+Model!EZ237</f>
        <v>3544.5</v>
      </c>
      <c r="FA274" s="234"/>
      <c r="FB274" s="234"/>
      <c r="FC274" s="234"/>
      <c r="FD274" s="234"/>
      <c r="FE274" s="120">
        <f>EZ274+Model!FE237</f>
        <v>3525</v>
      </c>
      <c r="FF274" s="23"/>
      <c r="FG274" s="444"/>
      <c r="FL274" s="376"/>
      <c r="FM274" s="376"/>
      <c r="FN274" s="376"/>
      <c r="FO274" s="376"/>
      <c r="FP274" s="376"/>
      <c r="FQ274" s="376"/>
      <c r="FR274" s="376"/>
      <c r="FS274" s="376"/>
      <c r="FT274" s="444"/>
    </row>
    <row r="275" spans="1:183" ht="12.75" customHeight="1" x14ac:dyDescent="0.2">
      <c r="A275" s="38" t="s">
        <v>392</v>
      </c>
      <c r="B275" s="834"/>
      <c r="C275" s="834"/>
      <c r="D275" s="834"/>
      <c r="E275" s="834"/>
      <c r="F275" s="279"/>
      <c r="G275" s="834"/>
      <c r="H275" s="834"/>
      <c r="I275" s="834"/>
      <c r="J275" s="834"/>
      <c r="K275" s="279"/>
      <c r="L275" s="834"/>
      <c r="M275" s="834"/>
      <c r="N275" s="834"/>
      <c r="O275" s="834"/>
      <c r="P275" s="851">
        <v>136.46199999999999</v>
      </c>
      <c r="Q275" s="834"/>
      <c r="R275" s="834"/>
      <c r="S275" s="834"/>
      <c r="T275" s="834"/>
      <c r="U275" s="851">
        <v>183.61600000000001</v>
      </c>
      <c r="V275" s="834"/>
      <c r="W275" s="834"/>
      <c r="X275" s="834"/>
      <c r="Y275" s="834"/>
      <c r="Z275" s="851">
        <v>232.85</v>
      </c>
      <c r="AA275" s="834"/>
      <c r="AB275" s="834"/>
      <c r="AC275" s="834"/>
      <c r="AD275" s="834"/>
      <c r="AE275" s="851">
        <v>281.64999999999998</v>
      </c>
      <c r="AF275" s="834"/>
      <c r="AG275" s="834"/>
      <c r="AH275" s="834"/>
      <c r="AI275" s="834"/>
      <c r="AJ275" s="851">
        <v>349.98700000000002</v>
      </c>
      <c r="AK275" s="834"/>
      <c r="AL275" s="834"/>
      <c r="AM275" s="834"/>
      <c r="AN275" s="834"/>
      <c r="AO275" s="851">
        <v>438.98099999999999</v>
      </c>
      <c r="AP275" s="834"/>
      <c r="AQ275" s="834"/>
      <c r="AR275" s="834"/>
      <c r="AS275" s="834"/>
      <c r="AT275" s="851">
        <v>549.20699999999999</v>
      </c>
      <c r="AU275" s="834"/>
      <c r="AV275" s="834"/>
      <c r="AW275" s="834"/>
      <c r="AX275" s="834"/>
      <c r="AY275" s="851">
        <v>692.34199999999998</v>
      </c>
      <c r="AZ275" s="834"/>
      <c r="BA275" s="834"/>
      <c r="BB275" s="834"/>
      <c r="BC275" s="834"/>
      <c r="BD275" s="851">
        <v>852.86500000000001</v>
      </c>
      <c r="BE275" s="834"/>
      <c r="BF275" s="834"/>
      <c r="BG275" s="834"/>
      <c r="BH275" s="834"/>
      <c r="BI275" s="851">
        <v>1058.143</v>
      </c>
      <c r="BJ275" s="834"/>
      <c r="BK275" s="834"/>
      <c r="BL275" s="834"/>
      <c r="BM275" s="834"/>
      <c r="BN275" s="851">
        <v>1227.4749999999999</v>
      </c>
      <c r="BO275" s="834"/>
      <c r="BP275" s="834"/>
      <c r="BQ275" s="834"/>
      <c r="BR275" s="834"/>
      <c r="BS275" s="851">
        <v>1420</v>
      </c>
      <c r="BT275" s="834"/>
      <c r="BU275" s="834"/>
      <c r="BV275" s="834"/>
      <c r="BW275" s="834"/>
      <c r="BX275" s="851">
        <v>1610</v>
      </c>
      <c r="BY275" s="834"/>
      <c r="BZ275" s="834"/>
      <c r="CA275" s="834"/>
      <c r="CB275" s="834"/>
      <c r="CC275" s="851">
        <v>1896</v>
      </c>
      <c r="CD275" s="834">
        <v>1752</v>
      </c>
      <c r="CE275" s="834">
        <v>1942</v>
      </c>
      <c r="CF275" s="834">
        <v>1834</v>
      </c>
      <c r="CG275" s="834">
        <v>2104</v>
      </c>
      <c r="CH275" s="120">
        <v>2104</v>
      </c>
      <c r="CI275" s="834">
        <v>2183</v>
      </c>
      <c r="CJ275" s="834">
        <v>2328</v>
      </c>
      <c r="CK275" s="834">
        <v>2404</v>
      </c>
      <c r="CL275" s="834">
        <v>2535</v>
      </c>
      <c r="CM275" s="120">
        <v>2535</v>
      </c>
      <c r="CN275" s="834">
        <v>2611</v>
      </c>
      <c r="CO275" s="834">
        <v>3193</v>
      </c>
      <c r="CP275" s="834">
        <v>2568</v>
      </c>
      <c r="CQ275" s="834">
        <v>1904</v>
      </c>
      <c r="CR275" s="120">
        <v>1904</v>
      </c>
      <c r="CS275" s="834">
        <v>1902.992</v>
      </c>
      <c r="CT275" s="834">
        <v>1931.992</v>
      </c>
      <c r="CU275" s="834">
        <v>1954.992</v>
      </c>
      <c r="CV275" s="834">
        <v>2204.2060000000001</v>
      </c>
      <c r="CW275" s="120">
        <f>CV275</f>
        <v>2204.2060000000001</v>
      </c>
      <c r="CX275" s="834">
        <v>2254.2060000000001</v>
      </c>
      <c r="CY275" s="834">
        <v>2196.2060000000001</v>
      </c>
      <c r="CZ275" s="834">
        <v>2159.3820000000001</v>
      </c>
      <c r="DA275" s="834">
        <v>2525.4140000000002</v>
      </c>
      <c r="DB275" s="120">
        <f>DA275</f>
        <v>2525.4140000000002</v>
      </c>
      <c r="DC275" s="834">
        <v>2526.3009999999999</v>
      </c>
      <c r="DD275" s="834">
        <v>2263</v>
      </c>
      <c r="DE275" s="834">
        <v>1856</v>
      </c>
      <c r="DF275" s="834">
        <v>2566</v>
      </c>
      <c r="DG275" s="120">
        <f>DF275</f>
        <v>2566</v>
      </c>
      <c r="DH275" s="834">
        <v>2638</v>
      </c>
      <c r="DI275" s="834">
        <v>2563</v>
      </c>
      <c r="DJ275" s="834">
        <v>2701</v>
      </c>
      <c r="DK275" s="834">
        <v>2884</v>
      </c>
      <c r="DL275" s="120">
        <f>DK275</f>
        <v>2884</v>
      </c>
      <c r="DM275" s="834">
        <v>2904</v>
      </c>
      <c r="DN275" s="834">
        <v>2883</v>
      </c>
      <c r="DO275" s="834">
        <v>2937</v>
      </c>
      <c r="DP275" s="834">
        <v>2934</v>
      </c>
      <c r="DQ275" s="120">
        <f>DP275</f>
        <v>2934</v>
      </c>
      <c r="DR275" s="834">
        <v>2997</v>
      </c>
      <c r="DS275" s="834">
        <v>3017</v>
      </c>
      <c r="DT275" s="834">
        <v>3360</v>
      </c>
      <c r="DU275" s="834">
        <v>3259</v>
      </c>
      <c r="DV275" s="120">
        <f>DU275</f>
        <v>3259</v>
      </c>
      <c r="DW275" s="834">
        <v>3252</v>
      </c>
      <c r="DX275" s="834">
        <v>3290</v>
      </c>
      <c r="DY275" s="834">
        <v>3111</v>
      </c>
      <c r="DZ275" s="834">
        <v>2490</v>
      </c>
      <c r="EA275" s="120">
        <f>DZ275</f>
        <v>2490</v>
      </c>
      <c r="EB275" s="834">
        <v>2609</v>
      </c>
      <c r="EC275" s="834">
        <v>2818</v>
      </c>
      <c r="ED275" s="834">
        <v>3209</v>
      </c>
      <c r="EE275" s="834">
        <v>3374</v>
      </c>
      <c r="EF275" s="120">
        <f>EE275</f>
        <v>3374</v>
      </c>
      <c r="EG275" s="834">
        <v>3442</v>
      </c>
      <c r="EH275" s="834">
        <v>3540</v>
      </c>
      <c r="EI275" s="834">
        <v>3697</v>
      </c>
      <c r="EJ275" s="834">
        <v>2358</v>
      </c>
      <c r="EK275" s="120">
        <f>EJ275</f>
        <v>2358</v>
      </c>
      <c r="EL275" s="834">
        <v>3442</v>
      </c>
      <c r="EM275" s="834">
        <v>3540</v>
      </c>
      <c r="EN275" s="834">
        <v>3697</v>
      </c>
      <c r="EO275" s="834">
        <v>2119</v>
      </c>
      <c r="EP275" s="120">
        <f>EO275</f>
        <v>2119</v>
      </c>
      <c r="EQ275" s="234">
        <f>EP275+Model!EQ213</f>
        <v>2184.6602191133957</v>
      </c>
      <c r="ER275" s="234">
        <f>EQ275+Model!ER213</f>
        <v>2318.7497900730787</v>
      </c>
      <c r="ES275" s="234">
        <f>ER275+Model!ES213</f>
        <v>2430.7215029839758</v>
      </c>
      <c r="ET275" s="234">
        <f>ES275+Model!ET213</f>
        <v>2535.2811305308792</v>
      </c>
      <c r="EU275" s="120">
        <f>ET275</f>
        <v>2535.2811305308792</v>
      </c>
      <c r="EV275" s="234"/>
      <c r="EW275" s="234"/>
      <c r="EX275" s="234"/>
      <c r="EY275" s="234"/>
      <c r="EZ275" s="120">
        <f>EU275+Model!EZ213</f>
        <v>2969.0804031047924</v>
      </c>
      <c r="FA275" s="234"/>
      <c r="FB275" s="234"/>
      <c r="FC275" s="234"/>
      <c r="FD275" s="234"/>
      <c r="FE275" s="120">
        <f>EZ275+Model!FE213</f>
        <v>3409.8231796364303</v>
      </c>
      <c r="FF275" s="23"/>
      <c r="FG275" s="444"/>
      <c r="FL275" s="376"/>
      <c r="FM275" s="376"/>
      <c r="FN275" s="376"/>
      <c r="FO275" s="376"/>
      <c r="FP275" s="376"/>
      <c r="FQ275" s="376"/>
      <c r="FR275" s="376"/>
      <c r="FS275" s="376"/>
      <c r="FT275" s="444"/>
    </row>
    <row r="276" spans="1:183" ht="12.75" customHeight="1" x14ac:dyDescent="0.2">
      <c r="A276" s="38" t="s">
        <v>93</v>
      </c>
      <c r="B276" s="834"/>
      <c r="C276" s="834"/>
      <c r="D276" s="834"/>
      <c r="E276" s="834"/>
      <c r="F276" s="279"/>
      <c r="G276" s="834"/>
      <c r="H276" s="834"/>
      <c r="I276" s="834"/>
      <c r="J276" s="834"/>
      <c r="K276" s="279"/>
      <c r="L276" s="834"/>
      <c r="M276" s="834"/>
      <c r="N276" s="834"/>
      <c r="O276" s="834"/>
      <c r="P276" s="854">
        <v>0</v>
      </c>
      <c r="Q276" s="834"/>
      <c r="R276" s="834"/>
      <c r="S276" s="834"/>
      <c r="T276" s="834"/>
      <c r="U276" s="854">
        <v>0</v>
      </c>
      <c r="V276" s="834"/>
      <c r="W276" s="834"/>
      <c r="X276" s="834"/>
      <c r="Y276" s="834"/>
      <c r="Z276" s="854">
        <v>0</v>
      </c>
      <c r="AA276" s="834"/>
      <c r="AB276" s="834"/>
      <c r="AC276" s="834"/>
      <c r="AD276" s="834"/>
      <c r="AE276" s="854">
        <v>0</v>
      </c>
      <c r="AF276" s="834"/>
      <c r="AG276" s="834"/>
      <c r="AH276" s="834"/>
      <c r="AI276" s="834"/>
      <c r="AJ276" s="854">
        <v>0</v>
      </c>
      <c r="AK276" s="834"/>
      <c r="AL276" s="834"/>
      <c r="AM276" s="834"/>
      <c r="AN276" s="834"/>
      <c r="AO276" s="854">
        <v>0</v>
      </c>
      <c r="AP276" s="834"/>
      <c r="AQ276" s="834"/>
      <c r="AR276" s="834"/>
      <c r="AS276" s="834"/>
      <c r="AT276" s="854">
        <v>0</v>
      </c>
      <c r="AU276" s="834"/>
      <c r="AV276" s="834"/>
      <c r="AW276" s="834"/>
      <c r="AX276" s="834"/>
      <c r="AY276" s="854">
        <v>0</v>
      </c>
      <c r="AZ276" s="834"/>
      <c r="BA276" s="834"/>
      <c r="BB276" s="834"/>
      <c r="BC276" s="834"/>
      <c r="BD276" s="854">
        <v>0</v>
      </c>
      <c r="BE276" s="834"/>
      <c r="BF276" s="834"/>
      <c r="BG276" s="834"/>
      <c r="BH276" s="834"/>
      <c r="BI276" s="854">
        <v>0</v>
      </c>
      <c r="BJ276" s="834"/>
      <c r="BK276" s="834"/>
      <c r="BL276" s="834"/>
      <c r="BM276" s="834"/>
      <c r="BN276" s="854">
        <v>0</v>
      </c>
      <c r="BO276" s="834"/>
      <c r="BP276" s="834"/>
      <c r="BQ276" s="834"/>
      <c r="BR276" s="834"/>
      <c r="BS276" s="854">
        <v>0</v>
      </c>
      <c r="BT276" s="834"/>
      <c r="BU276" s="834"/>
      <c r="BV276" s="834"/>
      <c r="BW276" s="834"/>
      <c r="BX276" s="854">
        <v>0</v>
      </c>
      <c r="BY276" s="834"/>
      <c r="BZ276" s="834"/>
      <c r="CA276" s="834"/>
      <c r="CB276" s="834"/>
      <c r="CC276" s="854">
        <v>0</v>
      </c>
      <c r="CD276" s="834">
        <v>0</v>
      </c>
      <c r="CE276" s="834">
        <v>0</v>
      </c>
      <c r="CF276" s="834">
        <v>0</v>
      </c>
      <c r="CG276" s="834">
        <v>0</v>
      </c>
      <c r="CH276" s="296">
        <v>0</v>
      </c>
      <c r="CI276" s="834">
        <v>0</v>
      </c>
      <c r="CJ276" s="834">
        <v>0</v>
      </c>
      <c r="CK276" s="834">
        <v>0</v>
      </c>
      <c r="CL276" s="834">
        <v>0</v>
      </c>
      <c r="CM276" s="296">
        <v>0</v>
      </c>
      <c r="CN276" s="834">
        <v>0</v>
      </c>
      <c r="CO276" s="834">
        <v>0</v>
      </c>
      <c r="CP276" s="834">
        <v>0</v>
      </c>
      <c r="CQ276" s="834">
        <v>0</v>
      </c>
      <c r="CR276" s="296">
        <v>0</v>
      </c>
      <c r="CS276" s="834">
        <v>0</v>
      </c>
      <c r="CT276" s="834">
        <v>0</v>
      </c>
      <c r="CU276" s="834">
        <v>0</v>
      </c>
      <c r="CV276" s="834">
        <v>0</v>
      </c>
      <c r="CW276" s="296">
        <f>CV276</f>
        <v>0</v>
      </c>
      <c r="CX276" s="834">
        <v>0</v>
      </c>
      <c r="CY276" s="834">
        <v>0</v>
      </c>
      <c r="CZ276" s="834">
        <v>0</v>
      </c>
      <c r="DA276" s="834">
        <v>0</v>
      </c>
      <c r="DB276" s="296">
        <f>DA276</f>
        <v>0</v>
      </c>
      <c r="DC276" s="834">
        <v>0</v>
      </c>
      <c r="DD276" s="834">
        <v>0</v>
      </c>
      <c r="DE276" s="834">
        <v>0</v>
      </c>
      <c r="DF276" s="834">
        <v>0</v>
      </c>
      <c r="DG276" s="296">
        <f>DF276</f>
        <v>0</v>
      </c>
      <c r="DH276" s="834">
        <v>0</v>
      </c>
      <c r="DI276" s="834">
        <v>0</v>
      </c>
      <c r="DJ276" s="834">
        <v>0</v>
      </c>
      <c r="DK276" s="834">
        <v>0</v>
      </c>
      <c r="DL276" s="296">
        <f>DK276</f>
        <v>0</v>
      </c>
      <c r="DM276" s="834">
        <v>0</v>
      </c>
      <c r="DN276" s="834">
        <v>0</v>
      </c>
      <c r="DO276" s="834">
        <v>0</v>
      </c>
      <c r="DP276" s="834">
        <v>0</v>
      </c>
      <c r="DQ276" s="296">
        <f>DP276</f>
        <v>0</v>
      </c>
      <c r="DR276" s="834">
        <v>0</v>
      </c>
      <c r="DS276" s="834">
        <v>0</v>
      </c>
      <c r="DT276" s="834">
        <v>0</v>
      </c>
      <c r="DU276" s="834">
        <v>0</v>
      </c>
      <c r="DV276" s="296">
        <f>DU276</f>
        <v>0</v>
      </c>
      <c r="DW276" s="834">
        <v>0</v>
      </c>
      <c r="DX276" s="834">
        <v>0</v>
      </c>
      <c r="DY276" s="834">
        <v>0</v>
      </c>
      <c r="DZ276" s="834">
        <v>0</v>
      </c>
      <c r="EA276" s="296">
        <f>DZ276</f>
        <v>0</v>
      </c>
      <c r="EB276" s="834">
        <v>0</v>
      </c>
      <c r="EC276" s="834">
        <v>0</v>
      </c>
      <c r="ED276" s="834">
        <v>0</v>
      </c>
      <c r="EE276" s="834">
        <v>0</v>
      </c>
      <c r="EF276" s="296">
        <f>EE276</f>
        <v>0</v>
      </c>
      <c r="EG276" s="834">
        <v>0</v>
      </c>
      <c r="EH276" s="834">
        <v>0</v>
      </c>
      <c r="EI276" s="834">
        <v>0</v>
      </c>
      <c r="EJ276" s="834">
        <v>0</v>
      </c>
      <c r="EK276" s="296">
        <f>EJ276</f>
        <v>0</v>
      </c>
      <c r="EL276" s="834">
        <v>0</v>
      </c>
      <c r="EM276" s="834">
        <v>0</v>
      </c>
      <c r="EN276" s="834">
        <v>0</v>
      </c>
      <c r="EO276" s="834">
        <v>0</v>
      </c>
      <c r="EP276" s="296">
        <f>EO276</f>
        <v>0</v>
      </c>
      <c r="EQ276" s="234">
        <v>0</v>
      </c>
      <c r="ER276" s="234">
        <v>0</v>
      </c>
      <c r="ES276" s="234">
        <v>0</v>
      </c>
      <c r="ET276" s="234">
        <v>0</v>
      </c>
      <c r="EU276" s="296">
        <f>ET276</f>
        <v>0</v>
      </c>
      <c r="EV276" s="234"/>
      <c r="EW276" s="234"/>
      <c r="EX276" s="234"/>
      <c r="EY276" s="234"/>
      <c r="EZ276" s="296">
        <v>0</v>
      </c>
      <c r="FA276" s="234"/>
      <c r="FB276" s="234"/>
      <c r="FC276" s="234"/>
      <c r="FD276" s="234"/>
      <c r="FE276" s="296">
        <v>0</v>
      </c>
      <c r="FF276" s="23"/>
      <c r="FG276" s="444"/>
      <c r="FL276" s="376"/>
      <c r="FM276" s="376"/>
      <c r="FN276" s="376"/>
      <c r="FO276" s="376"/>
      <c r="FP276" s="376"/>
      <c r="FQ276" s="376"/>
      <c r="FR276" s="376"/>
      <c r="FS276" s="376"/>
      <c r="FT276" s="444"/>
    </row>
    <row r="277" spans="1:183" ht="12.75" customHeight="1" x14ac:dyDescent="0.2">
      <c r="A277" s="36" t="s">
        <v>94</v>
      </c>
      <c r="B277" s="202"/>
      <c r="C277" s="202"/>
      <c r="D277" s="202"/>
      <c r="E277" s="202"/>
      <c r="F277" s="279"/>
      <c r="G277" s="202"/>
      <c r="H277" s="202"/>
      <c r="I277" s="202"/>
      <c r="J277" s="202"/>
      <c r="K277" s="279"/>
      <c r="L277" s="202"/>
      <c r="M277" s="202"/>
      <c r="N277" s="202"/>
      <c r="O277" s="202"/>
      <c r="P277" s="855">
        <v>237.81200000000001</v>
      </c>
      <c r="Q277" s="202"/>
      <c r="R277" s="202"/>
      <c r="S277" s="202"/>
      <c r="T277" s="202"/>
      <c r="U277" s="855">
        <v>220.654</v>
      </c>
      <c r="V277" s="202"/>
      <c r="W277" s="202"/>
      <c r="X277" s="202"/>
      <c r="Y277" s="202"/>
      <c r="Z277" s="855">
        <v>246.17399999999998</v>
      </c>
      <c r="AA277" s="202"/>
      <c r="AB277" s="202"/>
      <c r="AC277" s="202"/>
      <c r="AD277" s="202"/>
      <c r="AE277" s="855">
        <v>275.52300000000002</v>
      </c>
      <c r="AF277" s="202"/>
      <c r="AG277" s="202"/>
      <c r="AH277" s="202"/>
      <c r="AI277" s="202"/>
      <c r="AJ277" s="855">
        <v>309.55</v>
      </c>
      <c r="AK277" s="202"/>
      <c r="AL277" s="202"/>
      <c r="AM277" s="202"/>
      <c r="AN277" s="202"/>
      <c r="AO277" s="855">
        <v>301.54199999999997</v>
      </c>
      <c r="AP277" s="202"/>
      <c r="AQ277" s="202"/>
      <c r="AR277" s="202"/>
      <c r="AS277" s="202"/>
      <c r="AT277" s="855">
        <v>294.90899999999999</v>
      </c>
      <c r="AU277" s="202"/>
      <c r="AV277" s="202"/>
      <c r="AW277" s="202"/>
      <c r="AX277" s="202"/>
      <c r="AY277" s="855">
        <v>291.8</v>
      </c>
      <c r="AZ277" s="202"/>
      <c r="BA277" s="202"/>
      <c r="BB277" s="202"/>
      <c r="BC277" s="202"/>
      <c r="BD277" s="855">
        <v>305.99199999999996</v>
      </c>
      <c r="BE277" s="202"/>
      <c r="BF277" s="202"/>
      <c r="BG277" s="202"/>
      <c r="BH277" s="202"/>
      <c r="BI277" s="855">
        <v>358.60199999999998</v>
      </c>
      <c r="BJ277" s="202"/>
      <c r="BK277" s="202"/>
      <c r="BL277" s="202"/>
      <c r="BM277" s="202"/>
      <c r="BN277" s="855">
        <v>318.04899999999998</v>
      </c>
      <c r="BO277" s="202"/>
      <c r="BP277" s="202"/>
      <c r="BQ277" s="202"/>
      <c r="BR277" s="202"/>
      <c r="BS277" s="855">
        <v>351</v>
      </c>
      <c r="BT277" s="202"/>
      <c r="BU277" s="202"/>
      <c r="BV277" s="202"/>
      <c r="BW277" s="202"/>
      <c r="BX277" s="855">
        <v>361</v>
      </c>
      <c r="BY277" s="202"/>
      <c r="BZ277" s="202"/>
      <c r="CA277" s="202"/>
      <c r="CB277" s="202"/>
      <c r="CC277" s="855">
        <v>405</v>
      </c>
      <c r="CD277" s="202">
        <f>CD279-CD276-CD275-CD274</f>
        <v>389</v>
      </c>
      <c r="CE277" s="202">
        <f>CE279-CE276-CE275-CE274</f>
        <v>414</v>
      </c>
      <c r="CF277" s="202">
        <f>CF279-CF276-CF275-CF274</f>
        <v>410</v>
      </c>
      <c r="CG277" s="202">
        <f>CG279-CG276-CG275-CG274</f>
        <v>453</v>
      </c>
      <c r="CH277" s="297">
        <v>453</v>
      </c>
      <c r="CI277" s="202">
        <f>CI279-CI276-CI275-CI274</f>
        <v>421</v>
      </c>
      <c r="CJ277" s="202">
        <f>CJ279-CJ276-CJ275-CJ274</f>
        <v>495</v>
      </c>
      <c r="CK277" s="202">
        <f>CK279-CK276-CK275-CK274</f>
        <v>470</v>
      </c>
      <c r="CL277" s="202">
        <f>CL279-CL276-CL275-CL274</f>
        <v>408</v>
      </c>
      <c r="CM277" s="297">
        <f>106+302</f>
        <v>408</v>
      </c>
      <c r="CN277" s="202">
        <f>CN279-CN276-CN275-CN274</f>
        <v>375</v>
      </c>
      <c r="CO277" s="202">
        <f>CO279-CO276-CO275-CO274</f>
        <v>375</v>
      </c>
      <c r="CP277" s="202">
        <f>CP279-CP276-CP275-CP274</f>
        <v>375</v>
      </c>
      <c r="CQ277" s="202">
        <f>CQ279-CQ276-CQ275-CQ274</f>
        <v>907</v>
      </c>
      <c r="CR277" s="297">
        <f>CQ277</f>
        <v>907</v>
      </c>
      <c r="CS277" s="202">
        <f>CS279-CS276-CS275-CS274</f>
        <v>926.89999999999873</v>
      </c>
      <c r="CT277" s="202">
        <f>CT279-CT276-CT275-CT274</f>
        <v>736.05100000000039</v>
      </c>
      <c r="CU277" s="202">
        <f>CU279-CU276-CU275-CU274</f>
        <v>659.95200000000114</v>
      </c>
      <c r="CV277" s="202">
        <f>CV279-CV276-CV275-CV274</f>
        <v>714.55599999999959</v>
      </c>
      <c r="CW277" s="297">
        <f>CV277</f>
        <v>714.55599999999959</v>
      </c>
      <c r="CX277" s="202">
        <f>CX279-CX276-CX275-CX274</f>
        <v>640.36199999999826</v>
      </c>
      <c r="CY277" s="202">
        <f>CY279-CY276-CY275-CY274</f>
        <v>716.46100000000115</v>
      </c>
      <c r="CZ277" s="202">
        <f>CZ279-CZ276-CZ275-CZ274</f>
        <v>654.70400000000154</v>
      </c>
      <c r="DA277" s="202">
        <f>DA279-DA276-DA275-DA274</f>
        <v>666.18100000000004</v>
      </c>
      <c r="DB277" s="297">
        <f>DA277</f>
        <v>666.18100000000004</v>
      </c>
      <c r="DC277" s="202">
        <f>DC279-DC276-DC275-DC274</f>
        <v>648.44100000000117</v>
      </c>
      <c r="DD277" s="202">
        <f>DD279-DD276-DD275-DD274</f>
        <v>920</v>
      </c>
      <c r="DE277" s="202">
        <f>DE279-DE276-DE275-DE274</f>
        <v>1004</v>
      </c>
      <c r="DF277" s="202">
        <f>DF279-DF276-DF275-DF274</f>
        <v>985</v>
      </c>
      <c r="DG277" s="297">
        <f>DF277</f>
        <v>985</v>
      </c>
      <c r="DH277" s="202">
        <f>DH279-DH276-DH275-DH274</f>
        <v>996</v>
      </c>
      <c r="DI277" s="202">
        <f>DI279-DI276-DI275-DI274</f>
        <v>1014</v>
      </c>
      <c r="DJ277" s="202">
        <f>DJ279-DJ276-DJ275-DJ274</f>
        <v>1180</v>
      </c>
      <c r="DK277" s="202">
        <f>DK279-DK276-DK275-DK274</f>
        <v>1187</v>
      </c>
      <c r="DL277" s="297">
        <f>DK277</f>
        <v>1187</v>
      </c>
      <c r="DM277" s="202">
        <f>DM279-DM276-DM275-DM274</f>
        <v>1213</v>
      </c>
      <c r="DN277" s="202">
        <f>DN279-DN276-DN275-DN274</f>
        <v>1268</v>
      </c>
      <c r="DO277" s="202">
        <f>DO279-DO276-DO275-DO274</f>
        <v>1252</v>
      </c>
      <c r="DP277" s="202">
        <f>DP279-DP276-DP275-DP274</f>
        <v>1208</v>
      </c>
      <c r="DQ277" s="297">
        <f>DP277</f>
        <v>1208</v>
      </c>
      <c r="DR277" s="202">
        <f>DR279-DR276-DR275-DR274</f>
        <v>1176</v>
      </c>
      <c r="DS277" s="202">
        <f>DS279-DS276-DS275-DS274</f>
        <v>1178</v>
      </c>
      <c r="DT277" s="202">
        <f>DT279-DT276-DT275-DT274</f>
        <v>1179</v>
      </c>
      <c r="DU277" s="202">
        <f>DU279-DU276-DU275-DU274</f>
        <v>1809</v>
      </c>
      <c r="DV277" s="297">
        <f>DU277</f>
        <v>1809</v>
      </c>
      <c r="DW277" s="202">
        <f>DW279-DW276-DW275-DW274</f>
        <v>1690</v>
      </c>
      <c r="DX277" s="202">
        <f>DX279-DX276-DX275-DX274</f>
        <v>1340</v>
      </c>
      <c r="DY277" s="202">
        <f>DY279-DY276-DY275-DY274</f>
        <v>1615</v>
      </c>
      <c r="DZ277" s="202">
        <f>DZ279-DZ276-DZ275-DZ274</f>
        <v>1517</v>
      </c>
      <c r="EA277" s="297">
        <f>DZ277</f>
        <v>1517</v>
      </c>
      <c r="EB277" s="202">
        <f>EB279-EB276-EB275-EB274</f>
        <v>1528</v>
      </c>
      <c r="EC277" s="202">
        <f>EC279-EC276-EC275-EC274</f>
        <v>1584</v>
      </c>
      <c r="ED277" s="202">
        <f>ED279-ED276-ED275-ED274</f>
        <v>1650</v>
      </c>
      <c r="EE277" s="202">
        <f>EE279-EE276-EE275-EE274</f>
        <v>1806</v>
      </c>
      <c r="EF277" s="297">
        <f>EE277</f>
        <v>1806</v>
      </c>
      <c r="EG277" s="202">
        <f>EG279-EG276-EG275-EG274</f>
        <v>1878</v>
      </c>
      <c r="EH277" s="202">
        <f>EH279-EH276-EH275-EH274</f>
        <v>1966</v>
      </c>
      <c r="EI277" s="202">
        <f>EI279-EI276-EI275-EI274</f>
        <v>2024</v>
      </c>
      <c r="EJ277" s="202">
        <f>EJ279-EJ276-EJ275-EJ274</f>
        <v>2097</v>
      </c>
      <c r="EK277" s="297">
        <f>EJ277</f>
        <v>2097</v>
      </c>
      <c r="EL277" s="202">
        <f>EL279-EL276-EL275-EL274</f>
        <v>1878</v>
      </c>
      <c r="EM277" s="202">
        <f>EM279-EM276-EM275-EM274</f>
        <v>1966</v>
      </c>
      <c r="EN277" s="202">
        <f>EN279-EN276-EN275-EN274</f>
        <v>2024</v>
      </c>
      <c r="EO277" s="202">
        <f>EO279-EO276-EO275-EO274</f>
        <v>3167</v>
      </c>
      <c r="EP277" s="297">
        <f>EO277</f>
        <v>3167</v>
      </c>
      <c r="EQ277" s="202">
        <f>EP277</f>
        <v>3167</v>
      </c>
      <c r="ER277" s="202">
        <f>EQ277</f>
        <v>3167</v>
      </c>
      <c r="ES277" s="202">
        <f>ER277</f>
        <v>3167</v>
      </c>
      <c r="ET277" s="202">
        <f>ES277</f>
        <v>3167</v>
      </c>
      <c r="EU277" s="297">
        <f>ET277</f>
        <v>3167</v>
      </c>
      <c r="EV277" s="202"/>
      <c r="EW277" s="202"/>
      <c r="EX277" s="202"/>
      <c r="EY277" s="202"/>
      <c r="EZ277" s="297">
        <f>EU277</f>
        <v>3167</v>
      </c>
      <c r="FA277" s="202"/>
      <c r="FB277" s="202"/>
      <c r="FC277" s="202"/>
      <c r="FD277" s="202"/>
      <c r="FE277" s="297">
        <f>EZ277</f>
        <v>3167</v>
      </c>
      <c r="FF277" s="55"/>
      <c r="FG277" s="467"/>
      <c r="FL277" s="376"/>
      <c r="FM277" s="376"/>
      <c r="FN277" s="377"/>
      <c r="FO277" s="377"/>
      <c r="FP277" s="377"/>
      <c r="FQ277" s="377"/>
      <c r="FR277" s="377"/>
      <c r="FS277" s="377"/>
      <c r="FT277" s="467"/>
    </row>
    <row r="278" spans="1:183" ht="12.75" customHeight="1" x14ac:dyDescent="0.2">
      <c r="A278" s="86" t="s">
        <v>375</v>
      </c>
      <c r="B278" s="24"/>
      <c r="C278" s="24"/>
      <c r="D278" s="24"/>
      <c r="E278" s="24"/>
      <c r="F278" s="258"/>
      <c r="G278" s="24"/>
      <c r="H278" s="24"/>
      <c r="I278" s="24"/>
      <c r="J278" s="24"/>
      <c r="K278" s="258"/>
      <c r="L278" s="24"/>
      <c r="M278" s="24"/>
      <c r="N278" s="24"/>
      <c r="O278" s="24"/>
      <c r="P278" s="104"/>
      <c r="Q278" s="24"/>
      <c r="R278" s="24"/>
      <c r="S278" s="24"/>
      <c r="T278" s="24"/>
      <c r="U278" s="104"/>
      <c r="V278" s="24"/>
      <c r="W278" s="24"/>
      <c r="X278" s="24"/>
      <c r="Y278" s="24"/>
      <c r="Z278" s="104"/>
      <c r="AA278" s="24"/>
      <c r="AB278" s="24"/>
      <c r="AC278" s="24"/>
      <c r="AD278" s="24"/>
      <c r="AE278" s="104"/>
      <c r="AF278" s="24"/>
      <c r="AG278" s="24"/>
      <c r="AH278" s="24"/>
      <c r="AI278" s="24"/>
      <c r="AJ278" s="104">
        <f>AJ277/AJ178</f>
        <v>0.12041645303816681</v>
      </c>
      <c r="AK278" s="24"/>
      <c r="AL278" s="24"/>
      <c r="AM278" s="24"/>
      <c r="AN278" s="24"/>
      <c r="AO278" s="104">
        <f>AO277/AO178</f>
        <v>0.10778468798444971</v>
      </c>
      <c r="AP278" s="24"/>
      <c r="AQ278" s="24"/>
      <c r="AR278" s="24"/>
      <c r="AS278" s="24"/>
      <c r="AT278" s="104">
        <f>AT277/AT178</f>
        <v>9.537742466820244E-2</v>
      </c>
      <c r="AU278" s="24"/>
      <c r="AV278" s="24"/>
      <c r="AW278" s="24"/>
      <c r="AX278" s="24"/>
      <c r="AY278" s="104">
        <f>AY277/AY178</f>
        <v>8.4296376584673677E-2</v>
      </c>
      <c r="AZ278" s="24"/>
      <c r="BA278" s="24"/>
      <c r="BB278" s="24"/>
      <c r="BC278" s="24"/>
      <c r="BD278" s="104">
        <f>BD277/BD178</f>
        <v>8.0019058632229315E-2</v>
      </c>
      <c r="BE278" s="24"/>
      <c r="BF278" s="24"/>
      <c r="BG278" s="24"/>
      <c r="BH278" s="24"/>
      <c r="BI278" s="104">
        <f>BI277/BI178</f>
        <v>8.6336536787802787E-2</v>
      </c>
      <c r="BJ278" s="24"/>
      <c r="BK278" s="24"/>
      <c r="BL278" s="24"/>
      <c r="BM278" s="24"/>
      <c r="BN278" s="104">
        <f>BN277/BN178</f>
        <v>7.3348754185769749E-2</v>
      </c>
      <c r="BO278" s="24"/>
      <c r="BP278" s="24"/>
      <c r="BQ278" s="24"/>
      <c r="BR278" s="24"/>
      <c r="BS278" s="104">
        <f>BS277/BS178</f>
        <v>7.6587388173685364E-2</v>
      </c>
      <c r="BT278" s="24"/>
      <c r="BU278" s="24"/>
      <c r="BV278" s="24"/>
      <c r="BW278" s="24"/>
      <c r="BX278" s="104">
        <f>BX277/BX178</f>
        <v>7.3140587961180781E-2</v>
      </c>
      <c r="BY278" s="24"/>
      <c r="BZ278" s="24"/>
      <c r="CA278" s="24"/>
      <c r="CB278" s="24"/>
      <c r="CC278" s="104">
        <f t="shared" ref="CC278:DH278" si="1147">CC277/CC178</f>
        <v>7.3409461663947795E-2</v>
      </c>
      <c r="CD278" s="24">
        <f t="shared" si="1147"/>
        <v>6.9040181740735493E-2</v>
      </c>
      <c r="CE278" s="24">
        <f t="shared" si="1147"/>
        <v>7.1308002342485105E-2</v>
      </c>
      <c r="CF278" s="24">
        <f t="shared" si="1147"/>
        <v>6.9254417080504033E-2</v>
      </c>
      <c r="CG278" s="24">
        <f t="shared" si="1147"/>
        <v>7.5329253691632292E-2</v>
      </c>
      <c r="CH278" s="104">
        <f t="shared" si="1147"/>
        <v>7.5329253691632292E-2</v>
      </c>
      <c r="CI278" s="24">
        <f t="shared" si="1147"/>
        <v>6.8531058731605685E-2</v>
      </c>
      <c r="CJ278" s="24">
        <f t="shared" si="1147"/>
        <v>7.9050752179884387E-2</v>
      </c>
      <c r="CK278" s="24">
        <f t="shared" si="1147"/>
        <v>7.3490321168339742E-2</v>
      </c>
      <c r="CL278" s="24">
        <f t="shared" si="1147"/>
        <v>6.2663185378590072E-2</v>
      </c>
      <c r="CM278" s="104">
        <f t="shared" si="1147"/>
        <v>6.2663185378590072E-2</v>
      </c>
      <c r="CN278" s="24">
        <f t="shared" si="1147"/>
        <v>5.6390977443609019E-2</v>
      </c>
      <c r="CO278" s="24">
        <f t="shared" si="1147"/>
        <v>5.5375073833431779E-2</v>
      </c>
      <c r="CP278" s="24">
        <f t="shared" si="1147"/>
        <v>5.4151624548736461E-2</v>
      </c>
      <c r="CQ278" s="24">
        <f t="shared" si="1147"/>
        <v>0.12938659058487875</v>
      </c>
      <c r="CR278" s="104">
        <f t="shared" si="1147"/>
        <v>0.12938659058487875</v>
      </c>
      <c r="CS278" s="24">
        <f t="shared" si="1147"/>
        <v>0.12540286804436179</v>
      </c>
      <c r="CT278" s="24">
        <f t="shared" si="1147"/>
        <v>9.4808218581690085E-2</v>
      </c>
      <c r="CU278" s="24">
        <f t="shared" si="1147"/>
        <v>8.1504826856954066E-2</v>
      </c>
      <c r="CV278" s="24">
        <f t="shared" si="1147"/>
        <v>8.4278755999156851E-2</v>
      </c>
      <c r="CW278" s="104">
        <f t="shared" si="1147"/>
        <v>8.4278755999156879E-2</v>
      </c>
      <c r="CX278" s="24">
        <f t="shared" si="1147"/>
        <v>7.4764703128336413E-2</v>
      </c>
      <c r="CY278" s="24">
        <f t="shared" si="1147"/>
        <v>8.2325050319832838E-2</v>
      </c>
      <c r="CZ278" s="24">
        <f t="shared" si="1147"/>
        <v>7.3741895705921059E-2</v>
      </c>
      <c r="DA278" s="24">
        <f t="shared" si="1147"/>
        <v>7.3070791624282136E-2</v>
      </c>
      <c r="DB278" s="104">
        <f t="shared" si="1147"/>
        <v>7.3070791624282136E-2</v>
      </c>
      <c r="DC278" s="24">
        <f t="shared" si="1147"/>
        <v>6.9503071597142752E-2</v>
      </c>
      <c r="DD278" s="24">
        <f t="shared" si="1147"/>
        <v>9.6419139870006054E-2</v>
      </c>
      <c r="DE278" s="24">
        <f t="shared" si="1147"/>
        <v>0.10359407466656433</v>
      </c>
      <c r="DF278" s="24">
        <f t="shared" si="1147"/>
        <v>0.10096688347724618</v>
      </c>
      <c r="DG278" s="104">
        <f t="shared" si="1147"/>
        <v>0.10096688347724618</v>
      </c>
      <c r="DH278" s="24">
        <f t="shared" si="1147"/>
        <v>0.10130187144019528</v>
      </c>
      <c r="DI278" s="24">
        <f t="shared" ref="DI278:EA278" si="1148">DI277/DI178</f>
        <v>0.10234154218813081</v>
      </c>
      <c r="DJ278" s="24">
        <f t="shared" si="1148"/>
        <v>0.11765878951041979</v>
      </c>
      <c r="DK278" s="24">
        <f t="shared" si="1148"/>
        <v>0.11680771501672899</v>
      </c>
      <c r="DL278" s="104">
        <f t="shared" si="1148"/>
        <v>0.11680771501672899</v>
      </c>
      <c r="DM278" s="24">
        <f t="shared" si="1148"/>
        <v>0.1182261208576998</v>
      </c>
      <c r="DN278" s="24">
        <f t="shared" si="1148"/>
        <v>0.12207567151246751</v>
      </c>
      <c r="DO278" s="24">
        <f t="shared" si="1148"/>
        <v>0.11947704933676878</v>
      </c>
      <c r="DP278" s="24">
        <f t="shared" si="1148"/>
        <v>0.1142640938327658</v>
      </c>
      <c r="DQ278" s="104">
        <f t="shared" si="1148"/>
        <v>0.1142640938327658</v>
      </c>
      <c r="DR278" s="24">
        <f t="shared" si="1148"/>
        <v>0.11045364891518737</v>
      </c>
      <c r="DS278" s="24">
        <f t="shared" si="1148"/>
        <v>0.10983682983682984</v>
      </c>
      <c r="DT278" s="24">
        <f t="shared" si="1148"/>
        <v>0.10891454965357968</v>
      </c>
      <c r="DU278" s="24">
        <f t="shared" si="1148"/>
        <v>0.1650396861600219</v>
      </c>
      <c r="DV278" s="104">
        <f t="shared" si="1148"/>
        <v>0.1650396861600219</v>
      </c>
      <c r="DW278" s="24">
        <f>DW277/DW178</f>
        <v>0.15207414739494285</v>
      </c>
      <c r="DX278" s="24">
        <f t="shared" si="1148"/>
        <v>0.11855259665575511</v>
      </c>
      <c r="DY278" s="24">
        <f t="shared" si="1148"/>
        <v>0.13998439802374968</v>
      </c>
      <c r="DZ278" s="24">
        <f t="shared" si="1148"/>
        <v>0.12907342806092062</v>
      </c>
      <c r="EA278" s="104">
        <f t="shared" si="1148"/>
        <v>0.12907342806092062</v>
      </c>
      <c r="EB278" s="24">
        <f t="shared" ref="EB278:EF278" si="1149">EB277/EB178</f>
        <v>0.1272061272061272</v>
      </c>
      <c r="EC278" s="24">
        <f t="shared" si="1149"/>
        <v>0.12948581705223575</v>
      </c>
      <c r="ED278" s="24">
        <f t="shared" si="1149"/>
        <v>0.13359242166626184</v>
      </c>
      <c r="EE278" s="24">
        <f t="shared" si="1149"/>
        <v>0.1431402076563367</v>
      </c>
      <c r="EF278" s="104">
        <f t="shared" si="1149"/>
        <v>0.1431402076563367</v>
      </c>
      <c r="EG278" s="24">
        <f t="shared" ref="EG278:EK278" si="1150">EG277/EG178</f>
        <v>0.14575087310826543</v>
      </c>
      <c r="EH278" s="24">
        <f t="shared" si="1150"/>
        <v>0.14897325149655224</v>
      </c>
      <c r="EI278" s="24">
        <f t="shared" si="1150"/>
        <v>0.15083091139429167</v>
      </c>
      <c r="EJ278" s="24">
        <f t="shared" si="1150"/>
        <v>0.1539534542250936</v>
      </c>
      <c r="EK278" s="104">
        <f t="shared" si="1150"/>
        <v>0.1539534542250936</v>
      </c>
      <c r="EL278" s="24">
        <f t="shared" ref="EL278:EP278" si="1151">EL277/EL178</f>
        <v>0.13798677443056576</v>
      </c>
      <c r="EM278" s="24">
        <f t="shared" si="1151"/>
        <v>0.14458008530666275</v>
      </c>
      <c r="EN278" s="24">
        <f t="shared" si="1151"/>
        <v>0.14898785425101216</v>
      </c>
      <c r="EO278" s="24">
        <f t="shared" si="1151"/>
        <v>0.23343406795901819</v>
      </c>
      <c r="EP278" s="104">
        <f t="shared" si="1151"/>
        <v>0.23343406795901819</v>
      </c>
      <c r="EQ278" s="24">
        <f t="shared" ref="EQ278:EU278" si="1152">EQ277/EQ178</f>
        <v>0.23212339475336527</v>
      </c>
      <c r="ER278" s="24">
        <f t="shared" si="1152"/>
        <v>0.22959397248960531</v>
      </c>
      <c r="ES278" s="24">
        <f t="shared" si="1152"/>
        <v>0.22632320758095029</v>
      </c>
      <c r="ET278" s="24">
        <f t="shared" si="1152"/>
        <v>0.22220267279635125</v>
      </c>
      <c r="EU278" s="104">
        <f t="shared" si="1152"/>
        <v>0.22220267279635131</v>
      </c>
      <c r="EV278" s="24"/>
      <c r="EW278" s="24"/>
      <c r="EX278" s="24"/>
      <c r="EY278" s="24"/>
      <c r="EZ278" s="104">
        <f>EZ277/EZ178</f>
        <v>0.21047886267406268</v>
      </c>
      <c r="FA278" s="24"/>
      <c r="FB278" s="24"/>
      <c r="FC278" s="24"/>
      <c r="FD278" s="24"/>
      <c r="FE278" s="104">
        <f>FE277/FE178</f>
        <v>0.19895523346505353</v>
      </c>
      <c r="FF278" s="170"/>
      <c r="FG278" s="468"/>
      <c r="FL278" s="388"/>
      <c r="FM278" s="388"/>
      <c r="FN278" s="389"/>
      <c r="FO278" s="389"/>
      <c r="FP278" s="389"/>
      <c r="FQ278" s="389"/>
      <c r="FR278" s="389"/>
      <c r="FS278" s="389"/>
      <c r="FT278" s="468"/>
    </row>
    <row r="279" spans="1:183" ht="12.75" customHeight="1" x14ac:dyDescent="0.2">
      <c r="A279" s="200" t="s">
        <v>441</v>
      </c>
      <c r="B279" s="203"/>
      <c r="C279" s="203"/>
      <c r="D279" s="203"/>
      <c r="E279" s="203"/>
      <c r="F279" s="284"/>
      <c r="G279" s="203"/>
      <c r="H279" s="203"/>
      <c r="I279" s="203"/>
      <c r="J279" s="203"/>
      <c r="K279" s="284"/>
      <c r="L279" s="203"/>
      <c r="M279" s="203"/>
      <c r="N279" s="203"/>
      <c r="O279" s="203"/>
      <c r="P279" s="293">
        <f>P280-P273</f>
        <v>1110.0280000000002</v>
      </c>
      <c r="Q279" s="203"/>
      <c r="R279" s="203"/>
      <c r="S279" s="203"/>
      <c r="T279" s="203"/>
      <c r="U279" s="293">
        <f>U280-U273</f>
        <v>1043.4059999999999</v>
      </c>
      <c r="V279" s="203"/>
      <c r="W279" s="203"/>
      <c r="X279" s="203"/>
      <c r="Y279" s="203"/>
      <c r="Z279" s="293">
        <f>Z280-Z273</f>
        <v>1062.0949999999998</v>
      </c>
      <c r="AA279" s="203"/>
      <c r="AB279" s="203"/>
      <c r="AC279" s="203"/>
      <c r="AD279" s="203"/>
      <c r="AE279" s="293">
        <f>AE280-AE273</f>
        <v>1218.183</v>
      </c>
      <c r="AF279" s="203"/>
      <c r="AG279" s="203"/>
      <c r="AH279" s="203"/>
      <c r="AI279" s="203"/>
      <c r="AJ279" s="293">
        <f>AJ280-AJ273</f>
        <v>1309.7630000000004</v>
      </c>
      <c r="AK279" s="203"/>
      <c r="AL279" s="203"/>
      <c r="AM279" s="203"/>
      <c r="AN279" s="203"/>
      <c r="AO279" s="293">
        <f>AO280-AO273</f>
        <v>1368.6290000000004</v>
      </c>
      <c r="AP279" s="203"/>
      <c r="AQ279" s="203"/>
      <c r="AR279" s="203"/>
      <c r="AS279" s="203"/>
      <c r="AT279" s="293">
        <f>AT280-AT273</f>
        <v>1467.425</v>
      </c>
      <c r="AU279" s="203"/>
      <c r="AV279" s="203"/>
      <c r="AW279" s="203"/>
      <c r="AX279" s="203"/>
      <c r="AY279" s="293">
        <f>AY280-AY273</f>
        <v>1855.8590000000004</v>
      </c>
      <c r="AZ279" s="203"/>
      <c r="BA279" s="203"/>
      <c r="BB279" s="203"/>
      <c r="BC279" s="203"/>
      <c r="BD279" s="293">
        <f>BD280-BD273</f>
        <v>1919.8490000000004</v>
      </c>
      <c r="BE279" s="203"/>
      <c r="BF279" s="203"/>
      <c r="BG279" s="203"/>
      <c r="BH279" s="203"/>
      <c r="BI279" s="293">
        <f>BI280-BI273</f>
        <v>2743.9029999999998</v>
      </c>
      <c r="BJ279" s="203"/>
      <c r="BK279" s="203"/>
      <c r="BL279" s="203"/>
      <c r="BM279" s="203"/>
      <c r="BN279" s="293">
        <f>BN280-BN273</f>
        <v>3098.3049999999998</v>
      </c>
      <c r="BO279" s="203"/>
      <c r="BP279" s="203"/>
      <c r="BQ279" s="203"/>
      <c r="BR279" s="203"/>
      <c r="BS279" s="293">
        <f>BS280-BS273</f>
        <v>3103</v>
      </c>
      <c r="BT279" s="203"/>
      <c r="BU279" s="203"/>
      <c r="BV279" s="203"/>
      <c r="BW279" s="203"/>
      <c r="BX279" s="293">
        <f>BX280-BX273</f>
        <v>3671</v>
      </c>
      <c r="BY279" s="203"/>
      <c r="BZ279" s="203"/>
      <c r="CA279" s="203"/>
      <c r="CB279" s="203"/>
      <c r="CC279" s="293">
        <f t="shared" ref="CC279:CQ279" si="1153">CC280-CC273</f>
        <v>3695</v>
      </c>
      <c r="CD279" s="203">
        <f t="shared" si="1153"/>
        <v>3509</v>
      </c>
      <c r="CE279" s="203">
        <f t="shared" si="1153"/>
        <v>3706</v>
      </c>
      <c r="CF279" s="203">
        <f t="shared" si="1153"/>
        <v>3519</v>
      </c>
      <c r="CG279" s="203">
        <f t="shared" si="1153"/>
        <v>4124</v>
      </c>
      <c r="CH279" s="293">
        <f t="shared" si="1153"/>
        <v>4124</v>
      </c>
      <c r="CI279" s="203">
        <f t="shared" si="1153"/>
        <v>4160</v>
      </c>
      <c r="CJ279" s="203">
        <f t="shared" si="1153"/>
        <v>4341</v>
      </c>
      <c r="CK279" s="203">
        <f t="shared" si="1153"/>
        <v>4429</v>
      </c>
      <c r="CL279" s="203">
        <f t="shared" si="1153"/>
        <v>4993</v>
      </c>
      <c r="CM279" s="293">
        <f t="shared" si="1153"/>
        <v>4993</v>
      </c>
      <c r="CN279" s="203">
        <f t="shared" si="1153"/>
        <v>5065</v>
      </c>
      <c r="CO279" s="203">
        <f t="shared" si="1153"/>
        <v>6158</v>
      </c>
      <c r="CP279" s="203">
        <f t="shared" si="1153"/>
        <v>5523</v>
      </c>
      <c r="CQ279" s="203">
        <f t="shared" si="1153"/>
        <v>6309</v>
      </c>
      <c r="CR279" s="293">
        <f>CQ279</f>
        <v>6309</v>
      </c>
      <c r="CS279" s="203">
        <f t="shared" ref="CS279:DG279" si="1154">CS280-CS273</f>
        <v>7208.0659999999989</v>
      </c>
      <c r="CT279" s="203">
        <f t="shared" si="1154"/>
        <v>6841.4970000000003</v>
      </c>
      <c r="CU279" s="203">
        <f t="shared" si="1154"/>
        <v>6826.3170000000009</v>
      </c>
      <c r="CV279" s="203">
        <f t="shared" si="1154"/>
        <v>7175.69</v>
      </c>
      <c r="CW279" s="293">
        <f t="shared" si="1154"/>
        <v>7175.69</v>
      </c>
      <c r="CX279" s="203">
        <f t="shared" si="1154"/>
        <v>7121.0639999999985</v>
      </c>
      <c r="CY279" s="203">
        <f t="shared" si="1154"/>
        <v>7155.5310000000009</v>
      </c>
      <c r="CZ279" s="203">
        <f t="shared" si="1154"/>
        <v>7066.1840000000011</v>
      </c>
      <c r="DA279" s="203">
        <f t="shared" si="1154"/>
        <v>6943.6019999999999</v>
      </c>
      <c r="DB279" s="293">
        <f t="shared" si="1154"/>
        <v>6943.6020000000017</v>
      </c>
      <c r="DC279" s="203">
        <f t="shared" si="1154"/>
        <v>6485.9610000000011</v>
      </c>
      <c r="DD279" s="203">
        <f t="shared" si="1154"/>
        <v>6425</v>
      </c>
      <c r="DE279" s="203">
        <f t="shared" si="1154"/>
        <v>6080</v>
      </c>
      <c r="DF279" s="203">
        <f t="shared" si="1154"/>
        <v>6658</v>
      </c>
      <c r="DG279" s="293">
        <f t="shared" si="1154"/>
        <v>6658</v>
      </c>
      <c r="DH279" s="203">
        <f t="shared" ref="DH279:DT279" si="1155">DH280-DH273</f>
        <v>6682</v>
      </c>
      <c r="DI279" s="203">
        <f t="shared" si="1155"/>
        <v>6596</v>
      </c>
      <c r="DJ279" s="203">
        <f t="shared" si="1155"/>
        <v>6842</v>
      </c>
      <c r="DK279" s="203">
        <f t="shared" ref="DK279:DP279" si="1156">DK280-DK273</f>
        <v>6954</v>
      </c>
      <c r="DL279" s="293">
        <f t="shared" si="1156"/>
        <v>6954</v>
      </c>
      <c r="DM279" s="203">
        <f t="shared" si="1156"/>
        <v>6825</v>
      </c>
      <c r="DN279" s="203">
        <f t="shared" si="1156"/>
        <v>6822</v>
      </c>
      <c r="DO279" s="203">
        <f t="shared" si="1156"/>
        <v>6805</v>
      </c>
      <c r="DP279" s="203">
        <f t="shared" si="1156"/>
        <v>6333</v>
      </c>
      <c r="DQ279" s="293">
        <f t="shared" si="1155"/>
        <v>6333</v>
      </c>
      <c r="DR279" s="203">
        <f t="shared" si="1155"/>
        <v>6345</v>
      </c>
      <c r="DS279" s="203">
        <f t="shared" si="1155"/>
        <v>6348</v>
      </c>
      <c r="DT279" s="203">
        <f t="shared" si="1155"/>
        <v>6664</v>
      </c>
      <c r="DU279" s="203">
        <f t="shared" ref="DU279:EA279" si="1157">DU280-DU273</f>
        <v>7502</v>
      </c>
      <c r="DV279" s="293">
        <f t="shared" si="1157"/>
        <v>7502</v>
      </c>
      <c r="DW279" s="203">
        <f>DW280-DW273</f>
        <v>7358</v>
      </c>
      <c r="DX279" s="203">
        <f t="shared" si="1157"/>
        <v>7041</v>
      </c>
      <c r="DY279" s="203">
        <f t="shared" si="1157"/>
        <v>7107</v>
      </c>
      <c r="DZ279" s="203">
        <f t="shared" si="1157"/>
        <v>6548</v>
      </c>
      <c r="EA279" s="293">
        <f t="shared" si="1157"/>
        <v>6548</v>
      </c>
      <c r="EB279" s="203">
        <f t="shared" ref="EB279:EF279" si="1158">EB280-EB273</f>
        <v>6492</v>
      </c>
      <c r="EC279" s="203">
        <f t="shared" si="1158"/>
        <v>6793</v>
      </c>
      <c r="ED279" s="203">
        <f t="shared" si="1158"/>
        <v>7182</v>
      </c>
      <c r="EE279" s="203">
        <f t="shared" si="1158"/>
        <v>8001</v>
      </c>
      <c r="EF279" s="293">
        <f t="shared" si="1158"/>
        <v>8001</v>
      </c>
      <c r="EG279" s="203">
        <f t="shared" ref="EG279:EK279" si="1159">EG280-EG273</f>
        <v>8101</v>
      </c>
      <c r="EH279" s="203">
        <f t="shared" si="1159"/>
        <v>8294</v>
      </c>
      <c r="EI279" s="203">
        <f t="shared" si="1159"/>
        <v>8484</v>
      </c>
      <c r="EJ279" s="203">
        <f t="shared" si="1159"/>
        <v>7775</v>
      </c>
      <c r="EK279" s="293">
        <f t="shared" si="1159"/>
        <v>7775</v>
      </c>
      <c r="EL279" s="203">
        <f t="shared" ref="EL279:EP279" si="1160">EL280-EL273</f>
        <v>8101</v>
      </c>
      <c r="EM279" s="203">
        <f t="shared" si="1160"/>
        <v>8294</v>
      </c>
      <c r="EN279" s="203">
        <f t="shared" si="1160"/>
        <v>8484</v>
      </c>
      <c r="EO279" s="203">
        <f t="shared" si="1160"/>
        <v>8606</v>
      </c>
      <c r="EP279" s="293">
        <f t="shared" si="1160"/>
        <v>8606</v>
      </c>
      <c r="EQ279" s="203">
        <f t="shared" ref="EQ279:EU279" si="1161">EQ280-EQ273</f>
        <v>8732.6602191133952</v>
      </c>
      <c r="ER279" s="203">
        <f t="shared" si="1161"/>
        <v>8927.7497900730796</v>
      </c>
      <c r="ES279" s="203">
        <f t="shared" si="1161"/>
        <v>9100.7215029839754</v>
      </c>
      <c r="ET279" s="203">
        <f t="shared" si="1161"/>
        <v>9266.2811305308787</v>
      </c>
      <c r="EU279" s="293">
        <f t="shared" si="1161"/>
        <v>9266.2811305308787</v>
      </c>
      <c r="EV279" s="203"/>
      <c r="EW279" s="203"/>
      <c r="EX279" s="203"/>
      <c r="EY279" s="203"/>
      <c r="EZ279" s="293">
        <f>EZ280-EZ273</f>
        <v>9680.5804031047919</v>
      </c>
      <c r="FA279" s="203"/>
      <c r="FB279" s="203"/>
      <c r="FC279" s="203"/>
      <c r="FD279" s="203"/>
      <c r="FE279" s="293">
        <f>FE280-FE273</f>
        <v>10101.823179636431</v>
      </c>
      <c r="FF279" s="55"/>
      <c r="FG279" s="467"/>
      <c r="FL279" s="376"/>
      <c r="FM279" s="376"/>
      <c r="FN279" s="377"/>
      <c r="FO279" s="377"/>
      <c r="FP279" s="377"/>
      <c r="FQ279" s="377"/>
      <c r="FR279" s="377"/>
      <c r="FS279" s="377"/>
      <c r="FT279" s="467"/>
    </row>
    <row r="280" spans="1:183" ht="12.75" customHeight="1" x14ac:dyDescent="0.2">
      <c r="A280" s="72" t="s">
        <v>303</v>
      </c>
      <c r="B280" s="843"/>
      <c r="C280" s="843"/>
      <c r="D280" s="843"/>
      <c r="E280" s="843"/>
      <c r="F280" s="276"/>
      <c r="G280" s="843"/>
      <c r="H280" s="843"/>
      <c r="I280" s="843"/>
      <c r="J280" s="843"/>
      <c r="K280" s="276"/>
      <c r="L280" s="843"/>
      <c r="M280" s="843"/>
      <c r="N280" s="843"/>
      <c r="O280" s="843"/>
      <c r="P280" s="295">
        <f>P273+P274+P275+P277+P276</f>
        <v>1489.3200000000002</v>
      </c>
      <c r="Q280" s="843"/>
      <c r="R280" s="843"/>
      <c r="S280" s="843"/>
      <c r="T280" s="843"/>
      <c r="U280" s="295">
        <f>U273+U274+U275+U277+U276</f>
        <v>1522.018</v>
      </c>
      <c r="V280" s="843"/>
      <c r="W280" s="843"/>
      <c r="X280" s="843"/>
      <c r="Y280" s="843"/>
      <c r="Z280" s="295">
        <f>Z273+Z274+Z275+Z277+Z276</f>
        <v>1584.3649999999998</v>
      </c>
      <c r="AA280" s="843"/>
      <c r="AB280" s="843"/>
      <c r="AC280" s="843"/>
      <c r="AD280" s="843"/>
      <c r="AE280" s="295">
        <f>AE273+AE274+AE275+AE277+AE276</f>
        <v>1828.8040000000001</v>
      </c>
      <c r="AF280" s="843"/>
      <c r="AG280" s="843"/>
      <c r="AH280" s="843"/>
      <c r="AI280" s="843"/>
      <c r="AJ280" s="295">
        <f>AJ273+AJ274+AJ275+AJ277+AJ276</f>
        <v>2075.1670000000004</v>
      </c>
      <c r="AK280" s="843"/>
      <c r="AL280" s="843"/>
      <c r="AM280" s="843"/>
      <c r="AN280" s="843"/>
      <c r="AO280" s="295">
        <f>AO273+AO274+AO275+AO277+AO276</f>
        <v>2237.1420000000003</v>
      </c>
      <c r="AP280" s="843"/>
      <c r="AQ280" s="843"/>
      <c r="AR280" s="843"/>
      <c r="AS280" s="843"/>
      <c r="AT280" s="295">
        <f>AT273+AT274+AT275+AT277+AT276</f>
        <v>2318.078</v>
      </c>
      <c r="AU280" s="843"/>
      <c r="AV280" s="843"/>
      <c r="AW280" s="843"/>
      <c r="AX280" s="843"/>
      <c r="AY280" s="295">
        <f>AY273+AY274+AY275+AY277+AY276</f>
        <v>2817.9150000000004</v>
      </c>
      <c r="AZ280" s="843"/>
      <c r="BA280" s="843"/>
      <c r="BB280" s="843"/>
      <c r="BC280" s="843"/>
      <c r="BD280" s="295">
        <f>BD273+BD274+BD275+BD277+BD276</f>
        <v>3218.2520000000004</v>
      </c>
      <c r="BE280" s="843"/>
      <c r="BF280" s="843"/>
      <c r="BG280" s="843"/>
      <c r="BH280" s="843"/>
      <c r="BI280" s="295">
        <f>BI273+BI274+BI275+BI277+BI276</f>
        <v>4983.0879999999997</v>
      </c>
      <c r="BJ280" s="843"/>
      <c r="BK280" s="843"/>
      <c r="BL280" s="843"/>
      <c r="BM280" s="843"/>
      <c r="BN280" s="295">
        <f>BN273+BN274+BN275+BN277+BN276</f>
        <v>4532.1329999999998</v>
      </c>
      <c r="BO280" s="843"/>
      <c r="BP280" s="843"/>
      <c r="BQ280" s="843"/>
      <c r="BR280" s="843"/>
      <c r="BS280" s="295">
        <f>BS273+BS274+BS275+BS277+BS276</f>
        <v>4826</v>
      </c>
      <c r="BT280" s="843"/>
      <c r="BU280" s="843"/>
      <c r="BV280" s="843"/>
      <c r="BW280" s="843"/>
      <c r="BX280" s="295">
        <f>BX273+BX274+BX275+BX277+BX276</f>
        <v>5813</v>
      </c>
      <c r="BY280" s="843"/>
      <c r="BZ280" s="843"/>
      <c r="CA280" s="843"/>
      <c r="CB280" s="843"/>
      <c r="CC280" s="295">
        <f>CC273+CC274+CC275+CC277+CC276</f>
        <v>7543</v>
      </c>
      <c r="CD280" s="843">
        <v>7958</v>
      </c>
      <c r="CE280" s="843">
        <v>8391</v>
      </c>
      <c r="CF280" s="843">
        <v>7463</v>
      </c>
      <c r="CG280" s="843">
        <v>7011</v>
      </c>
      <c r="CH280" s="295">
        <f>CH273+CH274+CH275+CH277+CH276</f>
        <v>7011</v>
      </c>
      <c r="CI280" s="843">
        <v>7684</v>
      </c>
      <c r="CJ280" s="843">
        <v>8426</v>
      </c>
      <c r="CK280" s="843">
        <v>8255</v>
      </c>
      <c r="CL280" s="843">
        <v>9831</v>
      </c>
      <c r="CM280" s="295">
        <f>CM273+CM274+CM275+CM277+CM276</f>
        <v>9831</v>
      </c>
      <c r="CN280" s="843">
        <v>10846</v>
      </c>
      <c r="CO280" s="843">
        <v>14532</v>
      </c>
      <c r="CP280" s="843">
        <v>11111</v>
      </c>
      <c r="CQ280" s="843">
        <v>9115</v>
      </c>
      <c r="CR280" s="295">
        <f>CR273+CR274+CR275+CR277+CR276</f>
        <v>9115</v>
      </c>
      <c r="CS280" s="843">
        <v>11040.14</v>
      </c>
      <c r="CT280" s="843">
        <v>10582.734</v>
      </c>
      <c r="CU280" s="843">
        <v>10625.217000000001</v>
      </c>
      <c r="CV280" s="843">
        <v>10597.228999999999</v>
      </c>
      <c r="CW280" s="295">
        <f>CW273+CW274+CW275+CW277+CW276</f>
        <v>10597.228999999999</v>
      </c>
      <c r="CX280" s="843">
        <v>10792.136999999999</v>
      </c>
      <c r="CY280" s="843">
        <v>11212.091</v>
      </c>
      <c r="CZ280" s="843">
        <v>10854.95</v>
      </c>
      <c r="DA280" s="843">
        <v>10865.99</v>
      </c>
      <c r="DB280" s="295">
        <f>DB273+DB274+DB275+DB277+DB276</f>
        <v>10865.990000000002</v>
      </c>
      <c r="DC280" s="843">
        <v>11608.182000000001</v>
      </c>
      <c r="DD280" s="843">
        <f>5318+3242+2263+82+838</f>
        <v>11743</v>
      </c>
      <c r="DE280" s="843">
        <f>5320+3220+1856+78+926</f>
        <v>11400</v>
      </c>
      <c r="DF280" s="843">
        <f>18068-6877</f>
        <v>11191</v>
      </c>
      <c r="DG280" s="295">
        <f>DG273+DG274+DG275+DG277+DG276</f>
        <v>11191</v>
      </c>
      <c r="DH280" s="843">
        <f>18826-7097</f>
        <v>11729</v>
      </c>
      <c r="DI280" s="843">
        <f>18516-6840</f>
        <v>11676</v>
      </c>
      <c r="DJ280" s="843">
        <f>18813-7002</f>
        <v>11811</v>
      </c>
      <c r="DK280" s="843">
        <f>18596-6992</f>
        <v>11604</v>
      </c>
      <c r="DL280" s="295">
        <f>DL273+DL274+DL275+DL277+DL276</f>
        <v>11604</v>
      </c>
      <c r="DM280" s="843">
        <f>19197-6961</f>
        <v>12236</v>
      </c>
      <c r="DN280" s="843">
        <f>19382-6781</f>
        <v>12601</v>
      </c>
      <c r="DO280" s="843">
        <f>19364-7013</f>
        <v>12351</v>
      </c>
      <c r="DP280" s="843">
        <f>19345-7336</f>
        <v>12009</v>
      </c>
      <c r="DQ280" s="295">
        <f>DQ273+DQ274+DQ275+DQ277+DQ276</f>
        <v>12009</v>
      </c>
      <c r="DR280" s="843">
        <f>19976-7190</f>
        <v>12786</v>
      </c>
      <c r="DS280" s="843">
        <f>20891-7516</f>
        <v>13375</v>
      </c>
      <c r="DT280" s="843">
        <f>20539-7429</f>
        <v>13110</v>
      </c>
      <c r="DU280" s="843">
        <f>20200-6775</f>
        <v>13425</v>
      </c>
      <c r="DV280" s="295">
        <f t="shared" ref="DV280:EA280" si="1162">DV273+DV274+DV275+DV277+DV276</f>
        <v>13425</v>
      </c>
      <c r="DW280" s="843">
        <f>21163-6902</f>
        <v>14261</v>
      </c>
      <c r="DX280" s="843">
        <f>21075-7158</f>
        <v>13917</v>
      </c>
      <c r="DY280" s="843">
        <f>21159-6968</f>
        <v>14191</v>
      </c>
      <c r="DZ280" s="843">
        <f>21312-7358</f>
        <v>13954</v>
      </c>
      <c r="EA280" s="295">
        <f t="shared" si="1162"/>
        <v>13954</v>
      </c>
      <c r="EB280" s="843">
        <f>22241-7496</f>
        <v>14745</v>
      </c>
      <c r="EC280" s="843">
        <f>22447-7821</f>
        <v>14626</v>
      </c>
      <c r="ED280" s="843">
        <f>23045-8047</f>
        <v>14998</v>
      </c>
      <c r="EE280" s="843">
        <f>23286-8441</f>
        <v>14845</v>
      </c>
      <c r="EF280" s="295">
        <f>EF273+EF274+EF275+EF277+EF276</f>
        <v>14845</v>
      </c>
      <c r="EG280" s="843">
        <f>23763-8204</f>
        <v>15559</v>
      </c>
      <c r="EH280" s="843">
        <f>23921-8530</f>
        <v>15391</v>
      </c>
      <c r="EI280" s="843">
        <f>24249-8800</f>
        <v>15449</v>
      </c>
      <c r="EJ280" s="843">
        <f>25110-10430</f>
        <v>14680</v>
      </c>
      <c r="EK280" s="295">
        <f>EK273+EK274+EK275+EK277+EK276</f>
        <v>14680</v>
      </c>
      <c r="EL280" s="843">
        <f>23763-8204</f>
        <v>15559</v>
      </c>
      <c r="EM280" s="843">
        <f>23921-8530</f>
        <v>15391</v>
      </c>
      <c r="EN280" s="843">
        <f>24249-8800</f>
        <v>15449</v>
      </c>
      <c r="EO280" s="843">
        <f>25110-9641</f>
        <v>15469</v>
      </c>
      <c r="EP280" s="295">
        <f>EP273+EP274+EP275+EP277+EP276</f>
        <v>15469</v>
      </c>
      <c r="EQ280" s="233">
        <f t="shared" ref="EQ280" si="1163">EQ273+EQ274+EQ275+EQ277+EQ276</f>
        <v>16380.615926310104</v>
      </c>
      <c r="ER280" s="233">
        <f t="shared" ref="ER280:ET280" si="1164">ER273+ER274+ER275+ER277+ER276</f>
        <v>16220.9791592703</v>
      </c>
      <c r="ES280" s="233">
        <f t="shared" si="1164"/>
        <v>16301.198184988594</v>
      </c>
      <c r="ET280" s="233">
        <f t="shared" si="1164"/>
        <v>16438.630218383274</v>
      </c>
      <c r="EU280" s="295">
        <f>EU273+EU274+EU275+EU277+EU276</f>
        <v>16438.630218383274</v>
      </c>
      <c r="EV280" s="233"/>
      <c r="EW280" s="233"/>
      <c r="EX280" s="233"/>
      <c r="EY280" s="233"/>
      <c r="EZ280" s="295">
        <f>EZ273+EZ274+EZ275+EZ277+EZ276</f>
        <v>17250.575972115661</v>
      </c>
      <c r="FA280" s="233"/>
      <c r="FB280" s="233"/>
      <c r="FC280" s="233"/>
      <c r="FD280" s="233"/>
      <c r="FE280" s="295">
        <f>FE273+FE274+FE275+FE277+FE276</f>
        <v>18100.110506588033</v>
      </c>
      <c r="FF280" s="55"/>
      <c r="FG280" s="467"/>
      <c r="FL280" s="376"/>
      <c r="FM280" s="376"/>
      <c r="FN280" s="377"/>
      <c r="FO280" s="377"/>
      <c r="FP280" s="377"/>
      <c r="FQ280" s="377"/>
      <c r="FR280" s="377"/>
      <c r="FS280" s="377"/>
      <c r="FT280" s="467"/>
    </row>
    <row r="281" spans="1:183" s="7" customFormat="1" ht="12.75" customHeight="1" x14ac:dyDescent="0.2">
      <c r="A281" s="7" t="s">
        <v>399</v>
      </c>
      <c r="B281" s="809"/>
      <c r="C281" s="809"/>
      <c r="D281" s="809"/>
      <c r="E281" s="809"/>
      <c r="F281" s="99"/>
      <c r="G281" s="809"/>
      <c r="H281" s="809"/>
      <c r="I281" s="809"/>
      <c r="J281" s="809"/>
      <c r="K281" s="99"/>
      <c r="L281" s="809"/>
      <c r="M281" s="809"/>
      <c r="N281" s="809"/>
      <c r="O281" s="809"/>
      <c r="P281" s="99"/>
      <c r="Q281" s="809"/>
      <c r="R281" s="809"/>
      <c r="S281" s="809"/>
      <c r="T281" s="809"/>
      <c r="U281" s="99"/>
      <c r="V281" s="809"/>
      <c r="W281" s="809"/>
      <c r="X281" s="809"/>
      <c r="Y281" s="809"/>
      <c r="Z281" s="99"/>
      <c r="AA281" s="809"/>
      <c r="AB281" s="809"/>
      <c r="AC281" s="809"/>
      <c r="AD281" s="809"/>
      <c r="AE281" s="99"/>
      <c r="AF281" s="809"/>
      <c r="AG281" s="809"/>
      <c r="AH281" s="809"/>
      <c r="AI281" s="809"/>
      <c r="AJ281" s="99"/>
      <c r="AK281" s="809"/>
      <c r="AL281" s="809"/>
      <c r="AM281" s="809"/>
      <c r="AN281" s="809"/>
      <c r="AO281" s="99"/>
      <c r="AP281" s="809"/>
      <c r="AQ281" s="809"/>
      <c r="AR281" s="809"/>
      <c r="AS281" s="809"/>
      <c r="AT281" s="99"/>
      <c r="AU281" s="809"/>
      <c r="AV281" s="809"/>
      <c r="AW281" s="809"/>
      <c r="AX281" s="809"/>
      <c r="AY281" s="99"/>
      <c r="AZ281" s="809"/>
      <c r="BA281" s="809"/>
      <c r="BB281" s="809"/>
      <c r="BC281" s="809"/>
      <c r="BD281" s="99"/>
      <c r="BE281" s="809"/>
      <c r="BF281" s="809"/>
      <c r="BG281" s="809"/>
      <c r="BH281" s="809"/>
      <c r="BI281" s="99"/>
      <c r="BJ281" s="809"/>
      <c r="BK281" s="809"/>
      <c r="BL281" s="809"/>
      <c r="BM281" s="809"/>
      <c r="BN281" s="99"/>
      <c r="BO281" s="809"/>
      <c r="BP281" s="809"/>
      <c r="BQ281" s="809"/>
      <c r="BR281" s="809"/>
      <c r="BS281" s="99"/>
      <c r="BT281" s="809"/>
      <c r="BU281" s="809"/>
      <c r="BV281" s="809"/>
      <c r="BW281" s="809"/>
      <c r="BX281" s="99"/>
      <c r="BY281" s="809"/>
      <c r="BZ281" s="809"/>
      <c r="CA281" s="809"/>
      <c r="CB281" s="809"/>
      <c r="CC281" s="99"/>
      <c r="CD281" s="809"/>
      <c r="CE281" s="809"/>
      <c r="CF281" s="809"/>
      <c r="CG281" s="809"/>
      <c r="CH281" s="99"/>
      <c r="CI281" s="809"/>
      <c r="CJ281" s="809"/>
      <c r="CK281" s="809"/>
      <c r="CL281" s="809"/>
      <c r="CM281" s="99"/>
      <c r="CN281" s="809"/>
      <c r="CO281" s="809"/>
      <c r="CP281" s="809"/>
      <c r="CQ281" s="809"/>
      <c r="CR281" s="99"/>
      <c r="CS281" s="809"/>
      <c r="CT281" s="809"/>
      <c r="CU281" s="809"/>
      <c r="CV281" s="809"/>
      <c r="CW281" s="99"/>
      <c r="CX281" s="809"/>
      <c r="CY281" s="809"/>
      <c r="CZ281" s="809"/>
      <c r="DA281" s="809"/>
      <c r="DB281" s="99"/>
      <c r="DC281" s="809"/>
      <c r="DD281" s="809"/>
      <c r="DE281" s="809"/>
      <c r="DF281" s="809"/>
      <c r="DG281" s="505"/>
      <c r="DH281" s="809"/>
      <c r="DI281" s="809"/>
      <c r="DJ281" s="809"/>
      <c r="DK281" s="809"/>
      <c r="DL281" s="99"/>
      <c r="DM281" s="809"/>
      <c r="DN281" s="809"/>
      <c r="DO281" s="809"/>
      <c r="DP281" s="809"/>
      <c r="DQ281" s="99"/>
      <c r="DR281" s="809"/>
      <c r="DS281" s="809"/>
      <c r="DT281" s="809"/>
      <c r="DU281" s="809"/>
      <c r="DV281" s="99"/>
      <c r="DW281" s="809"/>
      <c r="DX281" s="809"/>
      <c r="DY281" s="809"/>
      <c r="DZ281" s="809"/>
      <c r="EA281" s="99"/>
      <c r="EB281" s="809"/>
      <c r="EC281" s="809"/>
      <c r="ED281" s="809"/>
      <c r="EE281" s="809"/>
      <c r="EF281" s="99"/>
      <c r="EG281" s="809"/>
      <c r="EH281" s="809"/>
      <c r="EI281" s="809"/>
      <c r="EJ281" s="809"/>
      <c r="EK281" s="99"/>
      <c r="EL281" s="809"/>
      <c r="EM281" s="809"/>
      <c r="EN281" s="809"/>
      <c r="EO281" s="809"/>
      <c r="EP281" s="99"/>
      <c r="EU281" s="99"/>
      <c r="EZ281" s="99"/>
      <c r="FE281" s="99"/>
      <c r="FF281" s="336"/>
      <c r="FG281" s="6"/>
      <c r="FH281" s="346"/>
      <c r="FI281" s="336"/>
      <c r="FJ281" s="336"/>
      <c r="FK281" s="336"/>
      <c r="FL281" s="412"/>
      <c r="FM281" s="412"/>
      <c r="FN281" s="373"/>
      <c r="FO281" s="373"/>
      <c r="FP281" s="373"/>
      <c r="FQ281" s="373"/>
      <c r="FR281" s="373"/>
      <c r="FS281" s="373"/>
      <c r="FT281" s="6"/>
      <c r="FU281"/>
      <c r="FV281"/>
      <c r="FW281"/>
      <c r="FX281"/>
      <c r="FY281"/>
      <c r="FZ281"/>
      <c r="GA281" s="341"/>
    </row>
    <row r="282" spans="1:183" ht="12.75" customHeight="1" x14ac:dyDescent="0.2">
      <c r="A282" s="46" t="s">
        <v>24</v>
      </c>
      <c r="B282" s="829"/>
      <c r="C282" s="829"/>
      <c r="D282" s="829"/>
      <c r="E282" s="829"/>
      <c r="F282" s="266"/>
      <c r="G282" s="829"/>
      <c r="H282" s="829"/>
      <c r="I282" s="829"/>
      <c r="J282" s="829"/>
      <c r="K282" s="266"/>
      <c r="L282" s="829"/>
      <c r="M282" s="829"/>
      <c r="N282" s="829"/>
      <c r="O282" s="829"/>
      <c r="P282" s="848">
        <v>96.046999999999997</v>
      </c>
      <c r="Q282" s="829"/>
      <c r="R282" s="829"/>
      <c r="S282" s="829"/>
      <c r="T282" s="829"/>
      <c r="U282" s="848">
        <v>142.756</v>
      </c>
      <c r="V282" s="829"/>
      <c r="W282" s="829"/>
      <c r="X282" s="829"/>
      <c r="Y282" s="829"/>
      <c r="Z282" s="848">
        <v>143.256</v>
      </c>
      <c r="AA282" s="829"/>
      <c r="AB282" s="829"/>
      <c r="AC282" s="829"/>
      <c r="AD282" s="829"/>
      <c r="AE282" s="848">
        <v>144.03299999999999</v>
      </c>
      <c r="AF282" s="829"/>
      <c r="AG282" s="829"/>
      <c r="AH282" s="829"/>
      <c r="AI282" s="829"/>
      <c r="AJ282" s="848">
        <v>145.11199999999999</v>
      </c>
      <c r="AK282" s="829"/>
      <c r="AL282" s="829"/>
      <c r="AM282" s="829"/>
      <c r="AN282" s="829"/>
      <c r="AO282" s="848">
        <v>221.20699999999999</v>
      </c>
      <c r="AP282" s="829"/>
      <c r="AQ282" s="829"/>
      <c r="AR282" s="829"/>
      <c r="AS282" s="829"/>
      <c r="AT282" s="848">
        <v>335.904</v>
      </c>
      <c r="AU282" s="829"/>
      <c r="AV282" s="829"/>
      <c r="AW282" s="829"/>
      <c r="AX282" s="829"/>
      <c r="AY282" s="848">
        <v>505.005</v>
      </c>
      <c r="AZ282" s="829"/>
      <c r="BA282" s="829"/>
      <c r="BB282" s="829"/>
      <c r="BC282" s="829"/>
      <c r="BD282" s="848">
        <v>507.89699999999999</v>
      </c>
      <c r="BE282" s="829"/>
      <c r="BF282" s="829"/>
      <c r="BG282" s="829"/>
      <c r="BH282" s="829"/>
      <c r="BI282" s="848">
        <v>766.774</v>
      </c>
      <c r="BJ282" s="829"/>
      <c r="BK282" s="829"/>
      <c r="BL282" s="829"/>
      <c r="BM282" s="829"/>
      <c r="BN282" s="848">
        <v>776.66300000000001</v>
      </c>
      <c r="BO282" s="829"/>
      <c r="BP282" s="829"/>
      <c r="BQ282" s="829"/>
      <c r="BR282" s="829"/>
      <c r="BS282" s="848">
        <v>789</v>
      </c>
      <c r="BT282" s="829"/>
      <c r="BU282" s="829"/>
      <c r="BV282" s="829"/>
      <c r="BW282" s="829"/>
      <c r="BX282" s="848">
        <v>790</v>
      </c>
      <c r="BY282" s="829"/>
      <c r="BZ282" s="829"/>
      <c r="CA282" s="829"/>
      <c r="CB282" s="829"/>
      <c r="CC282" s="848">
        <v>802</v>
      </c>
      <c r="CD282" s="829">
        <v>808</v>
      </c>
      <c r="CE282" s="829">
        <v>808</v>
      </c>
      <c r="CF282" s="829">
        <v>808</v>
      </c>
      <c r="CG282" s="829">
        <v>808</v>
      </c>
      <c r="CH282" s="103">
        <v>808</v>
      </c>
      <c r="CI282" s="829">
        <v>808</v>
      </c>
      <c r="CJ282" s="829">
        <v>808</v>
      </c>
      <c r="CK282" s="829">
        <v>808</v>
      </c>
      <c r="CL282" s="829">
        <v>808</v>
      </c>
      <c r="CM282" s="103">
        <v>808</v>
      </c>
      <c r="CN282" s="829">
        <v>808</v>
      </c>
      <c r="CO282" s="829">
        <v>808</v>
      </c>
      <c r="CP282" s="829">
        <v>808</v>
      </c>
      <c r="CQ282" s="829">
        <v>808</v>
      </c>
      <c r="CR282" s="103">
        <v>808</v>
      </c>
      <c r="CS282" s="829">
        <v>808.12</v>
      </c>
      <c r="CT282" s="829">
        <v>808.12</v>
      </c>
      <c r="CU282" s="829">
        <v>808.12300000000005</v>
      </c>
      <c r="CV282" s="829">
        <v>808.13499999999999</v>
      </c>
      <c r="CW282" s="103">
        <f>CV282</f>
        <v>808.13499999999999</v>
      </c>
      <c r="CX282" s="829">
        <v>808.13499999999999</v>
      </c>
      <c r="CY282" s="829">
        <v>808.13499999999999</v>
      </c>
      <c r="CZ282" s="829">
        <v>808.13499999999999</v>
      </c>
      <c r="DA282" s="829">
        <v>808.13599999999997</v>
      </c>
      <c r="DB282" s="103">
        <f>DA282</f>
        <v>808.13599999999997</v>
      </c>
      <c r="DC282" s="829">
        <v>808.13599999999997</v>
      </c>
      <c r="DD282" s="829">
        <v>808</v>
      </c>
      <c r="DE282" s="829">
        <v>808</v>
      </c>
      <c r="DF282" s="829">
        <v>808</v>
      </c>
      <c r="DG282" s="103">
        <f>DF282</f>
        <v>808</v>
      </c>
      <c r="DH282" s="829">
        <v>808</v>
      </c>
      <c r="DI282" s="829">
        <v>808</v>
      </c>
      <c r="DJ282" s="829">
        <v>808</v>
      </c>
      <c r="DK282" s="829">
        <v>808</v>
      </c>
      <c r="DL282" s="103">
        <f>DK282</f>
        <v>808</v>
      </c>
      <c r="DM282" s="829">
        <v>808</v>
      </c>
      <c r="DN282" s="829">
        <v>808</v>
      </c>
      <c r="DO282" s="829">
        <v>808</v>
      </c>
      <c r="DP282" s="829">
        <v>808</v>
      </c>
      <c r="DQ282" s="103">
        <f>DP282</f>
        <v>808</v>
      </c>
      <c r="DR282" s="829">
        <v>808</v>
      </c>
      <c r="DS282" s="829">
        <v>808</v>
      </c>
      <c r="DT282" s="829">
        <v>808</v>
      </c>
      <c r="DU282" s="829">
        <v>808</v>
      </c>
      <c r="DV282" s="103">
        <f>DU282</f>
        <v>808</v>
      </c>
      <c r="DW282" s="829">
        <v>808</v>
      </c>
      <c r="DX282" s="829">
        <v>808</v>
      </c>
      <c r="DY282" s="829">
        <v>808</v>
      </c>
      <c r="DZ282" s="829">
        <v>808</v>
      </c>
      <c r="EA282" s="103">
        <f>DZ282</f>
        <v>808</v>
      </c>
      <c r="EB282" s="829">
        <v>808</v>
      </c>
      <c r="EC282" s="829">
        <v>808</v>
      </c>
      <c r="ED282" s="829">
        <v>808</v>
      </c>
      <c r="EE282" s="829">
        <v>808</v>
      </c>
      <c r="EF282" s="103">
        <f t="shared" ref="EF282:EK282" si="1165">EE282</f>
        <v>808</v>
      </c>
      <c r="EG282" s="829">
        <v>808</v>
      </c>
      <c r="EH282" s="829">
        <v>808</v>
      </c>
      <c r="EI282" s="829">
        <v>808</v>
      </c>
      <c r="EJ282" s="829">
        <v>808</v>
      </c>
      <c r="EK282" s="103">
        <f t="shared" si="1165"/>
        <v>808</v>
      </c>
      <c r="EL282" s="829">
        <v>808</v>
      </c>
      <c r="EM282" s="829">
        <v>808</v>
      </c>
      <c r="EN282" s="829">
        <v>808</v>
      </c>
      <c r="EO282" s="829">
        <v>808</v>
      </c>
      <c r="EP282" s="103">
        <f t="shared" ref="EP282" si="1166">EO282</f>
        <v>808</v>
      </c>
      <c r="EQ282" s="191">
        <f>EO282</f>
        <v>808</v>
      </c>
      <c r="ER282" s="191">
        <f>EQ282</f>
        <v>808</v>
      </c>
      <c r="ES282" s="191">
        <f t="shared" ref="ES282:ET282" si="1167">ER282</f>
        <v>808</v>
      </c>
      <c r="ET282" s="191">
        <f t="shared" si="1167"/>
        <v>808</v>
      </c>
      <c r="EU282" s="103">
        <f>ET282</f>
        <v>808</v>
      </c>
      <c r="EV282" s="191"/>
      <c r="EW282" s="191"/>
      <c r="EX282" s="191"/>
      <c r="EY282" s="191"/>
      <c r="EZ282" s="103">
        <f>EU282</f>
        <v>808</v>
      </c>
      <c r="FA282" s="191"/>
      <c r="FB282" s="191"/>
      <c r="FC282" s="191"/>
      <c r="FD282" s="191"/>
      <c r="FE282" s="103">
        <f>EZ282</f>
        <v>808</v>
      </c>
      <c r="FF282" s="33"/>
      <c r="FG282" s="460"/>
      <c r="FL282" s="425"/>
      <c r="FM282" s="425"/>
      <c r="FN282" s="384"/>
      <c r="FO282" s="384"/>
      <c r="FP282" s="384"/>
      <c r="FQ282" s="384"/>
      <c r="FR282" s="384"/>
      <c r="FS282" s="384"/>
      <c r="FT282" s="460"/>
    </row>
    <row r="283" spans="1:183" ht="12.75" customHeight="1" x14ac:dyDescent="0.2">
      <c r="A283" s="46" t="s">
        <v>284</v>
      </c>
      <c r="B283" s="829"/>
      <c r="C283" s="829"/>
      <c r="D283" s="829"/>
      <c r="E283" s="829"/>
      <c r="F283" s="266"/>
      <c r="G283" s="829"/>
      <c r="H283" s="829"/>
      <c r="I283" s="829"/>
      <c r="J283" s="829"/>
      <c r="K283" s="266"/>
      <c r="L283" s="829"/>
      <c r="M283" s="829"/>
      <c r="N283" s="829"/>
      <c r="O283" s="829"/>
      <c r="P283" s="848">
        <v>177.64699999999999</v>
      </c>
      <c r="Q283" s="829"/>
      <c r="R283" s="829"/>
      <c r="S283" s="829"/>
      <c r="T283" s="829"/>
      <c r="U283" s="848">
        <v>141.16800000000001</v>
      </c>
      <c r="V283" s="829"/>
      <c r="W283" s="829"/>
      <c r="X283" s="829"/>
      <c r="Y283" s="829"/>
      <c r="Z283" s="848">
        <v>151.74600000000001</v>
      </c>
      <c r="AA283" s="829"/>
      <c r="AB283" s="829"/>
      <c r="AC283" s="829"/>
      <c r="AD283" s="829"/>
      <c r="AE283" s="848">
        <v>162.70400000000001</v>
      </c>
      <c r="AF283" s="829"/>
      <c r="AG283" s="829"/>
      <c r="AH283" s="829"/>
      <c r="AI283" s="829"/>
      <c r="AJ283" s="848">
        <v>181.65</v>
      </c>
      <c r="AK283" s="829"/>
      <c r="AL283" s="829"/>
      <c r="AM283" s="829"/>
      <c r="AN283" s="829"/>
      <c r="AO283" s="848">
        <v>155.696</v>
      </c>
      <c r="AP283" s="829"/>
      <c r="AQ283" s="829"/>
      <c r="AR283" s="829"/>
      <c r="AS283" s="829"/>
      <c r="AT283" s="848">
        <v>89.82</v>
      </c>
      <c r="AU283" s="829"/>
      <c r="AV283" s="829"/>
      <c r="AW283" s="829"/>
      <c r="AX283" s="829"/>
      <c r="AY283" s="848">
        <v>35.436</v>
      </c>
      <c r="AZ283" s="829"/>
      <c r="BA283" s="829"/>
      <c r="BB283" s="829"/>
      <c r="BC283" s="829"/>
      <c r="BD283" s="848">
        <v>103.78</v>
      </c>
      <c r="BE283" s="829"/>
      <c r="BF283" s="829"/>
      <c r="BG283" s="829"/>
      <c r="BH283" s="829"/>
      <c r="BI283" s="848">
        <v>50.408999999999999</v>
      </c>
      <c r="BJ283" s="829"/>
      <c r="BK283" s="829"/>
      <c r="BL283" s="829"/>
      <c r="BM283" s="829"/>
      <c r="BN283" s="848">
        <v>135.84800000000001</v>
      </c>
      <c r="BO283" s="829"/>
      <c r="BP283" s="829"/>
      <c r="BQ283" s="829"/>
      <c r="BR283" s="829"/>
      <c r="BS283" s="848">
        <v>258</v>
      </c>
      <c r="BT283" s="829"/>
      <c r="BU283" s="829"/>
      <c r="BV283" s="829"/>
      <c r="BW283" s="829"/>
      <c r="BX283" s="848">
        <v>299</v>
      </c>
      <c r="BY283" s="829"/>
      <c r="BZ283" s="829"/>
      <c r="CA283" s="829"/>
      <c r="CB283" s="829"/>
      <c r="CC283" s="848">
        <v>424</v>
      </c>
      <c r="CD283" s="829">
        <v>1024</v>
      </c>
      <c r="CE283" s="829">
        <v>1047</v>
      </c>
      <c r="CF283" s="829">
        <v>990</v>
      </c>
      <c r="CG283" s="829">
        <v>1142</v>
      </c>
      <c r="CH283" s="103">
        <v>1142</v>
      </c>
      <c r="CI283" s="829">
        <v>1155</v>
      </c>
      <c r="CJ283" s="829">
        <v>1167</v>
      </c>
      <c r="CK283" s="829">
        <v>1171</v>
      </c>
      <c r="CL283" s="829">
        <v>1207</v>
      </c>
      <c r="CM283" s="103">
        <v>1207</v>
      </c>
      <c r="CN283" s="829">
        <v>1212</v>
      </c>
      <c r="CO283" s="829">
        <v>1216</v>
      </c>
      <c r="CP283" s="829">
        <v>1221</v>
      </c>
      <c r="CQ283" s="829">
        <v>1215</v>
      </c>
      <c r="CR283" s="103">
        <v>1215</v>
      </c>
      <c r="CS283" s="829">
        <v>1745.329</v>
      </c>
      <c r="CT283" s="829">
        <v>1750.5990000000002</v>
      </c>
      <c r="CU283" s="829">
        <v>1756.0909999999999</v>
      </c>
      <c r="CV283" s="829">
        <v>1802.7269999999999</v>
      </c>
      <c r="CW283" s="103">
        <f>CV283</f>
        <v>1802.7269999999999</v>
      </c>
      <c r="CX283" s="829">
        <v>1807.396</v>
      </c>
      <c r="CY283" s="829">
        <v>1811.4180000000001</v>
      </c>
      <c r="CZ283" s="829">
        <v>1817.2719999999999</v>
      </c>
      <c r="DA283" s="829">
        <v>1777.0329999999999</v>
      </c>
      <c r="DB283" s="103">
        <f>DA283</f>
        <v>1777.0329999999999</v>
      </c>
      <c r="DC283" s="829">
        <v>1780.6399999999999</v>
      </c>
      <c r="DD283" s="829">
        <v>1219</v>
      </c>
      <c r="DE283" s="829">
        <v>1222</v>
      </c>
      <c r="DF283" s="829">
        <v>1222</v>
      </c>
      <c r="DG283" s="103">
        <f>DF283</f>
        <v>1222</v>
      </c>
      <c r="DH283" s="829">
        <v>1225</v>
      </c>
      <c r="DI283" s="829">
        <v>1224</v>
      </c>
      <c r="DJ283" s="829">
        <v>1228</v>
      </c>
      <c r="DK283" s="829">
        <v>1210</v>
      </c>
      <c r="DL283" s="103">
        <f>DK283</f>
        <v>1210</v>
      </c>
      <c r="DM283" s="829">
        <v>1214</v>
      </c>
      <c r="DN283" s="829">
        <v>1201</v>
      </c>
      <c r="DO283" s="829">
        <v>1205</v>
      </c>
      <c r="DP283" s="829">
        <v>1231</v>
      </c>
      <c r="DQ283" s="103">
        <f>DP283</f>
        <v>1231</v>
      </c>
      <c r="DR283" s="829">
        <v>1256</v>
      </c>
      <c r="DS283" s="829">
        <v>1263</v>
      </c>
      <c r="DT283" s="829">
        <v>1280</v>
      </c>
      <c r="DU283" s="829">
        <v>1315</v>
      </c>
      <c r="DV283" s="103">
        <f>DU283</f>
        <v>1315</v>
      </c>
      <c r="DW283" s="829">
        <v>1329</v>
      </c>
      <c r="DX283" s="829">
        <v>1319</v>
      </c>
      <c r="DY283" s="829">
        <v>1330</v>
      </c>
      <c r="DZ283" s="829">
        <v>1374</v>
      </c>
      <c r="EA283" s="103">
        <f>DZ283</f>
        <v>1374</v>
      </c>
      <c r="EB283" s="829">
        <v>1387</v>
      </c>
      <c r="EC283" s="829">
        <v>1383</v>
      </c>
      <c r="ED283" s="829">
        <v>1402</v>
      </c>
      <c r="EE283" s="829">
        <v>1410</v>
      </c>
      <c r="EF283" s="103">
        <f>EE283</f>
        <v>1410</v>
      </c>
      <c r="EG283" s="829">
        <v>1419</v>
      </c>
      <c r="EH283" s="829">
        <v>1422</v>
      </c>
      <c r="EI283" s="829">
        <v>1436</v>
      </c>
      <c r="EJ283" s="829">
        <v>1451</v>
      </c>
      <c r="EK283" s="103">
        <f>EJ283</f>
        <v>1451</v>
      </c>
      <c r="EL283" s="829">
        <v>1419</v>
      </c>
      <c r="EM283" s="829">
        <v>1422</v>
      </c>
      <c r="EN283" s="829">
        <v>1436</v>
      </c>
      <c r="EO283" s="829">
        <v>1451</v>
      </c>
      <c r="EP283" s="103">
        <f>EO283</f>
        <v>1451</v>
      </c>
      <c r="EQ283" s="191">
        <f>EO283+Model!EQ231</f>
        <v>1451</v>
      </c>
      <c r="ER283" s="191">
        <f>EQ283+Model!ER231</f>
        <v>1451</v>
      </c>
      <c r="ES283" s="191">
        <f>ER283+Model!ES231</f>
        <v>1451</v>
      </c>
      <c r="ET283" s="191">
        <f>ES283+Model!ET231</f>
        <v>1451</v>
      </c>
      <c r="EU283" s="103">
        <f>ET283</f>
        <v>1451</v>
      </c>
      <c r="EV283" s="191"/>
      <c r="EW283" s="191"/>
      <c r="EX283" s="191"/>
      <c r="EY283" s="191"/>
      <c r="EZ283" s="103">
        <f>EU283+Model!EZ231</f>
        <v>1451</v>
      </c>
      <c r="FA283" s="191"/>
      <c r="FB283" s="191"/>
      <c r="FC283" s="191"/>
      <c r="FD283" s="191"/>
      <c r="FE283" s="103">
        <f>EZ283+Model!FE231</f>
        <v>1451</v>
      </c>
      <c r="FF283" s="33"/>
      <c r="FG283" s="460"/>
      <c r="FL283" s="425"/>
      <c r="FM283" s="425"/>
      <c r="FN283" s="384"/>
      <c r="FO283" s="384"/>
      <c r="FP283" s="384"/>
      <c r="FQ283" s="384"/>
      <c r="FR283" s="384"/>
      <c r="FS283" s="384"/>
      <c r="FT283" s="460"/>
    </row>
    <row r="284" spans="1:183" ht="12.75" customHeight="1" x14ac:dyDescent="0.2">
      <c r="A284" s="46" t="s">
        <v>76</v>
      </c>
      <c r="B284" s="829"/>
      <c r="C284" s="829"/>
      <c r="D284" s="829"/>
      <c r="E284" s="829"/>
      <c r="F284" s="266"/>
      <c r="G284" s="829"/>
      <c r="H284" s="829"/>
      <c r="I284" s="829"/>
      <c r="J284" s="829"/>
      <c r="K284" s="266"/>
      <c r="L284" s="829"/>
      <c r="M284" s="829"/>
      <c r="N284" s="829"/>
      <c r="O284" s="829"/>
      <c r="P284" s="848">
        <v>605.928</v>
      </c>
      <c r="Q284" s="829"/>
      <c r="R284" s="829"/>
      <c r="S284" s="829"/>
      <c r="T284" s="829"/>
      <c r="U284" s="848">
        <v>770.09500000000003</v>
      </c>
      <c r="V284" s="829"/>
      <c r="W284" s="829"/>
      <c r="X284" s="829"/>
      <c r="Y284" s="829"/>
      <c r="Z284" s="848">
        <v>943.70399999999995</v>
      </c>
      <c r="AA284" s="829"/>
      <c r="AB284" s="829"/>
      <c r="AC284" s="829"/>
      <c r="AD284" s="829"/>
      <c r="AE284" s="848">
        <v>1120.5809999999999</v>
      </c>
      <c r="AF284" s="829"/>
      <c r="AG284" s="829"/>
      <c r="AH284" s="829"/>
      <c r="AI284" s="829"/>
      <c r="AJ284" s="848">
        <v>1321.55</v>
      </c>
      <c r="AK284" s="829"/>
      <c r="AL284" s="829"/>
      <c r="AM284" s="829"/>
      <c r="AN284" s="829"/>
      <c r="AO284" s="848">
        <v>1632.115</v>
      </c>
      <c r="AP284" s="829"/>
      <c r="AQ284" s="829"/>
      <c r="AR284" s="829"/>
      <c r="AS284" s="829"/>
      <c r="AT284" s="848">
        <v>2044.9749999999999</v>
      </c>
      <c r="AU284" s="829"/>
      <c r="AV284" s="829"/>
      <c r="AW284" s="829"/>
      <c r="AX284" s="829"/>
      <c r="AY284" s="848">
        <v>2385.8539999999998</v>
      </c>
      <c r="AZ284" s="829"/>
      <c r="BA284" s="829"/>
      <c r="BB284" s="829"/>
      <c r="BC284" s="829"/>
      <c r="BD284" s="848">
        <v>2902.0070000000001</v>
      </c>
      <c r="BE284" s="829"/>
      <c r="BF284" s="829"/>
      <c r="BG284" s="829"/>
      <c r="BH284" s="829"/>
      <c r="BI284" s="848">
        <v>3228.4079999999999</v>
      </c>
      <c r="BJ284" s="829"/>
      <c r="BK284" s="829"/>
      <c r="BL284" s="829"/>
      <c r="BM284" s="829"/>
      <c r="BN284" s="848">
        <v>3455.4479999999999</v>
      </c>
      <c r="BO284" s="829"/>
      <c r="BP284" s="829"/>
      <c r="BQ284" s="829"/>
      <c r="BR284" s="829"/>
      <c r="BS284" s="848">
        <v>3883</v>
      </c>
      <c r="BT284" s="829"/>
      <c r="BU284" s="829"/>
      <c r="BV284" s="829"/>
      <c r="BW284" s="829"/>
      <c r="BX284" s="848">
        <v>4089</v>
      </c>
      <c r="BY284" s="829"/>
      <c r="BZ284" s="829"/>
      <c r="CA284" s="829"/>
      <c r="CB284" s="829"/>
      <c r="CC284" s="848">
        <v>4557</v>
      </c>
      <c r="CD284" s="829">
        <v>4016</v>
      </c>
      <c r="CE284" s="829">
        <v>4325</v>
      </c>
      <c r="CF284" s="829">
        <v>4369</v>
      </c>
      <c r="CG284" s="829">
        <v>4307</v>
      </c>
      <c r="CH284" s="103">
        <v>4307</v>
      </c>
      <c r="CI284" s="829">
        <v>4264</v>
      </c>
      <c r="CJ284" s="829">
        <v>4534</v>
      </c>
      <c r="CK284" s="829">
        <v>4685</v>
      </c>
      <c r="CL284" s="829">
        <v>4788</v>
      </c>
      <c r="CM284" s="103">
        <v>4788</v>
      </c>
      <c r="CN284" s="829">
        <v>4811</v>
      </c>
      <c r="CO284" s="829">
        <v>5123</v>
      </c>
      <c r="CP284" s="829">
        <v>4980</v>
      </c>
      <c r="CQ284" s="829">
        <v>4919</v>
      </c>
      <c r="CR284" s="103">
        <v>4919</v>
      </c>
      <c r="CS284" s="829">
        <v>4629.6559999999999</v>
      </c>
      <c r="CT284" s="829">
        <v>4789.0940000000001</v>
      </c>
      <c r="CU284" s="829">
        <v>4775.5200000000004</v>
      </c>
      <c r="CV284" s="829">
        <v>4887.6109999999999</v>
      </c>
      <c r="CW284" s="103">
        <f>CV284</f>
        <v>4887.6109999999999</v>
      </c>
      <c r="CX284" s="829">
        <v>4877.5860000000002</v>
      </c>
      <c r="CY284" s="829">
        <v>4991.9660000000003</v>
      </c>
      <c r="CZ284" s="829">
        <v>5226.2290000000003</v>
      </c>
      <c r="DA284" s="829">
        <v>5354.1540000000005</v>
      </c>
      <c r="DB284" s="103">
        <f>DA284</f>
        <v>5354.1540000000005</v>
      </c>
      <c r="DC284" s="829">
        <v>5345.3429999999998</v>
      </c>
      <c r="DD284" s="829">
        <v>5398</v>
      </c>
      <c r="DE284" s="829">
        <v>5251</v>
      </c>
      <c r="DF284" s="829">
        <v>5395</v>
      </c>
      <c r="DG284" s="103">
        <f>DF284</f>
        <v>5395</v>
      </c>
      <c r="DH284" s="829">
        <v>5486</v>
      </c>
      <c r="DI284" s="829">
        <v>5692</v>
      </c>
      <c r="DJ284" s="829">
        <v>5700</v>
      </c>
      <c r="DK284" s="829">
        <v>5768</v>
      </c>
      <c r="DL284" s="103">
        <f>DK284</f>
        <v>5768</v>
      </c>
      <c r="DM284" s="829">
        <v>5818</v>
      </c>
      <c r="DN284" s="829">
        <v>6015</v>
      </c>
      <c r="DO284" s="829">
        <v>6246</v>
      </c>
      <c r="DP284" s="829">
        <v>6431</v>
      </c>
      <c r="DQ284" s="103">
        <f>DP284</f>
        <v>6431</v>
      </c>
      <c r="DR284" s="829">
        <v>6555</v>
      </c>
      <c r="DS284" s="829">
        <v>6979</v>
      </c>
      <c r="DT284" s="829">
        <v>7266</v>
      </c>
      <c r="DU284" s="829">
        <v>7416</v>
      </c>
      <c r="DV284" s="103">
        <f>DU284</f>
        <v>7416</v>
      </c>
      <c r="DW284" s="829">
        <v>7829</v>
      </c>
      <c r="DX284" s="829">
        <v>8387</v>
      </c>
      <c r="DY284" s="829">
        <v>8922</v>
      </c>
      <c r="DZ284" s="829">
        <v>9409</v>
      </c>
      <c r="EA284" s="103">
        <f>DZ284</f>
        <v>9409</v>
      </c>
      <c r="EB284" s="829">
        <v>9872</v>
      </c>
      <c r="EC284" s="829">
        <v>10631</v>
      </c>
      <c r="ED284" s="829">
        <v>10957</v>
      </c>
      <c r="EE284" s="829">
        <v>11418</v>
      </c>
      <c r="EF284" s="103">
        <f>EE284</f>
        <v>11418</v>
      </c>
      <c r="EG284" s="829">
        <v>11708</v>
      </c>
      <c r="EH284" s="829">
        <v>12378</v>
      </c>
      <c r="EI284" s="829">
        <v>12806</v>
      </c>
      <c r="EJ284" s="829">
        <v>14621</v>
      </c>
      <c r="EK284" s="103">
        <f>EJ284</f>
        <v>14621</v>
      </c>
      <c r="EL284" s="829">
        <v>11708</v>
      </c>
      <c r="EM284" s="829">
        <v>12378</v>
      </c>
      <c r="EN284" s="829">
        <v>12806</v>
      </c>
      <c r="EO284" s="829">
        <v>13832</v>
      </c>
      <c r="EP284" s="103">
        <f>EO284</f>
        <v>13832</v>
      </c>
      <c r="EQ284" s="191">
        <f>EO284+Model!EQ209+Model!EQ229</f>
        <v>14118.298025920698</v>
      </c>
      <c r="ER284" s="191">
        <f>EQ284+Model!ER209+Model!ER229</f>
        <v>14917.568772048337</v>
      </c>
      <c r="ES284" s="191">
        <f>ER284+Model!ES209+Model!ES229</f>
        <v>15572.319243538173</v>
      </c>
      <c r="ET284" s="191">
        <f>ES284+Model!ET209+Model!ET229</f>
        <v>16262.637644761815</v>
      </c>
      <c r="EU284" s="103">
        <f>ET284</f>
        <v>16262.637644761815</v>
      </c>
      <c r="EV284" s="191"/>
      <c r="EW284" s="191"/>
      <c r="EX284" s="191"/>
      <c r="EY284" s="191"/>
      <c r="EZ284" s="103">
        <f>EU284+Model!EZ209+Model!EZ229</f>
        <v>19129.371727413291</v>
      </c>
      <c r="FA284" s="191"/>
      <c r="FB284" s="191"/>
      <c r="FC284" s="191"/>
      <c r="FD284" s="191"/>
      <c r="FE284" s="103">
        <f>EZ284+Model!FE209+Model!FE229</f>
        <v>22474.849571439085</v>
      </c>
      <c r="FF284" s="33"/>
      <c r="FG284" s="460"/>
      <c r="FL284" s="425"/>
      <c r="FM284" s="425"/>
      <c r="FN284" s="384"/>
      <c r="FO284" s="384"/>
      <c r="FP284" s="384"/>
      <c r="FQ284" s="384"/>
      <c r="FR284" s="384"/>
      <c r="FS284" s="384"/>
      <c r="FT284" s="460"/>
    </row>
    <row r="285" spans="1:183" ht="12.75" customHeight="1" x14ac:dyDescent="0.2">
      <c r="A285" s="38" t="s">
        <v>280</v>
      </c>
      <c r="B285" s="827"/>
      <c r="C285" s="827"/>
      <c r="D285" s="827"/>
      <c r="E285" s="827"/>
      <c r="F285" s="266"/>
      <c r="G285" s="827"/>
      <c r="H285" s="827"/>
      <c r="I285" s="827"/>
      <c r="J285" s="827"/>
      <c r="K285" s="266"/>
      <c r="L285" s="827"/>
      <c r="M285" s="827"/>
      <c r="N285" s="827"/>
      <c r="O285" s="827"/>
      <c r="P285" s="103">
        <f>P287-P282-P283-P284-P286</f>
        <v>-1.264266469291897E-13</v>
      </c>
      <c r="Q285" s="827"/>
      <c r="R285" s="827"/>
      <c r="S285" s="827"/>
      <c r="T285" s="827"/>
      <c r="U285" s="103">
        <f>U287-U282-U283-U284-U286</f>
        <v>0</v>
      </c>
      <c r="V285" s="827"/>
      <c r="W285" s="827"/>
      <c r="X285" s="827"/>
      <c r="Y285" s="827"/>
      <c r="Z285" s="103">
        <f>Z287-Z282-Z283-Z284-Z286</f>
        <v>-1.1368683772161603E-13</v>
      </c>
      <c r="AA285" s="827"/>
      <c r="AB285" s="827"/>
      <c r="AC285" s="827"/>
      <c r="AD285" s="827"/>
      <c r="AE285" s="103">
        <f>AE287-AE282-AE283-AE284-AE286</f>
        <v>2.2737367544323206E-13</v>
      </c>
      <c r="AF285" s="827"/>
      <c r="AG285" s="827"/>
      <c r="AH285" s="827"/>
      <c r="AI285" s="827"/>
      <c r="AJ285" s="103">
        <f>AJ287-AJ282-AJ283-AJ284-AJ286</f>
        <v>-2.2737367544323206E-13</v>
      </c>
      <c r="AK285" s="827"/>
      <c r="AL285" s="827"/>
      <c r="AM285" s="827"/>
      <c r="AN285" s="827"/>
      <c r="AO285" s="103">
        <f>AO287-AO282-AO283-AO284-AO286</f>
        <v>2.2737367544323206E-13</v>
      </c>
      <c r="AP285" s="827"/>
      <c r="AQ285" s="827"/>
      <c r="AR285" s="827"/>
      <c r="AS285" s="827"/>
      <c r="AT285" s="103">
        <f>AT287-AT282-AT283-AT284-AT286</f>
        <v>2.8421709430404007E-13</v>
      </c>
      <c r="AU285" s="827"/>
      <c r="AV285" s="827"/>
      <c r="AW285" s="827"/>
      <c r="AX285" s="827"/>
      <c r="AY285" s="103">
        <f>AY287-AY282-AY283-AY284-AY286</f>
        <v>0</v>
      </c>
      <c r="AZ285" s="827"/>
      <c r="BA285" s="827"/>
      <c r="BB285" s="827"/>
      <c r="BC285" s="827"/>
      <c r="BD285" s="103">
        <f>BD287-BD282-BD283-BD284-BD286</f>
        <v>0</v>
      </c>
      <c r="BE285" s="827"/>
      <c r="BF285" s="827"/>
      <c r="BG285" s="827"/>
      <c r="BH285" s="827"/>
      <c r="BI285" s="103">
        <v>-31.538</v>
      </c>
      <c r="BJ285" s="827"/>
      <c r="BK285" s="827"/>
      <c r="BL285" s="827"/>
      <c r="BM285" s="827"/>
      <c r="BN285" s="103">
        <v>53.658000000000001</v>
      </c>
      <c r="BO285" s="827"/>
      <c r="BP285" s="827"/>
      <c r="BQ285" s="827"/>
      <c r="BR285" s="827"/>
      <c r="BS285" s="103">
        <v>122</v>
      </c>
      <c r="BT285" s="827"/>
      <c r="BU285" s="827"/>
      <c r="BV285" s="827"/>
      <c r="BW285" s="827"/>
      <c r="BX285" s="103">
        <v>417</v>
      </c>
      <c r="BY285" s="827"/>
      <c r="BZ285" s="827"/>
      <c r="CA285" s="827"/>
      <c r="CB285" s="827"/>
      <c r="CC285" s="103">
        <v>892</v>
      </c>
      <c r="CD285" s="827">
        <v>1009</v>
      </c>
      <c r="CE285" s="827">
        <v>1104</v>
      </c>
      <c r="CF285" s="827">
        <v>719</v>
      </c>
      <c r="CG285" s="827">
        <v>582</v>
      </c>
      <c r="CH285" s="103">
        <v>582</v>
      </c>
      <c r="CI285" s="827">
        <v>716</v>
      </c>
      <c r="CJ285" s="827">
        <v>752</v>
      </c>
      <c r="CK285" s="827">
        <v>723</v>
      </c>
      <c r="CL285" s="827">
        <v>1241</v>
      </c>
      <c r="CM285" s="103">
        <v>1241</v>
      </c>
      <c r="CN285" s="827">
        <v>1492</v>
      </c>
      <c r="CO285" s="827">
        <v>2699</v>
      </c>
      <c r="CP285" s="827">
        <v>1066</v>
      </c>
      <c r="CQ285" s="827">
        <v>-984</v>
      </c>
      <c r="CR285" s="103">
        <v>-984</v>
      </c>
      <c r="CS285" s="827">
        <v>-949.46900000000005</v>
      </c>
      <c r="CT285" s="827">
        <v>-808.04300000000001</v>
      </c>
      <c r="CU285" s="827">
        <v>-729.92100000000005</v>
      </c>
      <c r="CV285" s="827">
        <v>-579.53</v>
      </c>
      <c r="CW285" s="103">
        <f>CV285</f>
        <v>-579.53</v>
      </c>
      <c r="CX285" s="827">
        <v>-524.43200000000002</v>
      </c>
      <c r="CY285" s="827">
        <v>-664.43899999999996</v>
      </c>
      <c r="CZ285" s="827">
        <v>-483.46</v>
      </c>
      <c r="DA285" s="827">
        <v>-271.96499999999997</v>
      </c>
      <c r="DB285" s="103">
        <f>DA285</f>
        <v>-271.96499999999997</v>
      </c>
      <c r="DC285" s="827">
        <v>72.599000000000004</v>
      </c>
      <c r="DD285" s="827">
        <v>-107</v>
      </c>
      <c r="DE285" s="827">
        <v>-513</v>
      </c>
      <c r="DF285" s="827">
        <v>-224</v>
      </c>
      <c r="DG285" s="103">
        <f>DF285</f>
        <v>-224</v>
      </c>
      <c r="DH285" s="827">
        <v>-57</v>
      </c>
      <c r="DI285" s="827">
        <v>-320</v>
      </c>
      <c r="DJ285" s="827">
        <v>-125</v>
      </c>
      <c r="DK285" s="827">
        <v>-119</v>
      </c>
      <c r="DL285" s="103">
        <f>DK285</f>
        <v>-119</v>
      </c>
      <c r="DM285" s="827">
        <v>-111</v>
      </c>
      <c r="DN285" s="827">
        <v>-248</v>
      </c>
      <c r="DO285" s="827">
        <v>-114</v>
      </c>
      <c r="DP285" s="827">
        <v>-3</v>
      </c>
      <c r="DQ285" s="103">
        <f>DP285</f>
        <v>-3</v>
      </c>
      <c r="DR285" s="827">
        <v>-12</v>
      </c>
      <c r="DS285" s="827">
        <v>111</v>
      </c>
      <c r="DT285" s="827">
        <v>-92</v>
      </c>
      <c r="DU285" s="827">
        <v>-738</v>
      </c>
      <c r="DV285" s="103">
        <f>DU285</f>
        <v>-738</v>
      </c>
      <c r="DW285" s="827">
        <v>-742</v>
      </c>
      <c r="DX285" s="827">
        <v>-664</v>
      </c>
      <c r="DY285" s="827">
        <v>-903</v>
      </c>
      <c r="DZ285" s="827">
        <v>-1051</v>
      </c>
      <c r="EA285" s="103">
        <f>DZ285</f>
        <v>-1051</v>
      </c>
      <c r="EB285" s="827">
        <v>-894</v>
      </c>
      <c r="EC285" s="827">
        <v>-628</v>
      </c>
      <c r="ED285" s="827">
        <v>-499</v>
      </c>
      <c r="EE285" s="827">
        <v>-323</v>
      </c>
      <c r="EF285" s="103">
        <f>EE285</f>
        <v>-323</v>
      </c>
      <c r="EG285" s="827">
        <v>-312</v>
      </c>
      <c r="EH285" s="827">
        <v>-263</v>
      </c>
      <c r="EI285" s="827">
        <v>-136</v>
      </c>
      <c r="EJ285" s="827">
        <v>12</v>
      </c>
      <c r="EK285" s="103">
        <f>EJ285</f>
        <v>12</v>
      </c>
      <c r="EL285" s="827">
        <v>-312</v>
      </c>
      <c r="EM285" s="827">
        <v>-263</v>
      </c>
      <c r="EN285" s="827">
        <v>-136</v>
      </c>
      <c r="EO285" s="827">
        <v>12</v>
      </c>
      <c r="EP285" s="103">
        <f>EO285</f>
        <v>12</v>
      </c>
      <c r="EQ285" s="33">
        <f>EO285+EQ238</f>
        <v>12</v>
      </c>
      <c r="ER285" s="33">
        <f>EQ285+ER238</f>
        <v>12</v>
      </c>
      <c r="ES285" s="33">
        <f>ER285+ES238</f>
        <v>12</v>
      </c>
      <c r="ET285" s="33">
        <f>ES285+ET238</f>
        <v>12</v>
      </c>
      <c r="EU285" s="103">
        <f>ET285</f>
        <v>12</v>
      </c>
      <c r="EV285" s="33"/>
      <c r="EW285" s="33"/>
      <c r="EX285" s="33"/>
      <c r="EY285" s="33"/>
      <c r="EZ285" s="103">
        <f>EU285+EZ238</f>
        <v>12</v>
      </c>
      <c r="FA285" s="33"/>
      <c r="FB285" s="33"/>
      <c r="FC285" s="33"/>
      <c r="FD285" s="33"/>
      <c r="FE285" s="103">
        <f>EZ285+FE238</f>
        <v>12</v>
      </c>
      <c r="FF285" s="33"/>
      <c r="FG285" s="460"/>
      <c r="FL285" s="425"/>
      <c r="FM285" s="425"/>
      <c r="FN285" s="384"/>
      <c r="FO285" s="384"/>
      <c r="FP285" s="384"/>
      <c r="FQ285" s="384"/>
      <c r="FR285" s="384"/>
      <c r="FS285" s="384"/>
      <c r="FT285" s="460"/>
    </row>
    <row r="286" spans="1:183" ht="12.75" customHeight="1" x14ac:dyDescent="0.2">
      <c r="A286" s="38" t="s">
        <v>144</v>
      </c>
      <c r="B286" s="829"/>
      <c r="C286" s="829"/>
      <c r="D286" s="829"/>
      <c r="E286" s="829"/>
      <c r="F286" s="266"/>
      <c r="G286" s="829"/>
      <c r="H286" s="829"/>
      <c r="I286" s="829"/>
      <c r="J286" s="829"/>
      <c r="K286" s="266"/>
      <c r="L286" s="829"/>
      <c r="M286" s="829"/>
      <c r="N286" s="829"/>
      <c r="O286" s="829"/>
      <c r="P286" s="848">
        <v>-8.5999999999999993E-2</v>
      </c>
      <c r="Q286" s="829"/>
      <c r="R286" s="829"/>
      <c r="S286" s="829"/>
      <c r="T286" s="829"/>
      <c r="U286" s="848">
        <v>0</v>
      </c>
      <c r="V286" s="829"/>
      <c r="W286" s="829"/>
      <c r="X286" s="829"/>
      <c r="Y286" s="829"/>
      <c r="Z286" s="848">
        <v>0</v>
      </c>
      <c r="AA286" s="829"/>
      <c r="AB286" s="829"/>
      <c r="AC286" s="829"/>
      <c r="AD286" s="829"/>
      <c r="AE286" s="848">
        <v>0</v>
      </c>
      <c r="AF286" s="829"/>
      <c r="AG286" s="829"/>
      <c r="AH286" s="829"/>
      <c r="AI286" s="829"/>
      <c r="AJ286" s="848">
        <v>0</v>
      </c>
      <c r="AK286" s="829"/>
      <c r="AL286" s="829"/>
      <c r="AM286" s="829"/>
      <c r="AN286" s="829"/>
      <c r="AO286" s="848">
        <v>0</v>
      </c>
      <c r="AP286" s="829"/>
      <c r="AQ286" s="829"/>
      <c r="AR286" s="829"/>
      <c r="AS286" s="829"/>
      <c r="AT286" s="848">
        <v>-72.781000000000006</v>
      </c>
      <c r="AU286" s="829"/>
      <c r="AV286" s="829"/>
      <c r="AW286" s="829"/>
      <c r="AX286" s="829"/>
      <c r="AY286" s="848">
        <v>-90.507000000000005</v>
      </c>
      <c r="AZ286" s="829"/>
      <c r="BA286" s="829"/>
      <c r="BB286" s="829"/>
      <c r="BC286" s="829"/>
      <c r="BD286" s="848">
        <v>-62.363999999999997</v>
      </c>
      <c r="BE286" s="829"/>
      <c r="BF286" s="829"/>
      <c r="BG286" s="829"/>
      <c r="BH286" s="829"/>
      <c r="BI286" s="848">
        <v>0</v>
      </c>
      <c r="BJ286" s="829"/>
      <c r="BK286" s="829"/>
      <c r="BL286" s="829"/>
      <c r="BM286" s="829"/>
      <c r="BN286" s="848">
        <v>0</v>
      </c>
      <c r="BO286" s="829"/>
      <c r="BP286" s="829"/>
      <c r="BQ286" s="829"/>
      <c r="BR286" s="829"/>
      <c r="BS286" s="848">
        <v>0</v>
      </c>
      <c r="BT286" s="829"/>
      <c r="BU286" s="829"/>
      <c r="BV286" s="829"/>
      <c r="BW286" s="829"/>
      <c r="BX286" s="848">
        <v>-71</v>
      </c>
      <c r="BY286" s="829"/>
      <c r="BZ286" s="829"/>
      <c r="CA286" s="829"/>
      <c r="CB286" s="829"/>
      <c r="CC286" s="848">
        <v>0</v>
      </c>
      <c r="CD286" s="829">
        <v>-92</v>
      </c>
      <c r="CE286" s="829">
        <v>-331</v>
      </c>
      <c r="CF286" s="829">
        <v>-262</v>
      </c>
      <c r="CG286" s="829">
        <v>-390</v>
      </c>
      <c r="CH286" s="103">
        <v>-390</v>
      </c>
      <c r="CI286" s="829">
        <v>-389</v>
      </c>
      <c r="CJ286" s="829">
        <v>-834</v>
      </c>
      <c r="CK286" s="829">
        <v>-1118</v>
      </c>
      <c r="CL286" s="829">
        <v>-1103</v>
      </c>
      <c r="CM286" s="103">
        <v>-1103</v>
      </c>
      <c r="CN286" s="829">
        <v>-1138</v>
      </c>
      <c r="CO286" s="829">
        <v>-1116</v>
      </c>
      <c r="CP286" s="829">
        <v>-1011</v>
      </c>
      <c r="CQ286" s="829">
        <v>-1005</v>
      </c>
      <c r="CR286" s="103">
        <v>-1005</v>
      </c>
      <c r="CS286" s="829">
        <v>-996</v>
      </c>
      <c r="CT286" s="829">
        <v>-986</v>
      </c>
      <c r="CU286" s="829">
        <v>-978</v>
      </c>
      <c r="CV286" s="829">
        <v>-963</v>
      </c>
      <c r="CW286" s="103">
        <f>CV286</f>
        <v>-963</v>
      </c>
      <c r="CX286" s="829">
        <v>-945</v>
      </c>
      <c r="CY286" s="829">
        <v>-915</v>
      </c>
      <c r="CZ286" s="829">
        <v>-903</v>
      </c>
      <c r="DA286" s="829">
        <v>-891</v>
      </c>
      <c r="DB286" s="103">
        <f>DA286</f>
        <v>-891</v>
      </c>
      <c r="DC286" s="829">
        <v>-885</v>
      </c>
      <c r="DD286" s="829">
        <v>-116</v>
      </c>
      <c r="DE286" s="829">
        <v>-283</v>
      </c>
      <c r="DF286" s="829">
        <v>-324</v>
      </c>
      <c r="DG286" s="103">
        <f>DF286</f>
        <v>-324</v>
      </c>
      <c r="DH286" s="829">
        <v>-365</v>
      </c>
      <c r="DI286" s="829">
        <v>-564</v>
      </c>
      <c r="DJ286" s="829">
        <v>-609</v>
      </c>
      <c r="DK286" s="829">
        <v>-675</v>
      </c>
      <c r="DL286" s="103">
        <f>DK286</f>
        <v>-675</v>
      </c>
      <c r="DM286" s="829">
        <v>-768</v>
      </c>
      <c r="DN286" s="829">
        <v>-995</v>
      </c>
      <c r="DO286" s="829">
        <v>-1132</v>
      </c>
      <c r="DP286" s="829">
        <v>-1131</v>
      </c>
      <c r="DQ286" s="103">
        <f>DP286</f>
        <v>-1131</v>
      </c>
      <c r="DR286" s="829">
        <v>-1417</v>
      </c>
      <c r="DS286" s="829">
        <v>-1645</v>
      </c>
      <c r="DT286" s="829">
        <v>-1833</v>
      </c>
      <c r="DU286" s="829">
        <v>-2026</v>
      </c>
      <c r="DV286" s="103">
        <f>DU286</f>
        <v>-2026</v>
      </c>
      <c r="DW286" s="829">
        <v>-2322</v>
      </c>
      <c r="DX286" s="829">
        <v>-2692</v>
      </c>
      <c r="DY286" s="829">
        <v>-3189</v>
      </c>
      <c r="DZ286" s="829">
        <v>-3182</v>
      </c>
      <c r="EA286" s="103">
        <f>DZ286</f>
        <v>-3182</v>
      </c>
      <c r="EB286" s="829">
        <v>-3677</v>
      </c>
      <c r="EC286" s="829">
        <v>-4373</v>
      </c>
      <c r="ED286" s="829">
        <v>-4621</v>
      </c>
      <c r="EE286" s="829">
        <v>-4872</v>
      </c>
      <c r="EF286" s="103">
        <f>EE286</f>
        <v>-4872</v>
      </c>
      <c r="EG286" s="829">
        <v>-5419</v>
      </c>
      <c r="EH286" s="829">
        <v>-5815</v>
      </c>
      <c r="EI286" s="829">
        <v>-6114</v>
      </c>
      <c r="EJ286" s="829">
        <v>-6462</v>
      </c>
      <c r="EK286" s="103">
        <f>EJ286</f>
        <v>-6462</v>
      </c>
      <c r="EL286" s="829">
        <v>-5419</v>
      </c>
      <c r="EM286" s="829">
        <v>-5815</v>
      </c>
      <c r="EN286" s="829">
        <v>-6114</v>
      </c>
      <c r="EO286" s="829">
        <v>-6462</v>
      </c>
      <c r="EP286" s="103">
        <f>EO286</f>
        <v>-6462</v>
      </c>
      <c r="EQ286" s="191">
        <f>EO286+Model!EQ230</f>
        <v>-7150.8571278001864</v>
      </c>
      <c r="ER286" s="191">
        <f>EQ286+Model!ER230</f>
        <v>-7844.5793090654643</v>
      </c>
      <c r="ES286" s="191">
        <f>ER286+Model!ES230</f>
        <v>-8543.2009032359219</v>
      </c>
      <c r="ET286" s="191">
        <f>ES286+Model!ET230</f>
        <v>-9246.7565124152152</v>
      </c>
      <c r="EU286" s="103">
        <f>ET286</f>
        <v>-9246.7565124152152</v>
      </c>
      <c r="EV286" s="191"/>
      <c r="EW286" s="191"/>
      <c r="EX286" s="191"/>
      <c r="EY286" s="191"/>
      <c r="EZ286" s="103">
        <f>EU286+Model!EZ230</f>
        <v>-12480.891174428947</v>
      </c>
      <c r="FA286" s="191"/>
      <c r="FB286" s="191"/>
      <c r="FC286" s="191"/>
      <c r="FD286" s="191"/>
      <c r="FE286" s="103">
        <f>EZ286+Model!FE230</f>
        <v>-15771.623193027921</v>
      </c>
      <c r="FF286" s="33"/>
      <c r="FG286" s="460"/>
      <c r="FL286" s="425"/>
      <c r="FM286" s="425"/>
      <c r="FN286" s="384"/>
      <c r="FO286" s="384"/>
      <c r="FP286" s="384"/>
      <c r="FQ286" s="384"/>
      <c r="FR286" s="384"/>
      <c r="FS286" s="384"/>
      <c r="FT286" s="460"/>
    </row>
    <row r="287" spans="1:183" ht="12.75" customHeight="1" x14ac:dyDescent="0.2">
      <c r="A287" s="72" t="s">
        <v>464</v>
      </c>
      <c r="B287" s="233"/>
      <c r="C287" s="233"/>
      <c r="D287" s="233"/>
      <c r="E287" s="233"/>
      <c r="F287" s="276"/>
      <c r="G287" s="233"/>
      <c r="H287" s="233"/>
      <c r="I287" s="233"/>
      <c r="J287" s="233"/>
      <c r="K287" s="276"/>
      <c r="L287" s="233"/>
      <c r="M287" s="233"/>
      <c r="N287" s="233"/>
      <c r="O287" s="233"/>
      <c r="P287" s="295">
        <f>879.622-0.086</f>
        <v>879.53599999999994</v>
      </c>
      <c r="Q287" s="233"/>
      <c r="R287" s="233"/>
      <c r="S287" s="233"/>
      <c r="T287" s="233"/>
      <c r="U287" s="295">
        <v>1054.019</v>
      </c>
      <c r="V287" s="233"/>
      <c r="W287" s="233"/>
      <c r="X287" s="233"/>
      <c r="Y287" s="233"/>
      <c r="Z287" s="295">
        <v>1238.7059999999999</v>
      </c>
      <c r="AA287" s="233"/>
      <c r="AB287" s="233"/>
      <c r="AC287" s="233"/>
      <c r="AD287" s="233"/>
      <c r="AE287" s="295">
        <v>1427.318</v>
      </c>
      <c r="AF287" s="233"/>
      <c r="AG287" s="233"/>
      <c r="AH287" s="233"/>
      <c r="AI287" s="233"/>
      <c r="AJ287" s="295">
        <v>1648.3119999999999</v>
      </c>
      <c r="AK287" s="233"/>
      <c r="AL287" s="233"/>
      <c r="AM287" s="233"/>
      <c r="AN287" s="233"/>
      <c r="AO287" s="295">
        <v>2009.018</v>
      </c>
      <c r="AP287" s="233"/>
      <c r="AQ287" s="233"/>
      <c r="AR287" s="233"/>
      <c r="AS287" s="233"/>
      <c r="AT287" s="295">
        <v>2397.9180000000001</v>
      </c>
      <c r="AU287" s="233"/>
      <c r="AV287" s="233"/>
      <c r="AW287" s="233"/>
      <c r="AX287" s="233"/>
      <c r="AY287" s="295">
        <v>2835.788</v>
      </c>
      <c r="AZ287" s="233"/>
      <c r="BA287" s="233"/>
      <c r="BB287" s="233"/>
      <c r="BC287" s="233"/>
      <c r="BD287" s="295">
        <v>3451.32</v>
      </c>
      <c r="BE287" s="233"/>
      <c r="BF287" s="233"/>
      <c r="BG287" s="233"/>
      <c r="BH287" s="233"/>
      <c r="BI287" s="295">
        <v>4014.0529999999999</v>
      </c>
      <c r="BJ287" s="233"/>
      <c r="BK287" s="233"/>
      <c r="BL287" s="233"/>
      <c r="BM287" s="233"/>
      <c r="BN287" s="295">
        <f>SUM(BN282:BN286)</f>
        <v>4421.6170000000002</v>
      </c>
      <c r="BO287" s="233"/>
      <c r="BP287" s="233"/>
      <c r="BQ287" s="233"/>
      <c r="BR287" s="233"/>
      <c r="BS287" s="295">
        <f>SUM(BS282:BS286)</f>
        <v>5052</v>
      </c>
      <c r="BT287" s="233"/>
      <c r="BU287" s="233"/>
      <c r="BV287" s="233"/>
      <c r="BW287" s="233"/>
      <c r="BX287" s="295">
        <f>SUM(BX282:BX286)</f>
        <v>5524</v>
      </c>
      <c r="BY287" s="233"/>
      <c r="BZ287" s="233"/>
      <c r="CA287" s="233"/>
      <c r="CB287" s="233"/>
      <c r="CC287" s="295">
        <f t="shared" ref="CC287:DV287" si="1168">SUM(CC282:CC286)</f>
        <v>6675</v>
      </c>
      <c r="CD287" s="233">
        <f t="shared" si="1168"/>
        <v>6765</v>
      </c>
      <c r="CE287" s="233">
        <f t="shared" si="1168"/>
        <v>6953</v>
      </c>
      <c r="CF287" s="233">
        <f t="shared" si="1168"/>
        <v>6624</v>
      </c>
      <c r="CG287" s="233">
        <f t="shared" si="1168"/>
        <v>6449</v>
      </c>
      <c r="CH287" s="295">
        <f t="shared" si="1168"/>
        <v>6449</v>
      </c>
      <c r="CI287" s="233">
        <f t="shared" si="1168"/>
        <v>6554</v>
      </c>
      <c r="CJ287" s="233">
        <f t="shared" si="1168"/>
        <v>6427</v>
      </c>
      <c r="CK287" s="233">
        <f t="shared" si="1168"/>
        <v>6269</v>
      </c>
      <c r="CL287" s="233">
        <f t="shared" si="1168"/>
        <v>6941</v>
      </c>
      <c r="CM287" s="295">
        <f t="shared" si="1168"/>
        <v>6941</v>
      </c>
      <c r="CN287" s="233">
        <f t="shared" si="1168"/>
        <v>7185</v>
      </c>
      <c r="CO287" s="233">
        <f t="shared" si="1168"/>
        <v>8730</v>
      </c>
      <c r="CP287" s="233">
        <f t="shared" si="1168"/>
        <v>7064</v>
      </c>
      <c r="CQ287" s="233">
        <f t="shared" si="1168"/>
        <v>4953</v>
      </c>
      <c r="CR287" s="295">
        <f t="shared" si="1168"/>
        <v>4953</v>
      </c>
      <c r="CS287" s="233">
        <f t="shared" si="1168"/>
        <v>5237.6359999999995</v>
      </c>
      <c r="CT287" s="233">
        <f t="shared" si="1168"/>
        <v>5553.77</v>
      </c>
      <c r="CU287" s="233">
        <f t="shared" si="1168"/>
        <v>5631.8130000000001</v>
      </c>
      <c r="CV287" s="233">
        <f t="shared" si="1168"/>
        <v>5955.9430000000002</v>
      </c>
      <c r="CW287" s="295">
        <f t="shared" si="1168"/>
        <v>5955.9430000000002</v>
      </c>
      <c r="CX287" s="233">
        <f>SUM(CX282:CX286)</f>
        <v>6023.6850000000004</v>
      </c>
      <c r="CY287" s="233">
        <f>SUM(CY282:CY286)</f>
        <v>6032.08</v>
      </c>
      <c r="CZ287" s="233">
        <f>SUM(CZ282:CZ286)</f>
        <v>6465.1760000000004</v>
      </c>
      <c r="DA287" s="233">
        <f>SUM(DA282:DA286)</f>
        <v>6776.3580000000002</v>
      </c>
      <c r="DB287" s="295">
        <f t="shared" si="1168"/>
        <v>6776.3580000000002</v>
      </c>
      <c r="DC287" s="233">
        <f>SUM(DC282:DC286)</f>
        <v>7121.7179999999998</v>
      </c>
      <c r="DD287" s="233">
        <f>SUM(DD282:DD286)</f>
        <v>7202</v>
      </c>
      <c r="DE287" s="233">
        <f>SUM(DE282:DE286)</f>
        <v>6485</v>
      </c>
      <c r="DF287" s="233">
        <f>SUM(DF282:DF286)</f>
        <v>6877</v>
      </c>
      <c r="DG287" s="295">
        <f t="shared" si="1168"/>
        <v>6877</v>
      </c>
      <c r="DH287" s="233">
        <f t="shared" si="1168"/>
        <v>7097</v>
      </c>
      <c r="DI287" s="233">
        <f t="shared" si="1168"/>
        <v>6840</v>
      </c>
      <c r="DJ287" s="233">
        <f t="shared" si="1168"/>
        <v>7002</v>
      </c>
      <c r="DK287" s="233">
        <f t="shared" si="1168"/>
        <v>6992</v>
      </c>
      <c r="DL287" s="295">
        <f t="shared" si="1168"/>
        <v>6992</v>
      </c>
      <c r="DM287" s="233">
        <f t="shared" si="1168"/>
        <v>6961</v>
      </c>
      <c r="DN287" s="233">
        <f t="shared" si="1168"/>
        <v>6781</v>
      </c>
      <c r="DO287" s="233">
        <f t="shared" si="1168"/>
        <v>7013</v>
      </c>
      <c r="DP287" s="233">
        <f t="shared" si="1168"/>
        <v>7336</v>
      </c>
      <c r="DQ287" s="295">
        <f t="shared" si="1168"/>
        <v>7336</v>
      </c>
      <c r="DR287" s="233">
        <f t="shared" si="1168"/>
        <v>7190</v>
      </c>
      <c r="DS287" s="233">
        <f>SUM(DS282:DS286)</f>
        <v>7516</v>
      </c>
      <c r="DT287" s="233">
        <f>SUM(DT282:DT286)</f>
        <v>7429</v>
      </c>
      <c r="DU287" s="233">
        <f>SUM(DU282:DU286)</f>
        <v>6775</v>
      </c>
      <c r="DV287" s="295">
        <f t="shared" si="1168"/>
        <v>6775</v>
      </c>
      <c r="DW287" s="233">
        <f t="shared" ref="DW287:ET287" si="1169">SUM(DW282:DW286)</f>
        <v>6902</v>
      </c>
      <c r="DX287" s="233">
        <f t="shared" si="1169"/>
        <v>7158</v>
      </c>
      <c r="DY287" s="233">
        <f t="shared" si="1169"/>
        <v>6968</v>
      </c>
      <c r="DZ287" s="233">
        <f t="shared" si="1169"/>
        <v>7358</v>
      </c>
      <c r="EA287" s="295">
        <f t="shared" si="1169"/>
        <v>7358</v>
      </c>
      <c r="EB287" s="233">
        <f>SUM(EB282:EB286)</f>
        <v>7496</v>
      </c>
      <c r="EC287" s="233">
        <f>SUM(EC282:EC286)</f>
        <v>7821</v>
      </c>
      <c r="ED287" s="233">
        <f>SUM(ED282:ED286)</f>
        <v>8047</v>
      </c>
      <c r="EE287" s="233">
        <f>SUM(EE282:EE286)</f>
        <v>8441</v>
      </c>
      <c r="EF287" s="295">
        <f>SUM(EF282:EF286)</f>
        <v>8441</v>
      </c>
      <c r="EG287" s="233">
        <f t="shared" ref="EG287:EJ287" si="1170">SUM(EG282:EG286)</f>
        <v>8204</v>
      </c>
      <c r="EH287" s="233">
        <f t="shared" si="1170"/>
        <v>8530</v>
      </c>
      <c r="EI287" s="233">
        <f t="shared" si="1170"/>
        <v>8800</v>
      </c>
      <c r="EJ287" s="233">
        <f t="shared" si="1170"/>
        <v>10430</v>
      </c>
      <c r="EK287" s="295">
        <f t="shared" si="1169"/>
        <v>10430</v>
      </c>
      <c r="EL287" s="233">
        <f t="shared" si="1169"/>
        <v>8204</v>
      </c>
      <c r="EM287" s="233">
        <f t="shared" si="1169"/>
        <v>8530</v>
      </c>
      <c r="EN287" s="233">
        <f t="shared" si="1169"/>
        <v>8800</v>
      </c>
      <c r="EO287" s="233">
        <f t="shared" si="1169"/>
        <v>9641</v>
      </c>
      <c r="EP287" s="295">
        <f t="shared" ref="EP287" si="1171">SUM(EP282:EP286)</f>
        <v>9641</v>
      </c>
      <c r="EQ287" s="233">
        <f t="shared" si="1169"/>
        <v>9238.4408981205088</v>
      </c>
      <c r="ER287" s="233">
        <f t="shared" si="1169"/>
        <v>9343.9894629828723</v>
      </c>
      <c r="ES287" s="233">
        <f t="shared" si="1169"/>
        <v>9300.1183403022496</v>
      </c>
      <c r="ET287" s="233">
        <f t="shared" si="1169"/>
        <v>9286.8811323466016</v>
      </c>
      <c r="EU287" s="295">
        <f t="shared" ref="EU287" si="1172">SUM(EU282:EU286)</f>
        <v>9286.8811323466016</v>
      </c>
      <c r="EV287" s="233"/>
      <c r="EW287" s="233"/>
      <c r="EX287" s="233"/>
      <c r="EY287" s="233"/>
      <c r="EZ287" s="295">
        <f>SUM(EZ282:EZ286)</f>
        <v>8919.4805529843434</v>
      </c>
      <c r="FA287" s="233"/>
      <c r="FB287" s="233"/>
      <c r="FC287" s="233"/>
      <c r="FD287" s="233"/>
      <c r="FE287" s="295">
        <f>SUM(FE282:FE286)</f>
        <v>8974.2263784111638</v>
      </c>
      <c r="FF287" s="55"/>
      <c r="FG287" s="467"/>
      <c r="FL287" s="376"/>
      <c r="FM287" s="376"/>
      <c r="FN287" s="377"/>
      <c r="FO287" s="377"/>
      <c r="FP287" s="377"/>
      <c r="FQ287" s="377"/>
      <c r="FR287" s="377"/>
      <c r="FS287" s="377"/>
      <c r="FT287" s="467"/>
    </row>
    <row r="288" spans="1:183" ht="12.75" customHeight="1" x14ac:dyDescent="0.2">
      <c r="A288" s="72" t="s">
        <v>408</v>
      </c>
      <c r="B288" s="233"/>
      <c r="C288" s="233"/>
      <c r="D288" s="233"/>
      <c r="E288" s="233"/>
      <c r="F288" s="276"/>
      <c r="G288" s="233"/>
      <c r="H288" s="233"/>
      <c r="I288" s="233"/>
      <c r="J288" s="233"/>
      <c r="K288" s="276"/>
      <c r="L288" s="233"/>
      <c r="M288" s="233"/>
      <c r="N288" s="233"/>
      <c r="O288" s="233"/>
      <c r="P288" s="853">
        <f>P280+P287</f>
        <v>2368.8560000000002</v>
      </c>
      <c r="Q288" s="233"/>
      <c r="R288" s="233"/>
      <c r="S288" s="233"/>
      <c r="T288" s="233"/>
      <c r="U288" s="853">
        <f>U280+U287</f>
        <v>2576.0370000000003</v>
      </c>
      <c r="V288" s="233"/>
      <c r="W288" s="233"/>
      <c r="X288" s="233"/>
      <c r="Y288" s="233"/>
      <c r="Z288" s="853">
        <f>Z280+Z287</f>
        <v>2823.0709999999999</v>
      </c>
      <c r="AA288" s="233"/>
      <c r="AB288" s="233"/>
      <c r="AC288" s="233"/>
      <c r="AD288" s="233"/>
      <c r="AE288" s="853">
        <f>AE280+AE287</f>
        <v>3256.1220000000003</v>
      </c>
      <c r="AF288" s="233"/>
      <c r="AG288" s="233"/>
      <c r="AH288" s="233"/>
      <c r="AI288" s="233"/>
      <c r="AJ288" s="853">
        <f>AJ280+AJ287</f>
        <v>3723.4790000000003</v>
      </c>
      <c r="AK288" s="233"/>
      <c r="AL288" s="233"/>
      <c r="AM288" s="233"/>
      <c r="AN288" s="233"/>
      <c r="AO288" s="853">
        <f>AO280+AO287</f>
        <v>4246.16</v>
      </c>
      <c r="AP288" s="233"/>
      <c r="AQ288" s="233"/>
      <c r="AR288" s="233"/>
      <c r="AS288" s="233"/>
      <c r="AT288" s="853">
        <f>AT280+AT287</f>
        <v>4715.9960000000001</v>
      </c>
      <c r="AU288" s="233"/>
      <c r="AV288" s="233"/>
      <c r="AW288" s="233"/>
      <c r="AX288" s="233"/>
      <c r="AY288" s="853">
        <f>AY280+AY287</f>
        <v>5653.7030000000004</v>
      </c>
      <c r="AZ288" s="233"/>
      <c r="BA288" s="233"/>
      <c r="BB288" s="233"/>
      <c r="BC288" s="233"/>
      <c r="BD288" s="853">
        <f>BD280+BD287</f>
        <v>6669.5720000000001</v>
      </c>
      <c r="BE288" s="233"/>
      <c r="BF288" s="233"/>
      <c r="BG288" s="233"/>
      <c r="BH288" s="233"/>
      <c r="BI288" s="853">
        <f>BI280+BI287</f>
        <v>8997.1409999999996</v>
      </c>
      <c r="BJ288" s="233"/>
      <c r="BK288" s="233"/>
      <c r="BL288" s="233"/>
      <c r="BM288" s="233"/>
      <c r="BN288" s="853">
        <f>BN280+BN287</f>
        <v>8953.75</v>
      </c>
      <c r="BO288" s="233"/>
      <c r="BP288" s="233"/>
      <c r="BQ288" s="233"/>
      <c r="BR288" s="233"/>
      <c r="BS288" s="853">
        <f>BS280+BS287</f>
        <v>9878</v>
      </c>
      <c r="BT288" s="233"/>
      <c r="BU288" s="233"/>
      <c r="BV288" s="233"/>
      <c r="BW288" s="233"/>
      <c r="BX288" s="853">
        <f>BX280+BX287</f>
        <v>11337</v>
      </c>
      <c r="BY288" s="233"/>
      <c r="BZ288" s="233"/>
      <c r="CA288" s="233"/>
      <c r="CB288" s="233"/>
      <c r="CC288" s="853">
        <f t="shared" ref="CC288:DV288" si="1173">CC280+CC287</f>
        <v>14218</v>
      </c>
      <c r="CD288" s="233">
        <f t="shared" si="1173"/>
        <v>14723</v>
      </c>
      <c r="CE288" s="233">
        <f t="shared" si="1173"/>
        <v>15344</v>
      </c>
      <c r="CF288" s="233">
        <f t="shared" si="1173"/>
        <v>14087</v>
      </c>
      <c r="CG288" s="233">
        <f t="shared" si="1173"/>
        <v>13460</v>
      </c>
      <c r="CH288" s="295">
        <f t="shared" si="1173"/>
        <v>13460</v>
      </c>
      <c r="CI288" s="233">
        <f t="shared" si="1173"/>
        <v>14238</v>
      </c>
      <c r="CJ288" s="233">
        <f t="shared" si="1173"/>
        <v>14853</v>
      </c>
      <c r="CK288" s="233">
        <f t="shared" si="1173"/>
        <v>14524</v>
      </c>
      <c r="CL288" s="233">
        <f t="shared" si="1173"/>
        <v>16772</v>
      </c>
      <c r="CM288" s="295">
        <f t="shared" si="1173"/>
        <v>16772</v>
      </c>
      <c r="CN288" s="233">
        <f t="shared" si="1173"/>
        <v>18031</v>
      </c>
      <c r="CO288" s="233">
        <f t="shared" si="1173"/>
        <v>23262</v>
      </c>
      <c r="CP288" s="233">
        <f t="shared" si="1173"/>
        <v>18175</v>
      </c>
      <c r="CQ288" s="233">
        <f t="shared" si="1173"/>
        <v>14068</v>
      </c>
      <c r="CR288" s="295">
        <f t="shared" si="1173"/>
        <v>14068</v>
      </c>
      <c r="CS288" s="233">
        <f t="shared" si="1173"/>
        <v>16277.775999999998</v>
      </c>
      <c r="CT288" s="233">
        <f t="shared" si="1173"/>
        <v>16136.504000000001</v>
      </c>
      <c r="CU288" s="233">
        <f t="shared" si="1173"/>
        <v>16257.03</v>
      </c>
      <c r="CV288" s="233">
        <f t="shared" si="1173"/>
        <v>16553.171999999999</v>
      </c>
      <c r="CW288" s="295">
        <f t="shared" si="1173"/>
        <v>16553.171999999999</v>
      </c>
      <c r="CX288" s="233">
        <f>CX280+CX287</f>
        <v>16815.822</v>
      </c>
      <c r="CY288" s="233">
        <f>CY280+CY287</f>
        <v>17244.171000000002</v>
      </c>
      <c r="CZ288" s="233">
        <f>CZ280+CZ287</f>
        <v>17320.126</v>
      </c>
      <c r="DA288" s="233">
        <f>DA280+DA287</f>
        <v>17642.347999999998</v>
      </c>
      <c r="DB288" s="295">
        <f t="shared" si="1173"/>
        <v>17642.348000000002</v>
      </c>
      <c r="DC288" s="233">
        <f>DC280+DC287</f>
        <v>18729.900000000001</v>
      </c>
      <c r="DD288" s="233">
        <f>DD280+DD287</f>
        <v>18945</v>
      </c>
      <c r="DE288" s="233">
        <f>DE280+DE287</f>
        <v>17885</v>
      </c>
      <c r="DF288" s="233">
        <f>DF280+DF287</f>
        <v>18068</v>
      </c>
      <c r="DG288" s="295">
        <f t="shared" si="1173"/>
        <v>18068</v>
      </c>
      <c r="DH288" s="233">
        <f t="shared" si="1173"/>
        <v>18826</v>
      </c>
      <c r="DI288" s="233">
        <f t="shared" si="1173"/>
        <v>18516</v>
      </c>
      <c r="DJ288" s="233">
        <f t="shared" si="1173"/>
        <v>18813</v>
      </c>
      <c r="DK288" s="233">
        <f t="shared" si="1173"/>
        <v>18596</v>
      </c>
      <c r="DL288" s="295">
        <f t="shared" si="1173"/>
        <v>18596</v>
      </c>
      <c r="DM288" s="233">
        <f t="shared" si="1173"/>
        <v>19197</v>
      </c>
      <c r="DN288" s="233">
        <f t="shared" si="1173"/>
        <v>19382</v>
      </c>
      <c r="DO288" s="233">
        <f t="shared" si="1173"/>
        <v>19364</v>
      </c>
      <c r="DP288" s="233">
        <f t="shared" si="1173"/>
        <v>19345</v>
      </c>
      <c r="DQ288" s="295">
        <f t="shared" si="1173"/>
        <v>19345</v>
      </c>
      <c r="DR288" s="233">
        <f t="shared" si="1173"/>
        <v>19976</v>
      </c>
      <c r="DS288" s="233">
        <f>DS280+DS287</f>
        <v>20891</v>
      </c>
      <c r="DT288" s="233">
        <f>DT280+DT287</f>
        <v>20539</v>
      </c>
      <c r="DU288" s="233">
        <f>DU280+DU287</f>
        <v>20200</v>
      </c>
      <c r="DV288" s="295">
        <f t="shared" si="1173"/>
        <v>20200</v>
      </c>
      <c r="DW288" s="233">
        <f t="shared" ref="DW288:ET288" si="1174">DW280+DW287</f>
        <v>21163</v>
      </c>
      <c r="DX288" s="233">
        <f t="shared" si="1174"/>
        <v>21075</v>
      </c>
      <c r="DY288" s="233">
        <f t="shared" si="1174"/>
        <v>21159</v>
      </c>
      <c r="DZ288" s="233">
        <f t="shared" si="1174"/>
        <v>21312</v>
      </c>
      <c r="EA288" s="295">
        <f t="shared" si="1174"/>
        <v>21312</v>
      </c>
      <c r="EB288" s="233">
        <f>EB280+EB287</f>
        <v>22241</v>
      </c>
      <c r="EC288" s="233">
        <f>EC280+EC287</f>
        <v>22447</v>
      </c>
      <c r="ED288" s="233">
        <f>ED280+ED287</f>
        <v>23045</v>
      </c>
      <c r="EE288" s="233">
        <f>EE280+EE287</f>
        <v>23286</v>
      </c>
      <c r="EF288" s="295">
        <f>EF280+EF287</f>
        <v>23286</v>
      </c>
      <c r="EG288" s="233">
        <f t="shared" ref="EG288:EJ288" si="1175">EG280+EG287</f>
        <v>23763</v>
      </c>
      <c r="EH288" s="233">
        <f t="shared" si="1175"/>
        <v>23921</v>
      </c>
      <c r="EI288" s="233">
        <f t="shared" si="1175"/>
        <v>24249</v>
      </c>
      <c r="EJ288" s="233">
        <f t="shared" si="1175"/>
        <v>25110</v>
      </c>
      <c r="EK288" s="295">
        <f t="shared" si="1174"/>
        <v>25110</v>
      </c>
      <c r="EL288" s="233">
        <f t="shared" si="1174"/>
        <v>23763</v>
      </c>
      <c r="EM288" s="233">
        <f t="shared" si="1174"/>
        <v>23921</v>
      </c>
      <c r="EN288" s="233">
        <f t="shared" si="1174"/>
        <v>24249</v>
      </c>
      <c r="EO288" s="233">
        <f t="shared" si="1174"/>
        <v>25110</v>
      </c>
      <c r="EP288" s="295">
        <f t="shared" ref="EP288" si="1176">EP280+EP287</f>
        <v>25110</v>
      </c>
      <c r="EQ288" s="233">
        <f t="shared" si="1174"/>
        <v>25619.056824430612</v>
      </c>
      <c r="ER288" s="233">
        <f t="shared" si="1174"/>
        <v>25564.968622253175</v>
      </c>
      <c r="ES288" s="233">
        <f t="shared" si="1174"/>
        <v>25601.316525290844</v>
      </c>
      <c r="ET288" s="233">
        <f t="shared" si="1174"/>
        <v>25725.511350729874</v>
      </c>
      <c r="EU288" s="295">
        <f t="shared" ref="EU288" si="1177">EU280+EU287</f>
        <v>25725.511350729874</v>
      </c>
      <c r="EV288" s="233"/>
      <c r="EW288" s="233"/>
      <c r="EX288" s="233"/>
      <c r="EY288" s="233"/>
      <c r="EZ288" s="295">
        <f>EZ280+EZ287</f>
        <v>26170.056525100004</v>
      </c>
      <c r="FA288" s="233"/>
      <c r="FB288" s="233"/>
      <c r="FC288" s="233"/>
      <c r="FD288" s="233"/>
      <c r="FE288" s="295">
        <f>FE280+FE287</f>
        <v>27074.336884999197</v>
      </c>
      <c r="FF288" s="55"/>
      <c r="FG288" s="467"/>
      <c r="FL288" s="376"/>
      <c r="FM288" s="376"/>
      <c r="FN288" s="377"/>
      <c r="FO288" s="377"/>
      <c r="FP288" s="377"/>
      <c r="FQ288" s="377"/>
      <c r="FR288" s="377"/>
      <c r="FS288" s="377"/>
      <c r="FT288" s="467"/>
    </row>
    <row r="289" spans="1:183" ht="12.75" customHeight="1" x14ac:dyDescent="0.2">
      <c r="A289" s="38" t="s">
        <v>409</v>
      </c>
      <c r="B289" s="756"/>
      <c r="C289" s="756"/>
      <c r="D289" s="756"/>
      <c r="E289" s="756"/>
      <c r="F289" s="266"/>
      <c r="G289" s="756"/>
      <c r="H289" s="756"/>
      <c r="I289" s="756"/>
      <c r="J289" s="756"/>
      <c r="K289" s="266"/>
      <c r="L289" s="756"/>
      <c r="M289" s="756"/>
      <c r="N289" s="756"/>
      <c r="O289" s="756"/>
      <c r="P289" s="103">
        <f>P288-P265</f>
        <v>0</v>
      </c>
      <c r="Q289" s="756"/>
      <c r="R289" s="756"/>
      <c r="S289" s="756"/>
      <c r="T289" s="756"/>
      <c r="U289" s="103">
        <f>U288-U265</f>
        <v>0</v>
      </c>
      <c r="V289" s="756"/>
      <c r="W289" s="756"/>
      <c r="X289" s="756"/>
      <c r="Y289" s="756"/>
      <c r="Z289" s="103">
        <f>Z288-Z265</f>
        <v>0</v>
      </c>
      <c r="AA289" s="756"/>
      <c r="AB289" s="756"/>
      <c r="AC289" s="756"/>
      <c r="AD289" s="756"/>
      <c r="AE289" s="103">
        <f>AE288-AE265</f>
        <v>0</v>
      </c>
      <c r="AF289" s="756"/>
      <c r="AG289" s="756"/>
      <c r="AH289" s="756"/>
      <c r="AI289" s="756"/>
      <c r="AJ289" s="103">
        <f>AJ288-AJ265</f>
        <v>0</v>
      </c>
      <c r="AK289" s="756"/>
      <c r="AL289" s="756"/>
      <c r="AM289" s="756"/>
      <c r="AN289" s="756"/>
      <c r="AO289" s="103">
        <f>AO288-AO265</f>
        <v>0</v>
      </c>
      <c r="AP289" s="756"/>
      <c r="AQ289" s="756"/>
      <c r="AR289" s="756"/>
      <c r="AS289" s="756"/>
      <c r="AT289" s="103">
        <f>AT288-AT265</f>
        <v>0</v>
      </c>
      <c r="AU289" s="756"/>
      <c r="AV289" s="756"/>
      <c r="AW289" s="756"/>
      <c r="AX289" s="756"/>
      <c r="AY289" s="103">
        <f>AY288-AY265</f>
        <v>0</v>
      </c>
      <c r="AZ289" s="756"/>
      <c r="BA289" s="756"/>
      <c r="BB289" s="756"/>
      <c r="BC289" s="756"/>
      <c r="BD289" s="103">
        <f>BD288-BD265</f>
        <v>0</v>
      </c>
      <c r="BE289" s="756"/>
      <c r="BF289" s="756"/>
      <c r="BG289" s="756"/>
      <c r="BH289" s="756"/>
      <c r="BI289" s="103">
        <f>BI288-BI265</f>
        <v>0</v>
      </c>
      <c r="BJ289" s="756"/>
      <c r="BK289" s="756"/>
      <c r="BL289" s="756"/>
      <c r="BM289" s="756"/>
      <c r="BN289" s="103">
        <f>BN288-BN265</f>
        <v>0</v>
      </c>
      <c r="BO289" s="756"/>
      <c r="BP289" s="756"/>
      <c r="BQ289" s="756"/>
      <c r="BR289" s="756"/>
      <c r="BS289" s="103">
        <f>BS288-BS265</f>
        <v>0</v>
      </c>
      <c r="BT289" s="756"/>
      <c r="BU289" s="756"/>
      <c r="BV289" s="756"/>
      <c r="BW289" s="756"/>
      <c r="BX289" s="103">
        <f>BX288-BX265</f>
        <v>0</v>
      </c>
      <c r="BY289" s="756"/>
      <c r="BZ289" s="756"/>
      <c r="CA289" s="756"/>
      <c r="CB289" s="756"/>
      <c r="CC289" s="103">
        <f t="shared" ref="CC289:DG289" si="1178">CC288-CC265</f>
        <v>0</v>
      </c>
      <c r="CD289" s="756">
        <f t="shared" si="1178"/>
        <v>0</v>
      </c>
      <c r="CE289" s="756">
        <f t="shared" si="1178"/>
        <v>0</v>
      </c>
      <c r="CF289" s="756">
        <f t="shared" si="1178"/>
        <v>0</v>
      </c>
      <c r="CG289" s="756">
        <f t="shared" si="1178"/>
        <v>0</v>
      </c>
      <c r="CH289" s="103">
        <f t="shared" si="1178"/>
        <v>0</v>
      </c>
      <c r="CI289" s="756">
        <f t="shared" si="1178"/>
        <v>0</v>
      </c>
      <c r="CJ289" s="756">
        <f t="shared" si="1178"/>
        <v>0</v>
      </c>
      <c r="CK289" s="756">
        <f t="shared" si="1178"/>
        <v>0</v>
      </c>
      <c r="CL289" s="756">
        <f t="shared" si="1178"/>
        <v>0</v>
      </c>
      <c r="CM289" s="103">
        <f t="shared" si="1178"/>
        <v>0</v>
      </c>
      <c r="CN289" s="756">
        <f t="shared" si="1178"/>
        <v>0</v>
      </c>
      <c r="CO289" s="756">
        <f t="shared" si="1178"/>
        <v>0</v>
      </c>
      <c r="CP289" s="756">
        <f t="shared" si="1178"/>
        <v>0</v>
      </c>
      <c r="CQ289" s="756">
        <f t="shared" si="1178"/>
        <v>0</v>
      </c>
      <c r="CR289" s="103">
        <f t="shared" si="1178"/>
        <v>0</v>
      </c>
      <c r="CS289" s="756">
        <f t="shared" si="1178"/>
        <v>0</v>
      </c>
      <c r="CT289" s="756">
        <f t="shared" si="1178"/>
        <v>0</v>
      </c>
      <c r="CU289" s="756">
        <f t="shared" si="1178"/>
        <v>0</v>
      </c>
      <c r="CV289" s="756">
        <f t="shared" si="1178"/>
        <v>0</v>
      </c>
      <c r="CW289" s="103">
        <f t="shared" si="1178"/>
        <v>0</v>
      </c>
      <c r="CX289" s="756">
        <f t="shared" si="1178"/>
        <v>0</v>
      </c>
      <c r="CY289" s="756">
        <f t="shared" si="1178"/>
        <v>0</v>
      </c>
      <c r="CZ289" s="756">
        <f t="shared" si="1178"/>
        <v>0</v>
      </c>
      <c r="DA289" s="756">
        <f t="shared" si="1178"/>
        <v>0</v>
      </c>
      <c r="DB289" s="103">
        <f t="shared" si="1178"/>
        <v>0</v>
      </c>
      <c r="DC289" s="756">
        <f t="shared" si="1178"/>
        <v>0</v>
      </c>
      <c r="DD289" s="756">
        <f t="shared" si="1178"/>
        <v>0</v>
      </c>
      <c r="DE289" s="756">
        <f t="shared" si="1178"/>
        <v>0</v>
      </c>
      <c r="DF289" s="756">
        <f t="shared" si="1178"/>
        <v>0</v>
      </c>
      <c r="DG289" s="103">
        <f t="shared" si="1178"/>
        <v>0</v>
      </c>
      <c r="DH289" s="756">
        <f t="shared" ref="DH289:DQ289" si="1179">DH288-DH265</f>
        <v>0</v>
      </c>
      <c r="DI289" s="756">
        <f t="shared" si="1179"/>
        <v>0</v>
      </c>
      <c r="DJ289" s="756">
        <f t="shared" si="1179"/>
        <v>0</v>
      </c>
      <c r="DK289" s="756">
        <f t="shared" si="1179"/>
        <v>0</v>
      </c>
      <c r="DL289" s="103">
        <f t="shared" si="1179"/>
        <v>0</v>
      </c>
      <c r="DM289" s="756">
        <f t="shared" si="1179"/>
        <v>0</v>
      </c>
      <c r="DN289" s="756">
        <f t="shared" si="1179"/>
        <v>0</v>
      </c>
      <c r="DO289" s="756">
        <f t="shared" si="1179"/>
        <v>0</v>
      </c>
      <c r="DP289" s="756">
        <f t="shared" si="1179"/>
        <v>0</v>
      </c>
      <c r="DQ289" s="103">
        <f t="shared" si="1179"/>
        <v>0</v>
      </c>
      <c r="DR289" s="756">
        <f t="shared" ref="DR289:EA289" si="1180">DR288-DR265</f>
        <v>0</v>
      </c>
      <c r="DS289" s="756">
        <f t="shared" si="1180"/>
        <v>0</v>
      </c>
      <c r="DT289" s="756">
        <f t="shared" si="1180"/>
        <v>0</v>
      </c>
      <c r="DU289" s="756">
        <f t="shared" si="1180"/>
        <v>0</v>
      </c>
      <c r="DV289" s="103">
        <f t="shared" si="1180"/>
        <v>0</v>
      </c>
      <c r="DW289" s="756">
        <f>DW288-DW265</f>
        <v>0</v>
      </c>
      <c r="DX289" s="756">
        <f t="shared" si="1180"/>
        <v>0</v>
      </c>
      <c r="DY289" s="756">
        <f t="shared" si="1180"/>
        <v>0</v>
      </c>
      <c r="DZ289" s="756">
        <f t="shared" si="1180"/>
        <v>0</v>
      </c>
      <c r="EA289" s="103">
        <f t="shared" si="1180"/>
        <v>0</v>
      </c>
      <c r="EB289" s="756">
        <f t="shared" ref="EB289:ET289" si="1181">EB288-EB265</f>
        <v>0</v>
      </c>
      <c r="EC289" s="756">
        <f t="shared" si="1181"/>
        <v>0</v>
      </c>
      <c r="ED289" s="756">
        <f t="shared" si="1181"/>
        <v>0</v>
      </c>
      <c r="EE289" s="756">
        <f t="shared" si="1181"/>
        <v>0</v>
      </c>
      <c r="EF289" s="103">
        <f t="shared" si="1181"/>
        <v>0</v>
      </c>
      <c r="EG289" s="756">
        <f t="shared" ref="EG289:EJ289" si="1182">EG288-EG265</f>
        <v>0</v>
      </c>
      <c r="EH289" s="756">
        <f t="shared" si="1182"/>
        <v>0</v>
      </c>
      <c r="EI289" s="756">
        <f t="shared" si="1182"/>
        <v>0</v>
      </c>
      <c r="EJ289" s="756">
        <f t="shared" si="1182"/>
        <v>0</v>
      </c>
      <c r="EK289" s="757">
        <f t="shared" si="1181"/>
        <v>0</v>
      </c>
      <c r="EL289" s="756">
        <f t="shared" si="1181"/>
        <v>0</v>
      </c>
      <c r="EM289" s="756">
        <f t="shared" si="1181"/>
        <v>0</v>
      </c>
      <c r="EN289" s="756">
        <f t="shared" si="1181"/>
        <v>0</v>
      </c>
      <c r="EO289" s="756">
        <f t="shared" si="1181"/>
        <v>0</v>
      </c>
      <c r="EP289" s="757">
        <f t="shared" ref="EP289" si="1183">EP288-EP265</f>
        <v>0</v>
      </c>
      <c r="EQ289" s="756">
        <f t="shared" si="1181"/>
        <v>0</v>
      </c>
      <c r="ER289" s="756">
        <f t="shared" si="1181"/>
        <v>0</v>
      </c>
      <c r="ES289" s="756">
        <f t="shared" si="1181"/>
        <v>0</v>
      </c>
      <c r="ET289" s="756">
        <f t="shared" si="1181"/>
        <v>0</v>
      </c>
      <c r="EU289" s="757">
        <f t="shared" ref="EU289" si="1184">EU288-EU265</f>
        <v>0</v>
      </c>
      <c r="EV289" s="756"/>
      <c r="EW289" s="756"/>
      <c r="EX289" s="756"/>
      <c r="EY289" s="756"/>
      <c r="EZ289" s="757">
        <f>EZ288-EZ265</f>
        <v>0</v>
      </c>
      <c r="FA289" s="756"/>
      <c r="FB289" s="756"/>
      <c r="FC289" s="756"/>
      <c r="FD289" s="756"/>
      <c r="FE289" s="757">
        <f>FE288-FE265</f>
        <v>0</v>
      </c>
      <c r="FF289" s="33"/>
      <c r="FG289" s="460"/>
      <c r="FL289" s="425"/>
      <c r="FM289" s="425"/>
      <c r="FN289" s="384"/>
      <c r="FO289" s="384"/>
      <c r="FP289" s="384"/>
      <c r="FQ289" s="384"/>
      <c r="FR289" s="384"/>
      <c r="FS289" s="384"/>
      <c r="FT289" s="460"/>
    </row>
    <row r="290" spans="1:183" s="71" customFormat="1" ht="12.75" customHeight="1" x14ac:dyDescent="0.2">
      <c r="A290" s="165" t="s">
        <v>77</v>
      </c>
      <c r="B290" s="236"/>
      <c r="C290" s="236"/>
      <c r="D290" s="236"/>
      <c r="E290" s="236"/>
      <c r="F290" s="276"/>
      <c r="G290" s="236"/>
      <c r="H290" s="236"/>
      <c r="I290" s="236"/>
      <c r="J290" s="236"/>
      <c r="K290" s="276"/>
      <c r="L290" s="236"/>
      <c r="M290" s="236"/>
      <c r="N290" s="236"/>
      <c r="O290" s="236"/>
      <c r="P290" s="298"/>
      <c r="Q290" s="236"/>
      <c r="R290" s="236"/>
      <c r="S290" s="236"/>
      <c r="T290" s="236"/>
      <c r="U290" s="298"/>
      <c r="V290" s="236"/>
      <c r="W290" s="236"/>
      <c r="X290" s="236"/>
      <c r="Y290" s="236"/>
      <c r="Z290" s="298"/>
      <c r="AA290" s="236"/>
      <c r="AB290" s="236"/>
      <c r="AC290" s="236"/>
      <c r="AD290" s="236"/>
      <c r="AE290" s="298"/>
      <c r="AF290" s="236"/>
      <c r="AG290" s="236"/>
      <c r="AH290" s="236"/>
      <c r="AI290" s="236"/>
      <c r="AJ290" s="298"/>
      <c r="AK290" s="236"/>
      <c r="AL290" s="236"/>
      <c r="AM290" s="236"/>
      <c r="AN290" s="236"/>
      <c r="AO290" s="298"/>
      <c r="AP290" s="236"/>
      <c r="AQ290" s="236"/>
      <c r="AR290" s="236"/>
      <c r="AS290" s="236"/>
      <c r="AT290" s="298"/>
      <c r="AU290" s="236"/>
      <c r="AV290" s="236"/>
      <c r="AW290" s="236"/>
      <c r="AX290" s="236"/>
      <c r="AY290" s="298"/>
      <c r="AZ290" s="236"/>
      <c r="BA290" s="236"/>
      <c r="BB290" s="236"/>
      <c r="BC290" s="236"/>
      <c r="BD290" s="298"/>
      <c r="BE290" s="236"/>
      <c r="BF290" s="236"/>
      <c r="BG290" s="236"/>
      <c r="BH290" s="236"/>
      <c r="BI290" s="298"/>
      <c r="BJ290" s="236"/>
      <c r="BK290" s="236"/>
      <c r="BL290" s="236"/>
      <c r="BM290" s="236"/>
      <c r="BN290" s="298"/>
      <c r="BO290" s="236"/>
      <c r="BP290" s="236"/>
      <c r="BQ290" s="236"/>
      <c r="BR290" s="236"/>
      <c r="BS290" s="298"/>
      <c r="BT290" s="236"/>
      <c r="BU290" s="236"/>
      <c r="BV290" s="236"/>
      <c r="BW290" s="236"/>
      <c r="BX290" s="298"/>
      <c r="BY290" s="236"/>
      <c r="BZ290" s="236"/>
      <c r="CA290" s="236"/>
      <c r="CB290" s="236"/>
      <c r="CC290" s="298"/>
      <c r="CD290" s="236"/>
      <c r="CE290" s="236"/>
      <c r="CF290" s="236"/>
      <c r="CG290" s="236"/>
      <c r="CH290" s="298"/>
      <c r="CI290" s="236"/>
      <c r="CJ290" s="236"/>
      <c r="CK290" s="236"/>
      <c r="CL290" s="236"/>
      <c r="CM290" s="298"/>
      <c r="CN290" s="236"/>
      <c r="CO290" s="236"/>
      <c r="CP290" s="236"/>
      <c r="CQ290" s="236"/>
      <c r="CR290" s="298"/>
      <c r="CS290" s="236"/>
      <c r="CT290" s="236"/>
      <c r="CU290" s="236"/>
      <c r="CV290" s="236"/>
      <c r="CW290" s="298"/>
      <c r="CX290" s="236"/>
      <c r="CY290" s="236"/>
      <c r="CZ290" s="236"/>
      <c r="DA290" s="236"/>
      <c r="DB290" s="298"/>
      <c r="DC290" s="236"/>
      <c r="DD290" s="236"/>
      <c r="DE290" s="236"/>
      <c r="DF290" s="236"/>
      <c r="DG290" s="298"/>
      <c r="DH290" s="236"/>
      <c r="DI290" s="236"/>
      <c r="DJ290" s="236"/>
      <c r="DK290" s="236"/>
      <c r="DL290" s="298"/>
      <c r="DM290" s="236"/>
      <c r="DN290" s="236"/>
      <c r="DO290" s="236"/>
      <c r="DP290" s="236"/>
      <c r="DQ290" s="298"/>
      <c r="DR290" s="236"/>
      <c r="DS290" s="236"/>
      <c r="DT290" s="236"/>
      <c r="DU290" s="236"/>
      <c r="DV290" s="298"/>
      <c r="DW290" s="236"/>
      <c r="DX290" s="236"/>
      <c r="DY290" s="236"/>
      <c r="DZ290" s="236"/>
      <c r="EA290" s="298"/>
      <c r="EB290" s="236"/>
      <c r="EC290" s="236"/>
      <c r="ED290" s="236"/>
      <c r="EE290" s="236"/>
      <c r="EF290" s="298"/>
      <c r="EG290" s="236"/>
      <c r="EH290" s="236"/>
      <c r="EI290" s="236"/>
      <c r="EJ290" s="236"/>
      <c r="EK290" s="298"/>
      <c r="EL290" s="236"/>
      <c r="EM290" s="236"/>
      <c r="EN290" s="236"/>
      <c r="EO290" s="236"/>
      <c r="EP290" s="298"/>
      <c r="EQ290" s="236"/>
      <c r="ER290" s="236"/>
      <c r="ES290" s="236"/>
      <c r="ET290" s="236"/>
      <c r="EU290" s="298"/>
      <c r="EV290" s="236"/>
      <c r="EW290" s="236"/>
      <c r="EX290" s="236"/>
      <c r="EY290" s="236"/>
      <c r="EZ290" s="298"/>
      <c r="FA290" s="236"/>
      <c r="FB290" s="236"/>
      <c r="FC290" s="236"/>
      <c r="FD290" s="236"/>
      <c r="FE290" s="298"/>
      <c r="FF290" s="162"/>
      <c r="FG290" s="471"/>
      <c r="FH290" s="239"/>
      <c r="FI290" s="231"/>
      <c r="FJ290" s="231"/>
      <c r="FK290" s="231"/>
      <c r="FL290" s="431"/>
      <c r="FM290" s="431"/>
      <c r="FN290" s="391"/>
      <c r="FO290" s="391"/>
      <c r="FP290" s="391"/>
      <c r="FQ290" s="391"/>
      <c r="FR290" s="391"/>
      <c r="FS290" s="391"/>
      <c r="FT290" s="471"/>
      <c r="FU290"/>
      <c r="FV290"/>
      <c r="FW290"/>
      <c r="FX290"/>
      <c r="FY290"/>
      <c r="FZ290"/>
      <c r="GA290" s="240"/>
    </row>
    <row r="291" spans="1:183" ht="12.75" customHeight="1" x14ac:dyDescent="0.2">
      <c r="A291" s="174" t="s">
        <v>160</v>
      </c>
      <c r="B291" s="234"/>
      <c r="C291" s="234"/>
      <c r="D291" s="234"/>
      <c r="E291" s="234"/>
      <c r="F291" s="279"/>
      <c r="G291" s="234"/>
      <c r="H291" s="234"/>
      <c r="I291" s="234"/>
      <c r="J291" s="234"/>
      <c r="K291" s="279"/>
      <c r="L291" s="234"/>
      <c r="M291" s="234"/>
      <c r="N291" s="234"/>
      <c r="O291" s="234"/>
      <c r="P291" s="120">
        <v>0</v>
      </c>
      <c r="Q291" s="234">
        <v>0</v>
      </c>
      <c r="R291" s="234">
        <v>0</v>
      </c>
      <c r="S291" s="234">
        <v>0</v>
      </c>
      <c r="T291" s="234">
        <v>0</v>
      </c>
      <c r="U291" s="120">
        <v>0</v>
      </c>
      <c r="V291" s="234">
        <v>0</v>
      </c>
      <c r="W291" s="234">
        <v>0</v>
      </c>
      <c r="X291" s="234">
        <v>0</v>
      </c>
      <c r="Y291" s="234">
        <v>0</v>
      </c>
      <c r="Z291" s="120">
        <v>0</v>
      </c>
      <c r="AA291" s="234">
        <v>0</v>
      </c>
      <c r="AB291" s="234">
        <v>0</v>
      </c>
      <c r="AC291" s="234">
        <v>0</v>
      </c>
      <c r="AD291" s="234">
        <v>0</v>
      </c>
      <c r="AE291" s="120">
        <v>0</v>
      </c>
      <c r="AF291" s="234">
        <v>0</v>
      </c>
      <c r="AG291" s="234">
        <v>0</v>
      </c>
      <c r="AH291" s="234">
        <v>0</v>
      </c>
      <c r="AI291" s="234">
        <v>0</v>
      </c>
      <c r="AJ291" s="120">
        <v>0</v>
      </c>
      <c r="AK291" s="234">
        <v>0</v>
      </c>
      <c r="AL291" s="234">
        <v>0</v>
      </c>
      <c r="AM291" s="234">
        <v>0</v>
      </c>
      <c r="AN291" s="234">
        <v>0</v>
      </c>
      <c r="AO291" s="120">
        <v>0</v>
      </c>
      <c r="AP291" s="234">
        <v>0</v>
      </c>
      <c r="AQ291" s="234">
        <v>0</v>
      </c>
      <c r="AR291" s="234">
        <v>0</v>
      </c>
      <c r="AS291" s="234">
        <v>0</v>
      </c>
      <c r="AT291" s="120">
        <v>0</v>
      </c>
      <c r="AU291" s="234">
        <v>0</v>
      </c>
      <c r="AV291" s="234">
        <v>0</v>
      </c>
      <c r="AW291" s="234">
        <v>0</v>
      </c>
      <c r="AX291" s="234">
        <v>0</v>
      </c>
      <c r="AY291" s="120">
        <v>0</v>
      </c>
      <c r="AZ291" s="234">
        <v>0</v>
      </c>
      <c r="BA291" s="234">
        <v>0</v>
      </c>
      <c r="BB291" s="234">
        <v>0</v>
      </c>
      <c r="BC291" s="234">
        <v>0</v>
      </c>
      <c r="BD291" s="120">
        <v>0</v>
      </c>
      <c r="BE291" s="234">
        <v>0</v>
      </c>
      <c r="BF291" s="234">
        <v>0</v>
      </c>
      <c r="BG291" s="234">
        <v>0</v>
      </c>
      <c r="BH291" s="234">
        <v>0</v>
      </c>
      <c r="BI291" s="120">
        <v>0</v>
      </c>
      <c r="BJ291" s="234">
        <v>0</v>
      </c>
      <c r="BK291" s="234">
        <v>0</v>
      </c>
      <c r="BL291" s="234">
        <v>0</v>
      </c>
      <c r="BM291" s="234">
        <v>0</v>
      </c>
      <c r="BN291" s="120">
        <v>0</v>
      </c>
      <c r="BO291" s="234">
        <v>0</v>
      </c>
      <c r="BP291" s="234">
        <v>0</v>
      </c>
      <c r="BQ291" s="234">
        <v>0</v>
      </c>
      <c r="BR291" s="234">
        <v>0</v>
      </c>
      <c r="BS291" s="120">
        <v>0</v>
      </c>
      <c r="BT291" s="234">
        <v>0</v>
      </c>
      <c r="BU291" s="234">
        <v>0</v>
      </c>
      <c r="BV291" s="234">
        <v>0</v>
      </c>
      <c r="BW291" s="234">
        <v>0</v>
      </c>
      <c r="BX291" s="120">
        <v>0</v>
      </c>
      <c r="BY291" s="234">
        <v>0</v>
      </c>
      <c r="BZ291" s="234">
        <v>0</v>
      </c>
      <c r="CA291" s="234">
        <v>0</v>
      </c>
      <c r="CB291" s="234">
        <v>0</v>
      </c>
      <c r="CC291" s="120">
        <v>0</v>
      </c>
      <c r="CD291" s="234">
        <v>0</v>
      </c>
      <c r="CE291" s="234">
        <v>0</v>
      </c>
      <c r="CF291" s="234">
        <v>0</v>
      </c>
      <c r="CG291" s="234">
        <v>0</v>
      </c>
      <c r="CH291" s="120">
        <v>0</v>
      </c>
      <c r="CI291" s="234">
        <v>0</v>
      </c>
      <c r="CJ291" s="234">
        <v>0</v>
      </c>
      <c r="CK291" s="234">
        <v>0</v>
      </c>
      <c r="CL291" s="234">
        <v>0</v>
      </c>
      <c r="CM291" s="120">
        <v>0</v>
      </c>
      <c r="CN291" s="234">
        <v>0</v>
      </c>
      <c r="CO291" s="234">
        <v>0</v>
      </c>
      <c r="CP291" s="234">
        <v>0</v>
      </c>
      <c r="CQ291" s="234">
        <v>0</v>
      </c>
      <c r="CR291" s="120">
        <v>0</v>
      </c>
      <c r="CS291" s="234">
        <v>0</v>
      </c>
      <c r="CT291" s="234">
        <v>0</v>
      </c>
      <c r="CU291" s="234">
        <v>0</v>
      </c>
      <c r="CV291" s="234">
        <v>0</v>
      </c>
      <c r="CW291" s="120">
        <v>0</v>
      </c>
      <c r="CX291" s="234">
        <v>0</v>
      </c>
      <c r="CY291" s="234">
        <v>0</v>
      </c>
      <c r="CZ291" s="234">
        <v>0</v>
      </c>
      <c r="DA291" s="234">
        <v>0</v>
      </c>
      <c r="DB291" s="120">
        <v>0</v>
      </c>
      <c r="DC291" s="234">
        <v>0</v>
      </c>
      <c r="DD291" s="234">
        <v>0</v>
      </c>
      <c r="DE291" s="234">
        <v>0</v>
      </c>
      <c r="DF291" s="234">
        <v>0</v>
      </c>
      <c r="DG291" s="120">
        <v>0</v>
      </c>
      <c r="DH291" s="234">
        <v>0</v>
      </c>
      <c r="DI291" s="234">
        <v>0</v>
      </c>
      <c r="DJ291" s="234">
        <v>0</v>
      </c>
      <c r="DK291" s="234">
        <v>0</v>
      </c>
      <c r="DL291" s="120">
        <v>0</v>
      </c>
      <c r="DM291" s="234">
        <v>0</v>
      </c>
      <c r="DN291" s="234">
        <v>0</v>
      </c>
      <c r="DO291" s="234">
        <v>0</v>
      </c>
      <c r="DP291" s="234">
        <v>0</v>
      </c>
      <c r="DQ291" s="120">
        <v>0</v>
      </c>
      <c r="DR291" s="234">
        <v>0</v>
      </c>
      <c r="DS291" s="234">
        <v>0</v>
      </c>
      <c r="DT291" s="234">
        <v>0</v>
      </c>
      <c r="DU291" s="234">
        <v>0</v>
      </c>
      <c r="DV291" s="120">
        <v>0</v>
      </c>
      <c r="DW291" s="234">
        <v>0</v>
      </c>
      <c r="DX291" s="234">
        <v>0</v>
      </c>
      <c r="DY291" s="234">
        <v>0</v>
      </c>
      <c r="DZ291" s="234">
        <v>0</v>
      </c>
      <c r="EA291" s="120">
        <v>0</v>
      </c>
      <c r="EB291" s="234">
        <v>0</v>
      </c>
      <c r="EC291" s="234">
        <v>0</v>
      </c>
      <c r="ED291" s="234">
        <v>0</v>
      </c>
      <c r="EE291" s="234">
        <v>0</v>
      </c>
      <c r="EF291" s="120">
        <v>0</v>
      </c>
      <c r="EG291" s="234">
        <v>0</v>
      </c>
      <c r="EH291" s="234">
        <v>0</v>
      </c>
      <c r="EI291" s="234">
        <v>0</v>
      </c>
      <c r="EJ291" s="234">
        <v>0</v>
      </c>
      <c r="EK291" s="120">
        <v>0</v>
      </c>
      <c r="EL291" s="234">
        <v>0</v>
      </c>
      <c r="EM291" s="234">
        <v>0</v>
      </c>
      <c r="EN291" s="234">
        <v>0</v>
      </c>
      <c r="EO291" s="234">
        <v>0</v>
      </c>
      <c r="EP291" s="120">
        <v>0</v>
      </c>
      <c r="EQ291" s="235">
        <v>0</v>
      </c>
      <c r="ER291" s="235">
        <v>0</v>
      </c>
      <c r="ES291" s="235">
        <v>0</v>
      </c>
      <c r="ET291" s="235">
        <v>0</v>
      </c>
      <c r="EU291" s="365">
        <v>0</v>
      </c>
      <c r="EV291" s="235"/>
      <c r="EW291" s="235"/>
      <c r="EX291" s="235"/>
      <c r="EY291" s="235"/>
      <c r="EZ291" s="365">
        <v>0</v>
      </c>
      <c r="FA291" s="235"/>
      <c r="FB291" s="235"/>
      <c r="FC291" s="235"/>
      <c r="FD291" s="235"/>
      <c r="FE291" s="365">
        <v>0</v>
      </c>
      <c r="FF291" s="23"/>
      <c r="FG291" s="444"/>
      <c r="FL291" s="376"/>
      <c r="FM291" s="376"/>
      <c r="FN291" s="376"/>
      <c r="FO291" s="376"/>
      <c r="FP291" s="376"/>
      <c r="FQ291" s="376"/>
      <c r="FR291" s="376"/>
      <c r="FS291" s="376"/>
      <c r="FT291" s="444"/>
    </row>
    <row r="292" spans="1:183" ht="12.75" customHeight="1" x14ac:dyDescent="0.2">
      <c r="A292" s="46" t="s">
        <v>147</v>
      </c>
      <c r="B292" s="587"/>
      <c r="C292" s="587"/>
      <c r="D292" s="587"/>
      <c r="E292" s="587"/>
      <c r="F292" s="261"/>
      <c r="G292" s="587"/>
      <c r="H292" s="587"/>
      <c r="I292" s="587"/>
      <c r="J292" s="587"/>
      <c r="K292" s="261"/>
      <c r="L292" s="587"/>
      <c r="M292" s="587"/>
      <c r="N292" s="587"/>
      <c r="O292" s="587"/>
      <c r="P292" s="106">
        <v>0</v>
      </c>
      <c r="Q292" s="587">
        <v>0</v>
      </c>
      <c r="R292" s="587">
        <v>0</v>
      </c>
      <c r="S292" s="587">
        <v>0</v>
      </c>
      <c r="T292" s="587">
        <v>0</v>
      </c>
      <c r="U292" s="106">
        <v>0</v>
      </c>
      <c r="V292" s="587">
        <v>0</v>
      </c>
      <c r="W292" s="587">
        <v>0</v>
      </c>
      <c r="X292" s="587">
        <v>0</v>
      </c>
      <c r="Y292" s="587">
        <v>0</v>
      </c>
      <c r="Z292" s="106">
        <v>0</v>
      </c>
      <c r="AA292" s="587">
        <v>0</v>
      </c>
      <c r="AB292" s="587">
        <v>0</v>
      </c>
      <c r="AC292" s="587">
        <v>0</v>
      </c>
      <c r="AD292" s="587">
        <v>0</v>
      </c>
      <c r="AE292" s="106">
        <v>0</v>
      </c>
      <c r="AF292" s="587">
        <v>0</v>
      </c>
      <c r="AG292" s="587">
        <v>0</v>
      </c>
      <c r="AH292" s="587">
        <v>0</v>
      </c>
      <c r="AI292" s="587">
        <v>0</v>
      </c>
      <c r="AJ292" s="106">
        <v>0</v>
      </c>
      <c r="AK292" s="587">
        <v>0</v>
      </c>
      <c r="AL292" s="587">
        <v>0</v>
      </c>
      <c r="AM292" s="587">
        <v>0</v>
      </c>
      <c r="AN292" s="587">
        <v>0</v>
      </c>
      <c r="AO292" s="106">
        <v>0</v>
      </c>
      <c r="AP292" s="587">
        <v>0</v>
      </c>
      <c r="AQ292" s="587">
        <v>0</v>
      </c>
      <c r="AR292" s="587">
        <v>0</v>
      </c>
      <c r="AS292" s="587">
        <v>0</v>
      </c>
      <c r="AT292" s="106">
        <v>0</v>
      </c>
      <c r="AU292" s="587">
        <v>0</v>
      </c>
      <c r="AV292" s="587">
        <v>0</v>
      </c>
      <c r="AW292" s="587">
        <v>0</v>
      </c>
      <c r="AX292" s="587">
        <v>0</v>
      </c>
      <c r="AY292" s="106">
        <v>0</v>
      </c>
      <c r="AZ292" s="587">
        <v>0</v>
      </c>
      <c r="BA292" s="587">
        <v>0</v>
      </c>
      <c r="BB292" s="587">
        <v>0</v>
      </c>
      <c r="BC292" s="587">
        <v>0</v>
      </c>
      <c r="BD292" s="106">
        <v>0</v>
      </c>
      <c r="BE292" s="587">
        <v>0</v>
      </c>
      <c r="BF292" s="587">
        <v>0</v>
      </c>
      <c r="BG292" s="587">
        <v>0</v>
      </c>
      <c r="BH292" s="587">
        <v>0</v>
      </c>
      <c r="BI292" s="106">
        <v>0</v>
      </c>
      <c r="BJ292" s="587">
        <v>0</v>
      </c>
      <c r="BK292" s="587">
        <v>0</v>
      </c>
      <c r="BL292" s="587">
        <v>0</v>
      </c>
      <c r="BM292" s="587">
        <v>0</v>
      </c>
      <c r="BN292" s="106">
        <v>0</v>
      </c>
      <c r="BO292" s="587">
        <v>0</v>
      </c>
      <c r="BP292" s="587">
        <v>0</v>
      </c>
      <c r="BQ292" s="587">
        <v>0</v>
      </c>
      <c r="BR292" s="587">
        <v>0</v>
      </c>
      <c r="BS292" s="106">
        <v>0</v>
      </c>
      <c r="BT292" s="587">
        <v>0</v>
      </c>
      <c r="BU292" s="587">
        <v>0</v>
      </c>
      <c r="BV292" s="587">
        <v>0</v>
      </c>
      <c r="BW292" s="587">
        <v>0</v>
      </c>
      <c r="BX292" s="106">
        <v>0</v>
      </c>
      <c r="BY292" s="587">
        <v>0</v>
      </c>
      <c r="BZ292" s="587">
        <v>0</v>
      </c>
      <c r="CA292" s="587">
        <v>0</v>
      </c>
      <c r="CB292" s="587">
        <v>0</v>
      </c>
      <c r="CC292" s="106">
        <v>0</v>
      </c>
      <c r="CD292" s="587">
        <v>0</v>
      </c>
      <c r="CE292" s="587">
        <v>0</v>
      </c>
      <c r="CF292" s="587">
        <v>0</v>
      </c>
      <c r="CG292" s="587">
        <v>0</v>
      </c>
      <c r="CH292" s="106">
        <v>0</v>
      </c>
      <c r="CI292" s="587">
        <v>0</v>
      </c>
      <c r="CJ292" s="587">
        <v>0</v>
      </c>
      <c r="CK292" s="587">
        <v>0</v>
      </c>
      <c r="CL292" s="587">
        <v>0</v>
      </c>
      <c r="CM292" s="106">
        <v>0</v>
      </c>
      <c r="CN292" s="587">
        <v>0</v>
      </c>
      <c r="CO292" s="587">
        <v>0</v>
      </c>
      <c r="CP292" s="587">
        <v>0</v>
      </c>
      <c r="CQ292" s="587">
        <v>0</v>
      </c>
      <c r="CR292" s="106">
        <v>0</v>
      </c>
      <c r="CS292" s="587">
        <v>0</v>
      </c>
      <c r="CT292" s="587">
        <v>0</v>
      </c>
      <c r="CU292" s="587">
        <v>0</v>
      </c>
      <c r="CV292" s="587">
        <v>0</v>
      </c>
      <c r="CW292" s="106">
        <v>0</v>
      </c>
      <c r="CX292" s="587">
        <v>0</v>
      </c>
      <c r="CY292" s="587">
        <v>0</v>
      </c>
      <c r="CZ292" s="587">
        <v>0</v>
      </c>
      <c r="DA292" s="587">
        <v>0</v>
      </c>
      <c r="DB292" s="106">
        <v>0</v>
      </c>
      <c r="DC292" s="587">
        <v>0</v>
      </c>
      <c r="DD292" s="587">
        <v>0</v>
      </c>
      <c r="DE292" s="587">
        <v>0</v>
      </c>
      <c r="DF292" s="587">
        <v>0</v>
      </c>
      <c r="DG292" s="723">
        <v>0</v>
      </c>
      <c r="DH292" s="587">
        <v>0</v>
      </c>
      <c r="DI292" s="587">
        <v>0</v>
      </c>
      <c r="DJ292" s="587">
        <v>0</v>
      </c>
      <c r="DK292" s="587">
        <v>0</v>
      </c>
      <c r="DL292" s="723">
        <v>0</v>
      </c>
      <c r="DM292" s="587">
        <v>0</v>
      </c>
      <c r="DN292" s="587">
        <v>0</v>
      </c>
      <c r="DO292" s="587">
        <v>0</v>
      </c>
      <c r="DP292" s="587">
        <v>0</v>
      </c>
      <c r="DQ292" s="723">
        <v>0</v>
      </c>
      <c r="DR292" s="587">
        <v>0</v>
      </c>
      <c r="DS292" s="587">
        <v>0</v>
      </c>
      <c r="DT292" s="587">
        <v>0</v>
      </c>
      <c r="DU292" s="587">
        <v>0</v>
      </c>
      <c r="DV292" s="723">
        <v>0</v>
      </c>
      <c r="DW292" s="587">
        <v>0</v>
      </c>
      <c r="DX292" s="587">
        <v>0</v>
      </c>
      <c r="DY292" s="587">
        <v>0</v>
      </c>
      <c r="DZ292" s="587">
        <v>0</v>
      </c>
      <c r="EA292" s="723">
        <v>0</v>
      </c>
      <c r="EB292" s="587">
        <v>0</v>
      </c>
      <c r="EC292" s="587">
        <v>0</v>
      </c>
      <c r="ED292" s="587">
        <v>0</v>
      </c>
      <c r="EE292" s="587">
        <v>0</v>
      </c>
      <c r="EF292" s="723">
        <v>0</v>
      </c>
      <c r="EG292" s="587">
        <v>0</v>
      </c>
      <c r="EH292" s="587">
        <v>0</v>
      </c>
      <c r="EI292" s="587">
        <v>0</v>
      </c>
      <c r="EJ292" s="587">
        <v>0</v>
      </c>
      <c r="EK292" s="723">
        <v>0</v>
      </c>
      <c r="EL292" s="587">
        <v>0</v>
      </c>
      <c r="EM292" s="587">
        <v>0</v>
      </c>
      <c r="EN292" s="587">
        <v>0</v>
      </c>
      <c r="EO292" s="587">
        <v>0</v>
      </c>
      <c r="EP292" s="723">
        <v>0</v>
      </c>
      <c r="EQ292" s="197">
        <v>0</v>
      </c>
      <c r="ER292" s="197">
        <v>0</v>
      </c>
      <c r="ES292" s="197">
        <v>0</v>
      </c>
      <c r="ET292" s="197">
        <v>0</v>
      </c>
      <c r="EU292" s="121">
        <v>0</v>
      </c>
      <c r="EV292" s="197"/>
      <c r="EW292" s="197"/>
      <c r="EX292" s="197"/>
      <c r="EY292" s="197"/>
      <c r="EZ292" s="121">
        <v>0</v>
      </c>
      <c r="FA292" s="197"/>
      <c r="FB292" s="197"/>
      <c r="FC292" s="197"/>
      <c r="FD292" s="197"/>
      <c r="FE292" s="121">
        <v>0</v>
      </c>
      <c r="FF292" s="37"/>
      <c r="FG292" s="451"/>
      <c r="FL292" s="425"/>
      <c r="FM292" s="425"/>
      <c r="FN292" s="384"/>
      <c r="FO292" s="384"/>
      <c r="FP292" s="384"/>
      <c r="FQ292" s="384"/>
      <c r="FR292" s="384"/>
      <c r="FS292" s="384"/>
      <c r="FT292" s="451"/>
    </row>
    <row r="293" spans="1:183" ht="12.75" customHeight="1" x14ac:dyDescent="0.2">
      <c r="A293" s="38" t="s">
        <v>374</v>
      </c>
      <c r="B293" s="844"/>
      <c r="C293" s="844"/>
      <c r="D293" s="844"/>
      <c r="E293" s="844"/>
      <c r="F293" s="279"/>
      <c r="G293" s="844"/>
      <c r="H293" s="844"/>
      <c r="I293" s="844"/>
      <c r="J293" s="844"/>
      <c r="K293" s="279"/>
      <c r="L293" s="844"/>
      <c r="M293" s="844"/>
      <c r="N293" s="844"/>
      <c r="O293" s="844"/>
      <c r="P293" s="289">
        <v>0</v>
      </c>
      <c r="Q293" s="844">
        <v>0</v>
      </c>
      <c r="R293" s="844">
        <v>0</v>
      </c>
      <c r="S293" s="844">
        <v>0</v>
      </c>
      <c r="T293" s="844">
        <v>0</v>
      </c>
      <c r="U293" s="289">
        <v>0</v>
      </c>
      <c r="V293" s="844">
        <v>0</v>
      </c>
      <c r="W293" s="844">
        <v>0</v>
      </c>
      <c r="X293" s="844">
        <v>0</v>
      </c>
      <c r="Y293" s="844">
        <v>0</v>
      </c>
      <c r="Z293" s="289">
        <v>0</v>
      </c>
      <c r="AA293" s="844">
        <v>0</v>
      </c>
      <c r="AB293" s="844">
        <v>0</v>
      </c>
      <c r="AC293" s="844">
        <v>0</v>
      </c>
      <c r="AD293" s="844">
        <v>0</v>
      </c>
      <c r="AE293" s="289">
        <v>0</v>
      </c>
      <c r="AF293" s="844">
        <v>0</v>
      </c>
      <c r="AG293" s="844">
        <v>0</v>
      </c>
      <c r="AH293" s="844">
        <v>0</v>
      </c>
      <c r="AI293" s="844">
        <v>0</v>
      </c>
      <c r="AJ293" s="289">
        <v>0</v>
      </c>
      <c r="AK293" s="844">
        <v>0</v>
      </c>
      <c r="AL293" s="844">
        <v>0</v>
      </c>
      <c r="AM293" s="844">
        <v>0</v>
      </c>
      <c r="AN293" s="844">
        <v>0</v>
      </c>
      <c r="AO293" s="289">
        <v>0</v>
      </c>
      <c r="AP293" s="844">
        <v>0</v>
      </c>
      <c r="AQ293" s="844">
        <v>0</v>
      </c>
      <c r="AR293" s="844">
        <v>0</v>
      </c>
      <c r="AS293" s="844">
        <v>0</v>
      </c>
      <c r="AT293" s="289">
        <v>0</v>
      </c>
      <c r="AU293" s="844">
        <v>0</v>
      </c>
      <c r="AV293" s="844">
        <v>0</v>
      </c>
      <c r="AW293" s="844">
        <v>0</v>
      </c>
      <c r="AX293" s="844">
        <v>0</v>
      </c>
      <c r="AY293" s="289">
        <v>0</v>
      </c>
      <c r="AZ293" s="844">
        <v>0</v>
      </c>
      <c r="BA293" s="844">
        <v>0</v>
      </c>
      <c r="BB293" s="844">
        <v>0</v>
      </c>
      <c r="BC293" s="844">
        <v>0</v>
      </c>
      <c r="BD293" s="289">
        <v>0</v>
      </c>
      <c r="BE293" s="844">
        <v>0</v>
      </c>
      <c r="BF293" s="844">
        <v>0</v>
      </c>
      <c r="BG293" s="844">
        <v>0</v>
      </c>
      <c r="BH293" s="844">
        <v>0</v>
      </c>
      <c r="BI293" s="289">
        <v>0</v>
      </c>
      <c r="BJ293" s="844">
        <v>0</v>
      </c>
      <c r="BK293" s="844">
        <v>0</v>
      </c>
      <c r="BL293" s="844">
        <v>0</v>
      </c>
      <c r="BM293" s="844">
        <v>0</v>
      </c>
      <c r="BN293" s="289">
        <v>0</v>
      </c>
      <c r="BO293" s="844">
        <v>0</v>
      </c>
      <c r="BP293" s="844">
        <v>0</v>
      </c>
      <c r="BQ293" s="844">
        <v>0</v>
      </c>
      <c r="BR293" s="844">
        <v>0</v>
      </c>
      <c r="BS293" s="289">
        <v>0</v>
      </c>
      <c r="BT293" s="844">
        <v>0</v>
      </c>
      <c r="BU293" s="844">
        <v>0</v>
      </c>
      <c r="BV293" s="844">
        <v>0</v>
      </c>
      <c r="BW293" s="844">
        <v>0</v>
      </c>
      <c r="BX293" s="289">
        <v>0</v>
      </c>
      <c r="BY293" s="844">
        <v>0</v>
      </c>
      <c r="BZ293" s="844">
        <v>0</v>
      </c>
      <c r="CA293" s="844">
        <v>0</v>
      </c>
      <c r="CB293" s="844">
        <v>0</v>
      </c>
      <c r="CC293" s="289">
        <v>0</v>
      </c>
      <c r="CD293" s="844">
        <v>0</v>
      </c>
      <c r="CE293" s="844">
        <v>0</v>
      </c>
      <c r="CF293" s="844">
        <v>0</v>
      </c>
      <c r="CG293" s="844">
        <v>0</v>
      </c>
      <c r="CH293" s="289">
        <v>0</v>
      </c>
      <c r="CI293" s="844">
        <v>0</v>
      </c>
      <c r="CJ293" s="844">
        <v>0</v>
      </c>
      <c r="CK293" s="844">
        <v>0</v>
      </c>
      <c r="CL293" s="844">
        <v>0</v>
      </c>
      <c r="CM293" s="289">
        <v>0</v>
      </c>
      <c r="CN293" s="844">
        <v>0</v>
      </c>
      <c r="CO293" s="844">
        <v>0</v>
      </c>
      <c r="CP293" s="844">
        <v>0</v>
      </c>
      <c r="CQ293" s="844">
        <v>0</v>
      </c>
      <c r="CR293" s="289">
        <v>0</v>
      </c>
      <c r="CS293" s="844">
        <v>0</v>
      </c>
      <c r="CT293" s="844">
        <v>0</v>
      </c>
      <c r="CU293" s="844">
        <v>0</v>
      </c>
      <c r="CV293" s="844">
        <v>0</v>
      </c>
      <c r="CW293" s="289">
        <v>0</v>
      </c>
      <c r="CX293" s="844">
        <v>0</v>
      </c>
      <c r="CY293" s="844">
        <v>0</v>
      </c>
      <c r="CZ293" s="844">
        <v>0</v>
      </c>
      <c r="DA293" s="844">
        <v>0</v>
      </c>
      <c r="DB293" s="289">
        <v>0</v>
      </c>
      <c r="DC293" s="844">
        <v>0</v>
      </c>
      <c r="DD293" s="844">
        <v>0</v>
      </c>
      <c r="DE293" s="844">
        <v>0</v>
      </c>
      <c r="DF293" s="844">
        <v>0</v>
      </c>
      <c r="DG293" s="845">
        <v>0</v>
      </c>
      <c r="DH293" s="844">
        <v>0</v>
      </c>
      <c r="DI293" s="844">
        <v>0</v>
      </c>
      <c r="DJ293" s="844">
        <v>0</v>
      </c>
      <c r="DK293" s="844">
        <v>0</v>
      </c>
      <c r="DL293" s="845">
        <v>0</v>
      </c>
      <c r="DM293" s="844">
        <v>0</v>
      </c>
      <c r="DN293" s="844">
        <v>0</v>
      </c>
      <c r="DO293" s="844">
        <v>0</v>
      </c>
      <c r="DP293" s="844">
        <v>0</v>
      </c>
      <c r="DQ293" s="845">
        <v>0</v>
      </c>
      <c r="DR293" s="844">
        <v>0</v>
      </c>
      <c r="DS293" s="844">
        <v>0</v>
      </c>
      <c r="DT293" s="844">
        <v>0</v>
      </c>
      <c r="DU293" s="844">
        <v>0</v>
      </c>
      <c r="DV293" s="845">
        <v>0</v>
      </c>
      <c r="DW293" s="844">
        <v>0</v>
      </c>
      <c r="DX293" s="844">
        <v>0</v>
      </c>
      <c r="DY293" s="844">
        <v>0</v>
      </c>
      <c r="DZ293" s="844">
        <v>0</v>
      </c>
      <c r="EA293" s="845">
        <v>0</v>
      </c>
      <c r="EB293" s="844">
        <v>0</v>
      </c>
      <c r="EC293" s="844">
        <v>0</v>
      </c>
      <c r="ED293" s="844">
        <v>0</v>
      </c>
      <c r="EE293" s="844">
        <v>0</v>
      </c>
      <c r="EF293" s="845">
        <v>0</v>
      </c>
      <c r="EG293" s="844">
        <v>0</v>
      </c>
      <c r="EH293" s="844">
        <v>0</v>
      </c>
      <c r="EI293" s="844">
        <v>0</v>
      </c>
      <c r="EJ293" s="844">
        <v>0</v>
      </c>
      <c r="EK293" s="845">
        <v>0</v>
      </c>
      <c r="EL293" s="844">
        <v>0</v>
      </c>
      <c r="EM293" s="844">
        <v>0</v>
      </c>
      <c r="EN293" s="844">
        <v>0</v>
      </c>
      <c r="EO293" s="844">
        <v>0</v>
      </c>
      <c r="EP293" s="845">
        <v>0</v>
      </c>
      <c r="EQ293" s="201">
        <v>0</v>
      </c>
      <c r="ER293" s="201">
        <v>0</v>
      </c>
      <c r="ES293" s="201">
        <v>0</v>
      </c>
      <c r="ET293" s="201">
        <v>0</v>
      </c>
      <c r="EU293" s="367">
        <v>0</v>
      </c>
      <c r="EV293" s="201"/>
      <c r="EW293" s="201"/>
      <c r="EX293" s="201"/>
      <c r="EY293" s="201"/>
      <c r="EZ293" s="367">
        <v>0</v>
      </c>
      <c r="FA293" s="201"/>
      <c r="FB293" s="201"/>
      <c r="FC293" s="201"/>
      <c r="FD293" s="201"/>
      <c r="FE293" s="367">
        <v>0</v>
      </c>
      <c r="FF293" s="55"/>
      <c r="FG293" s="467"/>
      <c r="FL293" s="376"/>
      <c r="FM293" s="376"/>
      <c r="FN293" s="377"/>
      <c r="FO293" s="377"/>
      <c r="FP293" s="377"/>
      <c r="FQ293" s="377"/>
      <c r="FR293" s="377"/>
      <c r="FS293" s="377"/>
      <c r="FT293" s="467"/>
    </row>
    <row r="294" spans="1:183" ht="12.75" customHeight="1" x14ac:dyDescent="0.2">
      <c r="A294" s="38" t="s">
        <v>351</v>
      </c>
      <c r="B294" s="184"/>
      <c r="C294" s="184"/>
      <c r="D294" s="184"/>
      <c r="E294" s="184"/>
      <c r="F294" s="279"/>
      <c r="G294" s="184"/>
      <c r="H294" s="184"/>
      <c r="I294" s="184"/>
      <c r="J294" s="184"/>
      <c r="K294" s="279"/>
      <c r="L294" s="184"/>
      <c r="M294" s="184"/>
      <c r="N294" s="184"/>
      <c r="O294" s="184"/>
      <c r="P294" s="103"/>
      <c r="Q294" s="38"/>
      <c r="R294" s="38"/>
      <c r="S294" s="38"/>
      <c r="T294" s="38"/>
      <c r="U294" s="103"/>
      <c r="V294" s="38"/>
      <c r="W294" s="38"/>
      <c r="X294" s="38"/>
      <c r="Y294" s="38"/>
      <c r="Z294" s="103"/>
      <c r="AA294" s="38"/>
      <c r="AB294" s="38"/>
      <c r="AC294" s="38"/>
      <c r="AD294" s="38"/>
      <c r="AE294" s="103">
        <v>0</v>
      </c>
      <c r="AF294" s="38"/>
      <c r="AG294" s="38"/>
      <c r="AH294" s="38"/>
      <c r="AI294" s="38"/>
      <c r="AJ294" s="103">
        <f>15.592+4.433</f>
        <v>20.024999999999999</v>
      </c>
      <c r="AK294" s="38"/>
      <c r="AL294" s="38"/>
      <c r="AM294" s="38"/>
      <c r="AN294" s="38"/>
      <c r="AO294" s="103">
        <f>40.335+9.806</f>
        <v>50.140999999999998</v>
      </c>
      <c r="AP294" s="38"/>
      <c r="AQ294" s="38"/>
      <c r="AR294" s="38"/>
      <c r="AS294" s="38"/>
      <c r="AT294" s="103">
        <f>44.272+21.584-100</f>
        <v>-34.144000000000005</v>
      </c>
      <c r="AU294" s="38"/>
      <c r="AV294" s="38"/>
      <c r="AW294" s="38"/>
      <c r="AX294" s="38"/>
      <c r="AY294" s="103">
        <f>27.683+36.605-90.507</f>
        <v>-26.219000000000008</v>
      </c>
      <c r="AZ294" s="38"/>
      <c r="BA294" s="38"/>
      <c r="BB294" s="38"/>
      <c r="BC294" s="38"/>
      <c r="BD294" s="103">
        <v>0</v>
      </c>
      <c r="BE294" s="38"/>
      <c r="BF294" s="38"/>
      <c r="BG294" s="38"/>
      <c r="BH294" s="38"/>
      <c r="BI294" s="103">
        <f>253.929+4.948+28.982+53.691+62.364+-136.044</f>
        <v>267.87</v>
      </c>
      <c r="BJ294" s="38"/>
      <c r="BK294" s="38"/>
      <c r="BL294" s="38"/>
      <c r="BM294" s="38"/>
      <c r="BN294" s="103">
        <f>10+47+38</f>
        <v>95</v>
      </c>
      <c r="BO294" s="38"/>
      <c r="BP294" s="38"/>
      <c r="BQ294" s="38"/>
      <c r="BR294" s="38"/>
      <c r="BS294" s="103">
        <f>81+41+12-0</f>
        <v>134</v>
      </c>
      <c r="BT294" s="38"/>
      <c r="BU294" s="38"/>
      <c r="BV294" s="38"/>
      <c r="BW294" s="38"/>
      <c r="BX294" s="103">
        <f>6+35+1-93+175-246</f>
        <v>-122</v>
      </c>
      <c r="BY294" s="33"/>
      <c r="BZ294" s="33"/>
      <c r="CA294" s="33"/>
      <c r="CB294" s="33"/>
      <c r="CC294" s="103">
        <f>-55+12+60-66+126+65</f>
        <v>142</v>
      </c>
      <c r="CD294" s="33"/>
      <c r="CE294" s="33"/>
      <c r="CF294" s="33"/>
      <c r="CG294" s="33"/>
      <c r="CH294" s="103">
        <v>-540</v>
      </c>
      <c r="CI294" s="33"/>
      <c r="CJ294" s="33"/>
      <c r="CK294" s="33"/>
      <c r="CL294" s="33"/>
      <c r="CM294" s="103">
        <v>-627.57500000000005</v>
      </c>
      <c r="CN294" s="33"/>
      <c r="CO294" s="33"/>
      <c r="CP294" s="33"/>
      <c r="CQ294" s="33"/>
      <c r="CR294" s="103">
        <f>-(CR286-CM286)+CR283-CM283+CR282-CM282+(-59+-10)</f>
        <v>-159</v>
      </c>
      <c r="CS294" s="33"/>
      <c r="CT294" s="33"/>
      <c r="CU294" s="33"/>
      <c r="CV294" s="33"/>
      <c r="CW294" s="103">
        <f>-(CW286-CR286)+CW283-CR283+CW282-CR282+(-59+-10)</f>
        <v>476.86199999999985</v>
      </c>
      <c r="CX294" s="33"/>
      <c r="CY294" s="33"/>
      <c r="CZ294" s="33"/>
      <c r="DA294" s="33"/>
      <c r="DB294" s="103">
        <f>Model!DB231+Model!DB230</f>
        <v>56.524999999999999</v>
      </c>
      <c r="DC294" s="33"/>
      <c r="DD294" s="33"/>
      <c r="DE294" s="33"/>
      <c r="DF294" s="33"/>
      <c r="DG294" s="103">
        <f>Model!DG231+Model!DG230</f>
        <v>-185.58100000000002</v>
      </c>
      <c r="DH294" s="33"/>
      <c r="DI294" s="33"/>
      <c r="DJ294" s="33"/>
      <c r="DK294" s="33"/>
      <c r="DL294" s="103">
        <f>Model!DL231+Model!DL230</f>
        <v>-378</v>
      </c>
      <c r="DM294" s="33"/>
      <c r="DN294" s="33"/>
      <c r="DO294" s="33"/>
      <c r="DP294" s="33"/>
      <c r="DQ294" s="103">
        <f>Model!DQ231+Model!DQ230</f>
        <v>-541</v>
      </c>
      <c r="DR294" s="33"/>
      <c r="DS294" s="33"/>
      <c r="DT294" s="33"/>
      <c r="DU294" s="33"/>
      <c r="DV294" s="103">
        <f>Model!DV231+Model!DV230</f>
        <v>-955</v>
      </c>
      <c r="DW294" s="33"/>
      <c r="DX294" s="33"/>
      <c r="DY294" s="33"/>
      <c r="DZ294" s="33"/>
      <c r="EA294" s="103">
        <f>Model!EA231+Model!EA230</f>
        <v>-1180</v>
      </c>
      <c r="EB294" s="33"/>
      <c r="EC294" s="33"/>
      <c r="ED294" s="33"/>
      <c r="EE294" s="33"/>
      <c r="EF294" s="103">
        <f>Model!EF231+Model!EF230</f>
        <v>-1750</v>
      </c>
      <c r="EG294" s="33"/>
      <c r="EH294" s="33"/>
      <c r="EI294" s="33"/>
      <c r="EJ294" s="33"/>
      <c r="EK294" s="103">
        <f>Model!EK231+Model!EK230</f>
        <v>-1600</v>
      </c>
      <c r="EL294" s="33"/>
      <c r="EM294" s="33"/>
      <c r="EN294" s="33"/>
      <c r="EO294" s="33"/>
      <c r="EP294" s="103">
        <f>Model!EP231+Model!EP230</f>
        <v>-1600</v>
      </c>
      <c r="EQ294" s="33"/>
      <c r="ER294" s="33"/>
      <c r="ES294" s="33"/>
      <c r="ET294" s="33"/>
      <c r="EU294" s="103">
        <f>Model!EU231+Model!EU230</f>
        <v>-2784.7565124152143</v>
      </c>
      <c r="EV294" s="33"/>
      <c r="EW294" s="33"/>
      <c r="EX294" s="33"/>
      <c r="EY294" s="33"/>
      <c r="EZ294" s="103">
        <f>Model!EZ231+Model!EZ230</f>
        <v>-3234.1346620137324</v>
      </c>
      <c r="FA294" s="33"/>
      <c r="FB294" s="33"/>
      <c r="FC294" s="33"/>
      <c r="FD294" s="33"/>
      <c r="FE294" s="103">
        <f>Model!FE231+Model!FE230</f>
        <v>-3290.7320185989747</v>
      </c>
      <c r="FF294" s="33"/>
      <c r="FG294" s="460"/>
      <c r="FL294" s="425"/>
      <c r="FM294" s="425"/>
      <c r="FN294" s="384"/>
      <c r="FO294" s="384"/>
      <c r="FP294" s="384"/>
      <c r="FQ294" s="384"/>
      <c r="FR294" s="384"/>
      <c r="FS294" s="384"/>
      <c r="FT294" s="460"/>
    </row>
    <row r="295" spans="1:183" ht="12.75" customHeight="1" x14ac:dyDescent="0.2">
      <c r="A295" s="38" t="s">
        <v>1</v>
      </c>
      <c r="B295" s="184"/>
      <c r="C295" s="184"/>
      <c r="D295" s="184"/>
      <c r="E295" s="184"/>
      <c r="F295" s="279"/>
      <c r="G295" s="184"/>
      <c r="H295" s="184"/>
      <c r="I295" s="184"/>
      <c r="J295" s="184"/>
      <c r="K295" s="279"/>
      <c r="L295" s="184"/>
      <c r="M295" s="184"/>
      <c r="N295" s="184"/>
      <c r="O295" s="184"/>
      <c r="P295" s="103"/>
      <c r="Q295" s="38"/>
      <c r="R295" s="38"/>
      <c r="S295" s="38"/>
      <c r="T295" s="38"/>
      <c r="U295" s="103"/>
      <c r="V295" s="38"/>
      <c r="W295" s="38"/>
      <c r="X295" s="38"/>
      <c r="Y295" s="38"/>
      <c r="Z295" s="103"/>
      <c r="AA295" s="38"/>
      <c r="AB295" s="38"/>
      <c r="AC295" s="38"/>
      <c r="AD295" s="38"/>
      <c r="AE295" s="103">
        <v>0</v>
      </c>
      <c r="AF295" s="38"/>
      <c r="AG295" s="38"/>
      <c r="AH295" s="38"/>
      <c r="AI295" s="38"/>
      <c r="AJ295" s="103">
        <f>-6.368</f>
        <v>-6.3680000000000003</v>
      </c>
      <c r="AK295" s="38"/>
      <c r="AL295" s="38"/>
      <c r="AM295" s="38"/>
      <c r="AN295" s="38"/>
      <c r="AO295" s="103">
        <f>-7.207</f>
        <v>-7.2069999999999999</v>
      </c>
      <c r="AP295" s="38"/>
      <c r="AQ295" s="38"/>
      <c r="AR295" s="38"/>
      <c r="AS295" s="38"/>
      <c r="AT295" s="103">
        <f>-10.387</f>
        <v>-10.387</v>
      </c>
      <c r="AU295" s="38"/>
      <c r="AV295" s="38"/>
      <c r="AW295" s="38"/>
      <c r="AX295" s="38"/>
      <c r="AY295" s="103">
        <f>-10.289</f>
        <v>-10.289</v>
      </c>
      <c r="AZ295" s="38"/>
      <c r="BA295" s="38"/>
      <c r="BB295" s="38"/>
      <c r="BC295" s="38"/>
      <c r="BD295" s="103">
        <v>0</v>
      </c>
      <c r="BE295" s="38"/>
      <c r="BF295" s="38"/>
      <c r="BG295" s="38"/>
      <c r="BH295" s="38"/>
      <c r="BI295" s="103">
        <f>+-117.885-52.753-14.108</f>
        <v>-184.74600000000001</v>
      </c>
      <c r="BJ295" s="38"/>
      <c r="BK295" s="38"/>
      <c r="BL295" s="38"/>
      <c r="BM295" s="38"/>
      <c r="BN295" s="103">
        <f>+-14</f>
        <v>-14</v>
      </c>
      <c r="BO295" s="38"/>
      <c r="BP295" s="38"/>
      <c r="BQ295" s="38"/>
      <c r="BR295" s="38"/>
      <c r="BS295" s="103">
        <f>+-14</f>
        <v>-14</v>
      </c>
      <c r="BT295" s="38"/>
      <c r="BU295" s="38"/>
      <c r="BV295" s="38"/>
      <c r="BW295" s="38"/>
      <c r="BX295" s="103">
        <f>+-14</f>
        <v>-14</v>
      </c>
      <c r="BY295" s="33"/>
      <c r="BZ295" s="33"/>
      <c r="CA295" s="33"/>
      <c r="CB295" s="33"/>
      <c r="CC295" s="103">
        <f>+-14</f>
        <v>-14</v>
      </c>
      <c r="CD295" s="33"/>
      <c r="CE295" s="33"/>
      <c r="CF295" s="33"/>
      <c r="CG295" s="33"/>
      <c r="CH295" s="103">
        <f>+-14</f>
        <v>-14</v>
      </c>
      <c r="CI295" s="33"/>
      <c r="CJ295" s="33"/>
      <c r="CK295" s="33"/>
      <c r="CL295" s="33"/>
      <c r="CM295" s="103">
        <f>Model!CM229</f>
        <v>-14</v>
      </c>
      <c r="CN295" s="33"/>
      <c r="CO295" s="33"/>
      <c r="CP295" s="33"/>
      <c r="CQ295" s="33"/>
      <c r="CR295" s="103">
        <f>Model!CR229</f>
        <v>-13</v>
      </c>
      <c r="CS295" s="33"/>
      <c r="CT295" s="33"/>
      <c r="CU295" s="33"/>
      <c r="CV295" s="33"/>
      <c r="CW295" s="103">
        <f>Model!CW229</f>
        <v>-13</v>
      </c>
      <c r="CX295" s="33"/>
      <c r="CY295" s="33"/>
      <c r="CZ295" s="33"/>
      <c r="DA295" s="33"/>
      <c r="DB295" s="103">
        <f>Model!DB229</f>
        <v>-13</v>
      </c>
      <c r="DC295" s="33"/>
      <c r="DD295" s="33"/>
      <c r="DE295" s="33"/>
      <c r="DF295" s="33"/>
      <c r="DG295" s="103">
        <f>Model!DG229</f>
        <v>-13</v>
      </c>
      <c r="DH295" s="33"/>
      <c r="DI295" s="33"/>
      <c r="DJ295" s="33"/>
      <c r="DK295" s="33"/>
      <c r="DL295" s="103">
        <f>Model!DL229</f>
        <v>-22</v>
      </c>
      <c r="DM295" s="33"/>
      <c r="DN295" s="33"/>
      <c r="DO295" s="33"/>
      <c r="DP295" s="33"/>
      <c r="DQ295" s="103">
        <f>Model!DQ229</f>
        <v>-71</v>
      </c>
      <c r="DR295" s="33"/>
      <c r="DS295" s="33"/>
      <c r="DT295" s="33"/>
      <c r="DU295" s="33"/>
      <c r="DV295" s="103">
        <f>Model!DV229</f>
        <v>-139</v>
      </c>
      <c r="DW295" s="33"/>
      <c r="DX295" s="33"/>
      <c r="DY295" s="33"/>
      <c r="DZ295" s="33"/>
      <c r="EA295" s="103">
        <f>Model!EA229</f>
        <v>-180</v>
      </c>
      <c r="EB295" s="33"/>
      <c r="EC295" s="33"/>
      <c r="ED295" s="33"/>
      <c r="EE295" s="33"/>
      <c r="EF295" s="103">
        <f>Model!EF229</f>
        <v>-222</v>
      </c>
      <c r="EG295" s="33"/>
      <c r="EH295" s="33"/>
      <c r="EI295" s="33"/>
      <c r="EJ295" s="33"/>
      <c r="EK295" s="103">
        <f>Model!EK229</f>
        <v>-274</v>
      </c>
      <c r="EL295" s="33"/>
      <c r="EM295" s="33"/>
      <c r="EN295" s="33"/>
      <c r="EO295" s="33"/>
      <c r="EP295" s="103">
        <f>Model!EP229</f>
        <v>-274</v>
      </c>
      <c r="EQ295" s="33"/>
      <c r="ER295" s="33"/>
      <c r="ES295" s="33"/>
      <c r="ET295" s="33"/>
      <c r="EU295" s="103">
        <f>Model!EU229</f>
        <v>-317.71304497968754</v>
      </c>
      <c r="EV295" s="33"/>
      <c r="EW295" s="33"/>
      <c r="EX295" s="33"/>
      <c r="EY295" s="33"/>
      <c r="EZ295" s="103">
        <f>Model!EZ229</f>
        <v>-315.49714029216477</v>
      </c>
      <c r="FA295" s="33"/>
      <c r="FB295" s="33"/>
      <c r="FC295" s="33"/>
      <c r="FD295" s="33"/>
      <c r="FE295" s="103">
        <f>Model!FE229</f>
        <v>-291.83485477025243</v>
      </c>
      <c r="FF295" s="33"/>
      <c r="FG295" s="460"/>
      <c r="FL295" s="425"/>
      <c r="FM295" s="425"/>
      <c r="FN295" s="384"/>
      <c r="FO295" s="384"/>
      <c r="FP295" s="384"/>
      <c r="FQ295" s="384"/>
      <c r="FR295" s="384"/>
      <c r="FS295" s="384"/>
      <c r="FT295" s="460"/>
    </row>
    <row r="296" spans="1:183" ht="12.75" customHeight="1" x14ac:dyDescent="0.2">
      <c r="A296" s="38" t="s">
        <v>310</v>
      </c>
      <c r="B296" s="184"/>
      <c r="C296" s="184"/>
      <c r="D296" s="184"/>
      <c r="E296" s="184"/>
      <c r="F296" s="279"/>
      <c r="G296" s="184"/>
      <c r="H296" s="184"/>
      <c r="I296" s="184"/>
      <c r="J296" s="184"/>
      <c r="K296" s="279"/>
      <c r="L296" s="184"/>
      <c r="M296" s="184"/>
      <c r="N296" s="184"/>
      <c r="O296" s="184"/>
      <c r="P296" s="103"/>
      <c r="Q296" s="38"/>
      <c r="R296" s="38"/>
      <c r="S296" s="38"/>
      <c r="T296" s="38"/>
      <c r="U296" s="103"/>
      <c r="V296" s="38"/>
      <c r="W296" s="38"/>
      <c r="X296" s="38"/>
      <c r="Y296" s="38"/>
      <c r="Z296" s="103"/>
      <c r="AA296" s="38"/>
      <c r="AB296" s="38"/>
      <c r="AC296" s="38"/>
      <c r="AD296" s="38"/>
      <c r="AE296" s="103">
        <v>0</v>
      </c>
      <c r="AF296" s="38"/>
      <c r="AG296" s="38"/>
      <c r="AH296" s="38"/>
      <c r="AI296" s="38"/>
      <c r="AJ296" s="103">
        <v>0</v>
      </c>
      <c r="AK296" s="38"/>
      <c r="AL296" s="38"/>
      <c r="AM296" s="38"/>
      <c r="AN296" s="38"/>
      <c r="AO296" s="103">
        <v>0</v>
      </c>
      <c r="AP296" s="38"/>
      <c r="AQ296" s="38"/>
      <c r="AR296" s="38"/>
      <c r="AS296" s="38"/>
      <c r="AT296" s="103">
        <v>0</v>
      </c>
      <c r="AU296" s="38"/>
      <c r="AV296" s="38"/>
      <c r="AW296" s="38"/>
      <c r="AX296" s="38"/>
      <c r="AY296" s="103">
        <v>0</v>
      </c>
      <c r="AZ296" s="38"/>
      <c r="BA296" s="38"/>
      <c r="BB296" s="38"/>
      <c r="BC296" s="38"/>
      <c r="BD296" s="103">
        <v>0</v>
      </c>
      <c r="BE296" s="38"/>
      <c r="BF296" s="38"/>
      <c r="BG296" s="38"/>
      <c r="BH296" s="38"/>
      <c r="BI296" s="103">
        <v>0</v>
      </c>
      <c r="BJ296" s="38"/>
      <c r="BK296" s="38"/>
      <c r="BL296" s="38"/>
      <c r="BM296" s="38"/>
      <c r="BN296" s="103">
        <v>0</v>
      </c>
      <c r="BO296" s="38"/>
      <c r="BP296" s="38"/>
      <c r="BQ296" s="38"/>
      <c r="BR296" s="38"/>
      <c r="BS296" s="103">
        <v>0</v>
      </c>
      <c r="BT296" s="38"/>
      <c r="BU296" s="38"/>
      <c r="BV296" s="38"/>
      <c r="BW296" s="38"/>
      <c r="BX296" s="103">
        <v>0</v>
      </c>
      <c r="BY296" s="33"/>
      <c r="BZ296" s="33"/>
      <c r="CA296" s="33"/>
      <c r="CB296" s="33"/>
      <c r="CC296" s="103">
        <v>0</v>
      </c>
      <c r="CD296" s="33"/>
      <c r="CE296" s="33"/>
      <c r="CF296" s="33"/>
      <c r="CG296" s="33"/>
      <c r="CH296" s="103">
        <v>0</v>
      </c>
      <c r="CI296" s="33"/>
      <c r="CJ296" s="33"/>
      <c r="CK296" s="33"/>
      <c r="CL296" s="33"/>
      <c r="CM296" s="103">
        <v>0</v>
      </c>
      <c r="CN296" s="33"/>
      <c r="CO296" s="33"/>
      <c r="CP296" s="33"/>
      <c r="CQ296" s="33"/>
      <c r="CR296" s="103">
        <v>0</v>
      </c>
      <c r="CS296" s="33"/>
      <c r="CT296" s="33"/>
      <c r="CU296" s="33"/>
      <c r="CV296" s="33"/>
      <c r="CW296" s="103">
        <v>0</v>
      </c>
      <c r="CX296" s="33"/>
      <c r="CY296" s="33"/>
      <c r="CZ296" s="33"/>
      <c r="DA296" s="33"/>
      <c r="DB296" s="103">
        <v>0</v>
      </c>
      <c r="DC296" s="33"/>
      <c r="DD296" s="33"/>
      <c r="DE296" s="33"/>
      <c r="DF296" s="33"/>
      <c r="DG296" s="103">
        <v>0</v>
      </c>
      <c r="DH296" s="33"/>
      <c r="DI296" s="33"/>
      <c r="DJ296" s="33"/>
      <c r="DK296" s="33"/>
      <c r="DL296" s="103">
        <v>0</v>
      </c>
      <c r="DM296" s="33"/>
      <c r="DN296" s="33"/>
      <c r="DO296" s="33"/>
      <c r="DP296" s="33"/>
      <c r="DQ296" s="103">
        <v>0</v>
      </c>
      <c r="DR296" s="33"/>
      <c r="DS296" s="33"/>
      <c r="DT296" s="33"/>
      <c r="DU296" s="33"/>
      <c r="DV296" s="103">
        <v>0</v>
      </c>
      <c r="DW296" s="33"/>
      <c r="DX296" s="33"/>
      <c r="DY296" s="33"/>
      <c r="DZ296" s="33"/>
      <c r="EA296" s="103">
        <v>0</v>
      </c>
      <c r="EB296" s="33"/>
      <c r="EC296" s="33"/>
      <c r="ED296" s="33"/>
      <c r="EE296" s="33"/>
      <c r="EF296" s="103">
        <v>0</v>
      </c>
      <c r="EG296" s="33"/>
      <c r="EH296" s="33"/>
      <c r="EI296" s="33"/>
      <c r="EJ296" s="33"/>
      <c r="EK296" s="103">
        <v>0</v>
      </c>
      <c r="EL296" s="33"/>
      <c r="EM296" s="33"/>
      <c r="EN296" s="33"/>
      <c r="EO296" s="33"/>
      <c r="EP296" s="103">
        <v>0</v>
      </c>
      <c r="EQ296" s="33"/>
      <c r="ER296" s="33"/>
      <c r="ES296" s="33"/>
      <c r="ET296" s="33"/>
      <c r="EU296" s="118">
        <v>0</v>
      </c>
      <c r="EV296" s="33"/>
      <c r="EW296" s="33"/>
      <c r="EX296" s="33"/>
      <c r="EY296" s="33"/>
      <c r="EZ296" s="118">
        <v>0</v>
      </c>
      <c r="FA296" s="33"/>
      <c r="FB296" s="33"/>
      <c r="FC296" s="33"/>
      <c r="FD296" s="33"/>
      <c r="FE296" s="118">
        <v>0</v>
      </c>
      <c r="FF296" s="47"/>
      <c r="FG296" s="458"/>
      <c r="FL296" s="425"/>
      <c r="FM296" s="425"/>
      <c r="FN296" s="384"/>
      <c r="FO296" s="384"/>
      <c r="FP296" s="384"/>
      <c r="FQ296" s="384"/>
      <c r="FR296" s="384"/>
      <c r="FS296" s="384"/>
      <c r="FT296" s="458"/>
    </row>
    <row r="297" spans="1:183" ht="12.75" customHeight="1" x14ac:dyDescent="0.2">
      <c r="A297" s="38" t="s">
        <v>451</v>
      </c>
      <c r="B297" s="184"/>
      <c r="C297" s="184"/>
      <c r="D297" s="184"/>
      <c r="E297" s="184"/>
      <c r="F297" s="279"/>
      <c r="G297" s="184"/>
      <c r="H297" s="184"/>
      <c r="I297" s="184"/>
      <c r="J297" s="184"/>
      <c r="K297" s="279"/>
      <c r="L297" s="184"/>
      <c r="M297" s="184"/>
      <c r="N297" s="184"/>
      <c r="O297" s="184"/>
      <c r="P297" s="103"/>
      <c r="Q297" s="38"/>
      <c r="R297" s="38"/>
      <c r="S297" s="38"/>
      <c r="T297" s="38"/>
      <c r="U297" s="103"/>
      <c r="V297" s="38"/>
      <c r="W297" s="38"/>
      <c r="X297" s="38"/>
      <c r="Y297" s="38"/>
      <c r="Z297" s="103"/>
      <c r="AA297" s="38"/>
      <c r="AB297" s="38"/>
      <c r="AC297" s="38"/>
      <c r="AD297" s="38"/>
      <c r="AE297" s="103">
        <v>0</v>
      </c>
      <c r="AF297" s="38"/>
      <c r="AG297" s="38"/>
      <c r="AH297" s="38"/>
      <c r="AI297" s="38"/>
      <c r="AJ297" s="103">
        <v>0</v>
      </c>
      <c r="AK297" s="38"/>
      <c r="AL297" s="38"/>
      <c r="AM297" s="38"/>
      <c r="AN297" s="38"/>
      <c r="AO297" s="103">
        <v>0</v>
      </c>
      <c r="AP297" s="38"/>
      <c r="AQ297" s="38"/>
      <c r="AR297" s="38"/>
      <c r="AS297" s="38"/>
      <c r="AT297" s="103">
        <v>0</v>
      </c>
      <c r="AU297" s="38"/>
      <c r="AV297" s="38"/>
      <c r="AW297" s="38"/>
      <c r="AX297" s="38"/>
      <c r="AY297" s="103">
        <v>0</v>
      </c>
      <c r="AZ297" s="38"/>
      <c r="BA297" s="38"/>
      <c r="BB297" s="38"/>
      <c r="BC297" s="38"/>
      <c r="BD297" s="103">
        <v>0</v>
      </c>
      <c r="BE297" s="38"/>
      <c r="BF297" s="38"/>
      <c r="BG297" s="38"/>
      <c r="BH297" s="38"/>
      <c r="BI297" s="103">
        <v>0</v>
      </c>
      <c r="BJ297" s="38"/>
      <c r="BK297" s="38"/>
      <c r="BL297" s="38"/>
      <c r="BM297" s="38"/>
      <c r="BN297" s="103">
        <v>0</v>
      </c>
      <c r="BO297" s="38"/>
      <c r="BP297" s="38"/>
      <c r="BQ297" s="38"/>
      <c r="BR297" s="38"/>
      <c r="BS297" s="103">
        <v>0</v>
      </c>
      <c r="BT297" s="38"/>
      <c r="BU297" s="38"/>
      <c r="BV297" s="38"/>
      <c r="BW297" s="38"/>
      <c r="BX297" s="103">
        <v>0</v>
      </c>
      <c r="BY297" s="38"/>
      <c r="BZ297" s="38"/>
      <c r="CA297" s="38"/>
      <c r="CB297" s="38"/>
      <c r="CC297" s="103">
        <v>0</v>
      </c>
      <c r="CD297" s="38"/>
      <c r="CE297" s="38"/>
      <c r="CF297" s="38"/>
      <c r="CG297" s="38"/>
      <c r="CH297" s="103">
        <v>0</v>
      </c>
      <c r="CI297" s="38"/>
      <c r="CJ297" s="38"/>
      <c r="CK297" s="38"/>
      <c r="CL297" s="38"/>
      <c r="CM297" s="103">
        <v>0</v>
      </c>
      <c r="CN297" s="38"/>
      <c r="CO297" s="38"/>
      <c r="CP297" s="38"/>
      <c r="CQ297" s="38"/>
      <c r="CR297" s="103">
        <v>0</v>
      </c>
      <c r="CS297" s="38"/>
      <c r="CT297" s="38"/>
      <c r="CU297" s="38"/>
      <c r="CV297" s="38"/>
      <c r="CW297" s="103">
        <v>0</v>
      </c>
      <c r="CX297" s="33"/>
      <c r="CY297" s="33"/>
      <c r="CZ297" s="33"/>
      <c r="DA297" s="33"/>
      <c r="DB297" s="103">
        <v>0</v>
      </c>
      <c r="DC297" s="33"/>
      <c r="DD297" s="33"/>
      <c r="DE297" s="33"/>
      <c r="DF297" s="33"/>
      <c r="DG297" s="103">
        <v>0</v>
      </c>
      <c r="DH297" s="33"/>
      <c r="DI297" s="33"/>
      <c r="DJ297" s="33"/>
      <c r="DK297" s="33"/>
      <c r="DL297" s="103">
        <v>0</v>
      </c>
      <c r="DM297" s="33"/>
      <c r="DN297" s="33"/>
      <c r="DO297" s="33"/>
      <c r="DP297" s="33"/>
      <c r="DQ297" s="103">
        <v>0</v>
      </c>
      <c r="DR297" s="33"/>
      <c r="DS297" s="33"/>
      <c r="DT297" s="33"/>
      <c r="DU297" s="33"/>
      <c r="DV297" s="103">
        <v>0</v>
      </c>
      <c r="DW297" s="33"/>
      <c r="DX297" s="33"/>
      <c r="DY297" s="33"/>
      <c r="DZ297" s="33"/>
      <c r="EA297" s="103">
        <v>0</v>
      </c>
      <c r="EB297" s="33"/>
      <c r="EC297" s="33"/>
      <c r="ED297" s="33"/>
      <c r="EE297" s="33"/>
      <c r="EF297" s="103">
        <v>0</v>
      </c>
      <c r="EG297" s="33"/>
      <c r="EH297" s="33"/>
      <c r="EI297" s="33"/>
      <c r="EJ297" s="33"/>
      <c r="EK297" s="103">
        <v>0</v>
      </c>
      <c r="EL297" s="33"/>
      <c r="EM297" s="33"/>
      <c r="EN297" s="33"/>
      <c r="EO297" s="33"/>
      <c r="EP297" s="103">
        <v>0</v>
      </c>
      <c r="EQ297" s="33"/>
      <c r="ER297" s="33"/>
      <c r="ES297" s="33"/>
      <c r="ET297" s="33"/>
      <c r="EU297" s="118">
        <v>0</v>
      </c>
      <c r="EV297" s="33"/>
      <c r="EW297" s="33"/>
      <c r="EX297" s="33"/>
      <c r="EY297" s="33"/>
      <c r="EZ297" s="118">
        <v>0</v>
      </c>
      <c r="FA297" s="33"/>
      <c r="FB297" s="33"/>
      <c r="FC297" s="33"/>
      <c r="FD297" s="33"/>
      <c r="FE297" s="118">
        <v>0</v>
      </c>
      <c r="FF297" s="47"/>
      <c r="FG297" s="458"/>
      <c r="FL297" s="425"/>
      <c r="FM297" s="425"/>
      <c r="FN297" s="384"/>
      <c r="FO297" s="384"/>
      <c r="FP297" s="384"/>
      <c r="FQ297" s="384"/>
      <c r="FR297" s="384"/>
      <c r="FS297" s="384"/>
      <c r="FT297" s="458"/>
    </row>
    <row r="298" spans="1:183" customFormat="1" ht="12.75" customHeight="1" x14ac:dyDescent="0.2"/>
    <row r="299" spans="1:183" ht="12.75" customHeight="1" x14ac:dyDescent="0.2">
      <c r="A299" s="31" t="s">
        <v>318</v>
      </c>
      <c r="B299" s="198"/>
      <c r="C299" s="198"/>
      <c r="D299" s="198"/>
      <c r="E299" s="198"/>
      <c r="F299" s="242"/>
      <c r="G299" s="198"/>
      <c r="H299" s="198"/>
      <c r="I299" s="198"/>
      <c r="J299" s="198"/>
      <c r="K299" s="242"/>
      <c r="L299" s="198"/>
      <c r="M299" s="198"/>
      <c r="N299" s="198"/>
      <c r="O299" s="198"/>
      <c r="P299" s="242"/>
      <c r="Q299" s="198"/>
      <c r="R299" s="198"/>
      <c r="S299" s="198"/>
      <c r="T299" s="198"/>
      <c r="U299" s="242"/>
      <c r="V299" s="198"/>
      <c r="W299" s="198"/>
      <c r="X299" s="198"/>
      <c r="Y299" s="198"/>
      <c r="Z299" s="242"/>
      <c r="AA299" s="198"/>
      <c r="AB299" s="198"/>
      <c r="AC299" s="198"/>
      <c r="AD299" s="198"/>
      <c r="AE299" s="242"/>
      <c r="AF299" s="198"/>
      <c r="AG299" s="198"/>
      <c r="AH299" s="198"/>
      <c r="AI299" s="198"/>
      <c r="AJ299" s="242"/>
      <c r="AK299" s="198"/>
      <c r="AL299" s="198"/>
      <c r="AM299" s="198"/>
      <c r="AN299" s="198"/>
      <c r="AO299" s="242"/>
      <c r="AP299" s="198"/>
      <c r="AQ299" s="198"/>
      <c r="AR299" s="198"/>
      <c r="AS299" s="198"/>
      <c r="AT299" s="242"/>
      <c r="AU299" s="198"/>
      <c r="AV299" s="198"/>
      <c r="AW299" s="198"/>
      <c r="AX299" s="198"/>
      <c r="AY299" s="242"/>
      <c r="AZ299" s="198"/>
      <c r="BA299" s="198"/>
      <c r="BB299" s="198"/>
      <c r="BC299" s="198"/>
      <c r="BD299" s="242"/>
      <c r="BE299" s="198"/>
      <c r="BF299" s="198"/>
      <c r="BG299" s="198"/>
      <c r="BH299" s="198"/>
      <c r="BI299" s="242"/>
      <c r="BJ299" s="198"/>
      <c r="BK299" s="198"/>
      <c r="BL299" s="198"/>
      <c r="BM299" s="198"/>
      <c r="BN299" s="242"/>
      <c r="BO299" s="198"/>
      <c r="BP299" s="198"/>
      <c r="BQ299" s="198"/>
      <c r="BR299" s="198"/>
      <c r="BS299" s="242"/>
      <c r="BT299" s="198"/>
      <c r="BU299" s="198"/>
      <c r="BV299" s="198"/>
      <c r="BW299" s="198"/>
      <c r="BX299" s="242"/>
      <c r="BY299" s="198"/>
      <c r="BZ299" s="198"/>
      <c r="CA299" s="198"/>
      <c r="CB299" s="198"/>
      <c r="CC299" s="242"/>
      <c r="CD299" s="198"/>
      <c r="CE299" s="198"/>
      <c r="CF299" s="198"/>
      <c r="CG299" s="198"/>
      <c r="CH299" s="242"/>
      <c r="CI299" s="198"/>
      <c r="CJ299" s="198"/>
      <c r="CK299" s="198"/>
      <c r="CL299" s="198"/>
      <c r="CM299" s="242"/>
      <c r="CN299" s="198"/>
      <c r="CO299" s="198"/>
      <c r="CP299" s="198"/>
      <c r="CQ299" s="198"/>
      <c r="CR299" s="242"/>
      <c r="CS299" s="198"/>
      <c r="CT299" s="198"/>
      <c r="CU299" s="198"/>
      <c r="CV299" s="198"/>
      <c r="CW299" s="242"/>
      <c r="CX299" s="124"/>
      <c r="CY299" s="124"/>
      <c r="CZ299" s="124"/>
      <c r="DA299" s="124"/>
      <c r="DB299" s="242"/>
      <c r="DC299" s="124"/>
      <c r="DD299" s="124"/>
      <c r="DE299" s="124"/>
      <c r="DF299" s="124"/>
      <c r="DG299" s="242"/>
      <c r="DH299" s="124"/>
      <c r="DI299" s="124"/>
      <c r="DJ299" s="124"/>
      <c r="DK299" s="124"/>
      <c r="DL299" s="242"/>
      <c r="DM299" s="242"/>
      <c r="DN299" s="242"/>
      <c r="DO299" s="242"/>
      <c r="DP299" s="529"/>
      <c r="DQ299" s="242"/>
      <c r="DR299" s="545"/>
      <c r="DS299" s="242"/>
      <c r="DT299" s="242"/>
      <c r="DU299" s="242"/>
      <c r="DV299" s="242"/>
      <c r="DW299" s="545"/>
      <c r="DX299" s="242"/>
      <c r="DY299" s="242"/>
      <c r="DZ299" s="242"/>
      <c r="EA299" s="242"/>
      <c r="EB299" s="545"/>
      <c r="EC299" s="242"/>
      <c r="ED299" s="242"/>
      <c r="EE299" s="242"/>
      <c r="EF299" s="242"/>
      <c r="EG299" s="242"/>
      <c r="EH299" s="242"/>
      <c r="EI299" s="242"/>
      <c r="EJ299" s="242"/>
      <c r="EK299" s="242"/>
      <c r="EL299" s="242"/>
      <c r="EM299" s="242"/>
      <c r="EN299" s="242"/>
      <c r="EO299" s="242"/>
      <c r="EP299" s="242"/>
      <c r="EQ299" s="242"/>
      <c r="ER299" s="242"/>
      <c r="ES299" s="242"/>
      <c r="ET299" s="242"/>
      <c r="EU299" s="242"/>
      <c r="EV299" s="242"/>
      <c r="EW299" s="242"/>
      <c r="EX299" s="242"/>
      <c r="EY299" s="242"/>
      <c r="EZ299" s="242"/>
      <c r="FA299" s="242"/>
      <c r="FB299" s="242"/>
      <c r="FC299" s="242"/>
      <c r="FD299" s="242"/>
      <c r="FE299" s="242"/>
      <c r="FF299" s="334"/>
      <c r="FG299" s="124"/>
      <c r="FL299" s="406"/>
      <c r="FM299" s="406"/>
      <c r="FN299" s="368"/>
      <c r="FO299" s="368"/>
      <c r="FP299" s="368"/>
      <c r="FQ299" s="368"/>
      <c r="FR299" s="368"/>
      <c r="FS299" s="368"/>
      <c r="FT299" s="124"/>
    </row>
    <row r="300" spans="1:183" s="7" customFormat="1" ht="12.75" customHeight="1" x14ac:dyDescent="0.2">
      <c r="A300" s="7" t="s">
        <v>319</v>
      </c>
      <c r="F300" s="99"/>
      <c r="K300" s="99"/>
      <c r="P300" s="99"/>
      <c r="U300" s="99"/>
      <c r="Z300" s="99"/>
      <c r="AE300" s="99"/>
      <c r="AJ300" s="99"/>
      <c r="AO300" s="99"/>
      <c r="AT300" s="99"/>
      <c r="AY300" s="99"/>
      <c r="BD300" s="99"/>
      <c r="BI300" s="99"/>
      <c r="BN300" s="99"/>
      <c r="BS300" s="99"/>
      <c r="BX300" s="99"/>
      <c r="CC300" s="99"/>
      <c r="CH300" s="99"/>
      <c r="CM300" s="99"/>
      <c r="CR300" s="99"/>
      <c r="CW300" s="99"/>
      <c r="DB300" s="99"/>
      <c r="DG300" s="99"/>
      <c r="DL300" s="99"/>
      <c r="DM300" s="99"/>
      <c r="DN300" s="99"/>
      <c r="DO300" s="99"/>
      <c r="DP300" s="530"/>
      <c r="DQ300" s="99"/>
      <c r="DR300" s="546"/>
      <c r="DS300" s="99"/>
      <c r="DT300" s="99"/>
      <c r="DU300" s="99"/>
      <c r="DV300" s="99"/>
      <c r="DW300" s="546"/>
      <c r="DX300" s="99"/>
      <c r="DY300" s="99"/>
      <c r="DZ300" s="99"/>
      <c r="EA300" s="99"/>
      <c r="EB300" s="546"/>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336"/>
      <c r="FG300" s="6"/>
      <c r="FH300" s="346"/>
      <c r="FI300" s="336"/>
      <c r="FJ300" s="336"/>
      <c r="FK300" s="336"/>
      <c r="FL300" s="412"/>
      <c r="FM300" s="412"/>
      <c r="FN300" s="373"/>
      <c r="FO300" s="373"/>
      <c r="FP300" s="373"/>
      <c r="FQ300" s="373"/>
      <c r="FR300" s="373"/>
      <c r="FS300" s="373"/>
      <c r="FT300" s="6"/>
      <c r="FU300"/>
      <c r="FV300"/>
      <c r="FW300"/>
      <c r="FX300"/>
      <c r="FY300"/>
      <c r="FZ300"/>
      <c r="GA300" s="341"/>
    </row>
    <row r="301" spans="1:183" s="206" customFormat="1" ht="12.75" hidden="1" customHeight="1" x14ac:dyDescent="0.2">
      <c r="A301" s="23" t="s">
        <v>344</v>
      </c>
      <c r="B301" s="205"/>
      <c r="C301" s="205"/>
      <c r="D301" s="205"/>
      <c r="E301" s="205"/>
      <c r="F301" s="114"/>
      <c r="G301" s="205"/>
      <c r="H301" s="205"/>
      <c r="I301" s="205"/>
      <c r="J301" s="205"/>
      <c r="K301" s="114"/>
      <c r="L301" s="205"/>
      <c r="M301" s="205"/>
      <c r="N301" s="205"/>
      <c r="O301" s="205"/>
      <c r="P301" s="114"/>
      <c r="Q301" s="205"/>
      <c r="R301" s="205"/>
      <c r="S301" s="205"/>
      <c r="T301" s="205"/>
      <c r="U301" s="114"/>
      <c r="V301" s="205"/>
      <c r="W301" s="205"/>
      <c r="X301" s="205"/>
      <c r="Y301" s="205"/>
      <c r="Z301" s="114"/>
      <c r="AA301" s="205"/>
      <c r="AB301" s="205"/>
      <c r="AC301" s="205"/>
      <c r="AD301" s="205"/>
      <c r="AE301" s="114"/>
      <c r="AF301" s="205"/>
      <c r="AG301" s="205"/>
      <c r="AH301" s="205"/>
      <c r="AI301" s="205"/>
      <c r="AJ301" s="114"/>
      <c r="AK301" s="205"/>
      <c r="AL301" s="205"/>
      <c r="AM301" s="205"/>
      <c r="AN301" s="205"/>
      <c r="AO301" s="114"/>
      <c r="AP301" s="205"/>
      <c r="AQ301" s="205"/>
      <c r="AR301" s="205"/>
      <c r="AS301" s="205"/>
      <c r="AT301" s="114"/>
      <c r="AU301" s="205"/>
      <c r="AV301" s="205"/>
      <c r="AW301" s="205"/>
      <c r="AX301" s="205"/>
      <c r="AY301" s="120">
        <f>AY248</f>
        <v>418.81899999999962</v>
      </c>
      <c r="AZ301" s="23"/>
      <c r="BA301" s="23"/>
      <c r="BB301" s="23"/>
      <c r="BC301" s="23"/>
      <c r="BD301" s="120">
        <f>BD248</f>
        <v>522.99499999999978</v>
      </c>
      <c r="BE301" s="23"/>
      <c r="BF301" s="23"/>
      <c r="BG301" s="23"/>
      <c r="BH301" s="23"/>
      <c r="BI301" s="120">
        <f>BI248</f>
        <v>2279.8609999999999</v>
      </c>
      <c r="BJ301" s="23"/>
      <c r="BK301" s="23"/>
      <c r="BL301" s="23"/>
      <c r="BM301" s="23"/>
      <c r="BN301" s="120">
        <f>BN248</f>
        <v>1815.3519999999999</v>
      </c>
      <c r="BO301" s="23"/>
      <c r="BP301" s="23"/>
      <c r="BQ301" s="23"/>
      <c r="BR301" s="23"/>
      <c r="BS301" s="120">
        <f>BS248</f>
        <v>1484.3519999999999</v>
      </c>
      <c r="BT301" s="23"/>
      <c r="BU301" s="23"/>
      <c r="BV301" s="23"/>
      <c r="BW301" s="23"/>
      <c r="BX301" s="120">
        <f>BX248</f>
        <v>1095.3519999999999</v>
      </c>
      <c r="BY301" s="23"/>
      <c r="BZ301" s="23"/>
      <c r="CA301" s="23"/>
      <c r="CB301" s="23"/>
      <c r="CC301" s="120">
        <f>CC248</f>
        <v>2531.3519999999999</v>
      </c>
      <c r="CD301" s="23">
        <f t="shared" ref="CD301:DB301" si="1185">CD248</f>
        <v>2920.3519999999999</v>
      </c>
      <c r="CE301" s="23">
        <f t="shared" si="1185"/>
        <v>2988.3519999999999</v>
      </c>
      <c r="CF301" s="23">
        <f t="shared" si="1185"/>
        <v>2301.3519999999999</v>
      </c>
      <c r="CG301" s="23">
        <f t="shared" si="1185"/>
        <v>1759.3519999999999</v>
      </c>
      <c r="CH301" s="120">
        <f t="shared" si="1185"/>
        <v>1759.3519999999999</v>
      </c>
      <c r="CI301" s="23">
        <f t="shared" si="1185"/>
        <v>1933.3519999999999</v>
      </c>
      <c r="CJ301" s="23">
        <f t="shared" si="1185"/>
        <v>2114.3519999999999</v>
      </c>
      <c r="CK301" s="23">
        <f t="shared" si="1185"/>
        <v>1557.3519999999999</v>
      </c>
      <c r="CL301" s="23">
        <f t="shared" si="1185"/>
        <v>2779.3519999999999</v>
      </c>
      <c r="CM301" s="120">
        <f t="shared" si="1185"/>
        <v>2779.3519999999999</v>
      </c>
      <c r="CN301" s="23">
        <f t="shared" si="1185"/>
        <v>3122.3519999999999</v>
      </c>
      <c r="CO301" s="23">
        <f t="shared" si="1185"/>
        <v>5838.3519999999999</v>
      </c>
      <c r="CP301" s="23">
        <f t="shared" si="1185"/>
        <v>3431.3519999999999</v>
      </c>
      <c r="CQ301" s="23">
        <f t="shared" si="1185"/>
        <v>1803.3519999999999</v>
      </c>
      <c r="CR301" s="120">
        <f t="shared" si="1185"/>
        <v>1803.3519999999999</v>
      </c>
      <c r="CS301" s="23">
        <f t="shared" si="1185"/>
        <v>2518.6759999999999</v>
      </c>
      <c r="CT301" s="23">
        <f t="shared" si="1185"/>
        <v>2585.1689999999999</v>
      </c>
      <c r="CU301" s="23">
        <f t="shared" si="1185"/>
        <v>2662.5929999999998</v>
      </c>
      <c r="CV301" s="23">
        <f t="shared" si="1185"/>
        <v>3137.634</v>
      </c>
      <c r="CW301" s="120">
        <f t="shared" si="1185"/>
        <v>3137.634</v>
      </c>
      <c r="CX301" s="23">
        <f>CX248</f>
        <v>3307.835</v>
      </c>
      <c r="CY301" s="23">
        <f>CY248</f>
        <v>3659.6979999999999</v>
      </c>
      <c r="CZ301" s="23">
        <f>CZ248</f>
        <v>3803.8580000000002</v>
      </c>
      <c r="DA301" s="23">
        <f>DA248</f>
        <v>3992.317</v>
      </c>
      <c r="DB301" s="120">
        <f t="shared" si="1185"/>
        <v>3992.317</v>
      </c>
      <c r="DC301" s="23">
        <f t="shared" ref="DC301:DQ301" si="1186">DC248</f>
        <v>4465.0569999999998</v>
      </c>
      <c r="DD301" s="23">
        <f t="shared" si="1186"/>
        <v>4374.0569999999998</v>
      </c>
      <c r="DE301" s="23">
        <f t="shared" si="1186"/>
        <v>3656.0569999999998</v>
      </c>
      <c r="DF301" s="23">
        <f t="shared" si="1186"/>
        <v>3144.0569999999998</v>
      </c>
      <c r="DG301" s="120">
        <f t="shared" si="1186"/>
        <v>3144.0569999999998</v>
      </c>
      <c r="DH301" s="23">
        <f>DH248</f>
        <v>3784.0569999999998</v>
      </c>
      <c r="DI301" s="23">
        <f>DI248</f>
        <v>3256.0569999999998</v>
      </c>
      <c r="DJ301" s="23">
        <f>DJ248</f>
        <v>3235.0569999999998</v>
      </c>
      <c r="DK301" s="23">
        <f>DK248</f>
        <v>2970.0569999999998</v>
      </c>
      <c r="DL301" s="120">
        <f t="shared" si="1186"/>
        <v>2970.0569999999998</v>
      </c>
      <c r="DM301" s="120"/>
      <c r="DN301" s="120"/>
      <c r="DO301" s="120"/>
      <c r="DP301" s="531"/>
      <c r="DQ301" s="120">
        <f t="shared" si="1186"/>
        <v>3152.0569999999998</v>
      </c>
      <c r="DR301" s="508"/>
      <c r="DS301" s="120"/>
      <c r="DT301" s="120"/>
      <c r="DU301" s="120"/>
      <c r="DV301" s="120">
        <f>DV248</f>
        <v>2988.0569999999998</v>
      </c>
      <c r="DW301" s="508"/>
      <c r="DX301" s="120"/>
      <c r="DY301" s="120"/>
      <c r="DZ301" s="120"/>
      <c r="EA301" s="120">
        <f>EA248</f>
        <v>3051.0569999999998</v>
      </c>
      <c r="EB301" s="508"/>
      <c r="EC301" s="120"/>
      <c r="ED301" s="120"/>
      <c r="EE301" s="120"/>
      <c r="EF301" s="120">
        <f>EF248</f>
        <v>3305.0569999999998</v>
      </c>
      <c r="EG301" s="120"/>
      <c r="EH301" s="120"/>
      <c r="EI301" s="120"/>
      <c r="EJ301" s="120"/>
      <c r="EK301" s="120">
        <f>EK248</f>
        <v>3273.0569999999998</v>
      </c>
      <c r="EL301" s="120"/>
      <c r="EM301" s="120"/>
      <c r="EN301" s="120"/>
      <c r="EO301" s="120"/>
      <c r="EP301" s="120">
        <f>EP248</f>
        <v>3273.0569999999998</v>
      </c>
      <c r="EQ301" s="120"/>
      <c r="ER301" s="120"/>
      <c r="ES301" s="120"/>
      <c r="ET301" s="120"/>
      <c r="EU301" s="120">
        <f>EU248</f>
        <v>3120.4791871001771</v>
      </c>
      <c r="EV301" s="120"/>
      <c r="EW301" s="120"/>
      <c r="EX301" s="120"/>
      <c r="EY301" s="120"/>
      <c r="EZ301" s="120">
        <f>EZ248</f>
        <v>2810.8743475538295</v>
      </c>
      <c r="FA301" s="120"/>
      <c r="FB301" s="120"/>
      <c r="FC301" s="120"/>
      <c r="FD301" s="120"/>
      <c r="FE301" s="120">
        <f>FE248</f>
        <v>2994.3061710196262</v>
      </c>
      <c r="FF301" s="23"/>
      <c r="FG301" s="444"/>
      <c r="FH301" s="350"/>
      <c r="FI301" s="353"/>
      <c r="FJ301" s="353"/>
      <c r="FK301" s="353"/>
      <c r="FL301" s="376"/>
      <c r="FM301" s="376"/>
      <c r="FN301" s="377"/>
      <c r="FO301" s="377"/>
      <c r="FP301" s="377"/>
      <c r="FQ301" s="377"/>
      <c r="FR301" s="377"/>
      <c r="FS301" s="377"/>
      <c r="FT301" s="444"/>
      <c r="FU301"/>
      <c r="FV301"/>
      <c r="FW301"/>
      <c r="FX301"/>
      <c r="FY301"/>
      <c r="FZ301"/>
      <c r="GA301" s="345"/>
    </row>
    <row r="302" spans="1:183" s="206" customFormat="1" ht="12.75" hidden="1" customHeight="1" x14ac:dyDescent="0.2">
      <c r="A302" s="23" t="s">
        <v>281</v>
      </c>
      <c r="B302" s="205"/>
      <c r="C302" s="205"/>
      <c r="D302" s="205"/>
      <c r="E302" s="205"/>
      <c r="F302" s="114"/>
      <c r="G302" s="205"/>
      <c r="H302" s="205"/>
      <c r="I302" s="205"/>
      <c r="J302" s="205"/>
      <c r="K302" s="114"/>
      <c r="L302" s="205"/>
      <c r="M302" s="205"/>
      <c r="N302" s="205"/>
      <c r="O302" s="205"/>
      <c r="P302" s="114"/>
      <c r="Q302" s="205"/>
      <c r="R302" s="205"/>
      <c r="S302" s="205"/>
      <c r="T302" s="205"/>
      <c r="U302" s="114"/>
      <c r="V302" s="205"/>
      <c r="W302" s="205"/>
      <c r="X302" s="205"/>
      <c r="Y302" s="205"/>
      <c r="Z302" s="114"/>
      <c r="AA302" s="205"/>
      <c r="AB302" s="205"/>
      <c r="AC302" s="205"/>
      <c r="AD302" s="205"/>
      <c r="AE302" s="114"/>
      <c r="AF302" s="205"/>
      <c r="AG302" s="205"/>
      <c r="AH302" s="205"/>
      <c r="AI302" s="205"/>
      <c r="AJ302" s="114"/>
      <c r="AK302" s="205"/>
      <c r="AL302" s="205"/>
      <c r="AM302" s="205"/>
      <c r="AN302" s="205"/>
      <c r="AO302" s="114"/>
      <c r="AP302" s="205"/>
      <c r="AQ302" s="205"/>
      <c r="AR302" s="205"/>
      <c r="AS302" s="205"/>
      <c r="AT302" s="114"/>
      <c r="AU302" s="205"/>
      <c r="AV302" s="205"/>
      <c r="AW302" s="205"/>
      <c r="AX302" s="205"/>
      <c r="AY302" s="120">
        <f>AY250</f>
        <v>0</v>
      </c>
      <c r="AZ302" s="23"/>
      <c r="BA302" s="23"/>
      <c r="BB302" s="23"/>
      <c r="BC302" s="23"/>
      <c r="BD302" s="120">
        <f>BD250</f>
        <v>0</v>
      </c>
      <c r="BE302" s="23"/>
      <c r="BF302" s="23"/>
      <c r="BG302" s="23"/>
      <c r="BH302" s="23"/>
      <c r="BI302" s="120">
        <f>BI250</f>
        <v>0</v>
      </c>
      <c r="BJ302" s="23"/>
      <c r="BK302" s="23"/>
      <c r="BL302" s="23"/>
      <c r="BM302" s="23"/>
      <c r="BN302" s="120">
        <f>BN250</f>
        <v>0</v>
      </c>
      <c r="BO302" s="23"/>
      <c r="BP302" s="23"/>
      <c r="BQ302" s="23"/>
      <c r="BR302" s="23"/>
      <c r="BS302" s="120">
        <f>BS250</f>
        <v>0</v>
      </c>
      <c r="BT302" s="23"/>
      <c r="BU302" s="23"/>
      <c r="BV302" s="23"/>
      <c r="BW302" s="23"/>
      <c r="BX302" s="120">
        <f>BX250</f>
        <v>0</v>
      </c>
      <c r="BY302" s="23"/>
      <c r="BZ302" s="23"/>
      <c r="CA302" s="23"/>
      <c r="CB302" s="23"/>
      <c r="CC302" s="120">
        <f>CC250</f>
        <v>0</v>
      </c>
      <c r="CD302" s="23">
        <f t="shared" ref="CD302:DB302" si="1187">CD250</f>
        <v>0</v>
      </c>
      <c r="CE302" s="23">
        <f t="shared" si="1187"/>
        <v>0</v>
      </c>
      <c r="CF302" s="23">
        <f t="shared" si="1187"/>
        <v>0</v>
      </c>
      <c r="CG302" s="23">
        <f t="shared" si="1187"/>
        <v>0</v>
      </c>
      <c r="CH302" s="120">
        <f t="shared" si="1187"/>
        <v>0</v>
      </c>
      <c r="CI302" s="23">
        <f t="shared" si="1187"/>
        <v>0</v>
      </c>
      <c r="CJ302" s="23">
        <f t="shared" si="1187"/>
        <v>0</v>
      </c>
      <c r="CK302" s="23">
        <f t="shared" si="1187"/>
        <v>0</v>
      </c>
      <c r="CL302" s="23">
        <f t="shared" si="1187"/>
        <v>0</v>
      </c>
      <c r="CM302" s="120">
        <f t="shared" si="1187"/>
        <v>0</v>
      </c>
      <c r="CN302" s="23">
        <f t="shared" si="1187"/>
        <v>0</v>
      </c>
      <c r="CO302" s="23">
        <f t="shared" si="1187"/>
        <v>0</v>
      </c>
      <c r="CP302" s="23">
        <f t="shared" si="1187"/>
        <v>0</v>
      </c>
      <c r="CQ302" s="23">
        <f t="shared" si="1187"/>
        <v>0</v>
      </c>
      <c r="CR302" s="120">
        <f t="shared" si="1187"/>
        <v>0</v>
      </c>
      <c r="CS302" s="23">
        <f t="shared" si="1187"/>
        <v>89.912999999999997</v>
      </c>
      <c r="CT302" s="23">
        <f t="shared" si="1187"/>
        <v>70.766999999999996</v>
      </c>
      <c r="CU302" s="23">
        <f t="shared" si="1187"/>
        <v>55.216000000000001</v>
      </c>
      <c r="CV302" s="23">
        <f t="shared" si="1187"/>
        <v>52.39</v>
      </c>
      <c r="CW302" s="120">
        <f t="shared" si="1187"/>
        <v>52.39</v>
      </c>
      <c r="CX302" s="23">
        <f>CX250</f>
        <v>53.082999999999998</v>
      </c>
      <c r="CY302" s="23">
        <f>CY250</f>
        <v>53.816000000000003</v>
      </c>
      <c r="CZ302" s="23">
        <f>CZ250</f>
        <v>65.510000000000005</v>
      </c>
      <c r="DA302" s="23">
        <f>DA250</f>
        <v>52.728999999999999</v>
      </c>
      <c r="DB302" s="120">
        <f t="shared" si="1187"/>
        <v>52.728999999999999</v>
      </c>
      <c r="DC302" s="23">
        <f t="shared" ref="DC302:DQ302" si="1188">DC250</f>
        <v>52</v>
      </c>
      <c r="DD302" s="23">
        <f t="shared" si="1188"/>
        <v>0</v>
      </c>
      <c r="DE302" s="23">
        <f t="shared" si="1188"/>
        <v>0</v>
      </c>
      <c r="DF302" s="23">
        <f t="shared" si="1188"/>
        <v>0</v>
      </c>
      <c r="DG302" s="120">
        <f t="shared" si="1188"/>
        <v>0</v>
      </c>
      <c r="DH302" s="23">
        <f>DH250</f>
        <v>0</v>
      </c>
      <c r="DI302" s="23">
        <f>DI250</f>
        <v>0</v>
      </c>
      <c r="DJ302" s="23">
        <f>DJ250</f>
        <v>0</v>
      </c>
      <c r="DK302" s="23">
        <f>DK250</f>
        <v>0</v>
      </c>
      <c r="DL302" s="120">
        <f t="shared" si="1188"/>
        <v>0</v>
      </c>
      <c r="DM302" s="120"/>
      <c r="DN302" s="120"/>
      <c r="DO302" s="120"/>
      <c r="DP302" s="531"/>
      <c r="DQ302" s="120">
        <f t="shared" si="1188"/>
        <v>0</v>
      </c>
      <c r="DR302" s="508"/>
      <c r="DS302" s="120"/>
      <c r="DT302" s="120"/>
      <c r="DU302" s="120"/>
      <c r="DV302" s="120">
        <f>DV250</f>
        <v>0</v>
      </c>
      <c r="DW302" s="508"/>
      <c r="DX302" s="120"/>
      <c r="DY302" s="120"/>
      <c r="DZ302" s="120"/>
      <c r="EA302" s="120">
        <f>EA250</f>
        <v>0</v>
      </c>
      <c r="EB302" s="508"/>
      <c r="EC302" s="120"/>
      <c r="ED302" s="120"/>
      <c r="EE302" s="120"/>
      <c r="EF302" s="120">
        <f>EF250</f>
        <v>0</v>
      </c>
      <c r="EG302" s="120"/>
      <c r="EH302" s="120"/>
      <c r="EI302" s="120"/>
      <c r="EJ302" s="120"/>
      <c r="EK302" s="120">
        <f>EK250</f>
        <v>0</v>
      </c>
      <c r="EL302" s="120"/>
      <c r="EM302" s="120"/>
      <c r="EN302" s="120"/>
      <c r="EO302" s="120"/>
      <c r="EP302" s="120">
        <f>EP250</f>
        <v>0</v>
      </c>
      <c r="EQ302" s="120"/>
      <c r="ER302" s="120"/>
      <c r="ES302" s="120"/>
      <c r="ET302" s="120"/>
      <c r="EU302" s="120">
        <f>EU250</f>
        <v>0</v>
      </c>
      <c r="EV302" s="120"/>
      <c r="EW302" s="120"/>
      <c r="EX302" s="120"/>
      <c r="EY302" s="120"/>
      <c r="EZ302" s="120">
        <f>EZ250</f>
        <v>0</v>
      </c>
      <c r="FA302" s="120"/>
      <c r="FB302" s="120"/>
      <c r="FC302" s="120"/>
      <c r="FD302" s="120"/>
      <c r="FE302" s="120">
        <f>FE250</f>
        <v>0</v>
      </c>
      <c r="FF302" s="23"/>
      <c r="FG302" s="444"/>
      <c r="FH302" s="350"/>
      <c r="FI302" s="353"/>
      <c r="FJ302" s="353"/>
      <c r="FK302" s="353"/>
      <c r="FL302" s="376"/>
      <c r="FM302" s="376"/>
      <c r="FN302" s="377"/>
      <c r="FO302" s="377"/>
      <c r="FP302" s="377"/>
      <c r="FQ302" s="377"/>
      <c r="FR302" s="377"/>
      <c r="FS302" s="377"/>
      <c r="FT302" s="444"/>
      <c r="FU302"/>
      <c r="FV302"/>
      <c r="FW302"/>
      <c r="FX302"/>
      <c r="FY302"/>
      <c r="FZ302"/>
      <c r="GA302" s="345"/>
    </row>
    <row r="303" spans="1:183" ht="12.75" hidden="1" customHeight="1" x14ac:dyDescent="0.2">
      <c r="A303" s="33" t="s">
        <v>282</v>
      </c>
      <c r="B303" s="184"/>
      <c r="C303" s="184"/>
      <c r="D303" s="184"/>
      <c r="E303" s="184"/>
      <c r="F303" s="279"/>
      <c r="G303" s="184"/>
      <c r="H303" s="184"/>
      <c r="I303" s="184"/>
      <c r="J303" s="184"/>
      <c r="K303" s="279"/>
      <c r="L303" s="184"/>
      <c r="M303" s="184"/>
      <c r="N303" s="184"/>
      <c r="O303" s="184"/>
      <c r="P303" s="279"/>
      <c r="Q303" s="184"/>
      <c r="R303" s="184"/>
      <c r="S303" s="184"/>
      <c r="T303" s="184"/>
      <c r="U303" s="279"/>
      <c r="V303" s="184"/>
      <c r="W303" s="184"/>
      <c r="X303" s="184"/>
      <c r="Y303" s="184"/>
      <c r="Z303" s="279"/>
      <c r="AA303" s="184"/>
      <c r="AB303" s="184"/>
      <c r="AC303" s="184"/>
      <c r="AD303" s="184"/>
      <c r="AE303" s="279"/>
      <c r="AF303" s="184"/>
      <c r="AG303" s="184"/>
      <c r="AH303" s="184"/>
      <c r="AI303" s="184"/>
      <c r="AJ303" s="279"/>
      <c r="AK303" s="184"/>
      <c r="AL303" s="184"/>
      <c r="AM303" s="184"/>
      <c r="AN303" s="184"/>
      <c r="AO303" s="279"/>
      <c r="AP303" s="184"/>
      <c r="AQ303" s="184"/>
      <c r="AR303" s="184"/>
      <c r="AS303" s="184"/>
      <c r="AT303" s="279"/>
      <c r="AU303" s="184"/>
      <c r="AV303" s="184"/>
      <c r="AW303" s="184"/>
      <c r="AX303" s="184"/>
      <c r="AY303" s="103"/>
      <c r="AZ303" s="33"/>
      <c r="BA303" s="33"/>
      <c r="BB303" s="33"/>
      <c r="BC303" s="33"/>
      <c r="BD303" s="103"/>
      <c r="BE303" s="33"/>
      <c r="BF303" s="33"/>
      <c r="BG303" s="33"/>
      <c r="BH303" s="33"/>
      <c r="BI303" s="103"/>
      <c r="BJ303" s="33"/>
      <c r="BK303" s="33"/>
      <c r="BL303" s="33"/>
      <c r="BM303" s="33"/>
      <c r="BN303" s="103"/>
      <c r="BO303" s="33"/>
      <c r="BP303" s="33"/>
      <c r="BQ303" s="33"/>
      <c r="BR303" s="33"/>
      <c r="BS303" s="103"/>
      <c r="BT303" s="33"/>
      <c r="BU303" s="33"/>
      <c r="BV303" s="33"/>
      <c r="BW303" s="33"/>
      <c r="BX303" s="103"/>
      <c r="BY303" s="33"/>
      <c r="BZ303" s="33"/>
      <c r="CA303" s="33"/>
      <c r="CB303" s="33"/>
      <c r="CC303" s="103"/>
      <c r="CD303" s="33"/>
      <c r="CE303" s="33"/>
      <c r="CF303" s="33"/>
      <c r="CG303" s="33"/>
      <c r="CH303" s="103"/>
      <c r="CI303" s="33"/>
      <c r="CJ303" s="33"/>
      <c r="CK303" s="33"/>
      <c r="CL303" s="33"/>
      <c r="CM303" s="103"/>
      <c r="CN303" s="33"/>
      <c r="CO303" s="33"/>
      <c r="CP303" s="33"/>
      <c r="CQ303" s="33"/>
      <c r="CR303" s="103"/>
      <c r="CS303" s="33"/>
      <c r="CT303" s="47"/>
      <c r="CU303" s="47">
        <v>0</v>
      </c>
      <c r="CV303" s="47">
        <v>0</v>
      </c>
      <c r="CW303" s="118">
        <v>0</v>
      </c>
      <c r="CX303" s="47">
        <v>0</v>
      </c>
      <c r="CY303" s="47">
        <v>0</v>
      </c>
      <c r="CZ303" s="47">
        <v>0</v>
      </c>
      <c r="DA303" s="47">
        <v>0</v>
      </c>
      <c r="DB303" s="118">
        <v>0</v>
      </c>
      <c r="DC303" s="47">
        <v>0</v>
      </c>
      <c r="DD303" s="47">
        <v>0</v>
      </c>
      <c r="DE303" s="47">
        <v>0</v>
      </c>
      <c r="DF303" s="47">
        <v>0</v>
      </c>
      <c r="DG303" s="118">
        <v>0</v>
      </c>
      <c r="DH303" s="47">
        <v>0</v>
      </c>
      <c r="DI303" s="47">
        <v>0</v>
      </c>
      <c r="DJ303" s="47">
        <v>0</v>
      </c>
      <c r="DK303" s="47">
        <v>0</v>
      </c>
      <c r="DL303" s="118">
        <v>0</v>
      </c>
      <c r="DM303" s="118"/>
      <c r="DN303" s="118"/>
      <c r="DO303" s="118"/>
      <c r="DP303" s="532"/>
      <c r="DQ303" s="118">
        <v>0</v>
      </c>
      <c r="DR303" s="549"/>
      <c r="DS303" s="118"/>
      <c r="DT303" s="118"/>
      <c r="DU303" s="118"/>
      <c r="DV303" s="118">
        <v>0</v>
      </c>
      <c r="DW303" s="549"/>
      <c r="DX303" s="118"/>
      <c r="DY303" s="118"/>
      <c r="DZ303" s="118"/>
      <c r="EA303" s="118">
        <v>0</v>
      </c>
      <c r="EB303" s="549"/>
      <c r="EC303" s="118"/>
      <c r="ED303" s="118"/>
      <c r="EE303" s="118"/>
      <c r="EF303" s="118">
        <v>0</v>
      </c>
      <c r="EG303" s="118"/>
      <c r="EH303" s="118"/>
      <c r="EI303" s="118"/>
      <c r="EJ303" s="118"/>
      <c r="EK303" s="118">
        <v>0</v>
      </c>
      <c r="EL303" s="118"/>
      <c r="EM303" s="118"/>
      <c r="EN303" s="118"/>
      <c r="EO303" s="118"/>
      <c r="EP303" s="118">
        <v>0</v>
      </c>
      <c r="EQ303" s="118"/>
      <c r="ER303" s="118"/>
      <c r="ES303" s="118"/>
      <c r="ET303" s="118"/>
      <c r="EU303" s="118">
        <v>0</v>
      </c>
      <c r="EV303" s="118"/>
      <c r="EW303" s="118"/>
      <c r="EX303" s="118"/>
      <c r="EY303" s="118"/>
      <c r="EZ303" s="118">
        <v>0</v>
      </c>
      <c r="FA303" s="118"/>
      <c r="FB303" s="118"/>
      <c r="FC303" s="118"/>
      <c r="FD303" s="118"/>
      <c r="FE303" s="118">
        <v>0</v>
      </c>
      <c r="FF303" s="40"/>
      <c r="FG303" s="190"/>
      <c r="FL303" s="406"/>
      <c r="FM303" s="406"/>
      <c r="FN303" s="368"/>
      <c r="FO303" s="368"/>
      <c r="FP303" s="368"/>
      <c r="FQ303" s="368"/>
      <c r="FR303" s="368"/>
      <c r="FS303" s="368"/>
      <c r="FT303" s="190"/>
    </row>
    <row r="304" spans="1:183" ht="12.75" hidden="1" customHeight="1" x14ac:dyDescent="0.2">
      <c r="A304" s="33" t="s">
        <v>283</v>
      </c>
      <c r="B304" s="184"/>
      <c r="C304" s="184"/>
      <c r="D304" s="184"/>
      <c r="E304" s="184"/>
      <c r="F304" s="279"/>
      <c r="G304" s="184"/>
      <c r="H304" s="184"/>
      <c r="I304" s="184"/>
      <c r="J304" s="184"/>
      <c r="K304" s="279"/>
      <c r="L304" s="184"/>
      <c r="M304" s="184"/>
      <c r="N304" s="184"/>
      <c r="O304" s="184"/>
      <c r="P304" s="279"/>
      <c r="Q304" s="184"/>
      <c r="R304" s="184"/>
      <c r="S304" s="184"/>
      <c r="T304" s="184"/>
      <c r="U304" s="279"/>
      <c r="V304" s="184"/>
      <c r="W304" s="184"/>
      <c r="X304" s="184"/>
      <c r="Y304" s="184"/>
      <c r="Z304" s="279"/>
      <c r="AA304" s="184"/>
      <c r="AB304" s="184"/>
      <c r="AC304" s="184"/>
      <c r="AD304" s="184"/>
      <c r="AE304" s="279"/>
      <c r="AF304" s="184"/>
      <c r="AG304" s="184"/>
      <c r="AH304" s="184"/>
      <c r="AI304" s="184"/>
      <c r="AJ304" s="279"/>
      <c r="AK304" s="184"/>
      <c r="AL304" s="184"/>
      <c r="AM304" s="184"/>
      <c r="AN304" s="184"/>
      <c r="AO304" s="279"/>
      <c r="AP304" s="184"/>
      <c r="AQ304" s="184"/>
      <c r="AR304" s="184"/>
      <c r="AS304" s="184"/>
      <c r="AT304" s="279"/>
      <c r="AU304" s="184"/>
      <c r="AV304" s="184"/>
      <c r="AW304" s="184"/>
      <c r="AX304" s="184"/>
      <c r="AY304" s="103"/>
      <c r="AZ304" s="33"/>
      <c r="BA304" s="33"/>
      <c r="BB304" s="33"/>
      <c r="BC304" s="33"/>
      <c r="BD304" s="103"/>
      <c r="BE304" s="33"/>
      <c r="BF304" s="33"/>
      <c r="BG304" s="33"/>
      <c r="BH304" s="33"/>
      <c r="BI304" s="103"/>
      <c r="BJ304" s="33"/>
      <c r="BK304" s="33"/>
      <c r="BL304" s="33"/>
      <c r="BM304" s="33"/>
      <c r="BN304" s="103"/>
      <c r="BO304" s="33"/>
      <c r="BP304" s="33"/>
      <c r="BQ304" s="33"/>
      <c r="BR304" s="33"/>
      <c r="BS304" s="103"/>
      <c r="BT304" s="33"/>
      <c r="BU304" s="33"/>
      <c r="BV304" s="33"/>
      <c r="BW304" s="33"/>
      <c r="BX304" s="103"/>
      <c r="BY304" s="33"/>
      <c r="BZ304" s="33"/>
      <c r="CA304" s="33"/>
      <c r="CB304" s="33"/>
      <c r="CC304" s="103"/>
      <c r="CD304" s="33"/>
      <c r="CE304" s="33"/>
      <c r="CF304" s="33"/>
      <c r="CG304" s="33"/>
      <c r="CH304" s="103"/>
      <c r="CI304" s="33"/>
      <c r="CJ304" s="33"/>
      <c r="CK304" s="33"/>
      <c r="CL304" s="33"/>
      <c r="CM304" s="103"/>
      <c r="CN304" s="33"/>
      <c r="CO304" s="33"/>
      <c r="CP304" s="33"/>
      <c r="CQ304" s="33"/>
      <c r="CR304" s="103"/>
      <c r="CS304" s="33"/>
      <c r="CT304" s="47"/>
      <c r="CU304" s="47">
        <v>600</v>
      </c>
      <c r="CV304" s="47">
        <v>600</v>
      </c>
      <c r="CW304" s="118">
        <v>600</v>
      </c>
      <c r="CX304" s="47">
        <v>725</v>
      </c>
      <c r="CY304" s="47">
        <v>725</v>
      </c>
      <c r="CZ304" s="47">
        <v>700</v>
      </c>
      <c r="DA304" s="47">
        <v>700</v>
      </c>
      <c r="DB304" s="118">
        <v>700</v>
      </c>
      <c r="DC304" s="47">
        <v>700</v>
      </c>
      <c r="DD304" s="47">
        <v>800</v>
      </c>
      <c r="DE304" s="47">
        <f t="shared" ref="DE304:DG305" si="1189">DD304</f>
        <v>800</v>
      </c>
      <c r="DF304" s="47">
        <f t="shared" si="1189"/>
        <v>800</v>
      </c>
      <c r="DG304" s="118">
        <f t="shared" si="1189"/>
        <v>800</v>
      </c>
      <c r="DH304" s="47">
        <f t="shared" ref="DH304:DK305" si="1190">DG304</f>
        <v>800</v>
      </c>
      <c r="DI304" s="47">
        <f t="shared" si="1190"/>
        <v>800</v>
      </c>
      <c r="DJ304" s="47">
        <f t="shared" si="1190"/>
        <v>800</v>
      </c>
      <c r="DK304" s="47">
        <f t="shared" si="1190"/>
        <v>800</v>
      </c>
      <c r="DL304" s="118">
        <f>DG304</f>
        <v>800</v>
      </c>
      <c r="DM304" s="118"/>
      <c r="DN304" s="118"/>
      <c r="DO304" s="118"/>
      <c r="DP304" s="532"/>
      <c r="DQ304" s="118">
        <f>DL304</f>
        <v>800</v>
      </c>
      <c r="DR304" s="549"/>
      <c r="DS304" s="118"/>
      <c r="DT304" s="118"/>
      <c r="DU304" s="118"/>
      <c r="DV304" s="118">
        <f>DQ304</f>
        <v>800</v>
      </c>
      <c r="DW304" s="549"/>
      <c r="DX304" s="118"/>
      <c r="DY304" s="118"/>
      <c r="DZ304" s="118"/>
      <c r="EA304" s="118">
        <f>DV304</f>
        <v>800</v>
      </c>
      <c r="EB304" s="549"/>
      <c r="EC304" s="118"/>
      <c r="ED304" s="118"/>
      <c r="EE304" s="118"/>
      <c r="EF304" s="118">
        <f>EA304</f>
        <v>800</v>
      </c>
      <c r="EG304" s="118"/>
      <c r="EH304" s="118"/>
      <c r="EI304" s="118"/>
      <c r="EJ304" s="118"/>
      <c r="EK304" s="118">
        <f>EF304</f>
        <v>800</v>
      </c>
      <c r="EL304" s="118"/>
      <c r="EM304" s="118"/>
      <c r="EN304" s="118"/>
      <c r="EO304" s="118"/>
      <c r="EP304" s="118">
        <f>EK304</f>
        <v>800</v>
      </c>
      <c r="EQ304" s="118"/>
      <c r="ER304" s="118"/>
      <c r="ES304" s="118"/>
      <c r="ET304" s="118"/>
      <c r="EU304" s="118">
        <f>EK304</f>
        <v>800</v>
      </c>
      <c r="EV304" s="118"/>
      <c r="EW304" s="118"/>
      <c r="EX304" s="118"/>
      <c r="EY304" s="118"/>
      <c r="EZ304" s="118">
        <f>EU304</f>
        <v>800</v>
      </c>
      <c r="FA304" s="118"/>
      <c r="FB304" s="118"/>
      <c r="FC304" s="118"/>
      <c r="FD304" s="118"/>
      <c r="FE304" s="118">
        <f>EZ304</f>
        <v>800</v>
      </c>
      <c r="FF304" s="40"/>
      <c r="FG304" s="190"/>
      <c r="FL304" s="406"/>
      <c r="FM304" s="406"/>
      <c r="FN304" s="368"/>
      <c r="FO304" s="368"/>
      <c r="FP304" s="368"/>
      <c r="FQ304" s="368"/>
      <c r="FR304" s="368"/>
      <c r="FS304" s="368"/>
      <c r="FT304" s="190"/>
    </row>
    <row r="305" spans="1:183" ht="12.75" hidden="1" customHeight="1" x14ac:dyDescent="0.2">
      <c r="A305" s="33" t="s">
        <v>333</v>
      </c>
      <c r="B305" s="184"/>
      <c r="C305" s="184"/>
      <c r="D305" s="184"/>
      <c r="E305" s="184"/>
      <c r="F305" s="279"/>
      <c r="G305" s="184"/>
      <c r="H305" s="184"/>
      <c r="I305" s="184"/>
      <c r="J305" s="184"/>
      <c r="K305" s="279"/>
      <c r="L305" s="184"/>
      <c r="M305" s="184"/>
      <c r="N305" s="184"/>
      <c r="O305" s="184"/>
      <c r="P305" s="279"/>
      <c r="Q305" s="184"/>
      <c r="R305" s="184"/>
      <c r="S305" s="184"/>
      <c r="T305" s="184"/>
      <c r="U305" s="279"/>
      <c r="V305" s="184"/>
      <c r="W305" s="184"/>
      <c r="X305" s="184"/>
      <c r="Y305" s="184"/>
      <c r="Z305" s="279"/>
      <c r="AA305" s="184"/>
      <c r="AB305" s="184"/>
      <c r="AC305" s="184"/>
      <c r="AD305" s="184"/>
      <c r="AE305" s="279"/>
      <c r="AF305" s="184"/>
      <c r="AG305" s="184"/>
      <c r="AH305" s="184"/>
      <c r="AI305" s="184"/>
      <c r="AJ305" s="279"/>
      <c r="AK305" s="184"/>
      <c r="AL305" s="184"/>
      <c r="AM305" s="184"/>
      <c r="AN305" s="184"/>
      <c r="AO305" s="279"/>
      <c r="AP305" s="184"/>
      <c r="AQ305" s="184"/>
      <c r="AR305" s="184"/>
      <c r="AS305" s="184"/>
      <c r="AT305" s="279"/>
      <c r="AU305" s="184"/>
      <c r="AV305" s="184"/>
      <c r="AW305" s="184"/>
      <c r="AX305" s="184"/>
      <c r="AY305" s="103"/>
      <c r="AZ305" s="33"/>
      <c r="BA305" s="33"/>
      <c r="BB305" s="33"/>
      <c r="BC305" s="33"/>
      <c r="BD305" s="103"/>
      <c r="BE305" s="33"/>
      <c r="BF305" s="33"/>
      <c r="BG305" s="33"/>
      <c r="BH305" s="33"/>
      <c r="BI305" s="103"/>
      <c r="BJ305" s="33"/>
      <c r="BK305" s="33"/>
      <c r="BL305" s="33"/>
      <c r="BM305" s="33"/>
      <c r="BN305" s="103"/>
      <c r="BO305" s="33"/>
      <c r="BP305" s="33"/>
      <c r="BQ305" s="33"/>
      <c r="BR305" s="33"/>
      <c r="BS305" s="103"/>
      <c r="BT305" s="33"/>
      <c r="BU305" s="33"/>
      <c r="BV305" s="33"/>
      <c r="BW305" s="33"/>
      <c r="BX305" s="103"/>
      <c r="BY305" s="33"/>
      <c r="BZ305" s="33"/>
      <c r="CA305" s="33"/>
      <c r="CB305" s="33"/>
      <c r="CC305" s="103"/>
      <c r="CD305" s="33"/>
      <c r="CE305" s="33"/>
      <c r="CF305" s="33"/>
      <c r="CG305" s="33"/>
      <c r="CH305" s="103"/>
      <c r="CI305" s="33"/>
      <c r="CJ305" s="33"/>
      <c r="CK305" s="33"/>
      <c r="CL305" s="33"/>
      <c r="CM305" s="103"/>
      <c r="CN305" s="33"/>
      <c r="CO305" s="33"/>
      <c r="CP305" s="33"/>
      <c r="CQ305" s="33"/>
      <c r="CR305" s="103"/>
      <c r="CS305" s="33"/>
      <c r="CT305" s="47"/>
      <c r="CU305" s="47"/>
      <c r="CV305" s="47"/>
      <c r="CW305" s="118"/>
      <c r="CX305" s="47"/>
      <c r="CY305" s="47"/>
      <c r="CZ305" s="47"/>
      <c r="DA305" s="47">
        <v>6500</v>
      </c>
      <c r="DB305" s="118">
        <f>DA305</f>
        <v>6500</v>
      </c>
      <c r="DC305" s="47">
        <f>DB305</f>
        <v>6500</v>
      </c>
      <c r="DD305" s="47">
        <f>DC305</f>
        <v>6500</v>
      </c>
      <c r="DE305" s="47">
        <f t="shared" si="1189"/>
        <v>6500</v>
      </c>
      <c r="DF305" s="47">
        <f t="shared" si="1189"/>
        <v>6500</v>
      </c>
      <c r="DG305" s="118">
        <f t="shared" si="1189"/>
        <v>6500</v>
      </c>
      <c r="DH305" s="47">
        <f t="shared" si="1190"/>
        <v>6500</v>
      </c>
      <c r="DI305" s="47">
        <f t="shared" si="1190"/>
        <v>6500</v>
      </c>
      <c r="DJ305" s="47">
        <f t="shared" si="1190"/>
        <v>6500</v>
      </c>
      <c r="DK305" s="47">
        <f t="shared" si="1190"/>
        <v>6500</v>
      </c>
      <c r="DL305" s="118">
        <f>DG305</f>
        <v>6500</v>
      </c>
      <c r="DM305" s="118"/>
      <c r="DN305" s="118"/>
      <c r="DO305" s="118"/>
      <c r="DP305" s="532"/>
      <c r="DQ305" s="118">
        <f>DL305</f>
        <v>6500</v>
      </c>
      <c r="DR305" s="549"/>
      <c r="DS305" s="118"/>
      <c r="DT305" s="118"/>
      <c r="DU305" s="118"/>
      <c r="DV305" s="118">
        <f>DQ305</f>
        <v>6500</v>
      </c>
      <c r="DW305" s="549"/>
      <c r="DX305" s="118"/>
      <c r="DY305" s="118"/>
      <c r="DZ305" s="118"/>
      <c r="EA305" s="118">
        <f>DV305</f>
        <v>6500</v>
      </c>
      <c r="EB305" s="549"/>
      <c r="EC305" s="118"/>
      <c r="ED305" s="118"/>
      <c r="EE305" s="118"/>
      <c r="EF305" s="118">
        <f>EA305</f>
        <v>6500</v>
      </c>
      <c r="EG305" s="118"/>
      <c r="EH305" s="118"/>
      <c r="EI305" s="118"/>
      <c r="EJ305" s="118"/>
      <c r="EK305" s="118">
        <f>EF305</f>
        <v>6500</v>
      </c>
      <c r="EL305" s="118"/>
      <c r="EM305" s="118"/>
      <c r="EN305" s="118"/>
      <c r="EO305" s="118"/>
      <c r="EP305" s="118">
        <f>EK305</f>
        <v>6500</v>
      </c>
      <c r="EQ305" s="118"/>
      <c r="ER305" s="118"/>
      <c r="ES305" s="118"/>
      <c r="ET305" s="118"/>
      <c r="EU305" s="118">
        <f>EK305</f>
        <v>6500</v>
      </c>
      <c r="EV305" s="118"/>
      <c r="EW305" s="118"/>
      <c r="EX305" s="118"/>
      <c r="EY305" s="118"/>
      <c r="EZ305" s="118">
        <f>EU305</f>
        <v>6500</v>
      </c>
      <c r="FA305" s="118"/>
      <c r="FB305" s="118"/>
      <c r="FC305" s="118"/>
      <c r="FD305" s="118"/>
      <c r="FE305" s="118">
        <f>EZ305</f>
        <v>6500</v>
      </c>
      <c r="FF305" s="40"/>
      <c r="FG305" s="190"/>
      <c r="FL305" s="406"/>
      <c r="FM305" s="406"/>
      <c r="FN305" s="368"/>
      <c r="FO305" s="368"/>
      <c r="FP305" s="368"/>
      <c r="FQ305" s="368"/>
      <c r="FR305" s="368"/>
      <c r="FS305" s="368"/>
      <c r="FT305" s="190"/>
    </row>
    <row r="306" spans="1:183" ht="12.75" hidden="1" customHeight="1" x14ac:dyDescent="0.2">
      <c r="A306" s="48" t="s">
        <v>334</v>
      </c>
      <c r="B306" s="184"/>
      <c r="C306" s="184"/>
      <c r="D306" s="184"/>
      <c r="E306" s="184"/>
      <c r="F306" s="279"/>
      <c r="G306" s="184"/>
      <c r="H306" s="184"/>
      <c r="I306" s="184"/>
      <c r="J306" s="184"/>
      <c r="K306" s="279"/>
      <c r="L306" s="184"/>
      <c r="M306" s="184"/>
      <c r="N306" s="184"/>
      <c r="O306" s="184"/>
      <c r="P306" s="279"/>
      <c r="Q306" s="184"/>
      <c r="R306" s="184"/>
      <c r="S306" s="184"/>
      <c r="T306" s="184"/>
      <c r="U306" s="279"/>
      <c r="V306" s="184"/>
      <c r="W306" s="184"/>
      <c r="X306" s="184"/>
      <c r="Y306" s="184"/>
      <c r="Z306" s="279"/>
      <c r="AA306" s="184"/>
      <c r="AB306" s="184"/>
      <c r="AC306" s="184"/>
      <c r="AD306" s="184"/>
      <c r="AE306" s="279"/>
      <c r="AF306" s="184"/>
      <c r="AG306" s="184"/>
      <c r="AH306" s="184"/>
      <c r="AI306" s="184"/>
      <c r="AJ306" s="279"/>
      <c r="AK306" s="184"/>
      <c r="AL306" s="184"/>
      <c r="AM306" s="184"/>
      <c r="AN306" s="184"/>
      <c r="AO306" s="279"/>
      <c r="AP306" s="184"/>
      <c r="AQ306" s="184"/>
      <c r="AR306" s="184"/>
      <c r="AS306" s="184"/>
      <c r="AT306" s="279"/>
      <c r="AU306" s="184"/>
      <c r="AV306" s="184"/>
      <c r="AW306" s="184"/>
      <c r="AX306" s="184"/>
      <c r="AY306" s="104"/>
      <c r="AZ306" s="24"/>
      <c r="BA306" s="24"/>
      <c r="BB306" s="24"/>
      <c r="BC306" s="24"/>
      <c r="BD306" s="104"/>
      <c r="BE306" s="24"/>
      <c r="BF306" s="24"/>
      <c r="BG306" s="24"/>
      <c r="BH306" s="24"/>
      <c r="BI306" s="104"/>
      <c r="BJ306" s="24"/>
      <c r="BK306" s="24"/>
      <c r="BL306" s="24"/>
      <c r="BM306" s="24"/>
      <c r="BN306" s="104"/>
      <c r="BO306" s="24"/>
      <c r="BP306" s="24"/>
      <c r="BQ306" s="24"/>
      <c r="BR306" s="24"/>
      <c r="BS306" s="104"/>
      <c r="BT306" s="24"/>
      <c r="BU306" s="24"/>
      <c r="BV306" s="24"/>
      <c r="BW306" s="24"/>
      <c r="BX306" s="104"/>
      <c r="BY306" s="24"/>
      <c r="BZ306" s="24"/>
      <c r="CA306" s="24"/>
      <c r="CB306" s="24"/>
      <c r="CC306" s="104"/>
      <c r="CD306" s="24"/>
      <c r="CE306" s="24"/>
      <c r="CF306" s="24"/>
      <c r="CG306" s="24"/>
      <c r="CH306" s="104"/>
      <c r="CI306" s="24"/>
      <c r="CJ306" s="24"/>
      <c r="CK306" s="24"/>
      <c r="CL306" s="24"/>
      <c r="CM306" s="104"/>
      <c r="CN306" s="24"/>
      <c r="CO306" s="24"/>
      <c r="CP306" s="24"/>
      <c r="CQ306" s="24"/>
      <c r="CR306" s="104"/>
      <c r="CS306" s="24"/>
      <c r="CT306" s="170"/>
      <c r="CU306" s="170">
        <v>0.3</v>
      </c>
      <c r="CV306" s="170">
        <v>0.3</v>
      </c>
      <c r="CW306" s="326">
        <v>0.3</v>
      </c>
      <c r="CX306" s="170">
        <v>0.3</v>
      </c>
      <c r="CY306" s="170">
        <v>0.3</v>
      </c>
      <c r="CZ306" s="170">
        <v>0.3</v>
      </c>
      <c r="DA306" s="170">
        <v>0.3</v>
      </c>
      <c r="DB306" s="326">
        <v>0.3</v>
      </c>
      <c r="DC306" s="170">
        <v>0.3</v>
      </c>
      <c r="DD306" s="170">
        <v>0.3</v>
      </c>
      <c r="DE306" s="170">
        <v>0.3</v>
      </c>
      <c r="DF306" s="170">
        <v>0.3</v>
      </c>
      <c r="DG306" s="326">
        <v>0.3</v>
      </c>
      <c r="DH306" s="170">
        <v>0.3</v>
      </c>
      <c r="DI306" s="170">
        <v>0.3</v>
      </c>
      <c r="DJ306" s="170">
        <v>0.3</v>
      </c>
      <c r="DK306" s="170">
        <v>0.3</v>
      </c>
      <c r="DL306" s="326">
        <v>0.3</v>
      </c>
      <c r="DM306" s="326"/>
      <c r="DN306" s="326"/>
      <c r="DO306" s="326"/>
      <c r="DP306" s="533"/>
      <c r="DQ306" s="326">
        <v>0.3</v>
      </c>
      <c r="DR306" s="551"/>
      <c r="DS306" s="326"/>
      <c r="DT306" s="326"/>
      <c r="DU306" s="326"/>
      <c r="DV306" s="326">
        <v>0.3</v>
      </c>
      <c r="DW306" s="551"/>
      <c r="DX306" s="326"/>
      <c r="DY306" s="326"/>
      <c r="DZ306" s="326"/>
      <c r="EA306" s="326">
        <v>0.3</v>
      </c>
      <c r="EB306" s="551"/>
      <c r="EC306" s="326"/>
      <c r="ED306" s="326"/>
      <c r="EE306" s="326"/>
      <c r="EF306" s="326">
        <v>0.3</v>
      </c>
      <c r="EG306" s="326"/>
      <c r="EH306" s="326"/>
      <c r="EI306" s="326"/>
      <c r="EJ306" s="326"/>
      <c r="EK306" s="326">
        <v>0.3</v>
      </c>
      <c r="EL306" s="326"/>
      <c r="EM306" s="326"/>
      <c r="EN306" s="326"/>
      <c r="EO306" s="326"/>
      <c r="EP306" s="326">
        <v>0.3</v>
      </c>
      <c r="EQ306" s="326"/>
      <c r="ER306" s="326"/>
      <c r="ES306" s="326"/>
      <c r="ET306" s="326"/>
      <c r="EU306" s="326">
        <v>0.3</v>
      </c>
      <c r="EV306" s="326"/>
      <c r="EW306" s="326"/>
      <c r="EX306" s="326"/>
      <c r="EY306" s="326"/>
      <c r="EZ306" s="326">
        <v>0.3</v>
      </c>
      <c r="FA306" s="326"/>
      <c r="FB306" s="326"/>
      <c r="FC306" s="326"/>
      <c r="FD306" s="326"/>
      <c r="FE306" s="326">
        <v>0.3</v>
      </c>
      <c r="FF306" s="40"/>
      <c r="FG306" s="190"/>
      <c r="FL306" s="406"/>
      <c r="FM306" s="406"/>
      <c r="FN306" s="368"/>
      <c r="FO306" s="368"/>
      <c r="FP306" s="368"/>
      <c r="FQ306" s="368"/>
      <c r="FR306" s="368"/>
      <c r="FS306" s="368"/>
      <c r="FT306" s="190"/>
    </row>
    <row r="307" spans="1:183" ht="12.75" hidden="1" customHeight="1" x14ac:dyDescent="0.2">
      <c r="A307" s="49"/>
      <c r="B307" s="184"/>
      <c r="C307" s="184"/>
      <c r="D307" s="184"/>
      <c r="E307" s="184"/>
      <c r="F307" s="279"/>
      <c r="G307" s="184"/>
      <c r="H307" s="184"/>
      <c r="I307" s="184"/>
      <c r="J307" s="184"/>
      <c r="K307" s="279"/>
      <c r="L307" s="184"/>
      <c r="M307" s="184"/>
      <c r="N307" s="184"/>
      <c r="O307" s="184"/>
      <c r="P307" s="279"/>
      <c r="Q307" s="184"/>
      <c r="R307" s="184"/>
      <c r="S307" s="184"/>
      <c r="T307" s="184"/>
      <c r="U307" s="279"/>
      <c r="V307" s="184"/>
      <c r="W307" s="184"/>
      <c r="X307" s="184"/>
      <c r="Y307" s="184"/>
      <c r="Z307" s="279"/>
      <c r="AA307" s="184"/>
      <c r="AB307" s="184"/>
      <c r="AC307" s="184"/>
      <c r="AD307" s="184"/>
      <c r="AE307" s="279"/>
      <c r="AF307" s="184"/>
      <c r="AG307" s="184"/>
      <c r="AH307" s="184"/>
      <c r="AI307" s="184"/>
      <c r="AJ307" s="279"/>
      <c r="AK307" s="184"/>
      <c r="AL307" s="184"/>
      <c r="AM307" s="184"/>
      <c r="AN307" s="184"/>
      <c r="AO307" s="279"/>
      <c r="AP307" s="184"/>
      <c r="AQ307" s="184"/>
      <c r="AR307" s="184"/>
      <c r="AS307" s="184"/>
      <c r="AT307" s="279"/>
      <c r="AU307" s="184"/>
      <c r="AV307" s="184"/>
      <c r="AW307" s="184"/>
      <c r="AX307" s="184"/>
      <c r="AY307" s="113"/>
      <c r="AZ307" s="30"/>
      <c r="BA307" s="30"/>
      <c r="BB307" s="30"/>
      <c r="BC307" s="30"/>
      <c r="BD307" s="113"/>
      <c r="BE307" s="30"/>
      <c r="BF307" s="30"/>
      <c r="BG307" s="30"/>
      <c r="BH307" s="30"/>
      <c r="BI307" s="113"/>
      <c r="BJ307" s="30"/>
      <c r="BK307" s="30"/>
      <c r="BL307" s="30"/>
      <c r="BM307" s="30"/>
      <c r="BN307" s="113"/>
      <c r="BO307" s="30"/>
      <c r="BP307" s="30"/>
      <c r="BQ307" s="30"/>
      <c r="BR307" s="30"/>
      <c r="BS307" s="113"/>
      <c r="BT307" s="30"/>
      <c r="BU307" s="30"/>
      <c r="BV307" s="30"/>
      <c r="BW307" s="30"/>
      <c r="BX307" s="113"/>
      <c r="BY307" s="30"/>
      <c r="BZ307" s="30"/>
      <c r="CA307" s="30"/>
      <c r="CB307" s="30"/>
      <c r="CC307" s="113"/>
      <c r="CD307" s="30"/>
      <c r="CE307" s="30"/>
      <c r="CF307" s="30"/>
      <c r="CG307" s="30"/>
      <c r="CH307" s="113"/>
      <c r="CI307" s="30"/>
      <c r="CJ307" s="30"/>
      <c r="CK307" s="30"/>
      <c r="CL307" s="30"/>
      <c r="CM307" s="113"/>
      <c r="CN307" s="30"/>
      <c r="CO307" s="30"/>
      <c r="CP307" s="30"/>
      <c r="CQ307" s="30"/>
      <c r="CR307" s="113"/>
      <c r="CS307" s="30"/>
      <c r="CT307" s="30"/>
      <c r="CU307" s="30"/>
      <c r="CV307" s="30"/>
      <c r="CW307" s="113"/>
      <c r="CX307" s="30"/>
      <c r="CY307" s="30"/>
      <c r="CZ307" s="30"/>
      <c r="DA307" s="30"/>
      <c r="DB307" s="113"/>
      <c r="DC307" s="30"/>
      <c r="DD307" s="30"/>
      <c r="DE307" s="30"/>
      <c r="DF307" s="30"/>
      <c r="DG307" s="113"/>
      <c r="DH307" s="30"/>
      <c r="DI307" s="30"/>
      <c r="DJ307" s="30"/>
      <c r="DK307" s="30"/>
      <c r="DL307" s="113"/>
      <c r="DM307" s="113"/>
      <c r="DN307" s="113"/>
      <c r="DO307" s="113"/>
      <c r="DP307" s="534"/>
      <c r="DQ307" s="113"/>
      <c r="DR307" s="552"/>
      <c r="DS307" s="113"/>
      <c r="DT307" s="113"/>
      <c r="DU307" s="113"/>
      <c r="DV307" s="113"/>
      <c r="DW307" s="552"/>
      <c r="DX307" s="113"/>
      <c r="DY307" s="113"/>
      <c r="DZ307" s="113"/>
      <c r="EA307" s="113"/>
      <c r="EB307" s="552"/>
      <c r="EC307" s="113"/>
      <c r="ED307" s="113"/>
      <c r="EE307" s="113"/>
      <c r="EF307" s="113"/>
      <c r="EG307" s="113"/>
      <c r="EH307" s="113"/>
      <c r="EI307" s="113"/>
      <c r="EJ307" s="113"/>
      <c r="EK307" s="113"/>
      <c r="EL307" s="113"/>
      <c r="EM307" s="113"/>
      <c r="EN307" s="113"/>
      <c r="EO307" s="113"/>
      <c r="EP307" s="113"/>
      <c r="EQ307" s="113"/>
      <c r="ER307" s="113"/>
      <c r="ES307" s="113"/>
      <c r="ET307" s="113"/>
      <c r="EU307" s="113"/>
      <c r="EV307" s="113"/>
      <c r="EW307" s="113"/>
      <c r="EX307" s="113"/>
      <c r="EY307" s="113"/>
      <c r="EZ307" s="113"/>
      <c r="FA307" s="113"/>
      <c r="FB307" s="113"/>
      <c r="FC307" s="113"/>
      <c r="FD307" s="113"/>
      <c r="FE307" s="113"/>
      <c r="FF307" s="40"/>
      <c r="FG307" s="190"/>
      <c r="FL307" s="406"/>
      <c r="FM307" s="406"/>
      <c r="FN307" s="368"/>
      <c r="FO307" s="368"/>
      <c r="FP307" s="368"/>
      <c r="FQ307" s="368"/>
      <c r="FR307" s="368"/>
      <c r="FS307" s="368"/>
      <c r="FT307" s="190"/>
    </row>
    <row r="308" spans="1:183" ht="12.75" hidden="1" customHeight="1" x14ac:dyDescent="0.2">
      <c r="A308" s="37" t="s">
        <v>335</v>
      </c>
      <c r="B308" s="184"/>
      <c r="C308" s="184"/>
      <c r="D308" s="184"/>
      <c r="E308" s="184"/>
      <c r="F308" s="279"/>
      <c r="G308" s="184"/>
      <c r="H308" s="184"/>
      <c r="I308" s="184"/>
      <c r="J308" s="184"/>
      <c r="K308" s="279"/>
      <c r="L308" s="184"/>
      <c r="M308" s="184"/>
      <c r="N308" s="184"/>
      <c r="O308" s="184"/>
      <c r="P308" s="279"/>
      <c r="Q308" s="184"/>
      <c r="R308" s="184"/>
      <c r="S308" s="184"/>
      <c r="T308" s="184"/>
      <c r="U308" s="279"/>
      <c r="V308" s="184"/>
      <c r="W308" s="184"/>
      <c r="X308" s="184"/>
      <c r="Y308" s="184"/>
      <c r="Z308" s="279"/>
      <c r="AA308" s="184"/>
      <c r="AB308" s="184"/>
      <c r="AC308" s="184"/>
      <c r="AD308" s="184"/>
      <c r="AE308" s="279"/>
      <c r="AF308" s="184"/>
      <c r="AG308" s="184"/>
      <c r="AH308" s="184"/>
      <c r="AI308" s="184"/>
      <c r="AJ308" s="279"/>
      <c r="AK308" s="184"/>
      <c r="AL308" s="184"/>
      <c r="AM308" s="184"/>
      <c r="AN308" s="184"/>
      <c r="AO308" s="279"/>
      <c r="AP308" s="184"/>
      <c r="AQ308" s="184"/>
      <c r="AR308" s="184"/>
      <c r="AS308" s="184"/>
      <c r="AT308" s="279"/>
      <c r="AU308" s="184"/>
      <c r="AV308" s="184"/>
      <c r="AW308" s="184"/>
      <c r="AX308" s="184"/>
      <c r="AY308" s="113"/>
      <c r="AZ308" s="30"/>
      <c r="BA308" s="30"/>
      <c r="BB308" s="30"/>
      <c r="BC308" s="30"/>
      <c r="BD308" s="113"/>
      <c r="BE308" s="30"/>
      <c r="BF308" s="30"/>
      <c r="BG308" s="30"/>
      <c r="BH308" s="30"/>
      <c r="BI308" s="113"/>
      <c r="BJ308" s="30"/>
      <c r="BK308" s="30"/>
      <c r="BL308" s="30"/>
      <c r="BM308" s="30"/>
      <c r="BN308" s="113"/>
      <c r="BO308" s="30"/>
      <c r="BP308" s="30"/>
      <c r="BQ308" s="30"/>
      <c r="BR308" s="30"/>
      <c r="BS308" s="113"/>
      <c r="BT308" s="30"/>
      <c r="BU308" s="30"/>
      <c r="BV308" s="30"/>
      <c r="BW308" s="30"/>
      <c r="BX308" s="113"/>
      <c r="BY308" s="30"/>
      <c r="BZ308" s="30"/>
      <c r="CA308" s="30"/>
      <c r="CB308" s="30"/>
      <c r="CC308" s="113"/>
      <c r="CD308" s="30"/>
      <c r="CE308" s="30"/>
      <c r="CF308" s="30"/>
      <c r="CG308" s="30"/>
      <c r="CH308" s="113"/>
      <c r="CI308" s="30"/>
      <c r="CJ308" s="30"/>
      <c r="CK308" s="30"/>
      <c r="CL308" s="30"/>
      <c r="CM308" s="113"/>
      <c r="CN308" s="30"/>
      <c r="CO308" s="30"/>
      <c r="CP308" s="30"/>
      <c r="CQ308" s="30"/>
      <c r="CR308" s="113"/>
      <c r="CS308" s="30"/>
      <c r="CT308" s="33"/>
      <c r="CU308" s="33">
        <f t="shared" ref="CU308:DQ308" si="1191">CU301+CU302+CU303+CU304+(CU305*CU306)</f>
        <v>3317.8089999999997</v>
      </c>
      <c r="CV308" s="33">
        <f t="shared" si="1191"/>
        <v>3790.0239999999999</v>
      </c>
      <c r="CW308" s="103">
        <f t="shared" si="1191"/>
        <v>3790.0239999999999</v>
      </c>
      <c r="CX308" s="33">
        <f t="shared" si="1191"/>
        <v>4085.9180000000001</v>
      </c>
      <c r="CY308" s="33">
        <f t="shared" si="1191"/>
        <v>4438.5139999999992</v>
      </c>
      <c r="CZ308" s="33">
        <f t="shared" si="1191"/>
        <v>4569.3680000000004</v>
      </c>
      <c r="DA308" s="33">
        <f t="shared" si="1191"/>
        <v>6695.0460000000003</v>
      </c>
      <c r="DB308" s="103">
        <f t="shared" si="1191"/>
        <v>6695.0460000000003</v>
      </c>
      <c r="DC308" s="33">
        <f t="shared" si="1191"/>
        <v>7167.0569999999998</v>
      </c>
      <c r="DD308" s="33">
        <f t="shared" si="1191"/>
        <v>7124.0569999999998</v>
      </c>
      <c r="DE308" s="33">
        <f t="shared" si="1191"/>
        <v>6406.0569999999998</v>
      </c>
      <c r="DF308" s="33">
        <f t="shared" si="1191"/>
        <v>5894.0569999999998</v>
      </c>
      <c r="DG308" s="103">
        <f t="shared" si="1191"/>
        <v>5894.0569999999998</v>
      </c>
      <c r="DH308" s="33">
        <f>DH301+DH302+DH303+DH304+(DH305*DH306)</f>
        <v>6534.0569999999998</v>
      </c>
      <c r="DI308" s="33">
        <f>DI301+DI302+DI303+DI304+(DI305*DI306)</f>
        <v>6006.0569999999998</v>
      </c>
      <c r="DJ308" s="33">
        <f>DJ301+DJ302+DJ303+DJ304+(DJ305*DJ306)</f>
        <v>5985.0569999999998</v>
      </c>
      <c r="DK308" s="33">
        <f>DK301+DK302+DK303+DK304+(DK305*DK306)</f>
        <v>5720.0569999999998</v>
      </c>
      <c r="DL308" s="103">
        <f t="shared" si="1191"/>
        <v>5720.0569999999998</v>
      </c>
      <c r="DM308" s="103"/>
      <c r="DN308" s="103"/>
      <c r="DO308" s="103"/>
      <c r="DP308" s="535"/>
      <c r="DQ308" s="103">
        <f t="shared" si="1191"/>
        <v>5902.0569999999998</v>
      </c>
      <c r="DR308" s="550"/>
      <c r="DS308" s="103"/>
      <c r="DT308" s="103"/>
      <c r="DU308" s="103"/>
      <c r="DV308" s="103">
        <f>DV301+DV302+DV303+DV304+(DV305*DV306)</f>
        <v>5738.0569999999998</v>
      </c>
      <c r="DW308" s="550"/>
      <c r="DX308" s="103"/>
      <c r="DY308" s="103"/>
      <c r="DZ308" s="103"/>
      <c r="EA308" s="103">
        <f>EA301+EA302+EA303+EA304+(EA305*EA306)</f>
        <v>5801.0569999999998</v>
      </c>
      <c r="EB308" s="550"/>
      <c r="EC308" s="103"/>
      <c r="ED308" s="103"/>
      <c r="EE308" s="103"/>
      <c r="EF308" s="103">
        <f>EF301+EF302+EF303+EF304+(EF305*EF306)</f>
        <v>6055.0569999999998</v>
      </c>
      <c r="EG308" s="103"/>
      <c r="EH308" s="103"/>
      <c r="EI308" s="103"/>
      <c r="EJ308" s="103"/>
      <c r="EK308" s="103">
        <f>EK301+EK302+EK303+EK304+(EK305*EK306)</f>
        <v>6023.0569999999998</v>
      </c>
      <c r="EL308" s="103"/>
      <c r="EM308" s="103"/>
      <c r="EN308" s="103"/>
      <c r="EO308" s="103"/>
      <c r="EP308" s="103">
        <f>EP301+EP302+EP303+EP304+(EP305*EP306)</f>
        <v>6023.0569999999998</v>
      </c>
      <c r="EQ308" s="103"/>
      <c r="ER308" s="103"/>
      <c r="ES308" s="103"/>
      <c r="ET308" s="103"/>
      <c r="EU308" s="103">
        <f>EU301+EU302+EU303+EU304+(EU305*EU306)</f>
        <v>5870.4791871001771</v>
      </c>
      <c r="EV308" s="103"/>
      <c r="EW308" s="103"/>
      <c r="EX308" s="103"/>
      <c r="EY308" s="103"/>
      <c r="EZ308" s="103">
        <f>EZ301+EZ302+EZ303+EZ304+(EZ305*EZ306)</f>
        <v>5560.8743475538295</v>
      </c>
      <c r="FA308" s="103"/>
      <c r="FB308" s="103"/>
      <c r="FC308" s="103"/>
      <c r="FD308" s="103"/>
      <c r="FE308" s="103">
        <f>FE301+FE302+FE303+FE304+(FE305*FE306)</f>
        <v>5744.3061710196262</v>
      </c>
      <c r="FF308" s="40"/>
      <c r="FG308" s="190"/>
      <c r="FL308" s="406"/>
      <c r="FM308" s="406"/>
      <c r="FN308" s="368"/>
      <c r="FO308" s="368"/>
      <c r="FP308" s="368"/>
      <c r="FQ308" s="368"/>
      <c r="FR308" s="368"/>
      <c r="FS308" s="368"/>
      <c r="FT308" s="190"/>
    </row>
    <row r="309" spans="1:183" ht="12.75" hidden="1" customHeight="1" x14ac:dyDescent="0.2">
      <c r="A309" s="48" t="s">
        <v>204</v>
      </c>
      <c r="B309" s="184"/>
      <c r="C309" s="184"/>
      <c r="D309" s="184"/>
      <c r="E309" s="184"/>
      <c r="F309" s="279"/>
      <c r="G309" s="184"/>
      <c r="H309" s="184"/>
      <c r="I309" s="184"/>
      <c r="J309" s="184"/>
      <c r="K309" s="279"/>
      <c r="L309" s="184"/>
      <c r="M309" s="184"/>
      <c r="N309" s="184"/>
      <c r="O309" s="184"/>
      <c r="P309" s="279"/>
      <c r="Q309" s="184"/>
      <c r="R309" s="184"/>
      <c r="S309" s="184"/>
      <c r="T309" s="184"/>
      <c r="U309" s="279"/>
      <c r="V309" s="184"/>
      <c r="W309" s="184"/>
      <c r="X309" s="184"/>
      <c r="Y309" s="184"/>
      <c r="Z309" s="279"/>
      <c r="AA309" s="184"/>
      <c r="AB309" s="184"/>
      <c r="AC309" s="184"/>
      <c r="AD309" s="184"/>
      <c r="AE309" s="279"/>
      <c r="AF309" s="184"/>
      <c r="AG309" s="184"/>
      <c r="AH309" s="184"/>
      <c r="AI309" s="184"/>
      <c r="AJ309" s="279"/>
      <c r="AK309" s="184"/>
      <c r="AL309" s="184"/>
      <c r="AM309" s="184"/>
      <c r="AN309" s="184"/>
      <c r="AO309" s="279"/>
      <c r="AP309" s="184"/>
      <c r="AQ309" s="184"/>
      <c r="AR309" s="184"/>
      <c r="AS309" s="184"/>
      <c r="AT309" s="279"/>
      <c r="AU309" s="184"/>
      <c r="AV309" s="184"/>
      <c r="AW309" s="184"/>
      <c r="AX309" s="184"/>
      <c r="AY309" s="113"/>
      <c r="AZ309" s="30"/>
      <c r="BA309" s="30"/>
      <c r="BB309" s="30"/>
      <c r="BC309" s="30"/>
      <c r="BD309" s="113"/>
      <c r="BE309" s="30"/>
      <c r="BF309" s="30"/>
      <c r="BG309" s="30"/>
      <c r="BH309" s="30"/>
      <c r="BI309" s="113"/>
      <c r="BJ309" s="30"/>
      <c r="BK309" s="30"/>
      <c r="BL309" s="30"/>
      <c r="BM309" s="30"/>
      <c r="BN309" s="113"/>
      <c r="BO309" s="30"/>
      <c r="BP309" s="30"/>
      <c r="BQ309" s="30"/>
      <c r="BR309" s="30"/>
      <c r="BS309" s="113"/>
      <c r="BT309" s="30"/>
      <c r="BU309" s="30"/>
      <c r="BV309" s="30"/>
      <c r="BW309" s="30"/>
      <c r="BX309" s="113"/>
      <c r="BY309" s="30"/>
      <c r="BZ309" s="30"/>
      <c r="CA309" s="30"/>
      <c r="CB309" s="30"/>
      <c r="CC309" s="113"/>
      <c r="CD309" s="30"/>
      <c r="CE309" s="30"/>
      <c r="CF309" s="30"/>
      <c r="CG309" s="30"/>
      <c r="CH309" s="113"/>
      <c r="CI309" s="30"/>
      <c r="CJ309" s="30"/>
      <c r="CK309" s="30"/>
      <c r="CL309" s="30"/>
      <c r="CM309" s="113"/>
      <c r="CN309" s="30"/>
      <c r="CO309" s="30"/>
      <c r="CP309" s="30"/>
      <c r="CQ309" s="30"/>
      <c r="CR309" s="113"/>
      <c r="CS309" s="30"/>
      <c r="CT309" s="24"/>
      <c r="CU309" s="24">
        <f t="shared" ref="CU309:DL309" si="1192">CU308/CU174</f>
        <v>0.27383676639421722</v>
      </c>
      <c r="CV309" s="24">
        <f t="shared" si="1192"/>
        <v>0.29860479173353716</v>
      </c>
      <c r="CW309" s="104">
        <f t="shared" si="1192"/>
        <v>0.29860479173353716</v>
      </c>
      <c r="CX309" s="24">
        <f t="shared" si="1192"/>
        <v>0.31361076546202715</v>
      </c>
      <c r="CY309" s="24">
        <f t="shared" si="1192"/>
        <v>0.32450081243751355</v>
      </c>
      <c r="CZ309" s="24">
        <f t="shared" si="1192"/>
        <v>0.32010540700586981</v>
      </c>
      <c r="DA309" s="24">
        <f t="shared" si="1192"/>
        <v>0.45469857969982769</v>
      </c>
      <c r="DB309" s="104">
        <f t="shared" si="1192"/>
        <v>0.45469857969982769</v>
      </c>
      <c r="DC309" s="24">
        <f t="shared" si="1192"/>
        <v>0.4697235836000071</v>
      </c>
      <c r="DD309" s="24">
        <f t="shared" si="1192"/>
        <v>0.45100297663381389</v>
      </c>
      <c r="DE309" s="24">
        <f t="shared" si="1192"/>
        <v>0.39429093229402962</v>
      </c>
      <c r="DF309" s="24">
        <f t="shared" si="1192"/>
        <v>0.3551699903422898</v>
      </c>
      <c r="DG309" s="104">
        <f t="shared" si="1192"/>
        <v>0.3551699903422898</v>
      </c>
      <c r="DH309" s="24">
        <f t="shared" si="1192"/>
        <v>0.38853880002378544</v>
      </c>
      <c r="DI309" s="24">
        <f t="shared" si="1192"/>
        <v>0.3527579584165394</v>
      </c>
      <c r="DJ309" s="24">
        <f t="shared" si="1192"/>
        <v>0.35156584821428571</v>
      </c>
      <c r="DK309" s="24">
        <f t="shared" si="1192"/>
        <v>0.33472157528234536</v>
      </c>
      <c r="DL309" s="104">
        <f t="shared" si="1192"/>
        <v>0.33472157528234536</v>
      </c>
      <c r="DM309" s="104"/>
      <c r="DN309" s="104"/>
      <c r="DO309" s="104"/>
      <c r="DP309" s="536"/>
      <c r="DQ309" s="104">
        <f>DQ308/DQ174</f>
        <v>0.33344954802259885</v>
      </c>
      <c r="DR309" s="394"/>
      <c r="DS309" s="104"/>
      <c r="DT309" s="104"/>
      <c r="DU309" s="104"/>
      <c r="DV309" s="104">
        <f>DV308/DV174</f>
        <v>0.30841478097285674</v>
      </c>
      <c r="DW309" s="394"/>
      <c r="DX309" s="104"/>
      <c r="DY309" s="104"/>
      <c r="DZ309" s="104"/>
      <c r="EA309" s="104">
        <f>EA308/EA174</f>
        <v>0.29524923656351793</v>
      </c>
      <c r="EB309" s="394"/>
      <c r="EC309" s="104"/>
      <c r="ED309" s="104"/>
      <c r="EE309" s="104"/>
      <c r="EF309" s="104">
        <f>EF308/EF174</f>
        <v>0.29645321909424721</v>
      </c>
      <c r="EG309" s="104"/>
      <c r="EH309" s="104"/>
      <c r="EI309" s="104"/>
      <c r="EJ309" s="104"/>
      <c r="EK309" s="104">
        <f>EK308/EK174</f>
        <v>0.28448219346306441</v>
      </c>
      <c r="EL309" s="104"/>
      <c r="EM309" s="104"/>
      <c r="EN309" s="104"/>
      <c r="EO309" s="104"/>
      <c r="EP309" s="104">
        <f>EP308/EP174</f>
        <v>0.28483197767899365</v>
      </c>
      <c r="EQ309" s="104"/>
      <c r="ER309" s="104"/>
      <c r="ES309" s="104"/>
      <c r="ET309" s="104"/>
      <c r="EU309" s="104">
        <f>EU308/EU174</f>
        <v>0.26440290070157441</v>
      </c>
      <c r="EV309" s="104"/>
      <c r="EW309" s="104"/>
      <c r="EX309" s="104"/>
      <c r="EY309" s="104"/>
      <c r="EZ309" s="104">
        <f>EZ308/EZ174</f>
        <v>0.23597234817215118</v>
      </c>
      <c r="FA309" s="104"/>
      <c r="FB309" s="104"/>
      <c r="FC309" s="104"/>
      <c r="FD309" s="104"/>
      <c r="FE309" s="104">
        <f>FE308/FE174</f>
        <v>0.22991556381584838</v>
      </c>
      <c r="FF309" s="40"/>
      <c r="FG309" s="190"/>
      <c r="FL309" s="406"/>
      <c r="FM309" s="406"/>
      <c r="FN309" s="368"/>
      <c r="FO309" s="368"/>
      <c r="FP309" s="368"/>
      <c r="FQ309" s="368"/>
      <c r="FR309" s="368"/>
      <c r="FS309" s="368"/>
      <c r="FT309" s="190"/>
    </row>
    <row r="310" spans="1:183" ht="12.75" hidden="1" customHeight="1" x14ac:dyDescent="0.2">
      <c r="A310" s="48" t="s">
        <v>156</v>
      </c>
      <c r="B310" s="184"/>
      <c r="C310" s="184"/>
      <c r="D310" s="184"/>
      <c r="E310" s="184"/>
      <c r="F310" s="279"/>
      <c r="G310" s="184"/>
      <c r="H310" s="184"/>
      <c r="I310" s="184"/>
      <c r="J310" s="184"/>
      <c r="K310" s="279"/>
      <c r="L310" s="184"/>
      <c r="M310" s="184"/>
      <c r="N310" s="184"/>
      <c r="O310" s="184"/>
      <c r="P310" s="279"/>
      <c r="Q310" s="184"/>
      <c r="R310" s="184"/>
      <c r="S310" s="184"/>
      <c r="T310" s="184"/>
      <c r="U310" s="279"/>
      <c r="V310" s="184"/>
      <c r="W310" s="184"/>
      <c r="X310" s="184"/>
      <c r="Y310" s="184"/>
      <c r="Z310" s="279"/>
      <c r="AA310" s="184"/>
      <c r="AB310" s="184"/>
      <c r="AC310" s="184"/>
      <c r="AD310" s="184"/>
      <c r="AE310" s="279"/>
      <c r="AF310" s="184"/>
      <c r="AG310" s="184"/>
      <c r="AH310" s="184"/>
      <c r="AI310" s="184"/>
      <c r="AJ310" s="279"/>
      <c r="AK310" s="184"/>
      <c r="AL310" s="184"/>
      <c r="AM310" s="184"/>
      <c r="AN310" s="184"/>
      <c r="AO310" s="279"/>
      <c r="AP310" s="184"/>
      <c r="AQ310" s="184"/>
      <c r="AR310" s="184"/>
      <c r="AS310" s="184"/>
      <c r="AT310" s="279"/>
      <c r="AU310" s="184"/>
      <c r="AV310" s="184"/>
      <c r="AW310" s="184"/>
      <c r="AX310" s="184"/>
      <c r="AY310" s="113"/>
      <c r="AZ310" s="30"/>
      <c r="BA310" s="30"/>
      <c r="BB310" s="30"/>
      <c r="BC310" s="30"/>
      <c r="BD310" s="113"/>
      <c r="BE310" s="30"/>
      <c r="BF310" s="30"/>
      <c r="BG310" s="30"/>
      <c r="BH310" s="30"/>
      <c r="BI310" s="113"/>
      <c r="BJ310" s="30"/>
      <c r="BK310" s="30"/>
      <c r="BL310" s="30"/>
      <c r="BM310" s="30"/>
      <c r="BN310" s="113"/>
      <c r="BO310" s="30"/>
      <c r="BP310" s="30"/>
      <c r="BQ310" s="30"/>
      <c r="BR310" s="30"/>
      <c r="BS310" s="113"/>
      <c r="BT310" s="30"/>
      <c r="BU310" s="30"/>
      <c r="BV310" s="30"/>
      <c r="BW310" s="30"/>
      <c r="BX310" s="113"/>
      <c r="BY310" s="30"/>
      <c r="BZ310" s="30"/>
      <c r="CA310" s="30"/>
      <c r="CB310" s="30"/>
      <c r="CC310" s="113"/>
      <c r="CD310" s="30"/>
      <c r="CE310" s="30"/>
      <c r="CF310" s="30"/>
      <c r="CG310" s="30"/>
      <c r="CH310" s="113"/>
      <c r="CI310" s="30"/>
      <c r="CJ310" s="30"/>
      <c r="CK310" s="30"/>
      <c r="CL310" s="30"/>
      <c r="CM310" s="113"/>
      <c r="CN310" s="30"/>
      <c r="CO310" s="30"/>
      <c r="CP310" s="30"/>
      <c r="CQ310" s="30"/>
      <c r="CR310" s="113"/>
      <c r="CS310" s="30"/>
      <c r="CT310" s="24"/>
      <c r="CU310" s="24">
        <f t="shared" ref="CU310:DG310" si="1193">CU308/CU265</f>
        <v>0.20408457141310557</v>
      </c>
      <c r="CV310" s="24">
        <f t="shared" si="1193"/>
        <v>0.22896058833920171</v>
      </c>
      <c r="CW310" s="104">
        <f t="shared" si="1193"/>
        <v>0.22896058833920171</v>
      </c>
      <c r="CX310" s="24">
        <f t="shared" si="1193"/>
        <v>0.24298056913304625</v>
      </c>
      <c r="CY310" s="24">
        <f t="shared" si="1193"/>
        <v>0.25739213558019108</v>
      </c>
      <c r="CZ310" s="24">
        <f t="shared" si="1193"/>
        <v>0.26381840409244139</v>
      </c>
      <c r="DA310" s="24">
        <f t="shared" si="1193"/>
        <v>0.37948724285452262</v>
      </c>
      <c r="DB310" s="104">
        <f t="shared" si="1193"/>
        <v>0.37948724285452262</v>
      </c>
      <c r="DC310" s="24">
        <f t="shared" si="1193"/>
        <v>0.38265324427786584</v>
      </c>
      <c r="DD310" s="24">
        <f t="shared" si="1193"/>
        <v>0.37603890208498281</v>
      </c>
      <c r="DE310" s="24">
        <f t="shared" si="1193"/>
        <v>0.35818043052837573</v>
      </c>
      <c r="DF310" s="24">
        <f t="shared" si="1193"/>
        <v>0.32621524241753375</v>
      </c>
      <c r="DG310" s="104">
        <f t="shared" si="1193"/>
        <v>0.32621524241753375</v>
      </c>
      <c r="DH310" s="24">
        <f t="shared" ref="DH310:DQ310" si="1194">DH308/DH265</f>
        <v>0.34707622437055136</v>
      </c>
      <c r="DI310" s="24">
        <f t="shared" si="1194"/>
        <v>0.32437119248217755</v>
      </c>
      <c r="DJ310" s="24">
        <f t="shared" si="1194"/>
        <v>0.31813410939244141</v>
      </c>
      <c r="DK310" s="24">
        <f t="shared" si="1194"/>
        <v>0.30759609593460957</v>
      </c>
      <c r="DL310" s="104">
        <f t="shared" si="1194"/>
        <v>0.30759609593460957</v>
      </c>
      <c r="DM310" s="104"/>
      <c r="DN310" s="104"/>
      <c r="DO310" s="104"/>
      <c r="DP310" s="536"/>
      <c r="DQ310" s="104">
        <f t="shared" si="1194"/>
        <v>0.30509470147324891</v>
      </c>
      <c r="DR310" s="394"/>
      <c r="DS310" s="104"/>
      <c r="DT310" s="104"/>
      <c r="DU310" s="104"/>
      <c r="DV310" s="104">
        <f>DV308/DV265</f>
        <v>0.28406222772277229</v>
      </c>
      <c r="DW310" s="394"/>
      <c r="DX310" s="104"/>
      <c r="DY310" s="104"/>
      <c r="DZ310" s="104"/>
      <c r="EA310" s="104">
        <f>EA308/EA265</f>
        <v>0.27219674361861862</v>
      </c>
      <c r="EB310" s="394"/>
      <c r="EC310" s="104"/>
      <c r="ED310" s="104"/>
      <c r="EE310" s="104"/>
      <c r="EF310" s="104">
        <f>EF308/EF265</f>
        <v>0.2600299321480718</v>
      </c>
      <c r="EG310" s="104"/>
      <c r="EH310" s="104"/>
      <c r="EI310" s="104"/>
      <c r="EJ310" s="104"/>
      <c r="EK310" s="104">
        <f>EK308/EK265</f>
        <v>0.23986686579052169</v>
      </c>
      <c r="EL310" s="104"/>
      <c r="EM310" s="104"/>
      <c r="EN310" s="104"/>
      <c r="EO310" s="104"/>
      <c r="EP310" s="104">
        <f>EP308/EP265</f>
        <v>0.23986686579052169</v>
      </c>
      <c r="EQ310" s="104"/>
      <c r="ER310" s="104"/>
      <c r="ES310" s="104"/>
      <c r="ET310" s="104"/>
      <c r="EU310" s="104">
        <f>EU308/EU265</f>
        <v>0.2281967929447444</v>
      </c>
      <c r="EV310" s="104"/>
      <c r="EW310" s="104"/>
      <c r="EX310" s="104"/>
      <c r="EY310" s="104"/>
      <c r="EZ310" s="104">
        <f>EZ308/EZ265</f>
        <v>0.21248996318446353</v>
      </c>
      <c r="FA310" s="104"/>
      <c r="FB310" s="104"/>
      <c r="FC310" s="104"/>
      <c r="FD310" s="104"/>
      <c r="FE310" s="104">
        <f>FE308/FE265</f>
        <v>0.21216793583603208</v>
      </c>
      <c r="FF310" s="40"/>
      <c r="FG310" s="190"/>
      <c r="FL310" s="406"/>
      <c r="FM310" s="406"/>
      <c r="FN310" s="368"/>
      <c r="FO310" s="368"/>
      <c r="FP310" s="368"/>
      <c r="FQ310" s="368"/>
      <c r="FR310" s="368"/>
      <c r="FS310" s="368"/>
      <c r="FT310" s="190"/>
    </row>
    <row r="311" spans="1:183" ht="12.75" hidden="1" customHeight="1" x14ac:dyDescent="0.2">
      <c r="A311" s="37" t="s">
        <v>418</v>
      </c>
      <c r="B311" s="184"/>
      <c r="C311" s="184"/>
      <c r="D311" s="184"/>
      <c r="E311" s="184"/>
      <c r="F311" s="279"/>
      <c r="G311" s="184"/>
      <c r="H311" s="184"/>
      <c r="I311" s="184"/>
      <c r="J311" s="184"/>
      <c r="K311" s="279"/>
      <c r="L311" s="184"/>
      <c r="M311" s="184"/>
      <c r="N311" s="184"/>
      <c r="O311" s="184"/>
      <c r="P311" s="279"/>
      <c r="Q311" s="184"/>
      <c r="R311" s="184"/>
      <c r="S311" s="184"/>
      <c r="T311" s="184"/>
      <c r="U311" s="279"/>
      <c r="V311" s="184"/>
      <c r="W311" s="184"/>
      <c r="X311" s="184"/>
      <c r="Y311" s="184"/>
      <c r="Z311" s="279"/>
      <c r="AA311" s="184"/>
      <c r="AB311" s="184"/>
      <c r="AC311" s="184"/>
      <c r="AD311" s="184"/>
      <c r="AE311" s="279"/>
      <c r="AF311" s="184"/>
      <c r="AG311" s="184"/>
      <c r="AH311" s="184"/>
      <c r="AI311" s="184"/>
      <c r="AJ311" s="279"/>
      <c r="AK311" s="184"/>
      <c r="AL311" s="184"/>
      <c r="AM311" s="184"/>
      <c r="AN311" s="184"/>
      <c r="AO311" s="279"/>
      <c r="AP311" s="184"/>
      <c r="AQ311" s="184"/>
      <c r="AR311" s="184"/>
      <c r="AS311" s="184"/>
      <c r="AT311" s="279"/>
      <c r="AU311" s="184"/>
      <c r="AV311" s="184"/>
      <c r="AW311" s="184"/>
      <c r="AX311" s="184"/>
      <c r="AY311" s="113"/>
      <c r="AZ311" s="30"/>
      <c r="BA311" s="30"/>
      <c r="BB311" s="30"/>
      <c r="BC311" s="30"/>
      <c r="BD311" s="113"/>
      <c r="BE311" s="30"/>
      <c r="BF311" s="30"/>
      <c r="BG311" s="30"/>
      <c r="BH311" s="30"/>
      <c r="BI311" s="113"/>
      <c r="BJ311" s="30"/>
      <c r="BK311" s="30"/>
      <c r="BL311" s="30"/>
      <c r="BM311" s="30"/>
      <c r="BN311" s="113"/>
      <c r="BO311" s="30"/>
      <c r="BP311" s="30"/>
      <c r="BQ311" s="30"/>
      <c r="BR311" s="30"/>
      <c r="BS311" s="113"/>
      <c r="BT311" s="30"/>
      <c r="BU311" s="30"/>
      <c r="BV311" s="30"/>
      <c r="BW311" s="30"/>
      <c r="BX311" s="113"/>
      <c r="BY311" s="30"/>
      <c r="BZ311" s="30"/>
      <c r="CA311" s="30"/>
      <c r="CB311" s="30"/>
      <c r="CC311" s="113"/>
      <c r="CD311" s="30"/>
      <c r="CE311" s="30"/>
      <c r="CF311" s="30"/>
      <c r="CG311" s="30"/>
      <c r="CH311" s="113"/>
      <c r="CI311" s="30"/>
      <c r="CJ311" s="30"/>
      <c r="CK311" s="30"/>
      <c r="CL311" s="30"/>
      <c r="CM311" s="113"/>
      <c r="CN311" s="30"/>
      <c r="CO311" s="30"/>
      <c r="CP311" s="30"/>
      <c r="CQ311" s="30"/>
      <c r="CR311" s="113"/>
      <c r="CS311" s="30"/>
      <c r="CT311" s="33"/>
      <c r="CU311" s="33">
        <f t="shared" ref="CU311:DQ311" si="1195">CU308-CU302-CU303</f>
        <v>3262.5929999999998</v>
      </c>
      <c r="CV311" s="33">
        <f t="shared" si="1195"/>
        <v>3737.634</v>
      </c>
      <c r="CW311" s="103">
        <f t="shared" si="1195"/>
        <v>3737.634</v>
      </c>
      <c r="CX311" s="33">
        <f t="shared" si="1195"/>
        <v>4032.835</v>
      </c>
      <c r="CY311" s="33">
        <f t="shared" si="1195"/>
        <v>4384.6979999999994</v>
      </c>
      <c r="CZ311" s="33">
        <f t="shared" si="1195"/>
        <v>4503.8580000000002</v>
      </c>
      <c r="DA311" s="33">
        <f t="shared" si="1195"/>
        <v>6642.317</v>
      </c>
      <c r="DB311" s="103">
        <f t="shared" si="1195"/>
        <v>6642.317</v>
      </c>
      <c r="DC311" s="33">
        <f t="shared" si="1195"/>
        <v>7115.0569999999998</v>
      </c>
      <c r="DD311" s="33">
        <f t="shared" si="1195"/>
        <v>7124.0569999999998</v>
      </c>
      <c r="DE311" s="33">
        <f t="shared" si="1195"/>
        <v>6406.0569999999998</v>
      </c>
      <c r="DF311" s="33">
        <f t="shared" si="1195"/>
        <v>5894.0569999999998</v>
      </c>
      <c r="DG311" s="103">
        <f t="shared" si="1195"/>
        <v>5894.0569999999998</v>
      </c>
      <c r="DH311" s="33">
        <f>DH308-DH302-DH303</f>
        <v>6534.0569999999998</v>
      </c>
      <c r="DI311" s="33">
        <f>DI308-DI302-DI303</f>
        <v>6006.0569999999998</v>
      </c>
      <c r="DJ311" s="33">
        <f>DJ308-DJ302-DJ303</f>
        <v>5985.0569999999998</v>
      </c>
      <c r="DK311" s="33">
        <f>DK308-DK302-DK303</f>
        <v>5720.0569999999998</v>
      </c>
      <c r="DL311" s="103">
        <f t="shared" si="1195"/>
        <v>5720.0569999999998</v>
      </c>
      <c r="DM311" s="103"/>
      <c r="DN311" s="103"/>
      <c r="DO311" s="103"/>
      <c r="DP311" s="535"/>
      <c r="DQ311" s="103">
        <f t="shared" si="1195"/>
        <v>5902.0569999999998</v>
      </c>
      <c r="DR311" s="550"/>
      <c r="DS311" s="103"/>
      <c r="DT311" s="103"/>
      <c r="DU311" s="103"/>
      <c r="DV311" s="103">
        <f>DV308-DV302-DV303</f>
        <v>5738.0569999999998</v>
      </c>
      <c r="DW311" s="550"/>
      <c r="DX311" s="103"/>
      <c r="DY311" s="103"/>
      <c r="DZ311" s="103"/>
      <c r="EA311" s="103">
        <f>EA308-EA302-EA303</f>
        <v>5801.0569999999998</v>
      </c>
      <c r="EB311" s="550"/>
      <c r="EC311" s="103"/>
      <c r="ED311" s="103"/>
      <c r="EE311" s="103"/>
      <c r="EF311" s="103">
        <f>EF308-EF302-EF303</f>
        <v>6055.0569999999998</v>
      </c>
      <c r="EG311" s="103"/>
      <c r="EH311" s="103"/>
      <c r="EI311" s="103"/>
      <c r="EJ311" s="103"/>
      <c r="EK311" s="103">
        <f>EK308-EK302-EK303</f>
        <v>6023.0569999999998</v>
      </c>
      <c r="EL311" s="103"/>
      <c r="EM311" s="103"/>
      <c r="EN311" s="103"/>
      <c r="EO311" s="103"/>
      <c r="EP311" s="103">
        <f>EP308-EP302-EP303</f>
        <v>6023.0569999999998</v>
      </c>
      <c r="EQ311" s="103"/>
      <c r="ER311" s="103"/>
      <c r="ES311" s="103"/>
      <c r="ET311" s="103"/>
      <c r="EU311" s="103">
        <f>EU308-EU302-EU303</f>
        <v>5870.4791871001771</v>
      </c>
      <c r="EV311" s="103"/>
      <c r="EW311" s="103"/>
      <c r="EX311" s="103"/>
      <c r="EY311" s="103"/>
      <c r="EZ311" s="103">
        <f>EZ308-EZ302-EZ303</f>
        <v>5560.8743475538295</v>
      </c>
      <c r="FA311" s="103"/>
      <c r="FB311" s="103"/>
      <c r="FC311" s="103"/>
      <c r="FD311" s="103"/>
      <c r="FE311" s="103">
        <f>FE308-FE302-FE303</f>
        <v>5744.3061710196262</v>
      </c>
      <c r="FF311" s="40"/>
      <c r="FG311" s="190"/>
      <c r="FL311" s="406"/>
      <c r="FM311" s="406"/>
      <c r="FN311" s="368"/>
      <c r="FO311" s="368"/>
      <c r="FP311" s="368"/>
      <c r="FQ311" s="368"/>
      <c r="FR311" s="368"/>
      <c r="FS311" s="368"/>
      <c r="FT311" s="190"/>
    </row>
    <row r="312" spans="1:183" ht="12.75" hidden="1" customHeight="1" x14ac:dyDescent="0.2">
      <c r="A312" s="48" t="s">
        <v>204</v>
      </c>
      <c r="B312" s="184"/>
      <c r="C312" s="184"/>
      <c r="D312" s="184"/>
      <c r="E312" s="184"/>
      <c r="F312" s="279"/>
      <c r="G312" s="184"/>
      <c r="H312" s="184"/>
      <c r="I312" s="184"/>
      <c r="J312" s="184"/>
      <c r="K312" s="279"/>
      <c r="L312" s="184"/>
      <c r="M312" s="184"/>
      <c r="N312" s="184"/>
      <c r="O312" s="184"/>
      <c r="P312" s="279"/>
      <c r="Q312" s="184"/>
      <c r="R312" s="184"/>
      <c r="S312" s="184"/>
      <c r="T312" s="184"/>
      <c r="U312" s="279"/>
      <c r="V312" s="184"/>
      <c r="W312" s="184"/>
      <c r="X312" s="184"/>
      <c r="Y312" s="184"/>
      <c r="Z312" s="279"/>
      <c r="AA312" s="184"/>
      <c r="AB312" s="184"/>
      <c r="AC312" s="184"/>
      <c r="AD312" s="184"/>
      <c r="AE312" s="279"/>
      <c r="AF312" s="184"/>
      <c r="AG312" s="184"/>
      <c r="AH312" s="184"/>
      <c r="AI312" s="184"/>
      <c r="AJ312" s="279"/>
      <c r="AK312" s="184"/>
      <c r="AL312" s="184"/>
      <c r="AM312" s="184"/>
      <c r="AN312" s="184"/>
      <c r="AO312" s="279"/>
      <c r="AP312" s="184"/>
      <c r="AQ312" s="184"/>
      <c r="AR312" s="184"/>
      <c r="AS312" s="184"/>
      <c r="AT312" s="279"/>
      <c r="AU312" s="184"/>
      <c r="AV312" s="184"/>
      <c r="AW312" s="184"/>
      <c r="AX312" s="184"/>
      <c r="AY312" s="113"/>
      <c r="AZ312" s="30"/>
      <c r="BA312" s="30"/>
      <c r="BB312" s="30"/>
      <c r="BC312" s="30"/>
      <c r="BD312" s="113"/>
      <c r="BE312" s="30"/>
      <c r="BF312" s="30"/>
      <c r="BG312" s="30"/>
      <c r="BH312" s="30"/>
      <c r="BI312" s="113"/>
      <c r="BJ312" s="30"/>
      <c r="BK312" s="30"/>
      <c r="BL312" s="30"/>
      <c r="BM312" s="30"/>
      <c r="BN312" s="113"/>
      <c r="BO312" s="30"/>
      <c r="BP312" s="30"/>
      <c r="BQ312" s="30"/>
      <c r="BR312" s="30"/>
      <c r="BS312" s="113"/>
      <c r="BT312" s="30"/>
      <c r="BU312" s="30"/>
      <c r="BV312" s="30"/>
      <c r="BW312" s="30"/>
      <c r="BX312" s="113"/>
      <c r="BY312" s="30"/>
      <c r="BZ312" s="30"/>
      <c r="CA312" s="30"/>
      <c r="CB312" s="30"/>
      <c r="CC312" s="113"/>
      <c r="CD312" s="30"/>
      <c r="CE312" s="30"/>
      <c r="CF312" s="30"/>
      <c r="CG312" s="30"/>
      <c r="CH312" s="113"/>
      <c r="CI312" s="30"/>
      <c r="CJ312" s="30"/>
      <c r="CK312" s="30"/>
      <c r="CL312" s="30"/>
      <c r="CM312" s="113"/>
      <c r="CN312" s="30"/>
      <c r="CO312" s="30"/>
      <c r="CP312" s="30"/>
      <c r="CQ312" s="30"/>
      <c r="CR312" s="113"/>
      <c r="CS312" s="30"/>
      <c r="CT312" s="24"/>
      <c r="CU312" s="24">
        <f t="shared" ref="CU312:DL312" si="1196">CU311/CU174</f>
        <v>0.26927949052534622</v>
      </c>
      <c r="CV312" s="24">
        <f t="shared" si="1196"/>
        <v>0.29447713844191681</v>
      </c>
      <c r="CW312" s="104">
        <f t="shared" si="1196"/>
        <v>0.29447713844191681</v>
      </c>
      <c r="CX312" s="24">
        <f t="shared" si="1196"/>
        <v>0.30953643008304482</v>
      </c>
      <c r="CY312" s="24">
        <f t="shared" si="1196"/>
        <v>0.3205663118992394</v>
      </c>
      <c r="CZ312" s="24">
        <f t="shared" si="1196"/>
        <v>0.31551612787296685</v>
      </c>
      <c r="DA312" s="24">
        <f t="shared" si="1196"/>
        <v>0.45111745398254471</v>
      </c>
      <c r="DB312" s="104">
        <f t="shared" si="1196"/>
        <v>0.45111745398254471</v>
      </c>
      <c r="DC312" s="24">
        <f t="shared" si="1196"/>
        <v>0.46631554228720601</v>
      </c>
      <c r="DD312" s="24">
        <f t="shared" si="1196"/>
        <v>0.45100297663381389</v>
      </c>
      <c r="DE312" s="24">
        <f t="shared" si="1196"/>
        <v>0.39429093229402962</v>
      </c>
      <c r="DF312" s="24">
        <f t="shared" si="1196"/>
        <v>0.3551699903422898</v>
      </c>
      <c r="DG312" s="104">
        <f t="shared" si="1196"/>
        <v>0.3551699903422898</v>
      </c>
      <c r="DH312" s="24">
        <f t="shared" si="1196"/>
        <v>0.38853880002378544</v>
      </c>
      <c r="DI312" s="24">
        <f t="shared" si="1196"/>
        <v>0.3527579584165394</v>
      </c>
      <c r="DJ312" s="24">
        <f t="shared" si="1196"/>
        <v>0.35156584821428571</v>
      </c>
      <c r="DK312" s="24">
        <f t="shared" si="1196"/>
        <v>0.33472157528234536</v>
      </c>
      <c r="DL312" s="104">
        <f t="shared" si="1196"/>
        <v>0.33472157528234536</v>
      </c>
      <c r="DM312" s="104"/>
      <c r="DN312" s="104"/>
      <c r="DO312" s="104"/>
      <c r="DP312" s="536"/>
      <c r="DQ312" s="104">
        <f>DQ311/DQ174</f>
        <v>0.33344954802259885</v>
      </c>
      <c r="DR312" s="394"/>
      <c r="DS312" s="104"/>
      <c r="DT312" s="104"/>
      <c r="DU312" s="104"/>
      <c r="DV312" s="104">
        <f>DV311/DV174</f>
        <v>0.30841478097285674</v>
      </c>
      <c r="DW312" s="394"/>
      <c r="DX312" s="104"/>
      <c r="DY312" s="104"/>
      <c r="DZ312" s="104"/>
      <c r="EA312" s="104">
        <f>EA311/EA174</f>
        <v>0.29524923656351793</v>
      </c>
      <c r="EB312" s="394"/>
      <c r="EC312" s="104"/>
      <c r="ED312" s="104"/>
      <c r="EE312" s="104"/>
      <c r="EF312" s="104">
        <f>EF311/EF174</f>
        <v>0.29645321909424721</v>
      </c>
      <c r="EG312" s="104"/>
      <c r="EH312" s="104"/>
      <c r="EI312" s="104"/>
      <c r="EJ312" s="104"/>
      <c r="EK312" s="104">
        <f>EK311/EK174</f>
        <v>0.28448219346306441</v>
      </c>
      <c r="EL312" s="104"/>
      <c r="EM312" s="104"/>
      <c r="EN312" s="104"/>
      <c r="EO312" s="104"/>
      <c r="EP312" s="104">
        <f>EP311/EP174</f>
        <v>0.28483197767899365</v>
      </c>
      <c r="EQ312" s="104"/>
      <c r="ER312" s="104"/>
      <c r="ES312" s="104"/>
      <c r="ET312" s="104"/>
      <c r="EU312" s="104">
        <f>EU311/EU174</f>
        <v>0.26440290070157441</v>
      </c>
      <c r="EV312" s="104"/>
      <c r="EW312" s="104"/>
      <c r="EX312" s="104"/>
      <c r="EY312" s="104"/>
      <c r="EZ312" s="104">
        <f>EZ311/EZ174</f>
        <v>0.23597234817215118</v>
      </c>
      <c r="FA312" s="104"/>
      <c r="FB312" s="104"/>
      <c r="FC312" s="104"/>
      <c r="FD312" s="104"/>
      <c r="FE312" s="104">
        <f>FE311/FE174</f>
        <v>0.22991556381584838</v>
      </c>
      <c r="FF312" s="40"/>
      <c r="FG312" s="190"/>
      <c r="FL312" s="406"/>
      <c r="FM312" s="406"/>
      <c r="FN312" s="368"/>
      <c r="FO312" s="368"/>
      <c r="FP312" s="368"/>
      <c r="FQ312" s="368"/>
      <c r="FR312" s="368"/>
      <c r="FS312" s="368"/>
      <c r="FT312" s="190"/>
    </row>
    <row r="313" spans="1:183" ht="12.75" hidden="1" customHeight="1" x14ac:dyDescent="0.2">
      <c r="A313" s="48" t="s">
        <v>156</v>
      </c>
      <c r="B313" s="184"/>
      <c r="C313" s="184"/>
      <c r="D313" s="184"/>
      <c r="E313" s="184"/>
      <c r="F313" s="279"/>
      <c r="G313" s="184"/>
      <c r="H313" s="184"/>
      <c r="I313" s="184"/>
      <c r="J313" s="184"/>
      <c r="K313" s="279"/>
      <c r="L313" s="184"/>
      <c r="M313" s="184"/>
      <c r="N313" s="184"/>
      <c r="O313" s="184"/>
      <c r="P313" s="279"/>
      <c r="Q313" s="184"/>
      <c r="R313" s="184"/>
      <c r="S313" s="184"/>
      <c r="T313" s="184"/>
      <c r="U313" s="279"/>
      <c r="V313" s="184"/>
      <c r="W313" s="184"/>
      <c r="X313" s="184"/>
      <c r="Y313" s="184"/>
      <c r="Z313" s="279"/>
      <c r="AA313" s="184"/>
      <c r="AB313" s="184"/>
      <c r="AC313" s="184"/>
      <c r="AD313" s="184"/>
      <c r="AE313" s="279"/>
      <c r="AF313" s="184"/>
      <c r="AG313" s="184"/>
      <c r="AH313" s="184"/>
      <c r="AI313" s="184"/>
      <c r="AJ313" s="279"/>
      <c r="AK313" s="184"/>
      <c r="AL313" s="184"/>
      <c r="AM313" s="184"/>
      <c r="AN313" s="184"/>
      <c r="AO313" s="279"/>
      <c r="AP313" s="184"/>
      <c r="AQ313" s="184"/>
      <c r="AR313" s="184"/>
      <c r="AS313" s="184"/>
      <c r="AT313" s="279"/>
      <c r="AU313" s="184"/>
      <c r="AV313" s="184"/>
      <c r="AW313" s="184"/>
      <c r="AX313" s="184"/>
      <c r="AY313" s="113"/>
      <c r="AZ313" s="30"/>
      <c r="BA313" s="30"/>
      <c r="BB313" s="30"/>
      <c r="BC313" s="30"/>
      <c r="BD313" s="113"/>
      <c r="BE313" s="30"/>
      <c r="BF313" s="30"/>
      <c r="BG313" s="30"/>
      <c r="BH313" s="30"/>
      <c r="BI313" s="113"/>
      <c r="BJ313" s="30"/>
      <c r="BK313" s="30"/>
      <c r="BL313" s="30"/>
      <c r="BM313" s="30"/>
      <c r="BN313" s="113"/>
      <c r="BO313" s="30"/>
      <c r="BP313" s="30"/>
      <c r="BQ313" s="30"/>
      <c r="BR313" s="30"/>
      <c r="BS313" s="113"/>
      <c r="BT313" s="30"/>
      <c r="BU313" s="30"/>
      <c r="BV313" s="30"/>
      <c r="BW313" s="30"/>
      <c r="BX313" s="113"/>
      <c r="BY313" s="30"/>
      <c r="BZ313" s="30"/>
      <c r="CA313" s="30"/>
      <c r="CB313" s="30"/>
      <c r="CC313" s="113"/>
      <c r="CD313" s="30"/>
      <c r="CE313" s="30"/>
      <c r="CF313" s="30"/>
      <c r="CG313" s="30"/>
      <c r="CH313" s="113"/>
      <c r="CI313" s="30"/>
      <c r="CJ313" s="30"/>
      <c r="CK313" s="30"/>
      <c r="CL313" s="30"/>
      <c r="CM313" s="113"/>
      <c r="CN313" s="30"/>
      <c r="CO313" s="30"/>
      <c r="CP313" s="30"/>
      <c r="CQ313" s="30"/>
      <c r="CR313" s="113"/>
      <c r="CS313" s="30"/>
      <c r="CT313" s="24"/>
      <c r="CU313" s="24">
        <f t="shared" ref="CU313:DG313" si="1197">CU311/CU265</f>
        <v>0.20068813307227701</v>
      </c>
      <c r="CV313" s="24">
        <f t="shared" si="1197"/>
        <v>0.22579563602673858</v>
      </c>
      <c r="CW313" s="104">
        <f t="shared" si="1197"/>
        <v>0.22579563602673858</v>
      </c>
      <c r="CX313" s="24">
        <f t="shared" si="1197"/>
        <v>0.23982383971476387</v>
      </c>
      <c r="CY313" s="24">
        <f t="shared" si="1197"/>
        <v>0.25427131289755822</v>
      </c>
      <c r="CZ313" s="24">
        <f t="shared" si="1197"/>
        <v>0.26003609904454505</v>
      </c>
      <c r="DA313" s="24">
        <f t="shared" si="1197"/>
        <v>0.37649846834446304</v>
      </c>
      <c r="DB313" s="104">
        <f t="shared" si="1197"/>
        <v>0.37649846834446304</v>
      </c>
      <c r="DC313" s="24">
        <f t="shared" si="1197"/>
        <v>0.37987693474070866</v>
      </c>
      <c r="DD313" s="24">
        <f t="shared" si="1197"/>
        <v>0.37603890208498281</v>
      </c>
      <c r="DE313" s="24">
        <f t="shared" si="1197"/>
        <v>0.35818043052837573</v>
      </c>
      <c r="DF313" s="24">
        <f t="shared" si="1197"/>
        <v>0.32621524241753375</v>
      </c>
      <c r="DG313" s="104">
        <f t="shared" si="1197"/>
        <v>0.32621524241753375</v>
      </c>
      <c r="DH313" s="24">
        <f t="shared" ref="DH313:DQ313" si="1198">DH311/DH265</f>
        <v>0.34707622437055136</v>
      </c>
      <c r="DI313" s="24">
        <f t="shared" si="1198"/>
        <v>0.32437119248217755</v>
      </c>
      <c r="DJ313" s="24">
        <f t="shared" si="1198"/>
        <v>0.31813410939244141</v>
      </c>
      <c r="DK313" s="24">
        <f t="shared" si="1198"/>
        <v>0.30759609593460957</v>
      </c>
      <c r="DL313" s="104">
        <f t="shared" si="1198"/>
        <v>0.30759609593460957</v>
      </c>
      <c r="DM313" s="104"/>
      <c r="DN313" s="104"/>
      <c r="DO313" s="104"/>
      <c r="DP313" s="536"/>
      <c r="DQ313" s="104">
        <f t="shared" si="1198"/>
        <v>0.30509470147324891</v>
      </c>
      <c r="DR313" s="394"/>
      <c r="DS313" s="104"/>
      <c r="DT313" s="104"/>
      <c r="DU313" s="104"/>
      <c r="DV313" s="104">
        <f>DV311/DV265</f>
        <v>0.28406222772277229</v>
      </c>
      <c r="DW313" s="394"/>
      <c r="DX313" s="104"/>
      <c r="DY313" s="104"/>
      <c r="DZ313" s="104"/>
      <c r="EA313" s="104">
        <f>EA311/EA265</f>
        <v>0.27219674361861862</v>
      </c>
      <c r="EB313" s="394"/>
      <c r="EC313" s="104"/>
      <c r="ED313" s="104"/>
      <c r="EE313" s="104"/>
      <c r="EF313" s="104">
        <f>EF311/EF265</f>
        <v>0.2600299321480718</v>
      </c>
      <c r="EG313" s="104"/>
      <c r="EH313" s="104"/>
      <c r="EI313" s="104"/>
      <c r="EJ313" s="104"/>
      <c r="EK313" s="104">
        <f>EK311/EK265</f>
        <v>0.23986686579052169</v>
      </c>
      <c r="EL313" s="104"/>
      <c r="EM313" s="104"/>
      <c r="EN313" s="104"/>
      <c r="EO313" s="104"/>
      <c r="EP313" s="104">
        <f>EP311/EP265</f>
        <v>0.23986686579052169</v>
      </c>
      <c r="EQ313" s="104"/>
      <c r="ER313" s="104"/>
      <c r="ES313" s="104"/>
      <c r="ET313" s="104"/>
      <c r="EU313" s="104">
        <f>EU311/EU265</f>
        <v>0.2281967929447444</v>
      </c>
      <c r="EV313" s="104"/>
      <c r="EW313" s="104"/>
      <c r="EX313" s="104"/>
      <c r="EY313" s="104"/>
      <c r="EZ313" s="104">
        <f>EZ311/EZ265</f>
        <v>0.21248996318446353</v>
      </c>
      <c r="FA313" s="104"/>
      <c r="FB313" s="104"/>
      <c r="FC313" s="104"/>
      <c r="FD313" s="104"/>
      <c r="FE313" s="104">
        <f>FE311/FE265</f>
        <v>0.21216793583603208</v>
      </c>
      <c r="FF313" s="40"/>
      <c r="FG313" s="190"/>
      <c r="FL313" s="406"/>
      <c r="FM313" s="406"/>
      <c r="FN313" s="368"/>
      <c r="FO313" s="368"/>
      <c r="FP313" s="368"/>
      <c r="FQ313" s="368"/>
      <c r="FR313" s="368"/>
      <c r="FS313" s="368"/>
      <c r="FT313" s="190"/>
    </row>
    <row r="314" spans="1:183" s="7" customFormat="1" ht="12.75" hidden="1" customHeight="1" x14ac:dyDescent="0.2">
      <c r="A314" s="7" t="s">
        <v>320</v>
      </c>
      <c r="F314" s="99"/>
      <c r="K314" s="99"/>
      <c r="P314" s="99"/>
      <c r="U314" s="99"/>
      <c r="Z314" s="99"/>
      <c r="AE314" s="99"/>
      <c r="AJ314" s="99"/>
      <c r="AO314" s="99"/>
      <c r="AT314" s="99"/>
      <c r="AY314" s="99"/>
      <c r="BD314" s="99"/>
      <c r="BI314" s="99"/>
      <c r="BN314" s="99"/>
      <c r="BS314" s="99"/>
      <c r="BX314" s="99"/>
      <c r="CC314" s="99"/>
      <c r="CH314" s="99"/>
      <c r="CM314" s="99"/>
      <c r="CR314" s="99"/>
      <c r="CW314" s="99"/>
      <c r="DB314" s="99"/>
      <c r="DG314" s="99"/>
      <c r="DL314" s="99"/>
      <c r="DM314" s="99"/>
      <c r="DN314" s="99"/>
      <c r="DO314" s="99"/>
      <c r="DP314" s="530"/>
      <c r="DQ314" s="99"/>
      <c r="DR314" s="546"/>
      <c r="DS314" s="99"/>
      <c r="DT314" s="99"/>
      <c r="DU314" s="99"/>
      <c r="DV314" s="99"/>
      <c r="DW314" s="546"/>
      <c r="DX314" s="99"/>
      <c r="DY314" s="99"/>
      <c r="DZ314" s="99"/>
      <c r="EA314" s="99"/>
      <c r="EB314" s="546"/>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336"/>
      <c r="FG314" s="6"/>
      <c r="FH314" s="346"/>
      <c r="FI314" s="336"/>
      <c r="FJ314" s="336"/>
      <c r="FK314" s="336"/>
      <c r="FL314" s="412"/>
      <c r="FM314" s="412"/>
      <c r="FN314" s="373"/>
      <c r="FO314" s="373"/>
      <c r="FP314" s="373"/>
      <c r="FQ314" s="373"/>
      <c r="FR314" s="373"/>
      <c r="FS314" s="373"/>
      <c r="FT314" s="6"/>
      <c r="FU314"/>
      <c r="FV314"/>
      <c r="FW314"/>
      <c r="FX314"/>
      <c r="FY314"/>
      <c r="FZ314"/>
      <c r="GA314" s="341"/>
    </row>
    <row r="315" spans="1:183" ht="12.75" hidden="1" customHeight="1" x14ac:dyDescent="0.2">
      <c r="A315" s="34" t="s">
        <v>19</v>
      </c>
      <c r="B315" s="207"/>
      <c r="C315" s="207"/>
      <c r="D315" s="207"/>
      <c r="E315" s="207"/>
      <c r="F315" s="247"/>
      <c r="G315" s="207"/>
      <c r="H315" s="207"/>
      <c r="I315" s="207"/>
      <c r="J315" s="207"/>
      <c r="K315" s="247"/>
      <c r="L315" s="207"/>
      <c r="M315" s="207"/>
      <c r="N315" s="207"/>
      <c r="O315" s="207"/>
      <c r="P315" s="247"/>
      <c r="Q315" s="207"/>
      <c r="R315" s="207"/>
      <c r="S315" s="207"/>
      <c r="T315" s="207"/>
      <c r="U315" s="247"/>
      <c r="V315" s="207"/>
      <c r="W315" s="207"/>
      <c r="X315" s="207"/>
      <c r="Y315" s="207"/>
      <c r="Z315" s="247"/>
      <c r="AA315" s="207"/>
      <c r="AB315" s="207"/>
      <c r="AC315" s="207"/>
      <c r="AD315" s="207"/>
      <c r="AE315" s="247"/>
      <c r="AF315" s="207"/>
      <c r="AG315" s="207"/>
      <c r="AH315" s="207"/>
      <c r="AI315" s="207"/>
      <c r="AJ315" s="247"/>
      <c r="AK315" s="207"/>
      <c r="AL315" s="207"/>
      <c r="AM315" s="207"/>
      <c r="AN315" s="207"/>
      <c r="AO315" s="247"/>
      <c r="AP315" s="207"/>
      <c r="AQ315" s="207"/>
      <c r="AR315" s="207"/>
      <c r="AS315" s="207"/>
      <c r="AT315" s="247"/>
      <c r="AU315" s="207"/>
      <c r="AV315" s="207"/>
      <c r="AW315" s="207"/>
      <c r="AX315" s="207"/>
      <c r="AY315" s="105">
        <f>AY182/AY187</f>
        <v>-337.32239965472485</v>
      </c>
      <c r="AZ315" s="34"/>
      <c r="BA315" s="34"/>
      <c r="BB315" s="34"/>
      <c r="BC315" s="34"/>
      <c r="BD315" s="105">
        <f>BD182/BD187</f>
        <v>450.63768755516486</v>
      </c>
      <c r="BE315" s="34"/>
      <c r="BF315" s="34"/>
      <c r="BG315" s="34"/>
      <c r="BH315" s="34"/>
      <c r="BI315" s="105">
        <f>BI182/BI187</f>
        <v>94.352220062789627</v>
      </c>
      <c r="BJ315" s="34"/>
      <c r="BK315" s="34"/>
      <c r="BL315" s="34"/>
      <c r="BM315" s="34"/>
      <c r="BN315" s="105">
        <f>BN182/BN187</f>
        <v>7.3426646422471071</v>
      </c>
      <c r="BO315" s="34"/>
      <c r="BP315" s="34"/>
      <c r="BQ315" s="34"/>
      <c r="BR315" s="34"/>
      <c r="BS315" s="105">
        <f>BS182/BS187</f>
        <v>15.848484848484848</v>
      </c>
      <c r="BT315" s="34"/>
      <c r="BU315" s="34"/>
      <c r="BV315" s="34"/>
      <c r="BW315" s="34"/>
      <c r="BX315" s="105">
        <f>BX182/BX187</f>
        <v>21.189285714285713</v>
      </c>
      <c r="BY315" s="34"/>
      <c r="BZ315" s="34"/>
      <c r="CA315" s="34"/>
      <c r="CB315" s="34"/>
      <c r="CC315" s="105">
        <f>CC182/CC187</f>
        <v>21.171428571428571</v>
      </c>
      <c r="CD315" s="34"/>
      <c r="CE315" s="34"/>
      <c r="CF315" s="34"/>
      <c r="CG315" s="34"/>
      <c r="CH315" s="105">
        <f t="shared" ref="CH315:DL315" si="1199">CH182/CH187</f>
        <v>-139.3428571428571</v>
      </c>
      <c r="CI315" s="34">
        <f t="shared" si="1199"/>
        <v>-132.97142857142853</v>
      </c>
      <c r="CJ315" s="34">
        <f t="shared" si="1199"/>
        <v>-166.03999999999996</v>
      </c>
      <c r="CK315" s="34">
        <f t="shared" si="1199"/>
        <v>211.89999999999998</v>
      </c>
      <c r="CL315" s="34">
        <f t="shared" si="1199"/>
        <v>32.884615384615387</v>
      </c>
      <c r="CM315" s="105">
        <f t="shared" si="1199"/>
        <v>32.884615384615387</v>
      </c>
      <c r="CN315" s="34">
        <f t="shared" si="1199"/>
        <v>25.257142857142856</v>
      </c>
      <c r="CO315" s="34">
        <f t="shared" si="1199"/>
        <v>14.50909090909091</v>
      </c>
      <c r="CP315" s="34">
        <f t="shared" si="1199"/>
        <v>9.408450704225352</v>
      </c>
      <c r="CQ315" s="34">
        <f t="shared" si="1199"/>
        <v>8.1794871794871788</v>
      </c>
      <c r="CR315" s="105">
        <f t="shared" si="1199"/>
        <v>8.1794871794871788</v>
      </c>
      <c r="CS315" s="34">
        <f t="shared" si="1199"/>
        <v>5.1658725631647808</v>
      </c>
      <c r="CT315" s="34">
        <f t="shared" si="1199"/>
        <v>3.9974989873792088</v>
      </c>
      <c r="CU315" s="34">
        <f t="shared" si="1199"/>
        <v>3.3246419003016681</v>
      </c>
      <c r="CV315" s="34">
        <f t="shared" si="1199"/>
        <v>3.1207612502361881</v>
      </c>
      <c r="CW315" s="105">
        <f t="shared" si="1199"/>
        <v>3.1207612502361881</v>
      </c>
      <c r="CX315" s="34">
        <f t="shared" si="1199"/>
        <v>3.246160921554027</v>
      </c>
      <c r="CY315" s="34">
        <f t="shared" si="1199"/>
        <v>4.3447915513538637</v>
      </c>
      <c r="CZ315" s="34">
        <f t="shared" si="1199"/>
        <v>5.720123340809895</v>
      </c>
      <c r="DA315" s="34">
        <f t="shared" si="1199"/>
        <v>6.2077937948570909</v>
      </c>
      <c r="DB315" s="105">
        <f t="shared" si="1199"/>
        <v>6.2077937948570909</v>
      </c>
      <c r="DC315" s="34">
        <f t="shared" si="1199"/>
        <v>6.1181578007854336</v>
      </c>
      <c r="DD315" s="34">
        <f t="shared" si="1199"/>
        <v>5.3223145328298207</v>
      </c>
      <c r="DE315" s="34">
        <f t="shared" si="1199"/>
        <v>4.6862255178528249</v>
      </c>
      <c r="DF315" s="34">
        <f t="shared" si="1199"/>
        <v>4.2391120999663672</v>
      </c>
      <c r="DG315" s="105">
        <f t="shared" si="1199"/>
        <v>4.2391120999663672</v>
      </c>
      <c r="DH315" s="34">
        <f t="shared" si="1199"/>
        <v>4.3505747126436782</v>
      </c>
      <c r="DI315" s="34">
        <f t="shared" si="1199"/>
        <v>6.1493506493506498</v>
      </c>
      <c r="DJ315" s="34">
        <f t="shared" si="1199"/>
        <v>6.3970588235294121</v>
      </c>
      <c r="DK315" s="34">
        <f t="shared" si="1199"/>
        <v>7.0504201680672267</v>
      </c>
      <c r="DL315" s="105">
        <f t="shared" si="1199"/>
        <v>7.0504201680672267</v>
      </c>
      <c r="DM315" s="105"/>
      <c r="DN315" s="105"/>
      <c r="DO315" s="105"/>
      <c r="DP315" s="537"/>
      <c r="DQ315" s="105">
        <f>DQ182/DQ187</f>
        <v>14.48</v>
      </c>
      <c r="DR315" s="547"/>
      <c r="DS315" s="105"/>
      <c r="DT315" s="105"/>
      <c r="DU315" s="105"/>
      <c r="DV315" s="105">
        <f>DV182/DV187</f>
        <v>24.040404040404042</v>
      </c>
      <c r="DW315" s="547"/>
      <c r="DX315" s="105"/>
      <c r="DY315" s="105"/>
      <c r="DZ315" s="105"/>
      <c r="EA315" s="105">
        <f>EA182/EA187</f>
        <v>49.462499999999999</v>
      </c>
      <c r="EB315" s="547"/>
      <c r="EC315" s="105"/>
      <c r="ED315" s="105"/>
      <c r="EE315" s="105"/>
      <c r="EF315" s="105">
        <f>EF182/EF187</f>
        <v>74.698113207547166</v>
      </c>
      <c r="EG315" s="105"/>
      <c r="EH315" s="105"/>
      <c r="EI315" s="105"/>
      <c r="EJ315" s="105"/>
      <c r="EK315" s="105">
        <f>EK182/EK187</f>
        <v>119.13793103448276</v>
      </c>
      <c r="EL315" s="105"/>
      <c r="EM315" s="105"/>
      <c r="EN315" s="105"/>
      <c r="EO315" s="105"/>
      <c r="EP315" s="105">
        <f>EP182/EP187</f>
        <v>115.41379310344827</v>
      </c>
      <c r="EQ315" s="105"/>
      <c r="ER315" s="105"/>
      <c r="ES315" s="105"/>
      <c r="ET315" s="105"/>
      <c r="EU315" s="105">
        <f>EU182/EU187</f>
        <v>92.920844892391386</v>
      </c>
      <c r="EV315" s="105"/>
      <c r="EW315" s="105"/>
      <c r="EX315" s="105"/>
      <c r="EY315" s="105"/>
      <c r="EZ315" s="105">
        <f>EZ182/EZ187</f>
        <v>99.147318425621918</v>
      </c>
      <c r="FA315" s="105"/>
      <c r="FB315" s="105"/>
      <c r="FC315" s="105"/>
      <c r="FD315" s="105"/>
      <c r="FE315" s="105">
        <f>FE182/FE187</f>
        <v>112.75570652533841</v>
      </c>
      <c r="FF315" s="34"/>
      <c r="FG315" s="455"/>
      <c r="FL315" s="410"/>
      <c r="FM315" s="410"/>
      <c r="FN315" s="371"/>
      <c r="FO315" s="371"/>
      <c r="FP315" s="371"/>
      <c r="FQ315" s="371"/>
      <c r="FR315" s="371"/>
      <c r="FS315" s="371"/>
      <c r="FT315" s="455"/>
    </row>
    <row r="316" spans="1:183" ht="12.75" hidden="1" customHeight="1" x14ac:dyDescent="0.2">
      <c r="A316" s="34" t="s">
        <v>20</v>
      </c>
      <c r="B316" s="207"/>
      <c r="C316" s="207"/>
      <c r="D316" s="207"/>
      <c r="E316" s="207"/>
      <c r="F316" s="247"/>
      <c r="G316" s="207"/>
      <c r="H316" s="207"/>
      <c r="I316" s="207"/>
      <c r="J316" s="207"/>
      <c r="K316" s="247"/>
      <c r="L316" s="207"/>
      <c r="M316" s="207"/>
      <c r="N316" s="207"/>
      <c r="O316" s="207"/>
      <c r="P316" s="247"/>
      <c r="Q316" s="207"/>
      <c r="R316" s="207"/>
      <c r="S316" s="207"/>
      <c r="T316" s="207"/>
      <c r="U316" s="247"/>
      <c r="V316" s="207"/>
      <c r="W316" s="207"/>
      <c r="X316" s="207"/>
      <c r="Y316" s="207"/>
      <c r="Z316" s="247"/>
      <c r="AA316" s="207"/>
      <c r="AB316" s="207"/>
      <c r="AC316" s="207"/>
      <c r="AD316" s="207"/>
      <c r="AE316" s="247"/>
      <c r="AF316" s="207"/>
      <c r="AG316" s="207"/>
      <c r="AH316" s="207"/>
      <c r="AI316" s="207"/>
      <c r="AJ316" s="247"/>
      <c r="AK316" s="207"/>
      <c r="AL316" s="207"/>
      <c r="AM316" s="207"/>
      <c r="AN316" s="207"/>
      <c r="AO316" s="247"/>
      <c r="AP316" s="207"/>
      <c r="AQ316" s="207"/>
      <c r="AR316" s="207"/>
      <c r="AS316" s="207"/>
      <c r="AT316" s="247"/>
      <c r="AU316" s="207"/>
      <c r="AV316" s="207"/>
      <c r="AW316" s="207"/>
      <c r="AX316" s="207"/>
      <c r="AY316" s="105" t="e">
        <f>#REF!/AY187</f>
        <v>#REF!</v>
      </c>
      <c r="AZ316" s="34"/>
      <c r="BA316" s="34"/>
      <c r="BB316" s="34"/>
      <c r="BC316" s="34"/>
      <c r="BD316" s="105" t="e">
        <f>#REF!/BD187</f>
        <v>#REF!</v>
      </c>
      <c r="BE316" s="34"/>
      <c r="BF316" s="34"/>
      <c r="BG316" s="34"/>
      <c r="BH316" s="34"/>
      <c r="BI316" s="105" t="e">
        <f>#REF!/BI187</f>
        <v>#REF!</v>
      </c>
      <c r="BJ316" s="34"/>
      <c r="BK316" s="34"/>
      <c r="BL316" s="34"/>
      <c r="BM316" s="34"/>
      <c r="BN316" s="105" t="e">
        <f>#REF!/BN187</f>
        <v>#REF!</v>
      </c>
      <c r="BO316" s="34"/>
      <c r="BP316" s="34"/>
      <c r="BQ316" s="34"/>
      <c r="BR316" s="34"/>
      <c r="BS316" s="105" t="e">
        <f>#REF!/BS187</f>
        <v>#REF!</v>
      </c>
      <c r="BT316" s="34"/>
      <c r="BU316" s="34"/>
      <c r="BV316" s="34"/>
      <c r="BW316" s="34"/>
      <c r="BX316" s="105" t="e">
        <f>#REF!/BX187</f>
        <v>#REF!</v>
      </c>
      <c r="BY316" s="34"/>
      <c r="BZ316" s="34"/>
      <c r="CA316" s="34"/>
      <c r="CB316" s="34"/>
      <c r="CC316" s="105" t="e">
        <f>#REF!/CC187</f>
        <v>#REF!</v>
      </c>
      <c r="CD316" s="34"/>
      <c r="CE316" s="34"/>
      <c r="CF316" s="34"/>
      <c r="CG316" s="34"/>
      <c r="CH316" s="105" t="e">
        <f>#REF!/CH187</f>
        <v>#REF!</v>
      </c>
      <c r="CI316" s="34" t="e">
        <f>#REF!/CI187</f>
        <v>#REF!</v>
      </c>
      <c r="CJ316" s="34" t="e">
        <f>#REF!/CJ187</f>
        <v>#REF!</v>
      </c>
      <c r="CK316" s="34" t="e">
        <f>#REF!/CK187</f>
        <v>#REF!</v>
      </c>
      <c r="CL316" s="34" t="e">
        <f>#REF!/CL187</f>
        <v>#REF!</v>
      </c>
      <c r="CM316" s="105" t="e">
        <f>#REF!/CM187</f>
        <v>#REF!</v>
      </c>
      <c r="CN316" s="34" t="e">
        <f>#REF!/CN187</f>
        <v>#REF!</v>
      </c>
      <c r="CO316" s="34" t="e">
        <f>#REF!/CO187</f>
        <v>#REF!</v>
      </c>
      <c r="CP316" s="34" t="e">
        <f>#REF!/CP187</f>
        <v>#REF!</v>
      </c>
      <c r="CQ316" s="34" t="e">
        <f>#REF!/CQ187</f>
        <v>#REF!</v>
      </c>
      <c r="CR316" s="105" t="e">
        <f>#REF!/CR187</f>
        <v>#REF!</v>
      </c>
      <c r="CS316" s="34" t="e">
        <f>#REF!/CS187</f>
        <v>#REF!</v>
      </c>
      <c r="CT316" s="34" t="e">
        <f>#REF!/CT187</f>
        <v>#REF!</v>
      </c>
      <c r="CU316" s="34" t="e">
        <f>#REF!/CU187</f>
        <v>#REF!</v>
      </c>
      <c r="CV316" s="34" t="e">
        <f>#REF!/CV187</f>
        <v>#REF!</v>
      </c>
      <c r="CW316" s="105" t="e">
        <f>#REF!/CW187</f>
        <v>#REF!</v>
      </c>
      <c r="CX316" s="34" t="e">
        <f>#REF!/CX187</f>
        <v>#REF!</v>
      </c>
      <c r="CY316" s="34" t="e">
        <f>#REF!/CY187</f>
        <v>#REF!</v>
      </c>
      <c r="CZ316" s="34" t="e">
        <f>#REF!/CZ187</f>
        <v>#REF!</v>
      </c>
      <c r="DA316" s="34" t="e">
        <f>#REF!/DA187</f>
        <v>#REF!</v>
      </c>
      <c r="DB316" s="105" t="e">
        <f>#REF!/DB187</f>
        <v>#REF!</v>
      </c>
      <c r="DC316" s="34" t="e">
        <f>#REF!/DC187</f>
        <v>#REF!</v>
      </c>
      <c r="DD316" s="34" t="e">
        <f>#REF!/DD187</f>
        <v>#REF!</v>
      </c>
      <c r="DE316" s="34" t="e">
        <f>#REF!/DE187</f>
        <v>#REF!</v>
      </c>
      <c r="DF316" s="34" t="e">
        <f>#REF!/DF187</f>
        <v>#REF!</v>
      </c>
      <c r="DG316" s="105" t="e">
        <f>#REF!/DG187</f>
        <v>#REF!</v>
      </c>
      <c r="DH316" s="34" t="e">
        <f>#REF!/DH187</f>
        <v>#REF!</v>
      </c>
      <c r="DI316" s="34" t="e">
        <f>#REF!/DI187</f>
        <v>#REF!</v>
      </c>
      <c r="DJ316" s="34" t="e">
        <f>#REF!/DJ187</f>
        <v>#REF!</v>
      </c>
      <c r="DK316" s="34" t="e">
        <f>#REF!/DK187</f>
        <v>#REF!</v>
      </c>
      <c r="DL316" s="105" t="e">
        <f>#REF!/DL187</f>
        <v>#REF!</v>
      </c>
      <c r="DM316" s="105"/>
      <c r="DN316" s="105"/>
      <c r="DO316" s="105"/>
      <c r="DP316" s="537"/>
      <c r="DQ316" s="105" t="e">
        <f>#REF!/DQ187</f>
        <v>#REF!</v>
      </c>
      <c r="DR316" s="547"/>
      <c r="DS316" s="105"/>
      <c r="DT316" s="105"/>
      <c r="DU316" s="105"/>
      <c r="DV316" s="105" t="e">
        <f>#REF!/DV187</f>
        <v>#REF!</v>
      </c>
      <c r="DW316" s="547"/>
      <c r="DX316" s="105"/>
      <c r="DY316" s="105"/>
      <c r="DZ316" s="105"/>
      <c r="EA316" s="105" t="e">
        <f>#REF!/EA187</f>
        <v>#REF!</v>
      </c>
      <c r="EB316" s="547"/>
      <c r="EC316" s="105"/>
      <c r="ED316" s="105"/>
      <c r="EE316" s="105"/>
      <c r="EF316" s="105" t="e">
        <f>#REF!/EF187</f>
        <v>#REF!</v>
      </c>
      <c r="EG316" s="105"/>
      <c r="EH316" s="105"/>
      <c r="EI316" s="105"/>
      <c r="EJ316" s="105"/>
      <c r="EK316" s="105" t="e">
        <f>#REF!/EK187</f>
        <v>#REF!</v>
      </c>
      <c r="EL316" s="105"/>
      <c r="EM316" s="105"/>
      <c r="EN316" s="105"/>
      <c r="EO316" s="105"/>
      <c r="EP316" s="105" t="e">
        <f>#REF!/EP187</f>
        <v>#REF!</v>
      </c>
      <c r="EQ316" s="105"/>
      <c r="ER316" s="105"/>
      <c r="ES316" s="105"/>
      <c r="ET316" s="105"/>
      <c r="EU316" s="105" t="e">
        <f>#REF!/EU187</f>
        <v>#REF!</v>
      </c>
      <c r="EV316" s="105"/>
      <c r="EW316" s="105"/>
      <c r="EX316" s="105"/>
      <c r="EY316" s="105"/>
      <c r="EZ316" s="105" t="e">
        <f>#REF!/EZ187</f>
        <v>#REF!</v>
      </c>
      <c r="FA316" s="105"/>
      <c r="FB316" s="105"/>
      <c r="FC316" s="105"/>
      <c r="FD316" s="105"/>
      <c r="FE316" s="105" t="e">
        <f>#REF!/FE187</f>
        <v>#REF!</v>
      </c>
      <c r="FF316" s="34"/>
      <c r="FG316" s="455"/>
      <c r="FL316" s="410"/>
      <c r="FM316" s="410"/>
      <c r="FN316" s="371"/>
      <c r="FO316" s="371"/>
      <c r="FP316" s="371"/>
      <c r="FQ316" s="371"/>
      <c r="FR316" s="371"/>
      <c r="FS316" s="371"/>
      <c r="FT316" s="455"/>
    </row>
    <row r="317" spans="1:183" ht="12.75" hidden="1" customHeight="1" x14ac:dyDescent="0.2">
      <c r="A317" s="34" t="s">
        <v>21</v>
      </c>
      <c r="B317" s="207"/>
      <c r="C317" s="207"/>
      <c r="D317" s="207"/>
      <c r="E317" s="207"/>
      <c r="F317" s="247"/>
      <c r="G317" s="207"/>
      <c r="H317" s="207"/>
      <c r="I317" s="207"/>
      <c r="J317" s="207"/>
      <c r="K317" s="247"/>
      <c r="L317" s="207"/>
      <c r="M317" s="207"/>
      <c r="N317" s="207"/>
      <c r="O317" s="207"/>
      <c r="P317" s="247"/>
      <c r="Q317" s="207"/>
      <c r="R317" s="207"/>
      <c r="S317" s="207"/>
      <c r="T317" s="207"/>
      <c r="U317" s="247"/>
      <c r="V317" s="207"/>
      <c r="W317" s="207"/>
      <c r="X317" s="207"/>
      <c r="Y317" s="207"/>
      <c r="Z317" s="247"/>
      <c r="AA317" s="207"/>
      <c r="AB317" s="207"/>
      <c r="AC317" s="207"/>
      <c r="AD317" s="207"/>
      <c r="AE317" s="247"/>
      <c r="AF317" s="207"/>
      <c r="AG317" s="207"/>
      <c r="AH317" s="207"/>
      <c r="AI317" s="207"/>
      <c r="AJ317" s="247"/>
      <c r="AK317" s="207"/>
      <c r="AL317" s="207"/>
      <c r="AM317" s="207"/>
      <c r="AN317" s="207"/>
      <c r="AO317" s="247"/>
      <c r="AP317" s="207"/>
      <c r="AQ317" s="207"/>
      <c r="AR317" s="207"/>
      <c r="AS317" s="207"/>
      <c r="AT317" s="247"/>
      <c r="AU317" s="207"/>
      <c r="AV317" s="207"/>
      <c r="AW317" s="207"/>
      <c r="AX317" s="207"/>
      <c r="AY317" s="105">
        <f>AY183/AY187</f>
        <v>-530.84851100560911</v>
      </c>
      <c r="AZ317" s="34"/>
      <c r="BA317" s="34"/>
      <c r="BB317" s="34"/>
      <c r="BC317" s="34"/>
      <c r="BD317" s="105">
        <f>BD183/BD187</f>
        <v>661.40732568402711</v>
      </c>
      <c r="BE317" s="34"/>
      <c r="BF317" s="34"/>
      <c r="BG317" s="34"/>
      <c r="BH317" s="34"/>
      <c r="BI317" s="105">
        <f>BI183/BI187</f>
        <v>170.5879802661085</v>
      </c>
      <c r="BJ317" s="34"/>
      <c r="BK317" s="34"/>
      <c r="BL317" s="34"/>
      <c r="BM317" s="34"/>
      <c r="BN317" s="105">
        <f>BN183/BN187</f>
        <v>17.655019927880055</v>
      </c>
      <c r="BO317" s="34"/>
      <c r="BP317" s="34"/>
      <c r="BQ317" s="34"/>
      <c r="BR317" s="34"/>
      <c r="BS317" s="105">
        <f>BS183/BS187</f>
        <v>33.030303030303031</v>
      </c>
      <c r="BT317" s="34"/>
      <c r="BU317" s="34"/>
      <c r="BV317" s="34"/>
      <c r="BW317" s="34"/>
      <c r="BX317" s="105">
        <f>BX183/BX187</f>
        <v>42.975000000000001</v>
      </c>
      <c r="BY317" s="34"/>
      <c r="BZ317" s="34"/>
      <c r="CA317" s="34"/>
      <c r="CB317" s="34"/>
      <c r="CC317" s="105">
        <f>CC183/CC187</f>
        <v>39.25714285714286</v>
      </c>
      <c r="CD317" s="34"/>
      <c r="CE317" s="34"/>
      <c r="CF317" s="34"/>
      <c r="CG317" s="34"/>
      <c r="CH317" s="105">
        <f t="shared" ref="CH317:DL317" si="1200">CH183/CH187</f>
        <v>-235.48571428571424</v>
      </c>
      <c r="CI317" s="34">
        <f t="shared" si="1200"/>
        <v>-230.54285714285712</v>
      </c>
      <c r="CJ317" s="34">
        <f t="shared" si="1200"/>
        <v>-304.83999999999997</v>
      </c>
      <c r="CK317" s="34">
        <f t="shared" si="1200"/>
        <v>387.4</v>
      </c>
      <c r="CL317" s="34">
        <f t="shared" si="1200"/>
        <v>60.307692307692307</v>
      </c>
      <c r="CM317" s="105">
        <f t="shared" si="1200"/>
        <v>60.307692307692307</v>
      </c>
      <c r="CN317" s="34">
        <f t="shared" si="1200"/>
        <v>45.885714285714286</v>
      </c>
      <c r="CO317" s="34">
        <f t="shared" si="1200"/>
        <v>27.8</v>
      </c>
      <c r="CP317" s="34">
        <f t="shared" si="1200"/>
        <v>19.87323943661972</v>
      </c>
      <c r="CQ317" s="34">
        <f t="shared" si="1200"/>
        <v>17.820512820512821</v>
      </c>
      <c r="CR317" s="105">
        <f t="shared" si="1200"/>
        <v>17.820512820512821</v>
      </c>
      <c r="CS317" s="34">
        <f t="shared" si="1200"/>
        <v>12.199963090963996</v>
      </c>
      <c r="CT317" s="34">
        <f t="shared" si="1200"/>
        <v>9.9395577901078198</v>
      </c>
      <c r="CU317" s="34">
        <f t="shared" si="1200"/>
        <v>8.6921344640634555</v>
      </c>
      <c r="CV317" s="34">
        <f t="shared" si="1200"/>
        <v>7.9548452584445437</v>
      </c>
      <c r="CW317" s="105">
        <f t="shared" si="1200"/>
        <v>7.9548452584445437</v>
      </c>
      <c r="CX317" s="34">
        <f t="shared" si="1200"/>
        <v>8.0948096885813161</v>
      </c>
      <c r="CY317" s="34">
        <f t="shared" si="1200"/>
        <v>9.2613589567604659</v>
      </c>
      <c r="CZ317" s="34">
        <f t="shared" si="1200"/>
        <v>10.690623131795768</v>
      </c>
      <c r="DA317" s="34">
        <f t="shared" si="1200"/>
        <v>11.431713817041818</v>
      </c>
      <c r="DB317" s="105">
        <f t="shared" si="1200"/>
        <v>11.431713817041818</v>
      </c>
      <c r="DC317" s="34">
        <f t="shared" si="1200"/>
        <v>11.405940735451626</v>
      </c>
      <c r="DD317" s="34">
        <f t="shared" si="1200"/>
        <v>10.764297722012426</v>
      </c>
      <c r="DE317" s="34">
        <f t="shared" si="1200"/>
        <v>10.322313008785363</v>
      </c>
      <c r="DF317" s="34">
        <f t="shared" si="1200"/>
        <v>10.048912115489095</v>
      </c>
      <c r="DG317" s="105">
        <f t="shared" si="1200"/>
        <v>10.048912115489097</v>
      </c>
      <c r="DH317" s="34">
        <f t="shared" si="1200"/>
        <v>10.879310344827585</v>
      </c>
      <c r="DI317" s="34">
        <f t="shared" si="1200"/>
        <v>13.597402597402597</v>
      </c>
      <c r="DJ317" s="34">
        <f t="shared" si="1200"/>
        <v>15.036764705882353</v>
      </c>
      <c r="DK317" s="34">
        <f t="shared" si="1200"/>
        <v>17.126050420168067</v>
      </c>
      <c r="DL317" s="105">
        <f t="shared" si="1200"/>
        <v>17.126050420168067</v>
      </c>
      <c r="DM317" s="105"/>
      <c r="DN317" s="105"/>
      <c r="DO317" s="105"/>
      <c r="DP317" s="537"/>
      <c r="DQ317" s="105">
        <f>DQ183/DQ187</f>
        <v>26.76</v>
      </c>
      <c r="DR317" s="547"/>
      <c r="DS317" s="105"/>
      <c r="DT317" s="105"/>
      <c r="DU317" s="105"/>
      <c r="DV317" s="105">
        <f>DV183/DV187</f>
        <v>36.494949494949495</v>
      </c>
      <c r="DW317" s="547"/>
      <c r="DX317" s="105"/>
      <c r="DY317" s="105"/>
      <c r="DZ317" s="105"/>
      <c r="EA317" s="105">
        <f>EA183/EA187</f>
        <v>65.125</v>
      </c>
      <c r="EB317" s="547"/>
      <c r="EC317" s="105"/>
      <c r="ED317" s="105"/>
      <c r="EE317" s="105"/>
      <c r="EF317" s="105">
        <f>EF183/EF187</f>
        <v>102.0754716981132</v>
      </c>
      <c r="EG317" s="105"/>
      <c r="EH317" s="105"/>
      <c r="EI317" s="105"/>
      <c r="EJ317" s="105"/>
      <c r="EK317" s="105">
        <f>EK183/EK187</f>
        <v>167.79310344827587</v>
      </c>
      <c r="EL317" s="105"/>
      <c r="EM317" s="105"/>
      <c r="EN317" s="105"/>
      <c r="EO317" s="105"/>
      <c r="EP317" s="105">
        <f>EP183/EP187</f>
        <v>164.24137931034483</v>
      </c>
      <c r="EQ317" s="105"/>
      <c r="ER317" s="105"/>
      <c r="ES317" s="105"/>
      <c r="ET317" s="105"/>
      <c r="EU317" s="105">
        <f>EU183/EU187</f>
        <v>128.38876748888623</v>
      </c>
      <c r="EV317" s="105"/>
      <c r="EW317" s="105"/>
      <c r="EX317" s="105"/>
      <c r="EY317" s="105"/>
      <c r="EZ317" s="105">
        <f>EZ183/EZ187</f>
        <v>132.11920415808726</v>
      </c>
      <c r="FA317" s="105"/>
      <c r="FB317" s="105"/>
      <c r="FC317" s="105"/>
      <c r="FD317" s="105"/>
      <c r="FE317" s="105">
        <f>FE183/FE187</f>
        <v>146.63570269278679</v>
      </c>
      <c r="FF317" s="34"/>
      <c r="FG317" s="455"/>
      <c r="FL317" s="410"/>
      <c r="FM317" s="410"/>
      <c r="FN317" s="371"/>
      <c r="FO317" s="371"/>
      <c r="FP317" s="371"/>
      <c r="FQ317" s="371"/>
      <c r="FR317" s="371"/>
      <c r="FS317" s="371"/>
      <c r="FT317" s="455"/>
    </row>
    <row r="318" spans="1:183" ht="12.75" hidden="1" customHeight="1" x14ac:dyDescent="0.2">
      <c r="A318" s="34"/>
      <c r="B318" s="184"/>
      <c r="C318" s="184"/>
      <c r="D318" s="184"/>
      <c r="E318" s="184"/>
      <c r="F318" s="279"/>
      <c r="G318" s="184"/>
      <c r="H318" s="184"/>
      <c r="I318" s="184"/>
      <c r="J318" s="184"/>
      <c r="K318" s="279"/>
      <c r="L318" s="184"/>
      <c r="M318" s="184"/>
      <c r="N318" s="184"/>
      <c r="O318" s="184"/>
      <c r="P318" s="279"/>
      <c r="Q318" s="184"/>
      <c r="R318" s="184"/>
      <c r="S318" s="184"/>
      <c r="T318" s="184"/>
      <c r="U318" s="279"/>
      <c r="V318" s="184"/>
      <c r="W318" s="184"/>
      <c r="X318" s="184"/>
      <c r="Y318" s="184"/>
      <c r="Z318" s="279"/>
      <c r="AA318" s="184"/>
      <c r="AB318" s="184"/>
      <c r="AC318" s="184"/>
      <c r="AD318" s="184"/>
      <c r="AE318" s="279"/>
      <c r="AF318" s="184"/>
      <c r="AG318" s="184"/>
      <c r="AH318" s="184"/>
      <c r="AI318" s="184"/>
      <c r="AJ318" s="279"/>
      <c r="AK318" s="184"/>
      <c r="AL318" s="184"/>
      <c r="AM318" s="184"/>
      <c r="AN318" s="184"/>
      <c r="AO318" s="279"/>
      <c r="AP318" s="184"/>
      <c r="AQ318" s="184"/>
      <c r="AR318" s="184"/>
      <c r="AS318" s="184"/>
      <c r="AT318" s="279"/>
      <c r="AU318" s="184"/>
      <c r="AV318" s="184"/>
      <c r="AW318" s="184"/>
      <c r="AX318" s="184"/>
      <c r="AY318" s="113"/>
      <c r="AZ318" s="30"/>
      <c r="BA318" s="30"/>
      <c r="BB318" s="30"/>
      <c r="BC318" s="30"/>
      <c r="BD318" s="113"/>
      <c r="BE318" s="30"/>
      <c r="BF318" s="30"/>
      <c r="BG318" s="30"/>
      <c r="BH318" s="30"/>
      <c r="BI318" s="113"/>
      <c r="BJ318" s="30"/>
      <c r="BK318" s="30"/>
      <c r="BL318" s="30"/>
      <c r="BM318" s="30"/>
      <c r="BN318" s="113"/>
      <c r="BO318" s="30"/>
      <c r="BP318" s="30"/>
      <c r="BQ318" s="30"/>
      <c r="BR318" s="30"/>
      <c r="BS318" s="113"/>
      <c r="BT318" s="30"/>
      <c r="BU318" s="30"/>
      <c r="BV318" s="30"/>
      <c r="BW318" s="30"/>
      <c r="BX318" s="113"/>
      <c r="BY318" s="30"/>
      <c r="BZ318" s="30"/>
      <c r="CA318" s="30"/>
      <c r="CB318" s="30"/>
      <c r="CC318" s="113"/>
      <c r="CD318" s="30"/>
      <c r="CE318" s="30"/>
      <c r="CF318" s="30"/>
      <c r="CG318" s="30"/>
      <c r="CH318" s="113"/>
      <c r="CI318" s="30"/>
      <c r="CJ318" s="30"/>
      <c r="CK318" s="30"/>
      <c r="CL318" s="30"/>
      <c r="CM318" s="113"/>
      <c r="CN318" s="30"/>
      <c r="CO318" s="30"/>
      <c r="CP318" s="30"/>
      <c r="CQ318" s="30"/>
      <c r="CR318" s="113"/>
      <c r="CS318" s="30"/>
      <c r="CT318" s="30"/>
      <c r="CU318" s="30"/>
      <c r="CV318" s="30"/>
      <c r="CW318" s="113"/>
      <c r="CX318" s="30"/>
      <c r="CY318" s="30"/>
      <c r="CZ318" s="30"/>
      <c r="DA318" s="30"/>
      <c r="DB318" s="113"/>
      <c r="DC318" s="30"/>
      <c r="DD318" s="30"/>
      <c r="DE318" s="30"/>
      <c r="DF318" s="30"/>
      <c r="DG318" s="113"/>
      <c r="DH318" s="30"/>
      <c r="DI318" s="30"/>
      <c r="DJ318" s="30"/>
      <c r="DK318" s="30"/>
      <c r="DL318" s="113"/>
      <c r="DM318" s="113"/>
      <c r="DN318" s="113"/>
      <c r="DO318" s="113"/>
      <c r="DP318" s="534"/>
      <c r="DQ318" s="113"/>
      <c r="DR318" s="552"/>
      <c r="DS318" s="113"/>
      <c r="DT318" s="113"/>
      <c r="DU318" s="113"/>
      <c r="DV318" s="113"/>
      <c r="DW318" s="552"/>
      <c r="DX318" s="113"/>
      <c r="DY318" s="113"/>
      <c r="DZ318" s="113"/>
      <c r="EA318" s="113"/>
      <c r="EB318" s="552"/>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40"/>
      <c r="FG318" s="190"/>
      <c r="FL318" s="406"/>
      <c r="FM318" s="406"/>
      <c r="FN318" s="368"/>
      <c r="FO318" s="368"/>
      <c r="FP318" s="368"/>
      <c r="FQ318" s="368"/>
      <c r="FR318" s="368"/>
      <c r="FS318" s="368"/>
      <c r="FT318" s="190"/>
    </row>
    <row r="319" spans="1:183" ht="12.75" hidden="1" customHeight="1" x14ac:dyDescent="0.2">
      <c r="A319" s="34" t="s">
        <v>16</v>
      </c>
      <c r="B319" s="207"/>
      <c r="C319" s="207"/>
      <c r="D319" s="207"/>
      <c r="E319" s="207"/>
      <c r="F319" s="247"/>
      <c r="G319" s="207"/>
      <c r="H319" s="207"/>
      <c r="I319" s="207"/>
      <c r="J319" s="207"/>
      <c r="K319" s="247"/>
      <c r="L319" s="207"/>
      <c r="M319" s="207"/>
      <c r="N319" s="207"/>
      <c r="O319" s="207"/>
      <c r="P319" s="247"/>
      <c r="Q319" s="207"/>
      <c r="R319" s="207"/>
      <c r="S319" s="207"/>
      <c r="T319" s="207"/>
      <c r="U319" s="247"/>
      <c r="V319" s="207"/>
      <c r="W319" s="207"/>
      <c r="X319" s="207"/>
      <c r="Y319" s="207"/>
      <c r="Z319" s="247"/>
      <c r="AA319" s="207"/>
      <c r="AB319" s="207"/>
      <c r="AC319" s="207"/>
      <c r="AD319" s="207"/>
      <c r="AE319" s="247"/>
      <c r="AF319" s="207"/>
      <c r="AG319" s="207"/>
      <c r="AH319" s="207"/>
      <c r="AI319" s="207"/>
      <c r="AJ319" s="247"/>
      <c r="AK319" s="207"/>
      <c r="AL319" s="207"/>
      <c r="AM319" s="207"/>
      <c r="AN319" s="207"/>
      <c r="AO319" s="247"/>
      <c r="AP319" s="207"/>
      <c r="AQ319" s="207"/>
      <c r="AR319" s="207"/>
      <c r="AS319" s="207"/>
      <c r="AT319" s="247"/>
      <c r="AU319" s="207"/>
      <c r="AV319" s="207"/>
      <c r="AW319" s="207"/>
      <c r="AX319" s="207"/>
      <c r="AY319" s="105">
        <f>AY182/AY186</f>
        <v>14.434869332348324</v>
      </c>
      <c r="AZ319" s="34"/>
      <c r="BA319" s="34"/>
      <c r="BB319" s="34"/>
      <c r="BC319" s="34"/>
      <c r="BD319" s="105">
        <f>BD182/BD186</f>
        <v>14.610954513585822</v>
      </c>
      <c r="BE319" s="34"/>
      <c r="BF319" s="34"/>
      <c r="BG319" s="34"/>
      <c r="BH319" s="34"/>
      <c r="BI319" s="105">
        <f>BI182/BI186</f>
        <v>9.0383662480129434</v>
      </c>
      <c r="BJ319" s="34"/>
      <c r="BK319" s="34"/>
      <c r="BL319" s="34"/>
      <c r="BM319" s="34"/>
      <c r="BN319" s="105">
        <f>BN182/BN186</f>
        <v>3.6238420396961439</v>
      </c>
      <c r="BO319" s="34"/>
      <c r="BP319" s="34"/>
      <c r="BQ319" s="34"/>
      <c r="BR319" s="34"/>
      <c r="BS319" s="105">
        <f>BS182/BS186</f>
        <v>5.8111111111111109</v>
      </c>
      <c r="BT319" s="34"/>
      <c r="BU319" s="34"/>
      <c r="BV319" s="34"/>
      <c r="BW319" s="34"/>
      <c r="BX319" s="105">
        <f>BX182/BX186</f>
        <v>6.7420454545454538</v>
      </c>
      <c r="BY319" s="34"/>
      <c r="BZ319" s="34"/>
      <c r="CA319" s="34"/>
      <c r="CB319" s="34"/>
      <c r="CC319" s="105">
        <f>CC182/CC186</f>
        <v>6.1749999999999998</v>
      </c>
      <c r="CD319" s="34"/>
      <c r="CE319" s="34"/>
      <c r="CF319" s="34"/>
      <c r="CG319" s="34"/>
      <c r="CH319" s="105">
        <f t="shared" ref="CH319:DL319" si="1201">CH182/CH186</f>
        <v>7.6203124999999972</v>
      </c>
      <c r="CI319" s="34">
        <f t="shared" si="1201"/>
        <v>7.5674796747967461</v>
      </c>
      <c r="CJ319" s="34">
        <f t="shared" si="1201"/>
        <v>7.0355932203389813</v>
      </c>
      <c r="CK319" s="34">
        <f t="shared" si="1201"/>
        <v>7.4350877192982452</v>
      </c>
      <c r="CL319" s="34">
        <f t="shared" si="1201"/>
        <v>7.1848739495798322</v>
      </c>
      <c r="CM319" s="105">
        <f t="shared" si="1201"/>
        <v>7.1848739495798322</v>
      </c>
      <c r="CN319" s="34">
        <f t="shared" si="1201"/>
        <v>7.4915254237288131</v>
      </c>
      <c r="CO319" s="34">
        <f t="shared" si="1201"/>
        <v>6.5950413223140494</v>
      </c>
      <c r="CP319" s="34">
        <f t="shared" si="1201"/>
        <v>5.21875</v>
      </c>
      <c r="CQ319" s="34">
        <f t="shared" si="1201"/>
        <v>4.945736434108527</v>
      </c>
      <c r="CR319" s="105">
        <f t="shared" si="1201"/>
        <v>4.945736434108527</v>
      </c>
      <c r="CS319" s="34">
        <f t="shared" si="1201"/>
        <v>3.7047103410936639</v>
      </c>
      <c r="CT319" s="34">
        <f t="shared" si="1201"/>
        <v>3.0936515755377432</v>
      </c>
      <c r="CU319" s="34">
        <f t="shared" si="1201"/>
        <v>2.6932002665891952</v>
      </c>
      <c r="CV319" s="34">
        <f t="shared" si="1201"/>
        <v>2.6404763409637617</v>
      </c>
      <c r="CW319" s="105">
        <f t="shared" si="1201"/>
        <v>2.6404763409637617</v>
      </c>
      <c r="CX319" s="34">
        <f t="shared" si="1201"/>
        <v>2.7682650789619156</v>
      </c>
      <c r="CY319" s="34">
        <f t="shared" si="1201"/>
        <v>3.6892991427282289</v>
      </c>
      <c r="CZ319" s="34">
        <f t="shared" si="1201"/>
        <v>4.9229891371626637</v>
      </c>
      <c r="DA319" s="34">
        <f t="shared" si="1201"/>
        <v>5.329421971148995</v>
      </c>
      <c r="DB319" s="105">
        <f t="shared" si="1201"/>
        <v>5.329421971148995</v>
      </c>
      <c r="DC319" s="34">
        <f t="shared" si="1201"/>
        <v>5.2955267419007948</v>
      </c>
      <c r="DD319" s="34">
        <f t="shared" si="1201"/>
        <v>4.6733412058667483</v>
      </c>
      <c r="DE319" s="34">
        <f t="shared" si="1201"/>
        <v>4.1697721639272247</v>
      </c>
      <c r="DF319" s="34">
        <f t="shared" si="1201"/>
        <v>3.7951924992240733</v>
      </c>
      <c r="DG319" s="105">
        <f t="shared" si="1201"/>
        <v>3.7951924992240733</v>
      </c>
      <c r="DH319" s="34">
        <f t="shared" si="1201"/>
        <v>3.8426395939086295</v>
      </c>
      <c r="DI319" s="34">
        <f t="shared" si="1201"/>
        <v>5.2905027932960893</v>
      </c>
      <c r="DJ319" s="34">
        <f t="shared" si="1201"/>
        <v>5.3048780487804876</v>
      </c>
      <c r="DK319" s="34">
        <f t="shared" si="1201"/>
        <v>5.6689189189189193</v>
      </c>
      <c r="DL319" s="105">
        <f t="shared" si="1201"/>
        <v>5.6689189189189193</v>
      </c>
      <c r="DM319" s="105"/>
      <c r="DN319" s="105"/>
      <c r="DO319" s="105"/>
      <c r="DP319" s="537"/>
      <c r="DQ319" s="105">
        <f>DQ182/DQ186</f>
        <v>11.138461538461538</v>
      </c>
      <c r="DR319" s="547"/>
      <c r="DS319" s="105"/>
      <c r="DT319" s="105"/>
      <c r="DU319" s="105"/>
      <c r="DV319" s="105">
        <f>DV182/DV186</f>
        <v>18.307692307692307</v>
      </c>
      <c r="DW319" s="547"/>
      <c r="DX319" s="105"/>
      <c r="DY319" s="105"/>
      <c r="DZ319" s="105"/>
      <c r="EA319" s="105">
        <f>EA182/EA186</f>
        <v>32.975000000000001</v>
      </c>
      <c r="EB319" s="547"/>
      <c r="EC319" s="105"/>
      <c r="ED319" s="105"/>
      <c r="EE319" s="105"/>
      <c r="EF319" s="105">
        <f>EF182/EF186</f>
        <v>32.1869918699187</v>
      </c>
      <c r="EG319" s="105"/>
      <c r="EH319" s="105"/>
      <c r="EI319" s="105"/>
      <c r="EJ319" s="105"/>
      <c r="EK319" s="105">
        <f>EK182/EK186</f>
        <v>30.307017543859651</v>
      </c>
      <c r="EL319" s="105"/>
      <c r="EM319" s="105"/>
      <c r="EN319" s="105"/>
      <c r="EO319" s="105"/>
      <c r="EP319" s="105">
        <f>EP182/EP186</f>
        <v>29.359649122807017</v>
      </c>
      <c r="EQ319" s="105"/>
      <c r="ER319" s="105"/>
      <c r="ES319" s="105"/>
      <c r="ET319" s="105"/>
      <c r="EU319" s="105">
        <f>EU182/EU186</f>
        <v>27.044126498531821</v>
      </c>
      <c r="EV319" s="105"/>
      <c r="EW319" s="105"/>
      <c r="EX319" s="105"/>
      <c r="EY319" s="105"/>
      <c r="EZ319" s="105">
        <f>EZ182/EZ186</f>
        <v>30.907283237661971</v>
      </c>
      <c r="FA319" s="105"/>
      <c r="FB319" s="105"/>
      <c r="FC319" s="105"/>
      <c r="FD319" s="105"/>
      <c r="FE319" s="105">
        <f>FE182/FE186</f>
        <v>35.198489447761581</v>
      </c>
      <c r="FF319" s="34"/>
      <c r="FG319" s="455"/>
      <c r="FL319" s="410"/>
      <c r="FM319" s="410"/>
      <c r="FN319" s="371"/>
      <c r="FO319" s="371"/>
      <c r="FP319" s="371"/>
      <c r="FQ319" s="371"/>
      <c r="FR319" s="371"/>
      <c r="FS319" s="371"/>
      <c r="FT319" s="455"/>
    </row>
    <row r="320" spans="1:183" ht="12.75" hidden="1" customHeight="1" x14ac:dyDescent="0.2">
      <c r="A320" s="34" t="s">
        <v>17</v>
      </c>
      <c r="B320" s="207"/>
      <c r="C320" s="207"/>
      <c r="D320" s="207"/>
      <c r="E320" s="207"/>
      <c r="F320" s="247"/>
      <c r="G320" s="207"/>
      <c r="H320" s="207"/>
      <c r="I320" s="207"/>
      <c r="J320" s="207"/>
      <c r="K320" s="247"/>
      <c r="L320" s="207"/>
      <c r="M320" s="207"/>
      <c r="N320" s="207"/>
      <c r="O320" s="207"/>
      <c r="P320" s="247"/>
      <c r="Q320" s="207"/>
      <c r="R320" s="207"/>
      <c r="S320" s="207"/>
      <c r="T320" s="207"/>
      <c r="U320" s="247"/>
      <c r="V320" s="207"/>
      <c r="W320" s="207"/>
      <c r="X320" s="207"/>
      <c r="Y320" s="207"/>
      <c r="Z320" s="247"/>
      <c r="AA320" s="207"/>
      <c r="AB320" s="207"/>
      <c r="AC320" s="207"/>
      <c r="AD320" s="207"/>
      <c r="AE320" s="247"/>
      <c r="AF320" s="207"/>
      <c r="AG320" s="207"/>
      <c r="AH320" s="207"/>
      <c r="AI320" s="207"/>
      <c r="AJ320" s="247"/>
      <c r="AK320" s="207"/>
      <c r="AL320" s="207"/>
      <c r="AM320" s="207"/>
      <c r="AN320" s="207"/>
      <c r="AO320" s="247"/>
      <c r="AP320" s="207"/>
      <c r="AQ320" s="207"/>
      <c r="AR320" s="207"/>
      <c r="AS320" s="207"/>
      <c r="AT320" s="247"/>
      <c r="AU320" s="207"/>
      <c r="AV320" s="207"/>
      <c r="AW320" s="207"/>
      <c r="AX320" s="207"/>
      <c r="AY320" s="105" t="e">
        <f>#REF!/AY186</f>
        <v>#REF!</v>
      </c>
      <c r="AZ320" s="34"/>
      <c r="BA320" s="34"/>
      <c r="BB320" s="34"/>
      <c r="BC320" s="34"/>
      <c r="BD320" s="105" t="e">
        <f>#REF!/BD186</f>
        <v>#REF!</v>
      </c>
      <c r="BE320" s="34"/>
      <c r="BF320" s="34"/>
      <c r="BG320" s="34"/>
      <c r="BH320" s="34"/>
      <c r="BI320" s="105" t="e">
        <f>#REF!/BI186</f>
        <v>#REF!</v>
      </c>
      <c r="BJ320" s="34"/>
      <c r="BK320" s="34"/>
      <c r="BL320" s="34"/>
      <c r="BM320" s="34"/>
      <c r="BN320" s="105" t="e">
        <f>#REF!/BN186</f>
        <v>#REF!</v>
      </c>
      <c r="BO320" s="34"/>
      <c r="BP320" s="34"/>
      <c r="BQ320" s="34"/>
      <c r="BR320" s="34"/>
      <c r="BS320" s="105" t="e">
        <f>#REF!/BS186</f>
        <v>#REF!</v>
      </c>
      <c r="BT320" s="34"/>
      <c r="BU320" s="34"/>
      <c r="BV320" s="34"/>
      <c r="BW320" s="34"/>
      <c r="BX320" s="105" t="e">
        <f>#REF!/BX186</f>
        <v>#REF!</v>
      </c>
      <c r="BY320" s="34"/>
      <c r="BZ320" s="34"/>
      <c r="CA320" s="34"/>
      <c r="CB320" s="34"/>
      <c r="CC320" s="105" t="e">
        <f>#REF!/CC186</f>
        <v>#REF!</v>
      </c>
      <c r="CD320" s="34"/>
      <c r="CE320" s="34"/>
      <c r="CF320" s="34"/>
      <c r="CG320" s="34"/>
      <c r="CH320" s="105" t="e">
        <f>#REF!/CH186</f>
        <v>#REF!</v>
      </c>
      <c r="CI320" s="34" t="e">
        <f>#REF!/CI186</f>
        <v>#REF!</v>
      </c>
      <c r="CJ320" s="34" t="e">
        <f>#REF!/CJ186</f>
        <v>#REF!</v>
      </c>
      <c r="CK320" s="34" t="e">
        <f>#REF!/CK186</f>
        <v>#REF!</v>
      </c>
      <c r="CL320" s="34" t="e">
        <f>#REF!/CL186</f>
        <v>#REF!</v>
      </c>
      <c r="CM320" s="105" t="e">
        <f>#REF!/CM186</f>
        <v>#REF!</v>
      </c>
      <c r="CN320" s="34" t="e">
        <f>#REF!/CN186</f>
        <v>#REF!</v>
      </c>
      <c r="CO320" s="34" t="e">
        <f>#REF!/CO186</f>
        <v>#REF!</v>
      </c>
      <c r="CP320" s="34" t="e">
        <f>#REF!/CP186</f>
        <v>#REF!</v>
      </c>
      <c r="CQ320" s="34" t="e">
        <f>#REF!/CQ186</f>
        <v>#REF!</v>
      </c>
      <c r="CR320" s="105" t="e">
        <f>#REF!/CR186</f>
        <v>#REF!</v>
      </c>
      <c r="CS320" s="34" t="e">
        <f>#REF!/CS186</f>
        <v>#REF!</v>
      </c>
      <c r="CT320" s="34" t="e">
        <f>#REF!/CT186</f>
        <v>#REF!</v>
      </c>
      <c r="CU320" s="34" t="e">
        <f>#REF!/CU186</f>
        <v>#REF!</v>
      </c>
      <c r="CV320" s="34" t="e">
        <f>#REF!/CV186</f>
        <v>#REF!</v>
      </c>
      <c r="CW320" s="105" t="e">
        <f>#REF!/CW186</f>
        <v>#REF!</v>
      </c>
      <c r="CX320" s="34" t="e">
        <f>#REF!/CX186</f>
        <v>#REF!</v>
      </c>
      <c r="CY320" s="34" t="e">
        <f>#REF!/CY186</f>
        <v>#REF!</v>
      </c>
      <c r="CZ320" s="34" t="e">
        <f>#REF!/CZ186</f>
        <v>#REF!</v>
      </c>
      <c r="DA320" s="34" t="e">
        <f>#REF!/DA186</f>
        <v>#REF!</v>
      </c>
      <c r="DB320" s="105" t="e">
        <f>#REF!/DB186</f>
        <v>#REF!</v>
      </c>
      <c r="DC320" s="34" t="e">
        <f>#REF!/DC186</f>
        <v>#REF!</v>
      </c>
      <c r="DD320" s="34" t="e">
        <f>#REF!/DD186</f>
        <v>#REF!</v>
      </c>
      <c r="DE320" s="34" t="e">
        <f>#REF!/DE186</f>
        <v>#REF!</v>
      </c>
      <c r="DF320" s="34" t="e">
        <f>#REF!/DF186</f>
        <v>#REF!</v>
      </c>
      <c r="DG320" s="105" t="e">
        <f>#REF!/DG186</f>
        <v>#REF!</v>
      </c>
      <c r="DH320" s="34" t="e">
        <f>#REF!/DH186</f>
        <v>#REF!</v>
      </c>
      <c r="DI320" s="34" t="e">
        <f>#REF!/DI186</f>
        <v>#REF!</v>
      </c>
      <c r="DJ320" s="34" t="e">
        <f>#REF!/DJ186</f>
        <v>#REF!</v>
      </c>
      <c r="DK320" s="34" t="e">
        <f>#REF!/DK186</f>
        <v>#REF!</v>
      </c>
      <c r="DL320" s="105" t="e">
        <f>#REF!/DL186</f>
        <v>#REF!</v>
      </c>
      <c r="DM320" s="105"/>
      <c r="DN320" s="105"/>
      <c r="DO320" s="105"/>
      <c r="DP320" s="537"/>
      <c r="DQ320" s="105" t="e">
        <f>#REF!/DQ186</f>
        <v>#REF!</v>
      </c>
      <c r="DR320" s="547"/>
      <c r="DS320" s="105"/>
      <c r="DT320" s="105"/>
      <c r="DU320" s="105"/>
      <c r="DV320" s="105" t="e">
        <f>#REF!/DV186</f>
        <v>#REF!</v>
      </c>
      <c r="DW320" s="547"/>
      <c r="DX320" s="105"/>
      <c r="DY320" s="105"/>
      <c r="DZ320" s="105"/>
      <c r="EA320" s="105" t="e">
        <f>#REF!/EA186</f>
        <v>#REF!</v>
      </c>
      <c r="EB320" s="547"/>
      <c r="EC320" s="105"/>
      <c r="ED320" s="105"/>
      <c r="EE320" s="105"/>
      <c r="EF320" s="105" t="e">
        <f>#REF!/EF186</f>
        <v>#REF!</v>
      </c>
      <c r="EG320" s="105"/>
      <c r="EH320" s="105"/>
      <c r="EI320" s="105"/>
      <c r="EJ320" s="105"/>
      <c r="EK320" s="105" t="e">
        <f>#REF!/EK186</f>
        <v>#REF!</v>
      </c>
      <c r="EL320" s="105"/>
      <c r="EM320" s="105"/>
      <c r="EN320" s="105"/>
      <c r="EO320" s="105"/>
      <c r="EP320" s="105" t="e">
        <f>#REF!/EP186</f>
        <v>#REF!</v>
      </c>
      <c r="EQ320" s="105"/>
      <c r="ER320" s="105"/>
      <c r="ES320" s="105"/>
      <c r="ET320" s="105"/>
      <c r="EU320" s="105" t="e">
        <f>#REF!/EU186</f>
        <v>#REF!</v>
      </c>
      <c r="EV320" s="105"/>
      <c r="EW320" s="105"/>
      <c r="EX320" s="105"/>
      <c r="EY320" s="105"/>
      <c r="EZ320" s="105" t="e">
        <f>#REF!/EZ186</f>
        <v>#REF!</v>
      </c>
      <c r="FA320" s="105"/>
      <c r="FB320" s="105"/>
      <c r="FC320" s="105"/>
      <c r="FD320" s="105"/>
      <c r="FE320" s="105" t="e">
        <f>#REF!/FE186</f>
        <v>#REF!</v>
      </c>
      <c r="FF320" s="34"/>
      <c r="FG320" s="455"/>
      <c r="FL320" s="410"/>
      <c r="FM320" s="410"/>
      <c r="FN320" s="371"/>
      <c r="FO320" s="371"/>
      <c r="FP320" s="371"/>
      <c r="FQ320" s="371"/>
      <c r="FR320" s="371"/>
      <c r="FS320" s="371"/>
      <c r="FT320" s="455"/>
    </row>
    <row r="321" spans="1:183" ht="12.75" hidden="1" customHeight="1" x14ac:dyDescent="0.2">
      <c r="A321" s="34" t="s">
        <v>18</v>
      </c>
      <c r="B321" s="207"/>
      <c r="C321" s="207"/>
      <c r="D321" s="207"/>
      <c r="E321" s="207"/>
      <c r="F321" s="247"/>
      <c r="G321" s="207"/>
      <c r="H321" s="207"/>
      <c r="I321" s="207"/>
      <c r="J321" s="207"/>
      <c r="K321" s="247"/>
      <c r="L321" s="207"/>
      <c r="M321" s="207"/>
      <c r="N321" s="207"/>
      <c r="O321" s="207"/>
      <c r="P321" s="247"/>
      <c r="Q321" s="207"/>
      <c r="R321" s="207"/>
      <c r="S321" s="207"/>
      <c r="T321" s="207"/>
      <c r="U321" s="247"/>
      <c r="V321" s="207"/>
      <c r="W321" s="207"/>
      <c r="X321" s="207"/>
      <c r="Y321" s="207"/>
      <c r="Z321" s="247"/>
      <c r="AA321" s="207"/>
      <c r="AB321" s="207"/>
      <c r="AC321" s="207"/>
      <c r="AD321" s="207"/>
      <c r="AE321" s="247"/>
      <c r="AF321" s="207"/>
      <c r="AG321" s="207"/>
      <c r="AH321" s="207"/>
      <c r="AI321" s="207"/>
      <c r="AJ321" s="247"/>
      <c r="AK321" s="207"/>
      <c r="AL321" s="207"/>
      <c r="AM321" s="207"/>
      <c r="AN321" s="207"/>
      <c r="AO321" s="247"/>
      <c r="AP321" s="207"/>
      <c r="AQ321" s="207"/>
      <c r="AR321" s="207"/>
      <c r="AS321" s="207"/>
      <c r="AT321" s="247"/>
      <c r="AU321" s="207"/>
      <c r="AV321" s="207"/>
      <c r="AW321" s="207"/>
      <c r="AX321" s="207"/>
      <c r="AY321" s="105">
        <f>AY183/AY186</f>
        <v>22.716335765075264</v>
      </c>
      <c r="AZ321" s="34"/>
      <c r="BA321" s="34"/>
      <c r="BB321" s="34"/>
      <c r="BC321" s="34"/>
      <c r="BD321" s="105">
        <f>BD183/BD186</f>
        <v>21.444705175349476</v>
      </c>
      <c r="BE321" s="34"/>
      <c r="BF321" s="34"/>
      <c r="BG321" s="34"/>
      <c r="BH321" s="34"/>
      <c r="BI321" s="105">
        <f>BI183/BI186</f>
        <v>16.341286321909863</v>
      </c>
      <c r="BJ321" s="34"/>
      <c r="BK321" s="34"/>
      <c r="BL321" s="34"/>
      <c r="BM321" s="34"/>
      <c r="BN321" s="105">
        <f>BN183/BN186</f>
        <v>8.7133222806080877</v>
      </c>
      <c r="BO321" s="34"/>
      <c r="BP321" s="34"/>
      <c r="BQ321" s="34"/>
      <c r="BR321" s="34"/>
      <c r="BS321" s="105">
        <f>BS183/BS186</f>
        <v>12.111111111111111</v>
      </c>
      <c r="BT321" s="34"/>
      <c r="BU321" s="34"/>
      <c r="BV321" s="34"/>
      <c r="BW321" s="34"/>
      <c r="BX321" s="105">
        <f>BX183/BX186</f>
        <v>13.673863636363636</v>
      </c>
      <c r="BY321" s="34"/>
      <c r="BZ321" s="34"/>
      <c r="CA321" s="34"/>
      <c r="CB321" s="34"/>
      <c r="CC321" s="105">
        <f>CC183/CC186</f>
        <v>11.45</v>
      </c>
      <c r="CD321" s="34"/>
      <c r="CE321" s="34"/>
      <c r="CF321" s="34"/>
      <c r="CG321" s="34"/>
      <c r="CH321" s="105">
        <f t="shared" ref="CH321:DL321" si="1202">CH183/CH186</f>
        <v>12.878124999999997</v>
      </c>
      <c r="CI321" s="34">
        <f t="shared" si="1202"/>
        <v>13.12032520325203</v>
      </c>
      <c r="CJ321" s="34">
        <f t="shared" si="1202"/>
        <v>12.916949152542371</v>
      </c>
      <c r="CK321" s="34">
        <f t="shared" si="1202"/>
        <v>13.59298245614035</v>
      </c>
      <c r="CL321" s="34">
        <f t="shared" si="1202"/>
        <v>13.176470588235293</v>
      </c>
      <c r="CM321" s="105">
        <f t="shared" si="1202"/>
        <v>13.176470588235293</v>
      </c>
      <c r="CN321" s="34">
        <f t="shared" si="1202"/>
        <v>13.610169491525424</v>
      </c>
      <c r="CO321" s="34">
        <f t="shared" si="1202"/>
        <v>12.636363636363637</v>
      </c>
      <c r="CP321" s="34">
        <f t="shared" si="1202"/>
        <v>11.0234375</v>
      </c>
      <c r="CQ321" s="34">
        <f t="shared" si="1202"/>
        <v>10.775193798449612</v>
      </c>
      <c r="CR321" s="105">
        <f t="shared" si="1202"/>
        <v>10.775193798449612</v>
      </c>
      <c r="CS321" s="34">
        <f t="shared" si="1202"/>
        <v>8.7492149431510544</v>
      </c>
      <c r="CT321" s="34">
        <f t="shared" si="1202"/>
        <v>7.6921917215231455</v>
      </c>
      <c r="CU321" s="34">
        <f t="shared" si="1202"/>
        <v>7.0412572414853791</v>
      </c>
      <c r="CV321" s="34">
        <f t="shared" si="1202"/>
        <v>6.7305952031290088</v>
      </c>
      <c r="CW321" s="105">
        <f t="shared" si="1202"/>
        <v>6.7305952031290088</v>
      </c>
      <c r="CX321" s="34">
        <f t="shared" si="1202"/>
        <v>6.9031017017525516</v>
      </c>
      <c r="CY321" s="34">
        <f t="shared" si="1202"/>
        <v>7.8641111445330125</v>
      </c>
      <c r="CZ321" s="34">
        <f t="shared" si="1202"/>
        <v>9.2008193550383766</v>
      </c>
      <c r="DA321" s="34">
        <f t="shared" si="1202"/>
        <v>9.8141833955412086</v>
      </c>
      <c r="DB321" s="105">
        <f t="shared" si="1202"/>
        <v>9.8141833955412086</v>
      </c>
      <c r="DC321" s="34">
        <f t="shared" si="1202"/>
        <v>9.8723285910287633</v>
      </c>
      <c r="DD321" s="34">
        <f t="shared" si="1202"/>
        <v>9.4517593400763289</v>
      </c>
      <c r="DE321" s="34">
        <f t="shared" si="1202"/>
        <v>9.1847251668541769</v>
      </c>
      <c r="DF321" s="34">
        <f t="shared" si="1202"/>
        <v>8.9965905563971074</v>
      </c>
      <c r="DG321" s="105">
        <f t="shared" si="1202"/>
        <v>8.9965905563971074</v>
      </c>
      <c r="DH321" s="34">
        <f t="shared" si="1202"/>
        <v>9.6091370558375626</v>
      </c>
      <c r="DI321" s="34">
        <f t="shared" si="1202"/>
        <v>11.69832402234637</v>
      </c>
      <c r="DJ321" s="34">
        <f t="shared" si="1202"/>
        <v>12.469512195121951</v>
      </c>
      <c r="DK321" s="34">
        <f t="shared" si="1202"/>
        <v>13.77027027027027</v>
      </c>
      <c r="DL321" s="105">
        <f t="shared" si="1202"/>
        <v>13.77027027027027</v>
      </c>
      <c r="DM321" s="105"/>
      <c r="DN321" s="105"/>
      <c r="DO321" s="105"/>
      <c r="DP321" s="537"/>
      <c r="DQ321" s="105">
        <f>DQ183/DQ186</f>
        <v>20.584615384615386</v>
      </c>
      <c r="DR321" s="547"/>
      <c r="DS321" s="105"/>
      <c r="DT321" s="105"/>
      <c r="DU321" s="105"/>
      <c r="DV321" s="105">
        <f>DV183/DV186</f>
        <v>27.792307692307691</v>
      </c>
      <c r="DW321" s="547"/>
      <c r="DX321" s="105"/>
      <c r="DY321" s="105"/>
      <c r="DZ321" s="105"/>
      <c r="EA321" s="105">
        <f>EA183/EA186</f>
        <v>43.416666666666664</v>
      </c>
      <c r="EB321" s="547"/>
      <c r="EC321" s="105"/>
      <c r="ED321" s="105"/>
      <c r="EE321" s="105"/>
      <c r="EF321" s="105">
        <f>EF183/EF186</f>
        <v>43.983739837398375</v>
      </c>
      <c r="EG321" s="105"/>
      <c r="EH321" s="105"/>
      <c r="EI321" s="105"/>
      <c r="EJ321" s="105"/>
      <c r="EK321" s="105">
        <f>EK183/EK186</f>
        <v>42.684210526315788</v>
      </c>
      <c r="EL321" s="105"/>
      <c r="EM321" s="105"/>
      <c r="EN321" s="105"/>
      <c r="EO321" s="105"/>
      <c r="EP321" s="105">
        <f>EP183/EP186</f>
        <v>41.780701754385966</v>
      </c>
      <c r="EQ321" s="105"/>
      <c r="ER321" s="105"/>
      <c r="ES321" s="105"/>
      <c r="ET321" s="105"/>
      <c r="EU321" s="105">
        <f>EU183/EU186</f>
        <v>37.36688009004898</v>
      </c>
      <c r="EV321" s="105"/>
      <c r="EW321" s="105"/>
      <c r="EX321" s="105"/>
      <c r="EY321" s="105"/>
      <c r="EZ321" s="105">
        <f>EZ183/EZ186</f>
        <v>41.185638995489313</v>
      </c>
      <c r="FA321" s="105"/>
      <c r="FB321" s="105"/>
      <c r="FC321" s="105"/>
      <c r="FD321" s="105"/>
      <c r="FE321" s="105">
        <f>FE183/FE186</f>
        <v>45.774669796754843</v>
      </c>
      <c r="FF321" s="34"/>
      <c r="FG321" s="455"/>
      <c r="FL321" s="410"/>
      <c r="FM321" s="410"/>
      <c r="FN321" s="371"/>
      <c r="FO321" s="371"/>
      <c r="FP321" s="371"/>
      <c r="FQ321" s="371"/>
      <c r="FR321" s="371"/>
      <c r="FS321" s="371"/>
      <c r="FT321" s="455"/>
    </row>
    <row r="322" spans="1:183" ht="12.75" hidden="1" customHeight="1" x14ac:dyDescent="0.2">
      <c r="A322" s="34"/>
      <c r="B322" s="207"/>
      <c r="C322" s="207"/>
      <c r="D322" s="207"/>
      <c r="E322" s="207"/>
      <c r="F322" s="247"/>
      <c r="G322" s="207"/>
      <c r="H322" s="207"/>
      <c r="I322" s="207"/>
      <c r="J322" s="207"/>
      <c r="K322" s="247"/>
      <c r="L322" s="207"/>
      <c r="M322" s="207"/>
      <c r="N322" s="207"/>
      <c r="O322" s="207"/>
      <c r="P322" s="247"/>
      <c r="Q322" s="207"/>
      <c r="R322" s="207"/>
      <c r="S322" s="207"/>
      <c r="T322" s="207"/>
      <c r="U322" s="247"/>
      <c r="V322" s="207"/>
      <c r="W322" s="207"/>
      <c r="X322" s="207"/>
      <c r="Y322" s="207"/>
      <c r="Z322" s="247"/>
      <c r="AA322" s="207"/>
      <c r="AB322" s="207"/>
      <c r="AC322" s="207"/>
      <c r="AD322" s="207"/>
      <c r="AE322" s="247"/>
      <c r="AF322" s="207"/>
      <c r="AG322" s="207"/>
      <c r="AH322" s="207"/>
      <c r="AI322" s="207"/>
      <c r="AJ322" s="247"/>
      <c r="AK322" s="207"/>
      <c r="AL322" s="207"/>
      <c r="AM322" s="207"/>
      <c r="AN322" s="207"/>
      <c r="AO322" s="247"/>
      <c r="AP322" s="207"/>
      <c r="AQ322" s="207"/>
      <c r="AR322" s="207"/>
      <c r="AS322" s="207"/>
      <c r="AT322" s="247"/>
      <c r="AU322" s="207"/>
      <c r="AV322" s="207"/>
      <c r="AW322" s="207"/>
      <c r="AX322" s="207"/>
      <c r="AY322" s="105"/>
      <c r="AZ322" s="34"/>
      <c r="BA322" s="34"/>
      <c r="BB322" s="34"/>
      <c r="BC322" s="34"/>
      <c r="BD322" s="105"/>
      <c r="BE322" s="34"/>
      <c r="BF322" s="34"/>
      <c r="BG322" s="34"/>
      <c r="BH322" s="34"/>
      <c r="BI322" s="105"/>
      <c r="BJ322" s="34"/>
      <c r="BK322" s="34"/>
      <c r="BL322" s="34"/>
      <c r="BM322" s="34"/>
      <c r="BN322" s="105"/>
      <c r="BO322" s="34"/>
      <c r="BP322" s="34"/>
      <c r="BQ322" s="34"/>
      <c r="BR322" s="34"/>
      <c r="BS322" s="105"/>
      <c r="BT322" s="34"/>
      <c r="BU322" s="34"/>
      <c r="BV322" s="34"/>
      <c r="BW322" s="34"/>
      <c r="BX322" s="105"/>
      <c r="BY322" s="34"/>
      <c r="BZ322" s="34"/>
      <c r="CA322" s="34"/>
      <c r="CB322" s="34"/>
      <c r="CC322" s="105"/>
      <c r="CD322" s="34"/>
      <c r="CE322" s="34"/>
      <c r="CF322" s="34"/>
      <c r="CG322" s="34"/>
      <c r="CH322" s="105"/>
      <c r="CI322" s="34"/>
      <c r="CJ322" s="34"/>
      <c r="CK322" s="34"/>
      <c r="CL322" s="34"/>
      <c r="CM322" s="105"/>
      <c r="CN322" s="34"/>
      <c r="CO322" s="34"/>
      <c r="CP322" s="34"/>
      <c r="CQ322" s="34"/>
      <c r="CR322" s="105"/>
      <c r="CS322" s="34"/>
      <c r="CT322" s="34"/>
      <c r="CU322" s="34"/>
      <c r="CV322" s="34"/>
      <c r="CW322" s="105"/>
      <c r="CX322" s="34"/>
      <c r="CY322" s="34"/>
      <c r="CZ322" s="34"/>
      <c r="DA322" s="34"/>
      <c r="DB322" s="105"/>
      <c r="DC322" s="34"/>
      <c r="DD322" s="34"/>
      <c r="DE322" s="34"/>
      <c r="DF322" s="34"/>
      <c r="DG322" s="105"/>
      <c r="DH322" s="34"/>
      <c r="DI322" s="34"/>
      <c r="DJ322" s="34"/>
      <c r="DK322" s="34"/>
      <c r="DL322" s="105"/>
      <c r="DM322" s="105"/>
      <c r="DN322" s="105"/>
      <c r="DO322" s="105"/>
      <c r="DP322" s="537"/>
      <c r="DQ322" s="105"/>
      <c r="DR322" s="547"/>
      <c r="DS322" s="105"/>
      <c r="DT322" s="105"/>
      <c r="DU322" s="105"/>
      <c r="DV322" s="105"/>
      <c r="DW322" s="547"/>
      <c r="DX322" s="105"/>
      <c r="DY322" s="105"/>
      <c r="DZ322" s="105"/>
      <c r="EA322" s="105"/>
      <c r="EB322" s="547"/>
      <c r="EC322" s="105"/>
      <c r="ED322" s="105"/>
      <c r="EE322" s="105"/>
      <c r="EF322" s="105"/>
      <c r="EG322" s="105"/>
      <c r="EH322" s="105"/>
      <c r="EI322" s="105"/>
      <c r="EJ322" s="105"/>
      <c r="EK322" s="105"/>
      <c r="EL322" s="105"/>
      <c r="EM322" s="105"/>
      <c r="EN322" s="105"/>
      <c r="EO322" s="105"/>
      <c r="EP322" s="105"/>
      <c r="EQ322" s="105"/>
      <c r="ER322" s="105"/>
      <c r="ES322" s="105"/>
      <c r="ET322" s="105"/>
      <c r="EU322" s="105"/>
      <c r="EV322" s="105"/>
      <c r="EW322" s="105"/>
      <c r="EX322" s="105"/>
      <c r="EY322" s="105"/>
      <c r="EZ322" s="105"/>
      <c r="FA322" s="105"/>
      <c r="FB322" s="105"/>
      <c r="FC322" s="105"/>
      <c r="FD322" s="105"/>
      <c r="FE322" s="105"/>
      <c r="FF322" s="34"/>
      <c r="FG322" s="455"/>
      <c r="FL322" s="410"/>
      <c r="FM322" s="410"/>
      <c r="FN322" s="371"/>
      <c r="FO322" s="371"/>
      <c r="FP322" s="371"/>
      <c r="FQ322" s="371"/>
      <c r="FR322" s="371"/>
      <c r="FS322" s="371"/>
      <c r="FT322" s="455"/>
    </row>
    <row r="323" spans="1:183" ht="12.75" hidden="1" customHeight="1" x14ac:dyDescent="0.2">
      <c r="A323" s="34" t="s">
        <v>457</v>
      </c>
      <c r="B323" s="207"/>
      <c r="C323" s="207"/>
      <c r="D323" s="207"/>
      <c r="E323" s="207"/>
      <c r="F323" s="247"/>
      <c r="G323" s="207"/>
      <c r="H323" s="207"/>
      <c r="I323" s="207"/>
      <c r="J323" s="207"/>
      <c r="K323" s="247"/>
      <c r="L323" s="207"/>
      <c r="M323" s="207"/>
      <c r="N323" s="207"/>
      <c r="O323" s="207"/>
      <c r="P323" s="247"/>
      <c r="Q323" s="207"/>
      <c r="R323" s="207"/>
      <c r="S323" s="207"/>
      <c r="T323" s="207"/>
      <c r="U323" s="247"/>
      <c r="V323" s="207"/>
      <c r="W323" s="207"/>
      <c r="X323" s="207"/>
      <c r="Y323" s="207"/>
      <c r="Z323" s="247"/>
      <c r="AA323" s="207"/>
      <c r="AB323" s="207"/>
      <c r="AC323" s="207"/>
      <c r="AD323" s="207"/>
      <c r="AE323" s="247"/>
      <c r="AF323" s="207"/>
      <c r="AG323" s="207"/>
      <c r="AH323" s="207"/>
      <c r="AI323" s="207"/>
      <c r="AJ323" s="247"/>
      <c r="AK323" s="207"/>
      <c r="AL323" s="207"/>
      <c r="AM323" s="207"/>
      <c r="AN323" s="207"/>
      <c r="AO323" s="247"/>
      <c r="AP323" s="207"/>
      <c r="AQ323" s="207"/>
      <c r="AR323" s="207"/>
      <c r="AS323" s="207"/>
      <c r="AT323" s="247"/>
      <c r="AU323" s="207"/>
      <c r="AV323" s="207"/>
      <c r="AW323" s="207"/>
      <c r="AX323" s="207"/>
      <c r="AY323" s="105">
        <f>AY182/(AY179+AY186)</f>
        <v>3.0784646591960922</v>
      </c>
      <c r="AZ323" s="34"/>
      <c r="BA323" s="34"/>
      <c r="BB323" s="34"/>
      <c r="BC323" s="34"/>
      <c r="BD323" s="105">
        <f>BD182/(BD179+BD186)</f>
        <v>3.835761803340882</v>
      </c>
      <c r="BE323" s="34"/>
      <c r="BF323" s="34"/>
      <c r="BG323" s="34"/>
      <c r="BH323" s="34"/>
      <c r="BI323" s="105">
        <f>BI182/(BI179+BI186)</f>
        <v>2.4094419650526646</v>
      </c>
      <c r="BJ323" s="34"/>
      <c r="BK323" s="34"/>
      <c r="BL323" s="34"/>
      <c r="BM323" s="34"/>
      <c r="BN323" s="105">
        <f>BN182/(BN179+BN186)</f>
        <v>1.3142992057506642</v>
      </c>
      <c r="BO323" s="34"/>
      <c r="BP323" s="34"/>
      <c r="BQ323" s="34"/>
      <c r="BR323" s="34"/>
      <c r="BS323" s="105">
        <f>BS182/(BS179+BS186)</f>
        <v>1.9157509157509158</v>
      </c>
      <c r="BT323" s="34"/>
      <c r="BU323" s="34"/>
      <c r="BV323" s="34"/>
      <c r="BW323" s="34"/>
      <c r="BX323" s="105">
        <f t="shared" ref="BX323:DL323" si="1203">BX182/(BX179+BX186)</f>
        <v>2.2220973782771534</v>
      </c>
      <c r="BY323" s="34">
        <f t="shared" si="1203"/>
        <v>2.2527472527472527</v>
      </c>
      <c r="BZ323" s="34">
        <f t="shared" si="1203"/>
        <v>2.3453237410071943</v>
      </c>
      <c r="CA323" s="34">
        <f t="shared" si="1203"/>
        <v>2.6</v>
      </c>
      <c r="CB323" s="34">
        <f t="shared" si="1203"/>
        <v>2.6183745583038869</v>
      </c>
      <c r="CC323" s="105">
        <f t="shared" si="1203"/>
        <v>2.6183745583038869</v>
      </c>
      <c r="CD323" s="34">
        <f t="shared" si="1203"/>
        <v>2.6896431679721493</v>
      </c>
      <c r="CE323" s="34">
        <f t="shared" si="1203"/>
        <v>3.2580310880829009</v>
      </c>
      <c r="CF323" s="34">
        <f t="shared" si="1203"/>
        <v>3.1965841161400501</v>
      </c>
      <c r="CG323" s="34">
        <f t="shared" si="1203"/>
        <v>3.4104895104895094</v>
      </c>
      <c r="CH323" s="105">
        <f t="shared" si="1203"/>
        <v>3.4104895104895094</v>
      </c>
      <c r="CI323" s="34">
        <f t="shared" si="1203"/>
        <v>3.3272564789991055</v>
      </c>
      <c r="CJ323" s="34">
        <f t="shared" si="1203"/>
        <v>3.0134301270417416</v>
      </c>
      <c r="CK323" s="34">
        <f t="shared" si="1203"/>
        <v>3.1363552266419976</v>
      </c>
      <c r="CL323" s="34">
        <f t="shared" si="1203"/>
        <v>3.0866425992779782</v>
      </c>
      <c r="CM323" s="105">
        <f t="shared" si="1203"/>
        <v>3.0866425992779782</v>
      </c>
      <c r="CN323" s="34">
        <f t="shared" si="1203"/>
        <v>3.2145454545454544</v>
      </c>
      <c r="CO323" s="34">
        <f t="shared" si="1203"/>
        <v>2.8913043478260869</v>
      </c>
      <c r="CP323" s="34">
        <f t="shared" si="1203"/>
        <v>2.3604240282685511</v>
      </c>
      <c r="CQ323" s="34">
        <f t="shared" si="1203"/>
        <v>2.2624113475177303</v>
      </c>
      <c r="CR323" s="105">
        <f t="shared" si="1203"/>
        <v>2.2624113475177303</v>
      </c>
      <c r="CS323" s="34">
        <f t="shared" si="1203"/>
        <v>1.5926974791871946</v>
      </c>
      <c r="CT323" s="34">
        <f t="shared" si="1203"/>
        <v>1.2663941438138535</v>
      </c>
      <c r="CU323" s="34">
        <f t="shared" si="1203"/>
        <v>1.0618219303372638</v>
      </c>
      <c r="CV323" s="34">
        <f t="shared" si="1203"/>
        <v>1.020106204655826</v>
      </c>
      <c r="CW323" s="105">
        <f t="shared" si="1203"/>
        <v>1.020106204655826</v>
      </c>
      <c r="CX323" s="34">
        <f t="shared" si="1203"/>
        <v>1.0631478532799699</v>
      </c>
      <c r="CY323" s="34">
        <f t="shared" si="1203"/>
        <v>1.4142735244772173</v>
      </c>
      <c r="CZ323" s="34">
        <f t="shared" si="1203"/>
        <v>1.8667858798401622</v>
      </c>
      <c r="DA323" s="34">
        <f t="shared" si="1203"/>
        <v>1.9700957330334152</v>
      </c>
      <c r="DB323" s="105">
        <f t="shared" si="1203"/>
        <v>1.9700957330334152</v>
      </c>
      <c r="DC323" s="34">
        <f t="shared" si="1203"/>
        <v>1.9332282441278397</v>
      </c>
      <c r="DD323" s="34">
        <f t="shared" si="1203"/>
        <v>1.6834045622465696</v>
      </c>
      <c r="DE323" s="34">
        <f t="shared" si="1203"/>
        <v>1.4879066955417435</v>
      </c>
      <c r="DF323" s="34">
        <f t="shared" si="1203"/>
        <v>1.3541820249457017</v>
      </c>
      <c r="DG323" s="105">
        <f t="shared" si="1203"/>
        <v>1.3541820249457017</v>
      </c>
      <c r="DH323" s="34">
        <f t="shared" si="1203"/>
        <v>1.3350970017636685</v>
      </c>
      <c r="DI323" s="34">
        <f t="shared" si="1203"/>
        <v>1.7537037037037038</v>
      </c>
      <c r="DJ323" s="34">
        <f t="shared" si="1203"/>
        <v>1.650853889943074</v>
      </c>
      <c r="DK323" s="34">
        <f t="shared" si="1203"/>
        <v>1.6679920477137178</v>
      </c>
      <c r="DL323" s="105">
        <f t="shared" si="1203"/>
        <v>1.6679920477137178</v>
      </c>
      <c r="DM323" s="105"/>
      <c r="DN323" s="105"/>
      <c r="DO323" s="105"/>
      <c r="DP323" s="537"/>
      <c r="DQ323" s="105">
        <f>DQ182/(DQ179+DQ186)</f>
        <v>2.94908350305499</v>
      </c>
      <c r="DR323" s="547"/>
      <c r="DS323" s="105"/>
      <c r="DT323" s="105"/>
      <c r="DU323" s="105"/>
      <c r="DV323" s="105">
        <f>DV182/(DV179+DV186)</f>
        <v>5.6</v>
      </c>
      <c r="DW323" s="547"/>
      <c r="DX323" s="105"/>
      <c r="DY323" s="105"/>
      <c r="DZ323" s="105"/>
      <c r="EA323" s="105">
        <f>EA182/(EA179+EA186)</f>
        <v>11.053072625698324</v>
      </c>
      <c r="EB323" s="547"/>
      <c r="EC323" s="105"/>
      <c r="ED323" s="105"/>
      <c r="EE323" s="105"/>
      <c r="EF323" s="105">
        <f>EF182/(EF179+EF186)</f>
        <v>11.247159090909092</v>
      </c>
      <c r="EG323" s="105"/>
      <c r="EH323" s="105"/>
      <c r="EI323" s="105"/>
      <c r="EJ323" s="105"/>
      <c r="EK323" s="105">
        <f>EK182/(EK179+EK186)</f>
        <v>11.254071661237784</v>
      </c>
      <c r="EL323" s="105"/>
      <c r="EM323" s="105"/>
      <c r="EN323" s="105"/>
      <c r="EO323" s="105"/>
      <c r="EP323" s="105">
        <f>EP182/(EP179+EP186)</f>
        <v>10.727564102564102</v>
      </c>
      <c r="EQ323" s="105"/>
      <c r="ER323" s="105"/>
      <c r="ES323" s="105"/>
      <c r="ET323" s="105"/>
      <c r="EU323" s="105">
        <f>EU182/(EU179+EU186)</f>
        <v>11.755303381219147</v>
      </c>
      <c r="EV323" s="105"/>
      <c r="EW323" s="105"/>
      <c r="EX323" s="105"/>
      <c r="EY323" s="105"/>
      <c r="EZ323" s="105">
        <f>EZ182/(EZ179+EZ186)</f>
        <v>13.719258949474336</v>
      </c>
      <c r="FA323" s="105"/>
      <c r="FB323" s="105"/>
      <c r="FC323" s="105"/>
      <c r="FD323" s="105"/>
      <c r="FE323" s="105">
        <f>FE182/(FE179+FE186)</f>
        <v>15.761385982537334</v>
      </c>
      <c r="FF323" s="34"/>
      <c r="FG323" s="455"/>
      <c r="FL323" s="410"/>
      <c r="FM323" s="410"/>
      <c r="FN323" s="371"/>
      <c r="FO323" s="371"/>
      <c r="FP323" s="371"/>
      <c r="FQ323" s="371"/>
      <c r="FR323" s="371"/>
      <c r="FS323" s="371"/>
      <c r="FT323" s="455"/>
    </row>
    <row r="324" spans="1:183" ht="12.75" hidden="1" customHeight="1" x14ac:dyDescent="0.2">
      <c r="A324" s="34" t="s">
        <v>417</v>
      </c>
      <c r="B324" s="207"/>
      <c r="C324" s="207"/>
      <c r="D324" s="207"/>
      <c r="E324" s="207"/>
      <c r="F324" s="247"/>
      <c r="G324" s="207"/>
      <c r="H324" s="207"/>
      <c r="I324" s="207"/>
      <c r="J324" s="207"/>
      <c r="K324" s="247"/>
      <c r="L324" s="207"/>
      <c r="M324" s="207"/>
      <c r="N324" s="207"/>
      <c r="O324" s="207"/>
      <c r="P324" s="247"/>
      <c r="Q324" s="207"/>
      <c r="R324" s="207"/>
      <c r="S324" s="207"/>
      <c r="T324" s="207"/>
      <c r="U324" s="247"/>
      <c r="V324" s="207"/>
      <c r="W324" s="207"/>
      <c r="X324" s="207"/>
      <c r="Y324" s="207"/>
      <c r="Z324" s="247"/>
      <c r="AA324" s="207"/>
      <c r="AB324" s="207"/>
      <c r="AC324" s="207"/>
      <c r="AD324" s="207"/>
      <c r="AE324" s="247"/>
      <c r="AF324" s="207"/>
      <c r="AG324" s="207"/>
      <c r="AH324" s="207"/>
      <c r="AI324" s="207"/>
      <c r="AJ324" s="247"/>
      <c r="AK324" s="207"/>
      <c r="AL324" s="207"/>
      <c r="AM324" s="207"/>
      <c r="AN324" s="207"/>
      <c r="AO324" s="247"/>
      <c r="AP324" s="207"/>
      <c r="AQ324" s="207"/>
      <c r="AR324" s="207"/>
      <c r="AS324" s="207"/>
      <c r="AT324" s="247"/>
      <c r="AU324" s="207"/>
      <c r="AV324" s="207"/>
      <c r="AW324" s="207"/>
      <c r="AX324" s="207"/>
      <c r="AY324" s="105" t="e">
        <f>#REF!/(AY179+AY186)</f>
        <v>#REF!</v>
      </c>
      <c r="AZ324" s="34"/>
      <c r="BA324" s="34"/>
      <c r="BB324" s="34"/>
      <c r="BC324" s="34"/>
      <c r="BD324" s="105" t="e">
        <f>#REF!/(BD179+BD186)</f>
        <v>#REF!</v>
      </c>
      <c r="BE324" s="34"/>
      <c r="BF324" s="34"/>
      <c r="BG324" s="34"/>
      <c r="BH324" s="34"/>
      <c r="BI324" s="105" t="e">
        <f>#REF!/(BI179+BI186)</f>
        <v>#REF!</v>
      </c>
      <c r="BJ324" s="34"/>
      <c r="BK324" s="34"/>
      <c r="BL324" s="34"/>
      <c r="BM324" s="34"/>
      <c r="BN324" s="105" t="e">
        <f>#REF!/(BN179+BN186)</f>
        <v>#REF!</v>
      </c>
      <c r="BO324" s="34"/>
      <c r="BP324" s="34"/>
      <c r="BQ324" s="34"/>
      <c r="BR324" s="34"/>
      <c r="BS324" s="105" t="e">
        <f>#REF!/(BS179+BS186)</f>
        <v>#REF!</v>
      </c>
      <c r="BT324" s="34"/>
      <c r="BU324" s="34"/>
      <c r="BV324" s="34"/>
      <c r="BW324" s="34"/>
      <c r="BX324" s="105" t="e">
        <f>#REF!/(BX179+BX186)</f>
        <v>#REF!</v>
      </c>
      <c r="BY324" s="34" t="e">
        <f>#REF!/(BY179+BY186)</f>
        <v>#REF!</v>
      </c>
      <c r="BZ324" s="34" t="e">
        <f>#REF!/(BZ179+BZ186)</f>
        <v>#REF!</v>
      </c>
      <c r="CA324" s="34" t="e">
        <f>#REF!/(CA179+CA186)</f>
        <v>#REF!</v>
      </c>
      <c r="CB324" s="34" t="e">
        <f>#REF!/(CB179+CB186)</f>
        <v>#REF!</v>
      </c>
      <c r="CC324" s="105" t="e">
        <f>#REF!/(CC179+CC186)</f>
        <v>#REF!</v>
      </c>
      <c r="CD324" s="34" t="e">
        <f>#REF!/(CD179+CD186)</f>
        <v>#REF!</v>
      </c>
      <c r="CE324" s="34" t="e">
        <f>#REF!/(CE179+CE186)</f>
        <v>#REF!</v>
      </c>
      <c r="CF324" s="34" t="e">
        <f>#REF!/(CF179+CF186)</f>
        <v>#REF!</v>
      </c>
      <c r="CG324" s="34" t="e">
        <f>#REF!/(CG179+CG186)</f>
        <v>#REF!</v>
      </c>
      <c r="CH324" s="105" t="e">
        <f>#REF!/(CH179+CH186)</f>
        <v>#REF!</v>
      </c>
      <c r="CI324" s="34" t="e">
        <f>#REF!/(CI179+CI186)</f>
        <v>#REF!</v>
      </c>
      <c r="CJ324" s="34" t="e">
        <f>#REF!/(CJ179+CJ186)</f>
        <v>#REF!</v>
      </c>
      <c r="CK324" s="34" t="e">
        <f>#REF!/(CK179+CK186)</f>
        <v>#REF!</v>
      </c>
      <c r="CL324" s="34" t="e">
        <f>#REF!/(CL179+CL186)</f>
        <v>#REF!</v>
      </c>
      <c r="CM324" s="105" t="e">
        <f>#REF!/(CM179+CM186)</f>
        <v>#REF!</v>
      </c>
      <c r="CN324" s="34" t="e">
        <f>#REF!/(CN179+CN186)</f>
        <v>#REF!</v>
      </c>
      <c r="CO324" s="34" t="e">
        <f>#REF!/(CO179+CO186)</f>
        <v>#REF!</v>
      </c>
      <c r="CP324" s="34" t="e">
        <f>#REF!/(CP179+CP186)</f>
        <v>#REF!</v>
      </c>
      <c r="CQ324" s="34" t="e">
        <f>#REF!/(CQ179+CQ186)</f>
        <v>#REF!</v>
      </c>
      <c r="CR324" s="105" t="e">
        <f>#REF!/(CR179+CR186)</f>
        <v>#REF!</v>
      </c>
      <c r="CS324" s="34" t="e">
        <f>#REF!/(CS179+CS186)</f>
        <v>#REF!</v>
      </c>
      <c r="CT324" s="34" t="e">
        <f>#REF!/(CT179+CT186)</f>
        <v>#REF!</v>
      </c>
      <c r="CU324" s="34" t="e">
        <f>#REF!/(CU179+CU186)</f>
        <v>#REF!</v>
      </c>
      <c r="CV324" s="34" t="e">
        <f>#REF!/(CV179+CV186)</f>
        <v>#REF!</v>
      </c>
      <c r="CW324" s="105" t="e">
        <f>#REF!/(CW179+CW186)</f>
        <v>#REF!</v>
      </c>
      <c r="CX324" s="34" t="e">
        <f>#REF!/(CX179+CX186)</f>
        <v>#REF!</v>
      </c>
      <c r="CY324" s="34" t="e">
        <f>#REF!/(CY179+CY186)</f>
        <v>#REF!</v>
      </c>
      <c r="CZ324" s="34" t="e">
        <f>#REF!/(CZ179+CZ186)</f>
        <v>#REF!</v>
      </c>
      <c r="DA324" s="34" t="e">
        <f>#REF!/(DA179+DA186)</f>
        <v>#REF!</v>
      </c>
      <c r="DB324" s="105" t="e">
        <f>#REF!/(DB179+DB186)</f>
        <v>#REF!</v>
      </c>
      <c r="DC324" s="34" t="e">
        <f>#REF!/(DC179+DC186)</f>
        <v>#REF!</v>
      </c>
      <c r="DD324" s="34" t="e">
        <f>#REF!/(DD179+DD186)</f>
        <v>#REF!</v>
      </c>
      <c r="DE324" s="34" t="e">
        <f>#REF!/(DE179+DE186)</f>
        <v>#REF!</v>
      </c>
      <c r="DF324" s="34" t="e">
        <f>#REF!/(DF179+DF186)</f>
        <v>#REF!</v>
      </c>
      <c r="DG324" s="105" t="e">
        <f>#REF!/(DG179+DG186)</f>
        <v>#REF!</v>
      </c>
      <c r="DH324" s="34" t="e">
        <f>#REF!/(DH179+DH186)</f>
        <v>#REF!</v>
      </c>
      <c r="DI324" s="34" t="e">
        <f>#REF!/(DI179+DI186)</f>
        <v>#REF!</v>
      </c>
      <c r="DJ324" s="34" t="e">
        <f>#REF!/(DJ179+DJ186)</f>
        <v>#REF!</v>
      </c>
      <c r="DK324" s="34" t="e">
        <f>#REF!/(DK179+DK186)</f>
        <v>#REF!</v>
      </c>
      <c r="DL324" s="105" t="e">
        <f>#REF!/(DL179+DL186)</f>
        <v>#REF!</v>
      </c>
      <c r="DM324" s="105"/>
      <c r="DN324" s="105"/>
      <c r="DO324" s="105"/>
      <c r="DP324" s="537"/>
      <c r="DQ324" s="105" t="e">
        <f>#REF!/(DQ179+DQ186)</f>
        <v>#REF!</v>
      </c>
      <c r="DR324" s="547"/>
      <c r="DS324" s="105"/>
      <c r="DT324" s="105"/>
      <c r="DU324" s="105"/>
      <c r="DV324" s="105" t="e">
        <f>#REF!/(DV179+DV186)</f>
        <v>#REF!</v>
      </c>
      <c r="DW324" s="547"/>
      <c r="DX324" s="105"/>
      <c r="DY324" s="105"/>
      <c r="DZ324" s="105"/>
      <c r="EA324" s="105" t="e">
        <f>#REF!/(EA179+EA186)</f>
        <v>#REF!</v>
      </c>
      <c r="EB324" s="547"/>
      <c r="EC324" s="105"/>
      <c r="ED324" s="105"/>
      <c r="EE324" s="105"/>
      <c r="EF324" s="105" t="e">
        <f>#REF!/(EF179+EF186)</f>
        <v>#REF!</v>
      </c>
      <c r="EG324" s="105"/>
      <c r="EH324" s="105"/>
      <c r="EI324" s="105"/>
      <c r="EJ324" s="105"/>
      <c r="EK324" s="105" t="e">
        <f>#REF!/(EK179+EK186)</f>
        <v>#REF!</v>
      </c>
      <c r="EL324" s="105"/>
      <c r="EM324" s="105"/>
      <c r="EN324" s="105"/>
      <c r="EO324" s="105"/>
      <c r="EP324" s="105" t="e">
        <f>#REF!/(EP179+EP186)</f>
        <v>#REF!</v>
      </c>
      <c r="EQ324" s="105"/>
      <c r="ER324" s="105"/>
      <c r="ES324" s="105"/>
      <c r="ET324" s="105"/>
      <c r="EU324" s="105" t="e">
        <f>#REF!/(EU179+EU186)</f>
        <v>#REF!</v>
      </c>
      <c r="EV324" s="105"/>
      <c r="EW324" s="105"/>
      <c r="EX324" s="105"/>
      <c r="EY324" s="105"/>
      <c r="EZ324" s="105" t="e">
        <f>#REF!/(EZ179+EZ186)</f>
        <v>#REF!</v>
      </c>
      <c r="FA324" s="105"/>
      <c r="FB324" s="105"/>
      <c r="FC324" s="105"/>
      <c r="FD324" s="105"/>
      <c r="FE324" s="105" t="e">
        <f>#REF!/(FE179+FE186)</f>
        <v>#REF!</v>
      </c>
      <c r="FF324" s="34"/>
      <c r="FG324" s="455"/>
      <c r="FL324" s="410"/>
      <c r="FM324" s="410"/>
      <c r="FN324" s="371"/>
      <c r="FO324" s="371"/>
      <c r="FP324" s="371"/>
      <c r="FQ324" s="371"/>
      <c r="FR324" s="371"/>
      <c r="FS324" s="371"/>
      <c r="FT324" s="455"/>
    </row>
    <row r="325" spans="1:183" ht="12.75" hidden="1" customHeight="1" x14ac:dyDescent="0.2">
      <c r="A325" s="34" t="s">
        <v>15</v>
      </c>
      <c r="B325" s="207"/>
      <c r="C325" s="207"/>
      <c r="D325" s="207"/>
      <c r="E325" s="207"/>
      <c r="F325" s="247"/>
      <c r="G325" s="207"/>
      <c r="H325" s="207"/>
      <c r="I325" s="207"/>
      <c r="J325" s="207"/>
      <c r="K325" s="247"/>
      <c r="L325" s="207"/>
      <c r="M325" s="207"/>
      <c r="N325" s="207"/>
      <c r="O325" s="207"/>
      <c r="P325" s="247"/>
      <c r="Q325" s="207"/>
      <c r="R325" s="207"/>
      <c r="S325" s="207"/>
      <c r="T325" s="207"/>
      <c r="U325" s="247"/>
      <c r="V325" s="207"/>
      <c r="W325" s="207"/>
      <c r="X325" s="207"/>
      <c r="Y325" s="207"/>
      <c r="Z325" s="247"/>
      <c r="AA325" s="207"/>
      <c r="AB325" s="207"/>
      <c r="AC325" s="207"/>
      <c r="AD325" s="207"/>
      <c r="AE325" s="247"/>
      <c r="AF325" s="207"/>
      <c r="AG325" s="207"/>
      <c r="AH325" s="207"/>
      <c r="AI325" s="207"/>
      <c r="AJ325" s="247"/>
      <c r="AK325" s="207"/>
      <c r="AL325" s="207"/>
      <c r="AM325" s="207"/>
      <c r="AN325" s="207"/>
      <c r="AO325" s="247"/>
      <c r="AP325" s="207"/>
      <c r="AQ325" s="207"/>
      <c r="AR325" s="207"/>
      <c r="AS325" s="207"/>
      <c r="AT325" s="247"/>
      <c r="AU325" s="207"/>
      <c r="AV325" s="207"/>
      <c r="AW325" s="207"/>
      <c r="AX325" s="207"/>
      <c r="AY325" s="105">
        <f>AY183/(AY179+AY186)</f>
        <v>4.8446186265435145</v>
      </c>
      <c r="AZ325" s="34"/>
      <c r="BA325" s="34"/>
      <c r="BB325" s="34"/>
      <c r="BC325" s="34"/>
      <c r="BD325" s="105">
        <f>BD183/(BD179+BD186)</f>
        <v>5.6298020036286172</v>
      </c>
      <c r="BE325" s="34"/>
      <c r="BF325" s="34"/>
      <c r="BG325" s="34"/>
      <c r="BH325" s="34"/>
      <c r="BI325" s="105">
        <f>BI183/(BI179+BI186)</f>
        <v>4.3562497852537057</v>
      </c>
      <c r="BJ325" s="34"/>
      <c r="BK325" s="34"/>
      <c r="BL325" s="34"/>
      <c r="BM325" s="34"/>
      <c r="BN325" s="105">
        <f>BN183/(BN179+BN186)</f>
        <v>3.1601577627851043</v>
      </c>
      <c r="BO325" s="34"/>
      <c r="BP325" s="34"/>
      <c r="BQ325" s="34"/>
      <c r="BR325" s="34"/>
      <c r="BS325" s="105">
        <f>BS183/(BS179+BS186)</f>
        <v>3.9926739926739927</v>
      </c>
      <c r="BT325" s="34"/>
      <c r="BU325" s="34"/>
      <c r="BV325" s="34"/>
      <c r="BW325" s="34"/>
      <c r="BX325" s="105">
        <f t="shared" ref="BX325:DL325" si="1204">BX183/(BX179+BX186)</f>
        <v>4.5067415730337075</v>
      </c>
      <c r="BY325" s="34">
        <f t="shared" si="1204"/>
        <v>4.5128205128205128</v>
      </c>
      <c r="BZ325" s="34">
        <f t="shared" si="1204"/>
        <v>4.5899280575539567</v>
      </c>
      <c r="CA325" s="34">
        <f t="shared" si="1204"/>
        <v>4.8428571428571425</v>
      </c>
      <c r="CB325" s="34">
        <f t="shared" si="1204"/>
        <v>4.8551236749116606</v>
      </c>
      <c r="CC325" s="105">
        <f t="shared" si="1204"/>
        <v>4.8551236749116606</v>
      </c>
      <c r="CD325" s="34">
        <f t="shared" si="1204"/>
        <v>4.9246301131418626</v>
      </c>
      <c r="CE325" s="34">
        <f t="shared" si="1204"/>
        <v>5.5032815198618303</v>
      </c>
      <c r="CF325" s="34">
        <f t="shared" si="1204"/>
        <v>5.4613151152860793</v>
      </c>
      <c r="CG325" s="34">
        <f t="shared" si="1204"/>
        <v>5.7636363636363628</v>
      </c>
      <c r="CH325" s="105">
        <f t="shared" si="1204"/>
        <v>5.7636363636363628</v>
      </c>
      <c r="CI325" s="34">
        <f t="shared" si="1204"/>
        <v>5.7687220732797133</v>
      </c>
      <c r="CJ325" s="34">
        <f t="shared" si="1204"/>
        <v>5.5324863883847542</v>
      </c>
      <c r="CK325" s="34">
        <f t="shared" si="1204"/>
        <v>5.7339500462534687</v>
      </c>
      <c r="CL325" s="34">
        <f t="shared" si="1204"/>
        <v>5.6606498194945845</v>
      </c>
      <c r="CM325" s="105">
        <f t="shared" si="1204"/>
        <v>5.6606498194945845</v>
      </c>
      <c r="CN325" s="34">
        <f t="shared" si="1204"/>
        <v>5.84</v>
      </c>
      <c r="CO325" s="34">
        <f t="shared" si="1204"/>
        <v>5.5398550724637685</v>
      </c>
      <c r="CP325" s="34">
        <f t="shared" si="1204"/>
        <v>4.9858657243816253</v>
      </c>
      <c r="CQ325" s="34">
        <f t="shared" si="1204"/>
        <v>4.9290780141843973</v>
      </c>
      <c r="CR325" s="105">
        <f t="shared" si="1204"/>
        <v>4.9290780141843973</v>
      </c>
      <c r="CS325" s="34">
        <f t="shared" si="1204"/>
        <v>3.7613878824086209</v>
      </c>
      <c r="CT325" s="34">
        <f t="shared" si="1204"/>
        <v>3.1488182529207611</v>
      </c>
      <c r="CU325" s="34">
        <f t="shared" si="1204"/>
        <v>2.7760881538987583</v>
      </c>
      <c r="CV325" s="34">
        <f t="shared" si="1204"/>
        <v>2.6002588325531493</v>
      </c>
      <c r="CW325" s="105">
        <f t="shared" si="1204"/>
        <v>2.6002588325531493</v>
      </c>
      <c r="CX325" s="34">
        <f t="shared" si="1204"/>
        <v>2.651125360416577</v>
      </c>
      <c r="CY325" s="34">
        <f t="shared" si="1204"/>
        <v>3.0146658633473047</v>
      </c>
      <c r="CZ325" s="34">
        <f t="shared" si="1204"/>
        <v>3.4889290177968935</v>
      </c>
      <c r="DA325" s="34">
        <f t="shared" si="1204"/>
        <v>3.6279508238291425</v>
      </c>
      <c r="DB325" s="105">
        <f t="shared" si="1204"/>
        <v>3.6279508238291425</v>
      </c>
      <c r="DC325" s="34">
        <f t="shared" si="1204"/>
        <v>3.6040729086445902</v>
      </c>
      <c r="DD325" s="34">
        <f t="shared" si="1204"/>
        <v>3.4046593418787481</v>
      </c>
      <c r="DE325" s="34">
        <f t="shared" si="1204"/>
        <v>3.2774006672829814</v>
      </c>
      <c r="DF325" s="34">
        <f t="shared" si="1204"/>
        <v>3.2101194392010499</v>
      </c>
      <c r="DG325" s="105">
        <f t="shared" si="1204"/>
        <v>3.2101194392010499</v>
      </c>
      <c r="DH325" s="34">
        <f t="shared" si="1204"/>
        <v>3.3386243386243386</v>
      </c>
      <c r="DI325" s="34">
        <f t="shared" si="1204"/>
        <v>3.8777777777777778</v>
      </c>
      <c r="DJ325" s="34">
        <f t="shared" si="1204"/>
        <v>3.8804554079696394</v>
      </c>
      <c r="DK325" s="34">
        <f t="shared" si="1204"/>
        <v>4.0516898608349905</v>
      </c>
      <c r="DL325" s="105">
        <f t="shared" si="1204"/>
        <v>4.0516898608349905</v>
      </c>
      <c r="DM325" s="105"/>
      <c r="DN325" s="105"/>
      <c r="DO325" s="105"/>
      <c r="DP325" s="537"/>
      <c r="DQ325" s="105">
        <f>DQ183/(DQ179+DQ186)</f>
        <v>5.4501018329938899</v>
      </c>
      <c r="DR325" s="547"/>
      <c r="DS325" s="105"/>
      <c r="DT325" s="105"/>
      <c r="DU325" s="105"/>
      <c r="DV325" s="105">
        <f>DV183/(DV179+DV186)</f>
        <v>8.501176470588236</v>
      </c>
      <c r="DW325" s="547"/>
      <c r="DX325" s="105"/>
      <c r="DY325" s="105"/>
      <c r="DZ325" s="105"/>
      <c r="EA325" s="105">
        <f>EA183/(EA179+EA186)</f>
        <v>14.553072625698324</v>
      </c>
      <c r="EB325" s="547"/>
      <c r="EC325" s="105"/>
      <c r="ED325" s="105"/>
      <c r="EE325" s="105"/>
      <c r="EF325" s="105">
        <f>EF183/(EF179+EF186)</f>
        <v>15.369318181818182</v>
      </c>
      <c r="EG325" s="105"/>
      <c r="EH325" s="105"/>
      <c r="EI325" s="105"/>
      <c r="EJ325" s="105"/>
      <c r="EK325" s="105">
        <f>EK183/(EK179+EK186)</f>
        <v>15.850162866449512</v>
      </c>
      <c r="EL325" s="105"/>
      <c r="EM325" s="105"/>
      <c r="EN325" s="105"/>
      <c r="EO325" s="105"/>
      <c r="EP325" s="105">
        <f>EP183/(EP179+EP186)</f>
        <v>15.266025641025641</v>
      </c>
      <c r="EQ325" s="105"/>
      <c r="ER325" s="105"/>
      <c r="ES325" s="105"/>
      <c r="ET325" s="105"/>
      <c r="EU325" s="105">
        <f>EU183/(EU179+EU186)</f>
        <v>16.242307248932953</v>
      </c>
      <c r="EV325" s="105"/>
      <c r="EW325" s="105"/>
      <c r="EX325" s="105"/>
      <c r="EY325" s="105"/>
      <c r="EZ325" s="105">
        <f>EZ183/(EZ179+EZ186)</f>
        <v>18.281660087489104</v>
      </c>
      <c r="FA325" s="105"/>
      <c r="FB325" s="105"/>
      <c r="FC325" s="105"/>
      <c r="FD325" s="105"/>
      <c r="FE325" s="105">
        <f>FE183/(FE179+FE186)</f>
        <v>20.497250030021622</v>
      </c>
      <c r="FF325" s="34"/>
      <c r="FG325" s="455"/>
      <c r="FL325" s="410"/>
      <c r="FM325" s="410"/>
      <c r="FN325" s="371"/>
      <c r="FO325" s="371"/>
      <c r="FP325" s="371"/>
      <c r="FQ325" s="371"/>
      <c r="FR325" s="371"/>
      <c r="FS325" s="371"/>
      <c r="FT325" s="455"/>
    </row>
    <row r="326" spans="1:183" ht="12.75" hidden="1" customHeight="1" x14ac:dyDescent="0.2">
      <c r="A326" s="34"/>
      <c r="B326" s="207"/>
      <c r="C326" s="207"/>
      <c r="D326" s="207"/>
      <c r="E326" s="207"/>
      <c r="F326" s="247"/>
      <c r="G326" s="207"/>
      <c r="H326" s="207"/>
      <c r="I326" s="207"/>
      <c r="J326" s="207"/>
      <c r="K326" s="247"/>
      <c r="L326" s="207"/>
      <c r="M326" s="207"/>
      <c r="N326" s="207"/>
      <c r="O326" s="207"/>
      <c r="P326" s="247"/>
      <c r="Q326" s="207"/>
      <c r="R326" s="207"/>
      <c r="S326" s="207"/>
      <c r="T326" s="207"/>
      <c r="U326" s="247"/>
      <c r="V326" s="207"/>
      <c r="W326" s="207"/>
      <c r="X326" s="207"/>
      <c r="Y326" s="207"/>
      <c r="Z326" s="247"/>
      <c r="AA326" s="207"/>
      <c r="AB326" s="207"/>
      <c r="AC326" s="207"/>
      <c r="AD326" s="207"/>
      <c r="AE326" s="247"/>
      <c r="AF326" s="207"/>
      <c r="AG326" s="207"/>
      <c r="AH326" s="207"/>
      <c r="AI326" s="207"/>
      <c r="AJ326" s="247"/>
      <c r="AK326" s="207"/>
      <c r="AL326" s="207"/>
      <c r="AM326" s="207"/>
      <c r="AN326" s="207"/>
      <c r="AO326" s="247"/>
      <c r="AP326" s="207"/>
      <c r="AQ326" s="207"/>
      <c r="AR326" s="207"/>
      <c r="AS326" s="207"/>
      <c r="AT326" s="247"/>
      <c r="AU326" s="207"/>
      <c r="AV326" s="207"/>
      <c r="AW326" s="207"/>
      <c r="AX326" s="207"/>
      <c r="AY326" s="105"/>
      <c r="AZ326" s="34"/>
      <c r="BA326" s="34"/>
      <c r="BB326" s="34"/>
      <c r="BC326" s="34"/>
      <c r="BD326" s="105"/>
      <c r="BE326" s="34"/>
      <c r="BF326" s="34"/>
      <c r="BG326" s="34"/>
      <c r="BH326" s="34"/>
      <c r="BI326" s="105"/>
      <c r="BJ326" s="34"/>
      <c r="BK326" s="34"/>
      <c r="BL326" s="34"/>
      <c r="BM326" s="34"/>
      <c r="BN326" s="105"/>
      <c r="BO326" s="34"/>
      <c r="BP326" s="34"/>
      <c r="BQ326" s="34"/>
      <c r="BR326" s="34"/>
      <c r="BS326" s="105"/>
      <c r="BT326" s="34"/>
      <c r="BU326" s="34"/>
      <c r="BV326" s="34"/>
      <c r="BW326" s="34"/>
      <c r="BX326" s="105"/>
      <c r="BY326" s="34"/>
      <c r="BZ326" s="34"/>
      <c r="CA326" s="34"/>
      <c r="CB326" s="34"/>
      <c r="CC326" s="105"/>
      <c r="CD326" s="34"/>
      <c r="CE326" s="34"/>
      <c r="CF326" s="34"/>
      <c r="CG326" s="34"/>
      <c r="CH326" s="105"/>
      <c r="CI326" s="34"/>
      <c r="CJ326" s="34"/>
      <c r="CK326" s="34"/>
      <c r="CL326" s="34"/>
      <c r="CM326" s="105"/>
      <c r="CN326" s="34"/>
      <c r="CO326" s="34"/>
      <c r="CP326" s="34"/>
      <c r="CQ326" s="34"/>
      <c r="CR326" s="105"/>
      <c r="CS326" s="34"/>
      <c r="CT326" s="34"/>
      <c r="CU326" s="34"/>
      <c r="CV326" s="34"/>
      <c r="CW326" s="105"/>
      <c r="CX326" s="34"/>
      <c r="CY326" s="34"/>
      <c r="CZ326" s="34"/>
      <c r="DA326" s="34"/>
      <c r="DB326" s="105"/>
      <c r="DC326" s="34"/>
      <c r="DD326" s="34"/>
      <c r="DE326" s="34"/>
      <c r="DF326" s="34"/>
      <c r="DG326" s="105"/>
      <c r="DH326" s="34"/>
      <c r="DI326" s="34"/>
      <c r="DJ326" s="34"/>
      <c r="DK326" s="34"/>
      <c r="DL326" s="105"/>
      <c r="DM326" s="105"/>
      <c r="DN326" s="105"/>
      <c r="DO326" s="105"/>
      <c r="DP326" s="537"/>
      <c r="DQ326" s="105"/>
      <c r="DR326" s="547"/>
      <c r="DS326" s="105"/>
      <c r="DT326" s="105"/>
      <c r="DU326" s="105"/>
      <c r="DV326" s="105"/>
      <c r="DW326" s="547"/>
      <c r="DX326" s="105"/>
      <c r="DY326" s="105"/>
      <c r="DZ326" s="105"/>
      <c r="EA326" s="105"/>
      <c r="EB326" s="547"/>
      <c r="EC326" s="105"/>
      <c r="ED326" s="105"/>
      <c r="EE326" s="105"/>
      <c r="EF326" s="105"/>
      <c r="EG326" s="105"/>
      <c r="EH326" s="105"/>
      <c r="EI326" s="105"/>
      <c r="EJ326" s="105"/>
      <c r="EK326" s="105"/>
      <c r="EL326" s="105"/>
      <c r="EM326" s="105"/>
      <c r="EN326" s="105"/>
      <c r="EO326" s="105"/>
      <c r="EP326" s="105"/>
      <c r="EQ326" s="105"/>
      <c r="ER326" s="105"/>
      <c r="ES326" s="105"/>
      <c r="ET326" s="105"/>
      <c r="EU326" s="105"/>
      <c r="EV326" s="105"/>
      <c r="EW326" s="105"/>
      <c r="EX326" s="105"/>
      <c r="EY326" s="105"/>
      <c r="EZ326" s="105"/>
      <c r="FA326" s="105"/>
      <c r="FB326" s="105"/>
      <c r="FC326" s="105"/>
      <c r="FD326" s="105"/>
      <c r="FE326" s="105"/>
      <c r="FF326" s="34"/>
      <c r="FG326" s="455"/>
      <c r="FL326" s="410"/>
      <c r="FM326" s="410"/>
      <c r="FN326" s="371"/>
      <c r="FO326" s="371"/>
      <c r="FP326" s="371"/>
      <c r="FQ326" s="371"/>
      <c r="FR326" s="371"/>
      <c r="FS326" s="371"/>
      <c r="FT326" s="455"/>
    </row>
    <row r="327" spans="1:183" ht="12.75" hidden="1" customHeight="1" x14ac:dyDescent="0.2">
      <c r="A327" s="34" t="s">
        <v>444</v>
      </c>
      <c r="B327" s="207"/>
      <c r="C327" s="207"/>
      <c r="D327" s="207"/>
      <c r="E327" s="207"/>
      <c r="F327" s="247"/>
      <c r="G327" s="207"/>
      <c r="H327" s="207"/>
      <c r="I327" s="207"/>
      <c r="J327" s="207"/>
      <c r="K327" s="247"/>
      <c r="L327" s="207"/>
      <c r="M327" s="207"/>
      <c r="N327" s="207"/>
      <c r="O327" s="207"/>
      <c r="P327" s="247"/>
      <c r="Q327" s="207"/>
      <c r="R327" s="207"/>
      <c r="S327" s="207"/>
      <c r="T327" s="207"/>
      <c r="U327" s="247"/>
      <c r="V327" s="207"/>
      <c r="W327" s="207"/>
      <c r="X327" s="207"/>
      <c r="Y327" s="207"/>
      <c r="Z327" s="247"/>
      <c r="AA327" s="207"/>
      <c r="AB327" s="207"/>
      <c r="AC327" s="207"/>
      <c r="AD327" s="207"/>
      <c r="AE327" s="247"/>
      <c r="AF327" s="207"/>
      <c r="AG327" s="207"/>
      <c r="AH327" s="207"/>
      <c r="AI327" s="207"/>
      <c r="AJ327" s="247"/>
      <c r="AK327" s="207"/>
      <c r="AL327" s="207"/>
      <c r="AM327" s="207"/>
      <c r="AN327" s="207"/>
      <c r="AO327" s="247"/>
      <c r="AP327" s="207"/>
      <c r="AQ327" s="207"/>
      <c r="AR327" s="207"/>
      <c r="AS327" s="207"/>
      <c r="AT327" s="247"/>
      <c r="AU327" s="207"/>
      <c r="AV327" s="207"/>
      <c r="AW327" s="207"/>
      <c r="AX327" s="207"/>
      <c r="AY327" s="105">
        <f>(AY268+AY267+AY274)/AY182</f>
        <v>1.1254055907550899</v>
      </c>
      <c r="AZ327" s="34"/>
      <c r="BA327" s="34"/>
      <c r="BB327" s="34"/>
      <c r="BC327" s="34"/>
      <c r="BD327" s="105">
        <f>(BD268+BD267+BD274)/BD182</f>
        <v>0.85173408281879681</v>
      </c>
      <c r="BE327" s="34"/>
      <c r="BF327" s="34"/>
      <c r="BG327" s="34"/>
      <c r="BH327" s="34"/>
      <c r="BI327" s="105">
        <f>(BI268+BI267+BI274)/BI182</f>
        <v>2.9181758835851079</v>
      </c>
      <c r="BJ327" s="34"/>
      <c r="BK327" s="34"/>
      <c r="BL327" s="34"/>
      <c r="BM327" s="34"/>
      <c r="BN327" s="105">
        <f>(BN268+BN267+BN274)/BN182</f>
        <v>4.3507372991974353</v>
      </c>
      <c r="BO327" s="34"/>
      <c r="BP327" s="34"/>
      <c r="BQ327" s="34"/>
      <c r="BR327" s="34"/>
      <c r="BS327" s="105">
        <f>(BS268+BS267+BS274)/BS182</f>
        <v>2.9407265774378586</v>
      </c>
      <c r="BT327" s="34"/>
      <c r="BU327" s="34"/>
      <c r="BV327" s="34"/>
      <c r="BW327" s="34"/>
      <c r="BX327" s="105">
        <f>(BX268+BX267+BX274)/BX182</f>
        <v>3.1114107534131135</v>
      </c>
      <c r="BY327" s="34"/>
      <c r="BZ327" s="34"/>
      <c r="CA327" s="34"/>
      <c r="CB327" s="34"/>
      <c r="CC327" s="105">
        <f>(CC268+CC267+CC274)/CC182</f>
        <v>2.6923076923076925</v>
      </c>
      <c r="CD327" s="34"/>
      <c r="CE327" s="34"/>
      <c r="CF327" s="34"/>
      <c r="CG327" s="34"/>
      <c r="CH327" s="105">
        <f t="shared" ref="CH327:DL327" si="1205">(CH268+CH267+CH274)/CH182</f>
        <v>1.7315972934180854</v>
      </c>
      <c r="CI327" s="34">
        <f t="shared" si="1205"/>
        <v>1.803824666953159</v>
      </c>
      <c r="CJ327" s="34">
        <f t="shared" si="1205"/>
        <v>1.9766321368344981</v>
      </c>
      <c r="CK327" s="34">
        <f t="shared" si="1205"/>
        <v>1.8629070316186882</v>
      </c>
      <c r="CL327" s="34">
        <f t="shared" si="1205"/>
        <v>2.4456140350877194</v>
      </c>
      <c r="CM327" s="105">
        <f t="shared" si="1205"/>
        <v>2.4456140350877194</v>
      </c>
      <c r="CN327" s="34">
        <f t="shared" si="1205"/>
        <v>2.3970588235294117</v>
      </c>
      <c r="CO327" s="34">
        <f t="shared" si="1205"/>
        <v>3.3345864661654137</v>
      </c>
      <c r="CP327" s="34">
        <f t="shared" si="1205"/>
        <v>3.9700598802395208</v>
      </c>
      <c r="CQ327" s="34">
        <f t="shared" si="1205"/>
        <v>5.738244514106583</v>
      </c>
      <c r="CR327" s="105">
        <f t="shared" si="1205"/>
        <v>5.738244514106583</v>
      </c>
      <c r="CS327" s="34">
        <f t="shared" si="1205"/>
        <v>7.628343027504167</v>
      </c>
      <c r="CT327" s="34">
        <f t="shared" si="1205"/>
        <v>7.1279884971508247</v>
      </c>
      <c r="CU327" s="34">
        <f t="shared" si="1205"/>
        <v>7.4368916483711729</v>
      </c>
      <c r="CV327" s="34">
        <f t="shared" si="1205"/>
        <v>6.6587022547138055</v>
      </c>
      <c r="CW327" s="105">
        <f t="shared" si="1205"/>
        <v>6.6587022547138055</v>
      </c>
      <c r="CX327" s="34">
        <f t="shared" si="1205"/>
        <v>6.1488427821802096</v>
      </c>
      <c r="CY327" s="34">
        <f t="shared" si="1205"/>
        <v>4.604165689977437</v>
      </c>
      <c r="CZ327" s="34">
        <f t="shared" si="1205"/>
        <v>3.4807975652477303</v>
      </c>
      <c r="DA327" s="34">
        <f t="shared" si="1205"/>
        <v>3.3136048529487483</v>
      </c>
      <c r="DB327" s="105">
        <f t="shared" si="1205"/>
        <v>3.3136048529487483</v>
      </c>
      <c r="DC327" s="34">
        <f t="shared" si="1205"/>
        <v>3.3474618602132473</v>
      </c>
      <c r="DD327" s="34">
        <f t="shared" si="1205"/>
        <v>3.8744928003281238</v>
      </c>
      <c r="DE327" s="34">
        <f t="shared" si="1205"/>
        <v>4.5212582986481378</v>
      </c>
      <c r="DF327" s="34">
        <f t="shared" si="1205"/>
        <v>4.5784550186018809</v>
      </c>
      <c r="DG327" s="105">
        <f t="shared" si="1205"/>
        <v>4.5784550186018809</v>
      </c>
      <c r="DH327" s="34">
        <f t="shared" si="1205"/>
        <v>4.3685601056803174</v>
      </c>
      <c r="DI327" s="34">
        <f t="shared" si="1205"/>
        <v>3.4593453009503694</v>
      </c>
      <c r="DJ327" s="34">
        <f t="shared" si="1205"/>
        <v>3.7080459770114942</v>
      </c>
      <c r="DK327" s="34">
        <f t="shared" si="1205"/>
        <v>3.7592371871275327</v>
      </c>
      <c r="DL327" s="105">
        <f t="shared" si="1205"/>
        <v>3.7592371871275327</v>
      </c>
      <c r="DM327" s="105"/>
      <c r="DN327" s="105"/>
      <c r="DO327" s="105"/>
      <c r="DP327" s="537"/>
      <c r="DQ327" s="105">
        <f>(DQ268+DQ267+DQ274)/DQ182</f>
        <v>1.9475138121546962</v>
      </c>
      <c r="DR327" s="547"/>
      <c r="DS327" s="105"/>
      <c r="DT327" s="105"/>
      <c r="DU327" s="105"/>
      <c r="DV327" s="105">
        <f>(DV268+DV267+DV274)/DV182</f>
        <v>1.1310924369747899</v>
      </c>
      <c r="DW327" s="547"/>
      <c r="DX327" s="105"/>
      <c r="DY327" s="105"/>
      <c r="DZ327" s="105"/>
      <c r="EA327" s="105">
        <f>(EA268+EA267+EA274)/EA182</f>
        <v>0.80313368713671973</v>
      </c>
      <c r="EB327" s="547"/>
      <c r="EC327" s="105"/>
      <c r="ED327" s="105"/>
      <c r="EE327" s="105"/>
      <c r="EF327" s="105">
        <f>(EF268+EF267+EF274)/EF182</f>
        <v>0.85551907047234155</v>
      </c>
      <c r="EG327" s="105"/>
      <c r="EH327" s="105"/>
      <c r="EI327" s="105"/>
      <c r="EJ327" s="105"/>
      <c r="EK327" s="105">
        <f>(EK268+EK267+EK274)/EK182</f>
        <v>1.0616497829232996</v>
      </c>
      <c r="EL327" s="105"/>
      <c r="EM327" s="105"/>
      <c r="EN327" s="105"/>
      <c r="EO327" s="105"/>
      <c r="EP327" s="105">
        <f>(EP268+EP267+EP274)/EP182</f>
        <v>1.0959067821930086</v>
      </c>
      <c r="EQ327" s="105"/>
      <c r="ER327" s="105"/>
      <c r="ES327" s="105"/>
      <c r="ET327" s="105"/>
      <c r="EU327" s="105">
        <f>(EU268+EU267+EU274)/EU182</f>
        <v>1.0794961283859978</v>
      </c>
      <c r="EV327" s="105"/>
      <c r="EW327" s="105"/>
      <c r="EX327" s="105"/>
      <c r="EY327" s="105"/>
      <c r="EZ327" s="105">
        <f>(EZ268+EZ267+EZ274)/EZ182</f>
        <v>0.91282412910547872</v>
      </c>
      <c r="FA327" s="105"/>
      <c r="FB327" s="105"/>
      <c r="FC327" s="105"/>
      <c r="FD327" s="105"/>
      <c r="FE327" s="105">
        <f>(FE268+FE267+FE274)/FE182</f>
        <v>0.80152754951551752</v>
      </c>
      <c r="FF327" s="34"/>
      <c r="FG327" s="455"/>
      <c r="FL327" s="410"/>
      <c r="FM327" s="410"/>
      <c r="FN327" s="371"/>
      <c r="FO327" s="371"/>
      <c r="FP327" s="371"/>
      <c r="FQ327" s="371"/>
      <c r="FR327" s="371"/>
      <c r="FS327" s="371"/>
      <c r="FT327" s="455"/>
    </row>
    <row r="328" spans="1:183" ht="12.75" hidden="1" customHeight="1" x14ac:dyDescent="0.2">
      <c r="A328" s="34" t="s">
        <v>354</v>
      </c>
      <c r="B328" s="207"/>
      <c r="C328" s="207"/>
      <c r="D328" s="207"/>
      <c r="E328" s="207"/>
      <c r="F328" s="247"/>
      <c r="G328" s="207"/>
      <c r="H328" s="207"/>
      <c r="I328" s="207"/>
      <c r="J328" s="207"/>
      <c r="K328" s="247"/>
      <c r="L328" s="207"/>
      <c r="M328" s="207"/>
      <c r="N328" s="207"/>
      <c r="O328" s="207"/>
      <c r="P328" s="247"/>
      <c r="Q328" s="207"/>
      <c r="R328" s="207"/>
      <c r="S328" s="207"/>
      <c r="T328" s="207"/>
      <c r="U328" s="247"/>
      <c r="V328" s="207"/>
      <c r="W328" s="207"/>
      <c r="X328" s="207"/>
      <c r="Y328" s="207"/>
      <c r="Z328" s="247"/>
      <c r="AA328" s="207"/>
      <c r="AB328" s="207"/>
      <c r="AC328" s="207"/>
      <c r="AD328" s="207"/>
      <c r="AE328" s="247"/>
      <c r="AF328" s="207"/>
      <c r="AG328" s="207"/>
      <c r="AH328" s="207"/>
      <c r="AI328" s="207"/>
      <c r="AJ328" s="247"/>
      <c r="AK328" s="207"/>
      <c r="AL328" s="207"/>
      <c r="AM328" s="207"/>
      <c r="AN328" s="207"/>
      <c r="AO328" s="247"/>
      <c r="AP328" s="207"/>
      <c r="AQ328" s="207"/>
      <c r="AR328" s="207"/>
      <c r="AS328" s="207"/>
      <c r="AT328" s="247"/>
      <c r="AU328" s="207"/>
      <c r="AV328" s="207"/>
      <c r="AW328" s="207"/>
      <c r="AX328" s="207"/>
      <c r="AY328" s="105" t="e">
        <f>(AY268+AY267+AY274)/#REF!</f>
        <v>#REF!</v>
      </c>
      <c r="AZ328" s="34"/>
      <c r="BA328" s="34"/>
      <c r="BB328" s="34"/>
      <c r="BC328" s="34"/>
      <c r="BD328" s="105" t="e">
        <f>(BD268+BD267+BD274)/#REF!</f>
        <v>#REF!</v>
      </c>
      <c r="BE328" s="34"/>
      <c r="BF328" s="34"/>
      <c r="BG328" s="34"/>
      <c r="BH328" s="34"/>
      <c r="BI328" s="105" t="e">
        <f>(BI268+BI267+BI274)/#REF!</f>
        <v>#REF!</v>
      </c>
      <c r="BJ328" s="34"/>
      <c r="BK328" s="34"/>
      <c r="BL328" s="34"/>
      <c r="BM328" s="34"/>
      <c r="BN328" s="105" t="e">
        <f>(BN268+BN267+BN274)/#REF!</f>
        <v>#REF!</v>
      </c>
      <c r="BO328" s="34"/>
      <c r="BP328" s="34"/>
      <c r="BQ328" s="34"/>
      <c r="BR328" s="34"/>
      <c r="BS328" s="105" t="e">
        <f>(BS268+BS267+BS274)/#REF!</f>
        <v>#REF!</v>
      </c>
      <c r="BT328" s="34"/>
      <c r="BU328" s="34"/>
      <c r="BV328" s="34"/>
      <c r="BW328" s="34"/>
      <c r="BX328" s="105" t="e">
        <f>(BX268+BX267+BX274)/#REF!</f>
        <v>#REF!</v>
      </c>
      <c r="BY328" s="34"/>
      <c r="BZ328" s="34"/>
      <c r="CA328" s="34"/>
      <c r="CB328" s="34"/>
      <c r="CC328" s="105" t="e">
        <f>(CC268+CC267+CC274)/#REF!</f>
        <v>#REF!</v>
      </c>
      <c r="CD328" s="34"/>
      <c r="CE328" s="34"/>
      <c r="CF328" s="34"/>
      <c r="CG328" s="34"/>
      <c r="CH328" s="105" t="e">
        <f>(CH268+CH267+CH274)/#REF!</f>
        <v>#REF!</v>
      </c>
      <c r="CI328" s="34" t="e">
        <f>(CI268+CI267+CI274)/#REF!</f>
        <v>#REF!</v>
      </c>
      <c r="CJ328" s="34" t="e">
        <f>(CJ268+CJ267+CJ274)/#REF!</f>
        <v>#REF!</v>
      </c>
      <c r="CK328" s="34" t="e">
        <f>(CK268+CK267+CK274)/#REF!</f>
        <v>#REF!</v>
      </c>
      <c r="CL328" s="34" t="e">
        <f>(CL268+CL267+CL274)/#REF!</f>
        <v>#REF!</v>
      </c>
      <c r="CM328" s="105" t="e">
        <f>(CM268+CM267+CM274)/#REF!</f>
        <v>#REF!</v>
      </c>
      <c r="CN328" s="34" t="e">
        <f>(CN268+CN267+CN274)/#REF!</f>
        <v>#REF!</v>
      </c>
      <c r="CO328" s="34" t="e">
        <f>(CO268+CO267+CO274)/#REF!</f>
        <v>#REF!</v>
      </c>
      <c r="CP328" s="34" t="e">
        <f>(CP268+CP267+CP274)/#REF!</f>
        <v>#REF!</v>
      </c>
      <c r="CQ328" s="34" t="e">
        <f>(CQ268+CQ267+CQ274)/#REF!</f>
        <v>#REF!</v>
      </c>
      <c r="CR328" s="105" t="e">
        <f>(CR268+CR267+CR274)/#REF!</f>
        <v>#REF!</v>
      </c>
      <c r="CS328" s="34" t="e">
        <f>(CS268+CS267+CS274)/#REF!</f>
        <v>#REF!</v>
      </c>
      <c r="CT328" s="34" t="e">
        <f>(CT268+CT267+CT274)/#REF!</f>
        <v>#REF!</v>
      </c>
      <c r="CU328" s="34" t="e">
        <f>(CU268+CU267+CU274)/#REF!</f>
        <v>#REF!</v>
      </c>
      <c r="CV328" s="34" t="e">
        <f>(CV268+CV267+CV274)/#REF!</f>
        <v>#REF!</v>
      </c>
      <c r="CW328" s="105" t="e">
        <f>(CW268+CW267+CW274)/#REF!</f>
        <v>#REF!</v>
      </c>
      <c r="CX328" s="34" t="e">
        <f>(CX268+CX267+CX274)/#REF!</f>
        <v>#REF!</v>
      </c>
      <c r="CY328" s="34" t="e">
        <f>(CY268+CY267+CY274)/#REF!</f>
        <v>#REF!</v>
      </c>
      <c r="CZ328" s="34" t="e">
        <f>(CZ268+CZ267+CZ274)/#REF!</f>
        <v>#REF!</v>
      </c>
      <c r="DA328" s="34" t="e">
        <f>(DA268+DA267+DA274)/#REF!</f>
        <v>#REF!</v>
      </c>
      <c r="DB328" s="105" t="e">
        <f>(DB268+DB267+DB274)/#REF!</f>
        <v>#REF!</v>
      </c>
      <c r="DC328" s="34" t="e">
        <f>(DC268+DC267+DC274)/#REF!</f>
        <v>#REF!</v>
      </c>
      <c r="DD328" s="34" t="e">
        <f>(DD268+DD267+DD274)/#REF!</f>
        <v>#REF!</v>
      </c>
      <c r="DE328" s="34" t="e">
        <f>(DE268+DE267+DE274)/#REF!</f>
        <v>#REF!</v>
      </c>
      <c r="DF328" s="34" t="e">
        <f>(DF268+DF267+DF274)/#REF!</f>
        <v>#REF!</v>
      </c>
      <c r="DG328" s="105" t="e">
        <f>(DG268+DG267+DG274)/#REF!</f>
        <v>#REF!</v>
      </c>
      <c r="DH328" s="34" t="e">
        <f>(DH268+DH267+DH274)/#REF!</f>
        <v>#REF!</v>
      </c>
      <c r="DI328" s="34" t="e">
        <f>(DI268+DI267+DI274)/#REF!</f>
        <v>#REF!</v>
      </c>
      <c r="DJ328" s="34" t="e">
        <f>(DJ268+DJ267+DJ274)/#REF!</f>
        <v>#REF!</v>
      </c>
      <c r="DK328" s="34" t="e">
        <f>(DK268+DK267+DK274)/#REF!</f>
        <v>#REF!</v>
      </c>
      <c r="DL328" s="105" t="e">
        <f>(DL268+DL267+DL274)/#REF!</f>
        <v>#REF!</v>
      </c>
      <c r="DM328" s="105"/>
      <c r="DN328" s="105"/>
      <c r="DO328" s="105"/>
      <c r="DP328" s="537"/>
      <c r="DQ328" s="105" t="e">
        <f>(DQ268+DQ267+DQ274)/#REF!</f>
        <v>#REF!</v>
      </c>
      <c r="DR328" s="547"/>
      <c r="DS328" s="105"/>
      <c r="DT328" s="105"/>
      <c r="DU328" s="105"/>
      <c r="DV328" s="105" t="e">
        <f>(DV268+DV267+DV274)/#REF!</f>
        <v>#REF!</v>
      </c>
      <c r="DW328" s="547"/>
      <c r="DX328" s="105"/>
      <c r="DY328" s="105"/>
      <c r="DZ328" s="105"/>
      <c r="EA328" s="105" t="e">
        <f>(EA268+EA267+EA274)/#REF!</f>
        <v>#REF!</v>
      </c>
      <c r="EB328" s="547"/>
      <c r="EC328" s="105"/>
      <c r="ED328" s="105"/>
      <c r="EE328" s="105"/>
      <c r="EF328" s="105" t="e">
        <f>(EF268+EF267+EF274)/#REF!</f>
        <v>#REF!</v>
      </c>
      <c r="EG328" s="105"/>
      <c r="EH328" s="105"/>
      <c r="EI328" s="105"/>
      <c r="EJ328" s="105"/>
      <c r="EK328" s="105" t="e">
        <f>(EK268+EK267+EK274)/#REF!</f>
        <v>#REF!</v>
      </c>
      <c r="EL328" s="105"/>
      <c r="EM328" s="105"/>
      <c r="EN328" s="105"/>
      <c r="EO328" s="105"/>
      <c r="EP328" s="105" t="e">
        <f>(EP268+EP267+EP274)/#REF!</f>
        <v>#REF!</v>
      </c>
      <c r="EQ328" s="105"/>
      <c r="ER328" s="105"/>
      <c r="ES328" s="105"/>
      <c r="ET328" s="105"/>
      <c r="EU328" s="105" t="e">
        <f>(EU268+EU267+EU274)/#REF!</f>
        <v>#REF!</v>
      </c>
      <c r="EV328" s="105"/>
      <c r="EW328" s="105"/>
      <c r="EX328" s="105"/>
      <c r="EY328" s="105"/>
      <c r="EZ328" s="105" t="e">
        <f>(EZ268+EZ267+EZ274)/#REF!</f>
        <v>#REF!</v>
      </c>
      <c r="FA328" s="105"/>
      <c r="FB328" s="105"/>
      <c r="FC328" s="105"/>
      <c r="FD328" s="105"/>
      <c r="FE328" s="105" t="e">
        <f>(FE268+FE267+FE274)/#REF!</f>
        <v>#REF!</v>
      </c>
      <c r="FF328" s="34"/>
      <c r="FG328" s="455"/>
      <c r="FL328" s="410"/>
      <c r="FM328" s="410"/>
      <c r="FN328" s="371"/>
      <c r="FO328" s="371"/>
      <c r="FP328" s="371"/>
      <c r="FQ328" s="371"/>
      <c r="FR328" s="371"/>
      <c r="FS328" s="371"/>
      <c r="FT328" s="455"/>
    </row>
    <row r="329" spans="1:183" ht="12.75" hidden="1" customHeight="1" x14ac:dyDescent="0.2">
      <c r="A329" s="34" t="s">
        <v>355</v>
      </c>
      <c r="B329" s="207"/>
      <c r="C329" s="207"/>
      <c r="D329" s="207"/>
      <c r="E329" s="207"/>
      <c r="F329" s="247"/>
      <c r="G329" s="207"/>
      <c r="H329" s="207"/>
      <c r="I329" s="207"/>
      <c r="J329" s="207"/>
      <c r="K329" s="247"/>
      <c r="L329" s="207"/>
      <c r="M329" s="207"/>
      <c r="N329" s="207"/>
      <c r="O329" s="207"/>
      <c r="P329" s="247"/>
      <c r="Q329" s="207"/>
      <c r="R329" s="207"/>
      <c r="S329" s="207"/>
      <c r="T329" s="207"/>
      <c r="U329" s="247"/>
      <c r="V329" s="207"/>
      <c r="W329" s="207"/>
      <c r="X329" s="207"/>
      <c r="Y329" s="207"/>
      <c r="Z329" s="247"/>
      <c r="AA329" s="207"/>
      <c r="AB329" s="207"/>
      <c r="AC329" s="207"/>
      <c r="AD329" s="207"/>
      <c r="AE329" s="247"/>
      <c r="AF329" s="207"/>
      <c r="AG329" s="207"/>
      <c r="AH329" s="207"/>
      <c r="AI329" s="207"/>
      <c r="AJ329" s="247"/>
      <c r="AK329" s="207"/>
      <c r="AL329" s="207"/>
      <c r="AM329" s="207"/>
      <c r="AN329" s="207"/>
      <c r="AO329" s="247"/>
      <c r="AP329" s="207"/>
      <c r="AQ329" s="207"/>
      <c r="AR329" s="207"/>
      <c r="AS329" s="207"/>
      <c r="AT329" s="247"/>
      <c r="AU329" s="207"/>
      <c r="AV329" s="207"/>
      <c r="AW329" s="207"/>
      <c r="AX329" s="207"/>
      <c r="AY329" s="105">
        <f>(AY268+AY267+AY274)/AY183</f>
        <v>0.71512777485089141</v>
      </c>
      <c r="AZ329" s="34"/>
      <c r="BA329" s="34"/>
      <c r="BB329" s="34"/>
      <c r="BC329" s="34"/>
      <c r="BD329" s="105">
        <f>(BD268+BD267+BD274)/BD183</f>
        <v>0.58031331463774127</v>
      </c>
      <c r="BE329" s="34"/>
      <c r="BF329" s="34"/>
      <c r="BG329" s="34"/>
      <c r="BH329" s="34"/>
      <c r="BI329" s="105">
        <f>(BI268+BI267+BI274)/BI183</f>
        <v>1.6140432211017273</v>
      </c>
      <c r="BJ329" s="34"/>
      <c r="BK329" s="34"/>
      <c r="BL329" s="34"/>
      <c r="BM329" s="34"/>
      <c r="BN329" s="105">
        <f>(BN268+BN267+BN274)/BN183</f>
        <v>1.8094573138416521</v>
      </c>
      <c r="BO329" s="34"/>
      <c r="BP329" s="34"/>
      <c r="BQ329" s="34"/>
      <c r="BR329" s="34"/>
      <c r="BS329" s="105">
        <f>(BS268+BS267+BS274)/BS183</f>
        <v>1.4110091743119266</v>
      </c>
      <c r="BT329" s="34"/>
      <c r="BU329" s="34"/>
      <c r="BV329" s="34"/>
      <c r="BW329" s="34"/>
      <c r="BX329" s="105">
        <f>(BX268+BX267+BX274)/BX183</f>
        <v>1.5341145184077123</v>
      </c>
      <c r="BY329" s="34"/>
      <c r="BZ329" s="34"/>
      <c r="CA329" s="34"/>
      <c r="CB329" s="34"/>
      <c r="CC329" s="105">
        <f>(CC268+CC267+CC274)/CC183</f>
        <v>1.4519650655021834</v>
      </c>
      <c r="CD329" s="34"/>
      <c r="CE329" s="34"/>
      <c r="CF329" s="34"/>
      <c r="CG329" s="34"/>
      <c r="CH329" s="105">
        <f t="shared" ref="CH329:DL329" si="1206">(CH268+CH267+CH274)/CH183</f>
        <v>1.024629944188304</v>
      </c>
      <c r="CI329" s="34">
        <f t="shared" si="1206"/>
        <v>1.0404015367455697</v>
      </c>
      <c r="CJ329" s="34">
        <f t="shared" si="1206"/>
        <v>1.076630363469361</v>
      </c>
      <c r="CK329" s="34">
        <f t="shared" si="1206"/>
        <v>1.0189726381001549</v>
      </c>
      <c r="CL329" s="34">
        <f t="shared" si="1206"/>
        <v>1.333545918367347</v>
      </c>
      <c r="CM329" s="105">
        <f t="shared" si="1206"/>
        <v>1.333545918367347</v>
      </c>
      <c r="CN329" s="34">
        <f t="shared" si="1206"/>
        <v>1.3194271481942714</v>
      </c>
      <c r="CO329" s="34">
        <f t="shared" si="1206"/>
        <v>1.7403531720078482</v>
      </c>
      <c r="CP329" s="34">
        <f t="shared" si="1206"/>
        <v>1.8795180722891567</v>
      </c>
      <c r="CQ329" s="34">
        <f t="shared" si="1206"/>
        <v>2.6338129496402876</v>
      </c>
      <c r="CR329" s="105">
        <f t="shared" si="1206"/>
        <v>2.6338129496402876</v>
      </c>
      <c r="CS329" s="34">
        <f t="shared" si="1206"/>
        <v>3.2300956695008605</v>
      </c>
      <c r="CT329" s="34">
        <f t="shared" si="1206"/>
        <v>2.8667398893509506</v>
      </c>
      <c r="CU329" s="34">
        <f t="shared" si="1206"/>
        <v>2.8445258968784679</v>
      </c>
      <c r="CV329" s="34">
        <f t="shared" si="1206"/>
        <v>2.6122720553629546</v>
      </c>
      <c r="CW329" s="105">
        <f t="shared" si="1206"/>
        <v>2.6122720553629546</v>
      </c>
      <c r="CX329" s="34">
        <f t="shared" si="1206"/>
        <v>2.4657939988940147</v>
      </c>
      <c r="CY329" s="34">
        <f t="shared" si="1206"/>
        <v>2.1599573328539416</v>
      </c>
      <c r="CZ329" s="34">
        <f t="shared" si="1206"/>
        <v>1.8624350659589004</v>
      </c>
      <c r="DA329" s="34">
        <f t="shared" si="1206"/>
        <v>1.7993956089137406</v>
      </c>
      <c r="DB329" s="105">
        <f t="shared" si="1206"/>
        <v>1.7993956089137406</v>
      </c>
      <c r="DC329" s="34">
        <f t="shared" si="1206"/>
        <v>1.7955818259899512</v>
      </c>
      <c r="DD329" s="34">
        <f t="shared" si="1206"/>
        <v>1.9157096794490795</v>
      </c>
      <c r="DE329" s="34">
        <f t="shared" si="1206"/>
        <v>2.0526054571195296</v>
      </c>
      <c r="DF329" s="34">
        <f t="shared" si="1206"/>
        <v>1.9314114647884277</v>
      </c>
      <c r="DG329" s="105">
        <f t="shared" si="1206"/>
        <v>1.9314114647884277</v>
      </c>
      <c r="DH329" s="34">
        <f t="shared" si="1206"/>
        <v>1.7469624933967247</v>
      </c>
      <c r="DI329" s="34">
        <f t="shared" si="1206"/>
        <v>1.5644699140401146</v>
      </c>
      <c r="DJ329" s="34">
        <f t="shared" si="1206"/>
        <v>1.5775061124694376</v>
      </c>
      <c r="DK329" s="34">
        <f t="shared" si="1206"/>
        <v>1.5475956820412169</v>
      </c>
      <c r="DL329" s="105">
        <f t="shared" si="1206"/>
        <v>1.5475956820412169</v>
      </c>
      <c r="DM329" s="105"/>
      <c r="DN329" s="105"/>
      <c r="DO329" s="105"/>
      <c r="DP329" s="537"/>
      <c r="DQ329" s="105">
        <f>(DQ268+DQ267+DQ274)/DQ183</f>
        <v>1.053811659192825</v>
      </c>
      <c r="DR329" s="547"/>
      <c r="DS329" s="105"/>
      <c r="DT329" s="105"/>
      <c r="DU329" s="105"/>
      <c r="DV329" s="105">
        <f>(DV268+DV267+DV274)/DV183</f>
        <v>0.74508718516468309</v>
      </c>
      <c r="DW329" s="547"/>
      <c r="DX329" s="105"/>
      <c r="DY329" s="105"/>
      <c r="DZ329" s="105"/>
      <c r="EA329" s="105">
        <f>(EA268+EA267+EA274)/EA183</f>
        <v>0.60998080614203454</v>
      </c>
      <c r="EB329" s="547"/>
      <c r="EC329" s="105"/>
      <c r="ED329" s="105"/>
      <c r="EE329" s="105"/>
      <c r="EF329" s="105">
        <f>(EF268+EF267+EF274)/EF183</f>
        <v>0.62606284658040667</v>
      </c>
      <c r="EG329" s="105"/>
      <c r="EH329" s="105"/>
      <c r="EI329" s="105"/>
      <c r="EJ329" s="105"/>
      <c r="EK329" s="105">
        <f>(EK268+EK267+EK274)/EK183</f>
        <v>0.75380189066995484</v>
      </c>
      <c r="EL329" s="105"/>
      <c r="EM329" s="105"/>
      <c r="EN329" s="105"/>
      <c r="EO329" s="105"/>
      <c r="EP329" s="105">
        <f>(EP268+EP267+EP274)/EP183</f>
        <v>0.77010287633844221</v>
      </c>
      <c r="EQ329" s="105"/>
      <c r="ER329" s="105"/>
      <c r="ES329" s="105"/>
      <c r="ET329" s="105"/>
      <c r="EU329" s="105">
        <f>(EU268+EU267+EU274)/EU183</f>
        <v>0.78128090384834703</v>
      </c>
      <c r="EV329" s="105"/>
      <c r="EW329" s="105"/>
      <c r="EX329" s="105"/>
      <c r="EY329" s="105"/>
      <c r="EZ329" s="105">
        <f>(EZ268+EZ267+EZ274)/EZ183</f>
        <v>0.6850182391858739</v>
      </c>
      <c r="FA329" s="105"/>
      <c r="FB329" s="105"/>
      <c r="FC329" s="105"/>
      <c r="FD329" s="105"/>
      <c r="FE329" s="105">
        <f>(FE268+FE267+FE274)/FE183</f>
        <v>0.61633560916942431</v>
      </c>
      <c r="FF329" s="34"/>
      <c r="FG329" s="455"/>
      <c r="FL329" s="410"/>
      <c r="FM329" s="410"/>
      <c r="FN329" s="371"/>
      <c r="FO329" s="371"/>
      <c r="FP329" s="371"/>
      <c r="FQ329" s="371"/>
      <c r="FR329" s="371"/>
      <c r="FS329" s="371"/>
      <c r="FT329" s="455"/>
    </row>
    <row r="330" spans="1:183" ht="12.75" hidden="1" customHeight="1" x14ac:dyDescent="0.2">
      <c r="A330" s="34"/>
      <c r="B330" s="207"/>
      <c r="C330" s="207"/>
      <c r="D330" s="207"/>
      <c r="E330" s="207"/>
      <c r="F330" s="247"/>
      <c r="G330" s="207"/>
      <c r="H330" s="207"/>
      <c r="I330" s="207"/>
      <c r="J330" s="207"/>
      <c r="K330" s="247"/>
      <c r="L330" s="207"/>
      <c r="M330" s="207"/>
      <c r="N330" s="207"/>
      <c r="O330" s="207"/>
      <c r="P330" s="247"/>
      <c r="Q330" s="207"/>
      <c r="R330" s="207"/>
      <c r="S330" s="207"/>
      <c r="T330" s="207"/>
      <c r="U330" s="247"/>
      <c r="V330" s="207"/>
      <c r="W330" s="207"/>
      <c r="X330" s="207"/>
      <c r="Y330" s="207"/>
      <c r="Z330" s="247"/>
      <c r="AA330" s="207"/>
      <c r="AB330" s="207"/>
      <c r="AC330" s="207"/>
      <c r="AD330" s="207"/>
      <c r="AE330" s="247"/>
      <c r="AF330" s="207"/>
      <c r="AG330" s="207"/>
      <c r="AH330" s="207"/>
      <c r="AI330" s="207"/>
      <c r="AJ330" s="247"/>
      <c r="AK330" s="207"/>
      <c r="AL330" s="207"/>
      <c r="AM330" s="207"/>
      <c r="AN330" s="207"/>
      <c r="AO330" s="247"/>
      <c r="AP330" s="207"/>
      <c r="AQ330" s="207"/>
      <c r="AR330" s="207"/>
      <c r="AS330" s="207"/>
      <c r="AT330" s="247"/>
      <c r="AU330" s="207"/>
      <c r="AV330" s="207"/>
      <c r="AW330" s="207"/>
      <c r="AX330" s="207"/>
      <c r="AY330" s="105"/>
      <c r="AZ330" s="34"/>
      <c r="BA330" s="34"/>
      <c r="BB330" s="34"/>
      <c r="BC330" s="34"/>
      <c r="BD330" s="105"/>
      <c r="BE330" s="34"/>
      <c r="BF330" s="34"/>
      <c r="BG330" s="34"/>
      <c r="BH330" s="34"/>
      <c r="BI330" s="105"/>
      <c r="BJ330" s="34"/>
      <c r="BK330" s="34"/>
      <c r="BL330" s="34"/>
      <c r="BM330" s="34"/>
      <c r="BN330" s="105"/>
      <c r="BO330" s="34"/>
      <c r="BP330" s="34"/>
      <c r="BQ330" s="34"/>
      <c r="BR330" s="34"/>
      <c r="BS330" s="105"/>
      <c r="BT330" s="34"/>
      <c r="BU330" s="34"/>
      <c r="BV330" s="34"/>
      <c r="BW330" s="34"/>
      <c r="BX330" s="105"/>
      <c r="BY330" s="34"/>
      <c r="BZ330" s="34"/>
      <c r="CA330" s="34"/>
      <c r="CB330" s="34"/>
      <c r="CC330" s="105"/>
      <c r="CD330" s="34"/>
      <c r="CE330" s="34"/>
      <c r="CF330" s="34"/>
      <c r="CG330" s="34"/>
      <c r="CH330" s="105"/>
      <c r="CI330" s="34"/>
      <c r="CJ330" s="34"/>
      <c r="CK330" s="34"/>
      <c r="CL330" s="34"/>
      <c r="CM330" s="105"/>
      <c r="CN330" s="34"/>
      <c r="CO330" s="34"/>
      <c r="CP330" s="34"/>
      <c r="CQ330" s="34"/>
      <c r="CR330" s="105"/>
      <c r="CS330" s="34"/>
      <c r="CT330" s="34"/>
      <c r="CU330" s="34"/>
      <c r="CV330" s="34"/>
      <c r="CW330" s="105"/>
      <c r="CX330" s="34"/>
      <c r="CY330" s="34"/>
      <c r="CZ330" s="34"/>
      <c r="DA330" s="34"/>
      <c r="DB330" s="105"/>
      <c r="DC330" s="34"/>
      <c r="DD330" s="34"/>
      <c r="DE330" s="34"/>
      <c r="DF330" s="34"/>
      <c r="DG330" s="105"/>
      <c r="DH330" s="34"/>
      <c r="DI330" s="34"/>
      <c r="DJ330" s="34"/>
      <c r="DK330" s="34"/>
      <c r="DL330" s="105"/>
      <c r="DM330" s="105"/>
      <c r="DN330" s="105"/>
      <c r="DO330" s="105"/>
      <c r="DP330" s="537"/>
      <c r="DQ330" s="105"/>
      <c r="DR330" s="547"/>
      <c r="DS330" s="105"/>
      <c r="DT330" s="105"/>
      <c r="DU330" s="105"/>
      <c r="DV330" s="105"/>
      <c r="DW330" s="547"/>
      <c r="DX330" s="105"/>
      <c r="DY330" s="105"/>
      <c r="DZ330" s="105"/>
      <c r="EA330" s="105"/>
      <c r="EB330" s="547"/>
      <c r="EC330" s="105"/>
      <c r="ED330" s="105"/>
      <c r="EE330" s="105"/>
      <c r="EF330" s="105"/>
      <c r="EG330" s="105"/>
      <c r="EH330" s="105"/>
      <c r="EI330" s="105"/>
      <c r="EJ330" s="105"/>
      <c r="EK330" s="105"/>
      <c r="EL330" s="105"/>
      <c r="EM330" s="105"/>
      <c r="EN330" s="105"/>
      <c r="EO330" s="105"/>
      <c r="EP330" s="105"/>
      <c r="EQ330" s="105"/>
      <c r="ER330" s="105"/>
      <c r="ES330" s="105"/>
      <c r="ET330" s="105"/>
      <c r="EU330" s="105"/>
      <c r="EV330" s="105"/>
      <c r="EW330" s="105"/>
      <c r="EX330" s="105"/>
      <c r="EY330" s="105"/>
      <c r="EZ330" s="105"/>
      <c r="FA330" s="105"/>
      <c r="FB330" s="105"/>
      <c r="FC330" s="105"/>
      <c r="FD330" s="105"/>
      <c r="FE330" s="105"/>
      <c r="FF330" s="34"/>
      <c r="FG330" s="455"/>
      <c r="FL330" s="410"/>
      <c r="FM330" s="410"/>
      <c r="FN330" s="371"/>
      <c r="FO330" s="371"/>
      <c r="FP330" s="371"/>
      <c r="FQ330" s="371"/>
      <c r="FR330" s="371"/>
      <c r="FS330" s="371"/>
      <c r="FT330" s="455"/>
    </row>
    <row r="331" spans="1:183" ht="12.75" hidden="1" customHeight="1" x14ac:dyDescent="0.2">
      <c r="A331" s="34" t="s">
        <v>97</v>
      </c>
      <c r="B331" s="207"/>
      <c r="C331" s="207"/>
      <c r="D331" s="207"/>
      <c r="E331" s="207"/>
      <c r="F331" s="247"/>
      <c r="G331" s="207"/>
      <c r="H331" s="207"/>
      <c r="I331" s="207"/>
      <c r="J331" s="207"/>
      <c r="K331" s="247"/>
      <c r="L331" s="207"/>
      <c r="M331" s="207"/>
      <c r="N331" s="207"/>
      <c r="O331" s="207"/>
      <c r="P331" s="247"/>
      <c r="Q331" s="207"/>
      <c r="R331" s="207"/>
      <c r="S331" s="207"/>
      <c r="T331" s="207"/>
      <c r="U331" s="247"/>
      <c r="V331" s="207"/>
      <c r="W331" s="207"/>
      <c r="X331" s="207"/>
      <c r="Y331" s="207"/>
      <c r="Z331" s="247"/>
      <c r="AA331" s="207"/>
      <c r="AB331" s="207"/>
      <c r="AC331" s="207"/>
      <c r="AD331" s="207"/>
      <c r="AE331" s="247"/>
      <c r="AF331" s="207"/>
      <c r="AG331" s="207"/>
      <c r="AH331" s="207"/>
      <c r="AI331" s="207"/>
      <c r="AJ331" s="247"/>
      <c r="AK331" s="207"/>
      <c r="AL331" s="207"/>
      <c r="AM331" s="207"/>
      <c r="AN331" s="207"/>
      <c r="AO331" s="247"/>
      <c r="AP331" s="207"/>
      <c r="AQ331" s="207"/>
      <c r="AR331" s="207"/>
      <c r="AS331" s="207"/>
      <c r="AT331" s="247"/>
      <c r="AU331" s="207"/>
      <c r="AV331" s="207"/>
      <c r="AW331" s="207"/>
      <c r="AX331" s="207"/>
      <c r="AY331" s="105">
        <f>(AY267+AY268+AY274-AY248)/AY182</f>
        <v>0.58954087638310348</v>
      </c>
      <c r="AZ331" s="34"/>
      <c r="BA331" s="34"/>
      <c r="BB331" s="34"/>
      <c r="BC331" s="34"/>
      <c r="BD331" s="105">
        <f>(BD267+BD268+BD274-BD248)/BD182</f>
        <v>0.3395688173569868</v>
      </c>
      <c r="BE331" s="34"/>
      <c r="BF331" s="34"/>
      <c r="BG331" s="34"/>
      <c r="BH331" s="34"/>
      <c r="BI331" s="105">
        <f>(BI267+BI268+BI274-BI248)/BI182</f>
        <v>-0.69421759976676467</v>
      </c>
      <c r="BJ331" s="34"/>
      <c r="BK331" s="34"/>
      <c r="BL331" s="34"/>
      <c r="BM331" s="34"/>
      <c r="BN331" s="105">
        <f>(BN267+BN268+BN274-BN248)/BN182</f>
        <v>-0.34148907298034292</v>
      </c>
      <c r="BO331" s="34"/>
      <c r="BP331" s="34"/>
      <c r="BQ331" s="34"/>
      <c r="BR331" s="34"/>
      <c r="BS331" s="105">
        <f>(BS267+BS268+BS274-BS248)/BS182</f>
        <v>0.10257743785850887</v>
      </c>
      <c r="BT331" s="34"/>
      <c r="BU331" s="34"/>
      <c r="BV331" s="34"/>
      <c r="BW331" s="34"/>
      <c r="BX331" s="105">
        <f>(BX267+BX268+BX274-BX248)/BX182</f>
        <v>1.2652081577616723</v>
      </c>
      <c r="BY331" s="34"/>
      <c r="BZ331" s="34"/>
      <c r="CA331" s="34"/>
      <c r="CB331" s="34"/>
      <c r="CC331" s="105">
        <f>(CC267+CC268+CC274-CC248)/CC182</f>
        <v>-0.72382186234817791</v>
      </c>
      <c r="CD331" s="34"/>
      <c r="CE331" s="34"/>
      <c r="CF331" s="34"/>
      <c r="CG331" s="34"/>
      <c r="CH331" s="105">
        <f t="shared" ref="CH331:DL331" si="1207">(CH267+CH268+CH274-CH248)/CH182</f>
        <v>-7.2126307156038433E-2</v>
      </c>
      <c r="CI331" s="34">
        <f t="shared" si="1207"/>
        <v>-0.27326171035668234</v>
      </c>
      <c r="CJ331" s="34">
        <f t="shared" si="1207"/>
        <v>-0.57016622500602265</v>
      </c>
      <c r="CK331" s="34">
        <f t="shared" si="1207"/>
        <v>2.5540349221330982E-2</v>
      </c>
      <c r="CL331" s="34">
        <f t="shared" si="1207"/>
        <v>-0.80509005847953197</v>
      </c>
      <c r="CM331" s="105">
        <f t="shared" si="1207"/>
        <v>-0.80509005847953197</v>
      </c>
      <c r="CN331" s="34">
        <f t="shared" si="1207"/>
        <v>-1.1350135746606334</v>
      </c>
      <c r="CO331" s="34">
        <f t="shared" si="1207"/>
        <v>-3.9816441102756892</v>
      </c>
      <c r="CP331" s="34">
        <f t="shared" si="1207"/>
        <v>-1.1666946107784428</v>
      </c>
      <c r="CQ331" s="34">
        <f t="shared" si="1207"/>
        <v>2.9116739811912229</v>
      </c>
      <c r="CR331" s="105">
        <f t="shared" si="1207"/>
        <v>2.9116739811912229</v>
      </c>
      <c r="CS331" s="34">
        <f t="shared" si="1207"/>
        <v>3.5384811491408406</v>
      </c>
      <c r="CT331" s="34">
        <f t="shared" si="1207"/>
        <v>2.9701572474222324</v>
      </c>
      <c r="CU331" s="34">
        <f t="shared" si="1207"/>
        <v>3.2131816393609056</v>
      </c>
      <c r="CV331" s="34">
        <f t="shared" si="1207"/>
        <v>2.2407501538296901</v>
      </c>
      <c r="CW331" s="105">
        <f t="shared" si="1207"/>
        <v>2.2407501538296901</v>
      </c>
      <c r="CX331" s="34">
        <f t="shared" si="1207"/>
        <v>1.6856169826926686</v>
      </c>
      <c r="CY331" s="34">
        <f t="shared" si="1207"/>
        <v>0.8743699080519276</v>
      </c>
      <c r="CZ331" s="34">
        <f t="shared" si="1207"/>
        <v>0.49168967124086349</v>
      </c>
      <c r="DA331" s="34">
        <f t="shared" si="1207"/>
        <v>0.29087179844393085</v>
      </c>
      <c r="DB331" s="105">
        <f t="shared" si="1207"/>
        <v>0.29087179844393085</v>
      </c>
      <c r="DC331" s="34">
        <f t="shared" si="1207"/>
        <v>-0.1265553128053824</v>
      </c>
      <c r="DD331" s="34">
        <f t="shared" si="1207"/>
        <v>-0.13005643282991763</v>
      </c>
      <c r="DE331" s="34">
        <f t="shared" si="1207"/>
        <v>0.59116365966083062</v>
      </c>
      <c r="DF331" s="34">
        <f t="shared" si="1207"/>
        <v>0.7408321046001819</v>
      </c>
      <c r="DG331" s="105">
        <f t="shared" si="1207"/>
        <v>0.7408321046001819</v>
      </c>
      <c r="DH331" s="34">
        <f t="shared" si="1207"/>
        <v>-0.63019418758256252</v>
      </c>
      <c r="DI331" s="34">
        <f t="shared" si="1207"/>
        <v>2.1059134107708776E-2</v>
      </c>
      <c r="DJ331" s="34">
        <f t="shared" si="1207"/>
        <v>-1.0410344827585965E-2</v>
      </c>
      <c r="DK331" s="34">
        <f t="shared" si="1207"/>
        <v>0.21924076281287272</v>
      </c>
      <c r="DL331" s="105">
        <f t="shared" si="1207"/>
        <v>0.21924076281287272</v>
      </c>
      <c r="DM331" s="105"/>
      <c r="DN331" s="105"/>
      <c r="DO331" s="105"/>
      <c r="DP331" s="537"/>
      <c r="DQ331" s="105">
        <f>(DQ267+DQ268+DQ274-DQ248)/DQ182</f>
        <v>-0.22932113259668493</v>
      </c>
      <c r="DR331" s="547"/>
      <c r="DS331" s="105"/>
      <c r="DT331" s="105"/>
      <c r="DU331" s="105"/>
      <c r="DV331" s="105">
        <f>(DV267+DV268+DV274-DV248)/DV182</f>
        <v>-0.12439369747899151</v>
      </c>
      <c r="DW331" s="547"/>
      <c r="DX331" s="105"/>
      <c r="DY331" s="105"/>
      <c r="DZ331" s="105"/>
      <c r="EA331" s="105">
        <f>(EA267+EA268+EA274-EA248)/EA182</f>
        <v>3.2080616628759218E-2</v>
      </c>
      <c r="EB331" s="547"/>
      <c r="EC331" s="105"/>
      <c r="ED331" s="105"/>
      <c r="EE331" s="105"/>
      <c r="EF331" s="105">
        <f>(EF267+EF268+EF274-EF248)/EF182</f>
        <v>2.0697903510987676E-2</v>
      </c>
      <c r="EG331" s="105"/>
      <c r="EH331" s="105"/>
      <c r="EI331" s="105"/>
      <c r="EJ331" s="105"/>
      <c r="EK331" s="105">
        <f>(EK267+EK268+EK274-EK248)/EK182</f>
        <v>0.11431056439942119</v>
      </c>
      <c r="EL331" s="105"/>
      <c r="EM331" s="105"/>
      <c r="EN331" s="105"/>
      <c r="EO331" s="105"/>
      <c r="EP331" s="105">
        <f>(EP267+EP268+EP274-EP248)/EP182</f>
        <v>0.11799910367493284</v>
      </c>
      <c r="EQ331" s="105"/>
      <c r="ER331" s="105"/>
      <c r="ES331" s="105"/>
      <c r="ET331" s="105"/>
      <c r="EU331" s="105">
        <f>(EU267+EU268+EU274-EU248)/EU182</f>
        <v>0.21841606673371589</v>
      </c>
      <c r="EV331" s="105"/>
      <c r="EW331" s="105"/>
      <c r="EX331" s="105"/>
      <c r="EY331" s="105"/>
      <c r="EZ331" s="105">
        <f>(EZ267+EZ268+EZ274-EZ248)/EZ182</f>
        <v>0.25365035175653716</v>
      </c>
      <c r="FA331" s="105"/>
      <c r="FB331" s="105"/>
      <c r="FC331" s="105"/>
      <c r="FD331" s="105"/>
      <c r="FE331" s="105">
        <f>(FE267+FE268+FE274-FE248)/FE182</f>
        <v>0.18184800194088466</v>
      </c>
      <c r="FF331" s="34"/>
      <c r="FG331" s="455"/>
      <c r="FL331" s="410"/>
      <c r="FM331" s="410"/>
      <c r="FN331" s="371"/>
      <c r="FO331" s="371"/>
      <c r="FP331" s="371"/>
      <c r="FQ331" s="371"/>
      <c r="FR331" s="371"/>
      <c r="FS331" s="371"/>
      <c r="FT331" s="455"/>
    </row>
    <row r="332" spans="1:183" ht="12.75" hidden="1" customHeight="1" x14ac:dyDescent="0.2">
      <c r="A332" s="34" t="s">
        <v>98</v>
      </c>
      <c r="B332" s="207"/>
      <c r="C332" s="207"/>
      <c r="D332" s="207"/>
      <c r="E332" s="207"/>
      <c r="F332" s="247"/>
      <c r="G332" s="207"/>
      <c r="H332" s="207"/>
      <c r="I332" s="207"/>
      <c r="J332" s="207"/>
      <c r="K332" s="247"/>
      <c r="L332" s="207"/>
      <c r="M332" s="207"/>
      <c r="N332" s="207"/>
      <c r="O332" s="207"/>
      <c r="P332" s="247"/>
      <c r="Q332" s="207"/>
      <c r="R332" s="207"/>
      <c r="S332" s="207"/>
      <c r="T332" s="207"/>
      <c r="U332" s="247"/>
      <c r="V332" s="207"/>
      <c r="W332" s="207"/>
      <c r="X332" s="207"/>
      <c r="Y332" s="207"/>
      <c r="Z332" s="247"/>
      <c r="AA332" s="207"/>
      <c r="AB332" s="207"/>
      <c r="AC332" s="207"/>
      <c r="AD332" s="207"/>
      <c r="AE332" s="247"/>
      <c r="AF332" s="207"/>
      <c r="AG332" s="207"/>
      <c r="AH332" s="207"/>
      <c r="AI332" s="207"/>
      <c r="AJ332" s="247"/>
      <c r="AK332" s="207"/>
      <c r="AL332" s="207"/>
      <c r="AM332" s="207"/>
      <c r="AN332" s="207"/>
      <c r="AO332" s="247"/>
      <c r="AP332" s="207"/>
      <c r="AQ332" s="207"/>
      <c r="AR332" s="207"/>
      <c r="AS332" s="207"/>
      <c r="AT332" s="247"/>
      <c r="AU332" s="207"/>
      <c r="AV332" s="207"/>
      <c r="AW332" s="207"/>
      <c r="AX332" s="207"/>
      <c r="AY332" s="105" t="e">
        <f>(AY267+AY268+AY274-AY248)/#REF!</f>
        <v>#REF!</v>
      </c>
      <c r="AZ332" s="34"/>
      <c r="BA332" s="34"/>
      <c r="BB332" s="34"/>
      <c r="BC332" s="34"/>
      <c r="BD332" s="105" t="e">
        <f>(BD267+BD268+BD274-BD248)/#REF!</f>
        <v>#REF!</v>
      </c>
      <c r="BE332" s="34"/>
      <c r="BF332" s="34"/>
      <c r="BG332" s="34"/>
      <c r="BH332" s="34"/>
      <c r="BI332" s="105" t="e">
        <f>(BI267+BI268+BI274-BI248)/#REF!</f>
        <v>#REF!</v>
      </c>
      <c r="BJ332" s="34"/>
      <c r="BK332" s="34"/>
      <c r="BL332" s="34"/>
      <c r="BM332" s="34"/>
      <c r="BN332" s="105" t="e">
        <f>(BN267+BN268+BN274-BN248)/#REF!</f>
        <v>#REF!</v>
      </c>
      <c r="BO332" s="34"/>
      <c r="BP332" s="34"/>
      <c r="BQ332" s="34"/>
      <c r="BR332" s="34"/>
      <c r="BS332" s="105" t="e">
        <f>(BS267+BS268+BS274-BS248)/#REF!</f>
        <v>#REF!</v>
      </c>
      <c r="BT332" s="34"/>
      <c r="BU332" s="34"/>
      <c r="BV332" s="34"/>
      <c r="BW332" s="34"/>
      <c r="BX332" s="105" t="e">
        <f>(BX267+BX268+BX274-BX248)/#REF!</f>
        <v>#REF!</v>
      </c>
      <c r="BY332" s="34"/>
      <c r="BZ332" s="34"/>
      <c r="CA332" s="34"/>
      <c r="CB332" s="34"/>
      <c r="CC332" s="105" t="e">
        <f>(CC267+CC268+CC274-CC248)/#REF!</f>
        <v>#REF!</v>
      </c>
      <c r="CD332" s="34"/>
      <c r="CE332" s="34"/>
      <c r="CF332" s="34"/>
      <c r="CG332" s="34"/>
      <c r="CH332" s="105" t="e">
        <f>(CH267+CH268+CH274-CH248)/#REF!</f>
        <v>#REF!</v>
      </c>
      <c r="CI332" s="34" t="e">
        <f>(CI267+CI268+CI274-CI248)/#REF!</f>
        <v>#REF!</v>
      </c>
      <c r="CJ332" s="34" t="e">
        <f>(CJ267+CJ268+CJ274-CJ248)/#REF!</f>
        <v>#REF!</v>
      </c>
      <c r="CK332" s="34" t="e">
        <f>(CK267+CK268+CK274-CK248)/#REF!</f>
        <v>#REF!</v>
      </c>
      <c r="CL332" s="34" t="e">
        <f>(CL267+CL268+CL274-CL248)/#REF!</f>
        <v>#REF!</v>
      </c>
      <c r="CM332" s="105" t="e">
        <f>(CM267+CM268+CM274-CM248)/#REF!</f>
        <v>#REF!</v>
      </c>
      <c r="CN332" s="34" t="e">
        <f>(CN267+CN268+CN274-CN248)/#REF!</f>
        <v>#REF!</v>
      </c>
      <c r="CO332" s="34" t="e">
        <f>(CO267+CO268+CO274-CO248)/#REF!</f>
        <v>#REF!</v>
      </c>
      <c r="CP332" s="34" t="e">
        <f>(CP267+CP268+CP274-CP248)/#REF!</f>
        <v>#REF!</v>
      </c>
      <c r="CQ332" s="34" t="e">
        <f>(CQ267+CQ268+CQ274-CQ248)/#REF!</f>
        <v>#REF!</v>
      </c>
      <c r="CR332" s="105" t="e">
        <f>(CR267+CR268+CR274-CR248)/#REF!</f>
        <v>#REF!</v>
      </c>
      <c r="CS332" s="34" t="e">
        <f>(CS267+CS268+CS274-CS248)/#REF!</f>
        <v>#REF!</v>
      </c>
      <c r="CT332" s="34" t="e">
        <f>(CT267+CT268+CT274-CT248)/#REF!</f>
        <v>#REF!</v>
      </c>
      <c r="CU332" s="34" t="e">
        <f>(CU267+CU268+CU274-CU248)/#REF!</f>
        <v>#REF!</v>
      </c>
      <c r="CV332" s="34" t="e">
        <f>(CV267+CV268+CV274-CV248)/#REF!</f>
        <v>#REF!</v>
      </c>
      <c r="CW332" s="105" t="e">
        <f>(CW267+CW268+CW274-CW248)/#REF!</f>
        <v>#REF!</v>
      </c>
      <c r="CX332" s="34" t="e">
        <f>(CX267+CX268+CX274-CX248)/#REF!</f>
        <v>#REF!</v>
      </c>
      <c r="CY332" s="34" t="e">
        <f>(CY267+CY268+CY274-CY248)/#REF!</f>
        <v>#REF!</v>
      </c>
      <c r="CZ332" s="34" t="e">
        <f>(CZ267+CZ268+CZ274-CZ248)/#REF!</f>
        <v>#REF!</v>
      </c>
      <c r="DA332" s="34" t="e">
        <f>(DA267+DA268+DA274-DA248)/#REF!</f>
        <v>#REF!</v>
      </c>
      <c r="DB332" s="105" t="e">
        <f>(DB267+DB268+DB274-DB248)/#REF!</f>
        <v>#REF!</v>
      </c>
      <c r="DC332" s="34" t="e">
        <f>(DC267+DC268+DC274-DC248)/#REF!</f>
        <v>#REF!</v>
      </c>
      <c r="DD332" s="34" t="e">
        <f>(DD267+DD268+DD274-DD248)/#REF!</f>
        <v>#REF!</v>
      </c>
      <c r="DE332" s="34" t="e">
        <f>(DE267+DE268+DE274-DE248)/#REF!</f>
        <v>#REF!</v>
      </c>
      <c r="DF332" s="34" t="e">
        <f>(DF267+DF268+DF274-DF248)/#REF!</f>
        <v>#REF!</v>
      </c>
      <c r="DG332" s="105" t="e">
        <f>(DG267+DG268+DG274-DG248)/#REF!</f>
        <v>#REF!</v>
      </c>
      <c r="DH332" s="34" t="e">
        <f>(DH267+DH268+DH274-DH248)/#REF!</f>
        <v>#REF!</v>
      </c>
      <c r="DI332" s="34" t="e">
        <f>(DI267+DI268+DI274-DI248)/#REF!</f>
        <v>#REF!</v>
      </c>
      <c r="DJ332" s="34" t="e">
        <f>(DJ267+DJ268+DJ274-DJ248)/#REF!</f>
        <v>#REF!</v>
      </c>
      <c r="DK332" s="34" t="e">
        <f>(DK267+DK268+DK274-DK248)/#REF!</f>
        <v>#REF!</v>
      </c>
      <c r="DL332" s="105" t="e">
        <f>(DL267+DL268+DL274-DL248)/#REF!</f>
        <v>#REF!</v>
      </c>
      <c r="DM332" s="105"/>
      <c r="DN332" s="105"/>
      <c r="DO332" s="105"/>
      <c r="DP332" s="537"/>
      <c r="DQ332" s="105" t="e">
        <f>(DQ267+DQ268+DQ274-DQ248)/#REF!</f>
        <v>#REF!</v>
      </c>
      <c r="DR332" s="547"/>
      <c r="DS332" s="105"/>
      <c r="DT332" s="105"/>
      <c r="DU332" s="105"/>
      <c r="DV332" s="105" t="e">
        <f>(DV267+DV268+DV274-DV248)/#REF!</f>
        <v>#REF!</v>
      </c>
      <c r="DW332" s="547"/>
      <c r="DX332" s="105"/>
      <c r="DY332" s="105"/>
      <c r="DZ332" s="105"/>
      <c r="EA332" s="105" t="e">
        <f>(EA267+EA268+EA274-EA248)/#REF!</f>
        <v>#REF!</v>
      </c>
      <c r="EB332" s="547"/>
      <c r="EC332" s="105"/>
      <c r="ED332" s="105"/>
      <c r="EE332" s="105"/>
      <c r="EF332" s="105" t="e">
        <f>(EF267+EF268+EF274-EF248)/#REF!</f>
        <v>#REF!</v>
      </c>
      <c r="EG332" s="105"/>
      <c r="EH332" s="105"/>
      <c r="EI332" s="105"/>
      <c r="EJ332" s="105"/>
      <c r="EK332" s="105" t="e">
        <f>(EK267+EK268+EK274-EK248)/#REF!</f>
        <v>#REF!</v>
      </c>
      <c r="EL332" s="105"/>
      <c r="EM332" s="105"/>
      <c r="EN332" s="105"/>
      <c r="EO332" s="105"/>
      <c r="EP332" s="105" t="e">
        <f>(EP267+EP268+EP274-EP248)/#REF!</f>
        <v>#REF!</v>
      </c>
      <c r="EQ332" s="105"/>
      <c r="ER332" s="105"/>
      <c r="ES332" s="105"/>
      <c r="ET332" s="105"/>
      <c r="EU332" s="105" t="e">
        <f>(EU267+EU268+EU274-EU248)/#REF!</f>
        <v>#REF!</v>
      </c>
      <c r="EV332" s="105"/>
      <c r="EW332" s="105"/>
      <c r="EX332" s="105"/>
      <c r="EY332" s="105"/>
      <c r="EZ332" s="105" t="e">
        <f>(EZ267+EZ268+EZ274-EZ248)/#REF!</f>
        <v>#REF!</v>
      </c>
      <c r="FA332" s="105"/>
      <c r="FB332" s="105"/>
      <c r="FC332" s="105"/>
      <c r="FD332" s="105"/>
      <c r="FE332" s="105" t="e">
        <f>(FE267+FE268+FE274-FE248)/#REF!</f>
        <v>#REF!</v>
      </c>
      <c r="FF332" s="34"/>
      <c r="FG332" s="455"/>
      <c r="FL332" s="410"/>
      <c r="FM332" s="410"/>
      <c r="FN332" s="371"/>
      <c r="FO332" s="371"/>
      <c r="FP332" s="371"/>
      <c r="FQ332" s="371"/>
      <c r="FR332" s="371"/>
      <c r="FS332" s="371"/>
      <c r="FT332" s="455"/>
    </row>
    <row r="333" spans="1:183" ht="12.75" hidden="1" customHeight="1" x14ac:dyDescent="0.2">
      <c r="A333" s="34" t="s">
        <v>69</v>
      </c>
      <c r="B333" s="207"/>
      <c r="C333" s="207"/>
      <c r="D333" s="207"/>
      <c r="E333" s="207"/>
      <c r="F333" s="247"/>
      <c r="G333" s="207"/>
      <c r="H333" s="207"/>
      <c r="I333" s="207"/>
      <c r="J333" s="207"/>
      <c r="K333" s="247"/>
      <c r="L333" s="207"/>
      <c r="M333" s="207"/>
      <c r="N333" s="207"/>
      <c r="O333" s="207"/>
      <c r="P333" s="247"/>
      <c r="Q333" s="207"/>
      <c r="R333" s="207"/>
      <c r="S333" s="207"/>
      <c r="T333" s="207"/>
      <c r="U333" s="247"/>
      <c r="V333" s="207"/>
      <c r="W333" s="207"/>
      <c r="X333" s="207"/>
      <c r="Y333" s="207"/>
      <c r="Z333" s="247"/>
      <c r="AA333" s="207"/>
      <c r="AB333" s="207"/>
      <c r="AC333" s="207"/>
      <c r="AD333" s="207"/>
      <c r="AE333" s="247"/>
      <c r="AF333" s="207"/>
      <c r="AG333" s="207"/>
      <c r="AH333" s="207"/>
      <c r="AI333" s="207"/>
      <c r="AJ333" s="247"/>
      <c r="AK333" s="207"/>
      <c r="AL333" s="207"/>
      <c r="AM333" s="207"/>
      <c r="AN333" s="207"/>
      <c r="AO333" s="247"/>
      <c r="AP333" s="207"/>
      <c r="AQ333" s="207"/>
      <c r="AR333" s="207"/>
      <c r="AS333" s="207"/>
      <c r="AT333" s="247"/>
      <c r="AU333" s="207"/>
      <c r="AV333" s="207"/>
      <c r="AW333" s="207"/>
      <c r="AX333" s="207"/>
      <c r="AY333" s="105">
        <f>(AY267+AY268+AY274-AY248)/AY183</f>
        <v>0.37461787872283719</v>
      </c>
      <c r="AZ333" s="34"/>
      <c r="BA333" s="34"/>
      <c r="BB333" s="34"/>
      <c r="BC333" s="34"/>
      <c r="BD333" s="105">
        <f>(BD267+BD268+BD274-BD248)/BD183</f>
        <v>0.23135895336710832</v>
      </c>
      <c r="BE333" s="34"/>
      <c r="BF333" s="34"/>
      <c r="BG333" s="34"/>
      <c r="BH333" s="34"/>
      <c r="BI333" s="105">
        <f>(BI267+BI268+BI274-BI248)/BI183</f>
        <v>-0.3839717877102316</v>
      </c>
      <c r="BJ333" s="34"/>
      <c r="BK333" s="34"/>
      <c r="BL333" s="34"/>
      <c r="BM333" s="34"/>
      <c r="BN333" s="105">
        <f>(BN267+BN268+BN274-BN248)/BN183</f>
        <v>-0.14202418077857074</v>
      </c>
      <c r="BO333" s="34"/>
      <c r="BP333" s="34"/>
      <c r="BQ333" s="34"/>
      <c r="BR333" s="34"/>
      <c r="BS333" s="105">
        <f>(BS267+BS268+BS274-BS248)/BS183</f>
        <v>4.9218348623853339E-2</v>
      </c>
      <c r="BT333" s="34"/>
      <c r="BU333" s="34"/>
      <c r="BV333" s="34"/>
      <c r="BW333" s="34"/>
      <c r="BX333" s="105">
        <f>(BX267+BX268+BX274-BX248)/BX183</f>
        <v>0.62382448267265034</v>
      </c>
      <c r="BY333" s="34"/>
      <c r="BZ333" s="34"/>
      <c r="CA333" s="34"/>
      <c r="CB333" s="34"/>
      <c r="CC333" s="105">
        <f>(CC267+CC268+CC274-CC248)/CC183</f>
        <v>-0.39035807860262001</v>
      </c>
      <c r="CD333" s="34"/>
      <c r="CE333" s="34"/>
      <c r="CF333" s="34"/>
      <c r="CG333" s="34"/>
      <c r="CH333" s="105">
        <f t="shared" ref="CH333:DL333" si="1208">(CH267+CH268+CH274-CH248)/CH183</f>
        <v>-4.2678961417131692E-2</v>
      </c>
      <c r="CI333" s="34">
        <f t="shared" si="1208"/>
        <v>-0.15761060850167302</v>
      </c>
      <c r="CJ333" s="34">
        <f t="shared" si="1208"/>
        <v>-0.31055766959716569</v>
      </c>
      <c r="CK333" s="34">
        <f t="shared" si="1208"/>
        <v>1.3970056788848825E-2</v>
      </c>
      <c r="CL333" s="34">
        <f t="shared" si="1208"/>
        <v>-0.43899999999999989</v>
      </c>
      <c r="CM333" s="105">
        <f t="shared" si="1208"/>
        <v>-0.43899999999999989</v>
      </c>
      <c r="CN333" s="34">
        <f t="shared" si="1208"/>
        <v>-0.6247521793275217</v>
      </c>
      <c r="CO333" s="34">
        <f t="shared" si="1208"/>
        <v>-2.0780588620013081</v>
      </c>
      <c r="CP333" s="34">
        <f t="shared" si="1208"/>
        <v>-0.55234018426647757</v>
      </c>
      <c r="CQ333" s="34">
        <f t="shared" si="1208"/>
        <v>1.3364374100719425</v>
      </c>
      <c r="CR333" s="105">
        <f t="shared" si="1208"/>
        <v>1.3364374100719425</v>
      </c>
      <c r="CS333" s="34">
        <f t="shared" si="1208"/>
        <v>1.4983113102334875</v>
      </c>
      <c r="CT333" s="34">
        <f t="shared" si="1208"/>
        <v>1.1945401233789292</v>
      </c>
      <c r="CU333" s="34">
        <f t="shared" si="1208"/>
        <v>1.2290051834408993</v>
      </c>
      <c r="CV333" s="34">
        <f t="shared" si="1208"/>
        <v>0.87906753988823993</v>
      </c>
      <c r="CW333" s="105">
        <f t="shared" si="1208"/>
        <v>0.87906753988823993</v>
      </c>
      <c r="CX333" s="34">
        <f t="shared" si="1208"/>
        <v>0.67596202856298759</v>
      </c>
      <c r="CY333" s="34">
        <f t="shared" si="1208"/>
        <v>0.41019412021482726</v>
      </c>
      <c r="CZ333" s="34">
        <f t="shared" si="1208"/>
        <v>0.26308340778893125</v>
      </c>
      <c r="DA333" s="34">
        <f t="shared" si="1208"/>
        <v>0.15795288216429562</v>
      </c>
      <c r="DB333" s="105">
        <f t="shared" si="1208"/>
        <v>0.15795288216429562</v>
      </c>
      <c r="DC333" s="34">
        <f t="shared" si="1208"/>
        <v>-6.7884393951344935E-2</v>
      </c>
      <c r="DD333" s="34">
        <f t="shared" si="1208"/>
        <v>-6.4305285901109996E-2</v>
      </c>
      <c r="DE333" s="34">
        <f t="shared" si="1208"/>
        <v>0.26838231167491344</v>
      </c>
      <c r="DF333" s="34">
        <f t="shared" si="1208"/>
        <v>0.31251844006213891</v>
      </c>
      <c r="DG333" s="105">
        <f t="shared" si="1208"/>
        <v>0.31251844006213891</v>
      </c>
      <c r="DH333" s="34">
        <f t="shared" si="1208"/>
        <v>-0.25201109350237705</v>
      </c>
      <c r="DI333" s="34">
        <f t="shared" si="1208"/>
        <v>9.5238777459408838E-3</v>
      </c>
      <c r="DJ333" s="34">
        <f t="shared" si="1208"/>
        <v>-4.4288508557456183E-3</v>
      </c>
      <c r="DK333" s="34">
        <f t="shared" si="1208"/>
        <v>9.025662414131512E-2</v>
      </c>
      <c r="DL333" s="105">
        <f t="shared" si="1208"/>
        <v>9.025662414131512E-2</v>
      </c>
      <c r="DM333" s="105"/>
      <c r="DN333" s="105"/>
      <c r="DO333" s="105"/>
      <c r="DP333" s="537"/>
      <c r="DQ333" s="105">
        <f>(DQ267+DQ268+DQ274-DQ248)/DQ183</f>
        <v>-0.12408707025411053</v>
      </c>
      <c r="DR333" s="547"/>
      <c r="DS333" s="105"/>
      <c r="DT333" s="105"/>
      <c r="DU333" s="105"/>
      <c r="DV333" s="105">
        <f>(DV267+DV268+DV274-DV248)/DV183</f>
        <v>-8.1942153335178458E-2</v>
      </c>
      <c r="DW333" s="547"/>
      <c r="DX333" s="105"/>
      <c r="DY333" s="105"/>
      <c r="DZ333" s="105"/>
      <c r="EA333" s="105">
        <f>(EA267+EA268+EA274-EA248)/EA183</f>
        <v>2.4365259117082573E-2</v>
      </c>
      <c r="EB333" s="547"/>
      <c r="EC333" s="105"/>
      <c r="ED333" s="105"/>
      <c r="EE333" s="105"/>
      <c r="EF333" s="105">
        <f>(EF267+EF268+EF274-EF248)/EF183</f>
        <v>1.5146580406654384E-2</v>
      </c>
      <c r="EG333" s="105"/>
      <c r="EH333" s="105"/>
      <c r="EI333" s="105"/>
      <c r="EJ333" s="105"/>
      <c r="EK333" s="105">
        <f>(EK267+EK268+EK274-EK248)/EK183</f>
        <v>8.1163789560213764E-2</v>
      </c>
      <c r="EL333" s="105"/>
      <c r="EM333" s="105"/>
      <c r="EN333" s="105"/>
      <c r="EO333" s="105"/>
      <c r="EP333" s="105">
        <f>(EP267+EP268+EP274-EP248)/EP183</f>
        <v>8.2918958639512957E-2</v>
      </c>
      <c r="EQ333" s="105"/>
      <c r="ER333" s="105"/>
      <c r="ES333" s="105"/>
      <c r="ET333" s="105"/>
      <c r="EU333" s="105">
        <f>(EU267+EU268+EU274-EU248)/EU183</f>
        <v>0.15807773418127608</v>
      </c>
      <c r="EV333" s="105"/>
      <c r="EW333" s="105"/>
      <c r="EX333" s="105"/>
      <c r="EY333" s="105"/>
      <c r="EZ333" s="105">
        <f>(EZ267+EZ268+EZ274-EZ248)/EZ183</f>
        <v>0.19034895308849012</v>
      </c>
      <c r="FA333" s="105"/>
      <c r="FB333" s="105"/>
      <c r="FC333" s="105"/>
      <c r="FD333" s="105"/>
      <c r="FE333" s="105">
        <f>(FE267+FE268+FE274-FE248)/FE183</f>
        <v>0.13983224796231156</v>
      </c>
      <c r="FF333" s="34"/>
      <c r="FG333" s="455"/>
      <c r="FL333" s="410"/>
      <c r="FM333" s="410"/>
      <c r="FN333" s="371"/>
      <c r="FO333" s="371"/>
      <c r="FP333" s="371"/>
      <c r="FQ333" s="371"/>
      <c r="FR333" s="371"/>
      <c r="FS333" s="371"/>
      <c r="FT333" s="455"/>
    </row>
    <row r="334" spans="1:183" s="7" customFormat="1" ht="12.75" hidden="1" customHeight="1" x14ac:dyDescent="0.2">
      <c r="A334" s="7" t="s">
        <v>321</v>
      </c>
      <c r="F334" s="99"/>
      <c r="K334" s="99"/>
      <c r="P334" s="99"/>
      <c r="U334" s="99"/>
      <c r="Z334" s="99"/>
      <c r="AE334" s="99"/>
      <c r="AJ334" s="99"/>
      <c r="AO334" s="99"/>
      <c r="AT334" s="99"/>
      <c r="AY334" s="99"/>
      <c r="BD334" s="99"/>
      <c r="BI334" s="99"/>
      <c r="BN334" s="99"/>
      <c r="BS334" s="99"/>
      <c r="BX334" s="99"/>
      <c r="CC334" s="99"/>
      <c r="CH334" s="99"/>
      <c r="CM334" s="99"/>
      <c r="CR334" s="99"/>
      <c r="CW334" s="99"/>
      <c r="DB334" s="99"/>
      <c r="DG334" s="99"/>
      <c r="DL334" s="99"/>
      <c r="DM334" s="99"/>
      <c r="DN334" s="99"/>
      <c r="DO334" s="99"/>
      <c r="DP334" s="530"/>
      <c r="DQ334" s="99"/>
      <c r="DR334" s="546"/>
      <c r="DS334" s="99"/>
      <c r="DT334" s="99"/>
      <c r="DU334" s="99"/>
      <c r="DV334" s="99"/>
      <c r="DW334" s="546"/>
      <c r="DX334" s="99"/>
      <c r="DY334" s="99"/>
      <c r="DZ334" s="99"/>
      <c r="EA334" s="99"/>
      <c r="EB334" s="546"/>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336"/>
      <c r="FG334" s="6"/>
      <c r="FH334" s="346"/>
      <c r="FI334" s="336"/>
      <c r="FJ334" s="336"/>
      <c r="FK334" s="336"/>
      <c r="FL334" s="412"/>
      <c r="FM334" s="412"/>
      <c r="FN334" s="373"/>
      <c r="FO334" s="373"/>
      <c r="FP334" s="373"/>
      <c r="FQ334" s="373"/>
      <c r="FR334" s="373"/>
      <c r="FS334" s="373"/>
      <c r="FT334" s="6"/>
      <c r="FU334"/>
      <c r="FV334"/>
      <c r="FW334"/>
      <c r="FX334"/>
      <c r="FY334"/>
      <c r="FZ334"/>
      <c r="GA334" s="341"/>
    </row>
    <row r="335" spans="1:183" ht="12.75" hidden="1" customHeight="1" x14ac:dyDescent="0.2">
      <c r="A335" s="33" t="s">
        <v>448</v>
      </c>
      <c r="B335" s="186"/>
      <c r="C335" s="186"/>
      <c r="D335" s="186"/>
      <c r="E335" s="186"/>
      <c r="F335" s="266"/>
      <c r="G335" s="186"/>
      <c r="H335" s="186"/>
      <c r="I335" s="186"/>
      <c r="J335" s="186"/>
      <c r="K335" s="266"/>
      <c r="L335" s="186"/>
      <c r="M335" s="186"/>
      <c r="N335" s="186"/>
      <c r="O335" s="186"/>
      <c r="P335" s="266"/>
      <c r="Q335" s="186"/>
      <c r="R335" s="186"/>
      <c r="S335" s="186"/>
      <c r="T335" s="186"/>
      <c r="U335" s="266"/>
      <c r="V335" s="186"/>
      <c r="W335" s="186"/>
      <c r="X335" s="186"/>
      <c r="Y335" s="186"/>
      <c r="Z335" s="266"/>
      <c r="AA335" s="186"/>
      <c r="AB335" s="186"/>
      <c r="AC335" s="186"/>
      <c r="AD335" s="186"/>
      <c r="AE335" s="266"/>
      <c r="AF335" s="186"/>
      <c r="AG335" s="186"/>
      <c r="AH335" s="186"/>
      <c r="AI335" s="186"/>
      <c r="AJ335" s="266"/>
      <c r="AK335" s="186"/>
      <c r="AL335" s="186"/>
      <c r="AM335" s="186"/>
      <c r="AN335" s="186"/>
      <c r="AO335" s="266"/>
      <c r="AP335" s="186"/>
      <c r="AQ335" s="186"/>
      <c r="AR335" s="186"/>
      <c r="AS335" s="186"/>
      <c r="AT335" s="266"/>
      <c r="AU335" s="186"/>
      <c r="AV335" s="186"/>
      <c r="AW335" s="186"/>
      <c r="AX335" s="186"/>
      <c r="AY335" s="266"/>
      <c r="AZ335" s="186"/>
      <c r="BA335" s="186"/>
      <c r="BB335" s="186"/>
      <c r="BC335" s="186"/>
      <c r="BD335" s="266"/>
      <c r="BE335" s="186"/>
      <c r="BF335" s="186"/>
      <c r="BG335" s="186"/>
      <c r="BH335" s="186"/>
      <c r="BI335" s="266"/>
      <c r="BJ335" s="186"/>
      <c r="BK335" s="186"/>
      <c r="BL335" s="186"/>
      <c r="BM335" s="186"/>
      <c r="BN335" s="266"/>
      <c r="BO335" s="186"/>
      <c r="BP335" s="186"/>
      <c r="BQ335" s="186"/>
      <c r="BR335" s="186"/>
      <c r="BS335" s="266"/>
      <c r="BT335" s="186"/>
      <c r="BU335" s="186"/>
      <c r="BV335" s="186"/>
      <c r="BW335" s="186"/>
      <c r="BX335" s="266"/>
      <c r="BY335" s="186"/>
      <c r="BZ335" s="186"/>
      <c r="CA335" s="186"/>
      <c r="CB335" s="186"/>
      <c r="CC335" s="266"/>
      <c r="CD335" s="186"/>
      <c r="CE335" s="186"/>
      <c r="CF335" s="186"/>
      <c r="CG335" s="186"/>
      <c r="CH335" s="266"/>
      <c r="CI335" s="186"/>
      <c r="CJ335" s="186"/>
      <c r="CK335" s="186"/>
      <c r="CL335" s="186"/>
      <c r="CM335" s="266"/>
      <c r="CN335" s="186"/>
      <c r="CO335" s="186"/>
      <c r="CP335" s="186"/>
      <c r="CQ335" s="186"/>
      <c r="CR335" s="266"/>
      <c r="CS335" s="186"/>
      <c r="CT335" s="186"/>
      <c r="CU335" s="186">
        <f>CU248</f>
        <v>2662.5929999999998</v>
      </c>
      <c r="CV335" s="208">
        <f t="shared" ref="CV335:DB335" si="1209">CV248</f>
        <v>3137.634</v>
      </c>
      <c r="CW335" s="266">
        <f t="shared" si="1209"/>
        <v>3137.634</v>
      </c>
      <c r="CX335" s="172"/>
      <c r="CY335" s="172"/>
      <c r="CZ335" s="172"/>
      <c r="DA335" s="172"/>
      <c r="DB335" s="266">
        <f t="shared" si="1209"/>
        <v>3992.317</v>
      </c>
      <c r="DC335" s="172"/>
      <c r="DD335" s="172"/>
      <c r="DE335" s="172"/>
      <c r="DF335" s="172"/>
      <c r="DG335" s="266">
        <f>DG248</f>
        <v>3144.0569999999998</v>
      </c>
      <c r="DH335" s="172"/>
      <c r="DI335" s="172"/>
      <c r="DJ335" s="172"/>
      <c r="DK335" s="172"/>
      <c r="DL335" s="266">
        <f>DL248</f>
        <v>2970.0569999999998</v>
      </c>
      <c r="DM335" s="266"/>
      <c r="DN335" s="266"/>
      <c r="DO335" s="266"/>
      <c r="DP335" s="538"/>
      <c r="DQ335" s="266">
        <f>DQ248</f>
        <v>3152.0569999999998</v>
      </c>
      <c r="DR335" s="553"/>
      <c r="DS335" s="266"/>
      <c r="DT335" s="266"/>
      <c r="DU335" s="266"/>
      <c r="DV335" s="266">
        <f>DV248</f>
        <v>2988.0569999999998</v>
      </c>
      <c r="DW335" s="553"/>
      <c r="DX335" s="266"/>
      <c r="DY335" s="266"/>
      <c r="DZ335" s="266"/>
      <c r="EA335" s="266">
        <f>EA248</f>
        <v>3051.0569999999998</v>
      </c>
      <c r="EB335" s="553"/>
      <c r="EC335" s="266"/>
      <c r="ED335" s="266"/>
      <c r="EE335" s="266"/>
      <c r="EF335" s="266">
        <f>EF248</f>
        <v>3305.0569999999998</v>
      </c>
      <c r="EG335" s="266"/>
      <c r="EH335" s="266"/>
      <c r="EI335" s="266"/>
      <c r="EJ335" s="266"/>
      <c r="EK335" s="266">
        <f>EK248</f>
        <v>3273.0569999999998</v>
      </c>
      <c r="EL335" s="266"/>
      <c r="EM335" s="266"/>
      <c r="EN335" s="266"/>
      <c r="EO335" s="266"/>
      <c r="EP335" s="266">
        <f>EP248</f>
        <v>3273.0569999999998</v>
      </c>
      <c r="EQ335" s="266"/>
      <c r="ER335" s="266"/>
      <c r="ES335" s="266"/>
      <c r="ET335" s="266"/>
      <c r="EU335" s="266">
        <f>EU248</f>
        <v>3120.4791871001771</v>
      </c>
      <c r="EV335" s="266"/>
      <c r="EW335" s="266"/>
      <c r="EX335" s="266"/>
      <c r="EY335" s="266"/>
      <c r="EZ335" s="266">
        <f>EZ248</f>
        <v>2810.8743475538295</v>
      </c>
      <c r="FA335" s="266"/>
      <c r="FB335" s="266"/>
      <c r="FC335" s="266"/>
      <c r="FD335" s="266"/>
      <c r="FE335" s="266">
        <f>FE248</f>
        <v>2994.3061710196262</v>
      </c>
      <c r="FF335" s="33"/>
      <c r="FG335" s="460"/>
      <c r="FL335" s="425"/>
      <c r="FM335" s="425"/>
      <c r="FN335" s="384"/>
      <c r="FO335" s="384"/>
      <c r="FP335" s="384"/>
      <c r="FQ335" s="384"/>
      <c r="FR335" s="384"/>
      <c r="FS335" s="384"/>
      <c r="FT335" s="460"/>
    </row>
    <row r="336" spans="1:183" ht="12.75" hidden="1" customHeight="1" x14ac:dyDescent="0.2">
      <c r="A336" s="33" t="s">
        <v>449</v>
      </c>
      <c r="B336" s="184"/>
      <c r="C336" s="184"/>
      <c r="D336" s="184"/>
      <c r="E336" s="184"/>
      <c r="F336" s="279"/>
      <c r="G336" s="184"/>
      <c r="H336" s="184"/>
      <c r="I336" s="184"/>
      <c r="J336" s="184"/>
      <c r="K336" s="279"/>
      <c r="L336" s="184"/>
      <c r="M336" s="184"/>
      <c r="N336" s="184"/>
      <c r="O336" s="184"/>
      <c r="P336" s="279"/>
      <c r="Q336" s="184"/>
      <c r="R336" s="184"/>
      <c r="S336" s="184"/>
      <c r="T336" s="184"/>
      <c r="U336" s="279"/>
      <c r="V336" s="184"/>
      <c r="W336" s="184"/>
      <c r="X336" s="184"/>
      <c r="Y336" s="184"/>
      <c r="Z336" s="279"/>
      <c r="AA336" s="184"/>
      <c r="AB336" s="184"/>
      <c r="AC336" s="184"/>
      <c r="AD336" s="184"/>
      <c r="AE336" s="279"/>
      <c r="AF336" s="184"/>
      <c r="AG336" s="184"/>
      <c r="AH336" s="184"/>
      <c r="AI336" s="184"/>
      <c r="AJ336" s="279"/>
      <c r="AK336" s="184"/>
      <c r="AL336" s="184"/>
      <c r="AM336" s="184"/>
      <c r="AN336" s="184"/>
      <c r="AO336" s="279"/>
      <c r="AP336" s="184"/>
      <c r="AQ336" s="184"/>
      <c r="AR336" s="184"/>
      <c r="AS336" s="184"/>
      <c r="AT336" s="279"/>
      <c r="AU336" s="184"/>
      <c r="AV336" s="184"/>
      <c r="AW336" s="184"/>
      <c r="AX336" s="184"/>
      <c r="AY336" s="279"/>
      <c r="AZ336" s="184"/>
      <c r="BA336" s="184"/>
      <c r="BB336" s="184"/>
      <c r="BC336" s="184"/>
      <c r="BD336" s="279"/>
      <c r="BE336" s="184"/>
      <c r="BF336" s="184"/>
      <c r="BG336" s="184"/>
      <c r="BH336" s="184"/>
      <c r="BI336" s="279"/>
      <c r="BJ336" s="184"/>
      <c r="BK336" s="184"/>
      <c r="BL336" s="184"/>
      <c r="BM336" s="184"/>
      <c r="BN336" s="279"/>
      <c r="BO336" s="184"/>
      <c r="BP336" s="184"/>
      <c r="BQ336" s="184"/>
      <c r="BR336" s="184"/>
      <c r="BS336" s="279"/>
      <c r="BT336" s="184"/>
      <c r="BU336" s="184"/>
      <c r="BV336" s="184"/>
      <c r="BW336" s="184"/>
      <c r="BX336" s="279"/>
      <c r="BY336" s="184"/>
      <c r="BZ336" s="184"/>
      <c r="CA336" s="184"/>
      <c r="CB336" s="184"/>
      <c r="CC336" s="279"/>
      <c r="CD336" s="184"/>
      <c r="CE336" s="184"/>
      <c r="CF336" s="184"/>
      <c r="CG336" s="184"/>
      <c r="CH336" s="279"/>
      <c r="CI336" s="184"/>
      <c r="CJ336" s="184"/>
      <c r="CK336" s="184"/>
      <c r="CL336" s="184"/>
      <c r="CM336" s="279"/>
      <c r="CN336" s="184"/>
      <c r="CO336" s="184"/>
      <c r="CP336" s="184"/>
      <c r="CQ336" s="184"/>
      <c r="CR336" s="279"/>
      <c r="CS336" s="184"/>
      <c r="CT336" s="184"/>
      <c r="CU336" s="184"/>
      <c r="CV336" s="185"/>
      <c r="CW336" s="279"/>
      <c r="CX336" s="183"/>
      <c r="CY336" s="183"/>
      <c r="CZ336" s="183"/>
      <c r="DA336" s="183"/>
      <c r="DB336" s="279"/>
      <c r="DC336" s="183"/>
      <c r="DD336" s="183"/>
      <c r="DE336" s="183"/>
      <c r="DF336" s="183"/>
      <c r="DG336" s="279"/>
      <c r="DH336" s="183"/>
      <c r="DI336" s="183"/>
      <c r="DJ336" s="183"/>
      <c r="DK336" s="183"/>
      <c r="DL336" s="279"/>
      <c r="DM336" s="279"/>
      <c r="DN336" s="279"/>
      <c r="DO336" s="279"/>
      <c r="DP336" s="329"/>
      <c r="DQ336" s="279"/>
      <c r="DR336" s="554"/>
      <c r="DS336" s="279"/>
      <c r="DT336" s="279"/>
      <c r="DU336" s="279"/>
      <c r="DV336" s="279"/>
      <c r="DW336" s="554"/>
      <c r="DX336" s="279"/>
      <c r="DY336" s="279"/>
      <c r="DZ336" s="279"/>
      <c r="EA336" s="279"/>
      <c r="EB336" s="554"/>
      <c r="EC336" s="279"/>
      <c r="ED336" s="279"/>
      <c r="EE336" s="279"/>
      <c r="EF336" s="279"/>
      <c r="EG336" s="279"/>
      <c r="EH336" s="279"/>
      <c r="EI336" s="279"/>
      <c r="EJ336" s="279"/>
      <c r="EK336" s="279"/>
      <c r="EL336" s="279"/>
      <c r="EM336" s="279"/>
      <c r="EN336" s="279"/>
      <c r="EO336" s="279"/>
      <c r="EP336" s="279"/>
      <c r="EQ336" s="279"/>
      <c r="ER336" s="279"/>
      <c r="ES336" s="279"/>
      <c r="ET336" s="279"/>
      <c r="EU336" s="279"/>
      <c r="EV336" s="279"/>
      <c r="EW336" s="279"/>
      <c r="EX336" s="279"/>
      <c r="EY336" s="279"/>
      <c r="EZ336" s="279"/>
      <c r="FA336" s="279"/>
      <c r="FB336" s="279"/>
      <c r="FC336" s="279"/>
      <c r="FD336" s="279"/>
      <c r="FE336" s="279"/>
      <c r="FF336" s="40"/>
      <c r="FG336" s="190"/>
      <c r="FL336" s="406"/>
      <c r="FM336" s="406"/>
      <c r="FN336" s="368"/>
      <c r="FO336" s="368"/>
      <c r="FP336" s="368"/>
      <c r="FQ336" s="368"/>
      <c r="FR336" s="368"/>
      <c r="FS336" s="368"/>
      <c r="FT336" s="190"/>
    </row>
    <row r="337" spans="1:183" ht="12.75" hidden="1" customHeight="1" x14ac:dyDescent="0.2">
      <c r="A337" s="37" t="s">
        <v>70</v>
      </c>
      <c r="B337" s="184"/>
      <c r="C337" s="184"/>
      <c r="D337" s="184"/>
      <c r="E337" s="184"/>
      <c r="F337" s="279"/>
      <c r="G337" s="184"/>
      <c r="H337" s="184"/>
      <c r="I337" s="184"/>
      <c r="J337" s="184"/>
      <c r="K337" s="279"/>
      <c r="L337" s="184"/>
      <c r="M337" s="184"/>
      <c r="N337" s="184"/>
      <c r="O337" s="184"/>
      <c r="P337" s="279"/>
      <c r="Q337" s="184"/>
      <c r="R337" s="184"/>
      <c r="S337" s="184"/>
      <c r="T337" s="184"/>
      <c r="U337" s="279"/>
      <c r="V337" s="184"/>
      <c r="W337" s="184"/>
      <c r="X337" s="184"/>
      <c r="Y337" s="184"/>
      <c r="Z337" s="279"/>
      <c r="AA337" s="184"/>
      <c r="AB337" s="184"/>
      <c r="AC337" s="184"/>
      <c r="AD337" s="184"/>
      <c r="AE337" s="279"/>
      <c r="AF337" s="184"/>
      <c r="AG337" s="184"/>
      <c r="AH337" s="184"/>
      <c r="AI337" s="184"/>
      <c r="AJ337" s="279"/>
      <c r="AK337" s="184"/>
      <c r="AL337" s="184"/>
      <c r="AM337" s="184"/>
      <c r="AN337" s="184"/>
      <c r="AO337" s="279"/>
      <c r="AP337" s="184"/>
      <c r="AQ337" s="184"/>
      <c r="AR337" s="184"/>
      <c r="AS337" s="184"/>
      <c r="AT337" s="279"/>
      <c r="AU337" s="184"/>
      <c r="AV337" s="184"/>
      <c r="AW337" s="184"/>
      <c r="AX337" s="184"/>
      <c r="AY337" s="279"/>
      <c r="AZ337" s="184"/>
      <c r="BA337" s="184"/>
      <c r="BB337" s="184"/>
      <c r="BC337" s="184"/>
      <c r="BD337" s="279"/>
      <c r="BE337" s="184"/>
      <c r="BF337" s="184"/>
      <c r="BG337" s="184"/>
      <c r="BH337" s="184"/>
      <c r="BI337" s="279"/>
      <c r="BJ337" s="184"/>
      <c r="BK337" s="184"/>
      <c r="BL337" s="184"/>
      <c r="BM337" s="184"/>
      <c r="BN337" s="279"/>
      <c r="BO337" s="184"/>
      <c r="BP337" s="184"/>
      <c r="BQ337" s="184"/>
      <c r="BR337" s="184"/>
      <c r="BS337" s="279"/>
      <c r="BT337" s="184"/>
      <c r="BU337" s="184"/>
      <c r="BV337" s="184"/>
      <c r="BW337" s="184"/>
      <c r="BX337" s="279"/>
      <c r="BY337" s="184"/>
      <c r="BZ337" s="184"/>
      <c r="CA337" s="184"/>
      <c r="CB337" s="184"/>
      <c r="CC337" s="279"/>
      <c r="CD337" s="184"/>
      <c r="CE337" s="184"/>
      <c r="CF337" s="184"/>
      <c r="CG337" s="184"/>
      <c r="CH337" s="279"/>
      <c r="CI337" s="184"/>
      <c r="CJ337" s="184"/>
      <c r="CK337" s="184"/>
      <c r="CL337" s="184"/>
      <c r="CM337" s="279"/>
      <c r="CN337" s="184"/>
      <c r="CO337" s="184"/>
      <c r="CP337" s="184"/>
      <c r="CQ337" s="184"/>
      <c r="CR337" s="279"/>
      <c r="CS337" s="184"/>
      <c r="CT337" s="184"/>
      <c r="CU337" s="184"/>
      <c r="CV337" s="185"/>
      <c r="CW337" s="279"/>
      <c r="CX337" s="183"/>
      <c r="CY337" s="183"/>
      <c r="CZ337" s="183"/>
      <c r="DA337" s="183"/>
      <c r="DB337" s="279"/>
      <c r="DC337" s="183"/>
      <c r="DD337" s="183"/>
      <c r="DE337" s="183"/>
      <c r="DF337" s="183"/>
      <c r="DG337" s="279"/>
      <c r="DH337" s="183"/>
      <c r="DI337" s="183"/>
      <c r="DJ337" s="183"/>
      <c r="DK337" s="183"/>
      <c r="DL337" s="279"/>
      <c r="DM337" s="279"/>
      <c r="DN337" s="279"/>
      <c r="DO337" s="279"/>
      <c r="DP337" s="329"/>
      <c r="DQ337" s="279"/>
      <c r="DR337" s="554"/>
      <c r="DS337" s="279"/>
      <c r="DT337" s="279"/>
      <c r="DU337" s="279"/>
      <c r="DV337" s="279"/>
      <c r="DW337" s="554"/>
      <c r="DX337" s="279"/>
      <c r="DY337" s="279"/>
      <c r="DZ337" s="279"/>
      <c r="EA337" s="279"/>
      <c r="EB337" s="554"/>
      <c r="EC337" s="279"/>
      <c r="ED337" s="279"/>
      <c r="EE337" s="279"/>
      <c r="EF337" s="279"/>
      <c r="EG337" s="279"/>
      <c r="EH337" s="279"/>
      <c r="EI337" s="279"/>
      <c r="EJ337" s="279"/>
      <c r="EK337" s="279"/>
      <c r="EL337" s="279"/>
      <c r="EM337" s="279"/>
      <c r="EN337" s="279"/>
      <c r="EO337" s="279"/>
      <c r="EP337" s="279"/>
      <c r="EQ337" s="279"/>
      <c r="ER337" s="279"/>
      <c r="ES337" s="279"/>
      <c r="ET337" s="279"/>
      <c r="EU337" s="279"/>
      <c r="EV337" s="279"/>
      <c r="EW337" s="279"/>
      <c r="EX337" s="279"/>
      <c r="EY337" s="279"/>
      <c r="EZ337" s="279"/>
      <c r="FA337" s="279"/>
      <c r="FB337" s="279"/>
      <c r="FC337" s="279"/>
      <c r="FD337" s="279"/>
      <c r="FE337" s="279"/>
      <c r="FF337" s="40"/>
      <c r="FG337" s="190"/>
      <c r="FL337" s="406"/>
      <c r="FM337" s="406"/>
      <c r="FN337" s="368"/>
      <c r="FO337" s="368"/>
      <c r="FP337" s="368"/>
      <c r="FQ337" s="368"/>
      <c r="FR337" s="368"/>
      <c r="FS337" s="368"/>
      <c r="FT337" s="190"/>
    </row>
    <row r="338" spans="1:183" ht="12.75" hidden="1" customHeight="1" x14ac:dyDescent="0.2">
      <c r="A338" s="33"/>
      <c r="B338" s="184"/>
      <c r="C338" s="184"/>
      <c r="D338" s="184"/>
      <c r="E338" s="184"/>
      <c r="F338" s="279"/>
      <c r="G338" s="184"/>
      <c r="H338" s="184"/>
      <c r="I338" s="184"/>
      <c r="J338" s="184"/>
      <c r="K338" s="279"/>
      <c r="L338" s="184"/>
      <c r="M338" s="184"/>
      <c r="N338" s="184"/>
      <c r="O338" s="184"/>
      <c r="P338" s="279"/>
      <c r="Q338" s="184"/>
      <c r="R338" s="184"/>
      <c r="S338" s="184"/>
      <c r="T338" s="184"/>
      <c r="U338" s="279"/>
      <c r="V338" s="184"/>
      <c r="W338" s="184"/>
      <c r="X338" s="184"/>
      <c r="Y338" s="184"/>
      <c r="Z338" s="279"/>
      <c r="AA338" s="184"/>
      <c r="AB338" s="184"/>
      <c r="AC338" s="184"/>
      <c r="AD338" s="184"/>
      <c r="AE338" s="279"/>
      <c r="AF338" s="184"/>
      <c r="AG338" s="184"/>
      <c r="AH338" s="184"/>
      <c r="AI338" s="184"/>
      <c r="AJ338" s="279"/>
      <c r="AK338" s="184"/>
      <c r="AL338" s="184"/>
      <c r="AM338" s="184"/>
      <c r="AN338" s="184"/>
      <c r="AO338" s="279"/>
      <c r="AP338" s="184"/>
      <c r="AQ338" s="184"/>
      <c r="AR338" s="184"/>
      <c r="AS338" s="184"/>
      <c r="AT338" s="279"/>
      <c r="AU338" s="184"/>
      <c r="AV338" s="184"/>
      <c r="AW338" s="184"/>
      <c r="AX338" s="184"/>
      <c r="AY338" s="279"/>
      <c r="AZ338" s="184"/>
      <c r="BA338" s="184"/>
      <c r="BB338" s="184"/>
      <c r="BC338" s="184"/>
      <c r="BD338" s="279"/>
      <c r="BE338" s="184"/>
      <c r="BF338" s="184"/>
      <c r="BG338" s="184"/>
      <c r="BH338" s="184"/>
      <c r="BI338" s="279"/>
      <c r="BJ338" s="184"/>
      <c r="BK338" s="184"/>
      <c r="BL338" s="184"/>
      <c r="BM338" s="184"/>
      <c r="BN338" s="279"/>
      <c r="BO338" s="184"/>
      <c r="BP338" s="184"/>
      <c r="BQ338" s="184"/>
      <c r="BR338" s="184"/>
      <c r="BS338" s="279"/>
      <c r="BT338" s="184"/>
      <c r="BU338" s="184"/>
      <c r="BV338" s="184"/>
      <c r="BW338" s="184"/>
      <c r="BX338" s="279"/>
      <c r="BY338" s="184"/>
      <c r="BZ338" s="184"/>
      <c r="CA338" s="184"/>
      <c r="CB338" s="184"/>
      <c r="CC338" s="279"/>
      <c r="CD338" s="184"/>
      <c r="CE338" s="184"/>
      <c r="CF338" s="184"/>
      <c r="CG338" s="184"/>
      <c r="CH338" s="279"/>
      <c r="CI338" s="184"/>
      <c r="CJ338" s="184"/>
      <c r="CK338" s="184"/>
      <c r="CL338" s="184"/>
      <c r="CM338" s="279"/>
      <c r="CN338" s="184"/>
      <c r="CO338" s="184"/>
      <c r="CP338" s="184"/>
      <c r="CQ338" s="184"/>
      <c r="CR338" s="279"/>
      <c r="CS338" s="184"/>
      <c r="CT338" s="184"/>
      <c r="CU338" s="184"/>
      <c r="CV338" s="185"/>
      <c r="CW338" s="279"/>
      <c r="CX338" s="183"/>
      <c r="CY338" s="183"/>
      <c r="CZ338" s="183"/>
      <c r="DA338" s="183"/>
      <c r="DB338" s="279"/>
      <c r="DC338" s="183"/>
      <c r="DD338" s="183"/>
      <c r="DE338" s="183"/>
      <c r="DF338" s="183"/>
      <c r="DG338" s="279"/>
      <c r="DH338" s="183"/>
      <c r="DI338" s="183"/>
      <c r="DJ338" s="183"/>
      <c r="DK338" s="183"/>
      <c r="DL338" s="279"/>
      <c r="DM338" s="279"/>
      <c r="DN338" s="279"/>
      <c r="DO338" s="279"/>
      <c r="DP338" s="329"/>
      <c r="DQ338" s="279"/>
      <c r="DR338" s="554"/>
      <c r="DS338" s="279"/>
      <c r="DT338" s="279"/>
      <c r="DU338" s="279"/>
      <c r="DV338" s="279"/>
      <c r="DW338" s="554"/>
      <c r="DX338" s="279"/>
      <c r="DY338" s="279"/>
      <c r="DZ338" s="279"/>
      <c r="EA338" s="279"/>
      <c r="EB338" s="554"/>
      <c r="EC338" s="279"/>
      <c r="ED338" s="279"/>
      <c r="EE338" s="279"/>
      <c r="EF338" s="279"/>
      <c r="EG338" s="279"/>
      <c r="EH338" s="279"/>
      <c r="EI338" s="279"/>
      <c r="EJ338" s="279"/>
      <c r="EK338" s="279"/>
      <c r="EL338" s="279"/>
      <c r="EM338" s="279"/>
      <c r="EN338" s="279"/>
      <c r="EO338" s="279"/>
      <c r="EP338" s="279"/>
      <c r="EQ338" s="279"/>
      <c r="ER338" s="279"/>
      <c r="ES338" s="279"/>
      <c r="ET338" s="279"/>
      <c r="EU338" s="279"/>
      <c r="EV338" s="279"/>
      <c r="EW338" s="279"/>
      <c r="EX338" s="279"/>
      <c r="EY338" s="279"/>
      <c r="EZ338" s="279"/>
      <c r="FA338" s="279"/>
      <c r="FB338" s="279"/>
      <c r="FC338" s="279"/>
      <c r="FD338" s="279"/>
      <c r="FE338" s="279"/>
      <c r="FF338" s="40"/>
      <c r="FG338" s="190"/>
      <c r="FL338" s="406"/>
      <c r="FM338" s="406"/>
      <c r="FN338" s="368"/>
      <c r="FO338" s="368"/>
      <c r="FP338" s="368"/>
      <c r="FQ338" s="368"/>
      <c r="FR338" s="368"/>
      <c r="FS338" s="368"/>
      <c r="FT338" s="190"/>
    </row>
    <row r="339" spans="1:183" ht="12.75" hidden="1" customHeight="1" x14ac:dyDescent="0.2">
      <c r="A339" s="34" t="s">
        <v>163</v>
      </c>
      <c r="B339" s="184"/>
      <c r="C339" s="184"/>
      <c r="D339" s="184"/>
      <c r="E339" s="184"/>
      <c r="F339" s="279"/>
      <c r="G339" s="184"/>
      <c r="H339" s="184"/>
      <c r="I339" s="184"/>
      <c r="J339" s="184"/>
      <c r="K339" s="279"/>
      <c r="L339" s="184"/>
      <c r="M339" s="184"/>
      <c r="N339" s="184"/>
      <c r="O339" s="184"/>
      <c r="P339" s="279"/>
      <c r="Q339" s="184"/>
      <c r="R339" s="184"/>
      <c r="S339" s="184"/>
      <c r="T339" s="184"/>
      <c r="U339" s="279"/>
      <c r="V339" s="184"/>
      <c r="W339" s="184"/>
      <c r="X339" s="184"/>
      <c r="Y339" s="184"/>
      <c r="Z339" s="279"/>
      <c r="AA339" s="184"/>
      <c r="AB339" s="184"/>
      <c r="AC339" s="184"/>
      <c r="AD339" s="184"/>
      <c r="AE339" s="279"/>
      <c r="AF339" s="184"/>
      <c r="AG339" s="184"/>
      <c r="AH339" s="184"/>
      <c r="AI339" s="184"/>
      <c r="AJ339" s="279"/>
      <c r="AK339" s="184"/>
      <c r="AL339" s="184"/>
      <c r="AM339" s="184"/>
      <c r="AN339" s="184"/>
      <c r="AO339" s="279"/>
      <c r="AP339" s="184"/>
      <c r="AQ339" s="184"/>
      <c r="AR339" s="184"/>
      <c r="AS339" s="184"/>
      <c r="AT339" s="279"/>
      <c r="AU339" s="184"/>
      <c r="AV339" s="184"/>
      <c r="AW339" s="184"/>
      <c r="AX339" s="184"/>
      <c r="AY339" s="279"/>
      <c r="AZ339" s="184"/>
      <c r="BA339" s="184"/>
      <c r="BB339" s="184"/>
      <c r="BC339" s="184"/>
      <c r="BD339" s="279"/>
      <c r="BE339" s="184"/>
      <c r="BF339" s="184"/>
      <c r="BG339" s="184"/>
      <c r="BH339" s="184"/>
      <c r="BI339" s="279"/>
      <c r="BJ339" s="184"/>
      <c r="BK339" s="184"/>
      <c r="BL339" s="184"/>
      <c r="BM339" s="184"/>
      <c r="BN339" s="279"/>
      <c r="BO339" s="184"/>
      <c r="BP339" s="184"/>
      <c r="BQ339" s="184"/>
      <c r="BR339" s="184"/>
      <c r="BS339" s="279"/>
      <c r="BT339" s="184"/>
      <c r="BU339" s="184"/>
      <c r="BV339" s="184"/>
      <c r="BW339" s="184"/>
      <c r="BX339" s="279"/>
      <c r="BY339" s="184"/>
      <c r="BZ339" s="184"/>
      <c r="CA339" s="184"/>
      <c r="CB339" s="184"/>
      <c r="CC339" s="279"/>
      <c r="CD339" s="184"/>
      <c r="CE339" s="184"/>
      <c r="CF339" s="184"/>
      <c r="CG339" s="184"/>
      <c r="CH339" s="279"/>
      <c r="CI339" s="184"/>
      <c r="CJ339" s="184"/>
      <c r="CK339" s="184"/>
      <c r="CL339" s="184"/>
      <c r="CM339" s="279"/>
      <c r="CN339" s="184"/>
      <c r="CO339" s="184"/>
      <c r="CP339" s="184"/>
      <c r="CQ339" s="184"/>
      <c r="CR339" s="279"/>
      <c r="CS339" s="184"/>
      <c r="CT339" s="184"/>
      <c r="CU339" s="184"/>
      <c r="CV339" s="185"/>
      <c r="CW339" s="279"/>
      <c r="CX339" s="183"/>
      <c r="CY339" s="183"/>
      <c r="CZ339" s="183"/>
      <c r="DA339" s="183"/>
      <c r="DB339" s="279"/>
      <c r="DC339" s="183"/>
      <c r="DD339" s="183"/>
      <c r="DE339" s="183"/>
      <c r="DF339" s="183"/>
      <c r="DG339" s="279"/>
      <c r="DH339" s="183"/>
      <c r="DI339" s="183"/>
      <c r="DJ339" s="183"/>
      <c r="DK339" s="183"/>
      <c r="DL339" s="279"/>
      <c r="DM339" s="279"/>
      <c r="DN339" s="279"/>
      <c r="DO339" s="279"/>
      <c r="DP339" s="329"/>
      <c r="DQ339" s="279"/>
      <c r="DR339" s="554"/>
      <c r="DS339" s="279"/>
      <c r="DT339" s="279"/>
      <c r="DU339" s="279"/>
      <c r="DV339" s="279"/>
      <c r="DW339" s="554"/>
      <c r="DX339" s="279"/>
      <c r="DY339" s="279"/>
      <c r="DZ339" s="279"/>
      <c r="EA339" s="279"/>
      <c r="EB339" s="554"/>
      <c r="EC339" s="279"/>
      <c r="ED339" s="279"/>
      <c r="EE339" s="279"/>
      <c r="EF339" s="279"/>
      <c r="EG339" s="279"/>
      <c r="EH339" s="279"/>
      <c r="EI339" s="279"/>
      <c r="EJ339" s="279"/>
      <c r="EK339" s="279"/>
      <c r="EL339" s="279"/>
      <c r="EM339" s="279"/>
      <c r="EN339" s="279"/>
      <c r="EO339" s="279"/>
      <c r="EP339" s="279"/>
      <c r="EQ339" s="279"/>
      <c r="ER339" s="279"/>
      <c r="ES339" s="279"/>
      <c r="ET339" s="279"/>
      <c r="EU339" s="279"/>
      <c r="EV339" s="279"/>
      <c r="EW339" s="279"/>
      <c r="EX339" s="279"/>
      <c r="EY339" s="279"/>
      <c r="EZ339" s="279"/>
      <c r="FA339" s="279"/>
      <c r="FB339" s="279"/>
      <c r="FC339" s="279"/>
      <c r="FD339" s="279"/>
      <c r="FE339" s="279"/>
      <c r="FF339" s="40"/>
      <c r="FG339" s="190"/>
      <c r="FL339" s="406"/>
      <c r="FM339" s="406"/>
      <c r="FN339" s="368"/>
      <c r="FO339" s="368"/>
      <c r="FP339" s="368"/>
      <c r="FQ339" s="368"/>
      <c r="FR339" s="368"/>
      <c r="FS339" s="368"/>
      <c r="FT339" s="190"/>
    </row>
    <row r="340" spans="1:183" ht="12.75" hidden="1" customHeight="1" x14ac:dyDescent="0.2">
      <c r="A340" s="34" t="s">
        <v>164</v>
      </c>
      <c r="B340" s="184"/>
      <c r="C340" s="184"/>
      <c r="D340" s="184"/>
      <c r="E340" s="184"/>
      <c r="F340" s="279"/>
      <c r="G340" s="184"/>
      <c r="H340" s="184"/>
      <c r="I340" s="184"/>
      <c r="J340" s="184"/>
      <c r="K340" s="279"/>
      <c r="L340" s="184"/>
      <c r="M340" s="184"/>
      <c r="N340" s="184"/>
      <c r="O340" s="184"/>
      <c r="P340" s="279"/>
      <c r="Q340" s="184"/>
      <c r="R340" s="184"/>
      <c r="S340" s="184"/>
      <c r="T340" s="184"/>
      <c r="U340" s="279"/>
      <c r="V340" s="184"/>
      <c r="W340" s="184"/>
      <c r="X340" s="184"/>
      <c r="Y340" s="184"/>
      <c r="Z340" s="279"/>
      <c r="AA340" s="184"/>
      <c r="AB340" s="184"/>
      <c r="AC340" s="184"/>
      <c r="AD340" s="184"/>
      <c r="AE340" s="279"/>
      <c r="AF340" s="184"/>
      <c r="AG340" s="184"/>
      <c r="AH340" s="184"/>
      <c r="AI340" s="184"/>
      <c r="AJ340" s="279"/>
      <c r="AK340" s="184"/>
      <c r="AL340" s="184"/>
      <c r="AM340" s="184"/>
      <c r="AN340" s="184"/>
      <c r="AO340" s="279"/>
      <c r="AP340" s="184"/>
      <c r="AQ340" s="184"/>
      <c r="AR340" s="184"/>
      <c r="AS340" s="184"/>
      <c r="AT340" s="279"/>
      <c r="AU340" s="184"/>
      <c r="AV340" s="184"/>
      <c r="AW340" s="184"/>
      <c r="AX340" s="184"/>
      <c r="AY340" s="279"/>
      <c r="AZ340" s="184"/>
      <c r="BA340" s="184"/>
      <c r="BB340" s="184"/>
      <c r="BC340" s="184"/>
      <c r="BD340" s="279"/>
      <c r="BE340" s="184"/>
      <c r="BF340" s="184"/>
      <c r="BG340" s="184"/>
      <c r="BH340" s="184"/>
      <c r="BI340" s="279"/>
      <c r="BJ340" s="184"/>
      <c r="BK340" s="184"/>
      <c r="BL340" s="184"/>
      <c r="BM340" s="184"/>
      <c r="BN340" s="279"/>
      <c r="BO340" s="184"/>
      <c r="BP340" s="184"/>
      <c r="BQ340" s="184"/>
      <c r="BR340" s="184"/>
      <c r="BS340" s="279"/>
      <c r="BT340" s="184"/>
      <c r="BU340" s="184"/>
      <c r="BV340" s="184"/>
      <c r="BW340" s="184"/>
      <c r="BX340" s="279"/>
      <c r="BY340" s="184"/>
      <c r="BZ340" s="184"/>
      <c r="CA340" s="184"/>
      <c r="CB340" s="184"/>
      <c r="CC340" s="279"/>
      <c r="CD340" s="184"/>
      <c r="CE340" s="184"/>
      <c r="CF340" s="184"/>
      <c r="CG340" s="184"/>
      <c r="CH340" s="279"/>
      <c r="CI340" s="184"/>
      <c r="CJ340" s="184"/>
      <c r="CK340" s="184"/>
      <c r="CL340" s="184"/>
      <c r="CM340" s="279"/>
      <c r="CN340" s="184"/>
      <c r="CO340" s="184"/>
      <c r="CP340" s="184"/>
      <c r="CQ340" s="184"/>
      <c r="CR340" s="279"/>
      <c r="CS340" s="184"/>
      <c r="CT340" s="184"/>
      <c r="CU340" s="184"/>
      <c r="CV340" s="185"/>
      <c r="CW340" s="279"/>
      <c r="CX340" s="183"/>
      <c r="CY340" s="183"/>
      <c r="CZ340" s="183"/>
      <c r="DA340" s="183"/>
      <c r="DB340" s="279"/>
      <c r="DC340" s="183"/>
      <c r="DD340" s="183"/>
      <c r="DE340" s="183"/>
      <c r="DF340" s="183"/>
      <c r="DG340" s="279"/>
      <c r="DH340" s="183"/>
      <c r="DI340" s="183"/>
      <c r="DJ340" s="183"/>
      <c r="DK340" s="183"/>
      <c r="DL340" s="279"/>
      <c r="DM340" s="279"/>
      <c r="DN340" s="279"/>
      <c r="DO340" s="279"/>
      <c r="DP340" s="329"/>
      <c r="DQ340" s="279"/>
      <c r="DR340" s="554"/>
      <c r="DS340" s="279"/>
      <c r="DT340" s="279"/>
      <c r="DU340" s="279"/>
      <c r="DV340" s="279"/>
      <c r="DW340" s="554"/>
      <c r="DX340" s="279"/>
      <c r="DY340" s="279"/>
      <c r="DZ340" s="279"/>
      <c r="EA340" s="279"/>
      <c r="EB340" s="554"/>
      <c r="EC340" s="279"/>
      <c r="ED340" s="279"/>
      <c r="EE340" s="279"/>
      <c r="EF340" s="279"/>
      <c r="EG340" s="279"/>
      <c r="EH340" s="279"/>
      <c r="EI340" s="279"/>
      <c r="EJ340" s="279"/>
      <c r="EK340" s="279"/>
      <c r="EL340" s="279"/>
      <c r="EM340" s="279"/>
      <c r="EN340" s="279"/>
      <c r="EO340" s="279"/>
      <c r="EP340" s="279"/>
      <c r="EQ340" s="279"/>
      <c r="ER340" s="279"/>
      <c r="ES340" s="279"/>
      <c r="ET340" s="279"/>
      <c r="EU340" s="279"/>
      <c r="EV340" s="279"/>
      <c r="EW340" s="279"/>
      <c r="EX340" s="279"/>
      <c r="EY340" s="279"/>
      <c r="EZ340" s="279"/>
      <c r="FA340" s="279"/>
      <c r="FB340" s="279"/>
      <c r="FC340" s="279"/>
      <c r="FD340" s="279"/>
      <c r="FE340" s="279"/>
      <c r="FF340" s="40"/>
      <c r="FG340" s="190"/>
      <c r="FL340" s="406"/>
      <c r="FM340" s="406"/>
      <c r="FN340" s="368"/>
      <c r="FO340" s="368"/>
      <c r="FP340" s="368"/>
      <c r="FQ340" s="368"/>
      <c r="FR340" s="368"/>
      <c r="FS340" s="368"/>
      <c r="FT340" s="190"/>
    </row>
    <row r="341" spans="1:183" ht="12.75" hidden="1" customHeight="1" x14ac:dyDescent="0.2">
      <c r="A341" s="37" t="s">
        <v>70</v>
      </c>
      <c r="B341" s="184"/>
      <c r="C341" s="184"/>
      <c r="D341" s="184"/>
      <c r="E341" s="184"/>
      <c r="F341" s="279"/>
      <c r="G341" s="184"/>
      <c r="H341" s="184"/>
      <c r="I341" s="184"/>
      <c r="J341" s="184"/>
      <c r="K341" s="279"/>
      <c r="L341" s="184"/>
      <c r="M341" s="184"/>
      <c r="N341" s="184"/>
      <c r="O341" s="184"/>
      <c r="P341" s="279"/>
      <c r="Q341" s="184"/>
      <c r="R341" s="184"/>
      <c r="S341" s="184"/>
      <c r="T341" s="184"/>
      <c r="U341" s="279"/>
      <c r="V341" s="184"/>
      <c r="W341" s="184"/>
      <c r="X341" s="184"/>
      <c r="Y341" s="184"/>
      <c r="Z341" s="279"/>
      <c r="AA341" s="184"/>
      <c r="AB341" s="184"/>
      <c r="AC341" s="184"/>
      <c r="AD341" s="184"/>
      <c r="AE341" s="279"/>
      <c r="AF341" s="184"/>
      <c r="AG341" s="184"/>
      <c r="AH341" s="184"/>
      <c r="AI341" s="184"/>
      <c r="AJ341" s="279"/>
      <c r="AK341" s="184"/>
      <c r="AL341" s="184"/>
      <c r="AM341" s="184"/>
      <c r="AN341" s="184"/>
      <c r="AO341" s="279"/>
      <c r="AP341" s="184"/>
      <c r="AQ341" s="184"/>
      <c r="AR341" s="184"/>
      <c r="AS341" s="184"/>
      <c r="AT341" s="279"/>
      <c r="AU341" s="184"/>
      <c r="AV341" s="184"/>
      <c r="AW341" s="184"/>
      <c r="AX341" s="184"/>
      <c r="AY341" s="279"/>
      <c r="AZ341" s="184"/>
      <c r="BA341" s="184"/>
      <c r="BB341" s="184"/>
      <c r="BC341" s="184"/>
      <c r="BD341" s="279"/>
      <c r="BE341" s="184"/>
      <c r="BF341" s="184"/>
      <c r="BG341" s="184"/>
      <c r="BH341" s="184"/>
      <c r="BI341" s="279"/>
      <c r="BJ341" s="184"/>
      <c r="BK341" s="184"/>
      <c r="BL341" s="184"/>
      <c r="BM341" s="184"/>
      <c r="BN341" s="279"/>
      <c r="BO341" s="184"/>
      <c r="BP341" s="184"/>
      <c r="BQ341" s="184"/>
      <c r="BR341" s="184"/>
      <c r="BS341" s="279"/>
      <c r="BT341" s="184"/>
      <c r="BU341" s="184"/>
      <c r="BV341" s="184"/>
      <c r="BW341" s="184"/>
      <c r="BX341" s="279"/>
      <c r="BY341" s="184"/>
      <c r="BZ341" s="184"/>
      <c r="CA341" s="184"/>
      <c r="CB341" s="184"/>
      <c r="CC341" s="279"/>
      <c r="CD341" s="184"/>
      <c r="CE341" s="184"/>
      <c r="CF341" s="184"/>
      <c r="CG341" s="184"/>
      <c r="CH341" s="279"/>
      <c r="CI341" s="184"/>
      <c r="CJ341" s="184"/>
      <c r="CK341" s="184"/>
      <c r="CL341" s="184"/>
      <c r="CM341" s="279"/>
      <c r="CN341" s="184"/>
      <c r="CO341" s="184"/>
      <c r="CP341" s="184"/>
      <c r="CQ341" s="184"/>
      <c r="CR341" s="279"/>
      <c r="CS341" s="184"/>
      <c r="CT341" s="184"/>
      <c r="CU341" s="184"/>
      <c r="CV341" s="185"/>
      <c r="CW341" s="279"/>
      <c r="CX341" s="183"/>
      <c r="CY341" s="183"/>
      <c r="CZ341" s="183"/>
      <c r="DA341" s="183"/>
      <c r="DB341" s="279"/>
      <c r="DC341" s="183"/>
      <c r="DD341" s="183"/>
      <c r="DE341" s="183"/>
      <c r="DF341" s="183"/>
      <c r="DG341" s="279"/>
      <c r="DH341" s="183"/>
      <c r="DI341" s="183"/>
      <c r="DJ341" s="183"/>
      <c r="DK341" s="183"/>
      <c r="DL341" s="279"/>
      <c r="DM341" s="279"/>
      <c r="DN341" s="279"/>
      <c r="DO341" s="279"/>
      <c r="DP341" s="329"/>
      <c r="DQ341" s="279"/>
      <c r="DR341" s="554"/>
      <c r="DS341" s="279"/>
      <c r="DT341" s="279"/>
      <c r="DU341" s="279"/>
      <c r="DV341" s="279"/>
      <c r="DW341" s="554"/>
      <c r="DX341" s="279"/>
      <c r="DY341" s="279"/>
      <c r="DZ341" s="279"/>
      <c r="EA341" s="279"/>
      <c r="EB341" s="554"/>
      <c r="EC341" s="279"/>
      <c r="ED341" s="279"/>
      <c r="EE341" s="279"/>
      <c r="EF341" s="279"/>
      <c r="EG341" s="279"/>
      <c r="EH341" s="279"/>
      <c r="EI341" s="279"/>
      <c r="EJ341" s="279"/>
      <c r="EK341" s="279"/>
      <c r="EL341" s="279"/>
      <c r="EM341" s="279"/>
      <c r="EN341" s="279"/>
      <c r="EO341" s="279"/>
      <c r="EP341" s="279"/>
      <c r="EQ341" s="279"/>
      <c r="ER341" s="279"/>
      <c r="ES341" s="279"/>
      <c r="ET341" s="279"/>
      <c r="EU341" s="279"/>
      <c r="EV341" s="279"/>
      <c r="EW341" s="279"/>
      <c r="EX341" s="279"/>
      <c r="EY341" s="279"/>
      <c r="EZ341" s="279"/>
      <c r="FA341" s="279"/>
      <c r="FB341" s="279"/>
      <c r="FC341" s="279"/>
      <c r="FD341" s="279"/>
      <c r="FE341" s="279"/>
      <c r="FF341" s="40"/>
      <c r="FG341" s="190"/>
      <c r="FL341" s="406"/>
      <c r="FM341" s="406"/>
      <c r="FN341" s="368"/>
      <c r="FO341" s="368"/>
      <c r="FP341" s="368"/>
      <c r="FQ341" s="368"/>
      <c r="FR341" s="368"/>
      <c r="FS341" s="368"/>
      <c r="FT341" s="190"/>
    </row>
    <row r="342" spans="1:183" ht="12.75" customHeight="1" x14ac:dyDescent="0.2">
      <c r="A342" s="50" t="s">
        <v>322</v>
      </c>
      <c r="B342" s="188"/>
      <c r="C342" s="188"/>
      <c r="D342" s="188"/>
      <c r="E342" s="188"/>
      <c r="F342" s="280"/>
      <c r="G342" s="188"/>
      <c r="H342" s="188"/>
      <c r="I342" s="188"/>
      <c r="J342" s="188"/>
      <c r="K342" s="280"/>
      <c r="L342" s="188"/>
      <c r="M342" s="188"/>
      <c r="N342" s="188"/>
      <c r="O342" s="188"/>
      <c r="P342" s="280"/>
      <c r="Q342" s="188"/>
      <c r="R342" s="188"/>
      <c r="S342" s="188"/>
      <c r="T342" s="188"/>
      <c r="U342" s="280"/>
      <c r="V342" s="188"/>
      <c r="W342" s="188"/>
      <c r="X342" s="188"/>
      <c r="Y342" s="188"/>
      <c r="Z342" s="280"/>
      <c r="AA342" s="188"/>
      <c r="AB342" s="188"/>
      <c r="AC342" s="188"/>
      <c r="AD342" s="188"/>
      <c r="AE342" s="280"/>
      <c r="AF342" s="188"/>
      <c r="AG342" s="188"/>
      <c r="AH342" s="188"/>
      <c r="AI342" s="188"/>
      <c r="AJ342" s="280"/>
      <c r="AK342" s="188"/>
      <c r="AL342" s="188"/>
      <c r="AM342" s="188"/>
      <c r="AN342" s="188"/>
      <c r="AO342" s="280"/>
      <c r="AP342" s="188"/>
      <c r="AQ342" s="188"/>
      <c r="AR342" s="188"/>
      <c r="AS342" s="188"/>
      <c r="AT342" s="280"/>
      <c r="AU342" s="188"/>
      <c r="AV342" s="188"/>
      <c r="AW342" s="188"/>
      <c r="AX342" s="188"/>
      <c r="AY342" s="280"/>
      <c r="AZ342" s="188"/>
      <c r="BA342" s="188"/>
      <c r="BB342" s="188"/>
      <c r="BC342" s="188"/>
      <c r="BD342" s="280"/>
      <c r="BE342" s="188"/>
      <c r="BF342" s="188"/>
      <c r="BG342" s="188"/>
      <c r="BH342" s="188"/>
      <c r="BI342" s="280"/>
      <c r="BJ342" s="188"/>
      <c r="BK342" s="188"/>
      <c r="BL342" s="188"/>
      <c r="BM342" s="188"/>
      <c r="BN342" s="280"/>
      <c r="BO342" s="188"/>
      <c r="BP342" s="188"/>
      <c r="BQ342" s="188"/>
      <c r="BR342" s="188"/>
      <c r="BS342" s="280"/>
      <c r="BT342" s="188"/>
      <c r="BU342" s="188"/>
      <c r="BV342" s="188"/>
      <c r="BW342" s="188"/>
      <c r="BX342" s="280"/>
      <c r="BY342" s="188"/>
      <c r="BZ342" s="188"/>
      <c r="CA342" s="188"/>
      <c r="CB342" s="188"/>
      <c r="CC342" s="280"/>
      <c r="CD342" s="188"/>
      <c r="CE342" s="188"/>
      <c r="CF342" s="188"/>
      <c r="CG342" s="188"/>
      <c r="CH342" s="280"/>
      <c r="CI342" s="188"/>
      <c r="CJ342" s="188"/>
      <c r="CK342" s="188"/>
      <c r="CL342" s="188"/>
      <c r="CM342" s="280"/>
      <c r="CN342" s="188"/>
      <c r="CO342" s="188"/>
      <c r="CP342" s="188"/>
      <c r="CQ342" s="188"/>
      <c r="CR342" s="280"/>
      <c r="CS342" s="188"/>
      <c r="CT342" s="188"/>
      <c r="CU342" s="188"/>
      <c r="CV342" s="189"/>
      <c r="CW342" s="280"/>
      <c r="CX342" s="209"/>
      <c r="CY342" s="209"/>
      <c r="CZ342" s="209"/>
      <c r="DA342" s="209"/>
      <c r="DB342" s="280"/>
      <c r="DC342" s="209"/>
      <c r="DD342" s="209"/>
      <c r="DE342" s="209"/>
      <c r="DF342" s="209"/>
      <c r="DG342" s="280"/>
      <c r="DH342" s="209"/>
      <c r="DI342" s="209"/>
      <c r="DJ342" s="209"/>
      <c r="DK342" s="209"/>
      <c r="DL342" s="280"/>
      <c r="DM342" s="280"/>
      <c r="DN342" s="280"/>
      <c r="DO342" s="280"/>
      <c r="DP342" s="539"/>
      <c r="DQ342" s="280"/>
      <c r="DR342" s="555"/>
      <c r="DS342" s="280"/>
      <c r="DT342" s="280"/>
      <c r="DU342" s="280"/>
      <c r="DV342" s="280"/>
      <c r="DW342" s="555"/>
      <c r="DX342" s="280"/>
      <c r="DY342" s="280"/>
      <c r="DZ342" s="280"/>
      <c r="EA342" s="280"/>
      <c r="EB342" s="555"/>
      <c r="EC342" s="280"/>
      <c r="ED342" s="280"/>
      <c r="EE342" s="280"/>
      <c r="EF342" s="280"/>
      <c r="EG342" s="280"/>
      <c r="EH342" s="280"/>
      <c r="EI342" s="280"/>
      <c r="EJ342" s="280"/>
      <c r="EK342" s="280"/>
      <c r="EL342" s="280"/>
      <c r="EM342" s="280"/>
      <c r="EN342" s="280"/>
      <c r="EO342" s="280"/>
      <c r="EP342" s="280"/>
      <c r="EQ342" s="280"/>
      <c r="ER342" s="280"/>
      <c r="ES342" s="280"/>
      <c r="ET342" s="280"/>
      <c r="EU342" s="280"/>
      <c r="EV342" s="280"/>
      <c r="EW342" s="280"/>
      <c r="EX342" s="280"/>
      <c r="EY342" s="280"/>
      <c r="EZ342" s="280"/>
      <c r="FA342" s="280"/>
      <c r="FB342" s="280"/>
      <c r="FC342" s="280"/>
      <c r="FD342" s="280"/>
      <c r="FE342" s="280"/>
      <c r="FF342" s="40"/>
      <c r="FG342" s="190"/>
      <c r="FL342" s="406"/>
      <c r="FM342" s="406"/>
      <c r="FN342" s="368"/>
      <c r="FO342" s="368"/>
      <c r="FP342" s="368"/>
      <c r="FQ342" s="368"/>
      <c r="FR342" s="368"/>
      <c r="FS342" s="368"/>
      <c r="FT342" s="190"/>
    </row>
    <row r="343" spans="1:183" s="7" customFormat="1" ht="12.75" customHeight="1" x14ac:dyDescent="0.2">
      <c r="A343" s="7" t="s">
        <v>323</v>
      </c>
      <c r="F343" s="99"/>
      <c r="K343" s="99"/>
      <c r="P343" s="99"/>
      <c r="U343" s="99"/>
      <c r="Z343" s="99"/>
      <c r="AE343" s="99"/>
      <c r="AJ343" s="99"/>
      <c r="AO343" s="99"/>
      <c r="AT343" s="99"/>
      <c r="AY343" s="99"/>
      <c r="BD343" s="99"/>
      <c r="BI343" s="99"/>
      <c r="BN343" s="99"/>
      <c r="BS343" s="99"/>
      <c r="BX343" s="99"/>
      <c r="CC343" s="99"/>
      <c r="CH343" s="99"/>
      <c r="CM343" s="99"/>
      <c r="CR343" s="99"/>
      <c r="CW343" s="99"/>
      <c r="DB343" s="99"/>
      <c r="DG343" s="99"/>
      <c r="DL343" s="99"/>
      <c r="DM343" s="99"/>
      <c r="DN343" s="99"/>
      <c r="DO343" s="99"/>
      <c r="DP343" s="530"/>
      <c r="DQ343" s="99"/>
      <c r="DR343" s="546"/>
      <c r="DS343" s="99"/>
      <c r="DT343" s="99"/>
      <c r="DU343" s="99"/>
      <c r="DV343" s="99"/>
      <c r="DW343" s="546"/>
      <c r="DX343" s="99"/>
      <c r="DY343" s="99"/>
      <c r="DZ343" s="99"/>
      <c r="EA343" s="99"/>
      <c r="EB343" s="546"/>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336"/>
      <c r="FG343" s="6"/>
      <c r="FH343" s="346"/>
      <c r="FI343" s="336"/>
      <c r="FJ343" s="336"/>
      <c r="FK343" s="336"/>
      <c r="FL343" s="412"/>
      <c r="FM343" s="412"/>
      <c r="FN343" s="373"/>
      <c r="FO343" s="373"/>
      <c r="FP343" s="373"/>
      <c r="FQ343" s="373"/>
      <c r="FR343" s="373"/>
      <c r="FS343" s="373"/>
      <c r="FT343" s="6"/>
      <c r="FU343"/>
      <c r="FV343"/>
      <c r="FW343"/>
      <c r="FX343"/>
      <c r="FY343"/>
      <c r="FZ343"/>
      <c r="GA343" s="341"/>
    </row>
    <row r="344" spans="1:183" ht="12.75" hidden="1" customHeight="1" x14ac:dyDescent="0.2">
      <c r="A344" s="51" t="s">
        <v>376</v>
      </c>
      <c r="B344" s="184"/>
      <c r="C344" s="184"/>
      <c r="D344" s="184"/>
      <c r="E344" s="184"/>
      <c r="F344" s="279"/>
      <c r="G344" s="184"/>
      <c r="H344" s="184"/>
      <c r="I344" s="184"/>
      <c r="J344" s="184"/>
      <c r="K344" s="279"/>
      <c r="L344" s="184"/>
      <c r="M344" s="184"/>
      <c r="N344" s="184"/>
      <c r="O344" s="184"/>
      <c r="P344" s="279"/>
      <c r="Q344" s="184"/>
      <c r="R344" s="184"/>
      <c r="S344" s="184"/>
      <c r="T344" s="184"/>
      <c r="U344" s="279"/>
      <c r="V344" s="184"/>
      <c r="W344" s="184"/>
      <c r="X344" s="184"/>
      <c r="Y344" s="184"/>
      <c r="Z344" s="279"/>
      <c r="AA344" s="184"/>
      <c r="AB344" s="184"/>
      <c r="AC344" s="184"/>
      <c r="AD344" s="184"/>
      <c r="AE344" s="279"/>
      <c r="AF344" s="184"/>
      <c r="AG344" s="184"/>
      <c r="AH344" s="184"/>
      <c r="AI344" s="184"/>
      <c r="AJ344" s="279"/>
      <c r="AK344" s="184"/>
      <c r="AL344" s="184"/>
      <c r="AM344" s="184"/>
      <c r="AN344" s="184"/>
      <c r="AO344" s="279"/>
      <c r="AP344" s="184"/>
      <c r="AQ344" s="184"/>
      <c r="AR344" s="184"/>
      <c r="AS344" s="184"/>
      <c r="AT344" s="279"/>
      <c r="AU344" s="184"/>
      <c r="AV344" s="184"/>
      <c r="AW344" s="184"/>
      <c r="AX344" s="184"/>
      <c r="AY344" s="279"/>
      <c r="AZ344" s="184"/>
      <c r="BA344" s="184"/>
      <c r="BB344" s="184"/>
      <c r="BC344" s="184"/>
      <c r="BD344" s="279"/>
      <c r="BE344" s="184"/>
      <c r="BF344" s="184"/>
      <c r="BG344" s="184"/>
      <c r="BH344" s="184"/>
      <c r="BI344" s="279"/>
      <c r="BJ344" s="184"/>
      <c r="BK344" s="184"/>
      <c r="BL344" s="184"/>
      <c r="BM344" s="184"/>
      <c r="BN344" s="279"/>
      <c r="BO344" s="184"/>
      <c r="BP344" s="184"/>
      <c r="BQ344" s="184"/>
      <c r="BR344" s="184"/>
      <c r="BS344" s="279"/>
      <c r="BT344" s="184"/>
      <c r="BU344" s="184"/>
      <c r="BV344" s="184"/>
      <c r="BW344" s="184"/>
      <c r="BX344" s="279"/>
      <c r="BY344" s="184"/>
      <c r="BZ344" s="184"/>
      <c r="CA344" s="184"/>
      <c r="CB344" s="184"/>
      <c r="CC344" s="279"/>
      <c r="CD344" s="184"/>
      <c r="CE344" s="184"/>
      <c r="CF344" s="184"/>
      <c r="CG344" s="184"/>
      <c r="CH344" s="279"/>
      <c r="CI344" s="184"/>
      <c r="CJ344" s="184"/>
      <c r="CK344" s="184"/>
      <c r="CL344" s="184"/>
      <c r="CM344" s="279"/>
      <c r="CN344" s="184"/>
      <c r="CO344" s="184"/>
      <c r="CP344" s="184"/>
      <c r="CQ344" s="184"/>
      <c r="CR344" s="279"/>
      <c r="CS344" s="51">
        <v>39903</v>
      </c>
      <c r="CT344" s="51">
        <f>EOMONTH(CS344,3)</f>
        <v>39994</v>
      </c>
      <c r="CU344" s="51">
        <f>EOMONTH(CT344,3)</f>
        <v>40086</v>
      </c>
      <c r="CV344" s="51">
        <f>EOMONTH(CU344,3)</f>
        <v>40178</v>
      </c>
      <c r="CW344" s="117">
        <f>CV344</f>
        <v>40178</v>
      </c>
      <c r="CX344" s="51">
        <v>40268</v>
      </c>
      <c r="CY344" s="51">
        <f>EOMONTH(CX344,3)</f>
        <v>40359</v>
      </c>
      <c r="CZ344" s="51">
        <f>EOMONTH(CY344,3)</f>
        <v>40451</v>
      </c>
      <c r="DA344" s="51">
        <f>EOMONTH(CZ344,3)</f>
        <v>40543</v>
      </c>
      <c r="DB344" s="117">
        <f>EOMONTH(CW344,12)</f>
        <v>40543</v>
      </c>
      <c r="DC344" s="51">
        <f>EOMONTH(DB344,3)</f>
        <v>40633</v>
      </c>
      <c r="DD344" s="51">
        <f>EOMONTH(DC344,3)</f>
        <v>40724</v>
      </c>
      <c r="DE344" s="51">
        <f>EOMONTH(DD344,3)</f>
        <v>40816</v>
      </c>
      <c r="DF344" s="51">
        <f>EOMONTH(DE344,3)</f>
        <v>40908</v>
      </c>
      <c r="DG344" s="117">
        <f>EOMONTH(DB344,12)</f>
        <v>40908</v>
      </c>
      <c r="DH344" s="51">
        <f>EOMONTH(DG344,3)</f>
        <v>40999</v>
      </c>
      <c r="DI344" s="51">
        <f>EOMONTH(DH344,3)</f>
        <v>41090</v>
      </c>
      <c r="DJ344" s="51">
        <f>EOMONTH(DI344,3)</f>
        <v>41182</v>
      </c>
      <c r="DK344" s="51">
        <f>EOMONTH(DJ344,3)</f>
        <v>41274</v>
      </c>
      <c r="DL344" s="117">
        <f>EOMONTH(DG344,12)</f>
        <v>41274</v>
      </c>
      <c r="DM344" s="117"/>
      <c r="DN344" s="117"/>
      <c r="DO344" s="117"/>
      <c r="DP344" s="540"/>
      <c r="DQ344" s="117">
        <f>EOMONTH(DL344,12)</f>
        <v>41639</v>
      </c>
      <c r="DR344" s="556"/>
      <c r="DS344" s="117"/>
      <c r="DT344" s="117"/>
      <c r="DU344" s="117"/>
      <c r="DV344" s="117">
        <f>EOMONTH(DQ344,12)</f>
        <v>42004</v>
      </c>
      <c r="DW344" s="556"/>
      <c r="DX344" s="117"/>
      <c r="DY344" s="117"/>
      <c r="DZ344" s="117"/>
      <c r="EA344" s="117">
        <f>EOMONTH(DV344,12)</f>
        <v>42369</v>
      </c>
      <c r="EB344" s="556"/>
      <c r="EC344" s="117"/>
      <c r="ED344" s="117"/>
      <c r="EE344" s="117"/>
      <c r="EF344" s="117">
        <f>EOMONTH(EA344,12)</f>
        <v>42735</v>
      </c>
      <c r="EG344" s="117"/>
      <c r="EH344" s="117"/>
      <c r="EI344" s="117"/>
      <c r="EJ344" s="117"/>
      <c r="EK344" s="117">
        <f>EOMONTH(EF344,12)</f>
        <v>43100</v>
      </c>
      <c r="EL344" s="117"/>
      <c r="EM344" s="117"/>
      <c r="EN344" s="117"/>
      <c r="EO344" s="117"/>
      <c r="EP344" s="117">
        <f>EOMONTH(EK344,12)</f>
        <v>43465</v>
      </c>
      <c r="EQ344" s="117"/>
      <c r="ER344" s="117"/>
      <c r="ES344" s="117"/>
      <c r="ET344" s="117"/>
      <c r="EU344" s="117">
        <f>EOMONTH(EK344,12)</f>
        <v>43465</v>
      </c>
      <c r="EV344" s="117"/>
      <c r="EW344" s="117"/>
      <c r="EX344" s="117"/>
      <c r="EY344" s="117"/>
      <c r="EZ344" s="117">
        <f>EOMONTH(EU344,12)</f>
        <v>43830</v>
      </c>
      <c r="FA344" s="117"/>
      <c r="FB344" s="117"/>
      <c r="FC344" s="117"/>
      <c r="FD344" s="117"/>
      <c r="FE344" s="117">
        <f>EOMONTH(EZ344,12)</f>
        <v>44196</v>
      </c>
      <c r="FF344" s="40"/>
      <c r="FG344" s="190"/>
      <c r="FL344" s="406"/>
      <c r="FM344" s="406"/>
      <c r="FN344" s="368"/>
      <c r="FO344" s="368"/>
      <c r="FP344" s="368"/>
      <c r="FQ344" s="368"/>
      <c r="FR344" s="368"/>
      <c r="FS344" s="368"/>
      <c r="FT344" s="190"/>
    </row>
    <row r="345" spans="1:183" ht="12.75" hidden="1" customHeight="1" x14ac:dyDescent="0.2">
      <c r="A345" s="51" t="s">
        <v>131</v>
      </c>
      <c r="B345" s="184"/>
      <c r="C345" s="184"/>
      <c r="D345" s="184"/>
      <c r="E345" s="184"/>
      <c r="F345" s="279"/>
      <c r="G345" s="184"/>
      <c r="H345" s="184"/>
      <c r="I345" s="184"/>
      <c r="J345" s="184"/>
      <c r="K345" s="279"/>
      <c r="L345" s="184"/>
      <c r="M345" s="184"/>
      <c r="N345" s="184"/>
      <c r="O345" s="184"/>
      <c r="P345" s="279"/>
      <c r="Q345" s="184"/>
      <c r="R345" s="184"/>
      <c r="S345" s="184"/>
      <c r="T345" s="184"/>
      <c r="U345" s="279"/>
      <c r="V345" s="184"/>
      <c r="W345" s="184"/>
      <c r="X345" s="184"/>
      <c r="Y345" s="184"/>
      <c r="Z345" s="279"/>
      <c r="AA345" s="184"/>
      <c r="AB345" s="184"/>
      <c r="AC345" s="184"/>
      <c r="AD345" s="184"/>
      <c r="AE345" s="279"/>
      <c r="AF345" s="184"/>
      <c r="AG345" s="184"/>
      <c r="AH345" s="184"/>
      <c r="AI345" s="184"/>
      <c r="AJ345" s="279"/>
      <c r="AK345" s="184"/>
      <c r="AL345" s="184"/>
      <c r="AM345" s="184"/>
      <c r="AN345" s="184"/>
      <c r="AO345" s="279"/>
      <c r="AP345" s="184"/>
      <c r="AQ345" s="184"/>
      <c r="AR345" s="184"/>
      <c r="AS345" s="184"/>
      <c r="AT345" s="279"/>
      <c r="AU345" s="184"/>
      <c r="AV345" s="184"/>
      <c r="AW345" s="184"/>
      <c r="AX345" s="184"/>
      <c r="AY345" s="279"/>
      <c r="AZ345" s="184"/>
      <c r="BA345" s="184"/>
      <c r="BB345" s="184"/>
      <c r="BC345" s="184"/>
      <c r="BD345" s="279"/>
      <c r="BE345" s="184"/>
      <c r="BF345" s="184"/>
      <c r="BG345" s="184"/>
      <c r="BH345" s="184"/>
      <c r="BI345" s="279"/>
      <c r="BJ345" s="184"/>
      <c r="BK345" s="184"/>
      <c r="BL345" s="184"/>
      <c r="BM345" s="184"/>
      <c r="BN345" s="279"/>
      <c r="BO345" s="184"/>
      <c r="BP345" s="184"/>
      <c r="BQ345" s="184"/>
      <c r="BR345" s="184"/>
      <c r="BS345" s="279"/>
      <c r="BT345" s="184"/>
      <c r="BU345" s="184"/>
      <c r="BV345" s="184"/>
      <c r="BW345" s="184"/>
      <c r="BX345" s="279"/>
      <c r="BY345" s="184"/>
      <c r="BZ345" s="184"/>
      <c r="CA345" s="184"/>
      <c r="CB345" s="184"/>
      <c r="CC345" s="279"/>
      <c r="CD345" s="184"/>
      <c r="CE345" s="184"/>
      <c r="CF345" s="184"/>
      <c r="CG345" s="184"/>
      <c r="CH345" s="279"/>
      <c r="CI345" s="184"/>
      <c r="CJ345" s="184"/>
      <c r="CK345" s="184"/>
      <c r="CL345" s="184"/>
      <c r="CM345" s="279"/>
      <c r="CN345" s="184"/>
      <c r="CO345" s="184"/>
      <c r="CP345" s="184"/>
      <c r="CQ345" s="184"/>
      <c r="CR345" s="279"/>
      <c r="CS345" s="30"/>
      <c r="CT345" s="30"/>
      <c r="CU345" s="30"/>
      <c r="CV345" s="30"/>
      <c r="CW345" s="113"/>
      <c r="CX345" s="30"/>
      <c r="CY345" s="30"/>
      <c r="CZ345" s="30"/>
      <c r="DA345" s="30"/>
      <c r="DB345" s="113"/>
      <c r="DC345" s="30"/>
      <c r="DD345" s="30"/>
      <c r="DE345" s="30"/>
      <c r="DF345" s="30"/>
      <c r="DG345" s="113"/>
      <c r="DH345" s="30"/>
      <c r="DI345" s="30"/>
      <c r="DJ345" s="30"/>
      <c r="DK345" s="30"/>
      <c r="DL345" s="113"/>
      <c r="DM345" s="113"/>
      <c r="DN345" s="113"/>
      <c r="DO345" s="113"/>
      <c r="DP345" s="534"/>
      <c r="DQ345" s="113"/>
      <c r="DR345" s="552"/>
      <c r="DS345" s="113"/>
      <c r="DT345" s="113"/>
      <c r="DU345" s="113"/>
      <c r="DV345" s="113"/>
      <c r="DW345" s="552"/>
      <c r="DX345" s="113"/>
      <c r="DY345" s="113"/>
      <c r="DZ345" s="113"/>
      <c r="EA345" s="113"/>
      <c r="EB345" s="552"/>
      <c r="EC345" s="113"/>
      <c r="ED345" s="113"/>
      <c r="EE345" s="113"/>
      <c r="EF345" s="113"/>
      <c r="EG345" s="113"/>
      <c r="EH345" s="113"/>
      <c r="EI345" s="113"/>
      <c r="EJ345" s="113"/>
      <c r="EK345" s="113"/>
      <c r="EL345" s="113"/>
      <c r="EM345" s="113"/>
      <c r="EN345" s="113"/>
      <c r="EO345" s="113"/>
      <c r="EP345" s="113"/>
      <c r="EQ345" s="113"/>
      <c r="ER345" s="113"/>
      <c r="ES345" s="113"/>
      <c r="ET345" s="113"/>
      <c r="EU345" s="113"/>
      <c r="EV345" s="113"/>
      <c r="EW345" s="113"/>
      <c r="EX345" s="113"/>
      <c r="EY345" s="113"/>
      <c r="EZ345" s="113"/>
      <c r="FA345" s="113"/>
      <c r="FB345" s="113"/>
      <c r="FC345" s="113"/>
      <c r="FD345" s="113"/>
      <c r="FE345" s="113"/>
      <c r="FF345" s="40"/>
      <c r="FG345" s="190"/>
      <c r="FL345" s="406"/>
      <c r="FM345" s="406"/>
      <c r="FN345" s="368"/>
      <c r="FO345" s="368"/>
      <c r="FP345" s="368"/>
      <c r="FQ345" s="368"/>
      <c r="FR345" s="368"/>
      <c r="FS345" s="368"/>
      <c r="FT345" s="190"/>
    </row>
    <row r="346" spans="1:183" ht="12.75" hidden="1" customHeight="1" x14ac:dyDescent="0.2">
      <c r="A346" s="33" t="s">
        <v>132</v>
      </c>
      <c r="B346" s="184"/>
      <c r="C346" s="184"/>
      <c r="D346" s="184"/>
      <c r="E346" s="184"/>
      <c r="F346" s="279"/>
      <c r="G346" s="184"/>
      <c r="H346" s="184"/>
      <c r="I346" s="184"/>
      <c r="J346" s="184"/>
      <c r="K346" s="279"/>
      <c r="L346" s="184"/>
      <c r="M346" s="184"/>
      <c r="N346" s="184"/>
      <c r="O346" s="184"/>
      <c r="P346" s="279"/>
      <c r="Q346" s="184"/>
      <c r="R346" s="184"/>
      <c r="S346" s="184"/>
      <c r="T346" s="184"/>
      <c r="U346" s="279"/>
      <c r="V346" s="184"/>
      <c r="W346" s="184"/>
      <c r="X346" s="184"/>
      <c r="Y346" s="184"/>
      <c r="Z346" s="279"/>
      <c r="AA346" s="184"/>
      <c r="AB346" s="184"/>
      <c r="AC346" s="184"/>
      <c r="AD346" s="184"/>
      <c r="AE346" s="279"/>
      <c r="AF346" s="184"/>
      <c r="AG346" s="184"/>
      <c r="AH346" s="184"/>
      <c r="AI346" s="184"/>
      <c r="AJ346" s="279"/>
      <c r="AK346" s="184"/>
      <c r="AL346" s="184"/>
      <c r="AM346" s="184"/>
      <c r="AN346" s="184"/>
      <c r="AO346" s="279"/>
      <c r="AP346" s="184"/>
      <c r="AQ346" s="184"/>
      <c r="AR346" s="184"/>
      <c r="AS346" s="184"/>
      <c r="AT346" s="279"/>
      <c r="AU346" s="184"/>
      <c r="AV346" s="184"/>
      <c r="AW346" s="184"/>
      <c r="AX346" s="184"/>
      <c r="AY346" s="279"/>
      <c r="AZ346" s="184"/>
      <c r="BA346" s="184"/>
      <c r="BB346" s="184"/>
      <c r="BC346" s="184"/>
      <c r="BD346" s="279"/>
      <c r="BE346" s="184"/>
      <c r="BF346" s="184"/>
      <c r="BG346" s="184"/>
      <c r="BH346" s="184"/>
      <c r="BI346" s="279"/>
      <c r="BJ346" s="184"/>
      <c r="BK346" s="184"/>
      <c r="BL346" s="184"/>
      <c r="BM346" s="184"/>
      <c r="BN346" s="279"/>
      <c r="BO346" s="184"/>
      <c r="BP346" s="184"/>
      <c r="BQ346" s="184"/>
      <c r="BR346" s="184"/>
      <c r="BS346" s="279"/>
      <c r="BT346" s="184"/>
      <c r="BU346" s="184"/>
      <c r="BV346" s="184"/>
      <c r="BW346" s="184"/>
      <c r="BX346" s="279"/>
      <c r="BY346" s="184"/>
      <c r="BZ346" s="184"/>
      <c r="CA346" s="184"/>
      <c r="CB346" s="184"/>
      <c r="CC346" s="279"/>
      <c r="CD346" s="184"/>
      <c r="CE346" s="184"/>
      <c r="CF346" s="184"/>
      <c r="CG346" s="184"/>
      <c r="CH346" s="279"/>
      <c r="CI346" s="184"/>
      <c r="CJ346" s="184"/>
      <c r="CK346" s="184"/>
      <c r="CL346" s="184"/>
      <c r="CM346" s="279"/>
      <c r="CN346" s="184"/>
      <c r="CO346" s="184"/>
      <c r="CP346" s="184"/>
      <c r="CQ346" s="184"/>
      <c r="CR346" s="279"/>
      <c r="CS346" s="33">
        <f>CS248</f>
        <v>2518.6759999999999</v>
      </c>
      <c r="CT346" s="33">
        <f t="shared" ref="CT346:DB346" si="1210">CT248</f>
        <v>2585.1689999999999</v>
      </c>
      <c r="CU346" s="33">
        <f t="shared" si="1210"/>
        <v>2662.5929999999998</v>
      </c>
      <c r="CV346" s="33">
        <f t="shared" si="1210"/>
        <v>3137.634</v>
      </c>
      <c r="CW346" s="103">
        <f t="shared" si="1210"/>
        <v>3137.634</v>
      </c>
      <c r="CX346" s="33">
        <f>CX248</f>
        <v>3307.835</v>
      </c>
      <c r="CY346" s="33">
        <f>CY248</f>
        <v>3659.6979999999999</v>
      </c>
      <c r="CZ346" s="33">
        <f>CZ248</f>
        <v>3803.8580000000002</v>
      </c>
      <c r="DA346" s="33">
        <f>DA248</f>
        <v>3992.317</v>
      </c>
      <c r="DB346" s="103">
        <f t="shared" si="1210"/>
        <v>3992.317</v>
      </c>
      <c r="DC346" s="33">
        <f t="shared" ref="DC346:DQ346" si="1211">DC248</f>
        <v>4465.0569999999998</v>
      </c>
      <c r="DD346" s="33">
        <f t="shared" si="1211"/>
        <v>4374.0569999999998</v>
      </c>
      <c r="DE346" s="33">
        <f t="shared" si="1211"/>
        <v>3656.0569999999998</v>
      </c>
      <c r="DF346" s="33">
        <f t="shared" si="1211"/>
        <v>3144.0569999999998</v>
      </c>
      <c r="DG346" s="103">
        <f t="shared" si="1211"/>
        <v>3144.0569999999998</v>
      </c>
      <c r="DH346" s="33">
        <f>DH248</f>
        <v>3784.0569999999998</v>
      </c>
      <c r="DI346" s="33">
        <f>DI248</f>
        <v>3256.0569999999998</v>
      </c>
      <c r="DJ346" s="33">
        <f>DJ248</f>
        <v>3235.0569999999998</v>
      </c>
      <c r="DK346" s="33">
        <f>DK248</f>
        <v>2970.0569999999998</v>
      </c>
      <c r="DL346" s="103">
        <f t="shared" si="1211"/>
        <v>2970.0569999999998</v>
      </c>
      <c r="DM346" s="103"/>
      <c r="DN346" s="103"/>
      <c r="DO346" s="103"/>
      <c r="DP346" s="535"/>
      <c r="DQ346" s="103">
        <f t="shared" si="1211"/>
        <v>3152.0569999999998</v>
      </c>
      <c r="DR346" s="550"/>
      <c r="DS346" s="103"/>
      <c r="DT346" s="103"/>
      <c r="DU346" s="103"/>
      <c r="DV346" s="103">
        <f>DV248</f>
        <v>2988.0569999999998</v>
      </c>
      <c r="DW346" s="550"/>
      <c r="DX346" s="103"/>
      <c r="DY346" s="103"/>
      <c r="DZ346" s="103"/>
      <c r="EA346" s="103">
        <f>EA248</f>
        <v>3051.0569999999998</v>
      </c>
      <c r="EB346" s="550"/>
      <c r="EC346" s="103"/>
      <c r="ED346" s="103"/>
      <c r="EE346" s="103"/>
      <c r="EF346" s="103">
        <f>EF248</f>
        <v>3305.0569999999998</v>
      </c>
      <c r="EG346" s="103"/>
      <c r="EH346" s="103"/>
      <c r="EI346" s="103"/>
      <c r="EJ346" s="103"/>
      <c r="EK346" s="103">
        <f>EK248</f>
        <v>3273.0569999999998</v>
      </c>
      <c r="EL346" s="103"/>
      <c r="EM346" s="103"/>
      <c r="EN346" s="103"/>
      <c r="EO346" s="103"/>
      <c r="EP346" s="103">
        <f>EP248</f>
        <v>3273.0569999999998</v>
      </c>
      <c r="EQ346" s="103"/>
      <c r="ER346" s="103"/>
      <c r="ES346" s="103"/>
      <c r="ET346" s="103"/>
      <c r="EU346" s="103">
        <f>EU248</f>
        <v>3120.4791871001771</v>
      </c>
      <c r="EV346" s="103"/>
      <c r="EW346" s="103"/>
      <c r="EX346" s="103"/>
      <c r="EY346" s="103"/>
      <c r="EZ346" s="103">
        <f>EZ248</f>
        <v>2810.8743475538295</v>
      </c>
      <c r="FA346" s="103"/>
      <c r="FB346" s="103"/>
      <c r="FC346" s="103"/>
      <c r="FD346" s="103"/>
      <c r="FE346" s="103">
        <f>FE248</f>
        <v>2994.3061710196262</v>
      </c>
      <c r="FF346" s="40"/>
      <c r="FG346" s="190"/>
      <c r="FL346" s="406"/>
      <c r="FM346" s="406"/>
      <c r="FN346" s="368"/>
      <c r="FO346" s="368"/>
      <c r="FP346" s="368"/>
      <c r="FQ346" s="368"/>
      <c r="FR346" s="368"/>
      <c r="FS346" s="368"/>
      <c r="FT346" s="190"/>
    </row>
    <row r="347" spans="1:183" ht="12.75" hidden="1" customHeight="1" x14ac:dyDescent="0.2">
      <c r="A347" s="38" t="s">
        <v>133</v>
      </c>
      <c r="B347" s="186"/>
      <c r="C347" s="186"/>
      <c r="D347" s="186"/>
      <c r="E347" s="186"/>
      <c r="F347" s="266"/>
      <c r="G347" s="186"/>
      <c r="H347" s="186"/>
      <c r="I347" s="186"/>
      <c r="J347" s="186"/>
      <c r="K347" s="266"/>
      <c r="L347" s="186"/>
      <c r="M347" s="186"/>
      <c r="N347" s="186"/>
      <c r="O347" s="186"/>
      <c r="P347" s="266"/>
      <c r="Q347" s="186"/>
      <c r="R347" s="186"/>
      <c r="S347" s="186"/>
      <c r="T347" s="186"/>
      <c r="U347" s="266"/>
      <c r="V347" s="186"/>
      <c r="W347" s="186"/>
      <c r="X347" s="186"/>
      <c r="Y347" s="186"/>
      <c r="Z347" s="266"/>
      <c r="AA347" s="186"/>
      <c r="AB347" s="186"/>
      <c r="AC347" s="186"/>
      <c r="AD347" s="186"/>
      <c r="AE347" s="266"/>
      <c r="AF347" s="186"/>
      <c r="AG347" s="186"/>
      <c r="AH347" s="186"/>
      <c r="AI347" s="186"/>
      <c r="AJ347" s="266"/>
      <c r="AK347" s="186"/>
      <c r="AL347" s="186"/>
      <c r="AM347" s="186"/>
      <c r="AN347" s="186"/>
      <c r="AO347" s="266"/>
      <c r="AP347" s="186"/>
      <c r="AQ347" s="186"/>
      <c r="AR347" s="186"/>
      <c r="AS347" s="186"/>
      <c r="AT347" s="266"/>
      <c r="AU347" s="186"/>
      <c r="AV347" s="186"/>
      <c r="AW347" s="186"/>
      <c r="AX347" s="186"/>
      <c r="AY347" s="266"/>
      <c r="AZ347" s="186"/>
      <c r="BA347" s="186"/>
      <c r="BB347" s="186"/>
      <c r="BC347" s="186"/>
      <c r="BD347" s="266"/>
      <c r="BE347" s="186"/>
      <c r="BF347" s="186"/>
      <c r="BG347" s="186"/>
      <c r="BH347" s="186"/>
      <c r="BI347" s="266"/>
      <c r="BJ347" s="186"/>
      <c r="BK347" s="186"/>
      <c r="BL347" s="186"/>
      <c r="BM347" s="186"/>
      <c r="BN347" s="266"/>
      <c r="BO347" s="186"/>
      <c r="BP347" s="186"/>
      <c r="BQ347" s="186"/>
      <c r="BR347" s="186"/>
      <c r="BS347" s="266"/>
      <c r="BT347" s="186"/>
      <c r="BU347" s="186"/>
      <c r="BV347" s="186"/>
      <c r="BW347" s="186"/>
      <c r="BX347" s="266"/>
      <c r="BY347" s="186"/>
      <c r="BZ347" s="186"/>
      <c r="CA347" s="186"/>
      <c r="CB347" s="186"/>
      <c r="CC347" s="266"/>
      <c r="CD347" s="186"/>
      <c r="CE347" s="186"/>
      <c r="CF347" s="186"/>
      <c r="CG347" s="186"/>
      <c r="CH347" s="266"/>
      <c r="CI347" s="186"/>
      <c r="CJ347" s="186"/>
      <c r="CK347" s="186"/>
      <c r="CL347" s="186"/>
      <c r="CM347" s="266"/>
      <c r="CN347" s="186"/>
      <c r="CO347" s="186"/>
      <c r="CP347" s="186"/>
      <c r="CQ347" s="186"/>
      <c r="CR347" s="266"/>
      <c r="CS347" s="33">
        <f>CS252</f>
        <v>2608.5889999999999</v>
      </c>
      <c r="CT347" s="33">
        <f t="shared" ref="CT347:DB347" si="1212">CT252</f>
        <v>2655.9359999999997</v>
      </c>
      <c r="CU347" s="33">
        <f t="shared" si="1212"/>
        <v>2717.8089999999997</v>
      </c>
      <c r="CV347" s="33">
        <f t="shared" si="1212"/>
        <v>3190.0239999999999</v>
      </c>
      <c r="CW347" s="103">
        <f t="shared" si="1212"/>
        <v>3190.0239999999999</v>
      </c>
      <c r="CX347" s="33">
        <f>CX252</f>
        <v>3360.9180000000001</v>
      </c>
      <c r="CY347" s="33">
        <f>CY252</f>
        <v>3713.5139999999997</v>
      </c>
      <c r="CZ347" s="33">
        <f>CZ252</f>
        <v>3869.3680000000004</v>
      </c>
      <c r="DA347" s="33">
        <f>DA252</f>
        <v>4045.0459999999998</v>
      </c>
      <c r="DB347" s="103">
        <f t="shared" si="1212"/>
        <v>4045.0459999999998</v>
      </c>
      <c r="DC347" s="33">
        <f t="shared" ref="DC347:DQ347" si="1213">DC252</f>
        <v>4517.0569999999998</v>
      </c>
      <c r="DD347" s="33">
        <f t="shared" si="1213"/>
        <v>4374.0569999999998</v>
      </c>
      <c r="DE347" s="33">
        <f t="shared" si="1213"/>
        <v>3656.0569999999998</v>
      </c>
      <c r="DF347" s="33">
        <f t="shared" si="1213"/>
        <v>3144.0569999999998</v>
      </c>
      <c r="DG347" s="103">
        <f t="shared" si="1213"/>
        <v>3144.0569999999998</v>
      </c>
      <c r="DH347" s="33">
        <f>DH252</f>
        <v>3784.0569999999998</v>
      </c>
      <c r="DI347" s="33">
        <f>DI252</f>
        <v>3256.0569999999998</v>
      </c>
      <c r="DJ347" s="33">
        <f>DJ252</f>
        <v>3235.0569999999998</v>
      </c>
      <c r="DK347" s="33">
        <f>DK252</f>
        <v>2970.0569999999998</v>
      </c>
      <c r="DL347" s="103">
        <f t="shared" si="1213"/>
        <v>2970.0569999999998</v>
      </c>
      <c r="DM347" s="103"/>
      <c r="DN347" s="103"/>
      <c r="DO347" s="103"/>
      <c r="DP347" s="535"/>
      <c r="DQ347" s="103">
        <f t="shared" si="1213"/>
        <v>3152.0569999999998</v>
      </c>
      <c r="DR347" s="550"/>
      <c r="DS347" s="103"/>
      <c r="DT347" s="103"/>
      <c r="DU347" s="103"/>
      <c r="DV347" s="103">
        <f>DV252</f>
        <v>2988.0569999999998</v>
      </c>
      <c r="DW347" s="550"/>
      <c r="DX347" s="103"/>
      <c r="DY347" s="103"/>
      <c r="DZ347" s="103"/>
      <c r="EA347" s="103">
        <f>EA252</f>
        <v>3051.0569999999998</v>
      </c>
      <c r="EB347" s="550"/>
      <c r="EC347" s="103"/>
      <c r="ED347" s="103"/>
      <c r="EE347" s="103"/>
      <c r="EF347" s="103">
        <f>EF252</f>
        <v>3305.0569999999998</v>
      </c>
      <c r="EG347" s="103"/>
      <c r="EH347" s="103"/>
      <c r="EI347" s="103"/>
      <c r="EJ347" s="103"/>
      <c r="EK347" s="103">
        <f>EK252</f>
        <v>3273.0569999999998</v>
      </c>
      <c r="EL347" s="103"/>
      <c r="EM347" s="103"/>
      <c r="EN347" s="103"/>
      <c r="EO347" s="103"/>
      <c r="EP347" s="103">
        <f>EP252</f>
        <v>3273.0569999999998</v>
      </c>
      <c r="EQ347" s="103"/>
      <c r="ER347" s="103"/>
      <c r="ES347" s="103"/>
      <c r="ET347" s="103"/>
      <c r="EU347" s="103">
        <f>EU252</f>
        <v>3120.4791871001771</v>
      </c>
      <c r="EV347" s="103"/>
      <c r="EW347" s="103"/>
      <c r="EX347" s="103"/>
      <c r="EY347" s="103"/>
      <c r="EZ347" s="103">
        <f>EZ252</f>
        <v>2810.8743475538295</v>
      </c>
      <c r="FA347" s="103"/>
      <c r="FB347" s="103"/>
      <c r="FC347" s="103"/>
      <c r="FD347" s="103"/>
      <c r="FE347" s="103">
        <f>FE252</f>
        <v>2994.3061710196262</v>
      </c>
      <c r="FF347" s="33"/>
      <c r="FG347" s="460"/>
      <c r="FL347" s="425"/>
      <c r="FM347" s="425"/>
      <c r="FN347" s="384"/>
      <c r="FO347" s="384"/>
      <c r="FP347" s="384"/>
      <c r="FQ347" s="384"/>
      <c r="FR347" s="384"/>
      <c r="FS347" s="384"/>
      <c r="FT347" s="460"/>
    </row>
    <row r="348" spans="1:183" ht="12.75" hidden="1" customHeight="1" x14ac:dyDescent="0.2">
      <c r="A348" s="38" t="s">
        <v>134</v>
      </c>
      <c r="B348" s="184"/>
      <c r="C348" s="184"/>
      <c r="D348" s="184"/>
      <c r="E348" s="184"/>
      <c r="F348" s="279"/>
      <c r="G348" s="184"/>
      <c r="H348" s="184"/>
      <c r="I348" s="184"/>
      <c r="J348" s="184"/>
      <c r="K348" s="279"/>
      <c r="L348" s="184"/>
      <c r="M348" s="184"/>
      <c r="N348" s="184"/>
      <c r="O348" s="184"/>
      <c r="P348" s="279"/>
      <c r="Q348" s="184"/>
      <c r="R348" s="184"/>
      <c r="S348" s="184"/>
      <c r="T348" s="184"/>
      <c r="U348" s="279"/>
      <c r="V348" s="184"/>
      <c r="W348" s="184"/>
      <c r="X348" s="184"/>
      <c r="Y348" s="184"/>
      <c r="Z348" s="279"/>
      <c r="AA348" s="184"/>
      <c r="AB348" s="184"/>
      <c r="AC348" s="184"/>
      <c r="AD348" s="184"/>
      <c r="AE348" s="279"/>
      <c r="AF348" s="184"/>
      <c r="AG348" s="184"/>
      <c r="AH348" s="184"/>
      <c r="AI348" s="184"/>
      <c r="AJ348" s="279"/>
      <c r="AK348" s="184"/>
      <c r="AL348" s="184"/>
      <c r="AM348" s="184"/>
      <c r="AN348" s="184"/>
      <c r="AO348" s="279"/>
      <c r="AP348" s="184"/>
      <c r="AQ348" s="184"/>
      <c r="AR348" s="184"/>
      <c r="AS348" s="184"/>
      <c r="AT348" s="279"/>
      <c r="AU348" s="184"/>
      <c r="AV348" s="184"/>
      <c r="AW348" s="184"/>
      <c r="AX348" s="184"/>
      <c r="AY348" s="279"/>
      <c r="AZ348" s="184"/>
      <c r="BA348" s="184"/>
      <c r="BB348" s="184"/>
      <c r="BC348" s="184"/>
      <c r="BD348" s="279"/>
      <c r="BE348" s="184"/>
      <c r="BF348" s="184"/>
      <c r="BG348" s="184"/>
      <c r="BH348" s="184"/>
      <c r="BI348" s="279"/>
      <c r="BJ348" s="184"/>
      <c r="BK348" s="184"/>
      <c r="BL348" s="184"/>
      <c r="BM348" s="184"/>
      <c r="BN348" s="279"/>
      <c r="BO348" s="184"/>
      <c r="BP348" s="184"/>
      <c r="BQ348" s="184"/>
      <c r="BR348" s="184"/>
      <c r="BS348" s="279"/>
      <c r="BT348" s="184"/>
      <c r="BU348" s="184"/>
      <c r="BV348" s="184"/>
      <c r="BW348" s="184"/>
      <c r="BX348" s="279"/>
      <c r="BY348" s="184"/>
      <c r="BZ348" s="184"/>
      <c r="CA348" s="184"/>
      <c r="CB348" s="184"/>
      <c r="CC348" s="279"/>
      <c r="CD348" s="184"/>
      <c r="CE348" s="184"/>
      <c r="CF348" s="184"/>
      <c r="CG348" s="184"/>
      <c r="CH348" s="279"/>
      <c r="CI348" s="184"/>
      <c r="CJ348" s="184"/>
      <c r="CK348" s="184"/>
      <c r="CL348" s="184"/>
      <c r="CM348" s="279"/>
      <c r="CN348" s="184"/>
      <c r="CO348" s="184"/>
      <c r="CP348" s="184"/>
      <c r="CQ348" s="184"/>
      <c r="CR348" s="279"/>
      <c r="CS348" s="33">
        <f t="shared" ref="CS348:DG348" si="1214">CS267+CS268+CS274</f>
        <v>4697.7929999999997</v>
      </c>
      <c r="CT348" s="33">
        <f t="shared" si="1214"/>
        <v>4431.8909999999996</v>
      </c>
      <c r="CU348" s="33">
        <f t="shared" si="1214"/>
        <v>4688.1569999999992</v>
      </c>
      <c r="CV348" s="33">
        <f t="shared" si="1214"/>
        <v>4729.0169999999998</v>
      </c>
      <c r="CW348" s="103">
        <f t="shared" si="1214"/>
        <v>4729.0169999999998</v>
      </c>
      <c r="CX348" s="33">
        <f t="shared" si="1214"/>
        <v>4557.098</v>
      </c>
      <c r="CY348" s="33">
        <f t="shared" si="1214"/>
        <v>4517.6349999999993</v>
      </c>
      <c r="CZ348" s="33">
        <f t="shared" si="1214"/>
        <v>4429.5689999999995</v>
      </c>
      <c r="DA348" s="33">
        <f t="shared" si="1214"/>
        <v>4376.49</v>
      </c>
      <c r="DB348" s="103">
        <f t="shared" si="1214"/>
        <v>4376.49</v>
      </c>
      <c r="DC348" s="33">
        <f t="shared" si="1214"/>
        <v>4302.3990000000003</v>
      </c>
      <c r="DD348" s="33">
        <f t="shared" si="1214"/>
        <v>4232</v>
      </c>
      <c r="DE348" s="33">
        <f t="shared" si="1214"/>
        <v>4206</v>
      </c>
      <c r="DF348" s="33">
        <f t="shared" si="1214"/>
        <v>3751</v>
      </c>
      <c r="DG348" s="103">
        <f t="shared" si="1214"/>
        <v>3751</v>
      </c>
      <c r="DH348" s="33">
        <f t="shared" ref="DH348:DQ348" si="1215">DH267+DH268+DH274</f>
        <v>3307</v>
      </c>
      <c r="DI348" s="33">
        <f t="shared" si="1215"/>
        <v>3276</v>
      </c>
      <c r="DJ348" s="33">
        <f t="shared" si="1215"/>
        <v>3226</v>
      </c>
      <c r="DK348" s="33">
        <f t="shared" si="1215"/>
        <v>3154</v>
      </c>
      <c r="DL348" s="103">
        <f t="shared" si="1215"/>
        <v>3154</v>
      </c>
      <c r="DM348" s="103"/>
      <c r="DN348" s="103"/>
      <c r="DO348" s="103"/>
      <c r="DP348" s="535"/>
      <c r="DQ348" s="103">
        <f t="shared" si="1215"/>
        <v>2820</v>
      </c>
      <c r="DR348" s="550"/>
      <c r="DS348" s="103"/>
      <c r="DT348" s="103"/>
      <c r="DU348" s="103"/>
      <c r="DV348" s="103">
        <f>DV267+DV268+DV274</f>
        <v>2692</v>
      </c>
      <c r="DW348" s="550"/>
      <c r="DX348" s="103"/>
      <c r="DY348" s="103"/>
      <c r="DZ348" s="103"/>
      <c r="EA348" s="103">
        <f>EA267+EA268+EA274</f>
        <v>3178</v>
      </c>
      <c r="EB348" s="550"/>
      <c r="EC348" s="103"/>
      <c r="ED348" s="103"/>
      <c r="EE348" s="103"/>
      <c r="EF348" s="103">
        <f>EF267+EF268+EF274</f>
        <v>3387</v>
      </c>
      <c r="EG348" s="103"/>
      <c r="EH348" s="103"/>
      <c r="EI348" s="103"/>
      <c r="EJ348" s="103"/>
      <c r="EK348" s="103">
        <f>EK267+EK268+EK274</f>
        <v>3668</v>
      </c>
      <c r="EL348" s="103"/>
      <c r="EM348" s="103"/>
      <c r="EN348" s="103"/>
      <c r="EO348" s="103"/>
      <c r="EP348" s="103">
        <f>EP267+EP268+EP274</f>
        <v>3668</v>
      </c>
      <c r="EQ348" s="103"/>
      <c r="ER348" s="103"/>
      <c r="ES348" s="103"/>
      <c r="ET348" s="103"/>
      <c r="EU348" s="103">
        <f>EU267+EU268+EU274</f>
        <v>3912</v>
      </c>
      <c r="EV348" s="103"/>
      <c r="EW348" s="103"/>
      <c r="EX348" s="103"/>
      <c r="EY348" s="103"/>
      <c r="EZ348" s="103">
        <f>EZ267+EZ268+EZ274</f>
        <v>3892.5</v>
      </c>
      <c r="FA348" s="103"/>
      <c r="FB348" s="103"/>
      <c r="FC348" s="103"/>
      <c r="FD348" s="103"/>
      <c r="FE348" s="103">
        <f>FE267+FE268+FE274</f>
        <v>3873</v>
      </c>
      <c r="FF348" s="40"/>
      <c r="FG348" s="190"/>
      <c r="FL348" s="406"/>
      <c r="FM348" s="406"/>
      <c r="FN348" s="368"/>
      <c r="FO348" s="368"/>
      <c r="FP348" s="368"/>
      <c r="FQ348" s="368"/>
      <c r="FR348" s="368"/>
      <c r="FS348" s="368"/>
      <c r="FT348" s="190"/>
    </row>
    <row r="349" spans="1:183" ht="12.75" hidden="1" customHeight="1" x14ac:dyDescent="0.2">
      <c r="A349" s="38" t="s">
        <v>135</v>
      </c>
      <c r="B349" s="184"/>
      <c r="C349" s="184"/>
      <c r="D349" s="184"/>
      <c r="E349" s="184"/>
      <c r="F349" s="279"/>
      <c r="G349" s="184"/>
      <c r="H349" s="184"/>
      <c r="I349" s="184"/>
      <c r="J349" s="184"/>
      <c r="K349" s="279"/>
      <c r="L349" s="184"/>
      <c r="M349" s="184"/>
      <c r="N349" s="184"/>
      <c r="O349" s="184"/>
      <c r="P349" s="279"/>
      <c r="Q349" s="184"/>
      <c r="R349" s="184"/>
      <c r="S349" s="184"/>
      <c r="T349" s="184"/>
      <c r="U349" s="279"/>
      <c r="V349" s="184"/>
      <c r="W349" s="184"/>
      <c r="X349" s="184"/>
      <c r="Y349" s="184"/>
      <c r="Z349" s="279"/>
      <c r="AA349" s="184"/>
      <c r="AB349" s="184"/>
      <c r="AC349" s="184"/>
      <c r="AD349" s="184"/>
      <c r="AE349" s="279"/>
      <c r="AF349" s="184"/>
      <c r="AG349" s="184"/>
      <c r="AH349" s="184"/>
      <c r="AI349" s="184"/>
      <c r="AJ349" s="279"/>
      <c r="AK349" s="184"/>
      <c r="AL349" s="184"/>
      <c r="AM349" s="184"/>
      <c r="AN349" s="184"/>
      <c r="AO349" s="279"/>
      <c r="AP349" s="184"/>
      <c r="AQ349" s="184"/>
      <c r="AR349" s="184"/>
      <c r="AS349" s="184"/>
      <c r="AT349" s="279"/>
      <c r="AU349" s="184"/>
      <c r="AV349" s="184"/>
      <c r="AW349" s="184"/>
      <c r="AX349" s="184"/>
      <c r="AY349" s="279"/>
      <c r="AZ349" s="184"/>
      <c r="BA349" s="184"/>
      <c r="BB349" s="184"/>
      <c r="BC349" s="184"/>
      <c r="BD349" s="279"/>
      <c r="BE349" s="184"/>
      <c r="BF349" s="184"/>
      <c r="BG349" s="184"/>
      <c r="BH349" s="184"/>
      <c r="BI349" s="279"/>
      <c r="BJ349" s="184"/>
      <c r="BK349" s="184"/>
      <c r="BL349" s="184"/>
      <c r="BM349" s="184"/>
      <c r="BN349" s="279"/>
      <c r="BO349" s="184"/>
      <c r="BP349" s="184"/>
      <c r="BQ349" s="184"/>
      <c r="BR349" s="184"/>
      <c r="BS349" s="279"/>
      <c r="BT349" s="184"/>
      <c r="BU349" s="184"/>
      <c r="BV349" s="184"/>
      <c r="BW349" s="184"/>
      <c r="BX349" s="279"/>
      <c r="BY349" s="184"/>
      <c r="BZ349" s="184"/>
      <c r="CA349" s="184"/>
      <c r="CB349" s="184"/>
      <c r="CC349" s="279"/>
      <c r="CD349" s="184"/>
      <c r="CE349" s="184"/>
      <c r="CF349" s="184"/>
      <c r="CG349" s="184"/>
      <c r="CH349" s="279"/>
      <c r="CI349" s="184"/>
      <c r="CJ349" s="184"/>
      <c r="CK349" s="184"/>
      <c r="CL349" s="184"/>
      <c r="CM349" s="279"/>
      <c r="CN349" s="184"/>
      <c r="CO349" s="184"/>
      <c r="CP349" s="184"/>
      <c r="CQ349" s="184"/>
      <c r="CR349" s="279"/>
      <c r="CS349" s="47">
        <v>200</v>
      </c>
      <c r="CT349" s="47">
        <v>200</v>
      </c>
      <c r="CU349" s="47">
        <v>200</v>
      </c>
      <c r="CV349" s="47">
        <v>276</v>
      </c>
      <c r="CW349" s="118">
        <v>276</v>
      </c>
      <c r="CX349" s="47">
        <v>276</v>
      </c>
      <c r="CY349" s="47">
        <v>276</v>
      </c>
      <c r="CZ349" s="47">
        <v>180</v>
      </c>
      <c r="DA349" s="47">
        <v>180</v>
      </c>
      <c r="DB349" s="118">
        <v>180</v>
      </c>
      <c r="DC349" s="47">
        <v>180</v>
      </c>
      <c r="DD349" s="47">
        <f>110+14</f>
        <v>124</v>
      </c>
      <c r="DE349" s="47">
        <v>0</v>
      </c>
      <c r="DF349" s="47">
        <v>0</v>
      </c>
      <c r="DG349" s="118">
        <v>0</v>
      </c>
      <c r="DH349" s="47">
        <v>0</v>
      </c>
      <c r="DI349" s="47">
        <v>0</v>
      </c>
      <c r="DJ349" s="47">
        <v>0</v>
      </c>
      <c r="DK349" s="47">
        <v>0</v>
      </c>
      <c r="DL349" s="118">
        <v>0</v>
      </c>
      <c r="DM349" s="118"/>
      <c r="DN349" s="118"/>
      <c r="DO349" s="118"/>
      <c r="DP349" s="532"/>
      <c r="DQ349" s="118">
        <v>0</v>
      </c>
      <c r="DR349" s="549"/>
      <c r="DS349" s="118"/>
      <c r="DT349" s="118"/>
      <c r="DU349" s="118"/>
      <c r="DV349" s="118">
        <v>0</v>
      </c>
      <c r="DW349" s="549"/>
      <c r="DX349" s="118"/>
      <c r="DY349" s="118"/>
      <c r="DZ349" s="118"/>
      <c r="EA349" s="118">
        <v>0</v>
      </c>
      <c r="EB349" s="549"/>
      <c r="EC349" s="118"/>
      <c r="ED349" s="118"/>
      <c r="EE349" s="118"/>
      <c r="EF349" s="118">
        <v>0</v>
      </c>
      <c r="EG349" s="118"/>
      <c r="EH349" s="118"/>
      <c r="EI349" s="118"/>
      <c r="EJ349" s="118"/>
      <c r="EK349" s="118">
        <v>0</v>
      </c>
      <c r="EL349" s="118"/>
      <c r="EM349" s="118"/>
      <c r="EN349" s="118"/>
      <c r="EO349" s="118"/>
      <c r="EP349" s="118">
        <v>0</v>
      </c>
      <c r="EQ349" s="118"/>
      <c r="ER349" s="118"/>
      <c r="ES349" s="118"/>
      <c r="ET349" s="118"/>
      <c r="EU349" s="118">
        <v>0</v>
      </c>
      <c r="EV349" s="118"/>
      <c r="EW349" s="118"/>
      <c r="EX349" s="118"/>
      <c r="EY349" s="118"/>
      <c r="EZ349" s="118">
        <v>0</v>
      </c>
      <c r="FA349" s="118"/>
      <c r="FB349" s="118"/>
      <c r="FC349" s="118"/>
      <c r="FD349" s="118"/>
      <c r="FE349" s="118">
        <v>0</v>
      </c>
      <c r="FF349" s="40"/>
      <c r="FG349" s="190"/>
      <c r="FL349" s="406"/>
      <c r="FM349" s="406"/>
      <c r="FN349" s="368"/>
      <c r="FO349" s="368"/>
      <c r="FP349" s="368"/>
      <c r="FQ349" s="368"/>
      <c r="FR349" s="368"/>
      <c r="FS349" s="368"/>
      <c r="FT349" s="190"/>
    </row>
    <row r="350" spans="1:183" ht="12.75" hidden="1" customHeight="1" x14ac:dyDescent="0.2">
      <c r="A350" s="21"/>
      <c r="B350" s="184"/>
      <c r="C350" s="184"/>
      <c r="D350" s="184"/>
      <c r="E350" s="184"/>
      <c r="F350" s="279"/>
      <c r="G350" s="184"/>
      <c r="H350" s="184"/>
      <c r="I350" s="184"/>
      <c r="J350" s="184"/>
      <c r="K350" s="279"/>
      <c r="L350" s="184"/>
      <c r="M350" s="184"/>
      <c r="N350" s="184"/>
      <c r="O350" s="184"/>
      <c r="P350" s="279"/>
      <c r="Q350" s="184"/>
      <c r="R350" s="184"/>
      <c r="S350" s="184"/>
      <c r="T350" s="184"/>
      <c r="U350" s="279"/>
      <c r="V350" s="184"/>
      <c r="W350" s="184"/>
      <c r="X350" s="184"/>
      <c r="Y350" s="184"/>
      <c r="Z350" s="279"/>
      <c r="AA350" s="184"/>
      <c r="AB350" s="184"/>
      <c r="AC350" s="184"/>
      <c r="AD350" s="184"/>
      <c r="AE350" s="279"/>
      <c r="AF350" s="184"/>
      <c r="AG350" s="184"/>
      <c r="AH350" s="184"/>
      <c r="AI350" s="184"/>
      <c r="AJ350" s="279"/>
      <c r="AK350" s="184"/>
      <c r="AL350" s="184"/>
      <c r="AM350" s="184"/>
      <c r="AN350" s="184"/>
      <c r="AO350" s="279"/>
      <c r="AP350" s="184"/>
      <c r="AQ350" s="184"/>
      <c r="AR350" s="184"/>
      <c r="AS350" s="184"/>
      <c r="AT350" s="279"/>
      <c r="AU350" s="184"/>
      <c r="AV350" s="184"/>
      <c r="AW350" s="184"/>
      <c r="AX350" s="184"/>
      <c r="AY350" s="279"/>
      <c r="AZ350" s="184"/>
      <c r="BA350" s="184"/>
      <c r="BB350" s="184"/>
      <c r="BC350" s="184"/>
      <c r="BD350" s="279"/>
      <c r="BE350" s="184"/>
      <c r="BF350" s="184"/>
      <c r="BG350" s="184"/>
      <c r="BH350" s="184"/>
      <c r="BI350" s="279"/>
      <c r="BJ350" s="184"/>
      <c r="BK350" s="184"/>
      <c r="BL350" s="184"/>
      <c r="BM350" s="184"/>
      <c r="BN350" s="279"/>
      <c r="BO350" s="184"/>
      <c r="BP350" s="184"/>
      <c r="BQ350" s="184"/>
      <c r="BR350" s="184"/>
      <c r="BS350" s="279"/>
      <c r="BT350" s="184"/>
      <c r="BU350" s="184"/>
      <c r="BV350" s="184"/>
      <c r="BW350" s="184"/>
      <c r="BX350" s="279"/>
      <c r="BY350" s="184"/>
      <c r="BZ350" s="184"/>
      <c r="CA350" s="184"/>
      <c r="CB350" s="184"/>
      <c r="CC350" s="279"/>
      <c r="CD350" s="184"/>
      <c r="CE350" s="184"/>
      <c r="CF350" s="184"/>
      <c r="CG350" s="184"/>
      <c r="CH350" s="279"/>
      <c r="CI350" s="184"/>
      <c r="CJ350" s="184"/>
      <c r="CK350" s="184"/>
      <c r="CL350" s="184"/>
      <c r="CM350" s="279"/>
      <c r="CN350" s="184"/>
      <c r="CO350" s="184"/>
      <c r="CP350" s="184"/>
      <c r="CQ350" s="184"/>
      <c r="CR350" s="279"/>
      <c r="CS350" s="30"/>
      <c r="CT350" s="30"/>
      <c r="CU350" s="30"/>
      <c r="CV350" s="30"/>
      <c r="CW350" s="113"/>
      <c r="CX350" s="30"/>
      <c r="CY350" s="30"/>
      <c r="CZ350" s="30"/>
      <c r="DA350" s="30"/>
      <c r="DB350" s="113"/>
      <c r="DC350" s="30"/>
      <c r="DD350" s="30"/>
      <c r="DE350" s="30"/>
      <c r="DF350" s="30"/>
      <c r="DG350" s="113"/>
      <c r="DH350" s="30"/>
      <c r="DI350" s="30"/>
      <c r="DJ350" s="30"/>
      <c r="DK350" s="30"/>
      <c r="DL350" s="113"/>
      <c r="DM350" s="113"/>
      <c r="DN350" s="113"/>
      <c r="DO350" s="113"/>
      <c r="DP350" s="534"/>
      <c r="DQ350" s="113"/>
      <c r="DR350" s="552"/>
      <c r="DS350" s="113"/>
      <c r="DT350" s="113"/>
      <c r="DU350" s="113"/>
      <c r="DV350" s="113"/>
      <c r="DW350" s="552"/>
      <c r="DX350" s="113"/>
      <c r="DY350" s="113"/>
      <c r="DZ350" s="113"/>
      <c r="EA350" s="113"/>
      <c r="EB350" s="552"/>
      <c r="EC350" s="113"/>
      <c r="ED350" s="113"/>
      <c r="EE350" s="113"/>
      <c r="EF350" s="113"/>
      <c r="EG350" s="113"/>
      <c r="EH350" s="113"/>
      <c r="EI350" s="113"/>
      <c r="EJ350" s="113"/>
      <c r="EK350" s="113"/>
      <c r="EL350" s="113"/>
      <c r="EM350" s="113"/>
      <c r="EN350" s="113"/>
      <c r="EO350" s="113"/>
      <c r="EP350" s="113"/>
      <c r="EQ350" s="113"/>
      <c r="ER350" s="113"/>
      <c r="ES350" s="113"/>
      <c r="ET350" s="113"/>
      <c r="EU350" s="113"/>
      <c r="EV350" s="113"/>
      <c r="EW350" s="113"/>
      <c r="EX350" s="113"/>
      <c r="EY350" s="113"/>
      <c r="EZ350" s="113"/>
      <c r="FA350" s="113"/>
      <c r="FB350" s="113"/>
      <c r="FC350" s="113"/>
      <c r="FD350" s="113"/>
      <c r="FE350" s="113"/>
      <c r="FF350" s="40"/>
      <c r="FG350" s="190"/>
      <c r="FL350" s="406"/>
      <c r="FM350" s="406"/>
      <c r="FN350" s="368"/>
      <c r="FO350" s="368"/>
      <c r="FP350" s="368"/>
      <c r="FQ350" s="368"/>
      <c r="FR350" s="368"/>
      <c r="FS350" s="368"/>
      <c r="FT350" s="190"/>
    </row>
    <row r="351" spans="1:183" ht="12.75" hidden="1" customHeight="1" x14ac:dyDescent="0.2">
      <c r="A351" s="38" t="s">
        <v>136</v>
      </c>
      <c r="B351" s="186"/>
      <c r="C351" s="186"/>
      <c r="D351" s="186"/>
      <c r="E351" s="186"/>
      <c r="F351" s="266"/>
      <c r="G351" s="186"/>
      <c r="H351" s="186"/>
      <c r="I351" s="186"/>
      <c r="J351" s="186"/>
      <c r="K351" s="266"/>
      <c r="L351" s="186"/>
      <c r="M351" s="186"/>
      <c r="N351" s="186"/>
      <c r="O351" s="186"/>
      <c r="P351" s="266"/>
      <c r="Q351" s="186"/>
      <c r="R351" s="186"/>
      <c r="S351" s="186"/>
      <c r="T351" s="186"/>
      <c r="U351" s="266"/>
      <c r="V351" s="186"/>
      <c r="W351" s="186"/>
      <c r="X351" s="186"/>
      <c r="Y351" s="186"/>
      <c r="Z351" s="266"/>
      <c r="AA351" s="186"/>
      <c r="AB351" s="186"/>
      <c r="AC351" s="186"/>
      <c r="AD351" s="186"/>
      <c r="AE351" s="266"/>
      <c r="AF351" s="186"/>
      <c r="AG351" s="186"/>
      <c r="AH351" s="186"/>
      <c r="AI351" s="186"/>
      <c r="AJ351" s="266"/>
      <c r="AK351" s="186"/>
      <c r="AL351" s="186"/>
      <c r="AM351" s="186"/>
      <c r="AN351" s="186"/>
      <c r="AO351" s="266"/>
      <c r="AP351" s="186"/>
      <c r="AQ351" s="186"/>
      <c r="AR351" s="186"/>
      <c r="AS351" s="186"/>
      <c r="AT351" s="266"/>
      <c r="AU351" s="186"/>
      <c r="AV351" s="186"/>
      <c r="AW351" s="186"/>
      <c r="AX351" s="186"/>
      <c r="AY351" s="266"/>
      <c r="AZ351" s="186"/>
      <c r="BA351" s="186"/>
      <c r="BB351" s="186"/>
      <c r="BC351" s="186"/>
      <c r="BD351" s="266"/>
      <c r="BE351" s="186"/>
      <c r="BF351" s="186"/>
      <c r="BG351" s="186"/>
      <c r="BH351" s="186"/>
      <c r="BI351" s="266"/>
      <c r="BJ351" s="186"/>
      <c r="BK351" s="186"/>
      <c r="BL351" s="186"/>
      <c r="BM351" s="186"/>
      <c r="BN351" s="266"/>
      <c r="BO351" s="186"/>
      <c r="BP351" s="186"/>
      <c r="BQ351" s="186"/>
      <c r="BR351" s="186"/>
      <c r="BS351" s="266"/>
      <c r="BT351" s="186"/>
      <c r="BU351" s="186"/>
      <c r="BV351" s="186"/>
      <c r="BW351" s="186"/>
      <c r="BX351" s="266"/>
      <c r="BY351" s="186"/>
      <c r="BZ351" s="186"/>
      <c r="CA351" s="186"/>
      <c r="CB351" s="186"/>
      <c r="CC351" s="266"/>
      <c r="CD351" s="186"/>
      <c r="CE351" s="186"/>
      <c r="CF351" s="186"/>
      <c r="CG351" s="186"/>
      <c r="CH351" s="266"/>
      <c r="CI351" s="186"/>
      <c r="CJ351" s="186"/>
      <c r="CK351" s="186"/>
      <c r="CL351" s="186"/>
      <c r="CM351" s="266"/>
      <c r="CN351" s="186"/>
      <c r="CO351" s="186"/>
      <c r="CP351" s="186"/>
      <c r="CQ351" s="186"/>
      <c r="CR351" s="266"/>
      <c r="CS351" s="33">
        <f t="shared" ref="CS351:DB351" si="1216">CS348-CS347-CS349</f>
        <v>1889.2039999999997</v>
      </c>
      <c r="CT351" s="33">
        <f t="shared" si="1216"/>
        <v>1575.9549999999999</v>
      </c>
      <c r="CU351" s="33">
        <f t="shared" si="1216"/>
        <v>1770.3479999999995</v>
      </c>
      <c r="CV351" s="33">
        <f t="shared" si="1216"/>
        <v>1262.9929999999999</v>
      </c>
      <c r="CW351" s="103">
        <f t="shared" si="1216"/>
        <v>1262.9929999999999</v>
      </c>
      <c r="CX351" s="33">
        <f>CX348-CX347-CX349</f>
        <v>920.17999999999984</v>
      </c>
      <c r="CY351" s="33">
        <f>CY348-CY347-CY349</f>
        <v>528.12099999999964</v>
      </c>
      <c r="CZ351" s="33">
        <f>CZ348-CZ347-CZ349</f>
        <v>380.20099999999911</v>
      </c>
      <c r="DA351" s="33">
        <f>DA348-DA347-DA349</f>
        <v>151.44399999999996</v>
      </c>
      <c r="DB351" s="103">
        <f t="shared" si="1216"/>
        <v>151.44399999999996</v>
      </c>
      <c r="DC351" s="33">
        <f t="shared" ref="DC351:DQ351" si="1217">DC348-DC347-DC349</f>
        <v>-394.65799999999945</v>
      </c>
      <c r="DD351" s="33">
        <f t="shared" si="1217"/>
        <v>-266.05699999999979</v>
      </c>
      <c r="DE351" s="33">
        <f t="shared" si="1217"/>
        <v>549.94300000000021</v>
      </c>
      <c r="DF351" s="33">
        <f t="shared" si="1217"/>
        <v>606.94300000000021</v>
      </c>
      <c r="DG351" s="103">
        <f t="shared" si="1217"/>
        <v>606.94300000000021</v>
      </c>
      <c r="DH351" s="33">
        <f>DH348-DH347-DH349</f>
        <v>-477.05699999999979</v>
      </c>
      <c r="DI351" s="33">
        <f>DI348-DI347-DI349</f>
        <v>19.943000000000211</v>
      </c>
      <c r="DJ351" s="33">
        <f>DJ348-DJ347-DJ349</f>
        <v>-9.056999999999789</v>
      </c>
      <c r="DK351" s="33">
        <f>DK348-DK347-DK349</f>
        <v>183.94300000000021</v>
      </c>
      <c r="DL351" s="103">
        <f t="shared" si="1217"/>
        <v>183.94300000000021</v>
      </c>
      <c r="DM351" s="103"/>
      <c r="DN351" s="103"/>
      <c r="DO351" s="103"/>
      <c r="DP351" s="535"/>
      <c r="DQ351" s="103">
        <f t="shared" si="1217"/>
        <v>-332.05699999999979</v>
      </c>
      <c r="DR351" s="550"/>
      <c r="DS351" s="103"/>
      <c r="DT351" s="103"/>
      <c r="DU351" s="103"/>
      <c r="DV351" s="103">
        <f>DV348-DV347-DV349</f>
        <v>-296.05699999999979</v>
      </c>
      <c r="DW351" s="550"/>
      <c r="DX351" s="103"/>
      <c r="DY351" s="103"/>
      <c r="DZ351" s="103"/>
      <c r="EA351" s="103">
        <f>EA348-EA347-EA349</f>
        <v>126.94300000000021</v>
      </c>
      <c r="EB351" s="550"/>
      <c r="EC351" s="103"/>
      <c r="ED351" s="103"/>
      <c r="EE351" s="103"/>
      <c r="EF351" s="103">
        <f>EF348-EF347-EF349</f>
        <v>81.943000000000211</v>
      </c>
      <c r="EG351" s="103"/>
      <c r="EH351" s="103"/>
      <c r="EI351" s="103"/>
      <c r="EJ351" s="103"/>
      <c r="EK351" s="103">
        <f>EK348-EK347-EK349</f>
        <v>394.94300000000021</v>
      </c>
      <c r="EL351" s="103"/>
      <c r="EM351" s="103"/>
      <c r="EN351" s="103"/>
      <c r="EO351" s="103"/>
      <c r="EP351" s="103">
        <f>EP348-EP347-EP349</f>
        <v>394.94300000000021</v>
      </c>
      <c r="EQ351" s="103"/>
      <c r="ER351" s="103"/>
      <c r="ES351" s="103"/>
      <c r="ET351" s="103"/>
      <c r="EU351" s="103">
        <f>EU348-EU347-EU349</f>
        <v>791.52081289982289</v>
      </c>
      <c r="EV351" s="103"/>
      <c r="EW351" s="103"/>
      <c r="EX351" s="103"/>
      <c r="EY351" s="103"/>
      <c r="EZ351" s="103">
        <f>EZ348-EZ347-EZ349</f>
        <v>1081.6256524461705</v>
      </c>
      <c r="FA351" s="103"/>
      <c r="FB351" s="103"/>
      <c r="FC351" s="103"/>
      <c r="FD351" s="103"/>
      <c r="FE351" s="103">
        <f>FE348-FE347-FE349</f>
        <v>878.69382898037384</v>
      </c>
      <c r="FF351" s="33"/>
      <c r="FG351" s="460"/>
      <c r="FL351" s="425"/>
      <c r="FM351" s="425"/>
      <c r="FN351" s="384"/>
      <c r="FO351" s="384"/>
      <c r="FP351" s="384"/>
      <c r="FQ351" s="384"/>
      <c r="FR351" s="384"/>
      <c r="FS351" s="384"/>
      <c r="FT351" s="460"/>
    </row>
    <row r="352" spans="1:183" ht="12.75" hidden="1" customHeight="1" x14ac:dyDescent="0.2">
      <c r="A352" s="38" t="s">
        <v>231</v>
      </c>
      <c r="B352" s="186"/>
      <c r="C352" s="186"/>
      <c r="D352" s="186"/>
      <c r="E352" s="186"/>
      <c r="F352" s="266"/>
      <c r="G352" s="186"/>
      <c r="H352" s="186"/>
      <c r="I352" s="186"/>
      <c r="J352" s="186"/>
      <c r="K352" s="266"/>
      <c r="L352" s="186"/>
      <c r="M352" s="186"/>
      <c r="N352" s="186"/>
      <c r="O352" s="186"/>
      <c r="P352" s="266"/>
      <c r="Q352" s="186"/>
      <c r="R352" s="186"/>
      <c r="S352" s="186"/>
      <c r="T352" s="186"/>
      <c r="U352" s="266"/>
      <c r="V352" s="186"/>
      <c r="W352" s="186"/>
      <c r="X352" s="186"/>
      <c r="Y352" s="186"/>
      <c r="Z352" s="266"/>
      <c r="AA352" s="186"/>
      <c r="AB352" s="186"/>
      <c r="AC352" s="186"/>
      <c r="AD352" s="186"/>
      <c r="AE352" s="266"/>
      <c r="AF352" s="186"/>
      <c r="AG352" s="186"/>
      <c r="AH352" s="186"/>
      <c r="AI352" s="186"/>
      <c r="AJ352" s="266"/>
      <c r="AK352" s="186"/>
      <c r="AL352" s="186"/>
      <c r="AM352" s="186"/>
      <c r="AN352" s="186"/>
      <c r="AO352" s="266"/>
      <c r="AP352" s="186"/>
      <c r="AQ352" s="186"/>
      <c r="AR352" s="186"/>
      <c r="AS352" s="186"/>
      <c r="AT352" s="266"/>
      <c r="AU352" s="186"/>
      <c r="AV352" s="186"/>
      <c r="AW352" s="186"/>
      <c r="AX352" s="186"/>
      <c r="AY352" s="266"/>
      <c r="AZ352" s="186"/>
      <c r="BA352" s="186"/>
      <c r="BB352" s="186"/>
      <c r="BC352" s="186"/>
      <c r="BD352" s="266"/>
      <c r="BE352" s="186"/>
      <c r="BF352" s="186"/>
      <c r="BG352" s="186"/>
      <c r="BH352" s="186"/>
      <c r="BI352" s="266"/>
      <c r="BJ352" s="186"/>
      <c r="BK352" s="186"/>
      <c r="BL352" s="186"/>
      <c r="BM352" s="186"/>
      <c r="BN352" s="266"/>
      <c r="BO352" s="186"/>
      <c r="BP352" s="186"/>
      <c r="BQ352" s="186"/>
      <c r="BR352" s="186"/>
      <c r="BS352" s="266"/>
      <c r="BT352" s="186"/>
      <c r="BU352" s="186"/>
      <c r="BV352" s="186"/>
      <c r="BW352" s="186"/>
      <c r="BX352" s="266"/>
      <c r="BY352" s="186"/>
      <c r="BZ352" s="186"/>
      <c r="CA352" s="186"/>
      <c r="CB352" s="186"/>
      <c r="CC352" s="266"/>
      <c r="CD352" s="186"/>
      <c r="CE352" s="186"/>
      <c r="CF352" s="186"/>
      <c r="CG352" s="186"/>
      <c r="CH352" s="266"/>
      <c r="CI352" s="186"/>
      <c r="CJ352" s="186"/>
      <c r="CK352" s="186"/>
      <c r="CL352" s="186"/>
      <c r="CM352" s="266"/>
      <c r="CN352" s="186"/>
      <c r="CO352" s="186"/>
      <c r="CP352" s="186"/>
      <c r="CQ352" s="186"/>
      <c r="CR352" s="266"/>
      <c r="CS352" s="33">
        <f t="shared" ref="CS352:DB352" si="1218">CS348-CS346-CS349</f>
        <v>1979.1169999999997</v>
      </c>
      <c r="CT352" s="33">
        <f t="shared" si="1218"/>
        <v>1646.7219999999998</v>
      </c>
      <c r="CU352" s="33">
        <f t="shared" si="1218"/>
        <v>1825.5639999999994</v>
      </c>
      <c r="CV352" s="33">
        <f t="shared" si="1218"/>
        <v>1315.3829999999998</v>
      </c>
      <c r="CW352" s="103">
        <f t="shared" si="1218"/>
        <v>1315.3829999999998</v>
      </c>
      <c r="CX352" s="33">
        <f>CX348-CX346-CX349</f>
        <v>973.26299999999992</v>
      </c>
      <c r="CY352" s="33">
        <f>CY348-CY346-CY349</f>
        <v>581.93699999999944</v>
      </c>
      <c r="CZ352" s="33">
        <f>CZ348-CZ346-CZ349</f>
        <v>445.71099999999933</v>
      </c>
      <c r="DA352" s="33">
        <f>DA348-DA346-DA349</f>
        <v>204.17299999999977</v>
      </c>
      <c r="DB352" s="103">
        <f t="shared" si="1218"/>
        <v>204.17299999999977</v>
      </c>
      <c r="DC352" s="33">
        <f t="shared" ref="DC352:DQ352" si="1219">DC348-DC346-DC349</f>
        <v>-342.65799999999945</v>
      </c>
      <c r="DD352" s="33">
        <f t="shared" si="1219"/>
        <v>-266.05699999999979</v>
      </c>
      <c r="DE352" s="33">
        <f t="shared" si="1219"/>
        <v>549.94300000000021</v>
      </c>
      <c r="DF352" s="33">
        <f t="shared" si="1219"/>
        <v>606.94300000000021</v>
      </c>
      <c r="DG352" s="103">
        <f t="shared" si="1219"/>
        <v>606.94300000000021</v>
      </c>
      <c r="DH352" s="33">
        <f>DH348-DH346-DH349</f>
        <v>-477.05699999999979</v>
      </c>
      <c r="DI352" s="33">
        <f>DI348-DI346-DI349</f>
        <v>19.943000000000211</v>
      </c>
      <c r="DJ352" s="33">
        <f>DJ348-DJ346-DJ349</f>
        <v>-9.056999999999789</v>
      </c>
      <c r="DK352" s="33">
        <f>DK348-DK346-DK349</f>
        <v>183.94300000000021</v>
      </c>
      <c r="DL352" s="103">
        <f t="shared" si="1219"/>
        <v>183.94300000000021</v>
      </c>
      <c r="DM352" s="103"/>
      <c r="DN352" s="103"/>
      <c r="DO352" s="103"/>
      <c r="DP352" s="535"/>
      <c r="DQ352" s="103">
        <f t="shared" si="1219"/>
        <v>-332.05699999999979</v>
      </c>
      <c r="DR352" s="550"/>
      <c r="DS352" s="103"/>
      <c r="DT352" s="103"/>
      <c r="DU352" s="103"/>
      <c r="DV352" s="103">
        <f>DV348-DV346-DV349</f>
        <v>-296.05699999999979</v>
      </c>
      <c r="DW352" s="550"/>
      <c r="DX352" s="103"/>
      <c r="DY352" s="103"/>
      <c r="DZ352" s="103"/>
      <c r="EA352" s="103">
        <f>EA348-EA346-EA349</f>
        <v>126.94300000000021</v>
      </c>
      <c r="EB352" s="550"/>
      <c r="EC352" s="103"/>
      <c r="ED352" s="103"/>
      <c r="EE352" s="103"/>
      <c r="EF352" s="103">
        <f>EF348-EF346-EF349</f>
        <v>81.943000000000211</v>
      </c>
      <c r="EG352" s="103"/>
      <c r="EH352" s="103"/>
      <c r="EI352" s="103"/>
      <c r="EJ352" s="103"/>
      <c r="EK352" s="103">
        <f>EK348-EK346-EK349</f>
        <v>394.94300000000021</v>
      </c>
      <c r="EL352" s="103"/>
      <c r="EM352" s="103"/>
      <c r="EN352" s="103"/>
      <c r="EO352" s="103"/>
      <c r="EP352" s="103">
        <f>EP348-EP346-EP349</f>
        <v>394.94300000000021</v>
      </c>
      <c r="EQ352" s="103"/>
      <c r="ER352" s="103"/>
      <c r="ES352" s="103"/>
      <c r="ET352" s="103"/>
      <c r="EU352" s="103">
        <f>EU348-EU346-EU349</f>
        <v>791.52081289982289</v>
      </c>
      <c r="EV352" s="103"/>
      <c r="EW352" s="103"/>
      <c r="EX352" s="103"/>
      <c r="EY352" s="103"/>
      <c r="EZ352" s="103">
        <f>EZ348-EZ346-EZ349</f>
        <v>1081.6256524461705</v>
      </c>
      <c r="FA352" s="103"/>
      <c r="FB352" s="103"/>
      <c r="FC352" s="103"/>
      <c r="FD352" s="103"/>
      <c r="FE352" s="103">
        <f>FE348-FE346-FE349</f>
        <v>878.69382898037384</v>
      </c>
      <c r="FF352" s="33"/>
      <c r="FG352" s="460"/>
      <c r="FL352" s="425"/>
      <c r="FM352" s="425"/>
      <c r="FN352" s="384"/>
      <c r="FO352" s="384"/>
      <c r="FP352" s="384"/>
      <c r="FQ352" s="384"/>
      <c r="FR352" s="384"/>
      <c r="FS352" s="384"/>
      <c r="FT352" s="460"/>
    </row>
    <row r="353" spans="1:176" ht="12.75" hidden="1" customHeight="1" x14ac:dyDescent="0.2">
      <c r="A353" s="38"/>
      <c r="B353" s="186"/>
      <c r="C353" s="186"/>
      <c r="D353" s="186"/>
      <c r="E353" s="186"/>
      <c r="F353" s="266"/>
      <c r="G353" s="186"/>
      <c r="H353" s="186"/>
      <c r="I353" s="186"/>
      <c r="J353" s="186"/>
      <c r="K353" s="266"/>
      <c r="L353" s="186"/>
      <c r="M353" s="186"/>
      <c r="N353" s="186"/>
      <c r="O353" s="186"/>
      <c r="P353" s="266"/>
      <c r="Q353" s="186"/>
      <c r="R353" s="186"/>
      <c r="S353" s="186"/>
      <c r="T353" s="186"/>
      <c r="U353" s="266"/>
      <c r="V353" s="186"/>
      <c r="W353" s="186"/>
      <c r="X353" s="186"/>
      <c r="Y353" s="186"/>
      <c r="Z353" s="266"/>
      <c r="AA353" s="186"/>
      <c r="AB353" s="186"/>
      <c r="AC353" s="186"/>
      <c r="AD353" s="186"/>
      <c r="AE353" s="266"/>
      <c r="AF353" s="186"/>
      <c r="AG353" s="186"/>
      <c r="AH353" s="186"/>
      <c r="AI353" s="186"/>
      <c r="AJ353" s="266"/>
      <c r="AK353" s="186"/>
      <c r="AL353" s="186"/>
      <c r="AM353" s="186"/>
      <c r="AN353" s="186"/>
      <c r="AO353" s="266"/>
      <c r="AP353" s="186"/>
      <c r="AQ353" s="186"/>
      <c r="AR353" s="186"/>
      <c r="AS353" s="186"/>
      <c r="AT353" s="266"/>
      <c r="AU353" s="186"/>
      <c r="AV353" s="186"/>
      <c r="AW353" s="186"/>
      <c r="AX353" s="186"/>
      <c r="AY353" s="266"/>
      <c r="AZ353" s="186"/>
      <c r="BA353" s="186"/>
      <c r="BB353" s="186"/>
      <c r="BC353" s="186"/>
      <c r="BD353" s="266"/>
      <c r="BE353" s="186"/>
      <c r="BF353" s="186"/>
      <c r="BG353" s="186"/>
      <c r="BH353" s="186"/>
      <c r="BI353" s="266"/>
      <c r="BJ353" s="186"/>
      <c r="BK353" s="186"/>
      <c r="BL353" s="186"/>
      <c r="BM353" s="186"/>
      <c r="BN353" s="266"/>
      <c r="BO353" s="186"/>
      <c r="BP353" s="186"/>
      <c r="BQ353" s="186"/>
      <c r="BR353" s="186"/>
      <c r="BS353" s="266"/>
      <c r="BT353" s="186"/>
      <c r="BU353" s="186"/>
      <c r="BV353" s="186"/>
      <c r="BW353" s="186"/>
      <c r="BX353" s="266"/>
      <c r="BY353" s="186"/>
      <c r="BZ353" s="186"/>
      <c r="CA353" s="186"/>
      <c r="CB353" s="186"/>
      <c r="CC353" s="266"/>
      <c r="CD353" s="186"/>
      <c r="CE353" s="186"/>
      <c r="CF353" s="186"/>
      <c r="CG353" s="186"/>
      <c r="CH353" s="266"/>
      <c r="CI353" s="186"/>
      <c r="CJ353" s="186"/>
      <c r="CK353" s="186"/>
      <c r="CL353" s="186"/>
      <c r="CM353" s="266"/>
      <c r="CN353" s="186"/>
      <c r="CO353" s="186"/>
      <c r="CP353" s="186"/>
      <c r="CQ353" s="186"/>
      <c r="CR353" s="266"/>
      <c r="CS353" s="33"/>
      <c r="CT353" s="33"/>
      <c r="CU353" s="33"/>
      <c r="CV353" s="33"/>
      <c r="CW353" s="103"/>
      <c r="CX353" s="33"/>
      <c r="CY353" s="33"/>
      <c r="CZ353" s="33"/>
      <c r="DA353" s="33"/>
      <c r="DB353" s="103"/>
      <c r="DC353" s="33"/>
      <c r="DD353" s="33"/>
      <c r="DE353" s="33"/>
      <c r="DF353" s="33"/>
      <c r="DG353" s="103"/>
      <c r="DH353" s="33"/>
      <c r="DI353" s="33"/>
      <c r="DJ353" s="33"/>
      <c r="DK353" s="33"/>
      <c r="DL353" s="103"/>
      <c r="DM353" s="103"/>
      <c r="DN353" s="103"/>
      <c r="DO353" s="103"/>
      <c r="DP353" s="535"/>
      <c r="DQ353" s="103"/>
      <c r="DR353" s="550"/>
      <c r="DS353" s="103"/>
      <c r="DT353" s="103"/>
      <c r="DU353" s="103"/>
      <c r="DV353" s="103"/>
      <c r="DW353" s="550"/>
      <c r="DX353" s="103"/>
      <c r="DY353" s="103"/>
      <c r="DZ353" s="103"/>
      <c r="EA353" s="103"/>
      <c r="EB353" s="550"/>
      <c r="EC353" s="103"/>
      <c r="ED353" s="103"/>
      <c r="EE353" s="103"/>
      <c r="EF353" s="103"/>
      <c r="EG353" s="103"/>
      <c r="EH353" s="103"/>
      <c r="EI353" s="103"/>
      <c r="EJ353" s="103"/>
      <c r="EK353" s="103"/>
      <c r="EL353" s="103"/>
      <c r="EM353" s="103"/>
      <c r="EN353" s="103"/>
      <c r="EO353" s="103"/>
      <c r="EP353" s="103"/>
      <c r="EQ353" s="103"/>
      <c r="ER353" s="103"/>
      <c r="ES353" s="103"/>
      <c r="ET353" s="103"/>
      <c r="EU353" s="103"/>
      <c r="EV353" s="103"/>
      <c r="EW353" s="103"/>
      <c r="EX353" s="103"/>
      <c r="EY353" s="103"/>
      <c r="EZ353" s="103"/>
      <c r="FA353" s="103"/>
      <c r="FB353" s="103"/>
      <c r="FC353" s="103"/>
      <c r="FD353" s="103"/>
      <c r="FE353" s="103"/>
      <c r="FF353" s="33"/>
      <c r="FG353" s="460"/>
      <c r="FL353" s="425"/>
      <c r="FM353" s="425"/>
      <c r="FN353" s="384"/>
      <c r="FO353" s="384"/>
      <c r="FP353" s="384"/>
      <c r="FQ353" s="384"/>
      <c r="FR353" s="384"/>
      <c r="FS353" s="384"/>
      <c r="FT353" s="460"/>
    </row>
    <row r="354" spans="1:176" ht="12.75" hidden="1" customHeight="1" x14ac:dyDescent="0.2">
      <c r="A354" s="38" t="s">
        <v>286</v>
      </c>
      <c r="B354" s="186"/>
      <c r="C354" s="186"/>
      <c r="D354" s="186"/>
      <c r="E354" s="186"/>
      <c r="F354" s="266"/>
      <c r="G354" s="186"/>
      <c r="H354" s="186"/>
      <c r="I354" s="186"/>
      <c r="J354" s="186"/>
      <c r="K354" s="266"/>
      <c r="L354" s="186"/>
      <c r="M354" s="186"/>
      <c r="N354" s="186"/>
      <c r="O354" s="186"/>
      <c r="P354" s="266"/>
      <c r="Q354" s="186"/>
      <c r="R354" s="186"/>
      <c r="S354" s="186"/>
      <c r="T354" s="186"/>
      <c r="U354" s="266"/>
      <c r="V354" s="186"/>
      <c r="W354" s="186"/>
      <c r="X354" s="186"/>
      <c r="Y354" s="186"/>
      <c r="Z354" s="266"/>
      <c r="AA354" s="186"/>
      <c r="AB354" s="186"/>
      <c r="AC354" s="186"/>
      <c r="AD354" s="186"/>
      <c r="AE354" s="266"/>
      <c r="AF354" s="186"/>
      <c r="AG354" s="186"/>
      <c r="AH354" s="186"/>
      <c r="AI354" s="186"/>
      <c r="AJ354" s="266"/>
      <c r="AK354" s="186"/>
      <c r="AL354" s="186"/>
      <c r="AM354" s="186"/>
      <c r="AN354" s="186"/>
      <c r="AO354" s="266"/>
      <c r="AP354" s="186"/>
      <c r="AQ354" s="186"/>
      <c r="AR354" s="186"/>
      <c r="AS354" s="186"/>
      <c r="AT354" s="266"/>
      <c r="AU354" s="186"/>
      <c r="AV354" s="186"/>
      <c r="AW354" s="186"/>
      <c r="AX354" s="186"/>
      <c r="AY354" s="266"/>
      <c r="AZ354" s="186"/>
      <c r="BA354" s="186"/>
      <c r="BB354" s="186"/>
      <c r="BC354" s="186"/>
      <c r="BD354" s="266"/>
      <c r="BE354" s="186"/>
      <c r="BF354" s="186"/>
      <c r="BG354" s="186"/>
      <c r="BH354" s="186"/>
      <c r="BI354" s="266"/>
      <c r="BJ354" s="186"/>
      <c r="BK354" s="186"/>
      <c r="BL354" s="186"/>
      <c r="BM354" s="186"/>
      <c r="BN354" s="266"/>
      <c r="BO354" s="186"/>
      <c r="BP354" s="186"/>
      <c r="BQ354" s="186"/>
      <c r="BR354" s="186"/>
      <c r="BS354" s="266"/>
      <c r="BT354" s="186"/>
      <c r="BU354" s="186"/>
      <c r="BV354" s="186"/>
      <c r="BW354" s="186"/>
      <c r="BX354" s="266"/>
      <c r="BY354" s="186"/>
      <c r="BZ354" s="186"/>
      <c r="CA354" s="186"/>
      <c r="CB354" s="186"/>
      <c r="CC354" s="266"/>
      <c r="CD354" s="186"/>
      <c r="CE354" s="186"/>
      <c r="CF354" s="186"/>
      <c r="CG354" s="186"/>
      <c r="CH354" s="266"/>
      <c r="CI354" s="186"/>
      <c r="CJ354" s="186"/>
      <c r="CK354" s="186"/>
      <c r="CL354" s="186"/>
      <c r="CM354" s="266"/>
      <c r="CN354" s="186"/>
      <c r="CO354" s="186"/>
      <c r="CP354" s="186"/>
      <c r="CQ354" s="186"/>
      <c r="CR354" s="266"/>
      <c r="CS354" s="33">
        <f>CS79*4</f>
        <v>421.72399999999999</v>
      </c>
      <c r="CT354" s="33">
        <f>CT79*4</f>
        <v>430.23199999999997</v>
      </c>
      <c r="CU354" s="33">
        <f>CU79*4</f>
        <v>430.52800000000002</v>
      </c>
      <c r="CV354" s="33">
        <f>CV79*4</f>
        <v>426.46000000000004</v>
      </c>
      <c r="CW354" s="103">
        <f>CW79</f>
        <v>427.23599999999999</v>
      </c>
      <c r="CX354" s="33">
        <f>CX79*4</f>
        <v>430.32400000000001</v>
      </c>
      <c r="CY354" s="33">
        <f>CY79*4</f>
        <v>424</v>
      </c>
      <c r="CZ354" s="33">
        <f>CZ79*4</f>
        <v>412</v>
      </c>
      <c r="DA354" s="33">
        <f>DA79*4</f>
        <v>424</v>
      </c>
      <c r="DB354" s="103">
        <f>DB79</f>
        <v>422.58100000000002</v>
      </c>
      <c r="DC354" s="33">
        <f>DC79*4</f>
        <v>428.49199999999996</v>
      </c>
      <c r="DD354" s="33">
        <f>DD79*4</f>
        <v>396</v>
      </c>
      <c r="DE354" s="33">
        <f>DE79*4</f>
        <v>360</v>
      </c>
      <c r="DF354" s="33">
        <f>DF79*4</f>
        <v>372</v>
      </c>
      <c r="DG354" s="103">
        <f>DG79</f>
        <v>389.12299999999999</v>
      </c>
      <c r="DH354" s="33">
        <f>DH79*4</f>
        <v>352</v>
      </c>
      <c r="DI354" s="33">
        <f>DI79*4</f>
        <v>360</v>
      </c>
      <c r="DJ354" s="33">
        <f>DJ79*4</f>
        <v>368</v>
      </c>
      <c r="DK354" s="33">
        <f>DK79*4</f>
        <v>340</v>
      </c>
      <c r="DL354" s="103">
        <f>DL79</f>
        <v>355</v>
      </c>
      <c r="DM354" s="103"/>
      <c r="DN354" s="103"/>
      <c r="DO354" s="103"/>
      <c r="DP354" s="535"/>
      <c r="DQ354" s="103">
        <f>DQ79</f>
        <v>361</v>
      </c>
      <c r="DR354" s="550"/>
      <c r="DS354" s="103"/>
      <c r="DT354" s="103"/>
      <c r="DU354" s="103"/>
      <c r="DV354" s="103">
        <f>DV79</f>
        <v>295</v>
      </c>
      <c r="DW354" s="550"/>
      <c r="DX354" s="103"/>
      <c r="DY354" s="103"/>
      <c r="DZ354" s="103"/>
      <c r="EA354" s="103">
        <f>EA79</f>
        <v>238</v>
      </c>
      <c r="EB354" s="550"/>
      <c r="EC354" s="103"/>
      <c r="ED354" s="103"/>
      <c r="EE354" s="103"/>
      <c r="EF354" s="103">
        <f>EF79</f>
        <v>229</v>
      </c>
      <c r="EG354" s="103"/>
      <c r="EH354" s="103"/>
      <c r="EI354" s="103"/>
      <c r="EJ354" s="103"/>
      <c r="EK354" s="103">
        <f>EK79</f>
        <v>193</v>
      </c>
      <c r="EL354" s="103"/>
      <c r="EM354" s="103"/>
      <c r="EN354" s="103"/>
      <c r="EO354" s="103"/>
      <c r="EP354" s="103">
        <f>EP79</f>
        <v>198</v>
      </c>
      <c r="EQ354" s="103"/>
      <c r="ER354" s="103"/>
      <c r="ES354" s="103"/>
      <c r="ET354" s="103"/>
      <c r="EU354" s="103">
        <f>EU79</f>
        <v>174.27898126329995</v>
      </c>
      <c r="EV354" s="103"/>
      <c r="EW354" s="103"/>
      <c r="EX354" s="103"/>
      <c r="EY354" s="103"/>
      <c r="EZ354" s="103">
        <f>EZ79</f>
        <v>172.85262646479012</v>
      </c>
      <c r="FA354" s="103"/>
      <c r="FB354" s="103"/>
      <c r="FC354" s="103"/>
      <c r="FD354" s="103"/>
      <c r="FE354" s="103">
        <f>FE79</f>
        <v>169.29423082775145</v>
      </c>
      <c r="FF354" s="33"/>
      <c r="FG354" s="460"/>
      <c r="FL354" s="425"/>
      <c r="FM354" s="425"/>
      <c r="FN354" s="384"/>
      <c r="FO354" s="384"/>
      <c r="FP354" s="384"/>
      <c r="FQ354" s="384"/>
      <c r="FR354" s="384"/>
      <c r="FS354" s="384"/>
      <c r="FT354" s="460"/>
    </row>
    <row r="355" spans="1:176" ht="12.75" hidden="1" customHeight="1" x14ac:dyDescent="0.2">
      <c r="A355" s="38" t="s">
        <v>287</v>
      </c>
      <c r="B355" s="186"/>
      <c r="C355" s="186"/>
      <c r="D355" s="186"/>
      <c r="E355" s="186"/>
      <c r="F355" s="266"/>
      <c r="G355" s="186"/>
      <c r="H355" s="186"/>
      <c r="I355" s="186"/>
      <c r="J355" s="186"/>
      <c r="K355" s="266"/>
      <c r="L355" s="186"/>
      <c r="M355" s="186"/>
      <c r="N355" s="186"/>
      <c r="O355" s="186"/>
      <c r="P355" s="266"/>
      <c r="Q355" s="186"/>
      <c r="R355" s="186"/>
      <c r="S355" s="186"/>
      <c r="T355" s="186"/>
      <c r="U355" s="266"/>
      <c r="V355" s="186"/>
      <c r="W355" s="186"/>
      <c r="X355" s="186"/>
      <c r="Y355" s="186"/>
      <c r="Z355" s="266"/>
      <c r="AA355" s="186"/>
      <c r="AB355" s="186"/>
      <c r="AC355" s="186"/>
      <c r="AD355" s="186"/>
      <c r="AE355" s="266"/>
      <c r="AF355" s="186"/>
      <c r="AG355" s="186"/>
      <c r="AH355" s="186"/>
      <c r="AI355" s="186"/>
      <c r="AJ355" s="266"/>
      <c r="AK355" s="186"/>
      <c r="AL355" s="186"/>
      <c r="AM355" s="186"/>
      <c r="AN355" s="186"/>
      <c r="AO355" s="266"/>
      <c r="AP355" s="186"/>
      <c r="AQ355" s="186"/>
      <c r="AR355" s="186"/>
      <c r="AS355" s="186"/>
      <c r="AT355" s="266"/>
      <c r="AU355" s="186"/>
      <c r="AV355" s="186"/>
      <c r="AW355" s="186"/>
      <c r="AX355" s="186"/>
      <c r="AY355" s="266"/>
      <c r="AZ355" s="186"/>
      <c r="BA355" s="186"/>
      <c r="BB355" s="186"/>
      <c r="BC355" s="186"/>
      <c r="BD355" s="266"/>
      <c r="BE355" s="186"/>
      <c r="BF355" s="186"/>
      <c r="BG355" s="186"/>
      <c r="BH355" s="186"/>
      <c r="BI355" s="266"/>
      <c r="BJ355" s="186"/>
      <c r="BK355" s="186"/>
      <c r="BL355" s="186"/>
      <c r="BM355" s="186"/>
      <c r="BN355" s="266"/>
      <c r="BO355" s="186"/>
      <c r="BP355" s="186"/>
      <c r="BQ355" s="186"/>
      <c r="BR355" s="186"/>
      <c r="BS355" s="266"/>
      <c r="BT355" s="186"/>
      <c r="BU355" s="186"/>
      <c r="BV355" s="186"/>
      <c r="BW355" s="186"/>
      <c r="BX355" s="266"/>
      <c r="BY355" s="186"/>
      <c r="BZ355" s="186"/>
      <c r="CA355" s="186"/>
      <c r="CB355" s="186"/>
      <c r="CC355" s="266"/>
      <c r="CD355" s="186"/>
      <c r="CE355" s="186"/>
      <c r="CF355" s="186"/>
      <c r="CG355" s="186"/>
      <c r="CH355" s="266"/>
      <c r="CI355" s="186"/>
      <c r="CJ355" s="186"/>
      <c r="CK355" s="186"/>
      <c r="CL355" s="186"/>
      <c r="CM355" s="266"/>
      <c r="CN355" s="186"/>
      <c r="CO355" s="186"/>
      <c r="CP355" s="186"/>
      <c r="CQ355" s="186"/>
      <c r="CR355" s="266"/>
      <c r="CS355" s="33">
        <v>0</v>
      </c>
      <c r="CT355" s="33">
        <v>0</v>
      </c>
      <c r="CU355" s="33">
        <v>0</v>
      </c>
      <c r="CV355" s="33">
        <v>0</v>
      </c>
      <c r="CW355" s="103">
        <v>0</v>
      </c>
      <c r="CX355" s="33">
        <v>0</v>
      </c>
      <c r="CY355" s="33">
        <v>0</v>
      </c>
      <c r="CZ355" s="33">
        <v>0</v>
      </c>
      <c r="DA355" s="33">
        <v>0</v>
      </c>
      <c r="DB355" s="103">
        <v>0</v>
      </c>
      <c r="DC355" s="33">
        <v>0</v>
      </c>
      <c r="DD355" s="33">
        <v>0</v>
      </c>
      <c r="DE355" s="47">
        <v>0</v>
      </c>
      <c r="DF355" s="47">
        <v>0</v>
      </c>
      <c r="DG355" s="118">
        <v>0</v>
      </c>
      <c r="DH355" s="47">
        <v>0</v>
      </c>
      <c r="DI355" s="47">
        <v>0</v>
      </c>
      <c r="DJ355" s="47">
        <v>0</v>
      </c>
      <c r="DK355" s="47">
        <v>0</v>
      </c>
      <c r="DL355" s="118">
        <v>0</v>
      </c>
      <c r="DM355" s="118"/>
      <c r="DN355" s="118"/>
      <c r="DO355" s="118"/>
      <c r="DP355" s="532"/>
      <c r="DQ355" s="118">
        <v>0</v>
      </c>
      <c r="DR355" s="549"/>
      <c r="DS355" s="118"/>
      <c r="DT355" s="118"/>
      <c r="DU355" s="118"/>
      <c r="DV355" s="118">
        <v>0</v>
      </c>
      <c r="DW355" s="549"/>
      <c r="DX355" s="118"/>
      <c r="DY355" s="118"/>
      <c r="DZ355" s="118"/>
      <c r="EA355" s="118">
        <v>0</v>
      </c>
      <c r="EB355" s="549"/>
      <c r="EC355" s="118"/>
      <c r="ED355" s="118"/>
      <c r="EE355" s="118"/>
      <c r="EF355" s="118">
        <v>0</v>
      </c>
      <c r="EG355" s="118"/>
      <c r="EH355" s="118"/>
      <c r="EI355" s="118"/>
      <c r="EJ355" s="118"/>
      <c r="EK355" s="118">
        <v>0</v>
      </c>
      <c r="EL355" s="118"/>
      <c r="EM355" s="118"/>
      <c r="EN355" s="118"/>
      <c r="EO355" s="118"/>
      <c r="EP355" s="118">
        <v>0</v>
      </c>
      <c r="EQ355" s="118"/>
      <c r="ER355" s="118"/>
      <c r="ES355" s="118"/>
      <c r="ET355" s="118"/>
      <c r="EU355" s="118">
        <v>0</v>
      </c>
      <c r="EV355" s="118"/>
      <c r="EW355" s="118"/>
      <c r="EX355" s="118"/>
      <c r="EY355" s="118"/>
      <c r="EZ355" s="118">
        <v>0</v>
      </c>
      <c r="FA355" s="118"/>
      <c r="FB355" s="118"/>
      <c r="FC355" s="118"/>
      <c r="FD355" s="118"/>
      <c r="FE355" s="118">
        <v>0</v>
      </c>
      <c r="FF355" s="33"/>
      <c r="FG355" s="460"/>
      <c r="FL355" s="425"/>
      <c r="FM355" s="425"/>
      <c r="FN355" s="384"/>
      <c r="FO355" s="384"/>
      <c r="FP355" s="384"/>
      <c r="FQ355" s="384"/>
      <c r="FR355" s="384"/>
      <c r="FS355" s="384"/>
      <c r="FT355" s="460"/>
    </row>
    <row r="356" spans="1:176" ht="12.75" hidden="1" customHeight="1" x14ac:dyDescent="0.2">
      <c r="A356" s="38" t="s">
        <v>288</v>
      </c>
      <c r="B356" s="186"/>
      <c r="C356" s="186"/>
      <c r="D356" s="186"/>
      <c r="E356" s="186"/>
      <c r="F356" s="266"/>
      <c r="G356" s="186"/>
      <c r="H356" s="186"/>
      <c r="I356" s="186"/>
      <c r="J356" s="186"/>
      <c r="K356" s="266"/>
      <c r="L356" s="186"/>
      <c r="M356" s="186"/>
      <c r="N356" s="186"/>
      <c r="O356" s="186"/>
      <c r="P356" s="266"/>
      <c r="Q356" s="186"/>
      <c r="R356" s="186"/>
      <c r="S356" s="186"/>
      <c r="T356" s="186"/>
      <c r="U356" s="266"/>
      <c r="V356" s="186"/>
      <c r="W356" s="186"/>
      <c r="X356" s="186"/>
      <c r="Y356" s="186"/>
      <c r="Z356" s="266"/>
      <c r="AA356" s="186"/>
      <c r="AB356" s="186"/>
      <c r="AC356" s="186"/>
      <c r="AD356" s="186"/>
      <c r="AE356" s="266"/>
      <c r="AF356" s="186"/>
      <c r="AG356" s="186"/>
      <c r="AH356" s="186"/>
      <c r="AI356" s="186"/>
      <c r="AJ356" s="266"/>
      <c r="AK356" s="186"/>
      <c r="AL356" s="186"/>
      <c r="AM356" s="186"/>
      <c r="AN356" s="186"/>
      <c r="AO356" s="266"/>
      <c r="AP356" s="186"/>
      <c r="AQ356" s="186"/>
      <c r="AR356" s="186"/>
      <c r="AS356" s="186"/>
      <c r="AT356" s="266"/>
      <c r="AU356" s="186"/>
      <c r="AV356" s="186"/>
      <c r="AW356" s="186"/>
      <c r="AX356" s="186"/>
      <c r="AY356" s="266"/>
      <c r="AZ356" s="186"/>
      <c r="BA356" s="186"/>
      <c r="BB356" s="186"/>
      <c r="BC356" s="186"/>
      <c r="BD356" s="266"/>
      <c r="BE356" s="186"/>
      <c r="BF356" s="186"/>
      <c r="BG356" s="186"/>
      <c r="BH356" s="186"/>
      <c r="BI356" s="266"/>
      <c r="BJ356" s="186"/>
      <c r="BK356" s="186"/>
      <c r="BL356" s="186"/>
      <c r="BM356" s="186"/>
      <c r="BN356" s="266"/>
      <c r="BO356" s="186"/>
      <c r="BP356" s="186"/>
      <c r="BQ356" s="186"/>
      <c r="BR356" s="186"/>
      <c r="BS356" s="266"/>
      <c r="BT356" s="186"/>
      <c r="BU356" s="186"/>
      <c r="BV356" s="186"/>
      <c r="BW356" s="186"/>
      <c r="BX356" s="266"/>
      <c r="BY356" s="186"/>
      <c r="BZ356" s="186"/>
      <c r="CA356" s="186"/>
      <c r="CB356" s="186"/>
      <c r="CC356" s="266"/>
      <c r="CD356" s="186"/>
      <c r="CE356" s="186"/>
      <c r="CF356" s="186"/>
      <c r="CG356" s="186"/>
      <c r="CH356" s="266"/>
      <c r="CI356" s="186"/>
      <c r="CJ356" s="186"/>
      <c r="CK356" s="186"/>
      <c r="CL356" s="186"/>
      <c r="CM356" s="266"/>
      <c r="CN356" s="186"/>
      <c r="CO356" s="186"/>
      <c r="CP356" s="186"/>
      <c r="CQ356" s="186"/>
      <c r="CR356" s="266"/>
      <c r="CS356" s="33">
        <f t="shared" ref="CS356:DA356" si="1220">CS355+CS354</f>
        <v>421.72399999999999</v>
      </c>
      <c r="CT356" s="33">
        <f t="shared" si="1220"/>
        <v>430.23199999999997</v>
      </c>
      <c r="CU356" s="33">
        <f t="shared" si="1220"/>
        <v>430.52800000000002</v>
      </c>
      <c r="CV356" s="33">
        <f t="shared" si="1220"/>
        <v>426.46000000000004</v>
      </c>
      <c r="CW356" s="103">
        <f t="shared" si="1220"/>
        <v>427.23599999999999</v>
      </c>
      <c r="CX356" s="33">
        <f t="shared" si="1220"/>
        <v>430.32400000000001</v>
      </c>
      <c r="CY356" s="33">
        <f t="shared" si="1220"/>
        <v>424</v>
      </c>
      <c r="CZ356" s="33">
        <f t="shared" si="1220"/>
        <v>412</v>
      </c>
      <c r="DA356" s="33">
        <f t="shared" si="1220"/>
        <v>424</v>
      </c>
      <c r="DB356" s="103">
        <f t="shared" ref="DB356:DL356" si="1221">DB355+DB354</f>
        <v>422.58100000000002</v>
      </c>
      <c r="DC356" s="33">
        <f t="shared" si="1221"/>
        <v>428.49199999999996</v>
      </c>
      <c r="DD356" s="33">
        <f t="shared" si="1221"/>
        <v>396</v>
      </c>
      <c r="DE356" s="33">
        <f t="shared" si="1221"/>
        <v>360</v>
      </c>
      <c r="DF356" s="33">
        <f t="shared" si="1221"/>
        <v>372</v>
      </c>
      <c r="DG356" s="103">
        <f t="shared" si="1221"/>
        <v>389.12299999999999</v>
      </c>
      <c r="DH356" s="33">
        <f t="shared" si="1221"/>
        <v>352</v>
      </c>
      <c r="DI356" s="33">
        <f t="shared" si="1221"/>
        <v>360</v>
      </c>
      <c r="DJ356" s="33">
        <f t="shared" si="1221"/>
        <v>368</v>
      </c>
      <c r="DK356" s="33">
        <f t="shared" si="1221"/>
        <v>340</v>
      </c>
      <c r="DL356" s="103">
        <f t="shared" si="1221"/>
        <v>355</v>
      </c>
      <c r="DM356" s="103"/>
      <c r="DN356" s="103"/>
      <c r="DO356" s="103"/>
      <c r="DP356" s="535"/>
      <c r="DQ356" s="103">
        <f>DQ355+DQ354</f>
        <v>361</v>
      </c>
      <c r="DR356" s="550"/>
      <c r="DS356" s="103"/>
      <c r="DT356" s="103"/>
      <c r="DU356" s="103"/>
      <c r="DV356" s="103">
        <f>DV355+DV354</f>
        <v>295</v>
      </c>
      <c r="DW356" s="550"/>
      <c r="DX356" s="103"/>
      <c r="DY356" s="103"/>
      <c r="DZ356" s="103"/>
      <c r="EA356" s="103">
        <f>EA355+EA354</f>
        <v>238</v>
      </c>
      <c r="EB356" s="550"/>
      <c r="EC356" s="103"/>
      <c r="ED356" s="103"/>
      <c r="EE356" s="103"/>
      <c r="EF356" s="103">
        <f>EF355+EF354</f>
        <v>229</v>
      </c>
      <c r="EG356" s="103"/>
      <c r="EH356" s="103"/>
      <c r="EI356" s="103"/>
      <c r="EJ356" s="103"/>
      <c r="EK356" s="103">
        <f>EK355+EK354</f>
        <v>193</v>
      </c>
      <c r="EL356" s="103"/>
      <c r="EM356" s="103"/>
      <c r="EN356" s="103"/>
      <c r="EO356" s="103"/>
      <c r="EP356" s="103">
        <f>EP355+EP354</f>
        <v>198</v>
      </c>
      <c r="EQ356" s="103"/>
      <c r="ER356" s="103"/>
      <c r="ES356" s="103"/>
      <c r="ET356" s="103"/>
      <c r="EU356" s="103">
        <f>EU355+EU354</f>
        <v>174.27898126329995</v>
      </c>
      <c r="EV356" s="103"/>
      <c r="EW356" s="103"/>
      <c r="EX356" s="103"/>
      <c r="EY356" s="103"/>
      <c r="EZ356" s="103">
        <f>EZ355+EZ354</f>
        <v>172.85262646479012</v>
      </c>
      <c r="FA356" s="103"/>
      <c r="FB356" s="103"/>
      <c r="FC356" s="103"/>
      <c r="FD356" s="103"/>
      <c r="FE356" s="103">
        <f>FE355+FE354</f>
        <v>169.29423082775145</v>
      </c>
      <c r="FF356" s="33"/>
      <c r="FG356" s="460"/>
      <c r="FL356" s="425"/>
      <c r="FM356" s="425"/>
      <c r="FN356" s="384"/>
      <c r="FO356" s="384"/>
      <c r="FP356" s="384"/>
      <c r="FQ356" s="384"/>
      <c r="FR356" s="384"/>
      <c r="FS356" s="384"/>
      <c r="FT356" s="460"/>
    </row>
    <row r="357" spans="1:176" ht="12.75" hidden="1" customHeight="1" x14ac:dyDescent="0.2">
      <c r="A357" s="38"/>
      <c r="B357" s="186"/>
      <c r="C357" s="186"/>
      <c r="D357" s="186"/>
      <c r="E357" s="186"/>
      <c r="F357" s="266"/>
      <c r="G357" s="186"/>
      <c r="H357" s="186"/>
      <c r="I357" s="186"/>
      <c r="J357" s="186"/>
      <c r="K357" s="266"/>
      <c r="L357" s="186"/>
      <c r="M357" s="186"/>
      <c r="N357" s="186"/>
      <c r="O357" s="186"/>
      <c r="P357" s="266"/>
      <c r="Q357" s="186"/>
      <c r="R357" s="186"/>
      <c r="S357" s="186"/>
      <c r="T357" s="186"/>
      <c r="U357" s="266"/>
      <c r="V357" s="186"/>
      <c r="W357" s="186"/>
      <c r="X357" s="186"/>
      <c r="Y357" s="186"/>
      <c r="Z357" s="266"/>
      <c r="AA357" s="186"/>
      <c r="AB357" s="186"/>
      <c r="AC357" s="186"/>
      <c r="AD357" s="186"/>
      <c r="AE357" s="266"/>
      <c r="AF357" s="186"/>
      <c r="AG357" s="186"/>
      <c r="AH357" s="186"/>
      <c r="AI357" s="186"/>
      <c r="AJ357" s="266"/>
      <c r="AK357" s="186"/>
      <c r="AL357" s="186"/>
      <c r="AM357" s="186"/>
      <c r="AN357" s="186"/>
      <c r="AO357" s="266"/>
      <c r="AP357" s="186"/>
      <c r="AQ357" s="186"/>
      <c r="AR357" s="186"/>
      <c r="AS357" s="186"/>
      <c r="AT357" s="266"/>
      <c r="AU357" s="186"/>
      <c r="AV357" s="186"/>
      <c r="AW357" s="186"/>
      <c r="AX357" s="186"/>
      <c r="AY357" s="266"/>
      <c r="AZ357" s="186"/>
      <c r="BA357" s="186"/>
      <c r="BB357" s="186"/>
      <c r="BC357" s="186"/>
      <c r="BD357" s="266"/>
      <c r="BE357" s="186"/>
      <c r="BF357" s="186"/>
      <c r="BG357" s="186"/>
      <c r="BH357" s="186"/>
      <c r="BI357" s="266"/>
      <c r="BJ357" s="186"/>
      <c r="BK357" s="186"/>
      <c r="BL357" s="186"/>
      <c r="BM357" s="186"/>
      <c r="BN357" s="266"/>
      <c r="BO357" s="186"/>
      <c r="BP357" s="186"/>
      <c r="BQ357" s="186"/>
      <c r="BR357" s="186"/>
      <c r="BS357" s="266"/>
      <c r="BT357" s="186"/>
      <c r="BU357" s="186"/>
      <c r="BV357" s="186"/>
      <c r="BW357" s="186"/>
      <c r="BX357" s="266"/>
      <c r="BY357" s="186"/>
      <c r="BZ357" s="186"/>
      <c r="CA357" s="186"/>
      <c r="CB357" s="186"/>
      <c r="CC357" s="266"/>
      <c r="CD357" s="186"/>
      <c r="CE357" s="186"/>
      <c r="CF357" s="186"/>
      <c r="CG357" s="186"/>
      <c r="CH357" s="266"/>
      <c r="CI357" s="186"/>
      <c r="CJ357" s="186"/>
      <c r="CK357" s="186"/>
      <c r="CL357" s="186"/>
      <c r="CM357" s="266"/>
      <c r="CN357" s="186"/>
      <c r="CO357" s="186"/>
      <c r="CP357" s="186"/>
      <c r="CQ357" s="186"/>
      <c r="CR357" s="266"/>
      <c r="CS357" s="33"/>
      <c r="CT357" s="33"/>
      <c r="CU357" s="33"/>
      <c r="CV357" s="33"/>
      <c r="CW357" s="103"/>
      <c r="CX357" s="33"/>
      <c r="CY357" s="33"/>
      <c r="CZ357" s="33"/>
      <c r="DA357" s="33"/>
      <c r="DB357" s="103"/>
      <c r="DC357" s="33"/>
      <c r="DD357" s="33"/>
      <c r="DE357" s="33"/>
      <c r="DF357" s="33"/>
      <c r="DG357" s="103"/>
      <c r="DH357" s="33"/>
      <c r="DI357" s="33"/>
      <c r="DJ357" s="33"/>
      <c r="DK357" s="33"/>
      <c r="DL357" s="103"/>
      <c r="DM357" s="103"/>
      <c r="DN357" s="103"/>
      <c r="DO357" s="103"/>
      <c r="DP357" s="535"/>
      <c r="DQ357" s="103"/>
      <c r="DR357" s="550"/>
      <c r="DS357" s="103"/>
      <c r="DT357" s="103"/>
      <c r="DU357" s="103"/>
      <c r="DV357" s="103"/>
      <c r="DW357" s="550"/>
      <c r="DX357" s="103"/>
      <c r="DY357" s="103"/>
      <c r="DZ357" s="103"/>
      <c r="EA357" s="103"/>
      <c r="EB357" s="550"/>
      <c r="EC357" s="103"/>
      <c r="ED357" s="103"/>
      <c r="EE357" s="103"/>
      <c r="EF357" s="103"/>
      <c r="EG357" s="103"/>
      <c r="EH357" s="103"/>
      <c r="EI357" s="103"/>
      <c r="EJ357" s="103"/>
      <c r="EK357" s="103"/>
      <c r="EL357" s="103"/>
      <c r="EM357" s="103"/>
      <c r="EN357" s="103"/>
      <c r="EO357" s="103"/>
      <c r="EP357" s="103"/>
      <c r="EQ357" s="103"/>
      <c r="ER357" s="103"/>
      <c r="ES357" s="103"/>
      <c r="ET357" s="103"/>
      <c r="EU357" s="103"/>
      <c r="EV357" s="103"/>
      <c r="EW357" s="103"/>
      <c r="EX357" s="103"/>
      <c r="EY357" s="103"/>
      <c r="EZ357" s="103"/>
      <c r="FA357" s="103"/>
      <c r="FB357" s="103"/>
      <c r="FC357" s="103"/>
      <c r="FD357" s="103"/>
      <c r="FE357" s="103"/>
      <c r="FF357" s="33"/>
      <c r="FG357" s="460"/>
      <c r="FL357" s="425"/>
      <c r="FM357" s="425"/>
      <c r="FN357" s="384"/>
      <c r="FO357" s="384"/>
      <c r="FP357" s="384"/>
      <c r="FQ357" s="384"/>
      <c r="FR357" s="384"/>
      <c r="FS357" s="384"/>
      <c r="FT357" s="460"/>
    </row>
    <row r="358" spans="1:176" ht="12.75" hidden="1" customHeight="1" x14ac:dyDescent="0.2">
      <c r="A358" s="38" t="s">
        <v>289</v>
      </c>
      <c r="B358" s="186"/>
      <c r="C358" s="186"/>
      <c r="D358" s="186"/>
      <c r="E358" s="186"/>
      <c r="F358" s="266"/>
      <c r="G358" s="186"/>
      <c r="H358" s="186"/>
      <c r="I358" s="186"/>
      <c r="J358" s="186"/>
      <c r="K358" s="266"/>
      <c r="L358" s="186"/>
      <c r="M358" s="186"/>
      <c r="N358" s="186"/>
      <c r="O358" s="186"/>
      <c r="P358" s="266"/>
      <c r="Q358" s="186"/>
      <c r="R358" s="186"/>
      <c r="S358" s="186"/>
      <c r="T358" s="186"/>
      <c r="U358" s="266"/>
      <c r="V358" s="186"/>
      <c r="W358" s="186"/>
      <c r="X358" s="186"/>
      <c r="Y358" s="186"/>
      <c r="Z358" s="266"/>
      <c r="AA358" s="186"/>
      <c r="AB358" s="186"/>
      <c r="AC358" s="186"/>
      <c r="AD358" s="186"/>
      <c r="AE358" s="266"/>
      <c r="AF358" s="186"/>
      <c r="AG358" s="186"/>
      <c r="AH358" s="186"/>
      <c r="AI358" s="186"/>
      <c r="AJ358" s="266"/>
      <c r="AK358" s="186"/>
      <c r="AL358" s="186"/>
      <c r="AM358" s="186"/>
      <c r="AN358" s="186"/>
      <c r="AO358" s="266"/>
      <c r="AP358" s="186"/>
      <c r="AQ358" s="186"/>
      <c r="AR358" s="186"/>
      <c r="AS358" s="186"/>
      <c r="AT358" s="266"/>
      <c r="AU358" s="186"/>
      <c r="AV358" s="186"/>
      <c r="AW358" s="186"/>
      <c r="AX358" s="186"/>
      <c r="AY358" s="266"/>
      <c r="AZ358" s="186"/>
      <c r="BA358" s="186"/>
      <c r="BB358" s="186"/>
      <c r="BC358" s="186"/>
      <c r="BD358" s="266"/>
      <c r="BE358" s="186"/>
      <c r="BF358" s="186"/>
      <c r="BG358" s="186"/>
      <c r="BH358" s="186"/>
      <c r="BI358" s="266"/>
      <c r="BJ358" s="186"/>
      <c r="BK358" s="186"/>
      <c r="BL358" s="186"/>
      <c r="BM358" s="186"/>
      <c r="BN358" s="266"/>
      <c r="BO358" s="186"/>
      <c r="BP358" s="186"/>
      <c r="BQ358" s="186"/>
      <c r="BR358" s="186"/>
      <c r="BS358" s="266"/>
      <c r="BT358" s="186"/>
      <c r="BU358" s="186"/>
      <c r="BV358" s="186"/>
      <c r="BW358" s="186"/>
      <c r="BX358" s="266"/>
      <c r="BY358" s="186"/>
      <c r="BZ358" s="186"/>
      <c r="CA358" s="186"/>
      <c r="CB358" s="186"/>
      <c r="CC358" s="266"/>
      <c r="CD358" s="186"/>
      <c r="CE358" s="186"/>
      <c r="CF358" s="186"/>
      <c r="CG358" s="186"/>
      <c r="CH358" s="266"/>
      <c r="CI358" s="186"/>
      <c r="CJ358" s="186"/>
      <c r="CK358" s="186"/>
      <c r="CL358" s="186"/>
      <c r="CM358" s="266"/>
      <c r="CN358" s="186"/>
      <c r="CO358" s="186"/>
      <c r="CP358" s="186"/>
      <c r="CQ358" s="186"/>
      <c r="CR358" s="266"/>
      <c r="CS358" s="33">
        <f t="shared" ref="CS358:DQ358" si="1222">CS351+CS354*7</f>
        <v>4841.271999999999</v>
      </c>
      <c r="CT358" s="33">
        <f t="shared" si="1222"/>
        <v>4587.5789999999997</v>
      </c>
      <c r="CU358" s="33">
        <f t="shared" si="1222"/>
        <v>4784.0439999999999</v>
      </c>
      <c r="CV358" s="33">
        <f t="shared" si="1222"/>
        <v>4248.2129999999997</v>
      </c>
      <c r="CW358" s="103">
        <f t="shared" si="1222"/>
        <v>4253.6450000000004</v>
      </c>
      <c r="CX358" s="33">
        <f t="shared" si="1222"/>
        <v>3932.4479999999999</v>
      </c>
      <c r="CY358" s="33">
        <f t="shared" si="1222"/>
        <v>3496.1209999999996</v>
      </c>
      <c r="CZ358" s="33">
        <f t="shared" si="1222"/>
        <v>3264.2009999999991</v>
      </c>
      <c r="DA358" s="33">
        <f t="shared" si="1222"/>
        <v>3119.444</v>
      </c>
      <c r="DB358" s="103">
        <f t="shared" si="1222"/>
        <v>3109.511</v>
      </c>
      <c r="DC358" s="33">
        <f t="shared" si="1222"/>
        <v>2604.7860000000001</v>
      </c>
      <c r="DD358" s="33">
        <f t="shared" si="1222"/>
        <v>2505.9430000000002</v>
      </c>
      <c r="DE358" s="33">
        <f t="shared" si="1222"/>
        <v>3069.9430000000002</v>
      </c>
      <c r="DF358" s="33">
        <f t="shared" si="1222"/>
        <v>3210.9430000000002</v>
      </c>
      <c r="DG358" s="103">
        <f t="shared" si="1222"/>
        <v>3330.8040000000001</v>
      </c>
      <c r="DH358" s="33">
        <f>DH351+DH354*7</f>
        <v>1986.9430000000002</v>
      </c>
      <c r="DI358" s="33">
        <f>DI351+DI354*7</f>
        <v>2539.9430000000002</v>
      </c>
      <c r="DJ358" s="33">
        <f>DJ351+DJ354*7</f>
        <v>2566.9430000000002</v>
      </c>
      <c r="DK358" s="33">
        <f>DK351+DK354*7</f>
        <v>2563.9430000000002</v>
      </c>
      <c r="DL358" s="103">
        <f t="shared" si="1222"/>
        <v>2668.9430000000002</v>
      </c>
      <c r="DM358" s="103"/>
      <c r="DN358" s="103"/>
      <c r="DO358" s="103"/>
      <c r="DP358" s="535"/>
      <c r="DQ358" s="103">
        <f t="shared" si="1222"/>
        <v>2194.9430000000002</v>
      </c>
      <c r="DR358" s="550"/>
      <c r="DS358" s="103"/>
      <c r="DT358" s="103"/>
      <c r="DU358" s="103"/>
      <c r="DV358" s="103">
        <f>DV351+DV354*7</f>
        <v>1768.9430000000002</v>
      </c>
      <c r="DW358" s="550"/>
      <c r="DX358" s="103"/>
      <c r="DY358" s="103"/>
      <c r="DZ358" s="103"/>
      <c r="EA358" s="103">
        <f>EA351+EA354*7</f>
        <v>1792.9430000000002</v>
      </c>
      <c r="EB358" s="550"/>
      <c r="EC358" s="103"/>
      <c r="ED358" s="103"/>
      <c r="EE358" s="103"/>
      <c r="EF358" s="103">
        <f>EF351+EF354*7</f>
        <v>1684.9430000000002</v>
      </c>
      <c r="EG358" s="103"/>
      <c r="EH358" s="103"/>
      <c r="EI358" s="103"/>
      <c r="EJ358" s="103"/>
      <c r="EK358" s="103">
        <f>EK351+EK354*7</f>
        <v>1745.9430000000002</v>
      </c>
      <c r="EL358" s="103"/>
      <c r="EM358" s="103"/>
      <c r="EN358" s="103"/>
      <c r="EO358" s="103"/>
      <c r="EP358" s="103">
        <f>EP351+EP354*7</f>
        <v>1780.9430000000002</v>
      </c>
      <c r="EQ358" s="103"/>
      <c r="ER358" s="103"/>
      <c r="ES358" s="103"/>
      <c r="ET358" s="103"/>
      <c r="EU358" s="103">
        <f>EU351+EU354*7</f>
        <v>2011.4736817429225</v>
      </c>
      <c r="EV358" s="103"/>
      <c r="EW358" s="103"/>
      <c r="EX358" s="103"/>
      <c r="EY358" s="103"/>
      <c r="EZ358" s="103">
        <f>EZ351+EZ354*7</f>
        <v>2291.5940376997014</v>
      </c>
      <c r="FA358" s="103"/>
      <c r="FB358" s="103"/>
      <c r="FC358" s="103"/>
      <c r="FD358" s="103"/>
      <c r="FE358" s="103">
        <f>FE351+FE354*7</f>
        <v>2063.7534447746339</v>
      </c>
      <c r="FF358" s="33"/>
      <c r="FG358" s="460"/>
      <c r="FL358" s="425"/>
      <c r="FM358" s="425"/>
      <c r="FN358" s="384"/>
      <c r="FO358" s="384"/>
      <c r="FP358" s="384"/>
      <c r="FQ358" s="384"/>
      <c r="FR358" s="384"/>
      <c r="FS358" s="384"/>
      <c r="FT358" s="460"/>
    </row>
    <row r="359" spans="1:176" ht="12.75" hidden="1" customHeight="1" x14ac:dyDescent="0.2">
      <c r="A359" s="38" t="s">
        <v>290</v>
      </c>
      <c r="B359" s="186"/>
      <c r="C359" s="186"/>
      <c r="D359" s="186"/>
      <c r="E359" s="186"/>
      <c r="F359" s="266"/>
      <c r="G359" s="186"/>
      <c r="H359" s="186"/>
      <c r="I359" s="186"/>
      <c r="J359" s="186"/>
      <c r="K359" s="266"/>
      <c r="L359" s="186"/>
      <c r="M359" s="186"/>
      <c r="N359" s="186"/>
      <c r="O359" s="186"/>
      <c r="P359" s="266"/>
      <c r="Q359" s="186"/>
      <c r="R359" s="186"/>
      <c r="S359" s="186"/>
      <c r="T359" s="186"/>
      <c r="U359" s="266"/>
      <c r="V359" s="186"/>
      <c r="W359" s="186"/>
      <c r="X359" s="186"/>
      <c r="Y359" s="186"/>
      <c r="Z359" s="266"/>
      <c r="AA359" s="186"/>
      <c r="AB359" s="186"/>
      <c r="AC359" s="186"/>
      <c r="AD359" s="186"/>
      <c r="AE359" s="266"/>
      <c r="AF359" s="186"/>
      <c r="AG359" s="186"/>
      <c r="AH359" s="186"/>
      <c r="AI359" s="186"/>
      <c r="AJ359" s="266"/>
      <c r="AK359" s="186"/>
      <c r="AL359" s="186"/>
      <c r="AM359" s="186"/>
      <c r="AN359" s="186"/>
      <c r="AO359" s="266"/>
      <c r="AP359" s="186"/>
      <c r="AQ359" s="186"/>
      <c r="AR359" s="186"/>
      <c r="AS359" s="186"/>
      <c r="AT359" s="266"/>
      <c r="AU359" s="186"/>
      <c r="AV359" s="186"/>
      <c r="AW359" s="186"/>
      <c r="AX359" s="186"/>
      <c r="AY359" s="266"/>
      <c r="AZ359" s="186"/>
      <c r="BA359" s="186"/>
      <c r="BB359" s="186"/>
      <c r="BC359" s="186"/>
      <c r="BD359" s="266"/>
      <c r="BE359" s="186"/>
      <c r="BF359" s="186"/>
      <c r="BG359" s="186"/>
      <c r="BH359" s="186"/>
      <c r="BI359" s="266"/>
      <c r="BJ359" s="186"/>
      <c r="BK359" s="186"/>
      <c r="BL359" s="186"/>
      <c r="BM359" s="186"/>
      <c r="BN359" s="266"/>
      <c r="BO359" s="186"/>
      <c r="BP359" s="186"/>
      <c r="BQ359" s="186"/>
      <c r="BR359" s="186"/>
      <c r="BS359" s="266"/>
      <c r="BT359" s="186"/>
      <c r="BU359" s="186"/>
      <c r="BV359" s="186"/>
      <c r="BW359" s="186"/>
      <c r="BX359" s="266"/>
      <c r="BY359" s="186"/>
      <c r="BZ359" s="186"/>
      <c r="CA359" s="186"/>
      <c r="CB359" s="186"/>
      <c r="CC359" s="266"/>
      <c r="CD359" s="186"/>
      <c r="CE359" s="186"/>
      <c r="CF359" s="186"/>
      <c r="CG359" s="186"/>
      <c r="CH359" s="266"/>
      <c r="CI359" s="186"/>
      <c r="CJ359" s="186"/>
      <c r="CK359" s="186"/>
      <c r="CL359" s="186"/>
      <c r="CM359" s="266"/>
      <c r="CN359" s="186"/>
      <c r="CO359" s="186"/>
      <c r="CP359" s="186"/>
      <c r="CQ359" s="186"/>
      <c r="CR359" s="266"/>
      <c r="CS359" s="33">
        <f t="shared" ref="CS359:DQ359" si="1223">CS352+CS354*7</f>
        <v>4931.1849999999995</v>
      </c>
      <c r="CT359" s="33">
        <f t="shared" si="1223"/>
        <v>4658.3459999999995</v>
      </c>
      <c r="CU359" s="33">
        <f t="shared" si="1223"/>
        <v>4839.2599999999993</v>
      </c>
      <c r="CV359" s="33">
        <f t="shared" si="1223"/>
        <v>4300.6030000000001</v>
      </c>
      <c r="CW359" s="103">
        <f t="shared" si="1223"/>
        <v>4306.0349999999999</v>
      </c>
      <c r="CX359" s="33">
        <f t="shared" si="1223"/>
        <v>3985.5309999999999</v>
      </c>
      <c r="CY359" s="33">
        <f t="shared" si="1223"/>
        <v>3549.9369999999994</v>
      </c>
      <c r="CZ359" s="33">
        <f t="shared" si="1223"/>
        <v>3329.7109999999993</v>
      </c>
      <c r="DA359" s="33">
        <f t="shared" si="1223"/>
        <v>3172.1729999999998</v>
      </c>
      <c r="DB359" s="103">
        <f t="shared" si="1223"/>
        <v>3162.24</v>
      </c>
      <c r="DC359" s="33">
        <f t="shared" si="1223"/>
        <v>2656.7860000000001</v>
      </c>
      <c r="DD359" s="33">
        <f t="shared" si="1223"/>
        <v>2505.9430000000002</v>
      </c>
      <c r="DE359" s="33">
        <f t="shared" si="1223"/>
        <v>3069.9430000000002</v>
      </c>
      <c r="DF359" s="33">
        <f t="shared" si="1223"/>
        <v>3210.9430000000002</v>
      </c>
      <c r="DG359" s="103">
        <f t="shared" si="1223"/>
        <v>3330.8040000000001</v>
      </c>
      <c r="DH359" s="33">
        <f>DH352+DH354*7</f>
        <v>1986.9430000000002</v>
      </c>
      <c r="DI359" s="33">
        <f>DI352+DI354*7</f>
        <v>2539.9430000000002</v>
      </c>
      <c r="DJ359" s="33">
        <f>DJ352+DJ354*7</f>
        <v>2566.9430000000002</v>
      </c>
      <c r="DK359" s="33">
        <f>DK352+DK354*7</f>
        <v>2563.9430000000002</v>
      </c>
      <c r="DL359" s="103">
        <f t="shared" si="1223"/>
        <v>2668.9430000000002</v>
      </c>
      <c r="DM359" s="103"/>
      <c r="DN359" s="103"/>
      <c r="DO359" s="103"/>
      <c r="DP359" s="535"/>
      <c r="DQ359" s="103">
        <f t="shared" si="1223"/>
        <v>2194.9430000000002</v>
      </c>
      <c r="DR359" s="550"/>
      <c r="DS359" s="103"/>
      <c r="DT359" s="103"/>
      <c r="DU359" s="103"/>
      <c r="DV359" s="103">
        <f>DV352+DV354*7</f>
        <v>1768.9430000000002</v>
      </c>
      <c r="DW359" s="550"/>
      <c r="DX359" s="103"/>
      <c r="DY359" s="103"/>
      <c r="DZ359" s="103"/>
      <c r="EA359" s="103">
        <f>EA352+EA354*7</f>
        <v>1792.9430000000002</v>
      </c>
      <c r="EB359" s="550"/>
      <c r="EC359" s="103"/>
      <c r="ED359" s="103"/>
      <c r="EE359" s="103"/>
      <c r="EF359" s="103">
        <f>EF352+EF354*7</f>
        <v>1684.9430000000002</v>
      </c>
      <c r="EG359" s="103"/>
      <c r="EH359" s="103"/>
      <c r="EI359" s="103"/>
      <c r="EJ359" s="103"/>
      <c r="EK359" s="103">
        <f>EK352+EK354*7</f>
        <v>1745.9430000000002</v>
      </c>
      <c r="EL359" s="103"/>
      <c r="EM359" s="103"/>
      <c r="EN359" s="103"/>
      <c r="EO359" s="103"/>
      <c r="EP359" s="103">
        <f>EP352+EP354*7</f>
        <v>1780.9430000000002</v>
      </c>
      <c r="EQ359" s="103"/>
      <c r="ER359" s="103"/>
      <c r="ES359" s="103"/>
      <c r="ET359" s="103"/>
      <c r="EU359" s="103">
        <f>EU352+EU354*7</f>
        <v>2011.4736817429225</v>
      </c>
      <c r="EV359" s="103"/>
      <c r="EW359" s="103"/>
      <c r="EX359" s="103"/>
      <c r="EY359" s="103"/>
      <c r="EZ359" s="103">
        <f>EZ352+EZ354*7</f>
        <v>2291.5940376997014</v>
      </c>
      <c r="FA359" s="103"/>
      <c r="FB359" s="103"/>
      <c r="FC359" s="103"/>
      <c r="FD359" s="103"/>
      <c r="FE359" s="103">
        <f>FE352+FE354*7</f>
        <v>2063.7534447746339</v>
      </c>
      <c r="FF359" s="33"/>
      <c r="FG359" s="460"/>
      <c r="FL359" s="425"/>
      <c r="FM359" s="425"/>
      <c r="FN359" s="384"/>
      <c r="FO359" s="384"/>
      <c r="FP359" s="384"/>
      <c r="FQ359" s="384"/>
      <c r="FR359" s="384"/>
      <c r="FS359" s="384"/>
      <c r="FT359" s="460"/>
    </row>
    <row r="360" spans="1:176" ht="12.75" hidden="1" customHeight="1" x14ac:dyDescent="0.2">
      <c r="A360" s="38"/>
      <c r="B360" s="186"/>
      <c r="C360" s="186"/>
      <c r="D360" s="186"/>
      <c r="E360" s="186"/>
      <c r="F360" s="266"/>
      <c r="G360" s="186"/>
      <c r="H360" s="186"/>
      <c r="I360" s="186"/>
      <c r="J360" s="186"/>
      <c r="K360" s="266"/>
      <c r="L360" s="186"/>
      <c r="M360" s="186"/>
      <c r="N360" s="186"/>
      <c r="O360" s="186"/>
      <c r="P360" s="266"/>
      <c r="Q360" s="186"/>
      <c r="R360" s="186"/>
      <c r="S360" s="186"/>
      <c r="T360" s="186"/>
      <c r="U360" s="266"/>
      <c r="V360" s="186"/>
      <c r="W360" s="186"/>
      <c r="X360" s="186"/>
      <c r="Y360" s="186"/>
      <c r="Z360" s="266"/>
      <c r="AA360" s="186"/>
      <c r="AB360" s="186"/>
      <c r="AC360" s="186"/>
      <c r="AD360" s="186"/>
      <c r="AE360" s="266"/>
      <c r="AF360" s="186"/>
      <c r="AG360" s="186"/>
      <c r="AH360" s="186"/>
      <c r="AI360" s="186"/>
      <c r="AJ360" s="266"/>
      <c r="AK360" s="186"/>
      <c r="AL360" s="186"/>
      <c r="AM360" s="186"/>
      <c r="AN360" s="186"/>
      <c r="AO360" s="266"/>
      <c r="AP360" s="186"/>
      <c r="AQ360" s="186"/>
      <c r="AR360" s="186"/>
      <c r="AS360" s="186"/>
      <c r="AT360" s="266"/>
      <c r="AU360" s="186"/>
      <c r="AV360" s="186"/>
      <c r="AW360" s="186"/>
      <c r="AX360" s="186"/>
      <c r="AY360" s="266"/>
      <c r="AZ360" s="186"/>
      <c r="BA360" s="186"/>
      <c r="BB360" s="186"/>
      <c r="BC360" s="186"/>
      <c r="BD360" s="266"/>
      <c r="BE360" s="186"/>
      <c r="BF360" s="186"/>
      <c r="BG360" s="186"/>
      <c r="BH360" s="186"/>
      <c r="BI360" s="266"/>
      <c r="BJ360" s="186"/>
      <c r="BK360" s="186"/>
      <c r="BL360" s="186"/>
      <c r="BM360" s="186"/>
      <c r="BN360" s="266"/>
      <c r="BO360" s="186"/>
      <c r="BP360" s="186"/>
      <c r="BQ360" s="186"/>
      <c r="BR360" s="186"/>
      <c r="BS360" s="266"/>
      <c r="BT360" s="186"/>
      <c r="BU360" s="186"/>
      <c r="BV360" s="186"/>
      <c r="BW360" s="186"/>
      <c r="BX360" s="266"/>
      <c r="BY360" s="186"/>
      <c r="BZ360" s="186"/>
      <c r="CA360" s="186"/>
      <c r="CB360" s="186"/>
      <c r="CC360" s="266"/>
      <c r="CD360" s="186"/>
      <c r="CE360" s="186"/>
      <c r="CF360" s="186"/>
      <c r="CG360" s="186"/>
      <c r="CH360" s="266"/>
      <c r="CI360" s="186"/>
      <c r="CJ360" s="186"/>
      <c r="CK360" s="186"/>
      <c r="CL360" s="186"/>
      <c r="CM360" s="266"/>
      <c r="CN360" s="186"/>
      <c r="CO360" s="186"/>
      <c r="CP360" s="186"/>
      <c r="CQ360" s="186"/>
      <c r="CR360" s="266"/>
      <c r="CS360" s="33"/>
      <c r="CT360" s="33"/>
      <c r="CU360" s="33"/>
      <c r="CV360" s="33"/>
      <c r="CW360" s="103"/>
      <c r="CX360" s="33"/>
      <c r="CY360" s="33"/>
      <c r="CZ360" s="33"/>
      <c r="DA360" s="33"/>
      <c r="DB360" s="103"/>
      <c r="DC360" s="33"/>
      <c r="DD360" s="33"/>
      <c r="DE360" s="33"/>
      <c r="DF360" s="33"/>
      <c r="DG360" s="103"/>
      <c r="DH360" s="33"/>
      <c r="DI360" s="33"/>
      <c r="DJ360" s="33"/>
      <c r="DK360" s="33"/>
      <c r="DL360" s="103"/>
      <c r="DM360" s="103"/>
      <c r="DN360" s="103"/>
      <c r="DO360" s="103"/>
      <c r="DP360" s="535"/>
      <c r="DQ360" s="103"/>
      <c r="DR360" s="550"/>
      <c r="DS360" s="103"/>
      <c r="DT360" s="103"/>
      <c r="DU360" s="103"/>
      <c r="DV360" s="103"/>
      <c r="DW360" s="550"/>
      <c r="DX360" s="103"/>
      <c r="DY360" s="103"/>
      <c r="DZ360" s="103"/>
      <c r="EA360" s="103"/>
      <c r="EB360" s="550"/>
      <c r="EC360" s="103"/>
      <c r="ED360" s="103"/>
      <c r="EE360" s="103"/>
      <c r="EF360" s="103"/>
      <c r="EG360" s="103"/>
      <c r="EH360" s="103"/>
      <c r="EI360" s="103"/>
      <c r="EJ360" s="103"/>
      <c r="EK360" s="103"/>
      <c r="EL360" s="103"/>
      <c r="EM360" s="103"/>
      <c r="EN360" s="103"/>
      <c r="EO360" s="103"/>
      <c r="EP360" s="103"/>
      <c r="EQ360" s="103"/>
      <c r="ER360" s="103"/>
      <c r="ES360" s="103"/>
      <c r="ET360" s="103"/>
      <c r="EU360" s="103"/>
      <c r="EV360" s="103"/>
      <c r="EW360" s="103"/>
      <c r="EX360" s="103"/>
      <c r="EY360" s="103"/>
      <c r="EZ360" s="103"/>
      <c r="FA360" s="103"/>
      <c r="FB360" s="103"/>
      <c r="FC360" s="103"/>
      <c r="FD360" s="103"/>
      <c r="FE360" s="103"/>
      <c r="FF360" s="33"/>
      <c r="FG360" s="460"/>
      <c r="FL360" s="425"/>
      <c r="FM360" s="425"/>
      <c r="FN360" s="384"/>
      <c r="FO360" s="384"/>
      <c r="FP360" s="384"/>
      <c r="FQ360" s="384"/>
      <c r="FR360" s="384"/>
      <c r="FS360" s="384"/>
      <c r="FT360" s="460"/>
    </row>
    <row r="361" spans="1:176" ht="12.75" hidden="1" customHeight="1" x14ac:dyDescent="0.2">
      <c r="A361" s="38" t="s">
        <v>291</v>
      </c>
      <c r="B361" s="186"/>
      <c r="C361" s="186"/>
      <c r="D361" s="186"/>
      <c r="E361" s="186"/>
      <c r="F361" s="266"/>
      <c r="G361" s="186"/>
      <c r="H361" s="186"/>
      <c r="I361" s="186"/>
      <c r="J361" s="186"/>
      <c r="K361" s="266"/>
      <c r="L361" s="186"/>
      <c r="M361" s="186"/>
      <c r="N361" s="186"/>
      <c r="O361" s="186"/>
      <c r="P361" s="266"/>
      <c r="Q361" s="186"/>
      <c r="R361" s="186"/>
      <c r="S361" s="186"/>
      <c r="T361" s="186"/>
      <c r="U361" s="266"/>
      <c r="V361" s="186"/>
      <c r="W361" s="186"/>
      <c r="X361" s="186"/>
      <c r="Y361" s="186"/>
      <c r="Z361" s="266"/>
      <c r="AA361" s="186"/>
      <c r="AB361" s="186"/>
      <c r="AC361" s="186"/>
      <c r="AD361" s="186"/>
      <c r="AE361" s="266"/>
      <c r="AF361" s="186"/>
      <c r="AG361" s="186"/>
      <c r="AH361" s="186"/>
      <c r="AI361" s="186"/>
      <c r="AJ361" s="266"/>
      <c r="AK361" s="186"/>
      <c r="AL361" s="186"/>
      <c r="AM361" s="186"/>
      <c r="AN361" s="186"/>
      <c r="AO361" s="266"/>
      <c r="AP361" s="186"/>
      <c r="AQ361" s="186"/>
      <c r="AR361" s="186"/>
      <c r="AS361" s="186"/>
      <c r="AT361" s="266"/>
      <c r="AU361" s="186"/>
      <c r="AV361" s="186"/>
      <c r="AW361" s="186"/>
      <c r="AX361" s="186"/>
      <c r="AY361" s="266"/>
      <c r="AZ361" s="186"/>
      <c r="BA361" s="186"/>
      <c r="BB361" s="186"/>
      <c r="BC361" s="186"/>
      <c r="BD361" s="266"/>
      <c r="BE361" s="186"/>
      <c r="BF361" s="186"/>
      <c r="BG361" s="186"/>
      <c r="BH361" s="186"/>
      <c r="BI361" s="266"/>
      <c r="BJ361" s="186"/>
      <c r="BK361" s="186"/>
      <c r="BL361" s="186"/>
      <c r="BM361" s="186"/>
      <c r="BN361" s="266"/>
      <c r="BO361" s="186"/>
      <c r="BP361" s="186"/>
      <c r="BQ361" s="186"/>
      <c r="BR361" s="186"/>
      <c r="BS361" s="266"/>
      <c r="BT361" s="186"/>
      <c r="BU361" s="186"/>
      <c r="BV361" s="186"/>
      <c r="BW361" s="186"/>
      <c r="BX361" s="266"/>
      <c r="BY361" s="186"/>
      <c r="BZ361" s="186"/>
      <c r="CA361" s="186"/>
      <c r="CB361" s="186"/>
      <c r="CC361" s="266"/>
      <c r="CD361" s="186"/>
      <c r="CE361" s="186"/>
      <c r="CF361" s="186"/>
      <c r="CG361" s="186"/>
      <c r="CH361" s="266"/>
      <c r="CI361" s="186"/>
      <c r="CJ361" s="186"/>
      <c r="CK361" s="186"/>
      <c r="CL361" s="186"/>
      <c r="CM361" s="266"/>
      <c r="CN361" s="186"/>
      <c r="CO361" s="186"/>
      <c r="CP361" s="186"/>
      <c r="CQ361" s="186"/>
      <c r="CR361" s="266"/>
      <c r="CS361" s="33">
        <f t="shared" ref="CS361:DQ361" si="1224">CS351+CS356*7</f>
        <v>4841.271999999999</v>
      </c>
      <c r="CT361" s="33">
        <f t="shared" si="1224"/>
        <v>4587.5789999999997</v>
      </c>
      <c r="CU361" s="33">
        <f t="shared" si="1224"/>
        <v>4784.0439999999999</v>
      </c>
      <c r="CV361" s="33">
        <f t="shared" si="1224"/>
        <v>4248.2129999999997</v>
      </c>
      <c r="CW361" s="103">
        <f t="shared" si="1224"/>
        <v>4253.6450000000004</v>
      </c>
      <c r="CX361" s="33">
        <f t="shared" si="1224"/>
        <v>3932.4479999999999</v>
      </c>
      <c r="CY361" s="33">
        <f t="shared" si="1224"/>
        <v>3496.1209999999996</v>
      </c>
      <c r="CZ361" s="33">
        <f t="shared" si="1224"/>
        <v>3264.2009999999991</v>
      </c>
      <c r="DA361" s="33">
        <f t="shared" si="1224"/>
        <v>3119.444</v>
      </c>
      <c r="DB361" s="103">
        <f t="shared" si="1224"/>
        <v>3109.511</v>
      </c>
      <c r="DC361" s="33">
        <f t="shared" si="1224"/>
        <v>2604.7860000000001</v>
      </c>
      <c r="DD361" s="33">
        <f t="shared" si="1224"/>
        <v>2505.9430000000002</v>
      </c>
      <c r="DE361" s="33">
        <f t="shared" si="1224"/>
        <v>3069.9430000000002</v>
      </c>
      <c r="DF361" s="33">
        <f t="shared" si="1224"/>
        <v>3210.9430000000002</v>
      </c>
      <c r="DG361" s="103">
        <f t="shared" si="1224"/>
        <v>3330.8040000000001</v>
      </c>
      <c r="DH361" s="33">
        <f>DH351+DH356*7</f>
        <v>1986.9430000000002</v>
      </c>
      <c r="DI361" s="33">
        <f>DI351+DI356*7</f>
        <v>2539.9430000000002</v>
      </c>
      <c r="DJ361" s="33">
        <f>DJ351+DJ356*7</f>
        <v>2566.9430000000002</v>
      </c>
      <c r="DK361" s="33">
        <f>DK351+DK356*7</f>
        <v>2563.9430000000002</v>
      </c>
      <c r="DL361" s="103">
        <f t="shared" si="1224"/>
        <v>2668.9430000000002</v>
      </c>
      <c r="DM361" s="103"/>
      <c r="DN361" s="103"/>
      <c r="DO361" s="103"/>
      <c r="DP361" s="535"/>
      <c r="DQ361" s="103">
        <f t="shared" si="1224"/>
        <v>2194.9430000000002</v>
      </c>
      <c r="DR361" s="550"/>
      <c r="DS361" s="103"/>
      <c r="DT361" s="103"/>
      <c r="DU361" s="103"/>
      <c r="DV361" s="103">
        <f>DV351+DV356*7</f>
        <v>1768.9430000000002</v>
      </c>
      <c r="DW361" s="550"/>
      <c r="DX361" s="103"/>
      <c r="DY361" s="103"/>
      <c r="DZ361" s="103"/>
      <c r="EA361" s="103">
        <f>EA351+EA356*7</f>
        <v>1792.9430000000002</v>
      </c>
      <c r="EB361" s="550"/>
      <c r="EC361" s="103"/>
      <c r="ED361" s="103"/>
      <c r="EE361" s="103"/>
      <c r="EF361" s="103">
        <f>EF351+EF356*7</f>
        <v>1684.9430000000002</v>
      </c>
      <c r="EG361" s="103"/>
      <c r="EH361" s="103"/>
      <c r="EI361" s="103"/>
      <c r="EJ361" s="103"/>
      <c r="EK361" s="103">
        <f>EK351+EK356*7</f>
        <v>1745.9430000000002</v>
      </c>
      <c r="EL361" s="103"/>
      <c r="EM361" s="103"/>
      <c r="EN361" s="103"/>
      <c r="EO361" s="103"/>
      <c r="EP361" s="103">
        <f>EP351+EP356*7</f>
        <v>1780.9430000000002</v>
      </c>
      <c r="EQ361" s="103"/>
      <c r="ER361" s="103"/>
      <c r="ES361" s="103"/>
      <c r="ET361" s="103"/>
      <c r="EU361" s="103">
        <f>EU351+EU356*7</f>
        <v>2011.4736817429225</v>
      </c>
      <c r="EV361" s="103"/>
      <c r="EW361" s="103"/>
      <c r="EX361" s="103"/>
      <c r="EY361" s="103"/>
      <c r="EZ361" s="103">
        <f>EZ351+EZ356*7</f>
        <v>2291.5940376997014</v>
      </c>
      <c r="FA361" s="103"/>
      <c r="FB361" s="103"/>
      <c r="FC361" s="103"/>
      <c r="FD361" s="103"/>
      <c r="FE361" s="103">
        <f>FE351+FE356*7</f>
        <v>2063.7534447746339</v>
      </c>
      <c r="FF361" s="33"/>
      <c r="FG361" s="460"/>
      <c r="FL361" s="425"/>
      <c r="FM361" s="425"/>
      <c r="FN361" s="384"/>
      <c r="FO361" s="384"/>
      <c r="FP361" s="384"/>
      <c r="FQ361" s="384"/>
      <c r="FR361" s="384"/>
      <c r="FS361" s="384"/>
      <c r="FT361" s="460"/>
    </row>
    <row r="362" spans="1:176" ht="12.75" hidden="1" customHeight="1" x14ac:dyDescent="0.2">
      <c r="A362" s="38" t="s">
        <v>292</v>
      </c>
      <c r="B362" s="186"/>
      <c r="C362" s="186"/>
      <c r="D362" s="186"/>
      <c r="E362" s="186"/>
      <c r="F362" s="266"/>
      <c r="G362" s="186"/>
      <c r="H362" s="186"/>
      <c r="I362" s="186"/>
      <c r="J362" s="186"/>
      <c r="K362" s="266"/>
      <c r="L362" s="186"/>
      <c r="M362" s="186"/>
      <c r="N362" s="186"/>
      <c r="O362" s="186"/>
      <c r="P362" s="266"/>
      <c r="Q362" s="186"/>
      <c r="R362" s="186"/>
      <c r="S362" s="186"/>
      <c r="T362" s="186"/>
      <c r="U362" s="266"/>
      <c r="V362" s="186"/>
      <c r="W362" s="186"/>
      <c r="X362" s="186"/>
      <c r="Y362" s="186"/>
      <c r="Z362" s="266"/>
      <c r="AA362" s="186"/>
      <c r="AB362" s="186"/>
      <c r="AC362" s="186"/>
      <c r="AD362" s="186"/>
      <c r="AE362" s="266"/>
      <c r="AF362" s="186"/>
      <c r="AG362" s="186"/>
      <c r="AH362" s="186"/>
      <c r="AI362" s="186"/>
      <c r="AJ362" s="266"/>
      <c r="AK362" s="186"/>
      <c r="AL362" s="186"/>
      <c r="AM362" s="186"/>
      <c r="AN362" s="186"/>
      <c r="AO362" s="266"/>
      <c r="AP362" s="186"/>
      <c r="AQ362" s="186"/>
      <c r="AR362" s="186"/>
      <c r="AS362" s="186"/>
      <c r="AT362" s="266"/>
      <c r="AU362" s="186"/>
      <c r="AV362" s="186"/>
      <c r="AW362" s="186"/>
      <c r="AX362" s="186"/>
      <c r="AY362" s="266"/>
      <c r="AZ362" s="186"/>
      <c r="BA362" s="186"/>
      <c r="BB362" s="186"/>
      <c r="BC362" s="186"/>
      <c r="BD362" s="266"/>
      <c r="BE362" s="186"/>
      <c r="BF362" s="186"/>
      <c r="BG362" s="186"/>
      <c r="BH362" s="186"/>
      <c r="BI362" s="266"/>
      <c r="BJ362" s="186"/>
      <c r="BK362" s="186"/>
      <c r="BL362" s="186"/>
      <c r="BM362" s="186"/>
      <c r="BN362" s="266"/>
      <c r="BO362" s="186"/>
      <c r="BP362" s="186"/>
      <c r="BQ362" s="186"/>
      <c r="BR362" s="186"/>
      <c r="BS362" s="266"/>
      <c r="BT362" s="186"/>
      <c r="BU362" s="186"/>
      <c r="BV362" s="186"/>
      <c r="BW362" s="186"/>
      <c r="BX362" s="266"/>
      <c r="BY362" s="186"/>
      <c r="BZ362" s="186"/>
      <c r="CA362" s="186"/>
      <c r="CB362" s="186"/>
      <c r="CC362" s="266"/>
      <c r="CD362" s="186"/>
      <c r="CE362" s="186"/>
      <c r="CF362" s="186"/>
      <c r="CG362" s="186"/>
      <c r="CH362" s="266"/>
      <c r="CI362" s="186"/>
      <c r="CJ362" s="186"/>
      <c r="CK362" s="186"/>
      <c r="CL362" s="186"/>
      <c r="CM362" s="266"/>
      <c r="CN362" s="186"/>
      <c r="CO362" s="186"/>
      <c r="CP362" s="186"/>
      <c r="CQ362" s="186"/>
      <c r="CR362" s="266"/>
      <c r="CS362" s="33">
        <f t="shared" ref="CS362:DQ362" si="1225">CS352+CS356*7</f>
        <v>4931.1849999999995</v>
      </c>
      <c r="CT362" s="33">
        <f t="shared" si="1225"/>
        <v>4658.3459999999995</v>
      </c>
      <c r="CU362" s="33">
        <f t="shared" si="1225"/>
        <v>4839.2599999999993</v>
      </c>
      <c r="CV362" s="33">
        <f t="shared" si="1225"/>
        <v>4300.6030000000001</v>
      </c>
      <c r="CW362" s="103">
        <f t="shared" si="1225"/>
        <v>4306.0349999999999</v>
      </c>
      <c r="CX362" s="33">
        <f t="shared" si="1225"/>
        <v>3985.5309999999999</v>
      </c>
      <c r="CY362" s="33">
        <f t="shared" si="1225"/>
        <v>3549.9369999999994</v>
      </c>
      <c r="CZ362" s="33">
        <f t="shared" si="1225"/>
        <v>3329.7109999999993</v>
      </c>
      <c r="DA362" s="33">
        <f t="shared" si="1225"/>
        <v>3172.1729999999998</v>
      </c>
      <c r="DB362" s="103">
        <f t="shared" si="1225"/>
        <v>3162.24</v>
      </c>
      <c r="DC362" s="33">
        <f t="shared" si="1225"/>
        <v>2656.7860000000001</v>
      </c>
      <c r="DD362" s="33">
        <f t="shared" si="1225"/>
        <v>2505.9430000000002</v>
      </c>
      <c r="DE362" s="33">
        <f t="shared" si="1225"/>
        <v>3069.9430000000002</v>
      </c>
      <c r="DF362" s="33">
        <f t="shared" si="1225"/>
        <v>3210.9430000000002</v>
      </c>
      <c r="DG362" s="103">
        <f t="shared" si="1225"/>
        <v>3330.8040000000001</v>
      </c>
      <c r="DH362" s="33">
        <f>DH352+DH356*7</f>
        <v>1986.9430000000002</v>
      </c>
      <c r="DI362" s="33">
        <f>DI352+DI356*7</f>
        <v>2539.9430000000002</v>
      </c>
      <c r="DJ362" s="33">
        <f>DJ352+DJ356*7</f>
        <v>2566.9430000000002</v>
      </c>
      <c r="DK362" s="33">
        <f>DK352+DK356*7</f>
        <v>2563.9430000000002</v>
      </c>
      <c r="DL362" s="103">
        <f t="shared" si="1225"/>
        <v>2668.9430000000002</v>
      </c>
      <c r="DM362" s="103"/>
      <c r="DN362" s="103"/>
      <c r="DO362" s="103"/>
      <c r="DP362" s="535"/>
      <c r="DQ362" s="103">
        <f t="shared" si="1225"/>
        <v>2194.9430000000002</v>
      </c>
      <c r="DR362" s="550"/>
      <c r="DS362" s="103"/>
      <c r="DT362" s="103"/>
      <c r="DU362" s="103"/>
      <c r="DV362" s="103">
        <f>DV352+DV356*7</f>
        <v>1768.9430000000002</v>
      </c>
      <c r="DW362" s="550"/>
      <c r="DX362" s="103"/>
      <c r="DY362" s="103"/>
      <c r="DZ362" s="103"/>
      <c r="EA362" s="103">
        <f>EA352+EA356*7</f>
        <v>1792.9430000000002</v>
      </c>
      <c r="EB362" s="550"/>
      <c r="EC362" s="103"/>
      <c r="ED362" s="103"/>
      <c r="EE362" s="103"/>
      <c r="EF362" s="103">
        <f>EF352+EF356*7</f>
        <v>1684.9430000000002</v>
      </c>
      <c r="EG362" s="103"/>
      <c r="EH362" s="103"/>
      <c r="EI362" s="103"/>
      <c r="EJ362" s="103"/>
      <c r="EK362" s="103">
        <f>EK352+EK356*7</f>
        <v>1745.9430000000002</v>
      </c>
      <c r="EL362" s="103"/>
      <c r="EM362" s="103"/>
      <c r="EN362" s="103"/>
      <c r="EO362" s="103"/>
      <c r="EP362" s="103">
        <f>EP352+EP356*7</f>
        <v>1780.9430000000002</v>
      </c>
      <c r="EQ362" s="103"/>
      <c r="ER362" s="103"/>
      <c r="ES362" s="103"/>
      <c r="ET362" s="103"/>
      <c r="EU362" s="103">
        <f>EU352+EU356*7</f>
        <v>2011.4736817429225</v>
      </c>
      <c r="EV362" s="103"/>
      <c r="EW362" s="103"/>
      <c r="EX362" s="103"/>
      <c r="EY362" s="103"/>
      <c r="EZ362" s="103">
        <f>EZ352+EZ356*7</f>
        <v>2291.5940376997014</v>
      </c>
      <c r="FA362" s="103"/>
      <c r="FB362" s="103"/>
      <c r="FC362" s="103"/>
      <c r="FD362" s="103"/>
      <c r="FE362" s="103">
        <f>FE352+FE356*7</f>
        <v>2063.7534447746339</v>
      </c>
      <c r="FF362" s="33"/>
      <c r="FG362" s="460"/>
      <c r="FL362" s="425"/>
      <c r="FM362" s="425"/>
      <c r="FN362" s="384"/>
      <c r="FO362" s="384"/>
      <c r="FP362" s="384"/>
      <c r="FQ362" s="384"/>
      <c r="FR362" s="384"/>
      <c r="FS362" s="384"/>
      <c r="FT362" s="460"/>
    </row>
    <row r="363" spans="1:176" ht="12.75" hidden="1" customHeight="1" x14ac:dyDescent="0.2">
      <c r="A363" s="37" t="s">
        <v>168</v>
      </c>
      <c r="B363" s="184"/>
      <c r="C363" s="184"/>
      <c r="D363" s="184"/>
      <c r="E363" s="184"/>
      <c r="F363" s="279"/>
      <c r="G363" s="184"/>
      <c r="H363" s="184"/>
      <c r="I363" s="184"/>
      <c r="J363" s="184"/>
      <c r="K363" s="279"/>
      <c r="L363" s="184"/>
      <c r="M363" s="184"/>
      <c r="N363" s="184"/>
      <c r="O363" s="184"/>
      <c r="P363" s="279"/>
      <c r="Q363" s="184"/>
      <c r="R363" s="184"/>
      <c r="S363" s="184"/>
      <c r="T363" s="184"/>
      <c r="U363" s="279"/>
      <c r="V363" s="184"/>
      <c r="W363" s="184"/>
      <c r="X363" s="184"/>
      <c r="Y363" s="184"/>
      <c r="Z363" s="279"/>
      <c r="AA363" s="184"/>
      <c r="AB363" s="184"/>
      <c r="AC363" s="184"/>
      <c r="AD363" s="184"/>
      <c r="AE363" s="279"/>
      <c r="AF363" s="184"/>
      <c r="AG363" s="184"/>
      <c r="AH363" s="184"/>
      <c r="AI363" s="184"/>
      <c r="AJ363" s="279"/>
      <c r="AK363" s="184"/>
      <c r="AL363" s="184"/>
      <c r="AM363" s="184"/>
      <c r="AN363" s="184"/>
      <c r="AO363" s="279"/>
      <c r="AP363" s="184"/>
      <c r="AQ363" s="184"/>
      <c r="AR363" s="184"/>
      <c r="AS363" s="184"/>
      <c r="AT363" s="279"/>
      <c r="AU363" s="184"/>
      <c r="AV363" s="184"/>
      <c r="AW363" s="184"/>
      <c r="AX363" s="184"/>
      <c r="AY363" s="279"/>
      <c r="AZ363" s="184"/>
      <c r="BA363" s="184"/>
      <c r="BB363" s="184"/>
      <c r="BC363" s="184"/>
      <c r="BD363" s="279"/>
      <c r="BE363" s="184"/>
      <c r="BF363" s="184"/>
      <c r="BG363" s="184"/>
      <c r="BH363" s="184"/>
      <c r="BI363" s="279"/>
      <c r="BJ363" s="184"/>
      <c r="BK363" s="184"/>
      <c r="BL363" s="184"/>
      <c r="BM363" s="184"/>
      <c r="BN363" s="279"/>
      <c r="BO363" s="184"/>
      <c r="BP363" s="184"/>
      <c r="BQ363" s="184"/>
      <c r="BR363" s="184"/>
      <c r="BS363" s="279"/>
      <c r="BT363" s="184"/>
      <c r="BU363" s="184"/>
      <c r="BV363" s="184"/>
      <c r="BW363" s="184"/>
      <c r="BX363" s="279"/>
      <c r="BY363" s="184"/>
      <c r="BZ363" s="184"/>
      <c r="CA363" s="184"/>
      <c r="CB363" s="184"/>
      <c r="CC363" s="279"/>
      <c r="CD363" s="184"/>
      <c r="CE363" s="184"/>
      <c r="CF363" s="184"/>
      <c r="CG363" s="184"/>
      <c r="CH363" s="279"/>
      <c r="CI363" s="184"/>
      <c r="CJ363" s="184"/>
      <c r="CK363" s="184"/>
      <c r="CL363" s="184"/>
      <c r="CM363" s="279"/>
      <c r="CN363" s="184"/>
      <c r="CO363" s="184"/>
      <c r="CP363" s="184"/>
      <c r="CQ363" s="184"/>
      <c r="CR363" s="279"/>
      <c r="CS363" s="30"/>
      <c r="CT363" s="30"/>
      <c r="CU363" s="30"/>
      <c r="CV363" s="30"/>
      <c r="CW363" s="113"/>
      <c r="CX363" s="30"/>
      <c r="CY363" s="30"/>
      <c r="CZ363" s="30"/>
      <c r="DA363" s="30"/>
      <c r="DB363" s="113"/>
      <c r="DC363" s="30"/>
      <c r="DD363" s="30"/>
      <c r="DE363" s="30"/>
      <c r="DF363" s="30"/>
      <c r="DG363" s="113"/>
      <c r="DH363" s="30"/>
      <c r="DI363" s="30"/>
      <c r="DJ363" s="30"/>
      <c r="DK363" s="30"/>
      <c r="DL363" s="113"/>
      <c r="DM363" s="113"/>
      <c r="DN363" s="113"/>
      <c r="DO363" s="113"/>
      <c r="DP363" s="534"/>
      <c r="DQ363" s="113"/>
      <c r="DR363" s="552"/>
      <c r="DS363" s="113"/>
      <c r="DT363" s="113"/>
      <c r="DU363" s="113"/>
      <c r="DV363" s="113"/>
      <c r="DW363" s="552"/>
      <c r="DX363" s="113"/>
      <c r="DY363" s="113"/>
      <c r="DZ363" s="113"/>
      <c r="EA363" s="113"/>
      <c r="EB363" s="552"/>
      <c r="EC363" s="113"/>
      <c r="ED363" s="113"/>
      <c r="EE363" s="113"/>
      <c r="EF363" s="113"/>
      <c r="EG363" s="113"/>
      <c r="EH363" s="113"/>
      <c r="EI363" s="113"/>
      <c r="EJ363" s="113"/>
      <c r="EK363" s="113"/>
      <c r="EL363" s="113"/>
      <c r="EM363" s="113"/>
      <c r="EN363" s="113"/>
      <c r="EO363" s="113"/>
      <c r="EP363" s="113"/>
      <c r="EQ363" s="113"/>
      <c r="ER363" s="113"/>
      <c r="ES363" s="113"/>
      <c r="ET363" s="113"/>
      <c r="EU363" s="113"/>
      <c r="EV363" s="113"/>
      <c r="EW363" s="113"/>
      <c r="EX363" s="113"/>
      <c r="EY363" s="113"/>
      <c r="EZ363" s="113"/>
      <c r="FA363" s="113"/>
      <c r="FB363" s="113"/>
      <c r="FC363" s="113"/>
      <c r="FD363" s="113"/>
      <c r="FE363" s="113"/>
      <c r="FF363" s="40"/>
      <c r="FG363" s="190"/>
      <c r="FL363" s="406"/>
      <c r="FM363" s="406"/>
      <c r="FN363" s="368"/>
      <c r="FO363" s="368"/>
      <c r="FP363" s="368"/>
      <c r="FQ363" s="368"/>
      <c r="FR363" s="368"/>
      <c r="FS363" s="368"/>
      <c r="FT363" s="190"/>
    </row>
    <row r="364" spans="1:176" ht="12.75" hidden="1" customHeight="1" x14ac:dyDescent="0.2">
      <c r="A364" s="52" t="s">
        <v>421</v>
      </c>
      <c r="B364" s="184"/>
      <c r="C364" s="184"/>
      <c r="D364" s="184"/>
      <c r="E364" s="184"/>
      <c r="F364" s="279"/>
      <c r="G364" s="184"/>
      <c r="H364" s="184"/>
      <c r="I364" s="184"/>
      <c r="J364" s="184"/>
      <c r="K364" s="279"/>
      <c r="L364" s="184"/>
      <c r="M364" s="184"/>
      <c r="N364" s="184"/>
      <c r="O364" s="184"/>
      <c r="P364" s="279"/>
      <c r="Q364" s="184"/>
      <c r="R364" s="184"/>
      <c r="S364" s="184"/>
      <c r="T364" s="184"/>
      <c r="U364" s="279"/>
      <c r="V364" s="184"/>
      <c r="W364" s="184"/>
      <c r="X364" s="184"/>
      <c r="Y364" s="184"/>
      <c r="Z364" s="279"/>
      <c r="AA364" s="184"/>
      <c r="AB364" s="184"/>
      <c r="AC364" s="184"/>
      <c r="AD364" s="184"/>
      <c r="AE364" s="279"/>
      <c r="AF364" s="184"/>
      <c r="AG364" s="184"/>
      <c r="AH364" s="184"/>
      <c r="AI364" s="184"/>
      <c r="AJ364" s="279"/>
      <c r="AK364" s="184"/>
      <c r="AL364" s="184"/>
      <c r="AM364" s="184"/>
      <c r="AN364" s="184"/>
      <c r="AO364" s="279"/>
      <c r="AP364" s="184"/>
      <c r="AQ364" s="184"/>
      <c r="AR364" s="184"/>
      <c r="AS364" s="184"/>
      <c r="AT364" s="279"/>
      <c r="AU364" s="184"/>
      <c r="AV364" s="184"/>
      <c r="AW364" s="184"/>
      <c r="AX364" s="184"/>
      <c r="AY364" s="279"/>
      <c r="AZ364" s="184"/>
      <c r="BA364" s="184"/>
      <c r="BB364" s="184"/>
      <c r="BC364" s="184"/>
      <c r="BD364" s="279"/>
      <c r="BE364" s="184"/>
      <c r="BF364" s="184"/>
      <c r="BG364" s="184"/>
      <c r="BH364" s="184"/>
      <c r="BI364" s="279"/>
      <c r="BJ364" s="184"/>
      <c r="BK364" s="184"/>
      <c r="BL364" s="184"/>
      <c r="BM364" s="184"/>
      <c r="BN364" s="279"/>
      <c r="BO364" s="184"/>
      <c r="BP364" s="184"/>
      <c r="BQ364" s="184"/>
      <c r="BR364" s="184"/>
      <c r="BS364" s="279"/>
      <c r="BT364" s="184"/>
      <c r="BU364" s="184"/>
      <c r="BV364" s="184"/>
      <c r="BW364" s="184"/>
      <c r="BX364" s="279"/>
      <c r="BY364" s="184"/>
      <c r="BZ364" s="184"/>
      <c r="CA364" s="184"/>
      <c r="CB364" s="184"/>
      <c r="CC364" s="279"/>
      <c r="CD364" s="184"/>
      <c r="CE364" s="184"/>
      <c r="CF364" s="184"/>
      <c r="CG364" s="184"/>
      <c r="CH364" s="279"/>
      <c r="CI364" s="184"/>
      <c r="CJ364" s="184"/>
      <c r="CK364" s="184"/>
      <c r="CL364" s="184"/>
      <c r="CM364" s="279"/>
      <c r="CN364" s="184"/>
      <c r="CO364" s="184"/>
      <c r="CP364" s="184"/>
      <c r="CQ364" s="184"/>
      <c r="CR364" s="279"/>
      <c r="CS364" s="53">
        <f t="shared" ref="CS364:DC364" si="1226">CS151</f>
        <v>784.32496400000002</v>
      </c>
      <c r="CT364" s="53">
        <f t="shared" si="1226"/>
        <v>785.98237200000005</v>
      </c>
      <c r="CU364" s="53">
        <f t="shared" si="1226"/>
        <v>787.140625</v>
      </c>
      <c r="CV364" s="53">
        <f t="shared" si="1226"/>
        <v>790.92104199999994</v>
      </c>
      <c r="CW364" s="119">
        <f t="shared" si="1226"/>
        <v>787.82899999999995</v>
      </c>
      <c r="CX364" s="53">
        <f t="shared" si="1226"/>
        <v>787.343346</v>
      </c>
      <c r="CY364" s="53">
        <f t="shared" si="1226"/>
        <v>801.446009</v>
      </c>
      <c r="CZ364" s="53">
        <f t="shared" si="1226"/>
        <v>802.51727100000005</v>
      </c>
      <c r="DA364" s="53">
        <f t="shared" si="1226"/>
        <v>793.89803400000005</v>
      </c>
      <c r="DB364" s="119">
        <f t="shared" si="1226"/>
        <v>796.15189999999996</v>
      </c>
      <c r="DC364" s="53">
        <f t="shared" si="1226"/>
        <v>791.65086399999996</v>
      </c>
      <c r="DD364" s="53">
        <f t="shared" ref="DD364:DF365" si="1227">DC364</f>
        <v>791.65086399999996</v>
      </c>
      <c r="DE364" s="53">
        <f t="shared" si="1227"/>
        <v>791.65086399999996</v>
      </c>
      <c r="DF364" s="53">
        <f t="shared" si="1227"/>
        <v>791.65086399999996</v>
      </c>
      <c r="DG364" s="119">
        <f>DB364</f>
        <v>796.15189999999996</v>
      </c>
      <c r="DH364" s="53">
        <f t="shared" ref="DH364:DK365" si="1228">DG364</f>
        <v>796.15189999999996</v>
      </c>
      <c r="DI364" s="53">
        <f t="shared" si="1228"/>
        <v>796.15189999999996</v>
      </c>
      <c r="DJ364" s="53">
        <f t="shared" si="1228"/>
        <v>796.15189999999996</v>
      </c>
      <c r="DK364" s="53">
        <f t="shared" si="1228"/>
        <v>796.15189999999996</v>
      </c>
      <c r="DL364" s="119">
        <f>DG364</f>
        <v>796.15189999999996</v>
      </c>
      <c r="DM364" s="119"/>
      <c r="DN364" s="119"/>
      <c r="DO364" s="119"/>
      <c r="DP364" s="541"/>
      <c r="DQ364" s="119">
        <f>DL364</f>
        <v>796.15189999999996</v>
      </c>
      <c r="DR364" s="557"/>
      <c r="DS364" s="119"/>
      <c r="DT364" s="119"/>
      <c r="DU364" s="119"/>
      <c r="DV364" s="119">
        <f>DQ364</f>
        <v>796.15189999999996</v>
      </c>
      <c r="DW364" s="557"/>
      <c r="DX364" s="119"/>
      <c r="DY364" s="119"/>
      <c r="DZ364" s="119"/>
      <c r="EA364" s="119">
        <f>DV364</f>
        <v>796.15189999999996</v>
      </c>
      <c r="EB364" s="557"/>
      <c r="EC364" s="119"/>
      <c r="ED364" s="119"/>
      <c r="EE364" s="119"/>
      <c r="EF364" s="119">
        <f>EA364</f>
        <v>796.15189999999996</v>
      </c>
      <c r="EG364" s="119"/>
      <c r="EH364" s="119"/>
      <c r="EI364" s="119"/>
      <c r="EJ364" s="119"/>
      <c r="EK364" s="119">
        <f>EF364</f>
        <v>796.15189999999996</v>
      </c>
      <c r="EL364" s="119"/>
      <c r="EM364" s="119"/>
      <c r="EN364" s="119"/>
      <c r="EO364" s="119"/>
      <c r="EP364" s="119">
        <f>EK364</f>
        <v>796.15189999999996</v>
      </c>
      <c r="EQ364" s="119"/>
      <c r="ER364" s="119"/>
      <c r="ES364" s="119"/>
      <c r="ET364" s="119"/>
      <c r="EU364" s="119">
        <f>EK364</f>
        <v>796.15189999999996</v>
      </c>
      <c r="EV364" s="119"/>
      <c r="EW364" s="119"/>
      <c r="EX364" s="119"/>
      <c r="EY364" s="119"/>
      <c r="EZ364" s="119">
        <f>EU364</f>
        <v>796.15189999999996</v>
      </c>
      <c r="FA364" s="119"/>
      <c r="FB364" s="119"/>
      <c r="FC364" s="119"/>
      <c r="FD364" s="119"/>
      <c r="FE364" s="119">
        <f>EZ364</f>
        <v>796.15189999999996</v>
      </c>
      <c r="FF364" s="40"/>
      <c r="FG364" s="190"/>
      <c r="FL364" s="406"/>
      <c r="FM364" s="406"/>
      <c r="FN364" s="368"/>
      <c r="FO364" s="368"/>
      <c r="FP364" s="368"/>
      <c r="FQ364" s="368"/>
      <c r="FR364" s="368"/>
      <c r="FS364" s="368"/>
      <c r="FT364" s="190"/>
    </row>
    <row r="365" spans="1:176" ht="12.75" hidden="1" customHeight="1" x14ac:dyDescent="0.2">
      <c r="A365" s="20" t="s">
        <v>250</v>
      </c>
      <c r="B365" s="184"/>
      <c r="C365" s="184"/>
      <c r="D365" s="184"/>
      <c r="E365" s="184"/>
      <c r="F365" s="279"/>
      <c r="G365" s="184"/>
      <c r="H365" s="184"/>
      <c r="I365" s="184"/>
      <c r="J365" s="184"/>
      <c r="K365" s="279"/>
      <c r="L365" s="184"/>
      <c r="M365" s="184"/>
      <c r="N365" s="184"/>
      <c r="O365" s="184"/>
      <c r="P365" s="279"/>
      <c r="Q365" s="184"/>
      <c r="R365" s="184"/>
      <c r="S365" s="184"/>
      <c r="T365" s="184"/>
      <c r="U365" s="279"/>
      <c r="V365" s="184"/>
      <c r="W365" s="184"/>
      <c r="X365" s="184"/>
      <c r="Y365" s="184"/>
      <c r="Z365" s="279"/>
      <c r="AA365" s="184"/>
      <c r="AB365" s="184"/>
      <c r="AC365" s="184"/>
      <c r="AD365" s="184"/>
      <c r="AE365" s="279"/>
      <c r="AF365" s="184"/>
      <c r="AG365" s="184"/>
      <c r="AH365" s="184"/>
      <c r="AI365" s="184"/>
      <c r="AJ365" s="279"/>
      <c r="AK365" s="184"/>
      <c r="AL365" s="184"/>
      <c r="AM365" s="184"/>
      <c r="AN365" s="184"/>
      <c r="AO365" s="279"/>
      <c r="AP365" s="184"/>
      <c r="AQ365" s="184"/>
      <c r="AR365" s="184"/>
      <c r="AS365" s="184"/>
      <c r="AT365" s="279"/>
      <c r="AU365" s="184"/>
      <c r="AV365" s="184"/>
      <c r="AW365" s="184"/>
      <c r="AX365" s="184"/>
      <c r="AY365" s="279"/>
      <c r="AZ365" s="184"/>
      <c r="BA365" s="184"/>
      <c r="BB365" s="184"/>
      <c r="BC365" s="184"/>
      <c r="BD365" s="279"/>
      <c r="BE365" s="184"/>
      <c r="BF365" s="184"/>
      <c r="BG365" s="184"/>
      <c r="BH365" s="184"/>
      <c r="BI365" s="279"/>
      <c r="BJ365" s="184"/>
      <c r="BK365" s="184"/>
      <c r="BL365" s="184"/>
      <c r="BM365" s="184"/>
      <c r="BN365" s="279"/>
      <c r="BO365" s="184"/>
      <c r="BP365" s="184"/>
      <c r="BQ365" s="184"/>
      <c r="BR365" s="184"/>
      <c r="BS365" s="279"/>
      <c r="BT365" s="184"/>
      <c r="BU365" s="184"/>
      <c r="BV365" s="184"/>
      <c r="BW365" s="184"/>
      <c r="BX365" s="279"/>
      <c r="BY365" s="184"/>
      <c r="BZ365" s="184"/>
      <c r="CA365" s="184"/>
      <c r="CB365" s="184"/>
      <c r="CC365" s="279"/>
      <c r="CD365" s="184"/>
      <c r="CE365" s="184"/>
      <c r="CF365" s="184"/>
      <c r="CG365" s="184"/>
      <c r="CH365" s="279"/>
      <c r="CI365" s="184"/>
      <c r="CJ365" s="184"/>
      <c r="CK365" s="184"/>
      <c r="CL365" s="184"/>
      <c r="CM365" s="279"/>
      <c r="CN365" s="184"/>
      <c r="CO365" s="184"/>
      <c r="CP365" s="184"/>
      <c r="CQ365" s="184"/>
      <c r="CR365" s="279"/>
      <c r="CS365" s="30">
        <v>6.33</v>
      </c>
      <c r="CT365" s="30">
        <v>6.73</v>
      </c>
      <c r="CU365" s="30" t="e">
        <f ca="1">_xll.FDS($A$1,"P_PRICE("&amp;CU344&amp;")")</f>
        <v>#NAME?</v>
      </c>
      <c r="CV365" s="30">
        <v>11.43</v>
      </c>
      <c r="CW365" s="113">
        <f>CV365</f>
        <v>11.43</v>
      </c>
      <c r="CX365" s="30">
        <v>13.22</v>
      </c>
      <c r="CY365" s="30">
        <v>11.11</v>
      </c>
      <c r="CZ365" s="30">
        <v>13.07</v>
      </c>
      <c r="DA365" s="30">
        <v>12.98</v>
      </c>
      <c r="DB365" s="113">
        <v>12.98</v>
      </c>
      <c r="DC365" s="30">
        <v>12.63</v>
      </c>
      <c r="DD365" s="30">
        <v>11.42</v>
      </c>
      <c r="DE365" s="54">
        <f t="shared" si="1227"/>
        <v>11.42</v>
      </c>
      <c r="DF365" s="54">
        <f t="shared" si="1227"/>
        <v>11.42</v>
      </c>
      <c r="DG365" s="122">
        <f>DF365</f>
        <v>11.42</v>
      </c>
      <c r="DH365" s="54">
        <f t="shared" si="1228"/>
        <v>11.42</v>
      </c>
      <c r="DI365" s="54">
        <f t="shared" si="1228"/>
        <v>11.42</v>
      </c>
      <c r="DJ365" s="54">
        <f t="shared" si="1228"/>
        <v>11.42</v>
      </c>
      <c r="DK365" s="54">
        <f t="shared" si="1228"/>
        <v>11.42</v>
      </c>
      <c r="DL365" s="122">
        <f>DG365</f>
        <v>11.42</v>
      </c>
      <c r="DM365" s="122"/>
      <c r="DN365" s="122"/>
      <c r="DO365" s="122"/>
      <c r="DP365" s="542"/>
      <c r="DQ365" s="122">
        <f>DL365</f>
        <v>11.42</v>
      </c>
      <c r="DR365" s="558"/>
      <c r="DS365" s="122"/>
      <c r="DT365" s="122"/>
      <c r="DU365" s="122"/>
      <c r="DV365" s="122">
        <f>DQ365</f>
        <v>11.42</v>
      </c>
      <c r="DW365" s="558"/>
      <c r="DX365" s="122"/>
      <c r="DY365" s="122"/>
      <c r="DZ365" s="122"/>
      <c r="EA365" s="122">
        <f>DV365</f>
        <v>11.42</v>
      </c>
      <c r="EB365" s="558"/>
      <c r="EC365" s="122"/>
      <c r="ED365" s="122"/>
      <c r="EE365" s="122"/>
      <c r="EF365" s="122">
        <f>EA365</f>
        <v>11.42</v>
      </c>
      <c r="EG365" s="122"/>
      <c r="EH365" s="122"/>
      <c r="EI365" s="122"/>
      <c r="EJ365" s="122"/>
      <c r="EK365" s="122">
        <f>EF365</f>
        <v>11.42</v>
      </c>
      <c r="EL365" s="122"/>
      <c r="EM365" s="122"/>
      <c r="EN365" s="122"/>
      <c r="EO365" s="122"/>
      <c r="EP365" s="122">
        <f>EK365</f>
        <v>11.42</v>
      </c>
      <c r="EQ365" s="122"/>
      <c r="ER365" s="122"/>
      <c r="ES365" s="122"/>
      <c r="ET365" s="122"/>
      <c r="EU365" s="122">
        <f>EK365</f>
        <v>11.42</v>
      </c>
      <c r="EV365" s="122"/>
      <c r="EW365" s="122"/>
      <c r="EX365" s="122"/>
      <c r="EY365" s="122"/>
      <c r="EZ365" s="122">
        <f>EU365</f>
        <v>11.42</v>
      </c>
      <c r="FA365" s="122"/>
      <c r="FB365" s="122"/>
      <c r="FC365" s="122"/>
      <c r="FD365" s="122"/>
      <c r="FE365" s="122">
        <f>EZ365</f>
        <v>11.42</v>
      </c>
      <c r="FF365" s="40"/>
      <c r="FG365" s="190"/>
      <c r="FL365" s="406"/>
      <c r="FM365" s="406"/>
      <c r="FN365" s="368"/>
      <c r="FO365" s="368"/>
      <c r="FP365" s="368"/>
      <c r="FQ365" s="368"/>
      <c r="FR365" s="368"/>
      <c r="FS365" s="368"/>
      <c r="FT365" s="190"/>
    </row>
    <row r="366" spans="1:176" ht="12.75" hidden="1" customHeight="1" x14ac:dyDescent="0.2">
      <c r="A366" s="55" t="s">
        <v>251</v>
      </c>
      <c r="B366" s="184"/>
      <c r="C366" s="184"/>
      <c r="D366" s="184"/>
      <c r="E366" s="184"/>
      <c r="F366" s="279"/>
      <c r="G366" s="184"/>
      <c r="H366" s="184"/>
      <c r="I366" s="184"/>
      <c r="J366" s="184"/>
      <c r="K366" s="279"/>
      <c r="L366" s="184"/>
      <c r="M366" s="184"/>
      <c r="N366" s="184"/>
      <c r="O366" s="184"/>
      <c r="P366" s="279"/>
      <c r="Q366" s="184"/>
      <c r="R366" s="184"/>
      <c r="S366" s="184"/>
      <c r="T366" s="184"/>
      <c r="U366" s="279"/>
      <c r="V366" s="184"/>
      <c r="W366" s="184"/>
      <c r="X366" s="184"/>
      <c r="Y366" s="184"/>
      <c r="Z366" s="279"/>
      <c r="AA366" s="184"/>
      <c r="AB366" s="184"/>
      <c r="AC366" s="184"/>
      <c r="AD366" s="184"/>
      <c r="AE366" s="279"/>
      <c r="AF366" s="184"/>
      <c r="AG366" s="184"/>
      <c r="AH366" s="184"/>
      <c r="AI366" s="184"/>
      <c r="AJ366" s="279"/>
      <c r="AK366" s="184"/>
      <c r="AL366" s="184"/>
      <c r="AM366" s="184"/>
      <c r="AN366" s="184"/>
      <c r="AO366" s="279"/>
      <c r="AP366" s="184"/>
      <c r="AQ366" s="184"/>
      <c r="AR366" s="184"/>
      <c r="AS366" s="184"/>
      <c r="AT366" s="279"/>
      <c r="AU366" s="184"/>
      <c r="AV366" s="184"/>
      <c r="AW366" s="184"/>
      <c r="AX366" s="184"/>
      <c r="AY366" s="279"/>
      <c r="AZ366" s="184"/>
      <c r="BA366" s="184"/>
      <c r="BB366" s="184"/>
      <c r="BC366" s="184"/>
      <c r="BD366" s="279"/>
      <c r="BE366" s="184"/>
      <c r="BF366" s="184"/>
      <c r="BG366" s="184"/>
      <c r="BH366" s="184"/>
      <c r="BI366" s="279"/>
      <c r="BJ366" s="184"/>
      <c r="BK366" s="184"/>
      <c r="BL366" s="184"/>
      <c r="BM366" s="184"/>
      <c r="BN366" s="279"/>
      <c r="BO366" s="184"/>
      <c r="BP366" s="184"/>
      <c r="BQ366" s="184"/>
      <c r="BR366" s="184"/>
      <c r="BS366" s="279"/>
      <c r="BT366" s="184"/>
      <c r="BU366" s="184"/>
      <c r="BV366" s="184"/>
      <c r="BW366" s="184"/>
      <c r="BX366" s="279"/>
      <c r="BY366" s="184"/>
      <c r="BZ366" s="184"/>
      <c r="CA366" s="184"/>
      <c r="CB366" s="184"/>
      <c r="CC366" s="279"/>
      <c r="CD366" s="184"/>
      <c r="CE366" s="184"/>
      <c r="CF366" s="184"/>
      <c r="CG366" s="184"/>
      <c r="CH366" s="279"/>
      <c r="CI366" s="184"/>
      <c r="CJ366" s="184"/>
      <c r="CK366" s="184"/>
      <c r="CL366" s="184"/>
      <c r="CM366" s="279"/>
      <c r="CN366" s="184"/>
      <c r="CO366" s="184"/>
      <c r="CP366" s="184"/>
      <c r="CQ366" s="184"/>
      <c r="CR366" s="279"/>
      <c r="CS366" s="30"/>
      <c r="CT366" s="30"/>
      <c r="CU366" s="30"/>
      <c r="CV366" s="30"/>
      <c r="CW366" s="113"/>
      <c r="CX366" s="30"/>
      <c r="CY366" s="30"/>
      <c r="CZ366" s="30"/>
      <c r="DA366" s="30"/>
      <c r="DB366" s="113"/>
      <c r="DC366" s="30"/>
      <c r="DD366" s="30"/>
      <c r="DE366" s="30"/>
      <c r="DF366" s="30"/>
      <c r="DG366" s="113"/>
      <c r="DH366" s="30"/>
      <c r="DI366" s="30"/>
      <c r="DJ366" s="30"/>
      <c r="DK366" s="30"/>
      <c r="DL366" s="113"/>
      <c r="DM366" s="113"/>
      <c r="DN366" s="113"/>
      <c r="DO366" s="113"/>
      <c r="DP366" s="534"/>
      <c r="DQ366" s="113"/>
      <c r="DR366" s="552"/>
      <c r="DS366" s="113"/>
      <c r="DT366" s="113"/>
      <c r="DU366" s="113"/>
      <c r="DV366" s="113"/>
      <c r="DW366" s="552"/>
      <c r="DX366" s="113"/>
      <c r="DY366" s="113"/>
      <c r="DZ366" s="113"/>
      <c r="EA366" s="113"/>
      <c r="EB366" s="552"/>
      <c r="EC366" s="113"/>
      <c r="ED366" s="113"/>
      <c r="EE366" s="113"/>
      <c r="EF366" s="113"/>
      <c r="EG366" s="113"/>
      <c r="EH366" s="113"/>
      <c r="EI366" s="113"/>
      <c r="EJ366" s="113"/>
      <c r="EK366" s="113"/>
      <c r="EL366" s="113"/>
      <c r="EM366" s="113"/>
      <c r="EN366" s="113"/>
      <c r="EO366" s="113"/>
      <c r="EP366" s="113"/>
      <c r="EQ366" s="113"/>
      <c r="ER366" s="113"/>
      <c r="ES366" s="113"/>
      <c r="ET366" s="113"/>
      <c r="EU366" s="113"/>
      <c r="EV366" s="113"/>
      <c r="EW366" s="113"/>
      <c r="EX366" s="113"/>
      <c r="EY366" s="113"/>
      <c r="EZ366" s="113"/>
      <c r="FA366" s="113"/>
      <c r="FB366" s="113"/>
      <c r="FC366" s="113"/>
      <c r="FD366" s="113"/>
      <c r="FE366" s="113"/>
      <c r="FF366" s="40"/>
      <c r="FG366" s="190"/>
      <c r="FL366" s="406"/>
      <c r="FM366" s="406"/>
      <c r="FN366" s="368"/>
      <c r="FO366" s="368"/>
      <c r="FP366" s="368"/>
      <c r="FQ366" s="368"/>
      <c r="FR366" s="368"/>
      <c r="FS366" s="368"/>
      <c r="FT366" s="190"/>
    </row>
    <row r="367" spans="1:176" ht="12.75" hidden="1" customHeight="1" x14ac:dyDescent="0.2">
      <c r="A367" s="38" t="s">
        <v>252</v>
      </c>
      <c r="B367" s="184"/>
      <c r="C367" s="184"/>
      <c r="D367" s="184"/>
      <c r="E367" s="184"/>
      <c r="F367" s="279"/>
      <c r="G367" s="184"/>
      <c r="H367" s="184"/>
      <c r="I367" s="184"/>
      <c r="J367" s="184"/>
      <c r="K367" s="279"/>
      <c r="L367" s="184"/>
      <c r="M367" s="184"/>
      <c r="N367" s="184"/>
      <c r="O367" s="184"/>
      <c r="P367" s="279"/>
      <c r="Q367" s="184"/>
      <c r="R367" s="184"/>
      <c r="S367" s="184"/>
      <c r="T367" s="184"/>
      <c r="U367" s="279"/>
      <c r="V367" s="184"/>
      <c r="W367" s="184"/>
      <c r="X367" s="184"/>
      <c r="Y367" s="184"/>
      <c r="Z367" s="279"/>
      <c r="AA367" s="184"/>
      <c r="AB367" s="184"/>
      <c r="AC367" s="184"/>
      <c r="AD367" s="184"/>
      <c r="AE367" s="279"/>
      <c r="AF367" s="184"/>
      <c r="AG367" s="184"/>
      <c r="AH367" s="184"/>
      <c r="AI367" s="184"/>
      <c r="AJ367" s="279"/>
      <c r="AK367" s="184"/>
      <c r="AL367" s="184"/>
      <c r="AM367" s="184"/>
      <c r="AN367" s="184"/>
      <c r="AO367" s="279"/>
      <c r="AP367" s="184"/>
      <c r="AQ367" s="184"/>
      <c r="AR367" s="184"/>
      <c r="AS367" s="184"/>
      <c r="AT367" s="279"/>
      <c r="AU367" s="184"/>
      <c r="AV367" s="184"/>
      <c r="AW367" s="184"/>
      <c r="AX367" s="184"/>
      <c r="AY367" s="279"/>
      <c r="AZ367" s="184"/>
      <c r="BA367" s="184"/>
      <c r="BB367" s="184"/>
      <c r="BC367" s="184"/>
      <c r="BD367" s="279"/>
      <c r="BE367" s="184"/>
      <c r="BF367" s="184"/>
      <c r="BG367" s="184"/>
      <c r="BH367" s="184"/>
      <c r="BI367" s="279"/>
      <c r="BJ367" s="184"/>
      <c r="BK367" s="184"/>
      <c r="BL367" s="184"/>
      <c r="BM367" s="184"/>
      <c r="BN367" s="279"/>
      <c r="BO367" s="184"/>
      <c r="BP367" s="184"/>
      <c r="BQ367" s="184"/>
      <c r="BR367" s="184"/>
      <c r="BS367" s="279"/>
      <c r="BT367" s="184"/>
      <c r="BU367" s="184"/>
      <c r="BV367" s="184"/>
      <c r="BW367" s="184"/>
      <c r="BX367" s="279"/>
      <c r="BY367" s="184"/>
      <c r="BZ367" s="184"/>
      <c r="CA367" s="184"/>
      <c r="CB367" s="184"/>
      <c r="CC367" s="279"/>
      <c r="CD367" s="184"/>
      <c r="CE367" s="184"/>
      <c r="CF367" s="184"/>
      <c r="CG367" s="184"/>
      <c r="CH367" s="279"/>
      <c r="CI367" s="184"/>
      <c r="CJ367" s="184"/>
      <c r="CK367" s="184"/>
      <c r="CL367" s="184"/>
      <c r="CM367" s="279"/>
      <c r="CN367" s="184"/>
      <c r="CO367" s="184"/>
      <c r="CP367" s="184"/>
      <c r="CQ367" s="184"/>
      <c r="CR367" s="279"/>
      <c r="CS367" s="33">
        <f t="shared" ref="CS367:DB367" si="1229">CS364*CS365+CS351</f>
        <v>6853.9810221199996</v>
      </c>
      <c r="CT367" s="33">
        <f t="shared" si="1229"/>
        <v>6865.6163635600005</v>
      </c>
      <c r="CU367" s="33" t="e">
        <f t="shared" ca="1" si="1229"/>
        <v>#NAME?</v>
      </c>
      <c r="CV367" s="33">
        <f t="shared" si="1229"/>
        <v>10303.22051006</v>
      </c>
      <c r="CW367" s="103">
        <f t="shared" si="1229"/>
        <v>10267.87847</v>
      </c>
      <c r="CX367" s="33">
        <f>CX364*CX365+CX351</f>
        <v>11328.859034120002</v>
      </c>
      <c r="CY367" s="33">
        <f>CY364*CY365+CY351</f>
        <v>9432.1861599899985</v>
      </c>
      <c r="CZ367" s="33">
        <f>CZ364*CZ365+CZ351</f>
        <v>10869.10173197</v>
      </c>
      <c r="DA367" s="33">
        <f>DA364*DA365+DA351</f>
        <v>10456.240481320001</v>
      </c>
      <c r="DB367" s="103">
        <f t="shared" si="1229"/>
        <v>10485.495661999999</v>
      </c>
      <c r="DC367" s="33">
        <f t="shared" ref="DC367:DQ367" si="1230">DC364*DC365+DC351</f>
        <v>9603.8924123200013</v>
      </c>
      <c r="DD367" s="33">
        <f t="shared" si="1230"/>
        <v>8774.5958668800013</v>
      </c>
      <c r="DE367" s="33">
        <f t="shared" si="1230"/>
        <v>9590.5958668800013</v>
      </c>
      <c r="DF367" s="33">
        <f t="shared" si="1230"/>
        <v>9647.5958668800013</v>
      </c>
      <c r="DG367" s="103">
        <f t="shared" si="1230"/>
        <v>9698.9976979999992</v>
      </c>
      <c r="DH367" s="33">
        <f>DH364*DH365+DH351</f>
        <v>8614.9976979999992</v>
      </c>
      <c r="DI367" s="33">
        <f>DI364*DI365+DI351</f>
        <v>9111.9976979999992</v>
      </c>
      <c r="DJ367" s="33">
        <f>DJ364*DJ365+DJ351</f>
        <v>9082.9976979999992</v>
      </c>
      <c r="DK367" s="33">
        <f>DK364*DK365+DK351</f>
        <v>9275.9976979999992</v>
      </c>
      <c r="DL367" s="103">
        <f t="shared" si="1230"/>
        <v>9275.9976979999992</v>
      </c>
      <c r="DM367" s="103"/>
      <c r="DN367" s="103"/>
      <c r="DO367" s="103"/>
      <c r="DP367" s="535"/>
      <c r="DQ367" s="103">
        <f t="shared" si="1230"/>
        <v>8759.9976979999992</v>
      </c>
      <c r="DR367" s="550"/>
      <c r="DS367" s="103"/>
      <c r="DT367" s="103"/>
      <c r="DU367" s="103"/>
      <c r="DV367" s="103">
        <f>DV364*DV365+DV351</f>
        <v>8795.9976979999992</v>
      </c>
      <c r="DW367" s="550"/>
      <c r="DX367" s="103"/>
      <c r="DY367" s="103"/>
      <c r="DZ367" s="103"/>
      <c r="EA367" s="103">
        <f>EA364*EA365+EA351</f>
        <v>9218.9976979999992</v>
      </c>
      <c r="EB367" s="550"/>
      <c r="EC367" s="103"/>
      <c r="ED367" s="103"/>
      <c r="EE367" s="103"/>
      <c r="EF367" s="103">
        <f>EF364*EF365+EF351</f>
        <v>9173.9976979999992</v>
      </c>
      <c r="EG367" s="103"/>
      <c r="EH367" s="103"/>
      <c r="EI367" s="103"/>
      <c r="EJ367" s="103"/>
      <c r="EK367" s="103">
        <f>EK364*EK365+EK351</f>
        <v>9486.9976979999992</v>
      </c>
      <c r="EL367" s="103"/>
      <c r="EM367" s="103"/>
      <c r="EN367" s="103"/>
      <c r="EO367" s="103"/>
      <c r="EP367" s="103">
        <f>EP364*EP365+EP351</f>
        <v>9486.9976979999992</v>
      </c>
      <c r="EQ367" s="103"/>
      <c r="ER367" s="103"/>
      <c r="ES367" s="103"/>
      <c r="ET367" s="103"/>
      <c r="EU367" s="103">
        <f>EU364*EU365+EU351</f>
        <v>9883.5755108998237</v>
      </c>
      <c r="EV367" s="103"/>
      <c r="EW367" s="103"/>
      <c r="EX367" s="103"/>
      <c r="EY367" s="103"/>
      <c r="EZ367" s="103">
        <f>EZ364*EZ365+EZ351</f>
        <v>10173.680350446171</v>
      </c>
      <c r="FA367" s="103"/>
      <c r="FB367" s="103"/>
      <c r="FC367" s="103"/>
      <c r="FD367" s="103"/>
      <c r="FE367" s="103">
        <f>FE364*FE365+FE351</f>
        <v>9970.7485269803728</v>
      </c>
      <c r="FF367" s="40"/>
      <c r="FG367" s="190"/>
      <c r="FL367" s="406"/>
      <c r="FM367" s="406"/>
      <c r="FN367" s="368"/>
      <c r="FO367" s="368"/>
      <c r="FP367" s="368"/>
      <c r="FQ367" s="368"/>
      <c r="FR367" s="368"/>
      <c r="FS367" s="368"/>
      <c r="FT367" s="190"/>
    </row>
    <row r="368" spans="1:176" ht="12.75" hidden="1" customHeight="1" x14ac:dyDescent="0.2">
      <c r="A368" s="38" t="s">
        <v>79</v>
      </c>
      <c r="B368" s="184"/>
      <c r="C368" s="184"/>
      <c r="D368" s="184"/>
      <c r="E368" s="184"/>
      <c r="F368" s="279"/>
      <c r="G368" s="184"/>
      <c r="H368" s="184"/>
      <c r="I368" s="184"/>
      <c r="J368" s="184"/>
      <c r="K368" s="279"/>
      <c r="L368" s="184"/>
      <c r="M368" s="184"/>
      <c r="N368" s="184"/>
      <c r="O368" s="184"/>
      <c r="P368" s="279"/>
      <c r="Q368" s="184"/>
      <c r="R368" s="184"/>
      <c r="S368" s="184"/>
      <c r="T368" s="184"/>
      <c r="U368" s="279"/>
      <c r="V368" s="184"/>
      <c r="W368" s="184"/>
      <c r="X368" s="184"/>
      <c r="Y368" s="184"/>
      <c r="Z368" s="279"/>
      <c r="AA368" s="184"/>
      <c r="AB368" s="184"/>
      <c r="AC368" s="184"/>
      <c r="AD368" s="184"/>
      <c r="AE368" s="279"/>
      <c r="AF368" s="184"/>
      <c r="AG368" s="184"/>
      <c r="AH368" s="184"/>
      <c r="AI368" s="184"/>
      <c r="AJ368" s="279"/>
      <c r="AK368" s="184"/>
      <c r="AL368" s="184"/>
      <c r="AM368" s="184"/>
      <c r="AN368" s="184"/>
      <c r="AO368" s="279"/>
      <c r="AP368" s="184"/>
      <c r="AQ368" s="184"/>
      <c r="AR368" s="184"/>
      <c r="AS368" s="184"/>
      <c r="AT368" s="279"/>
      <c r="AU368" s="184"/>
      <c r="AV368" s="184"/>
      <c r="AW368" s="184"/>
      <c r="AX368" s="184"/>
      <c r="AY368" s="279"/>
      <c r="AZ368" s="184"/>
      <c r="BA368" s="184"/>
      <c r="BB368" s="184"/>
      <c r="BC368" s="184"/>
      <c r="BD368" s="279"/>
      <c r="BE368" s="184"/>
      <c r="BF368" s="184"/>
      <c r="BG368" s="184"/>
      <c r="BH368" s="184"/>
      <c r="BI368" s="279"/>
      <c r="BJ368" s="184"/>
      <c r="BK368" s="184"/>
      <c r="BL368" s="184"/>
      <c r="BM368" s="184"/>
      <c r="BN368" s="279"/>
      <c r="BO368" s="184"/>
      <c r="BP368" s="184"/>
      <c r="BQ368" s="184"/>
      <c r="BR368" s="184"/>
      <c r="BS368" s="279"/>
      <c r="BT368" s="184"/>
      <c r="BU368" s="184"/>
      <c r="BV368" s="184"/>
      <c r="BW368" s="184"/>
      <c r="BX368" s="279"/>
      <c r="BY368" s="184"/>
      <c r="BZ368" s="184"/>
      <c r="CA368" s="184"/>
      <c r="CB368" s="184"/>
      <c r="CC368" s="279"/>
      <c r="CD368" s="184"/>
      <c r="CE368" s="184"/>
      <c r="CF368" s="184"/>
      <c r="CG368" s="184"/>
      <c r="CH368" s="279"/>
      <c r="CI368" s="184"/>
      <c r="CJ368" s="184"/>
      <c r="CK368" s="184"/>
      <c r="CL368" s="184"/>
      <c r="CM368" s="279"/>
      <c r="CN368" s="184"/>
      <c r="CO368" s="184"/>
      <c r="CP368" s="184"/>
      <c r="CQ368" s="184"/>
      <c r="CR368" s="279"/>
      <c r="CS368" s="33">
        <f t="shared" ref="CS368:DB368" si="1231">CS364*CS365+CS352</f>
        <v>6943.8940221199991</v>
      </c>
      <c r="CT368" s="33">
        <f t="shared" si="1231"/>
        <v>6936.3833635600004</v>
      </c>
      <c r="CU368" s="33" t="e">
        <f t="shared" ca="1" si="1231"/>
        <v>#NAME?</v>
      </c>
      <c r="CV368" s="33">
        <f t="shared" si="1231"/>
        <v>10355.61051006</v>
      </c>
      <c r="CW368" s="103">
        <f t="shared" si="1231"/>
        <v>10320.268469999999</v>
      </c>
      <c r="CX368" s="33">
        <f>CX364*CX365+CX352</f>
        <v>11381.942034120002</v>
      </c>
      <c r="CY368" s="33">
        <f>CY364*CY365+CY352</f>
        <v>9486.0021599899992</v>
      </c>
      <c r="CZ368" s="33">
        <f>CZ364*CZ365+CZ352</f>
        <v>10934.611731970001</v>
      </c>
      <c r="DA368" s="33">
        <f>DA364*DA365+DA352</f>
        <v>10508.96948132</v>
      </c>
      <c r="DB368" s="103">
        <f t="shared" si="1231"/>
        <v>10538.224662000001</v>
      </c>
      <c r="DC368" s="33">
        <f t="shared" ref="DC368:DQ368" si="1232">DC364*DC365+DC352</f>
        <v>9655.8924123200013</v>
      </c>
      <c r="DD368" s="33">
        <f t="shared" si="1232"/>
        <v>8774.5958668800013</v>
      </c>
      <c r="DE368" s="33">
        <f t="shared" si="1232"/>
        <v>9590.5958668800013</v>
      </c>
      <c r="DF368" s="33">
        <f t="shared" si="1232"/>
        <v>9647.5958668800013</v>
      </c>
      <c r="DG368" s="103">
        <f t="shared" si="1232"/>
        <v>9698.9976979999992</v>
      </c>
      <c r="DH368" s="33">
        <f>DH364*DH365+DH352</f>
        <v>8614.9976979999992</v>
      </c>
      <c r="DI368" s="33">
        <f>DI364*DI365+DI352</f>
        <v>9111.9976979999992</v>
      </c>
      <c r="DJ368" s="33">
        <f>DJ364*DJ365+DJ352</f>
        <v>9082.9976979999992</v>
      </c>
      <c r="DK368" s="33">
        <f>DK364*DK365+DK352</f>
        <v>9275.9976979999992</v>
      </c>
      <c r="DL368" s="103">
        <f t="shared" si="1232"/>
        <v>9275.9976979999992</v>
      </c>
      <c r="DM368" s="103"/>
      <c r="DN368" s="103"/>
      <c r="DO368" s="103"/>
      <c r="DP368" s="535"/>
      <c r="DQ368" s="103">
        <f t="shared" si="1232"/>
        <v>8759.9976979999992</v>
      </c>
      <c r="DR368" s="550"/>
      <c r="DS368" s="103"/>
      <c r="DT368" s="103"/>
      <c r="DU368" s="103"/>
      <c r="DV368" s="103">
        <f>DV364*DV365+DV352</f>
        <v>8795.9976979999992</v>
      </c>
      <c r="DW368" s="550"/>
      <c r="DX368" s="103"/>
      <c r="DY368" s="103"/>
      <c r="DZ368" s="103"/>
      <c r="EA368" s="103">
        <f>EA364*EA365+EA352</f>
        <v>9218.9976979999992</v>
      </c>
      <c r="EB368" s="550"/>
      <c r="EC368" s="103"/>
      <c r="ED368" s="103"/>
      <c r="EE368" s="103"/>
      <c r="EF368" s="103">
        <f>EF364*EF365+EF352</f>
        <v>9173.9976979999992</v>
      </c>
      <c r="EG368" s="103"/>
      <c r="EH368" s="103"/>
      <c r="EI368" s="103"/>
      <c r="EJ368" s="103"/>
      <c r="EK368" s="103">
        <f>EK364*EK365+EK352</f>
        <v>9486.9976979999992</v>
      </c>
      <c r="EL368" s="103"/>
      <c r="EM368" s="103"/>
      <c r="EN368" s="103"/>
      <c r="EO368" s="103"/>
      <c r="EP368" s="103">
        <f>EP364*EP365+EP352</f>
        <v>9486.9976979999992</v>
      </c>
      <c r="EQ368" s="103"/>
      <c r="ER368" s="103"/>
      <c r="ES368" s="103"/>
      <c r="ET368" s="103"/>
      <c r="EU368" s="103">
        <f>EU364*EU365+EU352</f>
        <v>9883.5755108998237</v>
      </c>
      <c r="EV368" s="103"/>
      <c r="EW368" s="103"/>
      <c r="EX368" s="103"/>
      <c r="EY368" s="103"/>
      <c r="EZ368" s="103">
        <f>EZ364*EZ365+EZ352</f>
        <v>10173.680350446171</v>
      </c>
      <c r="FA368" s="103"/>
      <c r="FB368" s="103"/>
      <c r="FC368" s="103"/>
      <c r="FD368" s="103"/>
      <c r="FE368" s="103">
        <f>FE364*FE365+FE352</f>
        <v>9970.7485269803728</v>
      </c>
      <c r="FF368" s="40"/>
      <c r="FG368" s="190"/>
      <c r="FL368" s="406"/>
      <c r="FM368" s="406"/>
      <c r="FN368" s="368"/>
      <c r="FO368" s="368"/>
      <c r="FP368" s="368"/>
      <c r="FQ368" s="368"/>
      <c r="FR368" s="368"/>
      <c r="FS368" s="368"/>
      <c r="FT368" s="190"/>
    </row>
    <row r="369" spans="1:176" ht="12.75" hidden="1" customHeight="1" x14ac:dyDescent="0.2">
      <c r="A369" s="38"/>
      <c r="B369" s="184"/>
      <c r="C369" s="184"/>
      <c r="D369" s="184"/>
      <c r="E369" s="184"/>
      <c r="F369" s="279"/>
      <c r="G369" s="184"/>
      <c r="H369" s="184"/>
      <c r="I369" s="184"/>
      <c r="J369" s="184"/>
      <c r="K369" s="279"/>
      <c r="L369" s="184"/>
      <c r="M369" s="184"/>
      <c r="N369" s="184"/>
      <c r="O369" s="184"/>
      <c r="P369" s="279"/>
      <c r="Q369" s="184"/>
      <c r="R369" s="184"/>
      <c r="S369" s="184"/>
      <c r="T369" s="184"/>
      <c r="U369" s="279"/>
      <c r="V369" s="184"/>
      <c r="W369" s="184"/>
      <c r="X369" s="184"/>
      <c r="Y369" s="184"/>
      <c r="Z369" s="279"/>
      <c r="AA369" s="184"/>
      <c r="AB369" s="184"/>
      <c r="AC369" s="184"/>
      <c r="AD369" s="184"/>
      <c r="AE369" s="279"/>
      <c r="AF369" s="184"/>
      <c r="AG369" s="184"/>
      <c r="AH369" s="184"/>
      <c r="AI369" s="184"/>
      <c r="AJ369" s="279"/>
      <c r="AK369" s="184"/>
      <c r="AL369" s="184"/>
      <c r="AM369" s="184"/>
      <c r="AN369" s="184"/>
      <c r="AO369" s="279"/>
      <c r="AP369" s="184"/>
      <c r="AQ369" s="184"/>
      <c r="AR369" s="184"/>
      <c r="AS369" s="184"/>
      <c r="AT369" s="279"/>
      <c r="AU369" s="184"/>
      <c r="AV369" s="184"/>
      <c r="AW369" s="184"/>
      <c r="AX369" s="184"/>
      <c r="AY369" s="279"/>
      <c r="AZ369" s="184"/>
      <c r="BA369" s="184"/>
      <c r="BB369" s="184"/>
      <c r="BC369" s="184"/>
      <c r="BD369" s="279"/>
      <c r="BE369" s="184"/>
      <c r="BF369" s="184"/>
      <c r="BG369" s="184"/>
      <c r="BH369" s="184"/>
      <c r="BI369" s="279"/>
      <c r="BJ369" s="184"/>
      <c r="BK369" s="184"/>
      <c r="BL369" s="184"/>
      <c r="BM369" s="184"/>
      <c r="BN369" s="279"/>
      <c r="BO369" s="184"/>
      <c r="BP369" s="184"/>
      <c r="BQ369" s="184"/>
      <c r="BR369" s="184"/>
      <c r="BS369" s="279"/>
      <c r="BT369" s="184"/>
      <c r="BU369" s="184"/>
      <c r="BV369" s="184"/>
      <c r="BW369" s="184"/>
      <c r="BX369" s="279"/>
      <c r="BY369" s="184"/>
      <c r="BZ369" s="184"/>
      <c r="CA369" s="184"/>
      <c r="CB369" s="184"/>
      <c r="CC369" s="279"/>
      <c r="CD369" s="184"/>
      <c r="CE369" s="184"/>
      <c r="CF369" s="184"/>
      <c r="CG369" s="184"/>
      <c r="CH369" s="279"/>
      <c r="CI369" s="184"/>
      <c r="CJ369" s="184"/>
      <c r="CK369" s="184"/>
      <c r="CL369" s="184"/>
      <c r="CM369" s="279"/>
      <c r="CN369" s="184"/>
      <c r="CO369" s="184"/>
      <c r="CP369" s="184"/>
      <c r="CQ369" s="184"/>
      <c r="CR369" s="279"/>
      <c r="CS369" s="33"/>
      <c r="CT369" s="33"/>
      <c r="CU369" s="33"/>
      <c r="CV369" s="33"/>
      <c r="CW369" s="103"/>
      <c r="CX369" s="33"/>
      <c r="CY369" s="33"/>
      <c r="CZ369" s="33"/>
      <c r="DA369" s="33"/>
      <c r="DB369" s="103"/>
      <c r="DC369" s="33"/>
      <c r="DD369" s="33"/>
      <c r="DE369" s="33"/>
      <c r="DF369" s="33"/>
      <c r="DG369" s="103"/>
      <c r="DH369" s="33"/>
      <c r="DI369" s="33"/>
      <c r="DJ369" s="33"/>
      <c r="DK369" s="33"/>
      <c r="DL369" s="103"/>
      <c r="DM369" s="103"/>
      <c r="DN369" s="103"/>
      <c r="DO369" s="103"/>
      <c r="DP369" s="535"/>
      <c r="DQ369" s="103"/>
      <c r="DR369" s="550"/>
      <c r="DS369" s="103"/>
      <c r="DT369" s="103"/>
      <c r="DU369" s="103"/>
      <c r="DV369" s="103"/>
      <c r="DW369" s="550"/>
      <c r="DX369" s="103"/>
      <c r="DY369" s="103"/>
      <c r="DZ369" s="103"/>
      <c r="EA369" s="103"/>
      <c r="EB369" s="550"/>
      <c r="EC369" s="103"/>
      <c r="ED369" s="103"/>
      <c r="EE369" s="103"/>
      <c r="EF369" s="103"/>
      <c r="EG369" s="103"/>
      <c r="EH369" s="103"/>
      <c r="EI369" s="103"/>
      <c r="EJ369" s="103"/>
      <c r="EK369" s="103"/>
      <c r="EL369" s="103"/>
      <c r="EM369" s="103"/>
      <c r="EN369" s="103"/>
      <c r="EO369" s="103"/>
      <c r="EP369" s="103"/>
      <c r="EQ369" s="103"/>
      <c r="ER369" s="103"/>
      <c r="ES369" s="103"/>
      <c r="ET369" s="103"/>
      <c r="EU369" s="103"/>
      <c r="EV369" s="103"/>
      <c r="EW369" s="103"/>
      <c r="EX369" s="103"/>
      <c r="EY369" s="103"/>
      <c r="EZ369" s="103"/>
      <c r="FA369" s="103"/>
      <c r="FB369" s="103"/>
      <c r="FC369" s="103"/>
      <c r="FD369" s="103"/>
      <c r="FE369" s="103"/>
      <c r="FF369" s="40"/>
      <c r="FG369" s="190"/>
      <c r="FL369" s="406"/>
      <c r="FM369" s="406"/>
      <c r="FN369" s="368"/>
      <c r="FO369" s="368"/>
      <c r="FP369" s="368"/>
      <c r="FQ369" s="368"/>
      <c r="FR369" s="368"/>
      <c r="FS369" s="368"/>
      <c r="FT369" s="190"/>
    </row>
    <row r="370" spans="1:176" ht="12.75" hidden="1" customHeight="1" x14ac:dyDescent="0.2">
      <c r="A370" s="38" t="s">
        <v>430</v>
      </c>
      <c r="B370" s="184"/>
      <c r="C370" s="184"/>
      <c r="D370" s="184"/>
      <c r="E370" s="184"/>
      <c r="F370" s="279"/>
      <c r="G370" s="184"/>
      <c r="H370" s="184"/>
      <c r="I370" s="184"/>
      <c r="J370" s="184"/>
      <c r="K370" s="279"/>
      <c r="L370" s="184"/>
      <c r="M370" s="184"/>
      <c r="N370" s="184"/>
      <c r="O370" s="184"/>
      <c r="P370" s="279"/>
      <c r="Q370" s="184"/>
      <c r="R370" s="184"/>
      <c r="S370" s="184"/>
      <c r="T370" s="184"/>
      <c r="U370" s="279"/>
      <c r="V370" s="184"/>
      <c r="W370" s="184"/>
      <c r="X370" s="184"/>
      <c r="Y370" s="184"/>
      <c r="Z370" s="279"/>
      <c r="AA370" s="184"/>
      <c r="AB370" s="184"/>
      <c r="AC370" s="184"/>
      <c r="AD370" s="184"/>
      <c r="AE370" s="279"/>
      <c r="AF370" s="184"/>
      <c r="AG370" s="184"/>
      <c r="AH370" s="184"/>
      <c r="AI370" s="184"/>
      <c r="AJ370" s="279"/>
      <c r="AK370" s="184"/>
      <c r="AL370" s="184"/>
      <c r="AM370" s="184"/>
      <c r="AN370" s="184"/>
      <c r="AO370" s="279"/>
      <c r="AP370" s="184"/>
      <c r="AQ370" s="184"/>
      <c r="AR370" s="184"/>
      <c r="AS370" s="184"/>
      <c r="AT370" s="279"/>
      <c r="AU370" s="184"/>
      <c r="AV370" s="184"/>
      <c r="AW370" s="184"/>
      <c r="AX370" s="184"/>
      <c r="AY370" s="279"/>
      <c r="AZ370" s="184"/>
      <c r="BA370" s="184"/>
      <c r="BB370" s="184"/>
      <c r="BC370" s="184"/>
      <c r="BD370" s="279"/>
      <c r="BE370" s="184"/>
      <c r="BF370" s="184"/>
      <c r="BG370" s="184"/>
      <c r="BH370" s="184"/>
      <c r="BI370" s="279"/>
      <c r="BJ370" s="184"/>
      <c r="BK370" s="184"/>
      <c r="BL370" s="184"/>
      <c r="BM370" s="184"/>
      <c r="BN370" s="279"/>
      <c r="BO370" s="184"/>
      <c r="BP370" s="184"/>
      <c r="BQ370" s="184"/>
      <c r="BR370" s="184"/>
      <c r="BS370" s="279"/>
      <c r="BT370" s="184"/>
      <c r="BU370" s="184"/>
      <c r="BV370" s="184"/>
      <c r="BW370" s="184"/>
      <c r="BX370" s="279"/>
      <c r="BY370" s="184"/>
      <c r="BZ370" s="184"/>
      <c r="CA370" s="184"/>
      <c r="CB370" s="184"/>
      <c r="CC370" s="279"/>
      <c r="CD370" s="184"/>
      <c r="CE370" s="184"/>
      <c r="CF370" s="184"/>
      <c r="CG370" s="184"/>
      <c r="CH370" s="279"/>
      <c r="CI370" s="184"/>
      <c r="CJ370" s="184"/>
      <c r="CK370" s="184"/>
      <c r="CL370" s="184"/>
      <c r="CM370" s="279"/>
      <c r="CN370" s="184"/>
      <c r="CO370" s="184"/>
      <c r="CP370" s="184"/>
      <c r="CQ370" s="184"/>
      <c r="CR370" s="279"/>
      <c r="CS370" s="33">
        <f t="shared" ref="CS370:DB370" si="1233">CS364*CS365+CS358</f>
        <v>9806.049022119998</v>
      </c>
      <c r="CT370" s="33">
        <f t="shared" si="1233"/>
        <v>9877.2403635600003</v>
      </c>
      <c r="CU370" s="33" t="e">
        <f t="shared" ca="1" si="1233"/>
        <v>#NAME?</v>
      </c>
      <c r="CV370" s="33">
        <f t="shared" si="1233"/>
        <v>13288.44051006</v>
      </c>
      <c r="CW370" s="103">
        <f t="shared" si="1233"/>
        <v>13258.53047</v>
      </c>
      <c r="CX370" s="33">
        <f>CX364*CX365+CX358</f>
        <v>14341.127034120002</v>
      </c>
      <c r="CY370" s="33">
        <f>CY364*CY365+CY358</f>
        <v>12400.186159989998</v>
      </c>
      <c r="CZ370" s="33">
        <f>CZ364*CZ365+CZ358</f>
        <v>13753.10173197</v>
      </c>
      <c r="DA370" s="33">
        <f>DA364*DA365+DA358</f>
        <v>13424.240481320001</v>
      </c>
      <c r="DB370" s="103">
        <f t="shared" si="1233"/>
        <v>13443.562662</v>
      </c>
      <c r="DC370" s="33">
        <f t="shared" ref="DC370:DQ370" si="1234">DC364*DC365+DC358</f>
        <v>12603.336412320001</v>
      </c>
      <c r="DD370" s="33">
        <f t="shared" si="1234"/>
        <v>11546.595866880001</v>
      </c>
      <c r="DE370" s="33">
        <f t="shared" si="1234"/>
        <v>12110.595866880001</v>
      </c>
      <c r="DF370" s="33">
        <f t="shared" si="1234"/>
        <v>12251.595866880001</v>
      </c>
      <c r="DG370" s="103">
        <f t="shared" si="1234"/>
        <v>12422.858698</v>
      </c>
      <c r="DH370" s="33">
        <f>DH364*DH365+DH358</f>
        <v>11078.997697999999</v>
      </c>
      <c r="DI370" s="33">
        <f>DI364*DI365+DI358</f>
        <v>11631.997697999999</v>
      </c>
      <c r="DJ370" s="33">
        <f>DJ364*DJ365+DJ358</f>
        <v>11658.997697999999</v>
      </c>
      <c r="DK370" s="33">
        <f>DK364*DK365+DK358</f>
        <v>11655.997697999999</v>
      </c>
      <c r="DL370" s="103">
        <f t="shared" si="1234"/>
        <v>11760.997697999999</v>
      </c>
      <c r="DM370" s="103"/>
      <c r="DN370" s="103"/>
      <c r="DO370" s="103"/>
      <c r="DP370" s="535"/>
      <c r="DQ370" s="103">
        <f t="shared" si="1234"/>
        <v>11286.997697999999</v>
      </c>
      <c r="DR370" s="550"/>
      <c r="DS370" s="103"/>
      <c r="DT370" s="103"/>
      <c r="DU370" s="103"/>
      <c r="DV370" s="103">
        <f>DV364*DV365+DV358</f>
        <v>10860.997697999999</v>
      </c>
      <c r="DW370" s="550"/>
      <c r="DX370" s="103"/>
      <c r="DY370" s="103"/>
      <c r="DZ370" s="103"/>
      <c r="EA370" s="103">
        <f>EA364*EA365+EA358</f>
        <v>10884.997697999999</v>
      </c>
      <c r="EB370" s="550"/>
      <c r="EC370" s="103"/>
      <c r="ED370" s="103"/>
      <c r="EE370" s="103"/>
      <c r="EF370" s="103">
        <f>EF364*EF365+EF358</f>
        <v>10776.997697999999</v>
      </c>
      <c r="EG370" s="103"/>
      <c r="EH370" s="103"/>
      <c r="EI370" s="103"/>
      <c r="EJ370" s="103"/>
      <c r="EK370" s="103">
        <f>EK364*EK365+EK358</f>
        <v>10837.997697999999</v>
      </c>
      <c r="EL370" s="103"/>
      <c r="EM370" s="103"/>
      <c r="EN370" s="103"/>
      <c r="EO370" s="103"/>
      <c r="EP370" s="103">
        <f>EP364*EP365+EP358</f>
        <v>10872.997697999999</v>
      </c>
      <c r="EQ370" s="103"/>
      <c r="ER370" s="103"/>
      <c r="ES370" s="103"/>
      <c r="ET370" s="103"/>
      <c r="EU370" s="103">
        <f>EU364*EU365+EU358</f>
        <v>11103.528379742922</v>
      </c>
      <c r="EV370" s="103"/>
      <c r="EW370" s="103"/>
      <c r="EX370" s="103"/>
      <c r="EY370" s="103"/>
      <c r="EZ370" s="103">
        <f>EZ364*EZ365+EZ358</f>
        <v>11383.648735699702</v>
      </c>
      <c r="FA370" s="103"/>
      <c r="FB370" s="103"/>
      <c r="FC370" s="103"/>
      <c r="FD370" s="103"/>
      <c r="FE370" s="103">
        <f>FE364*FE365+FE358</f>
        <v>11155.808142774633</v>
      </c>
      <c r="FF370" s="40"/>
      <c r="FG370" s="190"/>
      <c r="FL370" s="406"/>
      <c r="FM370" s="406"/>
      <c r="FN370" s="368"/>
      <c r="FO370" s="368"/>
      <c r="FP370" s="368"/>
      <c r="FQ370" s="368"/>
      <c r="FR370" s="368"/>
      <c r="FS370" s="368"/>
      <c r="FT370" s="190"/>
    </row>
    <row r="371" spans="1:176" ht="12.75" hidden="1" customHeight="1" x14ac:dyDescent="0.2">
      <c r="A371" s="38" t="s">
        <v>273</v>
      </c>
      <c r="B371" s="184"/>
      <c r="C371" s="184"/>
      <c r="D371" s="184"/>
      <c r="E371" s="184"/>
      <c r="F371" s="279"/>
      <c r="G371" s="184"/>
      <c r="H371" s="184"/>
      <c r="I371" s="184"/>
      <c r="J371" s="184"/>
      <c r="K371" s="279"/>
      <c r="L371" s="184"/>
      <c r="M371" s="184"/>
      <c r="N371" s="184"/>
      <c r="O371" s="184"/>
      <c r="P371" s="279"/>
      <c r="Q371" s="184"/>
      <c r="R371" s="184"/>
      <c r="S371" s="184"/>
      <c r="T371" s="184"/>
      <c r="U371" s="279"/>
      <c r="V371" s="184"/>
      <c r="W371" s="184"/>
      <c r="X371" s="184"/>
      <c r="Y371" s="184"/>
      <c r="Z371" s="279"/>
      <c r="AA371" s="184"/>
      <c r="AB371" s="184"/>
      <c r="AC371" s="184"/>
      <c r="AD371" s="184"/>
      <c r="AE371" s="279"/>
      <c r="AF371" s="184"/>
      <c r="AG371" s="184"/>
      <c r="AH371" s="184"/>
      <c r="AI371" s="184"/>
      <c r="AJ371" s="279"/>
      <c r="AK371" s="184"/>
      <c r="AL371" s="184"/>
      <c r="AM371" s="184"/>
      <c r="AN371" s="184"/>
      <c r="AO371" s="279"/>
      <c r="AP371" s="184"/>
      <c r="AQ371" s="184"/>
      <c r="AR371" s="184"/>
      <c r="AS371" s="184"/>
      <c r="AT371" s="279"/>
      <c r="AU371" s="184"/>
      <c r="AV371" s="184"/>
      <c r="AW371" s="184"/>
      <c r="AX371" s="184"/>
      <c r="AY371" s="279"/>
      <c r="AZ371" s="184"/>
      <c r="BA371" s="184"/>
      <c r="BB371" s="184"/>
      <c r="BC371" s="184"/>
      <c r="BD371" s="279"/>
      <c r="BE371" s="184"/>
      <c r="BF371" s="184"/>
      <c r="BG371" s="184"/>
      <c r="BH371" s="184"/>
      <c r="BI371" s="279"/>
      <c r="BJ371" s="184"/>
      <c r="BK371" s="184"/>
      <c r="BL371" s="184"/>
      <c r="BM371" s="184"/>
      <c r="BN371" s="279"/>
      <c r="BO371" s="184"/>
      <c r="BP371" s="184"/>
      <c r="BQ371" s="184"/>
      <c r="BR371" s="184"/>
      <c r="BS371" s="279"/>
      <c r="BT371" s="184"/>
      <c r="BU371" s="184"/>
      <c r="BV371" s="184"/>
      <c r="BW371" s="184"/>
      <c r="BX371" s="279"/>
      <c r="BY371" s="184"/>
      <c r="BZ371" s="184"/>
      <c r="CA371" s="184"/>
      <c r="CB371" s="184"/>
      <c r="CC371" s="279"/>
      <c r="CD371" s="184"/>
      <c r="CE371" s="184"/>
      <c r="CF371" s="184"/>
      <c r="CG371" s="184"/>
      <c r="CH371" s="279"/>
      <c r="CI371" s="184"/>
      <c r="CJ371" s="184"/>
      <c r="CK371" s="184"/>
      <c r="CL371" s="184"/>
      <c r="CM371" s="279"/>
      <c r="CN371" s="184"/>
      <c r="CO371" s="184"/>
      <c r="CP371" s="184"/>
      <c r="CQ371" s="184"/>
      <c r="CR371" s="279"/>
      <c r="CS371" s="33">
        <f t="shared" ref="CS371:DB371" si="1235">CS364*CS365+CS359</f>
        <v>9895.9620221199984</v>
      </c>
      <c r="CT371" s="33">
        <f t="shared" si="1235"/>
        <v>9948.0073635600002</v>
      </c>
      <c r="CU371" s="33" t="e">
        <f t="shared" ca="1" si="1235"/>
        <v>#NAME?</v>
      </c>
      <c r="CV371" s="33">
        <f t="shared" si="1235"/>
        <v>13340.830510060001</v>
      </c>
      <c r="CW371" s="103">
        <f t="shared" si="1235"/>
        <v>13310.920469999999</v>
      </c>
      <c r="CX371" s="33">
        <f>CX364*CX365+CX359</f>
        <v>14394.210034120002</v>
      </c>
      <c r="CY371" s="33">
        <f>CY364*CY365+CY359</f>
        <v>12454.002159989999</v>
      </c>
      <c r="CZ371" s="33">
        <f>CZ364*CZ365+CZ359</f>
        <v>13818.611731970001</v>
      </c>
      <c r="DA371" s="33">
        <f>DA364*DA365+DA359</f>
        <v>13476.96948132</v>
      </c>
      <c r="DB371" s="103">
        <f t="shared" si="1235"/>
        <v>13496.291662</v>
      </c>
      <c r="DC371" s="33">
        <f t="shared" ref="DC371:DQ371" si="1236">DC364*DC365+DC359</f>
        <v>12655.336412320001</v>
      </c>
      <c r="DD371" s="33">
        <f t="shared" si="1236"/>
        <v>11546.595866880001</v>
      </c>
      <c r="DE371" s="33">
        <f t="shared" si="1236"/>
        <v>12110.595866880001</v>
      </c>
      <c r="DF371" s="33">
        <f t="shared" si="1236"/>
        <v>12251.595866880001</v>
      </c>
      <c r="DG371" s="103">
        <f t="shared" si="1236"/>
        <v>12422.858698</v>
      </c>
      <c r="DH371" s="33">
        <f>DH364*DH365+DH359</f>
        <v>11078.997697999999</v>
      </c>
      <c r="DI371" s="33">
        <f>DI364*DI365+DI359</f>
        <v>11631.997697999999</v>
      </c>
      <c r="DJ371" s="33">
        <f>DJ364*DJ365+DJ359</f>
        <v>11658.997697999999</v>
      </c>
      <c r="DK371" s="33">
        <f>DK364*DK365+DK359</f>
        <v>11655.997697999999</v>
      </c>
      <c r="DL371" s="103">
        <f t="shared" si="1236"/>
        <v>11760.997697999999</v>
      </c>
      <c r="DM371" s="103"/>
      <c r="DN371" s="103"/>
      <c r="DO371" s="103"/>
      <c r="DP371" s="535"/>
      <c r="DQ371" s="103">
        <f t="shared" si="1236"/>
        <v>11286.997697999999</v>
      </c>
      <c r="DR371" s="550"/>
      <c r="DS371" s="103"/>
      <c r="DT371" s="103"/>
      <c r="DU371" s="103"/>
      <c r="DV371" s="103">
        <f>DV364*DV365+DV359</f>
        <v>10860.997697999999</v>
      </c>
      <c r="DW371" s="550"/>
      <c r="DX371" s="103"/>
      <c r="DY371" s="103"/>
      <c r="DZ371" s="103"/>
      <c r="EA371" s="103">
        <f>EA364*EA365+EA359</f>
        <v>10884.997697999999</v>
      </c>
      <c r="EB371" s="550"/>
      <c r="EC371" s="103"/>
      <c r="ED371" s="103"/>
      <c r="EE371" s="103"/>
      <c r="EF371" s="103">
        <f>EF364*EF365+EF359</f>
        <v>10776.997697999999</v>
      </c>
      <c r="EG371" s="103"/>
      <c r="EH371" s="103"/>
      <c r="EI371" s="103"/>
      <c r="EJ371" s="103"/>
      <c r="EK371" s="103">
        <f>EK364*EK365+EK359</f>
        <v>10837.997697999999</v>
      </c>
      <c r="EL371" s="103"/>
      <c r="EM371" s="103"/>
      <c r="EN371" s="103"/>
      <c r="EO371" s="103"/>
      <c r="EP371" s="103">
        <f>EP364*EP365+EP359</f>
        <v>10872.997697999999</v>
      </c>
      <c r="EQ371" s="103"/>
      <c r="ER371" s="103"/>
      <c r="ES371" s="103"/>
      <c r="ET371" s="103"/>
      <c r="EU371" s="103">
        <f>EU364*EU365+EU359</f>
        <v>11103.528379742922</v>
      </c>
      <c r="EV371" s="103"/>
      <c r="EW371" s="103"/>
      <c r="EX371" s="103"/>
      <c r="EY371" s="103"/>
      <c r="EZ371" s="103">
        <f>EZ364*EZ365+EZ359</f>
        <v>11383.648735699702</v>
      </c>
      <c r="FA371" s="103"/>
      <c r="FB371" s="103"/>
      <c r="FC371" s="103"/>
      <c r="FD371" s="103"/>
      <c r="FE371" s="103">
        <f>FE364*FE365+FE359</f>
        <v>11155.808142774633</v>
      </c>
      <c r="FF371" s="40"/>
      <c r="FG371" s="190"/>
      <c r="FL371" s="406"/>
      <c r="FM371" s="406"/>
      <c r="FN371" s="368"/>
      <c r="FO371" s="368"/>
      <c r="FP371" s="368"/>
      <c r="FQ371" s="368"/>
      <c r="FR371" s="368"/>
      <c r="FS371" s="368"/>
      <c r="FT371" s="190"/>
    </row>
    <row r="372" spans="1:176" ht="12.75" hidden="1" customHeight="1" x14ac:dyDescent="0.2">
      <c r="A372" s="38"/>
      <c r="B372" s="184"/>
      <c r="C372" s="184"/>
      <c r="D372" s="184"/>
      <c r="E372" s="184"/>
      <c r="F372" s="279"/>
      <c r="G372" s="184"/>
      <c r="H372" s="184"/>
      <c r="I372" s="184"/>
      <c r="J372" s="184"/>
      <c r="K372" s="279"/>
      <c r="L372" s="184"/>
      <c r="M372" s="184"/>
      <c r="N372" s="184"/>
      <c r="O372" s="184"/>
      <c r="P372" s="279"/>
      <c r="Q372" s="184"/>
      <c r="R372" s="184"/>
      <c r="S372" s="184"/>
      <c r="T372" s="184"/>
      <c r="U372" s="279"/>
      <c r="V372" s="184"/>
      <c r="W372" s="184"/>
      <c r="X372" s="184"/>
      <c r="Y372" s="184"/>
      <c r="Z372" s="279"/>
      <c r="AA372" s="184"/>
      <c r="AB372" s="184"/>
      <c r="AC372" s="184"/>
      <c r="AD372" s="184"/>
      <c r="AE372" s="279"/>
      <c r="AF372" s="184"/>
      <c r="AG372" s="184"/>
      <c r="AH372" s="184"/>
      <c r="AI372" s="184"/>
      <c r="AJ372" s="279"/>
      <c r="AK372" s="184"/>
      <c r="AL372" s="184"/>
      <c r="AM372" s="184"/>
      <c r="AN372" s="184"/>
      <c r="AO372" s="279"/>
      <c r="AP372" s="184"/>
      <c r="AQ372" s="184"/>
      <c r="AR372" s="184"/>
      <c r="AS372" s="184"/>
      <c r="AT372" s="279"/>
      <c r="AU372" s="184"/>
      <c r="AV372" s="184"/>
      <c r="AW372" s="184"/>
      <c r="AX372" s="184"/>
      <c r="AY372" s="279"/>
      <c r="AZ372" s="184"/>
      <c r="BA372" s="184"/>
      <c r="BB372" s="184"/>
      <c r="BC372" s="184"/>
      <c r="BD372" s="279"/>
      <c r="BE372" s="184"/>
      <c r="BF372" s="184"/>
      <c r="BG372" s="184"/>
      <c r="BH372" s="184"/>
      <c r="BI372" s="279"/>
      <c r="BJ372" s="184"/>
      <c r="BK372" s="184"/>
      <c r="BL372" s="184"/>
      <c r="BM372" s="184"/>
      <c r="BN372" s="279"/>
      <c r="BO372" s="184"/>
      <c r="BP372" s="184"/>
      <c r="BQ372" s="184"/>
      <c r="BR372" s="184"/>
      <c r="BS372" s="279"/>
      <c r="BT372" s="184"/>
      <c r="BU372" s="184"/>
      <c r="BV372" s="184"/>
      <c r="BW372" s="184"/>
      <c r="BX372" s="279"/>
      <c r="BY372" s="184"/>
      <c r="BZ372" s="184"/>
      <c r="CA372" s="184"/>
      <c r="CB372" s="184"/>
      <c r="CC372" s="279"/>
      <c r="CD372" s="184"/>
      <c r="CE372" s="184"/>
      <c r="CF372" s="184"/>
      <c r="CG372" s="184"/>
      <c r="CH372" s="279"/>
      <c r="CI372" s="184"/>
      <c r="CJ372" s="184"/>
      <c r="CK372" s="184"/>
      <c r="CL372" s="184"/>
      <c r="CM372" s="279"/>
      <c r="CN372" s="184"/>
      <c r="CO372" s="184"/>
      <c r="CP372" s="184"/>
      <c r="CQ372" s="184"/>
      <c r="CR372" s="279"/>
      <c r="CS372" s="33"/>
      <c r="CT372" s="33"/>
      <c r="CU372" s="33"/>
      <c r="CV372" s="33"/>
      <c r="CW372" s="103"/>
      <c r="CX372" s="33"/>
      <c r="CY372" s="33"/>
      <c r="CZ372" s="33"/>
      <c r="DA372" s="33"/>
      <c r="DB372" s="103"/>
      <c r="DC372" s="33"/>
      <c r="DD372" s="33"/>
      <c r="DE372" s="33"/>
      <c r="DF372" s="33"/>
      <c r="DG372" s="103"/>
      <c r="DH372" s="33"/>
      <c r="DI372" s="33"/>
      <c r="DJ372" s="33"/>
      <c r="DK372" s="33"/>
      <c r="DL372" s="103"/>
      <c r="DM372" s="103"/>
      <c r="DN372" s="103"/>
      <c r="DO372" s="103"/>
      <c r="DP372" s="535"/>
      <c r="DQ372" s="103"/>
      <c r="DR372" s="550"/>
      <c r="DS372" s="103"/>
      <c r="DT372" s="103"/>
      <c r="DU372" s="103"/>
      <c r="DV372" s="103"/>
      <c r="DW372" s="550"/>
      <c r="DX372" s="103"/>
      <c r="DY372" s="103"/>
      <c r="DZ372" s="103"/>
      <c r="EA372" s="103"/>
      <c r="EB372" s="550"/>
      <c r="EC372" s="103"/>
      <c r="ED372" s="103"/>
      <c r="EE372" s="103"/>
      <c r="EF372" s="103"/>
      <c r="EG372" s="103"/>
      <c r="EH372" s="103"/>
      <c r="EI372" s="103"/>
      <c r="EJ372" s="103"/>
      <c r="EK372" s="103"/>
      <c r="EL372" s="103"/>
      <c r="EM372" s="103"/>
      <c r="EN372" s="103"/>
      <c r="EO372" s="103"/>
      <c r="EP372" s="103"/>
      <c r="EQ372" s="103"/>
      <c r="ER372" s="103"/>
      <c r="ES372" s="103"/>
      <c r="ET372" s="103"/>
      <c r="EU372" s="103"/>
      <c r="EV372" s="103"/>
      <c r="EW372" s="103"/>
      <c r="EX372" s="103"/>
      <c r="EY372" s="103"/>
      <c r="EZ372" s="103"/>
      <c r="FA372" s="103"/>
      <c r="FB372" s="103"/>
      <c r="FC372" s="103"/>
      <c r="FD372" s="103"/>
      <c r="FE372" s="103"/>
      <c r="FF372" s="40"/>
      <c r="FG372" s="190"/>
      <c r="FL372" s="406"/>
      <c r="FM372" s="406"/>
      <c r="FN372" s="368"/>
      <c r="FO372" s="368"/>
      <c r="FP372" s="368"/>
      <c r="FQ372" s="368"/>
      <c r="FR372" s="368"/>
      <c r="FS372" s="368"/>
      <c r="FT372" s="190"/>
    </row>
    <row r="373" spans="1:176" ht="12.75" hidden="1" customHeight="1" x14ac:dyDescent="0.2">
      <c r="A373" s="38" t="s">
        <v>274</v>
      </c>
      <c r="B373" s="184"/>
      <c r="C373" s="184"/>
      <c r="D373" s="184"/>
      <c r="E373" s="184"/>
      <c r="F373" s="279"/>
      <c r="G373" s="184"/>
      <c r="H373" s="184"/>
      <c r="I373" s="184"/>
      <c r="J373" s="184"/>
      <c r="K373" s="279"/>
      <c r="L373" s="184"/>
      <c r="M373" s="184"/>
      <c r="N373" s="184"/>
      <c r="O373" s="184"/>
      <c r="P373" s="279"/>
      <c r="Q373" s="184"/>
      <c r="R373" s="184"/>
      <c r="S373" s="184"/>
      <c r="T373" s="184"/>
      <c r="U373" s="279"/>
      <c r="V373" s="184"/>
      <c r="W373" s="184"/>
      <c r="X373" s="184"/>
      <c r="Y373" s="184"/>
      <c r="Z373" s="279"/>
      <c r="AA373" s="184"/>
      <c r="AB373" s="184"/>
      <c r="AC373" s="184"/>
      <c r="AD373" s="184"/>
      <c r="AE373" s="279"/>
      <c r="AF373" s="184"/>
      <c r="AG373" s="184"/>
      <c r="AH373" s="184"/>
      <c r="AI373" s="184"/>
      <c r="AJ373" s="279"/>
      <c r="AK373" s="184"/>
      <c r="AL373" s="184"/>
      <c r="AM373" s="184"/>
      <c r="AN373" s="184"/>
      <c r="AO373" s="279"/>
      <c r="AP373" s="184"/>
      <c r="AQ373" s="184"/>
      <c r="AR373" s="184"/>
      <c r="AS373" s="184"/>
      <c r="AT373" s="279"/>
      <c r="AU373" s="184"/>
      <c r="AV373" s="184"/>
      <c r="AW373" s="184"/>
      <c r="AX373" s="184"/>
      <c r="AY373" s="279"/>
      <c r="AZ373" s="184"/>
      <c r="BA373" s="184"/>
      <c r="BB373" s="184"/>
      <c r="BC373" s="184"/>
      <c r="BD373" s="279"/>
      <c r="BE373" s="184"/>
      <c r="BF373" s="184"/>
      <c r="BG373" s="184"/>
      <c r="BH373" s="184"/>
      <c r="BI373" s="279"/>
      <c r="BJ373" s="184"/>
      <c r="BK373" s="184"/>
      <c r="BL373" s="184"/>
      <c r="BM373" s="184"/>
      <c r="BN373" s="279"/>
      <c r="BO373" s="184"/>
      <c r="BP373" s="184"/>
      <c r="BQ373" s="184"/>
      <c r="BR373" s="184"/>
      <c r="BS373" s="279"/>
      <c r="BT373" s="184"/>
      <c r="BU373" s="184"/>
      <c r="BV373" s="184"/>
      <c r="BW373" s="184"/>
      <c r="BX373" s="279"/>
      <c r="BY373" s="184"/>
      <c r="BZ373" s="184"/>
      <c r="CA373" s="184"/>
      <c r="CB373" s="184"/>
      <c r="CC373" s="279"/>
      <c r="CD373" s="184"/>
      <c r="CE373" s="184"/>
      <c r="CF373" s="184"/>
      <c r="CG373" s="184"/>
      <c r="CH373" s="279"/>
      <c r="CI373" s="184"/>
      <c r="CJ373" s="184"/>
      <c r="CK373" s="184"/>
      <c r="CL373" s="184"/>
      <c r="CM373" s="279"/>
      <c r="CN373" s="184"/>
      <c r="CO373" s="184"/>
      <c r="CP373" s="184"/>
      <c r="CQ373" s="184"/>
      <c r="CR373" s="279"/>
      <c r="CS373" s="33">
        <f t="shared" ref="CS373:DB373" si="1237">CS364*CS365+CS361</f>
        <v>9806.049022119998</v>
      </c>
      <c r="CT373" s="33">
        <f t="shared" si="1237"/>
        <v>9877.2403635600003</v>
      </c>
      <c r="CU373" s="33" t="e">
        <f t="shared" ca="1" si="1237"/>
        <v>#NAME?</v>
      </c>
      <c r="CV373" s="33">
        <f t="shared" si="1237"/>
        <v>13288.44051006</v>
      </c>
      <c r="CW373" s="103">
        <f t="shared" si="1237"/>
        <v>13258.53047</v>
      </c>
      <c r="CX373" s="33">
        <f>CX364*CX365+CX361</f>
        <v>14341.127034120002</v>
      </c>
      <c r="CY373" s="33">
        <f>CY364*CY365+CY361</f>
        <v>12400.186159989998</v>
      </c>
      <c r="CZ373" s="33">
        <f>CZ364*CZ365+CZ361</f>
        <v>13753.10173197</v>
      </c>
      <c r="DA373" s="33">
        <f>DA364*DA365+DA361</f>
        <v>13424.240481320001</v>
      </c>
      <c r="DB373" s="103">
        <f t="shared" si="1237"/>
        <v>13443.562662</v>
      </c>
      <c r="DC373" s="33">
        <f t="shared" ref="DC373:DQ373" si="1238">DC364*DC365+DC361</f>
        <v>12603.336412320001</v>
      </c>
      <c r="DD373" s="33">
        <f t="shared" si="1238"/>
        <v>11546.595866880001</v>
      </c>
      <c r="DE373" s="33">
        <f t="shared" si="1238"/>
        <v>12110.595866880001</v>
      </c>
      <c r="DF373" s="33">
        <f t="shared" si="1238"/>
        <v>12251.595866880001</v>
      </c>
      <c r="DG373" s="103">
        <f t="shared" si="1238"/>
        <v>12422.858698</v>
      </c>
      <c r="DH373" s="33">
        <f>DH364*DH365+DH361</f>
        <v>11078.997697999999</v>
      </c>
      <c r="DI373" s="33">
        <f>DI364*DI365+DI361</f>
        <v>11631.997697999999</v>
      </c>
      <c r="DJ373" s="33">
        <f>DJ364*DJ365+DJ361</f>
        <v>11658.997697999999</v>
      </c>
      <c r="DK373" s="33">
        <f>DK364*DK365+DK361</f>
        <v>11655.997697999999</v>
      </c>
      <c r="DL373" s="103">
        <f t="shared" si="1238"/>
        <v>11760.997697999999</v>
      </c>
      <c r="DM373" s="103"/>
      <c r="DN373" s="103"/>
      <c r="DO373" s="103"/>
      <c r="DP373" s="535"/>
      <c r="DQ373" s="103">
        <f t="shared" si="1238"/>
        <v>11286.997697999999</v>
      </c>
      <c r="DR373" s="550"/>
      <c r="DS373" s="103"/>
      <c r="DT373" s="103"/>
      <c r="DU373" s="103"/>
      <c r="DV373" s="103">
        <f>DV364*DV365+DV361</f>
        <v>10860.997697999999</v>
      </c>
      <c r="DW373" s="550"/>
      <c r="DX373" s="103"/>
      <c r="DY373" s="103"/>
      <c r="DZ373" s="103"/>
      <c r="EA373" s="103">
        <f>EA364*EA365+EA361</f>
        <v>10884.997697999999</v>
      </c>
      <c r="EB373" s="550"/>
      <c r="EC373" s="103"/>
      <c r="ED373" s="103"/>
      <c r="EE373" s="103"/>
      <c r="EF373" s="103">
        <f>EF364*EF365+EF361</f>
        <v>10776.997697999999</v>
      </c>
      <c r="EG373" s="103"/>
      <c r="EH373" s="103"/>
      <c r="EI373" s="103"/>
      <c r="EJ373" s="103"/>
      <c r="EK373" s="103">
        <f>EK364*EK365+EK361</f>
        <v>10837.997697999999</v>
      </c>
      <c r="EL373" s="103"/>
      <c r="EM373" s="103"/>
      <c r="EN373" s="103"/>
      <c r="EO373" s="103"/>
      <c r="EP373" s="103">
        <f>EP364*EP365+EP361</f>
        <v>10872.997697999999</v>
      </c>
      <c r="EQ373" s="103"/>
      <c r="ER373" s="103"/>
      <c r="ES373" s="103"/>
      <c r="ET373" s="103"/>
      <c r="EU373" s="103">
        <f>EU364*EU365+EU361</f>
        <v>11103.528379742922</v>
      </c>
      <c r="EV373" s="103"/>
      <c r="EW373" s="103"/>
      <c r="EX373" s="103"/>
      <c r="EY373" s="103"/>
      <c r="EZ373" s="103">
        <f>EZ364*EZ365+EZ361</f>
        <v>11383.648735699702</v>
      </c>
      <c r="FA373" s="103"/>
      <c r="FB373" s="103"/>
      <c r="FC373" s="103"/>
      <c r="FD373" s="103"/>
      <c r="FE373" s="103">
        <f>FE364*FE365+FE361</f>
        <v>11155.808142774633</v>
      </c>
      <c r="FF373" s="40"/>
      <c r="FG373" s="190"/>
      <c r="FL373" s="406"/>
      <c r="FM373" s="406"/>
      <c r="FN373" s="368"/>
      <c r="FO373" s="368"/>
      <c r="FP373" s="368"/>
      <c r="FQ373" s="368"/>
      <c r="FR373" s="368"/>
      <c r="FS373" s="368"/>
      <c r="FT373" s="190"/>
    </row>
    <row r="374" spans="1:176" ht="12.75" hidden="1" customHeight="1" x14ac:dyDescent="0.2">
      <c r="A374" s="38" t="s">
        <v>2</v>
      </c>
      <c r="B374" s="184"/>
      <c r="C374" s="184"/>
      <c r="D374" s="184"/>
      <c r="E374" s="184"/>
      <c r="F374" s="279"/>
      <c r="G374" s="184"/>
      <c r="H374" s="184"/>
      <c r="I374" s="184"/>
      <c r="J374" s="184"/>
      <c r="K374" s="279"/>
      <c r="L374" s="184"/>
      <c r="M374" s="184"/>
      <c r="N374" s="184"/>
      <c r="O374" s="184"/>
      <c r="P374" s="279"/>
      <c r="Q374" s="184"/>
      <c r="R374" s="184"/>
      <c r="S374" s="184"/>
      <c r="T374" s="184"/>
      <c r="U374" s="279"/>
      <c r="V374" s="184"/>
      <c r="W374" s="184"/>
      <c r="X374" s="184"/>
      <c r="Y374" s="184"/>
      <c r="Z374" s="279"/>
      <c r="AA374" s="184"/>
      <c r="AB374" s="184"/>
      <c r="AC374" s="184"/>
      <c r="AD374" s="184"/>
      <c r="AE374" s="279"/>
      <c r="AF374" s="184"/>
      <c r="AG374" s="184"/>
      <c r="AH374" s="184"/>
      <c r="AI374" s="184"/>
      <c r="AJ374" s="279"/>
      <c r="AK374" s="184"/>
      <c r="AL374" s="184"/>
      <c r="AM374" s="184"/>
      <c r="AN374" s="184"/>
      <c r="AO374" s="279"/>
      <c r="AP374" s="184"/>
      <c r="AQ374" s="184"/>
      <c r="AR374" s="184"/>
      <c r="AS374" s="184"/>
      <c r="AT374" s="279"/>
      <c r="AU374" s="184"/>
      <c r="AV374" s="184"/>
      <c r="AW374" s="184"/>
      <c r="AX374" s="184"/>
      <c r="AY374" s="279"/>
      <c r="AZ374" s="184"/>
      <c r="BA374" s="184"/>
      <c r="BB374" s="184"/>
      <c r="BC374" s="184"/>
      <c r="BD374" s="279"/>
      <c r="BE374" s="184"/>
      <c r="BF374" s="184"/>
      <c r="BG374" s="184"/>
      <c r="BH374" s="184"/>
      <c r="BI374" s="279"/>
      <c r="BJ374" s="184"/>
      <c r="BK374" s="184"/>
      <c r="BL374" s="184"/>
      <c r="BM374" s="184"/>
      <c r="BN374" s="279"/>
      <c r="BO374" s="184"/>
      <c r="BP374" s="184"/>
      <c r="BQ374" s="184"/>
      <c r="BR374" s="184"/>
      <c r="BS374" s="279"/>
      <c r="BT374" s="184"/>
      <c r="BU374" s="184"/>
      <c r="BV374" s="184"/>
      <c r="BW374" s="184"/>
      <c r="BX374" s="279"/>
      <c r="BY374" s="184"/>
      <c r="BZ374" s="184"/>
      <c r="CA374" s="184"/>
      <c r="CB374" s="184"/>
      <c r="CC374" s="279"/>
      <c r="CD374" s="184"/>
      <c r="CE374" s="184"/>
      <c r="CF374" s="184"/>
      <c r="CG374" s="184"/>
      <c r="CH374" s="279"/>
      <c r="CI374" s="184"/>
      <c r="CJ374" s="184"/>
      <c r="CK374" s="184"/>
      <c r="CL374" s="184"/>
      <c r="CM374" s="279"/>
      <c r="CN374" s="184"/>
      <c r="CO374" s="184"/>
      <c r="CP374" s="184"/>
      <c r="CQ374" s="184"/>
      <c r="CR374" s="279"/>
      <c r="CS374" s="33">
        <f t="shared" ref="CS374:DB374" si="1239">CS364*CS365+CS362</f>
        <v>9895.9620221199984</v>
      </c>
      <c r="CT374" s="33">
        <f t="shared" si="1239"/>
        <v>9948.0073635600002</v>
      </c>
      <c r="CU374" s="33" t="e">
        <f t="shared" ca="1" si="1239"/>
        <v>#NAME?</v>
      </c>
      <c r="CV374" s="33">
        <f t="shared" si="1239"/>
        <v>13340.830510060001</v>
      </c>
      <c r="CW374" s="103">
        <f t="shared" si="1239"/>
        <v>13310.920469999999</v>
      </c>
      <c r="CX374" s="33">
        <f>CX364*CX365+CX362</f>
        <v>14394.210034120002</v>
      </c>
      <c r="CY374" s="33">
        <f>CY364*CY365+CY362</f>
        <v>12454.002159989999</v>
      </c>
      <c r="CZ374" s="33">
        <f>CZ364*CZ365+CZ362</f>
        <v>13818.611731970001</v>
      </c>
      <c r="DA374" s="33">
        <f>DA364*DA365+DA362</f>
        <v>13476.96948132</v>
      </c>
      <c r="DB374" s="103">
        <f t="shared" si="1239"/>
        <v>13496.291662</v>
      </c>
      <c r="DC374" s="33">
        <f t="shared" ref="DC374:DQ374" si="1240">DC364*DC365+DC362</f>
        <v>12655.336412320001</v>
      </c>
      <c r="DD374" s="33">
        <f t="shared" si="1240"/>
        <v>11546.595866880001</v>
      </c>
      <c r="DE374" s="33">
        <f t="shared" si="1240"/>
        <v>12110.595866880001</v>
      </c>
      <c r="DF374" s="33">
        <f t="shared" si="1240"/>
        <v>12251.595866880001</v>
      </c>
      <c r="DG374" s="103">
        <f t="shared" si="1240"/>
        <v>12422.858698</v>
      </c>
      <c r="DH374" s="33">
        <f>DH364*DH365+DH362</f>
        <v>11078.997697999999</v>
      </c>
      <c r="DI374" s="33">
        <f>DI364*DI365+DI362</f>
        <v>11631.997697999999</v>
      </c>
      <c r="DJ374" s="33">
        <f>DJ364*DJ365+DJ362</f>
        <v>11658.997697999999</v>
      </c>
      <c r="DK374" s="33">
        <f>DK364*DK365+DK362</f>
        <v>11655.997697999999</v>
      </c>
      <c r="DL374" s="103">
        <f t="shared" si="1240"/>
        <v>11760.997697999999</v>
      </c>
      <c r="DM374" s="103"/>
      <c r="DN374" s="103"/>
      <c r="DO374" s="103"/>
      <c r="DP374" s="535"/>
      <c r="DQ374" s="103">
        <f t="shared" si="1240"/>
        <v>11286.997697999999</v>
      </c>
      <c r="DR374" s="550"/>
      <c r="DS374" s="103"/>
      <c r="DT374" s="103"/>
      <c r="DU374" s="103"/>
      <c r="DV374" s="103">
        <f>DV364*DV365+DV362</f>
        <v>10860.997697999999</v>
      </c>
      <c r="DW374" s="550"/>
      <c r="DX374" s="103"/>
      <c r="DY374" s="103"/>
      <c r="DZ374" s="103"/>
      <c r="EA374" s="103">
        <f>EA364*EA365+EA362</f>
        <v>10884.997697999999</v>
      </c>
      <c r="EB374" s="550"/>
      <c r="EC374" s="103"/>
      <c r="ED374" s="103"/>
      <c r="EE374" s="103"/>
      <c r="EF374" s="103">
        <f>EF364*EF365+EF362</f>
        <v>10776.997697999999</v>
      </c>
      <c r="EG374" s="103"/>
      <c r="EH374" s="103"/>
      <c r="EI374" s="103"/>
      <c r="EJ374" s="103"/>
      <c r="EK374" s="103">
        <f>EK364*EK365+EK362</f>
        <v>10837.997697999999</v>
      </c>
      <c r="EL374" s="103"/>
      <c r="EM374" s="103"/>
      <c r="EN374" s="103"/>
      <c r="EO374" s="103"/>
      <c r="EP374" s="103">
        <f>EP364*EP365+EP362</f>
        <v>10872.997697999999</v>
      </c>
      <c r="EQ374" s="103"/>
      <c r="ER374" s="103"/>
      <c r="ES374" s="103"/>
      <c r="ET374" s="103"/>
      <c r="EU374" s="103">
        <f>EU364*EU365+EU362</f>
        <v>11103.528379742922</v>
      </c>
      <c r="EV374" s="103"/>
      <c r="EW374" s="103"/>
      <c r="EX374" s="103"/>
      <c r="EY374" s="103"/>
      <c r="EZ374" s="103">
        <f>EZ364*EZ365+EZ362</f>
        <v>11383.648735699702</v>
      </c>
      <c r="FA374" s="103"/>
      <c r="FB374" s="103"/>
      <c r="FC374" s="103"/>
      <c r="FD374" s="103"/>
      <c r="FE374" s="103">
        <f>FE364*FE365+FE362</f>
        <v>11155.808142774633</v>
      </c>
      <c r="FF374" s="40"/>
      <c r="FG374" s="190"/>
      <c r="FL374" s="406"/>
      <c r="FM374" s="406"/>
      <c r="FN374" s="368"/>
      <c r="FO374" s="368"/>
      <c r="FP374" s="368"/>
      <c r="FQ374" s="368"/>
      <c r="FR374" s="368"/>
      <c r="FS374" s="368"/>
      <c r="FT374" s="190"/>
    </row>
    <row r="375" spans="1:176" ht="12.75" hidden="1" customHeight="1" x14ac:dyDescent="0.2">
      <c r="A375" s="37" t="s">
        <v>3</v>
      </c>
      <c r="B375" s="184"/>
      <c r="C375" s="184"/>
      <c r="D375" s="184"/>
      <c r="E375" s="184"/>
      <c r="F375" s="279"/>
      <c r="G375" s="184"/>
      <c r="H375" s="184"/>
      <c r="I375" s="184"/>
      <c r="J375" s="184"/>
      <c r="K375" s="279"/>
      <c r="L375" s="184"/>
      <c r="M375" s="184"/>
      <c r="N375" s="184"/>
      <c r="O375" s="184"/>
      <c r="P375" s="279"/>
      <c r="Q375" s="184"/>
      <c r="R375" s="184"/>
      <c r="S375" s="184"/>
      <c r="T375" s="184"/>
      <c r="U375" s="279"/>
      <c r="V375" s="184"/>
      <c r="W375" s="184"/>
      <c r="X375" s="184"/>
      <c r="Y375" s="184"/>
      <c r="Z375" s="279"/>
      <c r="AA375" s="184"/>
      <c r="AB375" s="184"/>
      <c r="AC375" s="184"/>
      <c r="AD375" s="184"/>
      <c r="AE375" s="279"/>
      <c r="AF375" s="184"/>
      <c r="AG375" s="184"/>
      <c r="AH375" s="184"/>
      <c r="AI375" s="184"/>
      <c r="AJ375" s="279"/>
      <c r="AK375" s="184"/>
      <c r="AL375" s="184"/>
      <c r="AM375" s="184"/>
      <c r="AN375" s="184"/>
      <c r="AO375" s="279"/>
      <c r="AP375" s="184"/>
      <c r="AQ375" s="184"/>
      <c r="AR375" s="184"/>
      <c r="AS375" s="184"/>
      <c r="AT375" s="279"/>
      <c r="AU375" s="184"/>
      <c r="AV375" s="184"/>
      <c r="AW375" s="184"/>
      <c r="AX375" s="184"/>
      <c r="AY375" s="279"/>
      <c r="AZ375" s="184"/>
      <c r="BA375" s="184"/>
      <c r="BB375" s="184"/>
      <c r="BC375" s="184"/>
      <c r="BD375" s="279"/>
      <c r="BE375" s="184"/>
      <c r="BF375" s="184"/>
      <c r="BG375" s="184"/>
      <c r="BH375" s="184"/>
      <c r="BI375" s="279"/>
      <c r="BJ375" s="184"/>
      <c r="BK375" s="184"/>
      <c r="BL375" s="184"/>
      <c r="BM375" s="184"/>
      <c r="BN375" s="279"/>
      <c r="BO375" s="184"/>
      <c r="BP375" s="184"/>
      <c r="BQ375" s="184"/>
      <c r="BR375" s="184"/>
      <c r="BS375" s="279"/>
      <c r="BT375" s="184"/>
      <c r="BU375" s="184"/>
      <c r="BV375" s="184"/>
      <c r="BW375" s="184"/>
      <c r="BX375" s="279"/>
      <c r="BY375" s="184"/>
      <c r="BZ375" s="184"/>
      <c r="CA375" s="184"/>
      <c r="CB375" s="184"/>
      <c r="CC375" s="279"/>
      <c r="CD375" s="184"/>
      <c r="CE375" s="184"/>
      <c r="CF375" s="184"/>
      <c r="CG375" s="184"/>
      <c r="CH375" s="279"/>
      <c r="CI375" s="184"/>
      <c r="CJ375" s="184"/>
      <c r="CK375" s="184"/>
      <c r="CL375" s="184"/>
      <c r="CM375" s="279"/>
      <c r="CN375" s="184"/>
      <c r="CO375" s="184"/>
      <c r="CP375" s="184"/>
      <c r="CQ375" s="184"/>
      <c r="CR375" s="279"/>
      <c r="CS375" s="30"/>
      <c r="CT375" s="30"/>
      <c r="CU375" s="30"/>
      <c r="CV375" s="30"/>
      <c r="CW375" s="113"/>
      <c r="CX375" s="30"/>
      <c r="CY375" s="30"/>
      <c r="CZ375" s="30"/>
      <c r="DA375" s="30"/>
      <c r="DB375" s="113"/>
      <c r="DC375" s="30"/>
      <c r="DD375" s="30"/>
      <c r="DE375" s="30"/>
      <c r="DF375" s="30"/>
      <c r="DG375" s="113"/>
      <c r="DH375" s="30"/>
      <c r="DI375" s="30"/>
      <c r="DJ375" s="30"/>
      <c r="DK375" s="30"/>
      <c r="DL375" s="113"/>
      <c r="DM375" s="113"/>
      <c r="DN375" s="113"/>
      <c r="DO375" s="113"/>
      <c r="DP375" s="534"/>
      <c r="DQ375" s="113"/>
      <c r="DR375" s="552"/>
      <c r="DS375" s="113"/>
      <c r="DT375" s="113"/>
      <c r="DU375" s="113"/>
      <c r="DV375" s="113"/>
      <c r="DW375" s="552"/>
      <c r="DX375" s="113"/>
      <c r="DY375" s="113"/>
      <c r="DZ375" s="113"/>
      <c r="EA375" s="113"/>
      <c r="EB375" s="552"/>
      <c r="EC375" s="113"/>
      <c r="ED375" s="113"/>
      <c r="EE375" s="113"/>
      <c r="EF375" s="113"/>
      <c r="EG375" s="113"/>
      <c r="EH375" s="113"/>
      <c r="EI375" s="113"/>
      <c r="EJ375" s="113"/>
      <c r="EK375" s="113"/>
      <c r="EL375" s="113"/>
      <c r="EM375" s="113"/>
      <c r="EN375" s="113"/>
      <c r="EO375" s="113"/>
      <c r="EP375" s="113"/>
      <c r="EQ375" s="113"/>
      <c r="ER375" s="113"/>
      <c r="ES375" s="113"/>
      <c r="ET375" s="113"/>
      <c r="EU375" s="113"/>
      <c r="EV375" s="113"/>
      <c r="EW375" s="113"/>
      <c r="EX375" s="113"/>
      <c r="EY375" s="113"/>
      <c r="EZ375" s="113"/>
      <c r="FA375" s="113"/>
      <c r="FB375" s="113"/>
      <c r="FC375" s="113"/>
      <c r="FD375" s="113"/>
      <c r="FE375" s="113"/>
      <c r="FF375" s="40"/>
      <c r="FG375" s="190"/>
      <c r="FL375" s="406"/>
      <c r="FM375" s="406"/>
      <c r="FN375" s="368"/>
      <c r="FO375" s="368"/>
      <c r="FP375" s="368"/>
      <c r="FQ375" s="368"/>
      <c r="FR375" s="368"/>
      <c r="FS375" s="368"/>
      <c r="FT375" s="190"/>
    </row>
    <row r="376" spans="1:176" ht="12.75" hidden="1" customHeight="1" x14ac:dyDescent="0.2">
      <c r="A376" s="33" t="s">
        <v>123</v>
      </c>
      <c r="B376" s="184"/>
      <c r="C376" s="184"/>
      <c r="D376" s="184"/>
      <c r="E376" s="184"/>
      <c r="F376" s="279"/>
      <c r="G376" s="184"/>
      <c r="H376" s="184"/>
      <c r="I376" s="184"/>
      <c r="J376" s="184"/>
      <c r="K376" s="279"/>
      <c r="L376" s="184"/>
      <c r="M376" s="184"/>
      <c r="N376" s="184"/>
      <c r="O376" s="184"/>
      <c r="P376" s="279"/>
      <c r="Q376" s="184"/>
      <c r="R376" s="184"/>
      <c r="S376" s="184"/>
      <c r="T376" s="184"/>
      <c r="U376" s="279"/>
      <c r="V376" s="184"/>
      <c r="W376" s="184"/>
      <c r="X376" s="184"/>
      <c r="Y376" s="184"/>
      <c r="Z376" s="279"/>
      <c r="AA376" s="184"/>
      <c r="AB376" s="184"/>
      <c r="AC376" s="184"/>
      <c r="AD376" s="184"/>
      <c r="AE376" s="279"/>
      <c r="AF376" s="184"/>
      <c r="AG376" s="184"/>
      <c r="AH376" s="184"/>
      <c r="AI376" s="184"/>
      <c r="AJ376" s="279"/>
      <c r="AK376" s="184"/>
      <c r="AL376" s="184"/>
      <c r="AM376" s="184"/>
      <c r="AN376" s="184"/>
      <c r="AO376" s="279"/>
      <c r="AP376" s="184"/>
      <c r="AQ376" s="184"/>
      <c r="AR376" s="184"/>
      <c r="AS376" s="184"/>
      <c r="AT376" s="279"/>
      <c r="AU376" s="184"/>
      <c r="AV376" s="184"/>
      <c r="AW376" s="184"/>
      <c r="AX376" s="184"/>
      <c r="AY376" s="279"/>
      <c r="AZ376" s="184"/>
      <c r="BA376" s="184"/>
      <c r="BB376" s="184"/>
      <c r="BC376" s="184"/>
      <c r="BD376" s="279"/>
      <c r="BE376" s="184"/>
      <c r="BF376" s="184"/>
      <c r="BG376" s="184"/>
      <c r="BH376" s="184"/>
      <c r="BI376" s="279"/>
      <c r="BJ376" s="184"/>
      <c r="BK376" s="184"/>
      <c r="BL376" s="184"/>
      <c r="BM376" s="184"/>
      <c r="BN376" s="279"/>
      <c r="BO376" s="184"/>
      <c r="BP376" s="184"/>
      <c r="BQ376" s="184"/>
      <c r="BR376" s="184"/>
      <c r="BS376" s="279"/>
      <c r="BT376" s="184"/>
      <c r="BU376" s="184"/>
      <c r="BV376" s="184"/>
      <c r="BW376" s="184"/>
      <c r="BX376" s="279"/>
      <c r="BY376" s="184"/>
      <c r="BZ376" s="184"/>
      <c r="CA376" s="184"/>
      <c r="CB376" s="184"/>
      <c r="CC376" s="279"/>
      <c r="CD376" s="184"/>
      <c r="CE376" s="184"/>
      <c r="CF376" s="184"/>
      <c r="CG376" s="184"/>
      <c r="CH376" s="279"/>
      <c r="CI376" s="184"/>
      <c r="CJ376" s="184"/>
      <c r="CK376" s="184"/>
      <c r="CL376" s="184"/>
      <c r="CM376" s="279"/>
      <c r="CN376" s="184"/>
      <c r="CO376" s="184"/>
      <c r="CP376" s="184"/>
      <c r="CQ376" s="184"/>
      <c r="CR376" s="279"/>
      <c r="CS376" s="33">
        <f t="shared" ref="CS376:DL376" si="1241">CS174</f>
        <v>11392.955</v>
      </c>
      <c r="CT376" s="33">
        <f t="shared" si="1241"/>
        <v>11743.608</v>
      </c>
      <c r="CU376" s="33">
        <f t="shared" si="1241"/>
        <v>12116.01</v>
      </c>
      <c r="CV376" s="33">
        <f t="shared" si="1241"/>
        <v>12692.442000000001</v>
      </c>
      <c r="CW376" s="103">
        <f t="shared" si="1241"/>
        <v>12692.442000000001</v>
      </c>
      <c r="CX376" s="33">
        <f t="shared" si="1241"/>
        <v>13028.628000000001</v>
      </c>
      <c r="CY376" s="33">
        <f t="shared" si="1241"/>
        <v>13677.975</v>
      </c>
      <c r="CZ376" s="33">
        <f t="shared" si="1241"/>
        <v>14274.573</v>
      </c>
      <c r="DA376" s="33">
        <f t="shared" si="1241"/>
        <v>14724.141</v>
      </c>
      <c r="DB376" s="103">
        <f t="shared" si="1241"/>
        <v>14724.141</v>
      </c>
      <c r="DC376" s="33">
        <f t="shared" si="1241"/>
        <v>15258.030999999999</v>
      </c>
      <c r="DD376" s="33">
        <f t="shared" si="1241"/>
        <v>15796.030999999999</v>
      </c>
      <c r="DE376" s="33">
        <f t="shared" si="1241"/>
        <v>16247.030999999999</v>
      </c>
      <c r="DF376" s="33">
        <f t="shared" si="1241"/>
        <v>16595.030999999999</v>
      </c>
      <c r="DG376" s="103">
        <f t="shared" si="1241"/>
        <v>16595.030999999999</v>
      </c>
      <c r="DH376" s="33">
        <f t="shared" si="1241"/>
        <v>16817</v>
      </c>
      <c r="DI376" s="33">
        <f t="shared" si="1241"/>
        <v>17026</v>
      </c>
      <c r="DJ376" s="33">
        <f t="shared" si="1241"/>
        <v>17024</v>
      </c>
      <c r="DK376" s="33">
        <f t="shared" si="1241"/>
        <v>17089</v>
      </c>
      <c r="DL376" s="103">
        <f t="shared" si="1241"/>
        <v>17089</v>
      </c>
      <c r="DM376" s="103"/>
      <c r="DN376" s="103"/>
      <c r="DO376" s="103"/>
      <c r="DP376" s="535"/>
      <c r="DQ376" s="103">
        <f>DQ174</f>
        <v>17700</v>
      </c>
      <c r="DR376" s="550"/>
      <c r="DS376" s="103"/>
      <c r="DT376" s="103"/>
      <c r="DU376" s="103"/>
      <c r="DV376" s="103">
        <f>DV174</f>
        <v>18605</v>
      </c>
      <c r="DW376" s="550"/>
      <c r="DX376" s="103"/>
      <c r="DY376" s="103"/>
      <c r="DZ376" s="103"/>
      <c r="EA376" s="103">
        <f>EA174</f>
        <v>19648</v>
      </c>
      <c r="EB376" s="550"/>
      <c r="EC376" s="103"/>
      <c r="ED376" s="103"/>
      <c r="EE376" s="103"/>
      <c r="EF376" s="103">
        <f>EF174</f>
        <v>20425</v>
      </c>
      <c r="EG376" s="103"/>
      <c r="EH376" s="103"/>
      <c r="EI376" s="103"/>
      <c r="EJ376" s="103"/>
      <c r="EK376" s="103">
        <f>EK174</f>
        <v>21172</v>
      </c>
      <c r="EL376" s="103"/>
      <c r="EM376" s="103"/>
      <c r="EN376" s="103"/>
      <c r="EO376" s="103"/>
      <c r="EP376" s="103">
        <f>EP174</f>
        <v>21146</v>
      </c>
      <c r="EQ376" s="103"/>
      <c r="ER376" s="103"/>
      <c r="ES376" s="103"/>
      <c r="ET376" s="103"/>
      <c r="EU376" s="103">
        <f>EU174</f>
        <v>22202.779060000004</v>
      </c>
      <c r="EV376" s="103"/>
      <c r="EW376" s="103"/>
      <c r="EX376" s="103"/>
      <c r="EY376" s="103"/>
      <c r="EZ376" s="103">
        <f>EZ174</f>
        <v>23565.788070630002</v>
      </c>
      <c r="FA376" s="103"/>
      <c r="FB376" s="103"/>
      <c r="FC376" s="103"/>
      <c r="FD376" s="103"/>
      <c r="FE376" s="103">
        <f>FE174</f>
        <v>24984.416346953123</v>
      </c>
      <c r="FF376" s="40"/>
      <c r="FG376" s="190"/>
      <c r="FL376" s="406"/>
      <c r="FM376" s="406"/>
      <c r="FN376" s="368"/>
      <c r="FO376" s="368"/>
      <c r="FP376" s="368"/>
      <c r="FQ376" s="368"/>
      <c r="FR376" s="368"/>
      <c r="FS376" s="368"/>
      <c r="FT376" s="190"/>
    </row>
    <row r="377" spans="1:176" ht="12.75" hidden="1" customHeight="1" x14ac:dyDescent="0.2">
      <c r="A377" s="33" t="s">
        <v>387</v>
      </c>
      <c r="B377" s="184"/>
      <c r="C377" s="184"/>
      <c r="D377" s="184"/>
      <c r="E377" s="184"/>
      <c r="F377" s="279"/>
      <c r="G377" s="184"/>
      <c r="H377" s="184"/>
      <c r="I377" s="184"/>
      <c r="J377" s="184"/>
      <c r="K377" s="279"/>
      <c r="L377" s="184"/>
      <c r="M377" s="184"/>
      <c r="N377" s="184"/>
      <c r="O377" s="184"/>
      <c r="P377" s="279"/>
      <c r="Q377" s="184"/>
      <c r="R377" s="184"/>
      <c r="S377" s="184"/>
      <c r="T377" s="184"/>
      <c r="U377" s="279"/>
      <c r="V377" s="184"/>
      <c r="W377" s="184"/>
      <c r="X377" s="184"/>
      <c r="Y377" s="184"/>
      <c r="Z377" s="279"/>
      <c r="AA377" s="184"/>
      <c r="AB377" s="184"/>
      <c r="AC377" s="184"/>
      <c r="AD377" s="184"/>
      <c r="AE377" s="279"/>
      <c r="AF377" s="184"/>
      <c r="AG377" s="184"/>
      <c r="AH377" s="184"/>
      <c r="AI377" s="184"/>
      <c r="AJ377" s="279"/>
      <c r="AK377" s="184"/>
      <c r="AL377" s="184"/>
      <c r="AM377" s="184"/>
      <c r="AN377" s="184"/>
      <c r="AO377" s="279"/>
      <c r="AP377" s="184"/>
      <c r="AQ377" s="184"/>
      <c r="AR377" s="184"/>
      <c r="AS377" s="184"/>
      <c r="AT377" s="279"/>
      <c r="AU377" s="184"/>
      <c r="AV377" s="184"/>
      <c r="AW377" s="184"/>
      <c r="AX377" s="184"/>
      <c r="AY377" s="279"/>
      <c r="AZ377" s="184"/>
      <c r="BA377" s="184"/>
      <c r="BB377" s="184"/>
      <c r="BC377" s="184"/>
      <c r="BD377" s="279"/>
      <c r="BE377" s="184"/>
      <c r="BF377" s="184"/>
      <c r="BG377" s="184"/>
      <c r="BH377" s="184"/>
      <c r="BI377" s="279"/>
      <c r="BJ377" s="184"/>
      <c r="BK377" s="184"/>
      <c r="BL377" s="184"/>
      <c r="BM377" s="184"/>
      <c r="BN377" s="279"/>
      <c r="BO377" s="184"/>
      <c r="BP377" s="184"/>
      <c r="BQ377" s="184"/>
      <c r="BR377" s="184"/>
      <c r="BS377" s="279"/>
      <c r="BT377" s="184"/>
      <c r="BU377" s="184"/>
      <c r="BV377" s="184"/>
      <c r="BW377" s="184"/>
      <c r="BX377" s="279"/>
      <c r="BY377" s="184"/>
      <c r="BZ377" s="184"/>
      <c r="CA377" s="184"/>
      <c r="CB377" s="184"/>
      <c r="CC377" s="279"/>
      <c r="CD377" s="184"/>
      <c r="CE377" s="184"/>
      <c r="CF377" s="184"/>
      <c r="CG377" s="184"/>
      <c r="CH377" s="279"/>
      <c r="CI377" s="184"/>
      <c r="CJ377" s="184"/>
      <c r="CK377" s="184"/>
      <c r="CL377" s="184"/>
      <c r="CM377" s="279"/>
      <c r="CN377" s="184"/>
      <c r="CO377" s="184"/>
      <c r="CP377" s="184"/>
      <c r="CQ377" s="184"/>
      <c r="CR377" s="279"/>
      <c r="CS377" s="33">
        <f t="shared" ref="CS377:DL377" si="1242">CS182</f>
        <v>615.83399999999983</v>
      </c>
      <c r="CT377" s="33">
        <f t="shared" si="1242"/>
        <v>621.75900000000001</v>
      </c>
      <c r="CU377" s="33">
        <f t="shared" si="1242"/>
        <v>630.39199999999983</v>
      </c>
      <c r="CV377" s="33">
        <f t="shared" si="1242"/>
        <v>710.20100000000002</v>
      </c>
      <c r="CW377" s="103">
        <f t="shared" si="1242"/>
        <v>710.20100000000002</v>
      </c>
      <c r="CX377" s="33">
        <f t="shared" si="1242"/>
        <v>741.13099999999986</v>
      </c>
      <c r="CY377" s="33">
        <f t="shared" si="1242"/>
        <v>981.20599999999968</v>
      </c>
      <c r="CZ377" s="33">
        <f t="shared" si="1242"/>
        <v>1272.5729999999999</v>
      </c>
      <c r="DA377" s="33">
        <f t="shared" si="1242"/>
        <v>1320.7639999999997</v>
      </c>
      <c r="DB377" s="103">
        <f t="shared" si="1242"/>
        <v>1320.7639999999997</v>
      </c>
      <c r="DC377" s="33">
        <f t="shared" si="1242"/>
        <v>1285.2719999999999</v>
      </c>
      <c r="DD377" s="33">
        <f t="shared" si="1242"/>
        <v>1092.2719999999999</v>
      </c>
      <c r="DE377" s="33">
        <f t="shared" si="1242"/>
        <v>930.27199999999993</v>
      </c>
      <c r="DF377" s="33">
        <f t="shared" si="1242"/>
        <v>819.27199999999993</v>
      </c>
      <c r="DG377" s="103">
        <f t="shared" si="1242"/>
        <v>819.27199999999993</v>
      </c>
      <c r="DH377" s="33">
        <f t="shared" si="1242"/>
        <v>757</v>
      </c>
      <c r="DI377" s="33">
        <f t="shared" si="1242"/>
        <v>947</v>
      </c>
      <c r="DJ377" s="33">
        <f t="shared" si="1242"/>
        <v>870</v>
      </c>
      <c r="DK377" s="33">
        <f t="shared" si="1242"/>
        <v>839</v>
      </c>
      <c r="DL377" s="103">
        <f t="shared" si="1242"/>
        <v>839</v>
      </c>
      <c r="DM377" s="103"/>
      <c r="DN377" s="103"/>
      <c r="DO377" s="103"/>
      <c r="DP377" s="535"/>
      <c r="DQ377" s="103">
        <f>DQ182</f>
        <v>1448</v>
      </c>
      <c r="DR377" s="550"/>
      <c r="DS377" s="103"/>
      <c r="DT377" s="103"/>
      <c r="DU377" s="103"/>
      <c r="DV377" s="103">
        <f>DV182</f>
        <v>2380</v>
      </c>
      <c r="DW377" s="550"/>
      <c r="DX377" s="103"/>
      <c r="DY377" s="103"/>
      <c r="DZ377" s="103"/>
      <c r="EA377" s="103">
        <f>EA182</f>
        <v>3957</v>
      </c>
      <c r="EB377" s="550"/>
      <c r="EC377" s="103"/>
      <c r="ED377" s="103"/>
      <c r="EE377" s="103"/>
      <c r="EF377" s="103">
        <f>EF182</f>
        <v>3959</v>
      </c>
      <c r="EG377" s="103"/>
      <c r="EH377" s="103"/>
      <c r="EI377" s="103"/>
      <c r="EJ377" s="103"/>
      <c r="EK377" s="103">
        <f>EK182</f>
        <v>3455</v>
      </c>
      <c r="EL377" s="103"/>
      <c r="EM377" s="103"/>
      <c r="EN377" s="103"/>
      <c r="EO377" s="103"/>
      <c r="EP377" s="103">
        <f>EP182</f>
        <v>3347</v>
      </c>
      <c r="EQ377" s="103"/>
      <c r="ER377" s="103"/>
      <c r="ES377" s="103"/>
      <c r="ET377" s="103"/>
      <c r="EU377" s="103">
        <f>EU182</f>
        <v>3623.9129508032638</v>
      </c>
      <c r="EV377" s="103"/>
      <c r="EW377" s="103"/>
      <c r="EX377" s="103"/>
      <c r="EY377" s="103"/>
      <c r="EZ377" s="103">
        <f>EZ182</f>
        <v>4264.238724511426</v>
      </c>
      <c r="FA377" s="103"/>
      <c r="FB377" s="103"/>
      <c r="FC377" s="103"/>
      <c r="FD377" s="103"/>
      <c r="FE377" s="103">
        <f>FE182</f>
        <v>4832.0235559476787</v>
      </c>
      <c r="FF377" s="40"/>
      <c r="FG377" s="190"/>
      <c r="FL377" s="406"/>
      <c r="FM377" s="406"/>
      <c r="FN377" s="368"/>
      <c r="FO377" s="368"/>
      <c r="FP377" s="368"/>
      <c r="FQ377" s="368"/>
      <c r="FR377" s="368"/>
      <c r="FS377" s="368"/>
      <c r="FT377" s="190"/>
    </row>
    <row r="378" spans="1:176" ht="12.75" hidden="1" customHeight="1" x14ac:dyDescent="0.2">
      <c r="A378" s="33" t="s">
        <v>388</v>
      </c>
      <c r="B378" s="184"/>
      <c r="C378" s="184"/>
      <c r="D378" s="184"/>
      <c r="E378" s="184"/>
      <c r="F378" s="279"/>
      <c r="G378" s="184"/>
      <c r="H378" s="184"/>
      <c r="I378" s="184"/>
      <c r="J378" s="184"/>
      <c r="K378" s="279"/>
      <c r="L378" s="184"/>
      <c r="M378" s="184"/>
      <c r="N378" s="184"/>
      <c r="O378" s="184"/>
      <c r="P378" s="279"/>
      <c r="Q378" s="184"/>
      <c r="R378" s="184"/>
      <c r="S378" s="184"/>
      <c r="T378" s="184"/>
      <c r="U378" s="279"/>
      <c r="V378" s="184"/>
      <c r="W378" s="184"/>
      <c r="X378" s="184"/>
      <c r="Y378" s="184"/>
      <c r="Z378" s="279"/>
      <c r="AA378" s="184"/>
      <c r="AB378" s="184"/>
      <c r="AC378" s="184"/>
      <c r="AD378" s="184"/>
      <c r="AE378" s="279"/>
      <c r="AF378" s="184"/>
      <c r="AG378" s="184"/>
      <c r="AH378" s="184"/>
      <c r="AI378" s="184"/>
      <c r="AJ378" s="279"/>
      <c r="AK378" s="184"/>
      <c r="AL378" s="184"/>
      <c r="AM378" s="184"/>
      <c r="AN378" s="184"/>
      <c r="AO378" s="279"/>
      <c r="AP378" s="184"/>
      <c r="AQ378" s="184"/>
      <c r="AR378" s="184"/>
      <c r="AS378" s="184"/>
      <c r="AT378" s="279"/>
      <c r="AU378" s="184"/>
      <c r="AV378" s="184"/>
      <c r="AW378" s="184"/>
      <c r="AX378" s="184"/>
      <c r="AY378" s="279"/>
      <c r="AZ378" s="184"/>
      <c r="BA378" s="184"/>
      <c r="BB378" s="184"/>
      <c r="BC378" s="184"/>
      <c r="BD378" s="279"/>
      <c r="BE378" s="184"/>
      <c r="BF378" s="184"/>
      <c r="BG378" s="184"/>
      <c r="BH378" s="184"/>
      <c r="BI378" s="279"/>
      <c r="BJ378" s="184"/>
      <c r="BK378" s="184"/>
      <c r="BL378" s="184"/>
      <c r="BM378" s="184"/>
      <c r="BN378" s="279"/>
      <c r="BO378" s="184"/>
      <c r="BP378" s="184"/>
      <c r="BQ378" s="184"/>
      <c r="BR378" s="184"/>
      <c r="BS378" s="279"/>
      <c r="BT378" s="184"/>
      <c r="BU378" s="184"/>
      <c r="BV378" s="184"/>
      <c r="BW378" s="184"/>
      <c r="BX378" s="279"/>
      <c r="BY378" s="184"/>
      <c r="BZ378" s="184"/>
      <c r="CA378" s="184"/>
      <c r="CB378" s="184"/>
      <c r="CC378" s="279"/>
      <c r="CD378" s="184"/>
      <c r="CE378" s="184"/>
      <c r="CF378" s="184"/>
      <c r="CG378" s="184"/>
      <c r="CH378" s="279"/>
      <c r="CI378" s="184"/>
      <c r="CJ378" s="184"/>
      <c r="CK378" s="184"/>
      <c r="CL378" s="184"/>
      <c r="CM378" s="279"/>
      <c r="CN378" s="184"/>
      <c r="CO378" s="184"/>
      <c r="CP378" s="184"/>
      <c r="CQ378" s="184"/>
      <c r="CR378" s="279"/>
      <c r="CS378" s="33" t="e">
        <f>#REF!</f>
        <v>#REF!</v>
      </c>
      <c r="CT378" s="33" t="e">
        <f>#REF!</f>
        <v>#REF!</v>
      </c>
      <c r="CU378" s="33" t="e">
        <f>#REF!</f>
        <v>#REF!</v>
      </c>
      <c r="CV378" s="33" t="e">
        <f>#REF!</f>
        <v>#REF!</v>
      </c>
      <c r="CW378" s="103" t="e">
        <f>#REF!</f>
        <v>#REF!</v>
      </c>
      <c r="CX378" s="33" t="e">
        <f>#REF!</f>
        <v>#REF!</v>
      </c>
      <c r="CY378" s="33" t="e">
        <f>#REF!</f>
        <v>#REF!</v>
      </c>
      <c r="CZ378" s="33" t="e">
        <f>#REF!</f>
        <v>#REF!</v>
      </c>
      <c r="DA378" s="33" t="e">
        <f>#REF!</f>
        <v>#REF!</v>
      </c>
      <c r="DB378" s="103" t="e">
        <f>#REF!</f>
        <v>#REF!</v>
      </c>
      <c r="DC378" s="33" t="e">
        <f>#REF!</f>
        <v>#REF!</v>
      </c>
      <c r="DD378" s="33" t="e">
        <f>#REF!</f>
        <v>#REF!</v>
      </c>
      <c r="DE378" s="33" t="e">
        <f>#REF!</f>
        <v>#REF!</v>
      </c>
      <c r="DF378" s="33" t="e">
        <f>#REF!</f>
        <v>#REF!</v>
      </c>
      <c r="DG378" s="103" t="e">
        <f>#REF!</f>
        <v>#REF!</v>
      </c>
      <c r="DH378" s="33" t="e">
        <f>#REF!</f>
        <v>#REF!</v>
      </c>
      <c r="DI378" s="33" t="e">
        <f>#REF!</f>
        <v>#REF!</v>
      </c>
      <c r="DJ378" s="33" t="e">
        <f>#REF!</f>
        <v>#REF!</v>
      </c>
      <c r="DK378" s="33" t="e">
        <f>#REF!</f>
        <v>#REF!</v>
      </c>
      <c r="DL378" s="103" t="e">
        <f>#REF!</f>
        <v>#REF!</v>
      </c>
      <c r="DM378" s="103"/>
      <c r="DN378" s="103"/>
      <c r="DO378" s="103"/>
      <c r="DP378" s="535"/>
      <c r="DQ378" s="103" t="e">
        <f>#REF!</f>
        <v>#REF!</v>
      </c>
      <c r="DR378" s="550"/>
      <c r="DS378" s="103"/>
      <c r="DT378" s="103"/>
      <c r="DU378" s="103"/>
      <c r="DV378" s="103" t="e">
        <f>#REF!</f>
        <v>#REF!</v>
      </c>
      <c r="DW378" s="550"/>
      <c r="DX378" s="103"/>
      <c r="DY378" s="103"/>
      <c r="DZ378" s="103"/>
      <c r="EA378" s="103" t="e">
        <f>#REF!</f>
        <v>#REF!</v>
      </c>
      <c r="EB378" s="550"/>
      <c r="EC378" s="103"/>
      <c r="ED378" s="103"/>
      <c r="EE378" s="103"/>
      <c r="EF378" s="103" t="e">
        <f>#REF!</f>
        <v>#REF!</v>
      </c>
      <c r="EG378" s="103"/>
      <c r="EH378" s="103"/>
      <c r="EI378" s="103"/>
      <c r="EJ378" s="103"/>
      <c r="EK378" s="103" t="e">
        <f>#REF!</f>
        <v>#REF!</v>
      </c>
      <c r="EL378" s="103"/>
      <c r="EM378" s="103"/>
      <c r="EN378" s="103"/>
      <c r="EO378" s="103"/>
      <c r="EP378" s="103" t="e">
        <f>#REF!</f>
        <v>#REF!</v>
      </c>
      <c r="EQ378" s="103"/>
      <c r="ER378" s="103"/>
      <c r="ES378" s="103"/>
      <c r="ET378" s="103"/>
      <c r="EU378" s="103" t="e">
        <f>#REF!</f>
        <v>#REF!</v>
      </c>
      <c r="EV378" s="103"/>
      <c r="EW378" s="103"/>
      <c r="EX378" s="103"/>
      <c r="EY378" s="103"/>
      <c r="EZ378" s="103" t="e">
        <f>#REF!</f>
        <v>#REF!</v>
      </c>
      <c r="FA378" s="103"/>
      <c r="FB378" s="103"/>
      <c r="FC378" s="103"/>
      <c r="FD378" s="103"/>
      <c r="FE378" s="103" t="e">
        <f>#REF!</f>
        <v>#REF!</v>
      </c>
      <c r="FF378" s="40"/>
      <c r="FG378" s="190"/>
      <c r="FL378" s="406"/>
      <c r="FM378" s="406"/>
      <c r="FN378" s="368"/>
      <c r="FO378" s="368"/>
      <c r="FP378" s="368"/>
      <c r="FQ378" s="368"/>
      <c r="FR378" s="368"/>
      <c r="FS378" s="368"/>
      <c r="FT378" s="190"/>
    </row>
    <row r="379" spans="1:176" ht="12.75" hidden="1" customHeight="1" x14ac:dyDescent="0.2">
      <c r="A379" s="33" t="s">
        <v>154</v>
      </c>
      <c r="B379" s="184"/>
      <c r="C379" s="184"/>
      <c r="D379" s="184"/>
      <c r="E379" s="184"/>
      <c r="F379" s="279"/>
      <c r="G379" s="184"/>
      <c r="H379" s="184"/>
      <c r="I379" s="184"/>
      <c r="J379" s="184"/>
      <c r="K379" s="279"/>
      <c r="L379" s="184"/>
      <c r="M379" s="184"/>
      <c r="N379" s="184"/>
      <c r="O379" s="184"/>
      <c r="P379" s="279"/>
      <c r="Q379" s="184"/>
      <c r="R379" s="184"/>
      <c r="S379" s="184"/>
      <c r="T379" s="184"/>
      <c r="U379" s="279"/>
      <c r="V379" s="184"/>
      <c r="W379" s="184"/>
      <c r="X379" s="184"/>
      <c r="Y379" s="184"/>
      <c r="Z379" s="279"/>
      <c r="AA379" s="184"/>
      <c r="AB379" s="184"/>
      <c r="AC379" s="184"/>
      <c r="AD379" s="184"/>
      <c r="AE379" s="279"/>
      <c r="AF379" s="184"/>
      <c r="AG379" s="184"/>
      <c r="AH379" s="184"/>
      <c r="AI379" s="184"/>
      <c r="AJ379" s="279"/>
      <c r="AK379" s="184"/>
      <c r="AL379" s="184"/>
      <c r="AM379" s="184"/>
      <c r="AN379" s="184"/>
      <c r="AO379" s="279"/>
      <c r="AP379" s="184"/>
      <c r="AQ379" s="184"/>
      <c r="AR379" s="184"/>
      <c r="AS379" s="184"/>
      <c r="AT379" s="279"/>
      <c r="AU379" s="184"/>
      <c r="AV379" s="184"/>
      <c r="AW379" s="184"/>
      <c r="AX379" s="184"/>
      <c r="AY379" s="279"/>
      <c r="AZ379" s="184"/>
      <c r="BA379" s="184"/>
      <c r="BB379" s="184"/>
      <c r="BC379" s="184"/>
      <c r="BD379" s="279"/>
      <c r="BE379" s="184"/>
      <c r="BF379" s="184"/>
      <c r="BG379" s="184"/>
      <c r="BH379" s="184"/>
      <c r="BI379" s="279"/>
      <c r="BJ379" s="184"/>
      <c r="BK379" s="184"/>
      <c r="BL379" s="184"/>
      <c r="BM379" s="184"/>
      <c r="BN379" s="279"/>
      <c r="BO379" s="184"/>
      <c r="BP379" s="184"/>
      <c r="BQ379" s="184"/>
      <c r="BR379" s="184"/>
      <c r="BS379" s="279"/>
      <c r="BT379" s="184"/>
      <c r="BU379" s="184"/>
      <c r="BV379" s="184"/>
      <c r="BW379" s="184"/>
      <c r="BX379" s="279"/>
      <c r="BY379" s="184"/>
      <c r="BZ379" s="184"/>
      <c r="CA379" s="184"/>
      <c r="CB379" s="184"/>
      <c r="CC379" s="279"/>
      <c r="CD379" s="184"/>
      <c r="CE379" s="184"/>
      <c r="CF379" s="184"/>
      <c r="CG379" s="184"/>
      <c r="CH379" s="279"/>
      <c r="CI379" s="184"/>
      <c r="CJ379" s="184"/>
      <c r="CK379" s="184"/>
      <c r="CL379" s="184"/>
      <c r="CM379" s="279"/>
      <c r="CN379" s="184"/>
      <c r="CO379" s="184"/>
      <c r="CP379" s="184"/>
      <c r="CQ379" s="184"/>
      <c r="CR379" s="279"/>
      <c r="CS379" s="33">
        <f t="shared" ref="CS379:DL379" si="1243">CS188</f>
        <v>402.22699999999986</v>
      </c>
      <c r="CT379" s="33">
        <f t="shared" si="1243"/>
        <v>347.11900000000003</v>
      </c>
      <c r="CU379" s="33">
        <f t="shared" si="1243"/>
        <v>302.44399999999985</v>
      </c>
      <c r="CV379" s="33">
        <f t="shared" si="1243"/>
        <v>325.29000000000008</v>
      </c>
      <c r="CW379" s="103">
        <f t="shared" si="1243"/>
        <v>325.29000000000002</v>
      </c>
      <c r="CX379" s="33">
        <f t="shared" si="1243"/>
        <v>359.57799999999986</v>
      </c>
      <c r="CY379" s="33">
        <f t="shared" si="1243"/>
        <v>611.83599999999967</v>
      </c>
      <c r="CZ379" s="33">
        <f t="shared" si="1243"/>
        <v>906.87599999999986</v>
      </c>
      <c r="DA379" s="33">
        <f t="shared" si="1243"/>
        <v>944.51499999999965</v>
      </c>
      <c r="DB379" s="103">
        <f t="shared" si="1243"/>
        <v>944.51499999999965</v>
      </c>
      <c r="DC379" s="33">
        <f t="shared" si="1243"/>
        <v>913.00699999999995</v>
      </c>
      <c r="DD379" s="33">
        <f t="shared" si="1243"/>
        <v>725.85699999999997</v>
      </c>
      <c r="DE379" s="33">
        <f t="shared" si="1243"/>
        <v>575.49199999999996</v>
      </c>
      <c r="DF379" s="33">
        <f t="shared" si="1243"/>
        <v>515.00699999999995</v>
      </c>
      <c r="DG379" s="103">
        <f t="shared" si="1243"/>
        <v>515.00699999999995</v>
      </c>
      <c r="DH379" s="33">
        <f t="shared" si="1243"/>
        <v>496</v>
      </c>
      <c r="DI379" s="33">
        <f t="shared" si="1243"/>
        <v>722</v>
      </c>
      <c r="DJ379" s="33">
        <f t="shared" si="1243"/>
        <v>681</v>
      </c>
      <c r="DK379" s="33">
        <f t="shared" si="1243"/>
        <v>679</v>
      </c>
      <c r="DL379" s="103">
        <f t="shared" si="1243"/>
        <v>679</v>
      </c>
      <c r="DM379" s="103"/>
      <c r="DN379" s="103"/>
      <c r="DO379" s="103"/>
      <c r="DP379" s="535"/>
      <c r="DQ379" s="103">
        <f>DQ188</f>
        <v>1291</v>
      </c>
      <c r="DR379" s="550"/>
      <c r="DS379" s="103"/>
      <c r="DT379" s="103"/>
      <c r="DU379" s="103"/>
      <c r="DV379" s="103">
        <f>DV188</f>
        <v>2223</v>
      </c>
      <c r="DW379" s="550"/>
      <c r="DX379" s="103"/>
      <c r="DY379" s="103"/>
      <c r="DZ379" s="103"/>
      <c r="EA379" s="103">
        <f>EA188</f>
        <v>3755</v>
      </c>
      <c r="EB379" s="550"/>
      <c r="EC379" s="103"/>
      <c r="ED379" s="103"/>
      <c r="EE379" s="103"/>
      <c r="EF379" s="103">
        <f>EF188</f>
        <v>3748</v>
      </c>
      <c r="EG379" s="103"/>
      <c r="EH379" s="103"/>
      <c r="EI379" s="103"/>
      <c r="EJ379" s="103"/>
      <c r="EK379" s="103">
        <f>EK188</f>
        <v>3297</v>
      </c>
      <c r="EL379" s="103"/>
      <c r="EM379" s="103"/>
      <c r="EN379" s="103"/>
      <c r="EO379" s="103"/>
      <c r="EP379" s="103">
        <f>EP188</f>
        <v>3311</v>
      </c>
      <c r="EQ379" s="103"/>
      <c r="ER379" s="103"/>
      <c r="ES379" s="103"/>
      <c r="ET379" s="103"/>
      <c r="EU379" s="103">
        <f>EU188</f>
        <v>3580.9129508032638</v>
      </c>
      <c r="EV379" s="103"/>
      <c r="EW379" s="103"/>
      <c r="EX379" s="103"/>
      <c r="EY379" s="103"/>
      <c r="EZ379" s="103">
        <f t="shared" ref="EZ379" si="1244">EZ188</f>
        <v>4146.2296064412249</v>
      </c>
      <c r="FA379" s="103"/>
      <c r="FB379" s="103"/>
      <c r="FC379" s="103"/>
      <c r="FD379" s="103"/>
      <c r="FE379" s="103">
        <f>FE188</f>
        <v>4739.1696401251402</v>
      </c>
      <c r="FF379" s="40"/>
      <c r="FG379" s="190"/>
      <c r="FL379" s="406"/>
      <c r="FM379" s="406"/>
      <c r="FN379" s="368"/>
      <c r="FO379" s="368"/>
      <c r="FP379" s="368"/>
      <c r="FQ379" s="368"/>
      <c r="FR379" s="368"/>
      <c r="FS379" s="368"/>
      <c r="FT379" s="190"/>
    </row>
    <row r="380" spans="1:176" ht="12.75" hidden="1" customHeight="1" x14ac:dyDescent="0.2">
      <c r="A380" s="33" t="s">
        <v>155</v>
      </c>
      <c r="B380" s="184"/>
      <c r="C380" s="184"/>
      <c r="D380" s="184"/>
      <c r="E380" s="184"/>
      <c r="F380" s="279"/>
      <c r="G380" s="184"/>
      <c r="H380" s="184"/>
      <c r="I380" s="184"/>
      <c r="J380" s="184"/>
      <c r="K380" s="279"/>
      <c r="L380" s="184"/>
      <c r="M380" s="184"/>
      <c r="N380" s="184"/>
      <c r="O380" s="184"/>
      <c r="P380" s="279"/>
      <c r="Q380" s="184"/>
      <c r="R380" s="184"/>
      <c r="S380" s="184"/>
      <c r="T380" s="184"/>
      <c r="U380" s="279"/>
      <c r="V380" s="184"/>
      <c r="W380" s="184"/>
      <c r="X380" s="184"/>
      <c r="Y380" s="184"/>
      <c r="Z380" s="279"/>
      <c r="AA380" s="184"/>
      <c r="AB380" s="184"/>
      <c r="AC380" s="184"/>
      <c r="AD380" s="184"/>
      <c r="AE380" s="279"/>
      <c r="AF380" s="184"/>
      <c r="AG380" s="184"/>
      <c r="AH380" s="184"/>
      <c r="AI380" s="184"/>
      <c r="AJ380" s="279"/>
      <c r="AK380" s="184"/>
      <c r="AL380" s="184"/>
      <c r="AM380" s="184"/>
      <c r="AN380" s="184"/>
      <c r="AO380" s="279"/>
      <c r="AP380" s="184"/>
      <c r="AQ380" s="184"/>
      <c r="AR380" s="184"/>
      <c r="AS380" s="184"/>
      <c r="AT380" s="279"/>
      <c r="AU380" s="184"/>
      <c r="AV380" s="184"/>
      <c r="AW380" s="184"/>
      <c r="AX380" s="184"/>
      <c r="AY380" s="279"/>
      <c r="AZ380" s="184"/>
      <c r="BA380" s="184"/>
      <c r="BB380" s="184"/>
      <c r="BC380" s="184"/>
      <c r="BD380" s="279"/>
      <c r="BE380" s="184"/>
      <c r="BF380" s="184"/>
      <c r="BG380" s="184"/>
      <c r="BH380" s="184"/>
      <c r="BI380" s="279"/>
      <c r="BJ380" s="184"/>
      <c r="BK380" s="184"/>
      <c r="BL380" s="184"/>
      <c r="BM380" s="184"/>
      <c r="BN380" s="279"/>
      <c r="BO380" s="184"/>
      <c r="BP380" s="184"/>
      <c r="BQ380" s="184"/>
      <c r="BR380" s="184"/>
      <c r="BS380" s="279"/>
      <c r="BT380" s="184"/>
      <c r="BU380" s="184"/>
      <c r="BV380" s="184"/>
      <c r="BW380" s="184"/>
      <c r="BX380" s="279"/>
      <c r="BY380" s="184"/>
      <c r="BZ380" s="184"/>
      <c r="CA380" s="184"/>
      <c r="CB380" s="184"/>
      <c r="CC380" s="279"/>
      <c r="CD380" s="184"/>
      <c r="CE380" s="184"/>
      <c r="CF380" s="184"/>
      <c r="CG380" s="184"/>
      <c r="CH380" s="279"/>
      <c r="CI380" s="184"/>
      <c r="CJ380" s="184"/>
      <c r="CK380" s="184"/>
      <c r="CL380" s="184"/>
      <c r="CM380" s="279"/>
      <c r="CN380" s="184"/>
      <c r="CO380" s="184"/>
      <c r="CP380" s="184"/>
      <c r="CQ380" s="184"/>
      <c r="CR380" s="279"/>
      <c r="CS380" s="33">
        <f t="shared" ref="CS380:DL380" si="1245">CS189</f>
        <v>254.22699999999983</v>
      </c>
      <c r="CT380" s="33">
        <f t="shared" si="1245"/>
        <v>237.40700000000004</v>
      </c>
      <c r="CU380" s="33">
        <f t="shared" si="1245"/>
        <v>201.49899999999985</v>
      </c>
      <c r="CV380" s="33">
        <f t="shared" si="1245"/>
        <v>224.61300000000003</v>
      </c>
      <c r="CW380" s="103">
        <f t="shared" si="1245"/>
        <v>224.61300000000006</v>
      </c>
      <c r="CX380" s="33">
        <f t="shared" si="1245"/>
        <v>228.9009999999999</v>
      </c>
      <c r="CY380" s="33">
        <f t="shared" si="1245"/>
        <v>386.57099999999969</v>
      </c>
      <c r="CZ380" s="33">
        <f t="shared" si="1245"/>
        <v>567.88499999999976</v>
      </c>
      <c r="DA380" s="33">
        <f t="shared" si="1245"/>
        <v>574.92399999999975</v>
      </c>
      <c r="DB380" s="103">
        <f t="shared" si="1245"/>
        <v>574.92399999999975</v>
      </c>
      <c r="DC380" s="33">
        <f t="shared" si="1245"/>
        <v>558.69299999999998</v>
      </c>
      <c r="DD380" s="33">
        <f t="shared" si="1245"/>
        <v>428.84299999999996</v>
      </c>
      <c r="DE380" s="33">
        <f t="shared" si="1245"/>
        <v>336.43699999999995</v>
      </c>
      <c r="DF380" s="33">
        <f t="shared" si="1245"/>
        <v>311.28399999999993</v>
      </c>
      <c r="DG380" s="103">
        <f t="shared" si="1245"/>
        <v>311.28399999999993</v>
      </c>
      <c r="DH380" s="33">
        <f t="shared" si="1245"/>
        <v>302</v>
      </c>
      <c r="DI380" s="33">
        <f t="shared" si="1245"/>
        <v>443</v>
      </c>
      <c r="DJ380" s="33">
        <f t="shared" si="1245"/>
        <v>418</v>
      </c>
      <c r="DK380" s="33">
        <f t="shared" si="1245"/>
        <v>417</v>
      </c>
      <c r="DL380" s="103">
        <f t="shared" si="1245"/>
        <v>417</v>
      </c>
      <c r="DM380" s="103"/>
      <c r="DN380" s="103"/>
      <c r="DO380" s="103"/>
      <c r="DP380" s="535"/>
      <c r="DQ380" s="103">
        <f>DQ189</f>
        <v>804</v>
      </c>
      <c r="DR380" s="550"/>
      <c r="DS380" s="103"/>
      <c r="DT380" s="103"/>
      <c r="DU380" s="103"/>
      <c r="DV380" s="103">
        <f>DV189</f>
        <v>1399</v>
      </c>
      <c r="DW380" s="550"/>
      <c r="DX380" s="103"/>
      <c r="DY380" s="103"/>
      <c r="DZ380" s="103"/>
      <c r="EA380" s="103">
        <f>EA189</f>
        <v>2356</v>
      </c>
      <c r="EB380" s="550"/>
      <c r="EC380" s="103"/>
      <c r="ED380" s="103"/>
      <c r="EE380" s="103"/>
      <c r="EF380" s="103">
        <f>EF189</f>
        <v>2369</v>
      </c>
      <c r="EG380" s="103"/>
      <c r="EH380" s="103"/>
      <c r="EI380" s="103"/>
      <c r="EJ380" s="103"/>
      <c r="EK380" s="103">
        <f>EK189</f>
        <v>2107</v>
      </c>
      <c r="EL380" s="103"/>
      <c r="EM380" s="103"/>
      <c r="EN380" s="103"/>
      <c r="EO380" s="103"/>
      <c r="EP380" s="103">
        <f>EP189</f>
        <v>2116</v>
      </c>
      <c r="EQ380" s="103"/>
      <c r="ER380" s="103"/>
      <c r="ES380" s="103"/>
      <c r="ET380" s="103"/>
      <c r="EU380" s="103">
        <f>EU189</f>
        <v>2748.3506897415054</v>
      </c>
      <c r="EV380" s="103"/>
      <c r="EW380" s="103"/>
      <c r="EX380" s="103"/>
      <c r="EY380" s="103"/>
      <c r="EZ380" s="103">
        <f t="shared" ref="EZ380" si="1246">EZ189</f>
        <v>3182.2312229436402</v>
      </c>
      <c r="FA380" s="103"/>
      <c r="FB380" s="103"/>
      <c r="FC380" s="103"/>
      <c r="FD380" s="103"/>
      <c r="FE380" s="103">
        <f>FE189</f>
        <v>3637.312698796045</v>
      </c>
      <c r="FF380" s="40"/>
      <c r="FG380" s="190"/>
      <c r="FL380" s="406"/>
      <c r="FM380" s="406"/>
      <c r="FN380" s="368"/>
      <c r="FO380" s="368"/>
      <c r="FP380" s="368"/>
      <c r="FQ380" s="368"/>
      <c r="FR380" s="368"/>
      <c r="FS380" s="368"/>
      <c r="FT380" s="190"/>
    </row>
    <row r="381" spans="1:176" ht="12.75" hidden="1" customHeight="1" x14ac:dyDescent="0.2">
      <c r="A381" s="30" t="s">
        <v>309</v>
      </c>
      <c r="B381" s="184"/>
      <c r="C381" s="184"/>
      <c r="D381" s="184"/>
      <c r="E381" s="184"/>
      <c r="F381" s="279"/>
      <c r="G381" s="184"/>
      <c r="H381" s="184"/>
      <c r="I381" s="184"/>
      <c r="J381" s="184"/>
      <c r="K381" s="279"/>
      <c r="L381" s="184"/>
      <c r="M381" s="184"/>
      <c r="N381" s="184"/>
      <c r="O381" s="184"/>
      <c r="P381" s="279"/>
      <c r="Q381" s="184"/>
      <c r="R381" s="184"/>
      <c r="S381" s="184"/>
      <c r="T381" s="184"/>
      <c r="U381" s="279"/>
      <c r="V381" s="184"/>
      <c r="W381" s="184"/>
      <c r="X381" s="184"/>
      <c r="Y381" s="184"/>
      <c r="Z381" s="279"/>
      <c r="AA381" s="184"/>
      <c r="AB381" s="184"/>
      <c r="AC381" s="184"/>
      <c r="AD381" s="184"/>
      <c r="AE381" s="279"/>
      <c r="AF381" s="184"/>
      <c r="AG381" s="184"/>
      <c r="AH381" s="184"/>
      <c r="AI381" s="184"/>
      <c r="AJ381" s="279"/>
      <c r="AK381" s="184"/>
      <c r="AL381" s="184"/>
      <c r="AM381" s="184"/>
      <c r="AN381" s="184"/>
      <c r="AO381" s="279"/>
      <c r="AP381" s="184"/>
      <c r="AQ381" s="184"/>
      <c r="AR381" s="184"/>
      <c r="AS381" s="184"/>
      <c r="AT381" s="279"/>
      <c r="AU381" s="184"/>
      <c r="AV381" s="184"/>
      <c r="AW381" s="184"/>
      <c r="AX381" s="184"/>
      <c r="AY381" s="279"/>
      <c r="AZ381" s="184"/>
      <c r="BA381" s="184"/>
      <c r="BB381" s="184"/>
      <c r="BC381" s="184"/>
      <c r="BD381" s="279"/>
      <c r="BE381" s="184"/>
      <c r="BF381" s="184"/>
      <c r="BG381" s="184"/>
      <c r="BH381" s="184"/>
      <c r="BI381" s="279"/>
      <c r="BJ381" s="184"/>
      <c r="BK381" s="184"/>
      <c r="BL381" s="184"/>
      <c r="BM381" s="184"/>
      <c r="BN381" s="279"/>
      <c r="BO381" s="184"/>
      <c r="BP381" s="184"/>
      <c r="BQ381" s="184"/>
      <c r="BR381" s="184"/>
      <c r="BS381" s="279"/>
      <c r="BT381" s="184"/>
      <c r="BU381" s="184"/>
      <c r="BV381" s="184"/>
      <c r="BW381" s="184"/>
      <c r="BX381" s="279"/>
      <c r="BY381" s="184"/>
      <c r="BZ381" s="184"/>
      <c r="CA381" s="184"/>
      <c r="CB381" s="184"/>
      <c r="CC381" s="279"/>
      <c r="CD381" s="184"/>
      <c r="CE381" s="184"/>
      <c r="CF381" s="184"/>
      <c r="CG381" s="184"/>
      <c r="CH381" s="279"/>
      <c r="CI381" s="184"/>
      <c r="CJ381" s="184"/>
      <c r="CK381" s="184"/>
      <c r="CL381" s="184"/>
      <c r="CM381" s="279"/>
      <c r="CN381" s="184"/>
      <c r="CO381" s="184"/>
      <c r="CP381" s="184"/>
      <c r="CQ381" s="184"/>
      <c r="CR381" s="279"/>
      <c r="CS381" s="30">
        <f t="shared" ref="CS381:DL381" si="1247">CS148</f>
        <v>4.114366044837294E-3</v>
      </c>
      <c r="CT381" s="30">
        <f t="shared" si="1247"/>
        <v>0.13254750196865761</v>
      </c>
      <c r="CU381" s="30">
        <f t="shared" si="1247"/>
        <v>4.2040772574785876E-2</v>
      </c>
      <c r="CV381" s="30">
        <f t="shared" si="1247"/>
        <v>0.10634942748178927</v>
      </c>
      <c r="CW381" s="113">
        <f t="shared" si="1247"/>
        <v>0.2851037471329439</v>
      </c>
      <c r="CX381" s="30">
        <f t="shared" si="1247"/>
        <v>9.5447558402299293E-3</v>
      </c>
      <c r="CY381" s="30">
        <f t="shared" si="1247"/>
        <v>0.32672194640624874</v>
      </c>
      <c r="CZ381" s="30">
        <f t="shared" si="1247"/>
        <v>0.26716683583997286</v>
      </c>
      <c r="DA381" s="30">
        <f t="shared" si="1247"/>
        <v>0.11481701187837935</v>
      </c>
      <c r="DB381" s="113">
        <f t="shared" si="1247"/>
        <v>0.7221285284880935</v>
      </c>
      <c r="DC381" s="30">
        <f t="shared" si="1247"/>
        <v>-1.1009903982117146E-2</v>
      </c>
      <c r="DD381" s="30">
        <f t="shared" si="1247"/>
        <v>0.16772554002541296</v>
      </c>
      <c r="DE381" s="30">
        <f t="shared" si="1247"/>
        <v>0.15404040404040403</v>
      </c>
      <c r="DF381" s="30">
        <f t="shared" si="1247"/>
        <v>8.5568326947637288E-2</v>
      </c>
      <c r="DG381" s="113">
        <f t="shared" si="1247"/>
        <v>0.39609203867787429</v>
      </c>
      <c r="DH381" s="30">
        <f t="shared" si="1247"/>
        <v>-2.2020725388601035E-2</v>
      </c>
      <c r="DI381" s="30">
        <f t="shared" si="1247"/>
        <v>0.3586387434554974</v>
      </c>
      <c r="DJ381" s="30">
        <f t="shared" si="1247"/>
        <v>0.13108108108108107</v>
      </c>
      <c r="DK381" s="30">
        <f t="shared" si="1247"/>
        <v>8.9673913043478257E-2</v>
      </c>
      <c r="DL381" s="113">
        <f t="shared" si="1247"/>
        <v>0.55776892430278879</v>
      </c>
      <c r="DM381" s="113"/>
      <c r="DN381" s="113"/>
      <c r="DO381" s="113"/>
      <c r="DP381" s="534"/>
      <c r="DQ381" s="113">
        <f>DQ148</f>
        <v>1.1239554317548746</v>
      </c>
      <c r="DR381" s="552"/>
      <c r="DS381" s="113"/>
      <c r="DT381" s="113"/>
      <c r="DU381" s="113"/>
      <c r="DV381" s="113">
        <f>DV148</f>
        <v>1.9540389972144847</v>
      </c>
      <c r="DW381" s="552"/>
      <c r="DX381" s="113"/>
      <c r="DY381" s="113"/>
      <c r="DZ381" s="113"/>
      <c r="EA381" s="113">
        <f>EA148</f>
        <v>3.5302916978309646</v>
      </c>
      <c r="EB381" s="552"/>
      <c r="EC381" s="113"/>
      <c r="ED381" s="113"/>
      <c r="EE381" s="113"/>
      <c r="EF381" s="113">
        <f>EF148</f>
        <v>3.7473351756810107</v>
      </c>
      <c r="EG381" s="113"/>
      <c r="EH381" s="113"/>
      <c r="EI381" s="113"/>
      <c r="EJ381" s="113"/>
      <c r="EK381" s="113">
        <f>EK148</f>
        <v>3.4956449605972626</v>
      </c>
      <c r="EL381" s="113"/>
      <c r="EM381" s="113"/>
      <c r="EN381" s="113"/>
      <c r="EO381" s="113"/>
      <c r="EP381" s="113">
        <f>EP148</f>
        <v>3.510576524263791</v>
      </c>
      <c r="EQ381" s="113"/>
      <c r="ER381" s="113"/>
      <c r="ES381" s="113"/>
      <c r="ET381" s="113"/>
      <c r="EU381" s="113">
        <f>EU148</f>
        <v>4.8347019291331961</v>
      </c>
      <c r="EV381" s="113"/>
      <c r="EW381" s="113"/>
      <c r="EX381" s="113"/>
      <c r="EY381" s="113"/>
      <c r="EZ381" s="113">
        <f>EZ148</f>
        <v>6.0518416490179563</v>
      </c>
      <c r="FA381" s="113"/>
      <c r="FB381" s="113"/>
      <c r="FC381" s="113"/>
      <c r="FD381" s="113"/>
      <c r="FE381" s="113">
        <f>FE148</f>
        <v>7.4781595947328361</v>
      </c>
      <c r="FF381" s="40"/>
      <c r="FG381" s="190"/>
      <c r="FL381" s="406"/>
      <c r="FM381" s="406"/>
      <c r="FN381" s="368"/>
      <c r="FO381" s="368"/>
      <c r="FP381" s="368"/>
      <c r="FQ381" s="368"/>
      <c r="FR381" s="368"/>
      <c r="FS381" s="368"/>
      <c r="FT381" s="190"/>
    </row>
    <row r="382" spans="1:176" ht="12.75" hidden="1" customHeight="1" x14ac:dyDescent="0.2">
      <c r="A382" s="33" t="s">
        <v>332</v>
      </c>
      <c r="B382" s="184"/>
      <c r="C382" s="184"/>
      <c r="D382" s="184"/>
      <c r="E382" s="184"/>
      <c r="F382" s="279"/>
      <c r="G382" s="184"/>
      <c r="H382" s="184"/>
      <c r="I382" s="184"/>
      <c r="J382" s="184"/>
      <c r="K382" s="279"/>
      <c r="L382" s="184"/>
      <c r="M382" s="184"/>
      <c r="N382" s="184"/>
      <c r="O382" s="184"/>
      <c r="P382" s="279"/>
      <c r="Q382" s="184"/>
      <c r="R382" s="184"/>
      <c r="S382" s="184"/>
      <c r="T382" s="184"/>
      <c r="U382" s="279"/>
      <c r="V382" s="184"/>
      <c r="W382" s="184"/>
      <c r="X382" s="184"/>
      <c r="Y382" s="184"/>
      <c r="Z382" s="279"/>
      <c r="AA382" s="184"/>
      <c r="AB382" s="184"/>
      <c r="AC382" s="184"/>
      <c r="AD382" s="184"/>
      <c r="AE382" s="279"/>
      <c r="AF382" s="184"/>
      <c r="AG382" s="184"/>
      <c r="AH382" s="184"/>
      <c r="AI382" s="184"/>
      <c r="AJ382" s="279"/>
      <c r="AK382" s="184"/>
      <c r="AL382" s="184"/>
      <c r="AM382" s="184"/>
      <c r="AN382" s="184"/>
      <c r="AO382" s="279"/>
      <c r="AP382" s="184"/>
      <c r="AQ382" s="184"/>
      <c r="AR382" s="184"/>
      <c r="AS382" s="184"/>
      <c r="AT382" s="279"/>
      <c r="AU382" s="184"/>
      <c r="AV382" s="184"/>
      <c r="AW382" s="184"/>
      <c r="AX382" s="184"/>
      <c r="AY382" s="279"/>
      <c r="AZ382" s="184"/>
      <c r="BA382" s="184"/>
      <c r="BB382" s="184"/>
      <c r="BC382" s="184"/>
      <c r="BD382" s="279"/>
      <c r="BE382" s="184"/>
      <c r="BF382" s="184"/>
      <c r="BG382" s="184"/>
      <c r="BH382" s="184"/>
      <c r="BI382" s="279"/>
      <c r="BJ382" s="184"/>
      <c r="BK382" s="184"/>
      <c r="BL382" s="184"/>
      <c r="BM382" s="184"/>
      <c r="BN382" s="279"/>
      <c r="BO382" s="184"/>
      <c r="BP382" s="184"/>
      <c r="BQ382" s="184"/>
      <c r="BR382" s="184"/>
      <c r="BS382" s="279"/>
      <c r="BT382" s="184"/>
      <c r="BU382" s="184"/>
      <c r="BV382" s="184"/>
      <c r="BW382" s="184"/>
      <c r="BX382" s="279"/>
      <c r="BY382" s="184"/>
      <c r="BZ382" s="184"/>
      <c r="CA382" s="184"/>
      <c r="CB382" s="184"/>
      <c r="CC382" s="279"/>
      <c r="CD382" s="184"/>
      <c r="CE382" s="184"/>
      <c r="CF382" s="184"/>
      <c r="CG382" s="184"/>
      <c r="CH382" s="279"/>
      <c r="CI382" s="184"/>
      <c r="CJ382" s="184"/>
      <c r="CK382" s="184"/>
      <c r="CL382" s="184"/>
      <c r="CM382" s="279"/>
      <c r="CN382" s="184"/>
      <c r="CO382" s="184"/>
      <c r="CP382" s="184"/>
      <c r="CQ382" s="184"/>
      <c r="CR382" s="279"/>
      <c r="CS382" s="33">
        <f t="shared" ref="CS382:DL382" si="1248">CS183</f>
        <v>1454.3819999999998</v>
      </c>
      <c r="CT382" s="33">
        <f t="shared" si="1248"/>
        <v>1545.9690000000001</v>
      </c>
      <c r="CU382" s="33">
        <f t="shared" si="1248"/>
        <v>1648.1329999999998</v>
      </c>
      <c r="CV382" s="33">
        <f t="shared" si="1248"/>
        <v>1810.308</v>
      </c>
      <c r="CW382" s="103">
        <f t="shared" si="1248"/>
        <v>1810.308</v>
      </c>
      <c r="CX382" s="33">
        <f t="shared" si="1248"/>
        <v>1848.126</v>
      </c>
      <c r="CY382" s="33">
        <f t="shared" si="1248"/>
        <v>2091.5389999999998</v>
      </c>
      <c r="CZ382" s="33">
        <f t="shared" si="1248"/>
        <v>2378.375</v>
      </c>
      <c r="DA382" s="33">
        <f t="shared" si="1248"/>
        <v>2432.1999999999998</v>
      </c>
      <c r="DB382" s="103">
        <f t="shared" si="1248"/>
        <v>2432.1999999999998</v>
      </c>
      <c r="DC382" s="33">
        <f t="shared" si="1248"/>
        <v>2396.1030000000001</v>
      </c>
      <c r="DD382" s="33">
        <f t="shared" si="1248"/>
        <v>2209.1030000000001</v>
      </c>
      <c r="DE382" s="33">
        <f t="shared" si="1248"/>
        <v>2049.1030000000001</v>
      </c>
      <c r="DF382" s="33">
        <f t="shared" si="1248"/>
        <v>1942.1030000000001</v>
      </c>
      <c r="DG382" s="103">
        <f t="shared" si="1248"/>
        <v>1942.1030000000001</v>
      </c>
      <c r="DH382" s="33">
        <f t="shared" si="1248"/>
        <v>1893</v>
      </c>
      <c r="DI382" s="33">
        <f t="shared" si="1248"/>
        <v>2094</v>
      </c>
      <c r="DJ382" s="33">
        <f t="shared" si="1248"/>
        <v>2045</v>
      </c>
      <c r="DK382" s="33">
        <f t="shared" si="1248"/>
        <v>2038</v>
      </c>
      <c r="DL382" s="103">
        <f t="shared" si="1248"/>
        <v>2038</v>
      </c>
      <c r="DM382" s="103"/>
      <c r="DN382" s="103"/>
      <c r="DO382" s="103"/>
      <c r="DP382" s="535"/>
      <c r="DQ382" s="103">
        <f>DQ183</f>
        <v>2676</v>
      </c>
      <c r="DR382" s="550"/>
      <c r="DS382" s="103"/>
      <c r="DT382" s="103"/>
      <c r="DU382" s="103"/>
      <c r="DV382" s="103">
        <f>DV183</f>
        <v>3613</v>
      </c>
      <c r="DW382" s="550"/>
      <c r="DX382" s="103"/>
      <c r="DY382" s="103"/>
      <c r="DZ382" s="103"/>
      <c r="EA382" s="103">
        <f>EA183</f>
        <v>5210</v>
      </c>
      <c r="EB382" s="550"/>
      <c r="EC382" s="103"/>
      <c r="ED382" s="103"/>
      <c r="EE382" s="103"/>
      <c r="EF382" s="103">
        <f>EF183</f>
        <v>5410</v>
      </c>
      <c r="EG382" s="103"/>
      <c r="EH382" s="103"/>
      <c r="EI382" s="103"/>
      <c r="EJ382" s="103"/>
      <c r="EK382" s="103">
        <f>EK183</f>
        <v>4866</v>
      </c>
      <c r="EL382" s="103"/>
      <c r="EM382" s="103"/>
      <c r="EN382" s="103"/>
      <c r="EO382" s="103"/>
      <c r="EP382" s="103">
        <f>EP183</f>
        <v>4763</v>
      </c>
      <c r="EQ382" s="103"/>
      <c r="ER382" s="103"/>
      <c r="ES382" s="103"/>
      <c r="ET382" s="103"/>
      <c r="EU382" s="103">
        <f>EU183</f>
        <v>5007.1619320665632</v>
      </c>
      <c r="EV382" s="103"/>
      <c r="EW382" s="103"/>
      <c r="EX382" s="103"/>
      <c r="EY382" s="103"/>
      <c r="EZ382" s="103">
        <f t="shared" ref="EZ382" si="1249">EZ183</f>
        <v>5682.3304509762156</v>
      </c>
      <c r="FA382" s="103"/>
      <c r="FB382" s="103"/>
      <c r="FC382" s="103"/>
      <c r="FD382" s="103"/>
      <c r="FE382" s="103">
        <f>FE183</f>
        <v>6283.9140597754304</v>
      </c>
      <c r="FF382" s="40"/>
      <c r="FG382" s="190"/>
      <c r="FL382" s="406"/>
      <c r="FM382" s="406"/>
      <c r="FN382" s="368"/>
      <c r="FO382" s="368"/>
      <c r="FP382" s="368"/>
      <c r="FQ382" s="368"/>
      <c r="FR382" s="368"/>
      <c r="FS382" s="368"/>
      <c r="FT382" s="190"/>
    </row>
    <row r="383" spans="1:176" ht="12.75" hidden="1" customHeight="1" x14ac:dyDescent="0.2">
      <c r="A383" s="33" t="s">
        <v>435</v>
      </c>
      <c r="B383" s="184"/>
      <c r="C383" s="184"/>
      <c r="D383" s="184"/>
      <c r="E383" s="184"/>
      <c r="F383" s="279"/>
      <c r="G383" s="184"/>
      <c r="H383" s="184"/>
      <c r="I383" s="184"/>
      <c r="J383" s="184"/>
      <c r="K383" s="279"/>
      <c r="L383" s="184"/>
      <c r="M383" s="184"/>
      <c r="N383" s="184"/>
      <c r="O383" s="184"/>
      <c r="P383" s="279"/>
      <c r="Q383" s="184"/>
      <c r="R383" s="184"/>
      <c r="S383" s="184"/>
      <c r="T383" s="184"/>
      <c r="U383" s="279"/>
      <c r="V383" s="184"/>
      <c r="W383" s="184"/>
      <c r="X383" s="184"/>
      <c r="Y383" s="184"/>
      <c r="Z383" s="279"/>
      <c r="AA383" s="184"/>
      <c r="AB383" s="184"/>
      <c r="AC383" s="184"/>
      <c r="AD383" s="184"/>
      <c r="AE383" s="279"/>
      <c r="AF383" s="184"/>
      <c r="AG383" s="184"/>
      <c r="AH383" s="184"/>
      <c r="AI383" s="184"/>
      <c r="AJ383" s="279"/>
      <c r="AK383" s="184"/>
      <c r="AL383" s="184"/>
      <c r="AM383" s="184"/>
      <c r="AN383" s="184"/>
      <c r="AO383" s="279"/>
      <c r="AP383" s="184"/>
      <c r="AQ383" s="184"/>
      <c r="AR383" s="184"/>
      <c r="AS383" s="184"/>
      <c r="AT383" s="279"/>
      <c r="AU383" s="184"/>
      <c r="AV383" s="184"/>
      <c r="AW383" s="184"/>
      <c r="AX383" s="184"/>
      <c r="AY383" s="279"/>
      <c r="AZ383" s="184"/>
      <c r="BA383" s="184"/>
      <c r="BB383" s="184"/>
      <c r="BC383" s="184"/>
      <c r="BD383" s="279"/>
      <c r="BE383" s="184"/>
      <c r="BF383" s="184"/>
      <c r="BG383" s="184"/>
      <c r="BH383" s="184"/>
      <c r="BI383" s="279"/>
      <c r="BJ383" s="184"/>
      <c r="BK383" s="184"/>
      <c r="BL383" s="184"/>
      <c r="BM383" s="184"/>
      <c r="BN383" s="279"/>
      <c r="BO383" s="184"/>
      <c r="BP383" s="184"/>
      <c r="BQ383" s="184"/>
      <c r="BR383" s="184"/>
      <c r="BS383" s="279"/>
      <c r="BT383" s="184"/>
      <c r="BU383" s="184"/>
      <c r="BV383" s="184"/>
      <c r="BW383" s="184"/>
      <c r="BX383" s="279"/>
      <c r="BY383" s="184"/>
      <c r="BZ383" s="184"/>
      <c r="CA383" s="184"/>
      <c r="CB383" s="184"/>
      <c r="CC383" s="279"/>
      <c r="CD383" s="184"/>
      <c r="CE383" s="184"/>
      <c r="CF383" s="184"/>
      <c r="CG383" s="184"/>
      <c r="CH383" s="279"/>
      <c r="CI383" s="184"/>
      <c r="CJ383" s="184"/>
      <c r="CK383" s="184"/>
      <c r="CL383" s="184"/>
      <c r="CM383" s="279"/>
      <c r="CN383" s="184"/>
      <c r="CO383" s="184"/>
      <c r="CP383" s="184"/>
      <c r="CQ383" s="184"/>
      <c r="CR383" s="279"/>
      <c r="CS383" s="33">
        <f t="shared" ref="CS383:DL383" si="1250">CS184</f>
        <v>1454.3819999999998</v>
      </c>
      <c r="CT383" s="33">
        <f t="shared" si="1250"/>
        <v>1545.9690000000001</v>
      </c>
      <c r="CU383" s="33">
        <f t="shared" si="1250"/>
        <v>1648.1329999999998</v>
      </c>
      <c r="CV383" s="33">
        <f t="shared" si="1250"/>
        <v>1810.308</v>
      </c>
      <c r="CW383" s="103">
        <f t="shared" si="1250"/>
        <v>1810.308</v>
      </c>
      <c r="CX383" s="33">
        <f t="shared" si="1250"/>
        <v>1848.126</v>
      </c>
      <c r="CY383" s="33">
        <f t="shared" si="1250"/>
        <v>2091.5389999999998</v>
      </c>
      <c r="CZ383" s="33">
        <f t="shared" si="1250"/>
        <v>2378.375</v>
      </c>
      <c r="DA383" s="33">
        <f t="shared" si="1250"/>
        <v>2432.1999999999998</v>
      </c>
      <c r="DB383" s="103">
        <f t="shared" si="1250"/>
        <v>2432.1999999999998</v>
      </c>
      <c r="DC383" s="33">
        <f t="shared" si="1250"/>
        <v>2396.1030000000001</v>
      </c>
      <c r="DD383" s="33">
        <f t="shared" si="1250"/>
        <v>2209.1030000000001</v>
      </c>
      <c r="DE383" s="33">
        <f t="shared" si="1250"/>
        <v>2049.1030000000001</v>
      </c>
      <c r="DF383" s="33">
        <f t="shared" si="1250"/>
        <v>1942.1030000000001</v>
      </c>
      <c r="DG383" s="103">
        <f t="shared" si="1250"/>
        <v>1942.1030000000001</v>
      </c>
      <c r="DH383" s="33">
        <f t="shared" si="1250"/>
        <v>1893</v>
      </c>
      <c r="DI383" s="33">
        <f t="shared" si="1250"/>
        <v>2094</v>
      </c>
      <c r="DJ383" s="33">
        <f t="shared" si="1250"/>
        <v>2045</v>
      </c>
      <c r="DK383" s="33">
        <f t="shared" si="1250"/>
        <v>2038</v>
      </c>
      <c r="DL383" s="103">
        <f t="shared" si="1250"/>
        <v>2038</v>
      </c>
      <c r="DM383" s="103"/>
      <c r="DN383" s="103"/>
      <c r="DO383" s="103"/>
      <c r="DP383" s="535"/>
      <c r="DQ383" s="103">
        <f>DQ184</f>
        <v>2676</v>
      </c>
      <c r="DR383" s="550"/>
      <c r="DS383" s="103"/>
      <c r="DT383" s="103"/>
      <c r="DU383" s="103"/>
      <c r="DV383" s="103">
        <f>DV184</f>
        <v>3613</v>
      </c>
      <c r="DW383" s="550"/>
      <c r="DX383" s="103"/>
      <c r="DY383" s="103"/>
      <c r="DZ383" s="103"/>
      <c r="EA383" s="103">
        <f>EA184</f>
        <v>5210</v>
      </c>
      <c r="EB383" s="550"/>
      <c r="EC383" s="103"/>
      <c r="ED383" s="103"/>
      <c r="EE383" s="103"/>
      <c r="EF383" s="103">
        <f>EF184</f>
        <v>5410</v>
      </c>
      <c r="EG383" s="103"/>
      <c r="EH383" s="103"/>
      <c r="EI383" s="103"/>
      <c r="EJ383" s="103"/>
      <c r="EK383" s="103">
        <f>EK184</f>
        <v>4866</v>
      </c>
      <c r="EL383" s="103"/>
      <c r="EM383" s="103"/>
      <c r="EN383" s="103"/>
      <c r="EO383" s="103"/>
      <c r="EP383" s="103">
        <f>EP184</f>
        <v>4763</v>
      </c>
      <c r="EQ383" s="103"/>
      <c r="ER383" s="103"/>
      <c r="ES383" s="103"/>
      <c r="ET383" s="103"/>
      <c r="EU383" s="103">
        <f>EU184</f>
        <v>5007.1619320665632</v>
      </c>
      <c r="EV383" s="103"/>
      <c r="EW383" s="103"/>
      <c r="EX383" s="103"/>
      <c r="EY383" s="103"/>
      <c r="EZ383" s="103">
        <f t="shared" ref="EZ383" si="1251">EZ184</f>
        <v>5682.3304509762156</v>
      </c>
      <c r="FA383" s="103"/>
      <c r="FB383" s="103"/>
      <c r="FC383" s="103"/>
      <c r="FD383" s="103"/>
      <c r="FE383" s="103">
        <f>FE184</f>
        <v>6283.9140597754304</v>
      </c>
      <c r="FF383" s="40"/>
      <c r="FG383" s="190"/>
      <c r="FL383" s="406"/>
      <c r="FM383" s="406"/>
      <c r="FN383" s="368"/>
      <c r="FO383" s="368"/>
      <c r="FP383" s="368"/>
      <c r="FQ383" s="368"/>
      <c r="FR383" s="368"/>
      <c r="FS383" s="368"/>
      <c r="FT383" s="190"/>
    </row>
    <row r="384" spans="1:176" ht="12.75" hidden="1" customHeight="1" x14ac:dyDescent="0.2">
      <c r="A384" s="37" t="s">
        <v>130</v>
      </c>
      <c r="B384" s="184"/>
      <c r="C384" s="184"/>
      <c r="D384" s="184"/>
      <c r="E384" s="184"/>
      <c r="F384" s="279"/>
      <c r="G384" s="184"/>
      <c r="H384" s="184"/>
      <c r="I384" s="184"/>
      <c r="J384" s="184"/>
      <c r="K384" s="279"/>
      <c r="L384" s="184"/>
      <c r="M384" s="184"/>
      <c r="N384" s="184"/>
      <c r="O384" s="184"/>
      <c r="P384" s="279"/>
      <c r="Q384" s="184"/>
      <c r="R384" s="184"/>
      <c r="S384" s="184"/>
      <c r="T384" s="184"/>
      <c r="U384" s="279"/>
      <c r="V384" s="184"/>
      <c r="W384" s="184"/>
      <c r="X384" s="184"/>
      <c r="Y384" s="184"/>
      <c r="Z384" s="279"/>
      <c r="AA384" s="184"/>
      <c r="AB384" s="184"/>
      <c r="AC384" s="184"/>
      <c r="AD384" s="184"/>
      <c r="AE384" s="279"/>
      <c r="AF384" s="184"/>
      <c r="AG384" s="184"/>
      <c r="AH384" s="184"/>
      <c r="AI384" s="184"/>
      <c r="AJ384" s="279"/>
      <c r="AK384" s="184"/>
      <c r="AL384" s="184"/>
      <c r="AM384" s="184"/>
      <c r="AN384" s="184"/>
      <c r="AO384" s="279"/>
      <c r="AP384" s="184"/>
      <c r="AQ384" s="184"/>
      <c r="AR384" s="184"/>
      <c r="AS384" s="184"/>
      <c r="AT384" s="279"/>
      <c r="AU384" s="184"/>
      <c r="AV384" s="184"/>
      <c r="AW384" s="184"/>
      <c r="AX384" s="184"/>
      <c r="AY384" s="279"/>
      <c r="AZ384" s="184"/>
      <c r="BA384" s="184"/>
      <c r="BB384" s="184"/>
      <c r="BC384" s="184"/>
      <c r="BD384" s="279"/>
      <c r="BE384" s="184"/>
      <c r="BF384" s="184"/>
      <c r="BG384" s="184"/>
      <c r="BH384" s="184"/>
      <c r="BI384" s="279"/>
      <c r="BJ384" s="184"/>
      <c r="BK384" s="184"/>
      <c r="BL384" s="184"/>
      <c r="BM384" s="184"/>
      <c r="BN384" s="279"/>
      <c r="BO384" s="184"/>
      <c r="BP384" s="184"/>
      <c r="BQ384" s="184"/>
      <c r="BR384" s="184"/>
      <c r="BS384" s="279"/>
      <c r="BT384" s="184"/>
      <c r="BU384" s="184"/>
      <c r="BV384" s="184"/>
      <c r="BW384" s="184"/>
      <c r="BX384" s="279"/>
      <c r="BY384" s="184"/>
      <c r="BZ384" s="184"/>
      <c r="CA384" s="184"/>
      <c r="CB384" s="184"/>
      <c r="CC384" s="279"/>
      <c r="CD384" s="184"/>
      <c r="CE384" s="184"/>
      <c r="CF384" s="184"/>
      <c r="CG384" s="184"/>
      <c r="CH384" s="279"/>
      <c r="CI384" s="184"/>
      <c r="CJ384" s="184"/>
      <c r="CK384" s="184"/>
      <c r="CL384" s="184"/>
      <c r="CM384" s="279"/>
      <c r="CN384" s="184"/>
      <c r="CO384" s="184"/>
      <c r="CP384" s="184"/>
      <c r="CQ384" s="184"/>
      <c r="CR384" s="279"/>
      <c r="CS384" s="30"/>
      <c r="CT384" s="30"/>
      <c r="CU384" s="30"/>
      <c r="CV384" s="30"/>
      <c r="CW384" s="113"/>
      <c r="CX384" s="30"/>
      <c r="CY384" s="30"/>
      <c r="CZ384" s="30"/>
      <c r="DA384" s="30"/>
      <c r="DB384" s="113"/>
      <c r="DC384" s="30"/>
      <c r="DD384" s="30"/>
      <c r="DE384" s="30"/>
      <c r="DF384" s="30"/>
      <c r="DG384" s="113"/>
      <c r="DH384" s="30"/>
      <c r="DI384" s="30"/>
      <c r="DJ384" s="30"/>
      <c r="DK384" s="30"/>
      <c r="DL384" s="113"/>
      <c r="DM384" s="113"/>
      <c r="DN384" s="113"/>
      <c r="DO384" s="113"/>
      <c r="DP384" s="534"/>
      <c r="DQ384" s="113"/>
      <c r="DR384" s="552"/>
      <c r="DS384" s="113"/>
      <c r="DT384" s="113"/>
      <c r="DU384" s="113"/>
      <c r="DV384" s="113"/>
      <c r="DW384" s="552"/>
      <c r="DX384" s="113"/>
      <c r="DY384" s="113"/>
      <c r="DZ384" s="113"/>
      <c r="EA384" s="113"/>
      <c r="EB384" s="552"/>
      <c r="EC384" s="113"/>
      <c r="ED384" s="113"/>
      <c r="EE384" s="113"/>
      <c r="EF384" s="113"/>
      <c r="EG384" s="113"/>
      <c r="EH384" s="113"/>
      <c r="EI384" s="113"/>
      <c r="EJ384" s="113"/>
      <c r="EK384" s="113"/>
      <c r="EL384" s="113"/>
      <c r="EM384" s="113"/>
      <c r="EN384" s="113"/>
      <c r="EO384" s="113"/>
      <c r="EP384" s="113"/>
      <c r="EQ384" s="113"/>
      <c r="ER384" s="113"/>
      <c r="ES384" s="113"/>
      <c r="ET384" s="113"/>
      <c r="EU384" s="113"/>
      <c r="EV384" s="113"/>
      <c r="EW384" s="113"/>
      <c r="EX384" s="113"/>
      <c r="EY384" s="113"/>
      <c r="EZ384" s="113"/>
      <c r="FA384" s="113"/>
      <c r="FB384" s="113"/>
      <c r="FC384" s="113"/>
      <c r="FD384" s="113"/>
      <c r="FE384" s="113"/>
      <c r="FF384" s="40"/>
      <c r="FG384" s="190"/>
      <c r="FL384" s="406"/>
      <c r="FM384" s="406"/>
      <c r="FN384" s="368"/>
      <c r="FO384" s="368"/>
      <c r="FP384" s="368"/>
      <c r="FQ384" s="368"/>
      <c r="FR384" s="368"/>
      <c r="FS384" s="368"/>
      <c r="FT384" s="190"/>
    </row>
    <row r="385" spans="1:176" ht="12.75" hidden="1" customHeight="1" x14ac:dyDescent="0.2">
      <c r="A385" s="56" t="s">
        <v>407</v>
      </c>
      <c r="B385" s="184"/>
      <c r="C385" s="184"/>
      <c r="D385" s="184"/>
      <c r="E385" s="184"/>
      <c r="F385" s="279"/>
      <c r="G385" s="184"/>
      <c r="H385" s="184"/>
      <c r="I385" s="184"/>
      <c r="J385" s="184"/>
      <c r="K385" s="279"/>
      <c r="L385" s="184"/>
      <c r="M385" s="184"/>
      <c r="N385" s="184"/>
      <c r="O385" s="184"/>
      <c r="P385" s="279"/>
      <c r="Q385" s="184"/>
      <c r="R385" s="184"/>
      <c r="S385" s="184"/>
      <c r="T385" s="184"/>
      <c r="U385" s="279"/>
      <c r="V385" s="184"/>
      <c r="W385" s="184"/>
      <c r="X385" s="184"/>
      <c r="Y385" s="184"/>
      <c r="Z385" s="279"/>
      <c r="AA385" s="184"/>
      <c r="AB385" s="184"/>
      <c r="AC385" s="184"/>
      <c r="AD385" s="184"/>
      <c r="AE385" s="279"/>
      <c r="AF385" s="184"/>
      <c r="AG385" s="184"/>
      <c r="AH385" s="184"/>
      <c r="AI385" s="184"/>
      <c r="AJ385" s="279"/>
      <c r="AK385" s="184"/>
      <c r="AL385" s="184"/>
      <c r="AM385" s="184"/>
      <c r="AN385" s="184"/>
      <c r="AO385" s="279"/>
      <c r="AP385" s="184"/>
      <c r="AQ385" s="184"/>
      <c r="AR385" s="184"/>
      <c r="AS385" s="184"/>
      <c r="AT385" s="279"/>
      <c r="AU385" s="184"/>
      <c r="AV385" s="184"/>
      <c r="AW385" s="184"/>
      <c r="AX385" s="184"/>
      <c r="AY385" s="279"/>
      <c r="AZ385" s="184"/>
      <c r="BA385" s="184"/>
      <c r="BB385" s="184"/>
      <c r="BC385" s="184"/>
      <c r="BD385" s="279"/>
      <c r="BE385" s="184"/>
      <c r="BF385" s="184"/>
      <c r="BG385" s="184"/>
      <c r="BH385" s="184"/>
      <c r="BI385" s="279"/>
      <c r="BJ385" s="184"/>
      <c r="BK385" s="184"/>
      <c r="BL385" s="184"/>
      <c r="BM385" s="184"/>
      <c r="BN385" s="279"/>
      <c r="BO385" s="184"/>
      <c r="BP385" s="184"/>
      <c r="BQ385" s="184"/>
      <c r="BR385" s="184"/>
      <c r="BS385" s="279"/>
      <c r="BT385" s="184"/>
      <c r="BU385" s="184"/>
      <c r="BV385" s="184"/>
      <c r="BW385" s="184"/>
      <c r="BX385" s="279"/>
      <c r="BY385" s="184"/>
      <c r="BZ385" s="184"/>
      <c r="CA385" s="184"/>
      <c r="CB385" s="184"/>
      <c r="CC385" s="279"/>
      <c r="CD385" s="184"/>
      <c r="CE385" s="184"/>
      <c r="CF385" s="184"/>
      <c r="CG385" s="184"/>
      <c r="CH385" s="279"/>
      <c r="CI385" s="184"/>
      <c r="CJ385" s="184"/>
      <c r="CK385" s="184"/>
      <c r="CL385" s="184"/>
      <c r="CM385" s="279"/>
      <c r="CN385" s="184"/>
      <c r="CO385" s="184"/>
      <c r="CP385" s="184"/>
      <c r="CQ385" s="184"/>
      <c r="CR385" s="279"/>
      <c r="CS385" s="30"/>
      <c r="CT385" s="30"/>
      <c r="CU385" s="30"/>
      <c r="CV385" s="30"/>
      <c r="CW385" s="113"/>
      <c r="CX385" s="30"/>
      <c r="CY385" s="30"/>
      <c r="CZ385" s="30"/>
      <c r="DA385" s="30"/>
      <c r="DB385" s="113"/>
      <c r="DC385" s="30"/>
      <c r="DD385" s="30"/>
      <c r="DE385" s="30"/>
      <c r="DF385" s="30"/>
      <c r="DG385" s="113"/>
      <c r="DH385" s="30"/>
      <c r="DI385" s="30"/>
      <c r="DJ385" s="30"/>
      <c r="DK385" s="30"/>
      <c r="DL385" s="113"/>
      <c r="DM385" s="113"/>
      <c r="DN385" s="113"/>
      <c r="DO385" s="113"/>
      <c r="DP385" s="534"/>
      <c r="DQ385" s="113"/>
      <c r="DR385" s="552"/>
      <c r="DS385" s="113"/>
      <c r="DT385" s="113"/>
      <c r="DU385" s="113"/>
      <c r="DV385" s="113"/>
      <c r="DW385" s="552"/>
      <c r="DX385" s="113"/>
      <c r="DY385" s="113"/>
      <c r="DZ385" s="113"/>
      <c r="EA385" s="113"/>
      <c r="EB385" s="552"/>
      <c r="EC385" s="113"/>
      <c r="ED385" s="113"/>
      <c r="EE385" s="113"/>
      <c r="EF385" s="113"/>
      <c r="EG385" s="113"/>
      <c r="EH385" s="113"/>
      <c r="EI385" s="113"/>
      <c r="EJ385" s="113"/>
      <c r="EK385" s="113"/>
      <c r="EL385" s="113"/>
      <c r="EM385" s="113"/>
      <c r="EN385" s="113"/>
      <c r="EO385" s="113"/>
      <c r="EP385" s="113"/>
      <c r="EQ385" s="113"/>
      <c r="ER385" s="113"/>
      <c r="ES385" s="113"/>
      <c r="ET385" s="113"/>
      <c r="EU385" s="113"/>
      <c r="EV385" s="113"/>
      <c r="EW385" s="113"/>
      <c r="EX385" s="113"/>
      <c r="EY385" s="113"/>
      <c r="EZ385" s="113"/>
      <c r="FA385" s="113"/>
      <c r="FB385" s="113"/>
      <c r="FC385" s="113"/>
      <c r="FD385" s="113"/>
      <c r="FE385" s="113"/>
      <c r="FF385" s="40"/>
      <c r="FG385" s="190"/>
      <c r="FL385" s="406"/>
      <c r="FM385" s="406"/>
      <c r="FN385" s="368"/>
      <c r="FO385" s="368"/>
      <c r="FP385" s="368"/>
      <c r="FQ385" s="368"/>
      <c r="FR385" s="368"/>
      <c r="FS385" s="368"/>
      <c r="FT385" s="190"/>
    </row>
    <row r="386" spans="1:176" ht="12.75" hidden="1" customHeight="1" x14ac:dyDescent="0.2">
      <c r="A386" s="34" t="s">
        <v>436</v>
      </c>
      <c r="B386" s="184"/>
      <c r="C386" s="184"/>
      <c r="D386" s="184"/>
      <c r="E386" s="184"/>
      <c r="F386" s="279"/>
      <c r="G386" s="184"/>
      <c r="H386" s="184"/>
      <c r="I386" s="184"/>
      <c r="J386" s="184"/>
      <c r="K386" s="279"/>
      <c r="L386" s="184"/>
      <c r="M386" s="184"/>
      <c r="N386" s="184"/>
      <c r="O386" s="184"/>
      <c r="P386" s="279"/>
      <c r="Q386" s="184"/>
      <c r="R386" s="184"/>
      <c r="S386" s="184"/>
      <c r="T386" s="184"/>
      <c r="U386" s="279"/>
      <c r="V386" s="184"/>
      <c r="W386" s="184"/>
      <c r="X386" s="184"/>
      <c r="Y386" s="184"/>
      <c r="Z386" s="279"/>
      <c r="AA386" s="184"/>
      <c r="AB386" s="184"/>
      <c r="AC386" s="184"/>
      <c r="AD386" s="184"/>
      <c r="AE386" s="279"/>
      <c r="AF386" s="184"/>
      <c r="AG386" s="184"/>
      <c r="AH386" s="184"/>
      <c r="AI386" s="184"/>
      <c r="AJ386" s="279"/>
      <c r="AK386" s="184"/>
      <c r="AL386" s="184"/>
      <c r="AM386" s="184"/>
      <c r="AN386" s="184"/>
      <c r="AO386" s="279"/>
      <c r="AP386" s="184"/>
      <c r="AQ386" s="184"/>
      <c r="AR386" s="184"/>
      <c r="AS386" s="184"/>
      <c r="AT386" s="279"/>
      <c r="AU386" s="184"/>
      <c r="AV386" s="184"/>
      <c r="AW386" s="184"/>
      <c r="AX386" s="184"/>
      <c r="AY386" s="279"/>
      <c r="AZ386" s="184"/>
      <c r="BA386" s="184"/>
      <c r="BB386" s="184"/>
      <c r="BC386" s="184"/>
      <c r="BD386" s="279"/>
      <c r="BE386" s="184"/>
      <c r="BF386" s="184"/>
      <c r="BG386" s="184"/>
      <c r="BH386" s="184"/>
      <c r="BI386" s="279"/>
      <c r="BJ386" s="184"/>
      <c r="BK386" s="184"/>
      <c r="BL386" s="184"/>
      <c r="BM386" s="184"/>
      <c r="BN386" s="279"/>
      <c r="BO386" s="184"/>
      <c r="BP386" s="184"/>
      <c r="BQ386" s="184"/>
      <c r="BR386" s="184"/>
      <c r="BS386" s="279"/>
      <c r="BT386" s="184"/>
      <c r="BU386" s="184"/>
      <c r="BV386" s="184"/>
      <c r="BW386" s="184"/>
      <c r="BX386" s="279"/>
      <c r="BY386" s="184"/>
      <c r="BZ386" s="184"/>
      <c r="CA386" s="184"/>
      <c r="CB386" s="184"/>
      <c r="CC386" s="279"/>
      <c r="CD386" s="184"/>
      <c r="CE386" s="184"/>
      <c r="CF386" s="184"/>
      <c r="CG386" s="184"/>
      <c r="CH386" s="279"/>
      <c r="CI386" s="184"/>
      <c r="CJ386" s="184"/>
      <c r="CK386" s="184"/>
      <c r="CL386" s="184"/>
      <c r="CM386" s="279"/>
      <c r="CN386" s="184"/>
      <c r="CO386" s="184"/>
      <c r="CP386" s="184"/>
      <c r="CQ386" s="184"/>
      <c r="CR386" s="279"/>
      <c r="CS386" s="34">
        <f>CS365/CW377</f>
        <v>8.9129697085754602E-3</v>
      </c>
      <c r="CT386" s="34">
        <f>CT365/CW377</f>
        <v>9.4761905432405764E-3</v>
      </c>
      <c r="CU386" s="34" t="e">
        <f ca="1">CU365/DB377</f>
        <v>#NAME?</v>
      </c>
      <c r="CV386" s="34">
        <f>CV365/DB377</f>
        <v>8.6540820313091536E-3</v>
      </c>
      <c r="CW386" s="105">
        <f>CW365/DB377</f>
        <v>8.6540820313091536E-3</v>
      </c>
      <c r="CX386" s="34">
        <f>CX365/DB377</f>
        <v>1.0009358219939372E-2</v>
      </c>
      <c r="CY386" s="34">
        <f>CY365/DB377</f>
        <v>8.4117980199339189E-3</v>
      </c>
      <c r="CZ386" s="34">
        <f>CZ365/DG377</f>
        <v>1.5953187708111594E-2</v>
      </c>
      <c r="DA386" s="34">
        <f>DA365/DG377</f>
        <v>1.5843334081965452E-2</v>
      </c>
      <c r="DB386" s="105">
        <f>DB365/DG377</f>
        <v>1.5843334081965452E-2</v>
      </c>
      <c r="DC386" s="34">
        <f>DC365/DG377</f>
        <v>1.5416125535841579E-2</v>
      </c>
      <c r="DD386" s="34">
        <f>DD365/DG377</f>
        <v>1.3939204562099036E-2</v>
      </c>
      <c r="DE386" s="34">
        <f>DE365/DL377</f>
        <v>1.3611442193087008E-2</v>
      </c>
      <c r="DF386" s="34">
        <f>DF365/DL377</f>
        <v>1.3611442193087008E-2</v>
      </c>
      <c r="DG386" s="105">
        <f>DG365/DL377</f>
        <v>1.3611442193087008E-2</v>
      </c>
      <c r="DH386" s="34" t="e">
        <f>DH365/FF377</f>
        <v>#DIV/0!</v>
      </c>
      <c r="DI386" s="34" t="e">
        <f>DI365/FG377</f>
        <v>#DIV/0!</v>
      </c>
      <c r="DJ386" s="34" t="e">
        <f>DJ365/FH377</f>
        <v>#DIV/0!</v>
      </c>
      <c r="DK386" s="34" t="e">
        <f>DK365/FI377</f>
        <v>#DIV/0!</v>
      </c>
      <c r="DL386" s="105">
        <f>DL365/DQ377</f>
        <v>7.8867403314917123E-3</v>
      </c>
      <c r="DM386" s="105"/>
      <c r="DN386" s="105"/>
      <c r="DO386" s="105"/>
      <c r="DP386" s="537"/>
      <c r="DQ386" s="105"/>
      <c r="DR386" s="547"/>
      <c r="DS386" s="105"/>
      <c r="DT386" s="105"/>
      <c r="DU386" s="105"/>
      <c r="DV386" s="105"/>
      <c r="DW386" s="547"/>
      <c r="DX386" s="105"/>
      <c r="DY386" s="105"/>
      <c r="DZ386" s="105"/>
      <c r="EA386" s="105"/>
      <c r="EB386" s="547"/>
      <c r="EC386" s="105"/>
      <c r="ED386" s="105"/>
      <c r="EE386" s="105"/>
      <c r="EF386" s="105"/>
      <c r="EG386" s="105"/>
      <c r="EH386" s="105"/>
      <c r="EI386" s="105"/>
      <c r="EJ386" s="105"/>
      <c r="EK386" s="105"/>
      <c r="EL386" s="105"/>
      <c r="EM386" s="105"/>
      <c r="EN386" s="105"/>
      <c r="EO386" s="105"/>
      <c r="EP386" s="105"/>
      <c r="EQ386" s="105"/>
      <c r="ER386" s="105"/>
      <c r="ES386" s="105"/>
      <c r="ET386" s="105"/>
      <c r="EU386" s="105"/>
      <c r="EV386" s="105"/>
      <c r="EW386" s="105"/>
      <c r="EX386" s="105"/>
      <c r="EY386" s="105"/>
      <c r="EZ386" s="105"/>
      <c r="FA386" s="105"/>
      <c r="FB386" s="105"/>
      <c r="FC386" s="105"/>
      <c r="FD386" s="105"/>
      <c r="FE386" s="105"/>
      <c r="FF386" s="40"/>
      <c r="FG386" s="190"/>
      <c r="FL386" s="406"/>
      <c r="FM386" s="406"/>
      <c r="FN386" s="368"/>
      <c r="FO386" s="368"/>
      <c r="FP386" s="368"/>
      <c r="FQ386" s="368"/>
      <c r="FR386" s="368"/>
      <c r="FS386" s="368"/>
      <c r="FT386" s="190"/>
    </row>
    <row r="387" spans="1:176" ht="12.75" hidden="1" customHeight="1" x14ac:dyDescent="0.2">
      <c r="A387" s="34" t="s">
        <v>345</v>
      </c>
      <c r="B387" s="184"/>
      <c r="C387" s="184"/>
      <c r="D387" s="184"/>
      <c r="E387" s="184"/>
      <c r="F387" s="279"/>
      <c r="G387" s="184"/>
      <c r="H387" s="184"/>
      <c r="I387" s="184"/>
      <c r="J387" s="184"/>
      <c r="K387" s="279"/>
      <c r="L387" s="184"/>
      <c r="M387" s="184"/>
      <c r="N387" s="184"/>
      <c r="O387" s="184"/>
      <c r="P387" s="279"/>
      <c r="Q387" s="184"/>
      <c r="R387" s="184"/>
      <c r="S387" s="184"/>
      <c r="T387" s="184"/>
      <c r="U387" s="279"/>
      <c r="V387" s="184"/>
      <c r="W387" s="184"/>
      <c r="X387" s="184"/>
      <c r="Y387" s="184"/>
      <c r="Z387" s="279"/>
      <c r="AA387" s="184"/>
      <c r="AB387" s="184"/>
      <c r="AC387" s="184"/>
      <c r="AD387" s="184"/>
      <c r="AE387" s="279"/>
      <c r="AF387" s="184"/>
      <c r="AG387" s="184"/>
      <c r="AH387" s="184"/>
      <c r="AI387" s="184"/>
      <c r="AJ387" s="279"/>
      <c r="AK387" s="184"/>
      <c r="AL387" s="184"/>
      <c r="AM387" s="184"/>
      <c r="AN387" s="184"/>
      <c r="AO387" s="279"/>
      <c r="AP387" s="184"/>
      <c r="AQ387" s="184"/>
      <c r="AR387" s="184"/>
      <c r="AS387" s="184"/>
      <c r="AT387" s="279"/>
      <c r="AU387" s="184"/>
      <c r="AV387" s="184"/>
      <c r="AW387" s="184"/>
      <c r="AX387" s="184"/>
      <c r="AY387" s="279"/>
      <c r="AZ387" s="184"/>
      <c r="BA387" s="184"/>
      <c r="BB387" s="184"/>
      <c r="BC387" s="184"/>
      <c r="BD387" s="279"/>
      <c r="BE387" s="184"/>
      <c r="BF387" s="184"/>
      <c r="BG387" s="184"/>
      <c r="BH387" s="184"/>
      <c r="BI387" s="279"/>
      <c r="BJ387" s="184"/>
      <c r="BK387" s="184"/>
      <c r="BL387" s="184"/>
      <c r="BM387" s="184"/>
      <c r="BN387" s="279"/>
      <c r="BO387" s="184"/>
      <c r="BP387" s="184"/>
      <c r="BQ387" s="184"/>
      <c r="BR387" s="184"/>
      <c r="BS387" s="279"/>
      <c r="BT387" s="184"/>
      <c r="BU387" s="184"/>
      <c r="BV387" s="184"/>
      <c r="BW387" s="184"/>
      <c r="BX387" s="279"/>
      <c r="BY387" s="184"/>
      <c r="BZ387" s="184"/>
      <c r="CA387" s="184"/>
      <c r="CB387" s="184"/>
      <c r="CC387" s="279"/>
      <c r="CD387" s="184"/>
      <c r="CE387" s="184"/>
      <c r="CF387" s="184"/>
      <c r="CG387" s="184"/>
      <c r="CH387" s="279"/>
      <c r="CI387" s="184"/>
      <c r="CJ387" s="184"/>
      <c r="CK387" s="184"/>
      <c r="CL387" s="184"/>
      <c r="CM387" s="279"/>
      <c r="CN387" s="184"/>
      <c r="CO387" s="184"/>
      <c r="CP387" s="184"/>
      <c r="CQ387" s="184"/>
      <c r="CR387" s="279"/>
      <c r="CS387" s="34">
        <f>CS365/CW379</f>
        <v>1.9459559162593378E-2</v>
      </c>
      <c r="CT387" s="34">
        <f>CT365/CW379</f>
        <v>2.0689231147591379E-2</v>
      </c>
      <c r="CU387" s="34" t="e">
        <f ca="1">CU365/DB379</f>
        <v>#NAME?</v>
      </c>
      <c r="CV387" s="34">
        <f>CV365/DB379</f>
        <v>1.2101448891759266E-2</v>
      </c>
      <c r="CW387" s="105">
        <f>CW365/DB379</f>
        <v>1.2101448891759266E-2</v>
      </c>
      <c r="CX387" s="34">
        <f>CX365/DB379</f>
        <v>1.3996601430363737E-2</v>
      </c>
      <c r="CY387" s="34">
        <f>CY365/DB379</f>
        <v>1.1762650672567406E-2</v>
      </c>
      <c r="CZ387" s="34">
        <f>CZ365/DG379</f>
        <v>2.5378295828988734E-2</v>
      </c>
      <c r="DA387" s="34">
        <f>DA365/DG379</f>
        <v>2.5203540922744742E-2</v>
      </c>
      <c r="DB387" s="105">
        <f>DB365/DG379</f>
        <v>2.5203540922744742E-2</v>
      </c>
      <c r="DC387" s="34">
        <f>DC365/DG379</f>
        <v>2.452393850957366E-2</v>
      </c>
      <c r="DD387" s="34">
        <f>DD365/DG379</f>
        <v>2.2174455881182199E-2</v>
      </c>
      <c r="DE387" s="34">
        <f>DE365/DL379</f>
        <v>1.6818851251840943E-2</v>
      </c>
      <c r="DF387" s="34">
        <f>DF365/DL379</f>
        <v>1.6818851251840943E-2</v>
      </c>
      <c r="DG387" s="105">
        <f>DG365/DL379</f>
        <v>1.6818851251840943E-2</v>
      </c>
      <c r="DH387" s="34" t="e">
        <f>DH365/FF379</f>
        <v>#DIV/0!</v>
      </c>
      <c r="DI387" s="34" t="e">
        <f>DI365/FG379</f>
        <v>#DIV/0!</v>
      </c>
      <c r="DJ387" s="34" t="e">
        <f>DJ365/FH379</f>
        <v>#DIV/0!</v>
      </c>
      <c r="DK387" s="34" t="e">
        <f>DK365/FI379</f>
        <v>#DIV/0!</v>
      </c>
      <c r="DL387" s="105">
        <f>DL365/DQ379</f>
        <v>8.8458559256390391E-3</v>
      </c>
      <c r="DM387" s="105"/>
      <c r="DN387" s="105"/>
      <c r="DO387" s="105"/>
      <c r="DP387" s="537"/>
      <c r="DQ387" s="105"/>
      <c r="DR387" s="547"/>
      <c r="DS387" s="105"/>
      <c r="DT387" s="105"/>
      <c r="DU387" s="105"/>
      <c r="DV387" s="105"/>
      <c r="DW387" s="547"/>
      <c r="DX387" s="105"/>
      <c r="DY387" s="105"/>
      <c r="DZ387" s="105"/>
      <c r="EA387" s="105"/>
      <c r="EB387" s="547"/>
      <c r="EC387" s="105"/>
      <c r="ED387" s="105"/>
      <c r="EE387" s="105"/>
      <c r="EF387" s="105"/>
      <c r="EG387" s="105"/>
      <c r="EH387" s="105"/>
      <c r="EI387" s="105"/>
      <c r="EJ387" s="105"/>
      <c r="EK387" s="105"/>
      <c r="EL387" s="105"/>
      <c r="EM387" s="105"/>
      <c r="EN387" s="105"/>
      <c r="EO387" s="105"/>
      <c r="EP387" s="105"/>
      <c r="EQ387" s="105"/>
      <c r="ER387" s="105"/>
      <c r="ES387" s="105"/>
      <c r="ET387" s="105"/>
      <c r="EU387" s="105"/>
      <c r="EV387" s="105"/>
      <c r="EW387" s="105"/>
      <c r="EX387" s="105"/>
      <c r="EY387" s="105"/>
      <c r="EZ387" s="105"/>
      <c r="FA387" s="105"/>
      <c r="FB387" s="105"/>
      <c r="FC387" s="105"/>
      <c r="FD387" s="105"/>
      <c r="FE387" s="105"/>
      <c r="FF387" s="40"/>
      <c r="FG387" s="190"/>
      <c r="FL387" s="406"/>
      <c r="FM387" s="406"/>
      <c r="FN387" s="368"/>
      <c r="FO387" s="368"/>
      <c r="FP387" s="368"/>
      <c r="FQ387" s="368"/>
      <c r="FR387" s="368"/>
      <c r="FS387" s="368"/>
      <c r="FT387" s="190"/>
    </row>
    <row r="388" spans="1:176" ht="12.75" hidden="1" customHeight="1" x14ac:dyDescent="0.2">
      <c r="A388" s="34" t="s">
        <v>346</v>
      </c>
      <c r="B388" s="184"/>
      <c r="C388" s="184"/>
      <c r="D388" s="184"/>
      <c r="E388" s="184"/>
      <c r="F388" s="279"/>
      <c r="G388" s="184"/>
      <c r="H388" s="184"/>
      <c r="I388" s="184"/>
      <c r="J388" s="184"/>
      <c r="K388" s="279"/>
      <c r="L388" s="184"/>
      <c r="M388" s="184"/>
      <c r="N388" s="184"/>
      <c r="O388" s="184"/>
      <c r="P388" s="279"/>
      <c r="Q388" s="184"/>
      <c r="R388" s="184"/>
      <c r="S388" s="184"/>
      <c r="T388" s="184"/>
      <c r="U388" s="279"/>
      <c r="V388" s="184"/>
      <c r="W388" s="184"/>
      <c r="X388" s="184"/>
      <c r="Y388" s="184"/>
      <c r="Z388" s="279"/>
      <c r="AA388" s="184"/>
      <c r="AB388" s="184"/>
      <c r="AC388" s="184"/>
      <c r="AD388" s="184"/>
      <c r="AE388" s="279"/>
      <c r="AF388" s="184"/>
      <c r="AG388" s="184"/>
      <c r="AH388" s="184"/>
      <c r="AI388" s="184"/>
      <c r="AJ388" s="279"/>
      <c r="AK388" s="184"/>
      <c r="AL388" s="184"/>
      <c r="AM388" s="184"/>
      <c r="AN388" s="184"/>
      <c r="AO388" s="279"/>
      <c r="AP388" s="184"/>
      <c r="AQ388" s="184"/>
      <c r="AR388" s="184"/>
      <c r="AS388" s="184"/>
      <c r="AT388" s="279"/>
      <c r="AU388" s="184"/>
      <c r="AV388" s="184"/>
      <c r="AW388" s="184"/>
      <c r="AX388" s="184"/>
      <c r="AY388" s="279"/>
      <c r="AZ388" s="184"/>
      <c r="BA388" s="184"/>
      <c r="BB388" s="184"/>
      <c r="BC388" s="184"/>
      <c r="BD388" s="279"/>
      <c r="BE388" s="184"/>
      <c r="BF388" s="184"/>
      <c r="BG388" s="184"/>
      <c r="BH388" s="184"/>
      <c r="BI388" s="279"/>
      <c r="BJ388" s="184"/>
      <c r="BK388" s="184"/>
      <c r="BL388" s="184"/>
      <c r="BM388" s="184"/>
      <c r="BN388" s="279"/>
      <c r="BO388" s="184"/>
      <c r="BP388" s="184"/>
      <c r="BQ388" s="184"/>
      <c r="BR388" s="184"/>
      <c r="BS388" s="279"/>
      <c r="BT388" s="184"/>
      <c r="BU388" s="184"/>
      <c r="BV388" s="184"/>
      <c r="BW388" s="184"/>
      <c r="BX388" s="279"/>
      <c r="BY388" s="184"/>
      <c r="BZ388" s="184"/>
      <c r="CA388" s="184"/>
      <c r="CB388" s="184"/>
      <c r="CC388" s="279"/>
      <c r="CD388" s="184"/>
      <c r="CE388" s="184"/>
      <c r="CF388" s="184"/>
      <c r="CG388" s="184"/>
      <c r="CH388" s="279"/>
      <c r="CI388" s="184"/>
      <c r="CJ388" s="184"/>
      <c r="CK388" s="184"/>
      <c r="CL388" s="184"/>
      <c r="CM388" s="279"/>
      <c r="CN388" s="184"/>
      <c r="CO388" s="184"/>
      <c r="CP388" s="184"/>
      <c r="CQ388" s="184"/>
      <c r="CR388" s="279"/>
      <c r="CS388" s="34">
        <f>CS365/CW381</f>
        <v>22.202444070467866</v>
      </c>
      <c r="CT388" s="34">
        <f>CT365/CW381</f>
        <v>23.605442115995064</v>
      </c>
      <c r="CU388" s="34" t="e">
        <f ca="1">CU365/DB381</f>
        <v>#NAME?</v>
      </c>
      <c r="CV388" s="34">
        <f>CV365/DB381</f>
        <v>15.828207236086863</v>
      </c>
      <c r="CW388" s="105">
        <f>CW365/DB381</f>
        <v>15.828207236086863</v>
      </c>
      <c r="CX388" s="34">
        <f>CX365/DB381</f>
        <v>18.306990346550162</v>
      </c>
      <c r="CY388" s="34">
        <f>CY365/DB381</f>
        <v>15.385072825277781</v>
      </c>
      <c r="CZ388" s="34">
        <f>CZ365/DG381</f>
        <v>32.997381223885959</v>
      </c>
      <c r="DA388" s="34">
        <f>DA365/DG381</f>
        <v>32.770161307271593</v>
      </c>
      <c r="DB388" s="105">
        <f>DB365/DG381</f>
        <v>32.770161307271593</v>
      </c>
      <c r="DC388" s="34">
        <f>DC365/DG381</f>
        <v>31.886528298215737</v>
      </c>
      <c r="DD388" s="34">
        <f>DD365/DG381</f>
        <v>28.831682752622619</v>
      </c>
      <c r="DE388" s="34">
        <f>DE365/DL381</f>
        <v>20.474428571428572</v>
      </c>
      <c r="DF388" s="34">
        <f>DF365/DL381</f>
        <v>20.474428571428572</v>
      </c>
      <c r="DG388" s="105">
        <f>DG365/DL381</f>
        <v>20.474428571428572</v>
      </c>
      <c r="DH388" s="34" t="e">
        <f>DH365/FF381</f>
        <v>#DIV/0!</v>
      </c>
      <c r="DI388" s="34" t="e">
        <f>DI365/FG381</f>
        <v>#DIV/0!</v>
      </c>
      <c r="DJ388" s="34" t="e">
        <f>DJ365/FH381</f>
        <v>#DIV/0!</v>
      </c>
      <c r="DK388" s="34" t="e">
        <f>DK365/FI381</f>
        <v>#DIV/0!</v>
      </c>
      <c r="DL388" s="105">
        <f>DL365/DQ381</f>
        <v>10.160545229244114</v>
      </c>
      <c r="DM388" s="105"/>
      <c r="DN388" s="105"/>
      <c r="DO388" s="105"/>
      <c r="DP388" s="537"/>
      <c r="DQ388" s="105"/>
      <c r="DR388" s="547"/>
      <c r="DS388" s="105"/>
      <c r="DT388" s="105"/>
      <c r="DU388" s="105"/>
      <c r="DV388" s="105"/>
      <c r="DW388" s="547"/>
      <c r="DX388" s="105"/>
      <c r="DY388" s="105"/>
      <c r="DZ388" s="105"/>
      <c r="EA388" s="105"/>
      <c r="EB388" s="547"/>
      <c r="EC388" s="105"/>
      <c r="ED388" s="105"/>
      <c r="EE388" s="105"/>
      <c r="EF388" s="105"/>
      <c r="EG388" s="105"/>
      <c r="EH388" s="105"/>
      <c r="EI388" s="105"/>
      <c r="EJ388" s="105"/>
      <c r="EK388" s="105"/>
      <c r="EL388" s="105"/>
      <c r="EM388" s="105"/>
      <c r="EN388" s="105"/>
      <c r="EO388" s="105"/>
      <c r="EP388" s="105"/>
      <c r="EQ388" s="105"/>
      <c r="ER388" s="105"/>
      <c r="ES388" s="105"/>
      <c r="ET388" s="105"/>
      <c r="EU388" s="105"/>
      <c r="EV388" s="105"/>
      <c r="EW388" s="105"/>
      <c r="EX388" s="105"/>
      <c r="EY388" s="105"/>
      <c r="EZ388" s="105"/>
      <c r="FA388" s="105"/>
      <c r="FB388" s="105"/>
      <c r="FC388" s="105"/>
      <c r="FD388" s="105"/>
      <c r="FE388" s="105"/>
      <c r="FF388" s="40"/>
      <c r="FG388" s="190"/>
      <c r="FL388" s="406"/>
      <c r="FM388" s="406"/>
      <c r="FN388" s="368"/>
      <c r="FO388" s="368"/>
      <c r="FP388" s="368"/>
      <c r="FQ388" s="368"/>
      <c r="FR388" s="368"/>
      <c r="FS388" s="368"/>
      <c r="FT388" s="190"/>
    </row>
    <row r="389" spans="1:176" ht="12.75" hidden="1" customHeight="1" x14ac:dyDescent="0.2">
      <c r="A389" s="56" t="s">
        <v>136</v>
      </c>
      <c r="B389" s="184"/>
      <c r="C389" s="184"/>
      <c r="D389" s="184"/>
      <c r="E389" s="184"/>
      <c r="F389" s="279"/>
      <c r="G389" s="184"/>
      <c r="H389" s="184"/>
      <c r="I389" s="184"/>
      <c r="J389" s="184"/>
      <c r="K389" s="279"/>
      <c r="L389" s="184"/>
      <c r="M389" s="184"/>
      <c r="N389" s="184"/>
      <c r="O389" s="184"/>
      <c r="P389" s="279"/>
      <c r="Q389" s="184"/>
      <c r="R389" s="184"/>
      <c r="S389" s="184"/>
      <c r="T389" s="184"/>
      <c r="U389" s="279"/>
      <c r="V389" s="184"/>
      <c r="W389" s="184"/>
      <c r="X389" s="184"/>
      <c r="Y389" s="184"/>
      <c r="Z389" s="279"/>
      <c r="AA389" s="184"/>
      <c r="AB389" s="184"/>
      <c r="AC389" s="184"/>
      <c r="AD389" s="184"/>
      <c r="AE389" s="279"/>
      <c r="AF389" s="184"/>
      <c r="AG389" s="184"/>
      <c r="AH389" s="184"/>
      <c r="AI389" s="184"/>
      <c r="AJ389" s="279"/>
      <c r="AK389" s="184"/>
      <c r="AL389" s="184"/>
      <c r="AM389" s="184"/>
      <c r="AN389" s="184"/>
      <c r="AO389" s="279"/>
      <c r="AP389" s="184"/>
      <c r="AQ389" s="184"/>
      <c r="AR389" s="184"/>
      <c r="AS389" s="184"/>
      <c r="AT389" s="279"/>
      <c r="AU389" s="184"/>
      <c r="AV389" s="184"/>
      <c r="AW389" s="184"/>
      <c r="AX389" s="184"/>
      <c r="AY389" s="279"/>
      <c r="AZ389" s="184"/>
      <c r="BA389" s="184"/>
      <c r="BB389" s="184"/>
      <c r="BC389" s="184"/>
      <c r="BD389" s="279"/>
      <c r="BE389" s="184"/>
      <c r="BF389" s="184"/>
      <c r="BG389" s="184"/>
      <c r="BH389" s="184"/>
      <c r="BI389" s="279"/>
      <c r="BJ389" s="184"/>
      <c r="BK389" s="184"/>
      <c r="BL389" s="184"/>
      <c r="BM389" s="184"/>
      <c r="BN389" s="279"/>
      <c r="BO389" s="184"/>
      <c r="BP389" s="184"/>
      <c r="BQ389" s="184"/>
      <c r="BR389" s="184"/>
      <c r="BS389" s="279"/>
      <c r="BT389" s="184"/>
      <c r="BU389" s="184"/>
      <c r="BV389" s="184"/>
      <c r="BW389" s="184"/>
      <c r="BX389" s="279"/>
      <c r="BY389" s="184"/>
      <c r="BZ389" s="184"/>
      <c r="CA389" s="184"/>
      <c r="CB389" s="184"/>
      <c r="CC389" s="279"/>
      <c r="CD389" s="184"/>
      <c r="CE389" s="184"/>
      <c r="CF389" s="184"/>
      <c r="CG389" s="184"/>
      <c r="CH389" s="279"/>
      <c r="CI389" s="184"/>
      <c r="CJ389" s="184"/>
      <c r="CK389" s="184"/>
      <c r="CL389" s="184"/>
      <c r="CM389" s="279"/>
      <c r="CN389" s="184"/>
      <c r="CO389" s="184"/>
      <c r="CP389" s="184"/>
      <c r="CQ389" s="184"/>
      <c r="CR389" s="279"/>
      <c r="CS389" s="34"/>
      <c r="CT389" s="34"/>
      <c r="CU389" s="34"/>
      <c r="CV389" s="34"/>
      <c r="CW389" s="105"/>
      <c r="CX389" s="34"/>
      <c r="CY389" s="34"/>
      <c r="CZ389" s="34"/>
      <c r="DA389" s="34"/>
      <c r="DB389" s="105"/>
      <c r="DC389" s="34"/>
      <c r="DD389" s="34"/>
      <c r="DE389" s="34"/>
      <c r="DF389" s="34"/>
      <c r="DG389" s="105"/>
      <c r="DH389" s="34"/>
      <c r="DI389" s="34"/>
      <c r="DJ389" s="34"/>
      <c r="DK389" s="34"/>
      <c r="DL389" s="105"/>
      <c r="DM389" s="105"/>
      <c r="DN389" s="105"/>
      <c r="DO389" s="105"/>
      <c r="DP389" s="537"/>
      <c r="DQ389" s="105"/>
      <c r="DR389" s="547"/>
      <c r="DS389" s="105"/>
      <c r="DT389" s="105"/>
      <c r="DU389" s="105"/>
      <c r="DV389" s="105"/>
      <c r="DW389" s="547"/>
      <c r="DX389" s="105"/>
      <c r="DY389" s="105"/>
      <c r="DZ389" s="105"/>
      <c r="EA389" s="105"/>
      <c r="EB389" s="547"/>
      <c r="EC389" s="105"/>
      <c r="ED389" s="105"/>
      <c r="EE389" s="105"/>
      <c r="EF389" s="105"/>
      <c r="EG389" s="105"/>
      <c r="EH389" s="105"/>
      <c r="EI389" s="105"/>
      <c r="EJ389" s="105"/>
      <c r="EK389" s="105"/>
      <c r="EL389" s="105"/>
      <c r="EM389" s="105"/>
      <c r="EN389" s="105"/>
      <c r="EO389" s="105"/>
      <c r="EP389" s="105"/>
      <c r="EQ389" s="105"/>
      <c r="ER389" s="105"/>
      <c r="ES389" s="105"/>
      <c r="ET389" s="105"/>
      <c r="EU389" s="105"/>
      <c r="EV389" s="105"/>
      <c r="EW389" s="105"/>
      <c r="EX389" s="105"/>
      <c r="EY389" s="105"/>
      <c r="EZ389" s="105"/>
      <c r="FA389" s="105"/>
      <c r="FB389" s="105"/>
      <c r="FC389" s="105"/>
      <c r="FD389" s="105"/>
      <c r="FE389" s="105"/>
      <c r="FF389" s="40"/>
      <c r="FG389" s="190"/>
      <c r="FL389" s="406"/>
      <c r="FM389" s="406"/>
      <c r="FN389" s="368"/>
      <c r="FO389" s="368"/>
      <c r="FP389" s="368"/>
      <c r="FQ389" s="368"/>
      <c r="FR389" s="368"/>
      <c r="FS389" s="368"/>
      <c r="FT389" s="190"/>
    </row>
    <row r="390" spans="1:176" ht="12.75" hidden="1" customHeight="1" x14ac:dyDescent="0.2">
      <c r="A390" s="34" t="s">
        <v>347</v>
      </c>
      <c r="B390" s="184"/>
      <c r="C390" s="184"/>
      <c r="D390" s="184"/>
      <c r="E390" s="184"/>
      <c r="F390" s="279"/>
      <c r="G390" s="184"/>
      <c r="H390" s="184"/>
      <c r="I390" s="184"/>
      <c r="J390" s="184"/>
      <c r="K390" s="279"/>
      <c r="L390" s="184"/>
      <c r="M390" s="184"/>
      <c r="N390" s="184"/>
      <c r="O390" s="184"/>
      <c r="P390" s="279"/>
      <c r="Q390" s="184"/>
      <c r="R390" s="184"/>
      <c r="S390" s="184"/>
      <c r="T390" s="184"/>
      <c r="U390" s="279"/>
      <c r="V390" s="184"/>
      <c r="W390" s="184"/>
      <c r="X390" s="184"/>
      <c r="Y390" s="184"/>
      <c r="Z390" s="279"/>
      <c r="AA390" s="184"/>
      <c r="AB390" s="184"/>
      <c r="AC390" s="184"/>
      <c r="AD390" s="184"/>
      <c r="AE390" s="279"/>
      <c r="AF390" s="184"/>
      <c r="AG390" s="184"/>
      <c r="AH390" s="184"/>
      <c r="AI390" s="184"/>
      <c r="AJ390" s="279"/>
      <c r="AK390" s="184"/>
      <c r="AL390" s="184"/>
      <c r="AM390" s="184"/>
      <c r="AN390" s="184"/>
      <c r="AO390" s="279"/>
      <c r="AP390" s="184"/>
      <c r="AQ390" s="184"/>
      <c r="AR390" s="184"/>
      <c r="AS390" s="184"/>
      <c r="AT390" s="279"/>
      <c r="AU390" s="184"/>
      <c r="AV390" s="184"/>
      <c r="AW390" s="184"/>
      <c r="AX390" s="184"/>
      <c r="AY390" s="279"/>
      <c r="AZ390" s="184"/>
      <c r="BA390" s="184"/>
      <c r="BB390" s="184"/>
      <c r="BC390" s="184"/>
      <c r="BD390" s="279"/>
      <c r="BE390" s="184"/>
      <c r="BF390" s="184"/>
      <c r="BG390" s="184"/>
      <c r="BH390" s="184"/>
      <c r="BI390" s="279"/>
      <c r="BJ390" s="184"/>
      <c r="BK390" s="184"/>
      <c r="BL390" s="184"/>
      <c r="BM390" s="184"/>
      <c r="BN390" s="279"/>
      <c r="BO390" s="184"/>
      <c r="BP390" s="184"/>
      <c r="BQ390" s="184"/>
      <c r="BR390" s="184"/>
      <c r="BS390" s="279"/>
      <c r="BT390" s="184"/>
      <c r="BU390" s="184"/>
      <c r="BV390" s="184"/>
      <c r="BW390" s="184"/>
      <c r="BX390" s="279"/>
      <c r="BY390" s="184"/>
      <c r="BZ390" s="184"/>
      <c r="CA390" s="184"/>
      <c r="CB390" s="184"/>
      <c r="CC390" s="279"/>
      <c r="CD390" s="184"/>
      <c r="CE390" s="184"/>
      <c r="CF390" s="184"/>
      <c r="CG390" s="184"/>
      <c r="CH390" s="279"/>
      <c r="CI390" s="184"/>
      <c r="CJ390" s="184"/>
      <c r="CK390" s="184"/>
      <c r="CL390" s="184"/>
      <c r="CM390" s="279"/>
      <c r="CN390" s="184"/>
      <c r="CO390" s="184"/>
      <c r="CP390" s="184"/>
      <c r="CQ390" s="184"/>
      <c r="CR390" s="279"/>
      <c r="CS390" s="34">
        <f>CS367/CW377</f>
        <v>9.6507622801432262</v>
      </c>
      <c r="CT390" s="34">
        <f>CT367/CW377</f>
        <v>9.6671454469368534</v>
      </c>
      <c r="CU390" s="34" t="e">
        <f ca="1">CU367/DB377</f>
        <v>#NAME?</v>
      </c>
      <c r="CV390" s="34">
        <f>CV367/DB377</f>
        <v>7.8009549851903923</v>
      </c>
      <c r="CW390" s="105">
        <f>CW367/DB377</f>
        <v>7.7741962000781379</v>
      </c>
      <c r="CX390" s="34">
        <f>CX367/DB377</f>
        <v>8.5775044096598663</v>
      </c>
      <c r="CY390" s="34">
        <f>CY367/DB377</f>
        <v>7.141462184001079</v>
      </c>
      <c r="CZ390" s="34">
        <f>CZ367/DG377</f>
        <v>13.266780424535442</v>
      </c>
      <c r="DA390" s="34">
        <f>DA367/DG377</f>
        <v>12.762843696989524</v>
      </c>
      <c r="DB390" s="105">
        <f>DB367/DG377</f>
        <v>12.798552449003505</v>
      </c>
      <c r="DC390" s="34">
        <f>DC367/DG377</f>
        <v>11.72247118456386</v>
      </c>
      <c r="DD390" s="34">
        <f>DD367/DG377</f>
        <v>10.710235266041073</v>
      </c>
      <c r="DE390" s="34">
        <f>DE367/DL377</f>
        <v>11.430984346698452</v>
      </c>
      <c r="DF390" s="34">
        <f>DF367/DL377</f>
        <v>11.498922368152565</v>
      </c>
      <c r="DG390" s="105">
        <f>DG367/DL377</f>
        <v>11.560187959475565</v>
      </c>
      <c r="DH390" s="34" t="e">
        <f>DH367/FF377</f>
        <v>#DIV/0!</v>
      </c>
      <c r="DI390" s="34" t="e">
        <f>DI367/FG377</f>
        <v>#DIV/0!</v>
      </c>
      <c r="DJ390" s="34" t="e">
        <f>DJ367/FH377</f>
        <v>#DIV/0!</v>
      </c>
      <c r="DK390" s="34" t="e">
        <f>DK367/FI377</f>
        <v>#DIV/0!</v>
      </c>
      <c r="DL390" s="105">
        <f>DL367/DQ377</f>
        <v>6.406075758287292</v>
      </c>
      <c r="DM390" s="105"/>
      <c r="DN390" s="105"/>
      <c r="DO390" s="105"/>
      <c r="DP390" s="537"/>
      <c r="DQ390" s="105"/>
      <c r="DR390" s="547"/>
      <c r="DS390" s="105"/>
      <c r="DT390" s="105"/>
      <c r="DU390" s="105"/>
      <c r="DV390" s="105"/>
      <c r="DW390" s="547"/>
      <c r="DX390" s="105"/>
      <c r="DY390" s="105"/>
      <c r="DZ390" s="105"/>
      <c r="EA390" s="105"/>
      <c r="EB390" s="547"/>
      <c r="EC390" s="105"/>
      <c r="ED390" s="105"/>
      <c r="EE390" s="105"/>
      <c r="EF390" s="105"/>
      <c r="EG390" s="105"/>
      <c r="EH390" s="105"/>
      <c r="EI390" s="105"/>
      <c r="EJ390" s="105"/>
      <c r="EK390" s="105"/>
      <c r="EL390" s="105"/>
      <c r="EM390" s="105"/>
      <c r="EN390" s="105"/>
      <c r="EO390" s="105"/>
      <c r="EP390" s="105"/>
      <c r="EQ390" s="105"/>
      <c r="ER390" s="105"/>
      <c r="ES390" s="105"/>
      <c r="ET390" s="105"/>
      <c r="EU390" s="105"/>
      <c r="EV390" s="105"/>
      <c r="EW390" s="105"/>
      <c r="EX390" s="105"/>
      <c r="EY390" s="105"/>
      <c r="EZ390" s="105"/>
      <c r="FA390" s="105"/>
      <c r="FB390" s="105"/>
      <c r="FC390" s="105"/>
      <c r="FD390" s="105"/>
      <c r="FE390" s="105"/>
      <c r="FF390" s="40"/>
      <c r="FG390" s="190"/>
      <c r="FL390" s="406"/>
      <c r="FM390" s="406"/>
      <c r="FN390" s="368"/>
      <c r="FO390" s="368"/>
      <c r="FP390" s="368"/>
      <c r="FQ390" s="368"/>
      <c r="FR390" s="368"/>
      <c r="FS390" s="368"/>
      <c r="FT390" s="190"/>
    </row>
    <row r="391" spans="1:176" ht="12.75" hidden="1" customHeight="1" x14ac:dyDescent="0.2">
      <c r="A391" s="34" t="s">
        <v>348</v>
      </c>
      <c r="B391" s="184"/>
      <c r="C391" s="184"/>
      <c r="D391" s="184"/>
      <c r="E391" s="184"/>
      <c r="F391" s="279"/>
      <c r="G391" s="184"/>
      <c r="H391" s="184"/>
      <c r="I391" s="184"/>
      <c r="J391" s="184"/>
      <c r="K391" s="279"/>
      <c r="L391" s="184"/>
      <c r="M391" s="184"/>
      <c r="N391" s="184"/>
      <c r="O391" s="184"/>
      <c r="P391" s="279"/>
      <c r="Q391" s="184"/>
      <c r="R391" s="184"/>
      <c r="S391" s="184"/>
      <c r="T391" s="184"/>
      <c r="U391" s="279"/>
      <c r="V391" s="184"/>
      <c r="W391" s="184"/>
      <c r="X391" s="184"/>
      <c r="Y391" s="184"/>
      <c r="Z391" s="279"/>
      <c r="AA391" s="184"/>
      <c r="AB391" s="184"/>
      <c r="AC391" s="184"/>
      <c r="AD391" s="184"/>
      <c r="AE391" s="279"/>
      <c r="AF391" s="184"/>
      <c r="AG391" s="184"/>
      <c r="AH391" s="184"/>
      <c r="AI391" s="184"/>
      <c r="AJ391" s="279"/>
      <c r="AK391" s="184"/>
      <c r="AL391" s="184"/>
      <c r="AM391" s="184"/>
      <c r="AN391" s="184"/>
      <c r="AO391" s="279"/>
      <c r="AP391" s="184"/>
      <c r="AQ391" s="184"/>
      <c r="AR391" s="184"/>
      <c r="AS391" s="184"/>
      <c r="AT391" s="279"/>
      <c r="AU391" s="184"/>
      <c r="AV391" s="184"/>
      <c r="AW391" s="184"/>
      <c r="AX391" s="184"/>
      <c r="AY391" s="279"/>
      <c r="AZ391" s="184"/>
      <c r="BA391" s="184"/>
      <c r="BB391" s="184"/>
      <c r="BC391" s="184"/>
      <c r="BD391" s="279"/>
      <c r="BE391" s="184"/>
      <c r="BF391" s="184"/>
      <c r="BG391" s="184"/>
      <c r="BH391" s="184"/>
      <c r="BI391" s="279"/>
      <c r="BJ391" s="184"/>
      <c r="BK391" s="184"/>
      <c r="BL391" s="184"/>
      <c r="BM391" s="184"/>
      <c r="BN391" s="279"/>
      <c r="BO391" s="184"/>
      <c r="BP391" s="184"/>
      <c r="BQ391" s="184"/>
      <c r="BR391" s="184"/>
      <c r="BS391" s="279"/>
      <c r="BT391" s="184"/>
      <c r="BU391" s="184"/>
      <c r="BV391" s="184"/>
      <c r="BW391" s="184"/>
      <c r="BX391" s="279"/>
      <c r="BY391" s="184"/>
      <c r="BZ391" s="184"/>
      <c r="CA391" s="184"/>
      <c r="CB391" s="184"/>
      <c r="CC391" s="279"/>
      <c r="CD391" s="184"/>
      <c r="CE391" s="184"/>
      <c r="CF391" s="184"/>
      <c r="CG391" s="184"/>
      <c r="CH391" s="279"/>
      <c r="CI391" s="184"/>
      <c r="CJ391" s="184"/>
      <c r="CK391" s="184"/>
      <c r="CL391" s="184"/>
      <c r="CM391" s="279"/>
      <c r="CN391" s="184"/>
      <c r="CO391" s="184"/>
      <c r="CP391" s="184"/>
      <c r="CQ391" s="184"/>
      <c r="CR391" s="279"/>
      <c r="CS391" s="34" t="e">
        <f>CS367/CW378</f>
        <v>#REF!</v>
      </c>
      <c r="CT391" s="34" t="e">
        <f>CT367/CW378</f>
        <v>#REF!</v>
      </c>
      <c r="CU391" s="34" t="e">
        <f ca="1">CU367/DB378</f>
        <v>#NAME?</v>
      </c>
      <c r="CV391" s="34" t="e">
        <f>CV367/DB378</f>
        <v>#REF!</v>
      </c>
      <c r="CW391" s="105" t="e">
        <f>CW367/DB378</f>
        <v>#REF!</v>
      </c>
      <c r="CX391" s="34" t="e">
        <f>CX367/DB378</f>
        <v>#REF!</v>
      </c>
      <c r="CY391" s="34" t="e">
        <f>CY367/DB378</f>
        <v>#REF!</v>
      </c>
      <c r="CZ391" s="34" t="e">
        <f>CZ367/DG378</f>
        <v>#REF!</v>
      </c>
      <c r="DA391" s="34" t="e">
        <f>DA367/DG378</f>
        <v>#REF!</v>
      </c>
      <c r="DB391" s="105" t="e">
        <f>DB367/DG378</f>
        <v>#REF!</v>
      </c>
      <c r="DC391" s="34" t="e">
        <f>DC367/DG378</f>
        <v>#REF!</v>
      </c>
      <c r="DD391" s="34" t="e">
        <f>DD367/DG378</f>
        <v>#REF!</v>
      </c>
      <c r="DE391" s="34" t="e">
        <f>DE367/DL378</f>
        <v>#REF!</v>
      </c>
      <c r="DF391" s="34" t="e">
        <f>DF367/DL378</f>
        <v>#REF!</v>
      </c>
      <c r="DG391" s="105" t="e">
        <f>DG367/DL378</f>
        <v>#REF!</v>
      </c>
      <c r="DH391" s="34" t="e">
        <f>DH367/FF378</f>
        <v>#DIV/0!</v>
      </c>
      <c r="DI391" s="34" t="e">
        <f>DI367/FG378</f>
        <v>#DIV/0!</v>
      </c>
      <c r="DJ391" s="34" t="e">
        <f>DJ367/FH378</f>
        <v>#DIV/0!</v>
      </c>
      <c r="DK391" s="34" t="e">
        <f>DK367/FI378</f>
        <v>#DIV/0!</v>
      </c>
      <c r="DL391" s="105" t="e">
        <f>DL367/DQ378</f>
        <v>#REF!</v>
      </c>
      <c r="DM391" s="105"/>
      <c r="DN391" s="105"/>
      <c r="DO391" s="105"/>
      <c r="DP391" s="537"/>
      <c r="DQ391" s="105"/>
      <c r="DR391" s="547"/>
      <c r="DS391" s="105"/>
      <c r="DT391" s="105"/>
      <c r="DU391" s="105"/>
      <c r="DV391" s="105"/>
      <c r="DW391" s="547"/>
      <c r="DX391" s="105"/>
      <c r="DY391" s="105"/>
      <c r="DZ391" s="105"/>
      <c r="EA391" s="105"/>
      <c r="EB391" s="547"/>
      <c r="EC391" s="105"/>
      <c r="ED391" s="105"/>
      <c r="EE391" s="105"/>
      <c r="EF391" s="105"/>
      <c r="EG391" s="105"/>
      <c r="EH391" s="105"/>
      <c r="EI391" s="105"/>
      <c r="EJ391" s="105"/>
      <c r="EK391" s="105"/>
      <c r="EL391" s="105"/>
      <c r="EM391" s="105"/>
      <c r="EN391" s="105"/>
      <c r="EO391" s="105"/>
      <c r="EP391" s="105"/>
      <c r="EQ391" s="105"/>
      <c r="ER391" s="105"/>
      <c r="ES391" s="105"/>
      <c r="ET391" s="105"/>
      <c r="EU391" s="105"/>
      <c r="EV391" s="105"/>
      <c r="EW391" s="105"/>
      <c r="EX391" s="105"/>
      <c r="EY391" s="105"/>
      <c r="EZ391" s="105"/>
      <c r="FA391" s="105"/>
      <c r="FB391" s="105"/>
      <c r="FC391" s="105"/>
      <c r="FD391" s="105"/>
      <c r="FE391" s="105"/>
      <c r="FF391" s="40"/>
      <c r="FG391" s="190"/>
      <c r="FL391" s="406"/>
      <c r="FM391" s="406"/>
      <c r="FN391" s="368"/>
      <c r="FO391" s="368"/>
      <c r="FP391" s="368"/>
      <c r="FQ391" s="368"/>
      <c r="FR391" s="368"/>
      <c r="FS391" s="368"/>
      <c r="FT391" s="190"/>
    </row>
    <row r="392" spans="1:176" ht="12.75" hidden="1" customHeight="1" x14ac:dyDescent="0.2">
      <c r="A392" s="56" t="s">
        <v>231</v>
      </c>
      <c r="B392" s="184"/>
      <c r="C392" s="184"/>
      <c r="D392" s="184"/>
      <c r="E392" s="184"/>
      <c r="F392" s="279"/>
      <c r="G392" s="184"/>
      <c r="H392" s="184"/>
      <c r="I392" s="184"/>
      <c r="J392" s="184"/>
      <c r="K392" s="279"/>
      <c r="L392" s="184"/>
      <c r="M392" s="184"/>
      <c r="N392" s="184"/>
      <c r="O392" s="184"/>
      <c r="P392" s="279"/>
      <c r="Q392" s="184"/>
      <c r="R392" s="184"/>
      <c r="S392" s="184"/>
      <c r="T392" s="184"/>
      <c r="U392" s="279"/>
      <c r="V392" s="184"/>
      <c r="W392" s="184"/>
      <c r="X392" s="184"/>
      <c r="Y392" s="184"/>
      <c r="Z392" s="279"/>
      <c r="AA392" s="184"/>
      <c r="AB392" s="184"/>
      <c r="AC392" s="184"/>
      <c r="AD392" s="184"/>
      <c r="AE392" s="279"/>
      <c r="AF392" s="184"/>
      <c r="AG392" s="184"/>
      <c r="AH392" s="184"/>
      <c r="AI392" s="184"/>
      <c r="AJ392" s="279"/>
      <c r="AK392" s="184"/>
      <c r="AL392" s="184"/>
      <c r="AM392" s="184"/>
      <c r="AN392" s="184"/>
      <c r="AO392" s="279"/>
      <c r="AP392" s="184"/>
      <c r="AQ392" s="184"/>
      <c r="AR392" s="184"/>
      <c r="AS392" s="184"/>
      <c r="AT392" s="279"/>
      <c r="AU392" s="184"/>
      <c r="AV392" s="184"/>
      <c r="AW392" s="184"/>
      <c r="AX392" s="184"/>
      <c r="AY392" s="279"/>
      <c r="AZ392" s="184"/>
      <c r="BA392" s="184"/>
      <c r="BB392" s="184"/>
      <c r="BC392" s="184"/>
      <c r="BD392" s="279"/>
      <c r="BE392" s="184"/>
      <c r="BF392" s="184"/>
      <c r="BG392" s="184"/>
      <c r="BH392" s="184"/>
      <c r="BI392" s="279"/>
      <c r="BJ392" s="184"/>
      <c r="BK392" s="184"/>
      <c r="BL392" s="184"/>
      <c r="BM392" s="184"/>
      <c r="BN392" s="279"/>
      <c r="BO392" s="184"/>
      <c r="BP392" s="184"/>
      <c r="BQ392" s="184"/>
      <c r="BR392" s="184"/>
      <c r="BS392" s="279"/>
      <c r="BT392" s="184"/>
      <c r="BU392" s="184"/>
      <c r="BV392" s="184"/>
      <c r="BW392" s="184"/>
      <c r="BX392" s="279"/>
      <c r="BY392" s="184"/>
      <c r="BZ392" s="184"/>
      <c r="CA392" s="184"/>
      <c r="CB392" s="184"/>
      <c r="CC392" s="279"/>
      <c r="CD392" s="184"/>
      <c r="CE392" s="184"/>
      <c r="CF392" s="184"/>
      <c r="CG392" s="184"/>
      <c r="CH392" s="279"/>
      <c r="CI392" s="184"/>
      <c r="CJ392" s="184"/>
      <c r="CK392" s="184"/>
      <c r="CL392" s="184"/>
      <c r="CM392" s="279"/>
      <c r="CN392" s="184"/>
      <c r="CO392" s="184"/>
      <c r="CP392" s="184"/>
      <c r="CQ392" s="184"/>
      <c r="CR392" s="279"/>
      <c r="CS392" s="34"/>
      <c r="CT392" s="34"/>
      <c r="CU392" s="34"/>
      <c r="CV392" s="34"/>
      <c r="CW392" s="105"/>
      <c r="CX392" s="34"/>
      <c r="CY392" s="34"/>
      <c r="CZ392" s="34"/>
      <c r="DA392" s="34"/>
      <c r="DB392" s="105"/>
      <c r="DC392" s="34"/>
      <c r="DD392" s="34"/>
      <c r="DE392" s="34"/>
      <c r="DF392" s="34"/>
      <c r="DG392" s="105"/>
      <c r="DH392" s="34"/>
      <c r="DI392" s="34"/>
      <c r="DJ392" s="34"/>
      <c r="DK392" s="34"/>
      <c r="DL392" s="105"/>
      <c r="DM392" s="105"/>
      <c r="DN392" s="105"/>
      <c r="DO392" s="105"/>
      <c r="DP392" s="537"/>
      <c r="DQ392" s="105"/>
      <c r="DR392" s="547"/>
      <c r="DS392" s="105"/>
      <c r="DT392" s="105"/>
      <c r="DU392" s="105"/>
      <c r="DV392" s="105"/>
      <c r="DW392" s="547"/>
      <c r="DX392" s="105"/>
      <c r="DY392" s="105"/>
      <c r="DZ392" s="105"/>
      <c r="EA392" s="105"/>
      <c r="EB392" s="547"/>
      <c r="EC392" s="105"/>
      <c r="ED392" s="105"/>
      <c r="EE392" s="105"/>
      <c r="EF392" s="105"/>
      <c r="EG392" s="105"/>
      <c r="EH392" s="105"/>
      <c r="EI392" s="105"/>
      <c r="EJ392" s="105"/>
      <c r="EK392" s="105"/>
      <c r="EL392" s="105"/>
      <c r="EM392" s="105"/>
      <c r="EN392" s="105"/>
      <c r="EO392" s="105"/>
      <c r="EP392" s="105"/>
      <c r="EQ392" s="105"/>
      <c r="ER392" s="105"/>
      <c r="ES392" s="105"/>
      <c r="ET392" s="105"/>
      <c r="EU392" s="105"/>
      <c r="EV392" s="105"/>
      <c r="EW392" s="105"/>
      <c r="EX392" s="105"/>
      <c r="EY392" s="105"/>
      <c r="EZ392" s="105"/>
      <c r="FA392" s="105"/>
      <c r="FB392" s="105"/>
      <c r="FC392" s="105"/>
      <c r="FD392" s="105"/>
      <c r="FE392" s="105"/>
      <c r="FF392" s="40"/>
      <c r="FG392" s="190"/>
      <c r="FL392" s="406"/>
      <c r="FM392" s="406"/>
      <c r="FN392" s="368"/>
      <c r="FO392" s="368"/>
      <c r="FP392" s="368"/>
      <c r="FQ392" s="368"/>
      <c r="FR392" s="368"/>
      <c r="FS392" s="368"/>
      <c r="FT392" s="190"/>
    </row>
    <row r="393" spans="1:176" ht="12.75" hidden="1" customHeight="1" x14ac:dyDescent="0.2">
      <c r="A393" s="34" t="s">
        <v>347</v>
      </c>
      <c r="B393" s="184"/>
      <c r="C393" s="184"/>
      <c r="D393" s="184"/>
      <c r="E393" s="184"/>
      <c r="F393" s="279"/>
      <c r="G393" s="184"/>
      <c r="H393" s="184"/>
      <c r="I393" s="184"/>
      <c r="J393" s="184"/>
      <c r="K393" s="279"/>
      <c r="L393" s="184"/>
      <c r="M393" s="184"/>
      <c r="N393" s="184"/>
      <c r="O393" s="184"/>
      <c r="P393" s="279"/>
      <c r="Q393" s="184"/>
      <c r="R393" s="184"/>
      <c r="S393" s="184"/>
      <c r="T393" s="184"/>
      <c r="U393" s="279"/>
      <c r="V393" s="184"/>
      <c r="W393" s="184"/>
      <c r="X393" s="184"/>
      <c r="Y393" s="184"/>
      <c r="Z393" s="279"/>
      <c r="AA393" s="184"/>
      <c r="AB393" s="184"/>
      <c r="AC393" s="184"/>
      <c r="AD393" s="184"/>
      <c r="AE393" s="279"/>
      <c r="AF393" s="184"/>
      <c r="AG393" s="184"/>
      <c r="AH393" s="184"/>
      <c r="AI393" s="184"/>
      <c r="AJ393" s="279"/>
      <c r="AK393" s="184"/>
      <c r="AL393" s="184"/>
      <c r="AM393" s="184"/>
      <c r="AN393" s="184"/>
      <c r="AO393" s="279"/>
      <c r="AP393" s="184"/>
      <c r="AQ393" s="184"/>
      <c r="AR393" s="184"/>
      <c r="AS393" s="184"/>
      <c r="AT393" s="279"/>
      <c r="AU393" s="184"/>
      <c r="AV393" s="184"/>
      <c r="AW393" s="184"/>
      <c r="AX393" s="184"/>
      <c r="AY393" s="279"/>
      <c r="AZ393" s="184"/>
      <c r="BA393" s="184"/>
      <c r="BB393" s="184"/>
      <c r="BC393" s="184"/>
      <c r="BD393" s="279"/>
      <c r="BE393" s="184"/>
      <c r="BF393" s="184"/>
      <c r="BG393" s="184"/>
      <c r="BH393" s="184"/>
      <c r="BI393" s="279"/>
      <c r="BJ393" s="184"/>
      <c r="BK393" s="184"/>
      <c r="BL393" s="184"/>
      <c r="BM393" s="184"/>
      <c r="BN393" s="279"/>
      <c r="BO393" s="184"/>
      <c r="BP393" s="184"/>
      <c r="BQ393" s="184"/>
      <c r="BR393" s="184"/>
      <c r="BS393" s="279"/>
      <c r="BT393" s="184"/>
      <c r="BU393" s="184"/>
      <c r="BV393" s="184"/>
      <c r="BW393" s="184"/>
      <c r="BX393" s="279"/>
      <c r="BY393" s="184"/>
      <c r="BZ393" s="184"/>
      <c r="CA393" s="184"/>
      <c r="CB393" s="184"/>
      <c r="CC393" s="279"/>
      <c r="CD393" s="184"/>
      <c r="CE393" s="184"/>
      <c r="CF393" s="184"/>
      <c r="CG393" s="184"/>
      <c r="CH393" s="279"/>
      <c r="CI393" s="184"/>
      <c r="CJ393" s="184"/>
      <c r="CK393" s="184"/>
      <c r="CL393" s="184"/>
      <c r="CM393" s="279"/>
      <c r="CN393" s="184"/>
      <c r="CO393" s="184"/>
      <c r="CP393" s="184"/>
      <c r="CQ393" s="184"/>
      <c r="CR393" s="279"/>
      <c r="CS393" s="34">
        <f>CS368/CW377</f>
        <v>9.7773644674113367</v>
      </c>
      <c r="CT393" s="34">
        <f>CT368/CW377</f>
        <v>9.7667890689537185</v>
      </c>
      <c r="CU393" s="34" t="e">
        <f ca="1">CU368/DB377</f>
        <v>#NAME?</v>
      </c>
      <c r="CV393" s="34">
        <f>CV368/DB377</f>
        <v>7.8406214206777305</v>
      </c>
      <c r="CW393" s="105">
        <f>CW368/DB377</f>
        <v>7.813862635565477</v>
      </c>
      <c r="CX393" s="34">
        <f>CX368/DB377</f>
        <v>8.6176955414593408</v>
      </c>
      <c r="CY393" s="34">
        <f>CY368/DB377</f>
        <v>7.1822082976141095</v>
      </c>
      <c r="CZ393" s="34">
        <f>CZ368/DG377</f>
        <v>13.346741658411371</v>
      </c>
      <c r="DA393" s="34">
        <f>DA368/DG377</f>
        <v>12.827204495356854</v>
      </c>
      <c r="DB393" s="105">
        <f>DB368/DG377</f>
        <v>12.862913247370837</v>
      </c>
      <c r="DC393" s="34">
        <f>DC368/DG377</f>
        <v>11.785942168559407</v>
      </c>
      <c r="DD393" s="34">
        <f>DD368/DG377</f>
        <v>10.710235266041073</v>
      </c>
      <c r="DE393" s="34">
        <f>DE368/DL377</f>
        <v>11.430984346698452</v>
      </c>
      <c r="DF393" s="34">
        <f>DF368/DL377</f>
        <v>11.498922368152565</v>
      </c>
      <c r="DG393" s="105">
        <f>DG368/DL377</f>
        <v>11.560187959475565</v>
      </c>
      <c r="DH393" s="34" t="e">
        <f>DH368/FF377</f>
        <v>#DIV/0!</v>
      </c>
      <c r="DI393" s="34" t="e">
        <f>DI368/FG377</f>
        <v>#DIV/0!</v>
      </c>
      <c r="DJ393" s="34" t="e">
        <f>DJ368/FH377</f>
        <v>#DIV/0!</v>
      </c>
      <c r="DK393" s="34" t="e">
        <f>DK368/FI377</f>
        <v>#DIV/0!</v>
      </c>
      <c r="DL393" s="105">
        <f>DL368/DQ377</f>
        <v>6.406075758287292</v>
      </c>
      <c r="DM393" s="105"/>
      <c r="DN393" s="105"/>
      <c r="DO393" s="105"/>
      <c r="DP393" s="537"/>
      <c r="DQ393" s="105"/>
      <c r="DR393" s="547"/>
      <c r="DS393" s="105"/>
      <c r="DT393" s="105"/>
      <c r="DU393" s="105"/>
      <c r="DV393" s="105"/>
      <c r="DW393" s="547"/>
      <c r="DX393" s="105"/>
      <c r="DY393" s="105"/>
      <c r="DZ393" s="105"/>
      <c r="EA393" s="105"/>
      <c r="EB393" s="547"/>
      <c r="EC393" s="105"/>
      <c r="ED393" s="105"/>
      <c r="EE393" s="105"/>
      <c r="EF393" s="105"/>
      <c r="EG393" s="105"/>
      <c r="EH393" s="105"/>
      <c r="EI393" s="105"/>
      <c r="EJ393" s="105"/>
      <c r="EK393" s="105"/>
      <c r="EL393" s="105"/>
      <c r="EM393" s="105"/>
      <c r="EN393" s="105"/>
      <c r="EO393" s="105"/>
      <c r="EP393" s="105"/>
      <c r="EQ393" s="105"/>
      <c r="ER393" s="105"/>
      <c r="ES393" s="105"/>
      <c r="ET393" s="105"/>
      <c r="EU393" s="105"/>
      <c r="EV393" s="105"/>
      <c r="EW393" s="105"/>
      <c r="EX393" s="105"/>
      <c r="EY393" s="105"/>
      <c r="EZ393" s="105"/>
      <c r="FA393" s="105"/>
      <c r="FB393" s="105"/>
      <c r="FC393" s="105"/>
      <c r="FD393" s="105"/>
      <c r="FE393" s="105"/>
      <c r="FF393" s="40"/>
      <c r="FG393" s="190"/>
      <c r="FL393" s="406"/>
      <c r="FM393" s="406"/>
      <c r="FN393" s="368"/>
      <c r="FO393" s="368"/>
      <c r="FP393" s="368"/>
      <c r="FQ393" s="368"/>
      <c r="FR393" s="368"/>
      <c r="FS393" s="368"/>
      <c r="FT393" s="190"/>
    </row>
    <row r="394" spans="1:176" ht="12.75" hidden="1" customHeight="1" x14ac:dyDescent="0.2">
      <c r="A394" s="34" t="s">
        <v>348</v>
      </c>
      <c r="B394" s="184"/>
      <c r="C394" s="184"/>
      <c r="D394" s="184"/>
      <c r="E394" s="184"/>
      <c r="F394" s="279"/>
      <c r="G394" s="184"/>
      <c r="H394" s="184"/>
      <c r="I394" s="184"/>
      <c r="J394" s="184"/>
      <c r="K394" s="279"/>
      <c r="L394" s="184"/>
      <c r="M394" s="184"/>
      <c r="N394" s="184"/>
      <c r="O394" s="184"/>
      <c r="P394" s="279"/>
      <c r="Q394" s="184"/>
      <c r="R394" s="184"/>
      <c r="S394" s="184"/>
      <c r="T394" s="184"/>
      <c r="U394" s="279"/>
      <c r="V394" s="184"/>
      <c r="W394" s="184"/>
      <c r="X394" s="184"/>
      <c r="Y394" s="184"/>
      <c r="Z394" s="279"/>
      <c r="AA394" s="184"/>
      <c r="AB394" s="184"/>
      <c r="AC394" s="184"/>
      <c r="AD394" s="184"/>
      <c r="AE394" s="279"/>
      <c r="AF394" s="184"/>
      <c r="AG394" s="184"/>
      <c r="AH394" s="184"/>
      <c r="AI394" s="184"/>
      <c r="AJ394" s="279"/>
      <c r="AK394" s="184"/>
      <c r="AL394" s="184"/>
      <c r="AM394" s="184"/>
      <c r="AN394" s="184"/>
      <c r="AO394" s="279"/>
      <c r="AP394" s="184"/>
      <c r="AQ394" s="184"/>
      <c r="AR394" s="184"/>
      <c r="AS394" s="184"/>
      <c r="AT394" s="279"/>
      <c r="AU394" s="184"/>
      <c r="AV394" s="184"/>
      <c r="AW394" s="184"/>
      <c r="AX394" s="184"/>
      <c r="AY394" s="279"/>
      <c r="AZ394" s="184"/>
      <c r="BA394" s="184"/>
      <c r="BB394" s="184"/>
      <c r="BC394" s="184"/>
      <c r="BD394" s="279"/>
      <c r="BE394" s="184"/>
      <c r="BF394" s="184"/>
      <c r="BG394" s="184"/>
      <c r="BH394" s="184"/>
      <c r="BI394" s="279"/>
      <c r="BJ394" s="184"/>
      <c r="BK394" s="184"/>
      <c r="BL394" s="184"/>
      <c r="BM394" s="184"/>
      <c r="BN394" s="279"/>
      <c r="BO394" s="184"/>
      <c r="BP394" s="184"/>
      <c r="BQ394" s="184"/>
      <c r="BR394" s="184"/>
      <c r="BS394" s="279"/>
      <c r="BT394" s="184"/>
      <c r="BU394" s="184"/>
      <c r="BV394" s="184"/>
      <c r="BW394" s="184"/>
      <c r="BX394" s="279"/>
      <c r="BY394" s="184"/>
      <c r="BZ394" s="184"/>
      <c r="CA394" s="184"/>
      <c r="CB394" s="184"/>
      <c r="CC394" s="279"/>
      <c r="CD394" s="184"/>
      <c r="CE394" s="184"/>
      <c r="CF394" s="184"/>
      <c r="CG394" s="184"/>
      <c r="CH394" s="279"/>
      <c r="CI394" s="184"/>
      <c r="CJ394" s="184"/>
      <c r="CK394" s="184"/>
      <c r="CL394" s="184"/>
      <c r="CM394" s="279"/>
      <c r="CN394" s="184"/>
      <c r="CO394" s="184"/>
      <c r="CP394" s="184"/>
      <c r="CQ394" s="184"/>
      <c r="CR394" s="279"/>
      <c r="CS394" s="34" t="e">
        <f>CS368/CW378</f>
        <v>#REF!</v>
      </c>
      <c r="CT394" s="34" t="e">
        <f>CT368/CW378</f>
        <v>#REF!</v>
      </c>
      <c r="CU394" s="34" t="e">
        <f ca="1">CU368/DB378</f>
        <v>#NAME?</v>
      </c>
      <c r="CV394" s="34" t="e">
        <f>CV368/DB378</f>
        <v>#REF!</v>
      </c>
      <c r="CW394" s="105" t="e">
        <f>CW368/DB378</f>
        <v>#REF!</v>
      </c>
      <c r="CX394" s="34" t="e">
        <f>CX368/DB378</f>
        <v>#REF!</v>
      </c>
      <c r="CY394" s="34" t="e">
        <f>CY368/DB378</f>
        <v>#REF!</v>
      </c>
      <c r="CZ394" s="34" t="e">
        <f>CZ368/DG378</f>
        <v>#REF!</v>
      </c>
      <c r="DA394" s="34" t="e">
        <f>DA368/DG378</f>
        <v>#REF!</v>
      </c>
      <c r="DB394" s="105" t="e">
        <f>DB368/DG378</f>
        <v>#REF!</v>
      </c>
      <c r="DC394" s="34" t="e">
        <f>DC368/DG378</f>
        <v>#REF!</v>
      </c>
      <c r="DD394" s="34" t="e">
        <f>DD368/DG378</f>
        <v>#REF!</v>
      </c>
      <c r="DE394" s="34" t="e">
        <f>DE368/DL378</f>
        <v>#REF!</v>
      </c>
      <c r="DF394" s="34" t="e">
        <f>DF368/DL378</f>
        <v>#REF!</v>
      </c>
      <c r="DG394" s="105" t="e">
        <f>DG368/DL378</f>
        <v>#REF!</v>
      </c>
      <c r="DH394" s="34" t="e">
        <f>DH368/FF378</f>
        <v>#DIV/0!</v>
      </c>
      <c r="DI394" s="34" t="e">
        <f>DI368/FG378</f>
        <v>#DIV/0!</v>
      </c>
      <c r="DJ394" s="34" t="e">
        <f>DJ368/FH378</f>
        <v>#DIV/0!</v>
      </c>
      <c r="DK394" s="34" t="e">
        <f>DK368/FI378</f>
        <v>#DIV/0!</v>
      </c>
      <c r="DL394" s="105" t="e">
        <f>DL368/DQ378</f>
        <v>#REF!</v>
      </c>
      <c r="DM394" s="105"/>
      <c r="DN394" s="105"/>
      <c r="DO394" s="105"/>
      <c r="DP394" s="537"/>
      <c r="DQ394" s="105"/>
      <c r="DR394" s="547"/>
      <c r="DS394" s="105"/>
      <c r="DT394" s="105"/>
      <c r="DU394" s="105"/>
      <c r="DV394" s="105"/>
      <c r="DW394" s="547"/>
      <c r="DX394" s="105"/>
      <c r="DY394" s="105"/>
      <c r="DZ394" s="105"/>
      <c r="EA394" s="105"/>
      <c r="EB394" s="547"/>
      <c r="EC394" s="105"/>
      <c r="ED394" s="105"/>
      <c r="EE394" s="105"/>
      <c r="EF394" s="105"/>
      <c r="EG394" s="105"/>
      <c r="EH394" s="105"/>
      <c r="EI394" s="105"/>
      <c r="EJ394" s="105"/>
      <c r="EK394" s="105"/>
      <c r="EL394" s="105"/>
      <c r="EM394" s="105"/>
      <c r="EN394" s="105"/>
      <c r="EO394" s="105"/>
      <c r="EP394" s="105"/>
      <c r="EQ394" s="105"/>
      <c r="ER394" s="105"/>
      <c r="ES394" s="105"/>
      <c r="ET394" s="105"/>
      <c r="EU394" s="105"/>
      <c r="EV394" s="105"/>
      <c r="EW394" s="105"/>
      <c r="EX394" s="105"/>
      <c r="EY394" s="105"/>
      <c r="EZ394" s="105"/>
      <c r="FA394" s="105"/>
      <c r="FB394" s="105"/>
      <c r="FC394" s="105"/>
      <c r="FD394" s="105"/>
      <c r="FE394" s="105"/>
      <c r="FF394" s="40"/>
      <c r="FG394" s="190"/>
      <c r="FL394" s="406"/>
      <c r="FM394" s="406"/>
      <c r="FN394" s="368"/>
      <c r="FO394" s="368"/>
      <c r="FP394" s="368"/>
      <c r="FQ394" s="368"/>
      <c r="FR394" s="368"/>
      <c r="FS394" s="368"/>
      <c r="FT394" s="190"/>
    </row>
    <row r="395" spans="1:176" ht="12.75" hidden="1" customHeight="1" x14ac:dyDescent="0.2">
      <c r="A395" s="56" t="s">
        <v>289</v>
      </c>
      <c r="B395" s="184"/>
      <c r="C395" s="184"/>
      <c r="D395" s="184"/>
      <c r="E395" s="184"/>
      <c r="F395" s="279"/>
      <c r="G395" s="184"/>
      <c r="H395" s="184"/>
      <c r="I395" s="184"/>
      <c r="J395" s="184"/>
      <c r="K395" s="279"/>
      <c r="L395" s="184"/>
      <c r="M395" s="184"/>
      <c r="N395" s="184"/>
      <c r="O395" s="184"/>
      <c r="P395" s="279"/>
      <c r="Q395" s="184"/>
      <c r="R395" s="184"/>
      <c r="S395" s="184"/>
      <c r="T395" s="184"/>
      <c r="U395" s="279"/>
      <c r="V395" s="184"/>
      <c r="W395" s="184"/>
      <c r="X395" s="184"/>
      <c r="Y395" s="184"/>
      <c r="Z395" s="279"/>
      <c r="AA395" s="184"/>
      <c r="AB395" s="184"/>
      <c r="AC395" s="184"/>
      <c r="AD395" s="184"/>
      <c r="AE395" s="279"/>
      <c r="AF395" s="184"/>
      <c r="AG395" s="184"/>
      <c r="AH395" s="184"/>
      <c r="AI395" s="184"/>
      <c r="AJ395" s="279"/>
      <c r="AK395" s="184"/>
      <c r="AL395" s="184"/>
      <c r="AM395" s="184"/>
      <c r="AN395" s="184"/>
      <c r="AO395" s="279"/>
      <c r="AP395" s="184"/>
      <c r="AQ395" s="184"/>
      <c r="AR395" s="184"/>
      <c r="AS395" s="184"/>
      <c r="AT395" s="279"/>
      <c r="AU395" s="184"/>
      <c r="AV395" s="184"/>
      <c r="AW395" s="184"/>
      <c r="AX395" s="184"/>
      <c r="AY395" s="279"/>
      <c r="AZ395" s="184"/>
      <c r="BA395" s="184"/>
      <c r="BB395" s="184"/>
      <c r="BC395" s="184"/>
      <c r="BD395" s="279"/>
      <c r="BE395" s="184"/>
      <c r="BF395" s="184"/>
      <c r="BG395" s="184"/>
      <c r="BH395" s="184"/>
      <c r="BI395" s="279"/>
      <c r="BJ395" s="184"/>
      <c r="BK395" s="184"/>
      <c r="BL395" s="184"/>
      <c r="BM395" s="184"/>
      <c r="BN395" s="279"/>
      <c r="BO395" s="184"/>
      <c r="BP395" s="184"/>
      <c r="BQ395" s="184"/>
      <c r="BR395" s="184"/>
      <c r="BS395" s="279"/>
      <c r="BT395" s="184"/>
      <c r="BU395" s="184"/>
      <c r="BV395" s="184"/>
      <c r="BW395" s="184"/>
      <c r="BX395" s="279"/>
      <c r="BY395" s="184"/>
      <c r="BZ395" s="184"/>
      <c r="CA395" s="184"/>
      <c r="CB395" s="184"/>
      <c r="CC395" s="279"/>
      <c r="CD395" s="184"/>
      <c r="CE395" s="184"/>
      <c r="CF395" s="184"/>
      <c r="CG395" s="184"/>
      <c r="CH395" s="279"/>
      <c r="CI395" s="184"/>
      <c r="CJ395" s="184"/>
      <c r="CK395" s="184"/>
      <c r="CL395" s="184"/>
      <c r="CM395" s="279"/>
      <c r="CN395" s="184"/>
      <c r="CO395" s="184"/>
      <c r="CP395" s="184"/>
      <c r="CQ395" s="184"/>
      <c r="CR395" s="279"/>
      <c r="CS395" s="34"/>
      <c r="CT395" s="34"/>
      <c r="CU395" s="34"/>
      <c r="CV395" s="34"/>
      <c r="CW395" s="105"/>
      <c r="CX395" s="34"/>
      <c r="CY395" s="34"/>
      <c r="CZ395" s="34"/>
      <c r="DA395" s="34"/>
      <c r="DB395" s="105"/>
      <c r="DC395" s="34"/>
      <c r="DD395" s="34"/>
      <c r="DE395" s="34"/>
      <c r="DF395" s="34"/>
      <c r="DG395" s="105"/>
      <c r="DH395" s="34"/>
      <c r="DI395" s="34"/>
      <c r="DJ395" s="34"/>
      <c r="DK395" s="34"/>
      <c r="DL395" s="105"/>
      <c r="DM395" s="105"/>
      <c r="DN395" s="105"/>
      <c r="DO395" s="105"/>
      <c r="DP395" s="537"/>
      <c r="DQ395" s="105"/>
      <c r="DR395" s="547"/>
      <c r="DS395" s="105"/>
      <c r="DT395" s="105"/>
      <c r="DU395" s="105"/>
      <c r="DV395" s="105"/>
      <c r="DW395" s="547"/>
      <c r="DX395" s="105"/>
      <c r="DY395" s="105"/>
      <c r="DZ395" s="105"/>
      <c r="EA395" s="105"/>
      <c r="EB395" s="547"/>
      <c r="EC395" s="105"/>
      <c r="ED395" s="105"/>
      <c r="EE395" s="105"/>
      <c r="EF395" s="105"/>
      <c r="EG395" s="105"/>
      <c r="EH395" s="105"/>
      <c r="EI395" s="105"/>
      <c r="EJ395" s="105"/>
      <c r="EK395" s="105"/>
      <c r="EL395" s="105"/>
      <c r="EM395" s="105"/>
      <c r="EN395" s="105"/>
      <c r="EO395" s="105"/>
      <c r="EP395" s="105"/>
      <c r="EQ395" s="105"/>
      <c r="ER395" s="105"/>
      <c r="ES395" s="105"/>
      <c r="ET395" s="105"/>
      <c r="EU395" s="105"/>
      <c r="EV395" s="105"/>
      <c r="EW395" s="105"/>
      <c r="EX395" s="105"/>
      <c r="EY395" s="105"/>
      <c r="EZ395" s="105"/>
      <c r="FA395" s="105"/>
      <c r="FB395" s="105"/>
      <c r="FC395" s="105"/>
      <c r="FD395" s="105"/>
      <c r="FE395" s="105"/>
      <c r="FF395" s="40"/>
      <c r="FG395" s="190"/>
      <c r="FL395" s="406"/>
      <c r="FM395" s="406"/>
      <c r="FN395" s="368"/>
      <c r="FO395" s="368"/>
      <c r="FP395" s="368"/>
      <c r="FQ395" s="368"/>
      <c r="FR395" s="368"/>
      <c r="FS395" s="368"/>
      <c r="FT395" s="190"/>
    </row>
    <row r="396" spans="1:176" ht="12.75" hidden="1" customHeight="1" x14ac:dyDescent="0.2">
      <c r="A396" s="34" t="s">
        <v>248</v>
      </c>
      <c r="B396" s="184"/>
      <c r="C396" s="184"/>
      <c r="D396" s="184"/>
      <c r="E396" s="184"/>
      <c r="F396" s="279"/>
      <c r="G396" s="184"/>
      <c r="H396" s="184"/>
      <c r="I396" s="184"/>
      <c r="J396" s="184"/>
      <c r="K396" s="279"/>
      <c r="L396" s="184"/>
      <c r="M396" s="184"/>
      <c r="N396" s="184"/>
      <c r="O396" s="184"/>
      <c r="P396" s="279"/>
      <c r="Q396" s="184"/>
      <c r="R396" s="184"/>
      <c r="S396" s="184"/>
      <c r="T396" s="184"/>
      <c r="U396" s="279"/>
      <c r="V396" s="184"/>
      <c r="W396" s="184"/>
      <c r="X396" s="184"/>
      <c r="Y396" s="184"/>
      <c r="Z396" s="279"/>
      <c r="AA396" s="184"/>
      <c r="AB396" s="184"/>
      <c r="AC396" s="184"/>
      <c r="AD396" s="184"/>
      <c r="AE396" s="279"/>
      <c r="AF396" s="184"/>
      <c r="AG396" s="184"/>
      <c r="AH396" s="184"/>
      <c r="AI396" s="184"/>
      <c r="AJ396" s="279"/>
      <c r="AK396" s="184"/>
      <c r="AL396" s="184"/>
      <c r="AM396" s="184"/>
      <c r="AN396" s="184"/>
      <c r="AO396" s="279"/>
      <c r="AP396" s="184"/>
      <c r="AQ396" s="184"/>
      <c r="AR396" s="184"/>
      <c r="AS396" s="184"/>
      <c r="AT396" s="279"/>
      <c r="AU396" s="184"/>
      <c r="AV396" s="184"/>
      <c r="AW396" s="184"/>
      <c r="AX396" s="184"/>
      <c r="AY396" s="279"/>
      <c r="AZ396" s="184"/>
      <c r="BA396" s="184"/>
      <c r="BB396" s="184"/>
      <c r="BC396" s="184"/>
      <c r="BD396" s="279"/>
      <c r="BE396" s="184"/>
      <c r="BF396" s="184"/>
      <c r="BG396" s="184"/>
      <c r="BH396" s="184"/>
      <c r="BI396" s="279"/>
      <c r="BJ396" s="184"/>
      <c r="BK396" s="184"/>
      <c r="BL396" s="184"/>
      <c r="BM396" s="184"/>
      <c r="BN396" s="279"/>
      <c r="BO396" s="184"/>
      <c r="BP396" s="184"/>
      <c r="BQ396" s="184"/>
      <c r="BR396" s="184"/>
      <c r="BS396" s="279"/>
      <c r="BT396" s="184"/>
      <c r="BU396" s="184"/>
      <c r="BV396" s="184"/>
      <c r="BW396" s="184"/>
      <c r="BX396" s="279"/>
      <c r="BY396" s="184"/>
      <c r="BZ396" s="184"/>
      <c r="CA396" s="184"/>
      <c r="CB396" s="184"/>
      <c r="CC396" s="279"/>
      <c r="CD396" s="184"/>
      <c r="CE396" s="184"/>
      <c r="CF396" s="184"/>
      <c r="CG396" s="184"/>
      <c r="CH396" s="279"/>
      <c r="CI396" s="184"/>
      <c r="CJ396" s="184"/>
      <c r="CK396" s="184"/>
      <c r="CL396" s="184"/>
      <c r="CM396" s="279"/>
      <c r="CN396" s="184"/>
      <c r="CO396" s="184"/>
      <c r="CP396" s="184"/>
      <c r="CQ396" s="184"/>
      <c r="CR396" s="279"/>
      <c r="CS396" s="34">
        <f>CS370/CW376</f>
        <v>0.77258962633983252</v>
      </c>
      <c r="CT396" s="34">
        <f>CT370/CW376</f>
        <v>0.7781985817670074</v>
      </c>
      <c r="CU396" s="34" t="e">
        <f ca="1">CU370/DB376</f>
        <v>#NAME?</v>
      </c>
      <c r="CV396" s="34">
        <f>CV370/DB376</f>
        <v>0.90249342967172075</v>
      </c>
      <c r="CW396" s="105">
        <f>CW370/DB376</f>
        <v>0.90046206906059922</v>
      </c>
      <c r="CX396" s="34">
        <f>CX370/DB376</f>
        <v>0.97398734731757874</v>
      </c>
      <c r="CY396" s="34">
        <f>CY370/DB376</f>
        <v>0.84216703439541896</v>
      </c>
      <c r="CZ396" s="34">
        <f>CZ370/DG376</f>
        <v>0.82874817961894742</v>
      </c>
      <c r="DA396" s="34">
        <f>DA370/DG376</f>
        <v>0.80893132898154885</v>
      </c>
      <c r="DB396" s="105">
        <f>DB370/DG376</f>
        <v>0.81009566429854818</v>
      </c>
      <c r="DC396" s="34">
        <f>DC370/DG376</f>
        <v>0.7594644693535072</v>
      </c>
      <c r="DD396" s="34">
        <f>DD370/DG376</f>
        <v>0.6957863391083754</v>
      </c>
      <c r="DE396" s="34">
        <f>DE370/DL376</f>
        <v>0.70867785516297044</v>
      </c>
      <c r="DF396" s="34">
        <f>DF370/DL376</f>
        <v>0.71692877680847333</v>
      </c>
      <c r="DG396" s="105">
        <f>DG370/DL376</f>
        <v>0.72695059383228977</v>
      </c>
      <c r="DH396" s="34" t="e">
        <f>DH370/FF376</f>
        <v>#DIV/0!</v>
      </c>
      <c r="DI396" s="34" t="e">
        <f>DI370/FG376</f>
        <v>#DIV/0!</v>
      </c>
      <c r="DJ396" s="34" t="e">
        <f>DJ370/FH376</f>
        <v>#DIV/0!</v>
      </c>
      <c r="DK396" s="34" t="e">
        <f>DK370/FI376</f>
        <v>#DIV/0!</v>
      </c>
      <c r="DL396" s="105">
        <f>DL370/DQ376</f>
        <v>0.66446314677966101</v>
      </c>
      <c r="DM396" s="105"/>
      <c r="DN396" s="105"/>
      <c r="DO396" s="105"/>
      <c r="DP396" s="537"/>
      <c r="DQ396" s="105"/>
      <c r="DR396" s="547"/>
      <c r="DS396" s="105"/>
      <c r="DT396" s="105"/>
      <c r="DU396" s="105"/>
      <c r="DV396" s="105"/>
      <c r="DW396" s="547"/>
      <c r="DX396" s="105"/>
      <c r="DY396" s="105"/>
      <c r="DZ396" s="105"/>
      <c r="EA396" s="105"/>
      <c r="EB396" s="547"/>
      <c r="EC396" s="105"/>
      <c r="ED396" s="105"/>
      <c r="EE396" s="105"/>
      <c r="EF396" s="105"/>
      <c r="EG396" s="105"/>
      <c r="EH396" s="105"/>
      <c r="EI396" s="105"/>
      <c r="EJ396" s="105"/>
      <c r="EK396" s="105"/>
      <c r="EL396" s="105"/>
      <c r="EM396" s="105"/>
      <c r="EN396" s="105"/>
      <c r="EO396" s="105"/>
      <c r="EP396" s="105"/>
      <c r="EQ396" s="105"/>
      <c r="ER396" s="105"/>
      <c r="ES396" s="105"/>
      <c r="ET396" s="105"/>
      <c r="EU396" s="105"/>
      <c r="EV396" s="105"/>
      <c r="EW396" s="105"/>
      <c r="EX396" s="105"/>
      <c r="EY396" s="105"/>
      <c r="EZ396" s="105"/>
      <c r="FA396" s="105"/>
      <c r="FB396" s="105"/>
      <c r="FC396" s="105"/>
      <c r="FD396" s="105"/>
      <c r="FE396" s="105"/>
      <c r="FF396" s="40"/>
      <c r="FG396" s="190"/>
      <c r="FL396" s="406"/>
      <c r="FM396" s="406"/>
      <c r="FN396" s="368"/>
      <c r="FO396" s="368"/>
      <c r="FP396" s="368"/>
      <c r="FQ396" s="368"/>
      <c r="FR396" s="368"/>
      <c r="FS396" s="368"/>
      <c r="FT396" s="190"/>
    </row>
    <row r="397" spans="1:176" ht="12.75" hidden="1" customHeight="1" x14ac:dyDescent="0.2">
      <c r="A397" s="34" t="s">
        <v>249</v>
      </c>
      <c r="B397" s="184"/>
      <c r="C397" s="184"/>
      <c r="D397" s="184"/>
      <c r="E397" s="184"/>
      <c r="F397" s="279"/>
      <c r="G397" s="184"/>
      <c r="H397" s="184"/>
      <c r="I397" s="184"/>
      <c r="J397" s="184"/>
      <c r="K397" s="279"/>
      <c r="L397" s="184"/>
      <c r="M397" s="184"/>
      <c r="N397" s="184"/>
      <c r="O397" s="184"/>
      <c r="P397" s="279"/>
      <c r="Q397" s="184"/>
      <c r="R397" s="184"/>
      <c r="S397" s="184"/>
      <c r="T397" s="184"/>
      <c r="U397" s="279"/>
      <c r="V397" s="184"/>
      <c r="W397" s="184"/>
      <c r="X397" s="184"/>
      <c r="Y397" s="184"/>
      <c r="Z397" s="279"/>
      <c r="AA397" s="184"/>
      <c r="AB397" s="184"/>
      <c r="AC397" s="184"/>
      <c r="AD397" s="184"/>
      <c r="AE397" s="279"/>
      <c r="AF397" s="184"/>
      <c r="AG397" s="184"/>
      <c r="AH397" s="184"/>
      <c r="AI397" s="184"/>
      <c r="AJ397" s="279"/>
      <c r="AK397" s="184"/>
      <c r="AL397" s="184"/>
      <c r="AM397" s="184"/>
      <c r="AN397" s="184"/>
      <c r="AO397" s="279"/>
      <c r="AP397" s="184"/>
      <c r="AQ397" s="184"/>
      <c r="AR397" s="184"/>
      <c r="AS397" s="184"/>
      <c r="AT397" s="279"/>
      <c r="AU397" s="184"/>
      <c r="AV397" s="184"/>
      <c r="AW397" s="184"/>
      <c r="AX397" s="184"/>
      <c r="AY397" s="279"/>
      <c r="AZ397" s="184"/>
      <c r="BA397" s="184"/>
      <c r="BB397" s="184"/>
      <c r="BC397" s="184"/>
      <c r="BD397" s="279"/>
      <c r="BE397" s="184"/>
      <c r="BF397" s="184"/>
      <c r="BG397" s="184"/>
      <c r="BH397" s="184"/>
      <c r="BI397" s="279"/>
      <c r="BJ397" s="184"/>
      <c r="BK397" s="184"/>
      <c r="BL397" s="184"/>
      <c r="BM397" s="184"/>
      <c r="BN397" s="279"/>
      <c r="BO397" s="184"/>
      <c r="BP397" s="184"/>
      <c r="BQ397" s="184"/>
      <c r="BR397" s="184"/>
      <c r="BS397" s="279"/>
      <c r="BT397" s="184"/>
      <c r="BU397" s="184"/>
      <c r="BV397" s="184"/>
      <c r="BW397" s="184"/>
      <c r="BX397" s="279"/>
      <c r="BY397" s="184"/>
      <c r="BZ397" s="184"/>
      <c r="CA397" s="184"/>
      <c r="CB397" s="184"/>
      <c r="CC397" s="279"/>
      <c r="CD397" s="184"/>
      <c r="CE397" s="184"/>
      <c r="CF397" s="184"/>
      <c r="CG397" s="184"/>
      <c r="CH397" s="279"/>
      <c r="CI397" s="184"/>
      <c r="CJ397" s="184"/>
      <c r="CK397" s="184"/>
      <c r="CL397" s="184"/>
      <c r="CM397" s="279"/>
      <c r="CN397" s="184"/>
      <c r="CO397" s="184"/>
      <c r="CP397" s="184"/>
      <c r="CQ397" s="184"/>
      <c r="CR397" s="279"/>
      <c r="CS397" s="34">
        <f>CS370/CW382</f>
        <v>5.4167848908141583</v>
      </c>
      <c r="CT397" s="34">
        <f>CT370/CW382</f>
        <v>5.4561104317939266</v>
      </c>
      <c r="CU397" s="34" t="e">
        <f ca="1">CU370/DB382</f>
        <v>#NAME?</v>
      </c>
      <c r="CV397" s="34">
        <f>CV370/DB382</f>
        <v>5.4635476153523559</v>
      </c>
      <c r="CW397" s="105">
        <f>CW370/DB382</f>
        <v>5.4512500904530876</v>
      </c>
      <c r="CX397" s="34">
        <f>CX370/DB382</f>
        <v>5.8963600995477359</v>
      </c>
      <c r="CY397" s="34">
        <f>CY370/DB382</f>
        <v>5.0983414850711286</v>
      </c>
      <c r="CZ397" s="34">
        <f>CZ370/DG382</f>
        <v>7.0815511494344019</v>
      </c>
      <c r="DA397" s="34">
        <f>DA370/DG382</f>
        <v>6.9122186008260122</v>
      </c>
      <c r="DB397" s="105">
        <f>DB370/DG382</f>
        <v>6.9221677027428514</v>
      </c>
      <c r="DC397" s="34">
        <f>DC370/DG382</f>
        <v>6.4895303762570782</v>
      </c>
      <c r="DD397" s="34">
        <f>DD370/DG382</f>
        <v>5.9454085941270884</v>
      </c>
      <c r="DE397" s="34">
        <f>DE370/DL382</f>
        <v>5.9423924763886173</v>
      </c>
      <c r="DF397" s="34">
        <f>DF370/DL382</f>
        <v>6.0115779523454371</v>
      </c>
      <c r="DG397" s="105">
        <f>DG370/DL382</f>
        <v>6.0956127075564277</v>
      </c>
      <c r="DH397" s="34" t="e">
        <f>DH370/FF382</f>
        <v>#DIV/0!</v>
      </c>
      <c r="DI397" s="34" t="e">
        <f>DI370/FG382</f>
        <v>#DIV/0!</v>
      </c>
      <c r="DJ397" s="34" t="e">
        <f>DJ370/FH382</f>
        <v>#DIV/0!</v>
      </c>
      <c r="DK397" s="34" t="e">
        <f>DK370/FI382</f>
        <v>#DIV/0!</v>
      </c>
      <c r="DL397" s="105">
        <f>DL370/DQ382</f>
        <v>4.3949916659192825</v>
      </c>
      <c r="DM397" s="105"/>
      <c r="DN397" s="105"/>
      <c r="DO397" s="105"/>
      <c r="DP397" s="537"/>
      <c r="DQ397" s="105"/>
      <c r="DR397" s="547"/>
      <c r="DS397" s="105"/>
      <c r="DT397" s="105"/>
      <c r="DU397" s="105"/>
      <c r="DV397" s="105"/>
      <c r="DW397" s="547"/>
      <c r="DX397" s="105"/>
      <c r="DY397" s="105"/>
      <c r="DZ397" s="105"/>
      <c r="EA397" s="105"/>
      <c r="EB397" s="547"/>
      <c r="EC397" s="105"/>
      <c r="ED397" s="105"/>
      <c r="EE397" s="105"/>
      <c r="EF397" s="105"/>
      <c r="EG397" s="105"/>
      <c r="EH397" s="105"/>
      <c r="EI397" s="105"/>
      <c r="EJ397" s="105"/>
      <c r="EK397" s="105"/>
      <c r="EL397" s="105"/>
      <c r="EM397" s="105"/>
      <c r="EN397" s="105"/>
      <c r="EO397" s="105"/>
      <c r="EP397" s="105"/>
      <c r="EQ397" s="105"/>
      <c r="ER397" s="105"/>
      <c r="ES397" s="105"/>
      <c r="ET397" s="105"/>
      <c r="EU397" s="105"/>
      <c r="EV397" s="105"/>
      <c r="EW397" s="105"/>
      <c r="EX397" s="105"/>
      <c r="EY397" s="105"/>
      <c r="EZ397" s="105"/>
      <c r="FA397" s="105"/>
      <c r="FB397" s="105"/>
      <c r="FC397" s="105"/>
      <c r="FD397" s="105"/>
      <c r="FE397" s="105"/>
      <c r="FF397" s="40"/>
      <c r="FG397" s="190"/>
      <c r="FL397" s="406"/>
      <c r="FM397" s="406"/>
      <c r="FN397" s="368"/>
      <c r="FO397" s="368"/>
      <c r="FP397" s="368"/>
      <c r="FQ397" s="368"/>
      <c r="FR397" s="368"/>
      <c r="FS397" s="368"/>
      <c r="FT397" s="190"/>
    </row>
    <row r="398" spans="1:176" ht="12.75" hidden="1" customHeight="1" x14ac:dyDescent="0.2">
      <c r="A398" s="57" t="s">
        <v>290</v>
      </c>
      <c r="B398" s="184"/>
      <c r="C398" s="184"/>
      <c r="D398" s="184"/>
      <c r="E398" s="184"/>
      <c r="F398" s="279"/>
      <c r="G398" s="184"/>
      <c r="H398" s="184"/>
      <c r="I398" s="184"/>
      <c r="J398" s="184"/>
      <c r="K398" s="279"/>
      <c r="L398" s="184"/>
      <c r="M398" s="184"/>
      <c r="N398" s="184"/>
      <c r="O398" s="184"/>
      <c r="P398" s="279"/>
      <c r="Q398" s="184"/>
      <c r="R398" s="184"/>
      <c r="S398" s="184"/>
      <c r="T398" s="184"/>
      <c r="U398" s="279"/>
      <c r="V398" s="184"/>
      <c r="W398" s="184"/>
      <c r="X398" s="184"/>
      <c r="Y398" s="184"/>
      <c r="Z398" s="279"/>
      <c r="AA398" s="184"/>
      <c r="AB398" s="184"/>
      <c r="AC398" s="184"/>
      <c r="AD398" s="184"/>
      <c r="AE398" s="279"/>
      <c r="AF398" s="184"/>
      <c r="AG398" s="184"/>
      <c r="AH398" s="184"/>
      <c r="AI398" s="184"/>
      <c r="AJ398" s="279"/>
      <c r="AK398" s="184"/>
      <c r="AL398" s="184"/>
      <c r="AM398" s="184"/>
      <c r="AN398" s="184"/>
      <c r="AO398" s="279"/>
      <c r="AP398" s="184"/>
      <c r="AQ398" s="184"/>
      <c r="AR398" s="184"/>
      <c r="AS398" s="184"/>
      <c r="AT398" s="279"/>
      <c r="AU398" s="184"/>
      <c r="AV398" s="184"/>
      <c r="AW398" s="184"/>
      <c r="AX398" s="184"/>
      <c r="AY398" s="279"/>
      <c r="AZ398" s="184"/>
      <c r="BA398" s="184"/>
      <c r="BB398" s="184"/>
      <c r="BC398" s="184"/>
      <c r="BD398" s="279"/>
      <c r="BE398" s="184"/>
      <c r="BF398" s="184"/>
      <c r="BG398" s="184"/>
      <c r="BH398" s="184"/>
      <c r="BI398" s="279"/>
      <c r="BJ398" s="184"/>
      <c r="BK398" s="184"/>
      <c r="BL398" s="184"/>
      <c r="BM398" s="184"/>
      <c r="BN398" s="279"/>
      <c r="BO398" s="184"/>
      <c r="BP398" s="184"/>
      <c r="BQ398" s="184"/>
      <c r="BR398" s="184"/>
      <c r="BS398" s="279"/>
      <c r="BT398" s="184"/>
      <c r="BU398" s="184"/>
      <c r="BV398" s="184"/>
      <c r="BW398" s="184"/>
      <c r="BX398" s="279"/>
      <c r="BY398" s="184"/>
      <c r="BZ398" s="184"/>
      <c r="CA398" s="184"/>
      <c r="CB398" s="184"/>
      <c r="CC398" s="279"/>
      <c r="CD398" s="184"/>
      <c r="CE398" s="184"/>
      <c r="CF398" s="184"/>
      <c r="CG398" s="184"/>
      <c r="CH398" s="279"/>
      <c r="CI398" s="184"/>
      <c r="CJ398" s="184"/>
      <c r="CK398" s="184"/>
      <c r="CL398" s="184"/>
      <c r="CM398" s="279"/>
      <c r="CN398" s="184"/>
      <c r="CO398" s="184"/>
      <c r="CP398" s="184"/>
      <c r="CQ398" s="184"/>
      <c r="CR398" s="279"/>
      <c r="CS398" s="34"/>
      <c r="CT398" s="34"/>
      <c r="CU398" s="34"/>
      <c r="CV398" s="34"/>
      <c r="CW398" s="105"/>
      <c r="CX398" s="34"/>
      <c r="CY398" s="34"/>
      <c r="CZ398" s="34"/>
      <c r="DA398" s="34"/>
      <c r="DB398" s="105"/>
      <c r="DC398" s="34"/>
      <c r="DD398" s="34"/>
      <c r="DE398" s="34"/>
      <c r="DF398" s="34"/>
      <c r="DG398" s="105"/>
      <c r="DH398" s="34"/>
      <c r="DI398" s="34"/>
      <c r="DJ398" s="34"/>
      <c r="DK398" s="34"/>
      <c r="DL398" s="105"/>
      <c r="DM398" s="105"/>
      <c r="DN398" s="105"/>
      <c r="DO398" s="105"/>
      <c r="DP398" s="537"/>
      <c r="DQ398" s="105"/>
      <c r="DR398" s="547"/>
      <c r="DS398" s="105"/>
      <c r="DT398" s="105"/>
      <c r="DU398" s="105"/>
      <c r="DV398" s="105"/>
      <c r="DW398" s="547"/>
      <c r="DX398" s="105"/>
      <c r="DY398" s="105"/>
      <c r="DZ398" s="105"/>
      <c r="EA398" s="105"/>
      <c r="EB398" s="547"/>
      <c r="EC398" s="105"/>
      <c r="ED398" s="105"/>
      <c r="EE398" s="105"/>
      <c r="EF398" s="105"/>
      <c r="EG398" s="105"/>
      <c r="EH398" s="105"/>
      <c r="EI398" s="105"/>
      <c r="EJ398" s="105"/>
      <c r="EK398" s="105"/>
      <c r="EL398" s="105"/>
      <c r="EM398" s="105"/>
      <c r="EN398" s="105"/>
      <c r="EO398" s="105"/>
      <c r="EP398" s="105"/>
      <c r="EQ398" s="105"/>
      <c r="ER398" s="105"/>
      <c r="ES398" s="105"/>
      <c r="ET398" s="105"/>
      <c r="EU398" s="105"/>
      <c r="EV398" s="105"/>
      <c r="EW398" s="105"/>
      <c r="EX398" s="105"/>
      <c r="EY398" s="105"/>
      <c r="EZ398" s="105"/>
      <c r="FA398" s="105"/>
      <c r="FB398" s="105"/>
      <c r="FC398" s="105"/>
      <c r="FD398" s="105"/>
      <c r="FE398" s="105"/>
      <c r="FF398" s="40"/>
      <c r="FG398" s="190"/>
      <c r="FL398" s="406"/>
      <c r="FM398" s="406"/>
      <c r="FN398" s="368"/>
      <c r="FO398" s="368"/>
      <c r="FP398" s="368"/>
      <c r="FQ398" s="368"/>
      <c r="FR398" s="368"/>
      <c r="FS398" s="368"/>
      <c r="FT398" s="190"/>
    </row>
    <row r="399" spans="1:176" ht="12.75" hidden="1" customHeight="1" x14ac:dyDescent="0.2">
      <c r="A399" s="34" t="s">
        <v>248</v>
      </c>
      <c r="B399" s="184"/>
      <c r="C399" s="184"/>
      <c r="D399" s="184"/>
      <c r="E399" s="184"/>
      <c r="F399" s="279"/>
      <c r="G399" s="184"/>
      <c r="H399" s="184"/>
      <c r="I399" s="184"/>
      <c r="J399" s="184"/>
      <c r="K399" s="279"/>
      <c r="L399" s="184"/>
      <c r="M399" s="184"/>
      <c r="N399" s="184"/>
      <c r="O399" s="184"/>
      <c r="P399" s="279"/>
      <c r="Q399" s="184"/>
      <c r="R399" s="184"/>
      <c r="S399" s="184"/>
      <c r="T399" s="184"/>
      <c r="U399" s="279"/>
      <c r="V399" s="184"/>
      <c r="W399" s="184"/>
      <c r="X399" s="184"/>
      <c r="Y399" s="184"/>
      <c r="Z399" s="279"/>
      <c r="AA399" s="184"/>
      <c r="AB399" s="184"/>
      <c r="AC399" s="184"/>
      <c r="AD399" s="184"/>
      <c r="AE399" s="279"/>
      <c r="AF399" s="184"/>
      <c r="AG399" s="184"/>
      <c r="AH399" s="184"/>
      <c r="AI399" s="184"/>
      <c r="AJ399" s="279"/>
      <c r="AK399" s="184"/>
      <c r="AL399" s="184"/>
      <c r="AM399" s="184"/>
      <c r="AN399" s="184"/>
      <c r="AO399" s="279"/>
      <c r="AP399" s="184"/>
      <c r="AQ399" s="184"/>
      <c r="AR399" s="184"/>
      <c r="AS399" s="184"/>
      <c r="AT399" s="279"/>
      <c r="AU399" s="184"/>
      <c r="AV399" s="184"/>
      <c r="AW399" s="184"/>
      <c r="AX399" s="184"/>
      <c r="AY399" s="279"/>
      <c r="AZ399" s="184"/>
      <c r="BA399" s="184"/>
      <c r="BB399" s="184"/>
      <c r="BC399" s="184"/>
      <c r="BD399" s="279"/>
      <c r="BE399" s="184"/>
      <c r="BF399" s="184"/>
      <c r="BG399" s="184"/>
      <c r="BH399" s="184"/>
      <c r="BI399" s="279"/>
      <c r="BJ399" s="184"/>
      <c r="BK399" s="184"/>
      <c r="BL399" s="184"/>
      <c r="BM399" s="184"/>
      <c r="BN399" s="279"/>
      <c r="BO399" s="184"/>
      <c r="BP399" s="184"/>
      <c r="BQ399" s="184"/>
      <c r="BR399" s="184"/>
      <c r="BS399" s="279"/>
      <c r="BT399" s="184"/>
      <c r="BU399" s="184"/>
      <c r="BV399" s="184"/>
      <c r="BW399" s="184"/>
      <c r="BX399" s="279"/>
      <c r="BY399" s="184"/>
      <c r="BZ399" s="184"/>
      <c r="CA399" s="184"/>
      <c r="CB399" s="184"/>
      <c r="CC399" s="279"/>
      <c r="CD399" s="184"/>
      <c r="CE399" s="184"/>
      <c r="CF399" s="184"/>
      <c r="CG399" s="184"/>
      <c r="CH399" s="279"/>
      <c r="CI399" s="184"/>
      <c r="CJ399" s="184"/>
      <c r="CK399" s="184"/>
      <c r="CL399" s="184"/>
      <c r="CM399" s="279"/>
      <c r="CN399" s="184"/>
      <c r="CO399" s="184"/>
      <c r="CP399" s="184"/>
      <c r="CQ399" s="184"/>
      <c r="CR399" s="279"/>
      <c r="CS399" s="34">
        <f>CS371/CW376</f>
        <v>0.77967360592390322</v>
      </c>
      <c r="CT399" s="34">
        <f>CT371/CW376</f>
        <v>0.78377410458602048</v>
      </c>
      <c r="CU399" s="34" t="e">
        <f ca="1">CU371/DB376</f>
        <v>#NAME?</v>
      </c>
      <c r="CV399" s="34">
        <f>CV371/DB376</f>
        <v>0.90605153197459876</v>
      </c>
      <c r="CW399" s="105">
        <f>CW371/DB376</f>
        <v>0.90402017136347712</v>
      </c>
      <c r="CX399" s="34">
        <f>CX371/DB376</f>
        <v>0.97759251518441737</v>
      </c>
      <c r="CY399" s="34">
        <f>CY371/DB376</f>
        <v>0.8458219844532866</v>
      </c>
      <c r="CZ399" s="34">
        <f>CZ371/DG376</f>
        <v>0.83269574681541725</v>
      </c>
      <c r="DA399" s="34">
        <f>DA371/DG376</f>
        <v>0.81210872587824634</v>
      </c>
      <c r="DB399" s="105">
        <f>DB371/DG376</f>
        <v>0.81327306119524578</v>
      </c>
      <c r="DC399" s="34">
        <f>DC371/DG376</f>
        <v>0.76259793743801996</v>
      </c>
      <c r="DD399" s="34">
        <f>DD371/DG376</f>
        <v>0.6957863391083754</v>
      </c>
      <c r="DE399" s="34">
        <f>DE371/DL376</f>
        <v>0.70867785516297044</v>
      </c>
      <c r="DF399" s="34">
        <f>DF371/DL376</f>
        <v>0.71692877680847333</v>
      </c>
      <c r="DG399" s="105">
        <f>DG371/DL376</f>
        <v>0.72695059383228977</v>
      </c>
      <c r="DH399" s="34" t="e">
        <f>DH371/FF376</f>
        <v>#DIV/0!</v>
      </c>
      <c r="DI399" s="34" t="e">
        <f>DI371/FG376</f>
        <v>#DIV/0!</v>
      </c>
      <c r="DJ399" s="34" t="e">
        <f>DJ371/FH376</f>
        <v>#DIV/0!</v>
      </c>
      <c r="DK399" s="34" t="e">
        <f>DK371/FI376</f>
        <v>#DIV/0!</v>
      </c>
      <c r="DL399" s="105">
        <f>DL371/DQ376</f>
        <v>0.66446314677966101</v>
      </c>
      <c r="DM399" s="105"/>
      <c r="DN399" s="105"/>
      <c r="DO399" s="105"/>
      <c r="DP399" s="537"/>
      <c r="DQ399" s="105"/>
      <c r="DR399" s="547"/>
      <c r="DS399" s="105"/>
      <c r="DT399" s="105"/>
      <c r="DU399" s="105"/>
      <c r="DV399" s="105"/>
      <c r="DW399" s="547"/>
      <c r="DX399" s="105"/>
      <c r="DY399" s="105"/>
      <c r="DZ399" s="105"/>
      <c r="EA399" s="105"/>
      <c r="EB399" s="547"/>
      <c r="EC399" s="105"/>
      <c r="ED399" s="105"/>
      <c r="EE399" s="105"/>
      <c r="EF399" s="105"/>
      <c r="EG399" s="105"/>
      <c r="EH399" s="105"/>
      <c r="EI399" s="105"/>
      <c r="EJ399" s="105"/>
      <c r="EK399" s="105"/>
      <c r="EL399" s="105"/>
      <c r="EM399" s="105"/>
      <c r="EN399" s="105"/>
      <c r="EO399" s="105"/>
      <c r="EP399" s="105"/>
      <c r="EQ399" s="105"/>
      <c r="ER399" s="105"/>
      <c r="ES399" s="105"/>
      <c r="ET399" s="105"/>
      <c r="EU399" s="105"/>
      <c r="EV399" s="105"/>
      <c r="EW399" s="105"/>
      <c r="EX399" s="105"/>
      <c r="EY399" s="105"/>
      <c r="EZ399" s="105"/>
      <c r="FA399" s="105"/>
      <c r="FB399" s="105"/>
      <c r="FC399" s="105"/>
      <c r="FD399" s="105"/>
      <c r="FE399" s="105"/>
      <c r="FF399" s="40"/>
      <c r="FG399" s="190"/>
      <c r="FL399" s="406"/>
      <c r="FM399" s="406"/>
      <c r="FN399" s="368"/>
      <c r="FO399" s="368"/>
      <c r="FP399" s="368"/>
      <c r="FQ399" s="368"/>
      <c r="FR399" s="368"/>
      <c r="FS399" s="368"/>
      <c r="FT399" s="190"/>
    </row>
    <row r="400" spans="1:176" ht="12.75" hidden="1" customHeight="1" x14ac:dyDescent="0.2">
      <c r="A400" s="34" t="s">
        <v>249</v>
      </c>
      <c r="B400" s="184"/>
      <c r="C400" s="184"/>
      <c r="D400" s="184"/>
      <c r="E400" s="184"/>
      <c r="F400" s="279"/>
      <c r="G400" s="184"/>
      <c r="H400" s="184"/>
      <c r="I400" s="184"/>
      <c r="J400" s="184"/>
      <c r="K400" s="279"/>
      <c r="L400" s="184"/>
      <c r="M400" s="184"/>
      <c r="N400" s="184"/>
      <c r="O400" s="184"/>
      <c r="P400" s="279"/>
      <c r="Q400" s="184"/>
      <c r="R400" s="184"/>
      <c r="S400" s="184"/>
      <c r="T400" s="184"/>
      <c r="U400" s="279"/>
      <c r="V400" s="184"/>
      <c r="W400" s="184"/>
      <c r="X400" s="184"/>
      <c r="Y400" s="184"/>
      <c r="Z400" s="279"/>
      <c r="AA400" s="184"/>
      <c r="AB400" s="184"/>
      <c r="AC400" s="184"/>
      <c r="AD400" s="184"/>
      <c r="AE400" s="279"/>
      <c r="AF400" s="184"/>
      <c r="AG400" s="184"/>
      <c r="AH400" s="184"/>
      <c r="AI400" s="184"/>
      <c r="AJ400" s="279"/>
      <c r="AK400" s="184"/>
      <c r="AL400" s="184"/>
      <c r="AM400" s="184"/>
      <c r="AN400" s="184"/>
      <c r="AO400" s="279"/>
      <c r="AP400" s="184"/>
      <c r="AQ400" s="184"/>
      <c r="AR400" s="184"/>
      <c r="AS400" s="184"/>
      <c r="AT400" s="279"/>
      <c r="AU400" s="184"/>
      <c r="AV400" s="184"/>
      <c r="AW400" s="184"/>
      <c r="AX400" s="184"/>
      <c r="AY400" s="279"/>
      <c r="AZ400" s="184"/>
      <c r="BA400" s="184"/>
      <c r="BB400" s="184"/>
      <c r="BC400" s="184"/>
      <c r="BD400" s="279"/>
      <c r="BE400" s="184"/>
      <c r="BF400" s="184"/>
      <c r="BG400" s="184"/>
      <c r="BH400" s="184"/>
      <c r="BI400" s="279"/>
      <c r="BJ400" s="184"/>
      <c r="BK400" s="184"/>
      <c r="BL400" s="184"/>
      <c r="BM400" s="184"/>
      <c r="BN400" s="279"/>
      <c r="BO400" s="184"/>
      <c r="BP400" s="184"/>
      <c r="BQ400" s="184"/>
      <c r="BR400" s="184"/>
      <c r="BS400" s="279"/>
      <c r="BT400" s="184"/>
      <c r="BU400" s="184"/>
      <c r="BV400" s="184"/>
      <c r="BW400" s="184"/>
      <c r="BX400" s="279"/>
      <c r="BY400" s="184"/>
      <c r="BZ400" s="184"/>
      <c r="CA400" s="184"/>
      <c r="CB400" s="184"/>
      <c r="CC400" s="279"/>
      <c r="CD400" s="184"/>
      <c r="CE400" s="184"/>
      <c r="CF400" s="184"/>
      <c r="CG400" s="184"/>
      <c r="CH400" s="279"/>
      <c r="CI400" s="184"/>
      <c r="CJ400" s="184"/>
      <c r="CK400" s="184"/>
      <c r="CL400" s="184"/>
      <c r="CM400" s="279"/>
      <c r="CN400" s="184"/>
      <c r="CO400" s="184"/>
      <c r="CP400" s="184"/>
      <c r="CQ400" s="184"/>
      <c r="CR400" s="279"/>
      <c r="CS400" s="34">
        <f>CS371/CW382</f>
        <v>5.4664521297591344</v>
      </c>
      <c r="CT400" s="34">
        <f>CT371/CW382</f>
        <v>5.4952015698765075</v>
      </c>
      <c r="CU400" s="34" t="e">
        <f ca="1">CU371/DB382</f>
        <v>#NAME?</v>
      </c>
      <c r="CV400" s="34">
        <f>CV371/DB382</f>
        <v>5.4850877847463213</v>
      </c>
      <c r="CW400" s="105">
        <f>CW371/DB382</f>
        <v>5.4727902598470521</v>
      </c>
      <c r="CX400" s="34">
        <f>CX371/DB382</f>
        <v>5.9181851961680794</v>
      </c>
      <c r="CY400" s="34">
        <f>CY371/DB382</f>
        <v>5.1204679549338046</v>
      </c>
      <c r="CZ400" s="34">
        <f>CZ371/DG382</f>
        <v>7.1152826250564463</v>
      </c>
      <c r="DA400" s="34">
        <f>DA371/DG382</f>
        <v>6.9393690660691014</v>
      </c>
      <c r="DB400" s="105">
        <f>DB371/DG382</f>
        <v>6.9493181679859406</v>
      </c>
      <c r="DC400" s="34">
        <f>DC371/DG382</f>
        <v>6.5163054752090908</v>
      </c>
      <c r="DD400" s="34">
        <f>DD371/DG382</f>
        <v>5.9454085941270884</v>
      </c>
      <c r="DE400" s="34">
        <f>DE371/DL382</f>
        <v>5.9423924763886173</v>
      </c>
      <c r="DF400" s="34">
        <f>DF371/DL382</f>
        <v>6.0115779523454371</v>
      </c>
      <c r="DG400" s="105">
        <f>DG371/DL382</f>
        <v>6.0956127075564277</v>
      </c>
      <c r="DH400" s="34" t="e">
        <f>DH371/FF382</f>
        <v>#DIV/0!</v>
      </c>
      <c r="DI400" s="34" t="e">
        <f>DI371/FG382</f>
        <v>#DIV/0!</v>
      </c>
      <c r="DJ400" s="34" t="e">
        <f>DJ371/FH382</f>
        <v>#DIV/0!</v>
      </c>
      <c r="DK400" s="34" t="e">
        <f>DK371/FI382</f>
        <v>#DIV/0!</v>
      </c>
      <c r="DL400" s="105">
        <f>DL371/DQ382</f>
        <v>4.3949916659192825</v>
      </c>
      <c r="DM400" s="105"/>
      <c r="DN400" s="105"/>
      <c r="DO400" s="105"/>
      <c r="DP400" s="537"/>
      <c r="DQ400" s="105"/>
      <c r="DR400" s="547"/>
      <c r="DS400" s="105"/>
      <c r="DT400" s="105"/>
      <c r="DU400" s="105"/>
      <c r="DV400" s="105"/>
      <c r="DW400" s="547"/>
      <c r="DX400" s="105"/>
      <c r="DY400" s="105"/>
      <c r="DZ400" s="105"/>
      <c r="EA400" s="105"/>
      <c r="EB400" s="547"/>
      <c r="EC400" s="105"/>
      <c r="ED400" s="105"/>
      <c r="EE400" s="105"/>
      <c r="EF400" s="105"/>
      <c r="EG400" s="105"/>
      <c r="EH400" s="105"/>
      <c r="EI400" s="105"/>
      <c r="EJ400" s="105"/>
      <c r="EK400" s="105"/>
      <c r="EL400" s="105"/>
      <c r="EM400" s="105"/>
      <c r="EN400" s="105"/>
      <c r="EO400" s="105"/>
      <c r="EP400" s="105"/>
      <c r="EQ400" s="105"/>
      <c r="ER400" s="105"/>
      <c r="ES400" s="105"/>
      <c r="ET400" s="105"/>
      <c r="EU400" s="105"/>
      <c r="EV400" s="105"/>
      <c r="EW400" s="105"/>
      <c r="EX400" s="105"/>
      <c r="EY400" s="105"/>
      <c r="EZ400" s="105"/>
      <c r="FA400" s="105"/>
      <c r="FB400" s="105"/>
      <c r="FC400" s="105"/>
      <c r="FD400" s="105"/>
      <c r="FE400" s="105"/>
      <c r="FF400" s="40"/>
      <c r="FG400" s="190"/>
      <c r="FL400" s="406"/>
      <c r="FM400" s="406"/>
      <c r="FN400" s="368"/>
      <c r="FO400" s="368"/>
      <c r="FP400" s="368"/>
      <c r="FQ400" s="368"/>
      <c r="FR400" s="368"/>
      <c r="FS400" s="368"/>
      <c r="FT400" s="190"/>
    </row>
    <row r="401" spans="1:183" ht="12.75" hidden="1" customHeight="1" x14ac:dyDescent="0.2">
      <c r="A401" s="57" t="s">
        <v>291</v>
      </c>
      <c r="B401" s="184"/>
      <c r="C401" s="184"/>
      <c r="D401" s="184"/>
      <c r="E401" s="184"/>
      <c r="F401" s="279"/>
      <c r="G401" s="184"/>
      <c r="H401" s="184"/>
      <c r="I401" s="184"/>
      <c r="J401" s="184"/>
      <c r="K401" s="279"/>
      <c r="L401" s="184"/>
      <c r="M401" s="184"/>
      <c r="N401" s="184"/>
      <c r="O401" s="184"/>
      <c r="P401" s="279"/>
      <c r="Q401" s="184"/>
      <c r="R401" s="184"/>
      <c r="S401" s="184"/>
      <c r="T401" s="184"/>
      <c r="U401" s="279"/>
      <c r="V401" s="184"/>
      <c r="W401" s="184"/>
      <c r="X401" s="184"/>
      <c r="Y401" s="184"/>
      <c r="Z401" s="279"/>
      <c r="AA401" s="184"/>
      <c r="AB401" s="184"/>
      <c r="AC401" s="184"/>
      <c r="AD401" s="184"/>
      <c r="AE401" s="279"/>
      <c r="AF401" s="184"/>
      <c r="AG401" s="184"/>
      <c r="AH401" s="184"/>
      <c r="AI401" s="184"/>
      <c r="AJ401" s="279"/>
      <c r="AK401" s="184"/>
      <c r="AL401" s="184"/>
      <c r="AM401" s="184"/>
      <c r="AN401" s="184"/>
      <c r="AO401" s="279"/>
      <c r="AP401" s="184"/>
      <c r="AQ401" s="184"/>
      <c r="AR401" s="184"/>
      <c r="AS401" s="184"/>
      <c r="AT401" s="279"/>
      <c r="AU401" s="184"/>
      <c r="AV401" s="184"/>
      <c r="AW401" s="184"/>
      <c r="AX401" s="184"/>
      <c r="AY401" s="279"/>
      <c r="AZ401" s="184"/>
      <c r="BA401" s="184"/>
      <c r="BB401" s="184"/>
      <c r="BC401" s="184"/>
      <c r="BD401" s="279"/>
      <c r="BE401" s="184"/>
      <c r="BF401" s="184"/>
      <c r="BG401" s="184"/>
      <c r="BH401" s="184"/>
      <c r="BI401" s="279"/>
      <c r="BJ401" s="184"/>
      <c r="BK401" s="184"/>
      <c r="BL401" s="184"/>
      <c r="BM401" s="184"/>
      <c r="BN401" s="279"/>
      <c r="BO401" s="184"/>
      <c r="BP401" s="184"/>
      <c r="BQ401" s="184"/>
      <c r="BR401" s="184"/>
      <c r="BS401" s="279"/>
      <c r="BT401" s="184"/>
      <c r="BU401" s="184"/>
      <c r="BV401" s="184"/>
      <c r="BW401" s="184"/>
      <c r="BX401" s="279"/>
      <c r="BY401" s="184"/>
      <c r="BZ401" s="184"/>
      <c r="CA401" s="184"/>
      <c r="CB401" s="184"/>
      <c r="CC401" s="279"/>
      <c r="CD401" s="184"/>
      <c r="CE401" s="184"/>
      <c r="CF401" s="184"/>
      <c r="CG401" s="184"/>
      <c r="CH401" s="279"/>
      <c r="CI401" s="184"/>
      <c r="CJ401" s="184"/>
      <c r="CK401" s="184"/>
      <c r="CL401" s="184"/>
      <c r="CM401" s="279"/>
      <c r="CN401" s="184"/>
      <c r="CO401" s="184"/>
      <c r="CP401" s="184"/>
      <c r="CQ401" s="184"/>
      <c r="CR401" s="279"/>
      <c r="CS401" s="34"/>
      <c r="CT401" s="34"/>
      <c r="CU401" s="34"/>
      <c r="CV401" s="34"/>
      <c r="CW401" s="105"/>
      <c r="CX401" s="34"/>
      <c r="CY401" s="34"/>
      <c r="CZ401" s="34"/>
      <c r="DA401" s="34"/>
      <c r="DB401" s="105"/>
      <c r="DC401" s="34"/>
      <c r="DD401" s="34"/>
      <c r="DE401" s="34"/>
      <c r="DF401" s="34"/>
      <c r="DG401" s="105"/>
      <c r="DH401" s="34"/>
      <c r="DI401" s="34"/>
      <c r="DJ401" s="34"/>
      <c r="DK401" s="34"/>
      <c r="DL401" s="105"/>
      <c r="DM401" s="105"/>
      <c r="DN401" s="105"/>
      <c r="DO401" s="105"/>
      <c r="DP401" s="537"/>
      <c r="DQ401" s="105"/>
      <c r="DR401" s="547"/>
      <c r="DS401" s="105"/>
      <c r="DT401" s="105"/>
      <c r="DU401" s="105"/>
      <c r="DV401" s="105"/>
      <c r="DW401" s="547"/>
      <c r="DX401" s="105"/>
      <c r="DY401" s="105"/>
      <c r="DZ401" s="105"/>
      <c r="EA401" s="105"/>
      <c r="EB401" s="547"/>
      <c r="EC401" s="105"/>
      <c r="ED401" s="105"/>
      <c r="EE401" s="105"/>
      <c r="EF401" s="105"/>
      <c r="EG401" s="105"/>
      <c r="EH401" s="105"/>
      <c r="EI401" s="105"/>
      <c r="EJ401" s="105"/>
      <c r="EK401" s="105"/>
      <c r="EL401" s="105"/>
      <c r="EM401" s="105"/>
      <c r="EN401" s="105"/>
      <c r="EO401" s="105"/>
      <c r="EP401" s="105"/>
      <c r="EQ401" s="105"/>
      <c r="ER401" s="105"/>
      <c r="ES401" s="105"/>
      <c r="ET401" s="105"/>
      <c r="EU401" s="105"/>
      <c r="EV401" s="105"/>
      <c r="EW401" s="105"/>
      <c r="EX401" s="105"/>
      <c r="EY401" s="105"/>
      <c r="EZ401" s="105"/>
      <c r="FA401" s="105"/>
      <c r="FB401" s="105"/>
      <c r="FC401" s="105"/>
      <c r="FD401" s="105"/>
      <c r="FE401" s="105"/>
      <c r="FF401" s="40"/>
      <c r="FG401" s="190"/>
      <c r="FL401" s="406"/>
      <c r="FM401" s="406"/>
      <c r="FN401" s="368"/>
      <c r="FO401" s="368"/>
      <c r="FP401" s="368"/>
      <c r="FQ401" s="368"/>
      <c r="FR401" s="368"/>
      <c r="FS401" s="368"/>
      <c r="FT401" s="190"/>
    </row>
    <row r="402" spans="1:183" ht="12.75" hidden="1" customHeight="1" x14ac:dyDescent="0.2">
      <c r="A402" s="34" t="s">
        <v>248</v>
      </c>
      <c r="B402" s="184"/>
      <c r="C402" s="184"/>
      <c r="D402" s="184"/>
      <c r="E402" s="184"/>
      <c r="F402" s="279"/>
      <c r="G402" s="184"/>
      <c r="H402" s="184"/>
      <c r="I402" s="184"/>
      <c r="J402" s="184"/>
      <c r="K402" s="279"/>
      <c r="L402" s="184"/>
      <c r="M402" s="184"/>
      <c r="N402" s="184"/>
      <c r="O402" s="184"/>
      <c r="P402" s="279"/>
      <c r="Q402" s="184"/>
      <c r="R402" s="184"/>
      <c r="S402" s="184"/>
      <c r="T402" s="184"/>
      <c r="U402" s="279"/>
      <c r="V402" s="184"/>
      <c r="W402" s="184"/>
      <c r="X402" s="184"/>
      <c r="Y402" s="184"/>
      <c r="Z402" s="279"/>
      <c r="AA402" s="184"/>
      <c r="AB402" s="184"/>
      <c r="AC402" s="184"/>
      <c r="AD402" s="184"/>
      <c r="AE402" s="279"/>
      <c r="AF402" s="184"/>
      <c r="AG402" s="184"/>
      <c r="AH402" s="184"/>
      <c r="AI402" s="184"/>
      <c r="AJ402" s="279"/>
      <c r="AK402" s="184"/>
      <c r="AL402" s="184"/>
      <c r="AM402" s="184"/>
      <c r="AN402" s="184"/>
      <c r="AO402" s="279"/>
      <c r="AP402" s="184"/>
      <c r="AQ402" s="184"/>
      <c r="AR402" s="184"/>
      <c r="AS402" s="184"/>
      <c r="AT402" s="279"/>
      <c r="AU402" s="184"/>
      <c r="AV402" s="184"/>
      <c r="AW402" s="184"/>
      <c r="AX402" s="184"/>
      <c r="AY402" s="279"/>
      <c r="AZ402" s="184"/>
      <c r="BA402" s="184"/>
      <c r="BB402" s="184"/>
      <c r="BC402" s="184"/>
      <c r="BD402" s="279"/>
      <c r="BE402" s="184"/>
      <c r="BF402" s="184"/>
      <c r="BG402" s="184"/>
      <c r="BH402" s="184"/>
      <c r="BI402" s="279"/>
      <c r="BJ402" s="184"/>
      <c r="BK402" s="184"/>
      <c r="BL402" s="184"/>
      <c r="BM402" s="184"/>
      <c r="BN402" s="279"/>
      <c r="BO402" s="184"/>
      <c r="BP402" s="184"/>
      <c r="BQ402" s="184"/>
      <c r="BR402" s="184"/>
      <c r="BS402" s="279"/>
      <c r="BT402" s="184"/>
      <c r="BU402" s="184"/>
      <c r="BV402" s="184"/>
      <c r="BW402" s="184"/>
      <c r="BX402" s="279"/>
      <c r="BY402" s="184"/>
      <c r="BZ402" s="184"/>
      <c r="CA402" s="184"/>
      <c r="CB402" s="184"/>
      <c r="CC402" s="279"/>
      <c r="CD402" s="184"/>
      <c r="CE402" s="184"/>
      <c r="CF402" s="184"/>
      <c r="CG402" s="184"/>
      <c r="CH402" s="279"/>
      <c r="CI402" s="184"/>
      <c r="CJ402" s="184"/>
      <c r="CK402" s="184"/>
      <c r="CL402" s="184"/>
      <c r="CM402" s="279"/>
      <c r="CN402" s="184"/>
      <c r="CO402" s="184"/>
      <c r="CP402" s="184"/>
      <c r="CQ402" s="184"/>
      <c r="CR402" s="279"/>
      <c r="CS402" s="34">
        <f>CS373/CW376</f>
        <v>0.77258962633983252</v>
      </c>
      <c r="CT402" s="34">
        <f>CT373/CW376</f>
        <v>0.7781985817670074</v>
      </c>
      <c r="CU402" s="34" t="e">
        <f ca="1">CU373/DB376</f>
        <v>#NAME?</v>
      </c>
      <c r="CV402" s="34">
        <f>CV373/DB376</f>
        <v>0.90249342967172075</v>
      </c>
      <c r="CW402" s="105">
        <f>CW373/DB376</f>
        <v>0.90046206906059922</v>
      </c>
      <c r="CX402" s="34">
        <f>CX373/DB376</f>
        <v>0.97398734731757874</v>
      </c>
      <c r="CY402" s="34">
        <f>CY373/DB376</f>
        <v>0.84216703439541896</v>
      </c>
      <c r="CZ402" s="34">
        <f>CZ373/DG376</f>
        <v>0.82874817961894742</v>
      </c>
      <c r="DA402" s="34">
        <f>DA373/DG376</f>
        <v>0.80893132898154885</v>
      </c>
      <c r="DB402" s="105">
        <f>DB373/DG376</f>
        <v>0.81009566429854818</v>
      </c>
      <c r="DC402" s="34">
        <f>DC373/DG376</f>
        <v>0.7594644693535072</v>
      </c>
      <c r="DD402" s="34">
        <f>DD373/DG376</f>
        <v>0.6957863391083754</v>
      </c>
      <c r="DE402" s="34">
        <f>DE373/DL376</f>
        <v>0.70867785516297044</v>
      </c>
      <c r="DF402" s="34">
        <f>DF373/DL376</f>
        <v>0.71692877680847333</v>
      </c>
      <c r="DG402" s="105">
        <f>DG373/DL376</f>
        <v>0.72695059383228977</v>
      </c>
      <c r="DH402" s="34" t="e">
        <f>DH373/FF376</f>
        <v>#DIV/0!</v>
      </c>
      <c r="DI402" s="34" t="e">
        <f>DI373/FG376</f>
        <v>#DIV/0!</v>
      </c>
      <c r="DJ402" s="34" t="e">
        <f>DJ373/FH376</f>
        <v>#DIV/0!</v>
      </c>
      <c r="DK402" s="34" t="e">
        <f>DK373/FI376</f>
        <v>#DIV/0!</v>
      </c>
      <c r="DL402" s="105">
        <f>DL373/DQ376</f>
        <v>0.66446314677966101</v>
      </c>
      <c r="DM402" s="105"/>
      <c r="DN402" s="105"/>
      <c r="DO402" s="105"/>
      <c r="DP402" s="537"/>
      <c r="DQ402" s="105"/>
      <c r="DR402" s="547"/>
      <c r="DS402" s="105"/>
      <c r="DT402" s="105"/>
      <c r="DU402" s="105"/>
      <c r="DV402" s="105"/>
      <c r="DW402" s="547"/>
      <c r="DX402" s="105"/>
      <c r="DY402" s="105"/>
      <c r="DZ402" s="105"/>
      <c r="EA402" s="105"/>
      <c r="EB402" s="547"/>
      <c r="EC402" s="105"/>
      <c r="ED402" s="105"/>
      <c r="EE402" s="105"/>
      <c r="EF402" s="105"/>
      <c r="EG402" s="105"/>
      <c r="EH402" s="105"/>
      <c r="EI402" s="105"/>
      <c r="EJ402" s="105"/>
      <c r="EK402" s="105"/>
      <c r="EL402" s="105"/>
      <c r="EM402" s="105"/>
      <c r="EN402" s="105"/>
      <c r="EO402" s="105"/>
      <c r="EP402" s="105"/>
      <c r="EQ402" s="105"/>
      <c r="ER402" s="105"/>
      <c r="ES402" s="105"/>
      <c r="ET402" s="105"/>
      <c r="EU402" s="105"/>
      <c r="EV402" s="105"/>
      <c r="EW402" s="105"/>
      <c r="EX402" s="105"/>
      <c r="EY402" s="105"/>
      <c r="EZ402" s="105"/>
      <c r="FA402" s="105"/>
      <c r="FB402" s="105"/>
      <c r="FC402" s="105"/>
      <c r="FD402" s="105"/>
      <c r="FE402" s="105"/>
      <c r="FF402" s="40"/>
      <c r="FG402" s="190"/>
      <c r="FL402" s="406"/>
      <c r="FM402" s="406"/>
      <c r="FN402" s="368"/>
      <c r="FO402" s="368"/>
      <c r="FP402" s="368"/>
      <c r="FQ402" s="368"/>
      <c r="FR402" s="368"/>
      <c r="FS402" s="368"/>
      <c r="FT402" s="190"/>
    </row>
    <row r="403" spans="1:183" ht="12.75" hidden="1" customHeight="1" x14ac:dyDescent="0.2">
      <c r="A403" s="34" t="s">
        <v>249</v>
      </c>
      <c r="B403" s="184"/>
      <c r="C403" s="184"/>
      <c r="D403" s="184"/>
      <c r="E403" s="184"/>
      <c r="F403" s="279"/>
      <c r="G403" s="184"/>
      <c r="H403" s="184"/>
      <c r="I403" s="184"/>
      <c r="J403" s="184"/>
      <c r="K403" s="279"/>
      <c r="L403" s="184"/>
      <c r="M403" s="184"/>
      <c r="N403" s="184"/>
      <c r="O403" s="184"/>
      <c r="P403" s="279"/>
      <c r="Q403" s="184"/>
      <c r="R403" s="184"/>
      <c r="S403" s="184"/>
      <c r="T403" s="184"/>
      <c r="U403" s="279"/>
      <c r="V403" s="184"/>
      <c r="W403" s="184"/>
      <c r="X403" s="184"/>
      <c r="Y403" s="184"/>
      <c r="Z403" s="279"/>
      <c r="AA403" s="184"/>
      <c r="AB403" s="184"/>
      <c r="AC403" s="184"/>
      <c r="AD403" s="184"/>
      <c r="AE403" s="279"/>
      <c r="AF403" s="184"/>
      <c r="AG403" s="184"/>
      <c r="AH403" s="184"/>
      <c r="AI403" s="184"/>
      <c r="AJ403" s="279"/>
      <c r="AK403" s="184"/>
      <c r="AL403" s="184"/>
      <c r="AM403" s="184"/>
      <c r="AN403" s="184"/>
      <c r="AO403" s="279"/>
      <c r="AP403" s="184"/>
      <c r="AQ403" s="184"/>
      <c r="AR403" s="184"/>
      <c r="AS403" s="184"/>
      <c r="AT403" s="279"/>
      <c r="AU403" s="184"/>
      <c r="AV403" s="184"/>
      <c r="AW403" s="184"/>
      <c r="AX403" s="184"/>
      <c r="AY403" s="279"/>
      <c r="AZ403" s="184"/>
      <c r="BA403" s="184"/>
      <c r="BB403" s="184"/>
      <c r="BC403" s="184"/>
      <c r="BD403" s="279"/>
      <c r="BE403" s="184"/>
      <c r="BF403" s="184"/>
      <c r="BG403" s="184"/>
      <c r="BH403" s="184"/>
      <c r="BI403" s="279"/>
      <c r="BJ403" s="184"/>
      <c r="BK403" s="184"/>
      <c r="BL403" s="184"/>
      <c r="BM403" s="184"/>
      <c r="BN403" s="279"/>
      <c r="BO403" s="184"/>
      <c r="BP403" s="184"/>
      <c r="BQ403" s="184"/>
      <c r="BR403" s="184"/>
      <c r="BS403" s="279"/>
      <c r="BT403" s="184"/>
      <c r="BU403" s="184"/>
      <c r="BV403" s="184"/>
      <c r="BW403" s="184"/>
      <c r="BX403" s="279"/>
      <c r="BY403" s="184"/>
      <c r="BZ403" s="184"/>
      <c r="CA403" s="184"/>
      <c r="CB403" s="184"/>
      <c r="CC403" s="279"/>
      <c r="CD403" s="184"/>
      <c r="CE403" s="184"/>
      <c r="CF403" s="184"/>
      <c r="CG403" s="184"/>
      <c r="CH403" s="279"/>
      <c r="CI403" s="184"/>
      <c r="CJ403" s="184"/>
      <c r="CK403" s="184"/>
      <c r="CL403" s="184"/>
      <c r="CM403" s="279"/>
      <c r="CN403" s="184"/>
      <c r="CO403" s="184"/>
      <c r="CP403" s="184"/>
      <c r="CQ403" s="184"/>
      <c r="CR403" s="279"/>
      <c r="CS403" s="34">
        <f>CS373/CW383</f>
        <v>5.4167848908141583</v>
      </c>
      <c r="CT403" s="34">
        <f>CT373/CW383</f>
        <v>5.4561104317939266</v>
      </c>
      <c r="CU403" s="34" t="e">
        <f ca="1">CU373/DB383</f>
        <v>#NAME?</v>
      </c>
      <c r="CV403" s="34">
        <f>CV373/DB383</f>
        <v>5.4635476153523559</v>
      </c>
      <c r="CW403" s="105">
        <f>CW373/DB383</f>
        <v>5.4512500904530876</v>
      </c>
      <c r="CX403" s="34">
        <f>CX373/DB383</f>
        <v>5.8963600995477359</v>
      </c>
      <c r="CY403" s="34">
        <f>CY373/DB383</f>
        <v>5.0983414850711286</v>
      </c>
      <c r="CZ403" s="34">
        <f>CZ373/DG383</f>
        <v>7.0815511494344019</v>
      </c>
      <c r="DA403" s="34">
        <f>DA373/DG383</f>
        <v>6.9122186008260122</v>
      </c>
      <c r="DB403" s="105">
        <f>DB373/DG383</f>
        <v>6.9221677027428514</v>
      </c>
      <c r="DC403" s="34">
        <f>DC373/DG383</f>
        <v>6.4895303762570782</v>
      </c>
      <c r="DD403" s="34">
        <f>DD373/DG383</f>
        <v>5.9454085941270884</v>
      </c>
      <c r="DE403" s="34">
        <f>DE373/DL383</f>
        <v>5.9423924763886173</v>
      </c>
      <c r="DF403" s="34">
        <f>DF373/DL383</f>
        <v>6.0115779523454371</v>
      </c>
      <c r="DG403" s="105">
        <f>DG373/DL383</f>
        <v>6.0956127075564277</v>
      </c>
      <c r="DH403" s="34" t="e">
        <f>DH373/FF383</f>
        <v>#DIV/0!</v>
      </c>
      <c r="DI403" s="34" t="e">
        <f>DI373/FG383</f>
        <v>#DIV/0!</v>
      </c>
      <c r="DJ403" s="34" t="e">
        <f>DJ373/FH383</f>
        <v>#DIV/0!</v>
      </c>
      <c r="DK403" s="34" t="e">
        <f>DK373/FI383</f>
        <v>#DIV/0!</v>
      </c>
      <c r="DL403" s="105">
        <f>DL373/DQ383</f>
        <v>4.3949916659192825</v>
      </c>
      <c r="DM403" s="105"/>
      <c r="DN403" s="105"/>
      <c r="DO403" s="105"/>
      <c r="DP403" s="537"/>
      <c r="DQ403" s="105"/>
      <c r="DR403" s="547"/>
      <c r="DS403" s="105"/>
      <c r="DT403" s="105"/>
      <c r="DU403" s="105"/>
      <c r="DV403" s="105"/>
      <c r="DW403" s="547"/>
      <c r="DX403" s="105"/>
      <c r="DY403" s="105"/>
      <c r="DZ403" s="105"/>
      <c r="EA403" s="105"/>
      <c r="EB403" s="547"/>
      <c r="EC403" s="105"/>
      <c r="ED403" s="105"/>
      <c r="EE403" s="105"/>
      <c r="EF403" s="105"/>
      <c r="EG403" s="105"/>
      <c r="EH403" s="105"/>
      <c r="EI403" s="105"/>
      <c r="EJ403" s="105"/>
      <c r="EK403" s="105"/>
      <c r="EL403" s="105"/>
      <c r="EM403" s="105"/>
      <c r="EN403" s="105"/>
      <c r="EO403" s="105"/>
      <c r="EP403" s="105"/>
      <c r="EQ403" s="105"/>
      <c r="ER403" s="105"/>
      <c r="ES403" s="105"/>
      <c r="ET403" s="105"/>
      <c r="EU403" s="105"/>
      <c r="EV403" s="105"/>
      <c r="EW403" s="105"/>
      <c r="EX403" s="105"/>
      <c r="EY403" s="105"/>
      <c r="EZ403" s="105"/>
      <c r="FA403" s="105"/>
      <c r="FB403" s="105"/>
      <c r="FC403" s="105"/>
      <c r="FD403" s="105"/>
      <c r="FE403" s="105"/>
      <c r="FF403" s="40"/>
      <c r="FG403" s="190"/>
      <c r="FL403" s="406"/>
      <c r="FM403" s="406"/>
      <c r="FN403" s="368"/>
      <c r="FO403" s="368"/>
      <c r="FP403" s="368"/>
      <c r="FQ403" s="368"/>
      <c r="FR403" s="368"/>
      <c r="FS403" s="368"/>
      <c r="FT403" s="190"/>
    </row>
    <row r="404" spans="1:183" ht="12.75" hidden="1" customHeight="1" x14ac:dyDescent="0.2">
      <c r="A404" s="57" t="s">
        <v>292</v>
      </c>
      <c r="B404" s="184"/>
      <c r="C404" s="184"/>
      <c r="D404" s="184"/>
      <c r="E404" s="184"/>
      <c r="F404" s="279"/>
      <c r="G404" s="184"/>
      <c r="H404" s="184"/>
      <c r="I404" s="184"/>
      <c r="J404" s="184"/>
      <c r="K404" s="279"/>
      <c r="L404" s="184"/>
      <c r="M404" s="184"/>
      <c r="N404" s="184"/>
      <c r="O404" s="184"/>
      <c r="P404" s="279"/>
      <c r="Q404" s="184"/>
      <c r="R404" s="184"/>
      <c r="S404" s="184"/>
      <c r="T404" s="184"/>
      <c r="U404" s="279"/>
      <c r="V404" s="184"/>
      <c r="W404" s="184"/>
      <c r="X404" s="184"/>
      <c r="Y404" s="184"/>
      <c r="Z404" s="279"/>
      <c r="AA404" s="184"/>
      <c r="AB404" s="184"/>
      <c r="AC404" s="184"/>
      <c r="AD404" s="184"/>
      <c r="AE404" s="279"/>
      <c r="AF404" s="184"/>
      <c r="AG404" s="184"/>
      <c r="AH404" s="184"/>
      <c r="AI404" s="184"/>
      <c r="AJ404" s="279"/>
      <c r="AK404" s="184"/>
      <c r="AL404" s="184"/>
      <c r="AM404" s="184"/>
      <c r="AN404" s="184"/>
      <c r="AO404" s="279"/>
      <c r="AP404" s="184"/>
      <c r="AQ404" s="184"/>
      <c r="AR404" s="184"/>
      <c r="AS404" s="184"/>
      <c r="AT404" s="279"/>
      <c r="AU404" s="184"/>
      <c r="AV404" s="184"/>
      <c r="AW404" s="184"/>
      <c r="AX404" s="184"/>
      <c r="AY404" s="279"/>
      <c r="AZ404" s="184"/>
      <c r="BA404" s="184"/>
      <c r="BB404" s="184"/>
      <c r="BC404" s="184"/>
      <c r="BD404" s="279"/>
      <c r="BE404" s="184"/>
      <c r="BF404" s="184"/>
      <c r="BG404" s="184"/>
      <c r="BH404" s="184"/>
      <c r="BI404" s="279"/>
      <c r="BJ404" s="184"/>
      <c r="BK404" s="184"/>
      <c r="BL404" s="184"/>
      <c r="BM404" s="184"/>
      <c r="BN404" s="279"/>
      <c r="BO404" s="184"/>
      <c r="BP404" s="184"/>
      <c r="BQ404" s="184"/>
      <c r="BR404" s="184"/>
      <c r="BS404" s="279"/>
      <c r="BT404" s="184"/>
      <c r="BU404" s="184"/>
      <c r="BV404" s="184"/>
      <c r="BW404" s="184"/>
      <c r="BX404" s="279"/>
      <c r="BY404" s="184"/>
      <c r="BZ404" s="184"/>
      <c r="CA404" s="184"/>
      <c r="CB404" s="184"/>
      <c r="CC404" s="279"/>
      <c r="CD404" s="184"/>
      <c r="CE404" s="184"/>
      <c r="CF404" s="184"/>
      <c r="CG404" s="184"/>
      <c r="CH404" s="279"/>
      <c r="CI404" s="184"/>
      <c r="CJ404" s="184"/>
      <c r="CK404" s="184"/>
      <c r="CL404" s="184"/>
      <c r="CM404" s="279"/>
      <c r="CN404" s="184"/>
      <c r="CO404" s="184"/>
      <c r="CP404" s="184"/>
      <c r="CQ404" s="184"/>
      <c r="CR404" s="279"/>
      <c r="CS404" s="34"/>
      <c r="CT404" s="34"/>
      <c r="CU404" s="34"/>
      <c r="CV404" s="34"/>
      <c r="CW404" s="105"/>
      <c r="CX404" s="34"/>
      <c r="CY404" s="34"/>
      <c r="CZ404" s="34"/>
      <c r="DA404" s="34"/>
      <c r="DB404" s="105"/>
      <c r="DC404" s="34"/>
      <c r="DD404" s="34"/>
      <c r="DE404" s="34"/>
      <c r="DF404" s="34"/>
      <c r="DG404" s="105"/>
      <c r="DH404" s="34"/>
      <c r="DI404" s="34"/>
      <c r="DJ404" s="34"/>
      <c r="DK404" s="34"/>
      <c r="DL404" s="105"/>
      <c r="DM404" s="105"/>
      <c r="DN404" s="105"/>
      <c r="DO404" s="105"/>
      <c r="DP404" s="537"/>
      <c r="DQ404" s="105"/>
      <c r="DR404" s="547"/>
      <c r="DS404" s="105"/>
      <c r="DT404" s="105"/>
      <c r="DU404" s="105"/>
      <c r="DV404" s="105"/>
      <c r="DW404" s="547"/>
      <c r="DX404" s="105"/>
      <c r="DY404" s="105"/>
      <c r="DZ404" s="105"/>
      <c r="EA404" s="105"/>
      <c r="EB404" s="547"/>
      <c r="EC404" s="105"/>
      <c r="ED404" s="105"/>
      <c r="EE404" s="105"/>
      <c r="EF404" s="105"/>
      <c r="EG404" s="105"/>
      <c r="EH404" s="105"/>
      <c r="EI404" s="105"/>
      <c r="EJ404" s="105"/>
      <c r="EK404" s="105"/>
      <c r="EL404" s="105"/>
      <c r="EM404" s="105"/>
      <c r="EN404" s="105"/>
      <c r="EO404" s="105"/>
      <c r="EP404" s="105"/>
      <c r="EQ404" s="105"/>
      <c r="ER404" s="105"/>
      <c r="ES404" s="105"/>
      <c r="ET404" s="105"/>
      <c r="EU404" s="105"/>
      <c r="EV404" s="105"/>
      <c r="EW404" s="105"/>
      <c r="EX404" s="105"/>
      <c r="EY404" s="105"/>
      <c r="EZ404" s="105"/>
      <c r="FA404" s="105"/>
      <c r="FB404" s="105"/>
      <c r="FC404" s="105"/>
      <c r="FD404" s="105"/>
      <c r="FE404" s="105"/>
      <c r="FF404" s="40"/>
      <c r="FG404" s="190"/>
      <c r="FL404" s="406"/>
      <c r="FM404" s="406"/>
      <c r="FN404" s="368"/>
      <c r="FO404" s="368"/>
      <c r="FP404" s="368"/>
      <c r="FQ404" s="368"/>
      <c r="FR404" s="368"/>
      <c r="FS404" s="368"/>
      <c r="FT404" s="190"/>
    </row>
    <row r="405" spans="1:183" ht="12.75" hidden="1" customHeight="1" x14ac:dyDescent="0.2">
      <c r="A405" s="34" t="s">
        <v>248</v>
      </c>
      <c r="B405" s="184"/>
      <c r="C405" s="184"/>
      <c r="D405" s="184"/>
      <c r="E405" s="184"/>
      <c r="F405" s="279"/>
      <c r="G405" s="184"/>
      <c r="H405" s="184"/>
      <c r="I405" s="184"/>
      <c r="J405" s="184"/>
      <c r="K405" s="279"/>
      <c r="L405" s="184"/>
      <c r="M405" s="184"/>
      <c r="N405" s="184"/>
      <c r="O405" s="184"/>
      <c r="P405" s="279"/>
      <c r="Q405" s="184"/>
      <c r="R405" s="184"/>
      <c r="S405" s="184"/>
      <c r="T405" s="184"/>
      <c r="U405" s="279"/>
      <c r="V405" s="184"/>
      <c r="W405" s="184"/>
      <c r="X405" s="184"/>
      <c r="Y405" s="184"/>
      <c r="Z405" s="279"/>
      <c r="AA405" s="184"/>
      <c r="AB405" s="184"/>
      <c r="AC405" s="184"/>
      <c r="AD405" s="184"/>
      <c r="AE405" s="279"/>
      <c r="AF405" s="184"/>
      <c r="AG405" s="184"/>
      <c r="AH405" s="184"/>
      <c r="AI405" s="184"/>
      <c r="AJ405" s="279"/>
      <c r="AK405" s="184"/>
      <c r="AL405" s="184"/>
      <c r="AM405" s="184"/>
      <c r="AN405" s="184"/>
      <c r="AO405" s="279"/>
      <c r="AP405" s="184"/>
      <c r="AQ405" s="184"/>
      <c r="AR405" s="184"/>
      <c r="AS405" s="184"/>
      <c r="AT405" s="279"/>
      <c r="AU405" s="184"/>
      <c r="AV405" s="184"/>
      <c r="AW405" s="184"/>
      <c r="AX405" s="184"/>
      <c r="AY405" s="279"/>
      <c r="AZ405" s="184"/>
      <c r="BA405" s="184"/>
      <c r="BB405" s="184"/>
      <c r="BC405" s="184"/>
      <c r="BD405" s="279"/>
      <c r="BE405" s="184"/>
      <c r="BF405" s="184"/>
      <c r="BG405" s="184"/>
      <c r="BH405" s="184"/>
      <c r="BI405" s="279"/>
      <c r="BJ405" s="184"/>
      <c r="BK405" s="184"/>
      <c r="BL405" s="184"/>
      <c r="BM405" s="184"/>
      <c r="BN405" s="279"/>
      <c r="BO405" s="184"/>
      <c r="BP405" s="184"/>
      <c r="BQ405" s="184"/>
      <c r="BR405" s="184"/>
      <c r="BS405" s="279"/>
      <c r="BT405" s="184"/>
      <c r="BU405" s="184"/>
      <c r="BV405" s="184"/>
      <c r="BW405" s="184"/>
      <c r="BX405" s="279"/>
      <c r="BY405" s="184"/>
      <c r="BZ405" s="184"/>
      <c r="CA405" s="184"/>
      <c r="CB405" s="184"/>
      <c r="CC405" s="279"/>
      <c r="CD405" s="184"/>
      <c r="CE405" s="184"/>
      <c r="CF405" s="184"/>
      <c r="CG405" s="184"/>
      <c r="CH405" s="279"/>
      <c r="CI405" s="184"/>
      <c r="CJ405" s="184"/>
      <c r="CK405" s="184"/>
      <c r="CL405" s="184"/>
      <c r="CM405" s="279"/>
      <c r="CN405" s="184"/>
      <c r="CO405" s="184"/>
      <c r="CP405" s="184"/>
      <c r="CQ405" s="184"/>
      <c r="CR405" s="279"/>
      <c r="CS405" s="34">
        <f>CS374/CW376</f>
        <v>0.77967360592390322</v>
      </c>
      <c r="CT405" s="34">
        <f>CT374/CW376</f>
        <v>0.78377410458602048</v>
      </c>
      <c r="CU405" s="34" t="e">
        <f ca="1">CU374/DB376</f>
        <v>#NAME?</v>
      </c>
      <c r="CV405" s="34">
        <f>CV374/DB376</f>
        <v>0.90605153197459876</v>
      </c>
      <c r="CW405" s="105">
        <f>CW374/DB376</f>
        <v>0.90402017136347712</v>
      </c>
      <c r="CX405" s="34">
        <f>CX374/DB376</f>
        <v>0.97759251518441737</v>
      </c>
      <c r="CY405" s="34">
        <f>CY374/DB376</f>
        <v>0.8458219844532866</v>
      </c>
      <c r="CZ405" s="34">
        <f>CZ374/DG376</f>
        <v>0.83269574681541725</v>
      </c>
      <c r="DA405" s="34">
        <f>DA374/DG376</f>
        <v>0.81210872587824634</v>
      </c>
      <c r="DB405" s="105">
        <f>DB374/DG376</f>
        <v>0.81327306119524578</v>
      </c>
      <c r="DC405" s="34">
        <f>DC374/DG376</f>
        <v>0.76259793743801996</v>
      </c>
      <c r="DD405" s="34">
        <f>DD374/DG376</f>
        <v>0.6957863391083754</v>
      </c>
      <c r="DE405" s="34">
        <f>DE374/DL376</f>
        <v>0.70867785516297044</v>
      </c>
      <c r="DF405" s="34">
        <f>DF374/DL376</f>
        <v>0.71692877680847333</v>
      </c>
      <c r="DG405" s="105">
        <f>DG374/DL376</f>
        <v>0.72695059383228977</v>
      </c>
      <c r="DH405" s="34" t="e">
        <f>DH374/FF376</f>
        <v>#DIV/0!</v>
      </c>
      <c r="DI405" s="34" t="e">
        <f>DI374/FG376</f>
        <v>#DIV/0!</v>
      </c>
      <c r="DJ405" s="34" t="e">
        <f>DJ374/FH376</f>
        <v>#DIV/0!</v>
      </c>
      <c r="DK405" s="34" t="e">
        <f>DK374/FI376</f>
        <v>#DIV/0!</v>
      </c>
      <c r="DL405" s="105">
        <f>DL374/DQ376</f>
        <v>0.66446314677966101</v>
      </c>
      <c r="DM405" s="105"/>
      <c r="DN405" s="105"/>
      <c r="DO405" s="105"/>
      <c r="DP405" s="537"/>
      <c r="DQ405" s="105"/>
      <c r="DR405" s="547"/>
      <c r="DS405" s="105"/>
      <c r="DT405" s="105"/>
      <c r="DU405" s="105"/>
      <c r="DV405" s="105"/>
      <c r="DW405" s="547"/>
      <c r="DX405" s="105"/>
      <c r="DY405" s="105"/>
      <c r="DZ405" s="105"/>
      <c r="EA405" s="105"/>
      <c r="EB405" s="547"/>
      <c r="EC405" s="105"/>
      <c r="ED405" s="105"/>
      <c r="EE405" s="105"/>
      <c r="EF405" s="105"/>
      <c r="EG405" s="105"/>
      <c r="EH405" s="105"/>
      <c r="EI405" s="105"/>
      <c r="EJ405" s="105"/>
      <c r="EK405" s="105"/>
      <c r="EL405" s="105"/>
      <c r="EM405" s="105"/>
      <c r="EN405" s="105"/>
      <c r="EO405" s="105"/>
      <c r="EP405" s="105"/>
      <c r="EQ405" s="105"/>
      <c r="ER405" s="105"/>
      <c r="ES405" s="105"/>
      <c r="ET405" s="105"/>
      <c r="EU405" s="105"/>
      <c r="EV405" s="105"/>
      <c r="EW405" s="105"/>
      <c r="EX405" s="105"/>
      <c r="EY405" s="105"/>
      <c r="EZ405" s="105"/>
      <c r="FA405" s="105"/>
      <c r="FB405" s="105"/>
      <c r="FC405" s="105"/>
      <c r="FD405" s="105"/>
      <c r="FE405" s="105"/>
      <c r="FF405" s="40"/>
      <c r="FG405" s="190"/>
      <c r="FL405" s="406"/>
      <c r="FM405" s="406"/>
      <c r="FN405" s="368"/>
      <c r="FO405" s="368"/>
      <c r="FP405" s="368"/>
      <c r="FQ405" s="368"/>
      <c r="FR405" s="368"/>
      <c r="FS405" s="368"/>
      <c r="FT405" s="190"/>
    </row>
    <row r="406" spans="1:183" ht="12.75" hidden="1" customHeight="1" x14ac:dyDescent="0.2">
      <c r="A406" s="34" t="s">
        <v>249</v>
      </c>
      <c r="B406" s="184"/>
      <c r="C406" s="184"/>
      <c r="D406" s="184"/>
      <c r="E406" s="184"/>
      <c r="F406" s="282"/>
      <c r="G406" s="184"/>
      <c r="H406" s="184"/>
      <c r="I406" s="184"/>
      <c r="J406" s="184"/>
      <c r="K406" s="282"/>
      <c r="L406" s="184"/>
      <c r="M406" s="184"/>
      <c r="N406" s="184"/>
      <c r="O406" s="184"/>
      <c r="P406" s="282"/>
      <c r="Q406" s="184"/>
      <c r="R406" s="184"/>
      <c r="S406" s="184"/>
      <c r="T406" s="184"/>
      <c r="U406" s="282"/>
      <c r="V406" s="184"/>
      <c r="W406" s="184"/>
      <c r="X406" s="184"/>
      <c r="Y406" s="184"/>
      <c r="Z406" s="282"/>
      <c r="AA406" s="184"/>
      <c r="AB406" s="184"/>
      <c r="AC406" s="184"/>
      <c r="AD406" s="184"/>
      <c r="AE406" s="282"/>
      <c r="AF406" s="184"/>
      <c r="AG406" s="184"/>
      <c r="AH406" s="184"/>
      <c r="AI406" s="184"/>
      <c r="AJ406" s="282"/>
      <c r="AK406" s="184"/>
      <c r="AL406" s="184"/>
      <c r="AM406" s="184"/>
      <c r="AN406" s="184"/>
      <c r="AO406" s="282"/>
      <c r="AP406" s="184"/>
      <c r="AQ406" s="184"/>
      <c r="AR406" s="184"/>
      <c r="AS406" s="184"/>
      <c r="AT406" s="282"/>
      <c r="AU406" s="184"/>
      <c r="AV406" s="184"/>
      <c r="AW406" s="184"/>
      <c r="AX406" s="184"/>
      <c r="AY406" s="282"/>
      <c r="AZ406" s="184"/>
      <c r="BA406" s="184"/>
      <c r="BB406" s="184"/>
      <c r="BC406" s="184"/>
      <c r="BD406" s="282"/>
      <c r="BE406" s="184"/>
      <c r="BF406" s="184"/>
      <c r="BG406" s="184"/>
      <c r="BH406" s="184"/>
      <c r="BI406" s="282"/>
      <c r="BJ406" s="184"/>
      <c r="BK406" s="184"/>
      <c r="BL406" s="184"/>
      <c r="BM406" s="184"/>
      <c r="BN406" s="282"/>
      <c r="BO406" s="184"/>
      <c r="BP406" s="184"/>
      <c r="BQ406" s="184"/>
      <c r="BR406" s="184"/>
      <c r="BS406" s="282"/>
      <c r="BT406" s="184"/>
      <c r="BU406" s="184"/>
      <c r="BV406" s="184"/>
      <c r="BW406" s="184"/>
      <c r="BX406" s="282"/>
      <c r="BY406" s="184"/>
      <c r="BZ406" s="184"/>
      <c r="CA406" s="184"/>
      <c r="CB406" s="184"/>
      <c r="CC406" s="282"/>
      <c r="CD406" s="184"/>
      <c r="CE406" s="184"/>
      <c r="CF406" s="184"/>
      <c r="CG406" s="184"/>
      <c r="CH406" s="282"/>
      <c r="CI406" s="184"/>
      <c r="CJ406" s="184"/>
      <c r="CK406" s="184"/>
      <c r="CL406" s="184"/>
      <c r="CM406" s="282"/>
      <c r="CN406" s="184"/>
      <c r="CO406" s="184"/>
      <c r="CP406" s="184"/>
      <c r="CQ406" s="184"/>
      <c r="CR406" s="282"/>
      <c r="CS406" s="34">
        <f>CS374/CW383</f>
        <v>5.4664521297591344</v>
      </c>
      <c r="CT406" s="34">
        <f>CT374/CW383</f>
        <v>5.4952015698765075</v>
      </c>
      <c r="CU406" s="34" t="e">
        <f ca="1">CU374/DB383</f>
        <v>#NAME?</v>
      </c>
      <c r="CV406" s="34">
        <f>CV374/DB383</f>
        <v>5.4850877847463213</v>
      </c>
      <c r="CW406" s="105">
        <f>CW374/DB383</f>
        <v>5.4727902598470521</v>
      </c>
      <c r="CX406" s="34">
        <f>CX374/DB383</f>
        <v>5.9181851961680794</v>
      </c>
      <c r="CY406" s="34">
        <f>CY374/DB383</f>
        <v>5.1204679549338046</v>
      </c>
      <c r="CZ406" s="34">
        <f>CZ374/DG383</f>
        <v>7.1152826250564463</v>
      </c>
      <c r="DA406" s="34">
        <f>DA374/DG383</f>
        <v>6.9393690660691014</v>
      </c>
      <c r="DB406" s="314">
        <f>DB374/DG383</f>
        <v>6.9493181679859406</v>
      </c>
      <c r="DC406" s="34">
        <f>DC374/DG383</f>
        <v>6.5163054752090908</v>
      </c>
      <c r="DD406" s="34">
        <f>DD374/DG383</f>
        <v>5.9454085941270884</v>
      </c>
      <c r="DE406" s="34">
        <f>DE374/DL383</f>
        <v>5.9423924763886173</v>
      </c>
      <c r="DF406" s="34">
        <f>DF374/DL383</f>
        <v>6.0115779523454371</v>
      </c>
      <c r="DG406" s="314">
        <f>DG374/DL383</f>
        <v>6.0956127075564277</v>
      </c>
      <c r="DH406" s="34" t="e">
        <f>DH374/FF383</f>
        <v>#DIV/0!</v>
      </c>
      <c r="DI406" s="34" t="e">
        <f>DI374/FG383</f>
        <v>#DIV/0!</v>
      </c>
      <c r="DJ406" s="34" t="e">
        <f>DJ374/FH383</f>
        <v>#DIV/0!</v>
      </c>
      <c r="DK406" s="34" t="e">
        <f>DK374/FI383</f>
        <v>#DIV/0!</v>
      </c>
      <c r="DL406" s="314">
        <f>DL374/DQ383</f>
        <v>4.3949916659192825</v>
      </c>
      <c r="DM406" s="314"/>
      <c r="DN406" s="314"/>
      <c r="DO406" s="314"/>
      <c r="DP406" s="543"/>
      <c r="DQ406" s="314"/>
      <c r="DR406" s="548"/>
      <c r="DS406" s="314"/>
      <c r="DT406" s="314"/>
      <c r="DU406" s="314"/>
      <c r="DV406" s="314"/>
      <c r="DW406" s="548"/>
      <c r="DX406" s="314"/>
      <c r="DY406" s="314"/>
      <c r="DZ406" s="314"/>
      <c r="EA406" s="314"/>
      <c r="EB406" s="548"/>
      <c r="EC406" s="314"/>
      <c r="ED406" s="314"/>
      <c r="EE406" s="314"/>
      <c r="EF406" s="314"/>
      <c r="EG406" s="314"/>
      <c r="EH406" s="314"/>
      <c r="EI406" s="314"/>
      <c r="EJ406" s="314"/>
      <c r="EK406" s="314"/>
      <c r="EL406" s="314"/>
      <c r="EM406" s="314"/>
      <c r="EN406" s="314"/>
      <c r="EO406" s="314"/>
      <c r="EP406" s="314"/>
      <c r="EQ406" s="314"/>
      <c r="ER406" s="314"/>
      <c r="ES406" s="314"/>
      <c r="ET406" s="314"/>
      <c r="EU406" s="314"/>
      <c r="EV406" s="314"/>
      <c r="EW406" s="314"/>
      <c r="EX406" s="314"/>
      <c r="EY406" s="314"/>
      <c r="EZ406" s="314"/>
      <c r="FA406" s="314"/>
      <c r="FB406" s="314"/>
      <c r="FC406" s="314"/>
      <c r="FD406" s="314"/>
      <c r="FE406" s="314"/>
      <c r="FF406" s="40"/>
      <c r="FG406" s="190"/>
      <c r="FL406" s="406"/>
      <c r="FM406" s="406"/>
      <c r="FN406" s="368"/>
      <c r="FO406" s="368"/>
      <c r="FP406" s="368"/>
      <c r="FQ406" s="368"/>
      <c r="FR406" s="368"/>
      <c r="FS406" s="368"/>
      <c r="FT406" s="190"/>
    </row>
    <row r="407" spans="1:183" ht="12.75" customHeight="1" collapsed="1" x14ac:dyDescent="0.2">
      <c r="A407" s="50" t="s">
        <v>96</v>
      </c>
      <c r="B407" s="210"/>
      <c r="C407" s="210"/>
      <c r="D407" s="210"/>
      <c r="E407" s="210"/>
      <c r="F407" s="287"/>
      <c r="G407" s="210"/>
      <c r="H407" s="210"/>
      <c r="I407" s="210"/>
      <c r="J407" s="210"/>
      <c r="K407" s="287"/>
      <c r="L407" s="210"/>
      <c r="M407" s="210"/>
      <c r="N407" s="210"/>
      <c r="O407" s="210"/>
      <c r="P407" s="287"/>
      <c r="Q407" s="210"/>
      <c r="R407" s="210"/>
      <c r="S407" s="210"/>
      <c r="T407" s="210"/>
      <c r="U407" s="287"/>
      <c r="V407" s="210"/>
      <c r="W407" s="210"/>
      <c r="X407" s="210"/>
      <c r="Y407" s="210"/>
      <c r="Z407" s="287"/>
      <c r="AA407" s="210"/>
      <c r="AB407" s="210"/>
      <c r="AC407" s="210"/>
      <c r="AD407" s="210"/>
      <c r="AE407" s="287"/>
      <c r="AF407" s="210"/>
      <c r="AG407" s="210"/>
      <c r="AH407" s="210"/>
      <c r="AI407" s="210"/>
      <c r="AJ407" s="287"/>
      <c r="AK407" s="210"/>
      <c r="AL407" s="210"/>
      <c r="AM407" s="210"/>
      <c r="AN407" s="210"/>
      <c r="AO407" s="287"/>
      <c r="AP407" s="210"/>
      <c r="AQ407" s="210"/>
      <c r="AR407" s="210"/>
      <c r="AS407" s="210"/>
      <c r="AT407" s="287"/>
      <c r="AU407" s="210"/>
      <c r="AV407" s="210"/>
      <c r="AW407" s="210"/>
      <c r="AX407" s="210"/>
      <c r="AY407" s="287"/>
      <c r="AZ407" s="210"/>
      <c r="BA407" s="210"/>
      <c r="BB407" s="210"/>
      <c r="BC407" s="210"/>
      <c r="BD407" s="287"/>
      <c r="BE407" s="210"/>
      <c r="BF407" s="211"/>
      <c r="BG407" s="211"/>
      <c r="BH407" s="211"/>
      <c r="BI407" s="300"/>
      <c r="BJ407" s="211"/>
      <c r="BK407" s="211"/>
      <c r="BL407" s="211"/>
      <c r="BM407" s="211"/>
      <c r="BN407" s="300"/>
      <c r="BO407" s="211"/>
      <c r="BP407" s="211"/>
      <c r="BQ407" s="211"/>
      <c r="BR407" s="211"/>
      <c r="BS407" s="300"/>
      <c r="BT407" s="211"/>
      <c r="BU407" s="211"/>
      <c r="BV407" s="211"/>
      <c r="BW407" s="211"/>
      <c r="BX407" s="300"/>
      <c r="BY407" s="211"/>
      <c r="BZ407" s="211"/>
      <c r="CA407" s="211"/>
      <c r="CB407" s="211"/>
      <c r="CC407" s="300"/>
      <c r="CD407" s="211"/>
      <c r="CE407" s="211"/>
      <c r="CF407" s="211"/>
      <c r="CG407" s="211"/>
      <c r="CH407" s="300"/>
      <c r="CI407" s="211"/>
      <c r="CJ407" s="211"/>
      <c r="CK407" s="211"/>
      <c r="CL407" s="211"/>
      <c r="CM407" s="300"/>
      <c r="CN407" s="211"/>
      <c r="CO407" s="211"/>
      <c r="CP407" s="211"/>
      <c r="CQ407" s="211"/>
      <c r="CR407" s="300"/>
      <c r="CS407" s="211"/>
      <c r="CT407" s="211"/>
      <c r="CU407" s="211"/>
      <c r="CV407" s="211"/>
      <c r="CW407" s="300"/>
      <c r="CX407" s="211"/>
      <c r="CY407" s="211"/>
      <c r="CZ407" s="211"/>
      <c r="DA407" s="211"/>
      <c r="DB407" s="300"/>
      <c r="DC407" s="211"/>
      <c r="DD407" s="211"/>
      <c r="DE407" s="211"/>
      <c r="DF407" s="211"/>
      <c r="DG407" s="300"/>
      <c r="DH407" s="211"/>
      <c r="DI407" s="211"/>
      <c r="DJ407" s="211"/>
      <c r="DK407" s="211"/>
      <c r="DL407" s="300"/>
      <c r="DM407" s="300"/>
      <c r="DN407" s="300"/>
      <c r="DO407" s="300"/>
      <c r="DP407" s="544"/>
      <c r="DQ407" s="300"/>
      <c r="DR407" s="559"/>
      <c r="DS407" s="300"/>
      <c r="DT407" s="300"/>
      <c r="DU407" s="300"/>
      <c r="DV407" s="300"/>
      <c r="DW407" s="559"/>
      <c r="DX407" s="300"/>
      <c r="DY407" s="300"/>
      <c r="DZ407" s="300"/>
      <c r="EA407" s="300"/>
      <c r="EB407" s="559"/>
      <c r="EC407" s="300"/>
      <c r="ED407" s="300"/>
      <c r="EE407" s="300"/>
      <c r="EF407" s="300"/>
      <c r="EG407" s="300"/>
      <c r="EH407" s="300"/>
      <c r="EI407" s="300"/>
      <c r="EJ407" s="300"/>
      <c r="EK407" s="300"/>
      <c r="EL407" s="300"/>
      <c r="EM407" s="300"/>
      <c r="EN407" s="300"/>
      <c r="EO407" s="300"/>
      <c r="EP407" s="300"/>
      <c r="EQ407" s="300"/>
      <c r="ER407" s="300"/>
      <c r="ES407" s="300"/>
      <c r="ET407" s="300"/>
      <c r="EU407" s="300"/>
      <c r="EV407" s="300"/>
      <c r="EW407" s="300"/>
      <c r="EX407" s="300"/>
      <c r="EY407" s="300"/>
      <c r="EZ407" s="300"/>
      <c r="FA407" s="300"/>
      <c r="FB407" s="300"/>
      <c r="FC407" s="300"/>
      <c r="FD407" s="300"/>
      <c r="FE407" s="300"/>
      <c r="FF407" s="334"/>
      <c r="FG407" s="124"/>
      <c r="FL407" s="406"/>
      <c r="FM407" s="406"/>
      <c r="FN407" s="368"/>
      <c r="FO407" s="368"/>
      <c r="FP407" s="368"/>
      <c r="FQ407" s="368"/>
      <c r="FR407" s="368"/>
      <c r="FS407" s="368"/>
      <c r="FT407" s="124"/>
    </row>
    <row r="408" spans="1:183" s="7" customFormat="1" ht="12.75" customHeight="1" x14ac:dyDescent="0.2">
      <c r="A408" s="7" t="s">
        <v>95</v>
      </c>
      <c r="CZ408" s="7" t="s">
        <v>446</v>
      </c>
      <c r="FF408" s="336"/>
      <c r="FG408" s="6"/>
      <c r="FH408" s="346"/>
      <c r="FI408" s="336"/>
      <c r="FJ408" s="336"/>
      <c r="FK408" s="336"/>
      <c r="FL408" s="412"/>
      <c r="FM408" s="412"/>
      <c r="FN408" s="373"/>
      <c r="FO408" s="373"/>
      <c r="FP408" s="373"/>
      <c r="FQ408" s="373"/>
      <c r="FR408" s="373"/>
      <c r="FS408" s="373"/>
      <c r="FT408" s="6"/>
      <c r="FU408"/>
      <c r="FV408"/>
      <c r="FW408"/>
      <c r="FX408"/>
      <c r="FY408"/>
      <c r="FZ408"/>
      <c r="GA408" s="341"/>
    </row>
    <row r="409" spans="1:183" ht="12.75" customHeight="1" x14ac:dyDescent="0.2">
      <c r="A409" s="40"/>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183"/>
      <c r="AK409" s="183"/>
      <c r="AL409" s="183"/>
      <c r="AM409" s="183"/>
      <c r="AN409" s="183"/>
      <c r="AO409" s="183"/>
      <c r="AP409" s="183"/>
      <c r="AQ409" s="183"/>
      <c r="AR409" s="183"/>
      <c r="AS409" s="183"/>
      <c r="AT409" s="183"/>
      <c r="AU409" s="183"/>
      <c r="AV409" s="183"/>
      <c r="AW409" s="183"/>
      <c r="AX409" s="183"/>
      <c r="AY409" s="183"/>
      <c r="AZ409" s="183"/>
      <c r="BA409" s="183"/>
      <c r="BB409" s="183"/>
      <c r="BC409" s="183"/>
      <c r="BD409" s="183"/>
      <c r="BE409" s="183"/>
      <c r="BF409" s="183"/>
      <c r="BG409" s="183"/>
      <c r="BH409" s="183"/>
      <c r="BI409" s="183"/>
      <c r="BJ409" s="183"/>
      <c r="BK409" s="183"/>
      <c r="BL409" s="183"/>
      <c r="BM409" s="183"/>
      <c r="BN409" s="183"/>
      <c r="BO409" s="183"/>
      <c r="BP409" s="183"/>
      <c r="BQ409" s="183"/>
      <c r="BR409" s="183"/>
      <c r="BS409" s="183"/>
      <c r="BT409" s="183"/>
      <c r="BU409" s="183"/>
      <c r="BV409" s="183"/>
      <c r="BW409" s="183"/>
      <c r="BX409" s="183"/>
      <c r="BY409" s="183"/>
      <c r="BZ409" s="183"/>
      <c r="CA409" s="183"/>
      <c r="CB409" s="183"/>
      <c r="CC409" s="183"/>
      <c r="CD409" s="183"/>
      <c r="CE409" s="183"/>
      <c r="CF409" s="183"/>
      <c r="CG409" s="183"/>
      <c r="CH409" s="183"/>
      <c r="CI409" s="183"/>
      <c r="CJ409" s="183"/>
      <c r="CK409" s="183"/>
      <c r="CL409" s="183"/>
      <c r="CM409" s="183"/>
      <c r="CN409" s="183"/>
      <c r="CO409" s="183"/>
      <c r="CP409" s="183"/>
      <c r="CQ409" s="183"/>
      <c r="CR409" s="183"/>
      <c r="CS409" s="183"/>
      <c r="CT409" s="40"/>
      <c r="CU409" s="183"/>
      <c r="CV409" s="183"/>
      <c r="CW409" s="183"/>
      <c r="CX409" s="183"/>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190"/>
      <c r="FH409" s="237"/>
      <c r="FI409" s="40"/>
      <c r="FL409" s="406"/>
      <c r="FM409" s="406"/>
      <c r="FN409" s="368"/>
      <c r="FO409" s="368"/>
      <c r="FP409" s="368"/>
      <c r="FQ409" s="368"/>
      <c r="FR409" s="368"/>
      <c r="FS409" s="368"/>
      <c r="FT409" s="190"/>
      <c r="GA409" s="241"/>
    </row>
    <row r="410" spans="1:183" ht="12.75" customHeight="1" x14ac:dyDescent="0.2">
      <c r="A410" s="40"/>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183"/>
      <c r="AK410" s="183"/>
      <c r="AL410" s="183"/>
      <c r="AM410" s="183"/>
      <c r="AN410" s="183"/>
      <c r="AO410" s="183"/>
      <c r="AP410" s="183"/>
      <c r="AQ410" s="183"/>
      <c r="AR410" s="183"/>
      <c r="AS410" s="183"/>
      <c r="AT410" s="183"/>
      <c r="AU410" s="183"/>
      <c r="AV410" s="183"/>
      <c r="AW410" s="183"/>
      <c r="AX410" s="183"/>
      <c r="AY410" s="183"/>
      <c r="AZ410" s="183"/>
      <c r="BA410" s="183"/>
      <c r="BB410" s="183"/>
      <c r="BC410" s="183"/>
      <c r="BD410" s="183"/>
      <c r="BE410" s="183"/>
      <c r="BF410" s="183"/>
      <c r="BG410" s="183"/>
      <c r="BH410" s="183"/>
      <c r="BI410" s="183"/>
      <c r="BJ410" s="183"/>
      <c r="BK410" s="183"/>
      <c r="BL410" s="183"/>
      <c r="BM410" s="183"/>
      <c r="BN410" s="183"/>
      <c r="BO410" s="183"/>
      <c r="BP410" s="183"/>
      <c r="BQ410" s="183"/>
      <c r="BR410" s="183"/>
      <c r="BS410" s="183"/>
      <c r="BT410" s="183"/>
      <c r="BU410" s="183"/>
      <c r="BV410" s="183"/>
      <c r="BW410" s="183"/>
      <c r="BX410" s="183"/>
      <c r="BY410" s="183"/>
      <c r="BZ410" s="183"/>
      <c r="CA410" s="183"/>
      <c r="CB410" s="183"/>
      <c r="CC410" s="183"/>
      <c r="CD410" s="183"/>
      <c r="CE410" s="183"/>
      <c r="CF410" s="183"/>
      <c r="CG410" s="183"/>
      <c r="CH410" s="183"/>
      <c r="CI410" s="183"/>
      <c r="CJ410" s="183"/>
      <c r="CK410" s="183"/>
      <c r="CL410" s="183"/>
      <c r="CM410" s="183"/>
      <c r="CN410" s="183"/>
      <c r="CO410" s="183"/>
      <c r="CP410" s="183"/>
      <c r="CQ410" s="183"/>
      <c r="CR410" s="183"/>
      <c r="CS410" s="183"/>
      <c r="CT410" s="40"/>
      <c r="CU410" s="183"/>
      <c r="CV410" s="183"/>
      <c r="CW410" s="183"/>
      <c r="DC410" s="183"/>
      <c r="DD410" s="40"/>
      <c r="DG410" s="40"/>
      <c r="DH410" s="40"/>
      <c r="DI410" s="40"/>
      <c r="DJ410" s="40"/>
      <c r="DK410" s="40"/>
      <c r="DL410" s="40"/>
      <c r="DM410" s="40"/>
      <c r="DN410" s="40"/>
      <c r="DO410" s="40"/>
      <c r="DP410" s="40"/>
      <c r="DQ410" s="40"/>
      <c r="DR410" s="40"/>
      <c r="DS410" s="40"/>
      <c r="DT410" s="40"/>
      <c r="DU410" s="40"/>
      <c r="DV410" s="40"/>
      <c r="DW410" s="40"/>
      <c r="DX410" s="40"/>
      <c r="DY410" s="40"/>
      <c r="DZ410" s="40"/>
      <c r="EA410" s="40"/>
      <c r="EB410" s="40"/>
      <c r="EC410" s="40"/>
      <c r="ED410" s="40"/>
      <c r="EE410" s="40"/>
      <c r="EF410" s="40"/>
      <c r="EG410" s="40"/>
      <c r="EH410" s="40"/>
      <c r="EI410" s="40"/>
      <c r="EJ410" s="40"/>
      <c r="EK410" s="40"/>
      <c r="EL410" s="40"/>
      <c r="EM410" s="40"/>
      <c r="EN410" s="40"/>
      <c r="EO410" s="40"/>
      <c r="EP410" s="40"/>
      <c r="EQ410" s="40"/>
      <c r="ER410" s="40"/>
      <c r="ES410" s="40"/>
      <c r="ET410" s="40"/>
      <c r="EU410" s="40"/>
      <c r="EV410" s="40"/>
      <c r="EW410" s="40"/>
      <c r="EX410" s="40"/>
      <c r="EY410" s="40"/>
      <c r="EZ410" s="40"/>
      <c r="FA410" s="40"/>
      <c r="FB410" s="40"/>
      <c r="FC410" s="40"/>
      <c r="FD410" s="40"/>
      <c r="FE410" s="40"/>
      <c r="FF410" s="40"/>
      <c r="FG410" s="190"/>
      <c r="FH410" s="237"/>
      <c r="FI410" s="40"/>
      <c r="FL410" s="406"/>
      <c r="FM410" s="406"/>
      <c r="FN410" s="368"/>
      <c r="FO410" s="368"/>
      <c r="FP410" s="368"/>
      <c r="FQ410" s="368"/>
      <c r="FR410" s="368"/>
      <c r="FS410" s="368"/>
      <c r="FT410" s="190"/>
      <c r="GA410" s="241"/>
    </row>
    <row r="411" spans="1:183" ht="12.75" customHeight="1" x14ac:dyDescent="0.2">
      <c r="A411" s="40"/>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183"/>
      <c r="AK411" s="183"/>
      <c r="AL411" s="183"/>
      <c r="AM411" s="183"/>
      <c r="AN411" s="183"/>
      <c r="AO411" s="183"/>
      <c r="AP411" s="183"/>
      <c r="AQ411" s="183"/>
      <c r="AR411" s="183"/>
      <c r="AS411" s="183"/>
      <c r="AT411" s="183"/>
      <c r="AU411" s="183"/>
      <c r="AV411" s="183"/>
      <c r="AW411" s="183"/>
      <c r="AX411" s="183"/>
      <c r="AY411" s="183"/>
      <c r="AZ411" s="183"/>
      <c r="BA411" s="183"/>
      <c r="BB411" s="183"/>
      <c r="BC411" s="183"/>
      <c r="BD411" s="183"/>
      <c r="BE411" s="183"/>
      <c r="BF411" s="183"/>
      <c r="BG411" s="183"/>
      <c r="BH411" s="183"/>
      <c r="BI411" s="183"/>
      <c r="BJ411" s="183"/>
      <c r="BK411" s="183"/>
      <c r="BL411" s="183"/>
      <c r="BM411" s="183"/>
      <c r="BN411" s="183"/>
      <c r="BO411" s="183"/>
      <c r="BP411" s="183"/>
      <c r="BQ411" s="183"/>
      <c r="BR411" s="183"/>
      <c r="BS411" s="183"/>
      <c r="BT411" s="183"/>
      <c r="BU411" s="183"/>
      <c r="BV411" s="183"/>
      <c r="BW411" s="183"/>
      <c r="BX411" s="183"/>
      <c r="BY411" s="183"/>
      <c r="BZ411" s="183"/>
      <c r="CA411" s="183"/>
      <c r="CB411" s="183"/>
      <c r="CC411" s="183"/>
      <c r="CD411" s="183"/>
      <c r="CE411" s="183"/>
      <c r="CF411" s="183"/>
      <c r="CG411" s="183"/>
      <c r="CH411" s="183"/>
      <c r="CI411" s="183"/>
      <c r="CJ411" s="183"/>
      <c r="CK411" s="183"/>
      <c r="CL411" s="183"/>
      <c r="CM411" s="183"/>
      <c r="CN411" s="183"/>
      <c r="CO411" s="183"/>
      <c r="CP411" s="183"/>
      <c r="CQ411" s="183"/>
      <c r="CR411" s="183"/>
      <c r="CS411" s="183"/>
      <c r="CT411" s="40"/>
      <c r="CU411" s="183"/>
      <c r="CV411" s="183"/>
      <c r="CW411" s="183"/>
      <c r="DC411" s="183"/>
      <c r="DD411" s="40"/>
      <c r="DG411" s="40"/>
      <c r="DH411" s="40"/>
      <c r="DI411" s="40"/>
      <c r="DJ411" s="40"/>
      <c r="DK411" s="40"/>
      <c r="DL411" s="40"/>
      <c r="DM411" s="40"/>
      <c r="DN411" s="40"/>
      <c r="DO411" s="40"/>
      <c r="DP411" s="40"/>
      <c r="DQ411" s="40"/>
      <c r="DR411" s="40"/>
      <c r="DS411" s="40"/>
      <c r="DT411" s="40"/>
      <c r="DU411" s="40"/>
      <c r="DV411" s="40"/>
      <c r="DW411" s="40"/>
      <c r="DX411" s="40"/>
      <c r="DY411" s="40"/>
      <c r="DZ411" s="40"/>
      <c r="EA411" s="40"/>
      <c r="EB411" s="40"/>
      <c r="EC411" s="40"/>
      <c r="ED411" s="40"/>
      <c r="EE411" s="40"/>
      <c r="EF411" s="40"/>
      <c r="EG411" s="40"/>
      <c r="EH411" s="40"/>
      <c r="EI411" s="40"/>
      <c r="EJ411" s="40"/>
      <c r="EK411" s="40"/>
      <c r="EL411" s="40"/>
      <c r="EM411" s="40"/>
      <c r="EN411" s="40"/>
      <c r="EO411" s="40"/>
      <c r="EP411" s="40"/>
      <c r="EQ411" s="40"/>
      <c r="ER411" s="40"/>
      <c r="ES411" s="40"/>
      <c r="ET411" s="40"/>
      <c r="EU411" s="40"/>
      <c r="EV411" s="40"/>
      <c r="EW411" s="40"/>
      <c r="EX411" s="40"/>
      <c r="EY411" s="40"/>
      <c r="EZ411" s="40"/>
      <c r="FA411" s="40"/>
      <c r="FB411" s="40"/>
      <c r="FC411" s="40"/>
      <c r="FD411" s="40"/>
      <c r="FE411" s="40"/>
      <c r="FF411" s="40"/>
      <c r="FG411" s="190"/>
      <c r="FH411" s="237"/>
      <c r="FI411" s="40"/>
      <c r="FL411" s="406"/>
      <c r="FM411" s="406"/>
      <c r="FN411" s="368"/>
      <c r="FO411" s="368"/>
      <c r="FP411" s="368"/>
      <c r="FQ411" s="368"/>
      <c r="FR411" s="368"/>
      <c r="FS411" s="368"/>
      <c r="FT411" s="190"/>
      <c r="GA411" s="241"/>
    </row>
    <row r="412" spans="1:183" ht="12.75" customHeight="1" x14ac:dyDescent="0.2">
      <c r="A412" s="40"/>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183"/>
      <c r="AK412" s="183"/>
      <c r="AL412" s="183"/>
      <c r="AM412" s="183"/>
      <c r="AN412" s="183"/>
      <c r="AO412" s="183"/>
      <c r="AP412" s="183"/>
      <c r="AQ412" s="183"/>
      <c r="AR412" s="183"/>
      <c r="AS412" s="183"/>
      <c r="AT412" s="183"/>
      <c r="AU412" s="183"/>
      <c r="AV412" s="183"/>
      <c r="AW412" s="183"/>
      <c r="AX412" s="183"/>
      <c r="AY412" s="183"/>
      <c r="AZ412" s="183"/>
      <c r="BA412" s="183"/>
      <c r="BB412" s="183"/>
      <c r="BC412" s="183"/>
      <c r="BD412" s="183"/>
      <c r="BE412" s="183"/>
      <c r="BF412" s="183"/>
      <c r="BG412" s="183"/>
      <c r="BH412" s="183"/>
      <c r="BI412" s="183"/>
      <c r="BJ412" s="183"/>
      <c r="BK412" s="183"/>
      <c r="BL412" s="183"/>
      <c r="BM412" s="183"/>
      <c r="BN412" s="183"/>
      <c r="BO412" s="183"/>
      <c r="BP412" s="183"/>
      <c r="BQ412" s="183"/>
      <c r="BR412" s="183"/>
      <c r="BS412" s="183"/>
      <c r="BT412" s="183"/>
      <c r="BU412" s="183"/>
      <c r="BV412" s="183"/>
      <c r="BW412" s="183"/>
      <c r="BX412" s="183"/>
      <c r="BY412" s="183"/>
      <c r="BZ412" s="183"/>
      <c r="CA412" s="183"/>
      <c r="CB412" s="183"/>
      <c r="CC412" s="183"/>
      <c r="CD412" s="183"/>
      <c r="CE412" s="183"/>
      <c r="CF412" s="183"/>
      <c r="CG412" s="183"/>
      <c r="CH412" s="183"/>
      <c r="CI412" s="183"/>
      <c r="CJ412" s="183"/>
      <c r="CK412" s="183"/>
      <c r="CL412" s="183"/>
      <c r="CM412" s="183"/>
      <c r="CN412" s="183"/>
      <c r="CO412" s="183"/>
      <c r="CP412" s="183"/>
      <c r="CQ412" s="183"/>
      <c r="CR412" s="183"/>
      <c r="CS412" s="183"/>
      <c r="CT412" s="40"/>
      <c r="CU412" s="183"/>
      <c r="CV412" s="183"/>
      <c r="CW412" s="183"/>
      <c r="DC412" s="183"/>
      <c r="DD412" s="40"/>
      <c r="DG412" s="40"/>
      <c r="DH412" s="40"/>
      <c r="DI412" s="40"/>
      <c r="DJ412" s="40"/>
      <c r="DK412" s="40"/>
      <c r="DL412" s="40"/>
      <c r="DM412" s="40"/>
      <c r="DN412" s="40"/>
      <c r="DO412" s="40"/>
      <c r="DP412" s="40"/>
      <c r="DQ412" s="40"/>
      <c r="DR412" s="40"/>
      <c r="DS412" s="40"/>
      <c r="DT412" s="40"/>
      <c r="DU412" s="40"/>
      <c r="DV412" s="40"/>
      <c r="DW412" s="40"/>
      <c r="DX412" s="40"/>
      <c r="DY412" s="40"/>
      <c r="DZ412" s="40"/>
      <c r="EA412" s="40"/>
      <c r="EB412" s="40"/>
      <c r="EC412" s="40"/>
      <c r="ED412" s="40"/>
      <c r="EE412" s="40"/>
      <c r="EF412" s="40"/>
      <c r="EG412" s="40"/>
      <c r="EH412" s="40"/>
      <c r="EI412" s="40"/>
      <c r="EJ412" s="40"/>
      <c r="EK412" s="40"/>
      <c r="EL412" s="40"/>
      <c r="EM412" s="40"/>
      <c r="EN412" s="40"/>
      <c r="EO412" s="40"/>
      <c r="EP412" s="40"/>
      <c r="EQ412" s="40"/>
      <c r="ER412" s="40"/>
      <c r="ES412" s="40"/>
      <c r="ET412" s="40"/>
      <c r="EU412" s="40"/>
      <c r="EV412" s="40"/>
      <c r="EW412" s="40"/>
      <c r="EX412" s="40"/>
      <c r="EY412" s="40"/>
      <c r="EZ412" s="40"/>
      <c r="FA412" s="40"/>
      <c r="FB412" s="40"/>
      <c r="FC412" s="40"/>
      <c r="FD412" s="40"/>
      <c r="FE412" s="40"/>
      <c r="FF412" s="40"/>
      <c r="FG412" s="190"/>
      <c r="FH412" s="237"/>
      <c r="FI412" s="40"/>
      <c r="FL412" s="406"/>
      <c r="FM412" s="406"/>
      <c r="FN412" s="368"/>
      <c r="FO412" s="368"/>
      <c r="FP412" s="368"/>
      <c r="FQ412" s="368"/>
      <c r="FR412" s="368"/>
      <c r="FS412" s="368"/>
      <c r="FT412" s="190"/>
      <c r="GA412" s="241"/>
    </row>
    <row r="413" spans="1:183" ht="12.75" customHeight="1" x14ac:dyDescent="0.2">
      <c r="A413" s="40"/>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183"/>
      <c r="AK413" s="183"/>
      <c r="AL413" s="183"/>
      <c r="AM413" s="183"/>
      <c r="AN413" s="183"/>
      <c r="AO413" s="183"/>
      <c r="AP413" s="183"/>
      <c r="AQ413" s="183"/>
      <c r="AR413" s="183"/>
      <c r="AS413" s="183"/>
      <c r="AT413" s="183"/>
      <c r="AU413" s="183"/>
      <c r="AV413" s="183"/>
      <c r="AW413" s="183"/>
      <c r="AX413" s="183"/>
      <c r="AY413" s="183"/>
      <c r="AZ413" s="183"/>
      <c r="BA413" s="183"/>
      <c r="BB413" s="183"/>
      <c r="BC413" s="183"/>
      <c r="BD413" s="183"/>
      <c r="BE413" s="183"/>
      <c r="BF413" s="183"/>
      <c r="BG413" s="183"/>
      <c r="BH413" s="183"/>
      <c r="BI413" s="183"/>
      <c r="BJ413" s="183"/>
      <c r="BK413" s="183"/>
      <c r="BL413" s="183"/>
      <c r="BM413" s="183"/>
      <c r="BN413" s="183"/>
      <c r="BO413" s="183"/>
      <c r="BP413" s="183"/>
      <c r="BQ413" s="183"/>
      <c r="BR413" s="183"/>
      <c r="BS413" s="183"/>
      <c r="BT413" s="183"/>
      <c r="BU413" s="183"/>
      <c r="BV413" s="183"/>
      <c r="BW413" s="183"/>
      <c r="BX413" s="183"/>
      <c r="BY413" s="183"/>
      <c r="BZ413" s="183"/>
      <c r="CA413" s="183"/>
      <c r="CB413" s="183"/>
      <c r="CC413" s="183"/>
      <c r="CD413" s="183"/>
      <c r="CE413" s="183"/>
      <c r="CF413" s="183"/>
      <c r="CG413" s="183"/>
      <c r="CH413" s="183"/>
      <c r="CI413" s="183"/>
      <c r="CJ413" s="183"/>
      <c r="CK413" s="183"/>
      <c r="CL413" s="183"/>
      <c r="CM413" s="183"/>
      <c r="CN413" s="183"/>
      <c r="CO413" s="183"/>
      <c r="CP413" s="183"/>
      <c r="CQ413" s="183"/>
      <c r="CR413" s="183"/>
      <c r="CS413" s="183"/>
      <c r="CT413" s="40"/>
      <c r="CU413" s="183"/>
      <c r="CV413" s="183"/>
      <c r="CW413" s="183"/>
      <c r="DC413" s="183"/>
      <c r="DD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190"/>
      <c r="FH413" s="237"/>
      <c r="FI413" s="40"/>
      <c r="FL413" s="406"/>
      <c r="FM413" s="406"/>
      <c r="FN413" s="368"/>
      <c r="FO413" s="368"/>
      <c r="FP413" s="368"/>
      <c r="FQ413" s="368"/>
      <c r="FR413" s="368"/>
      <c r="FS413" s="368"/>
      <c r="FT413" s="190"/>
      <c r="GA413" s="241"/>
    </row>
    <row r="414" spans="1:183" ht="12.75" customHeight="1" x14ac:dyDescent="0.2">
      <c r="A414" s="40"/>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183"/>
      <c r="AK414" s="183"/>
      <c r="AL414" s="183"/>
      <c r="AM414" s="183"/>
      <c r="AN414" s="183"/>
      <c r="AO414" s="183"/>
      <c r="AP414" s="183"/>
      <c r="AQ414" s="183"/>
      <c r="AR414" s="183"/>
      <c r="AS414" s="183"/>
      <c r="AT414" s="183"/>
      <c r="AU414" s="183"/>
      <c r="AV414" s="183"/>
      <c r="AW414" s="183"/>
      <c r="AX414" s="183"/>
      <c r="AY414" s="183"/>
      <c r="AZ414" s="183"/>
      <c r="BA414" s="183"/>
      <c r="BB414" s="183"/>
      <c r="BC414" s="183"/>
      <c r="BD414" s="183"/>
      <c r="BE414" s="183"/>
      <c r="BF414" s="183"/>
      <c r="BG414" s="183"/>
      <c r="BH414" s="183"/>
      <c r="BI414" s="183"/>
      <c r="BJ414" s="183"/>
      <c r="BK414" s="183"/>
      <c r="BL414" s="183"/>
      <c r="BM414" s="183"/>
      <c r="BN414" s="183"/>
      <c r="BO414" s="183"/>
      <c r="BP414" s="183"/>
      <c r="BQ414" s="183"/>
      <c r="BR414" s="183"/>
      <c r="BS414" s="183"/>
      <c r="BT414" s="183"/>
      <c r="BU414" s="183"/>
      <c r="BV414" s="183"/>
      <c r="BW414" s="183"/>
      <c r="BX414" s="183"/>
      <c r="BY414" s="183"/>
      <c r="BZ414" s="183"/>
      <c r="CA414" s="183"/>
      <c r="CB414" s="183"/>
      <c r="CC414" s="183"/>
      <c r="CD414" s="183"/>
      <c r="CE414" s="183"/>
      <c r="CF414" s="183"/>
      <c r="CG414" s="183"/>
      <c r="CH414" s="183"/>
      <c r="CI414" s="183"/>
      <c r="CJ414" s="183"/>
      <c r="CK414" s="183"/>
      <c r="CL414" s="183"/>
      <c r="CM414" s="183"/>
      <c r="CN414" s="183"/>
      <c r="CO414" s="183"/>
      <c r="CP414" s="183"/>
      <c r="CQ414" s="183"/>
      <c r="CR414" s="183"/>
      <c r="CS414" s="183"/>
      <c r="CT414" s="40"/>
      <c r="CU414" s="183"/>
      <c r="CV414" s="183"/>
      <c r="CW414" s="183"/>
      <c r="DC414" s="183"/>
      <c r="DD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190"/>
      <c r="FH414" s="237"/>
      <c r="FI414" s="40"/>
      <c r="FL414" s="406"/>
      <c r="FM414" s="406"/>
      <c r="FN414" s="368"/>
      <c r="FO414" s="368"/>
      <c r="FP414" s="368"/>
      <c r="FQ414" s="368"/>
      <c r="FR414" s="368"/>
      <c r="FS414" s="368"/>
      <c r="FT414" s="190"/>
      <c r="GA414" s="241"/>
    </row>
    <row r="415" spans="1:183" ht="12.75" customHeight="1" x14ac:dyDescent="0.2">
      <c r="A415" s="40"/>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3"/>
      <c r="BY415" s="183"/>
      <c r="BZ415" s="183"/>
      <c r="CA415" s="183"/>
      <c r="CB415" s="183"/>
      <c r="CC415" s="183"/>
      <c r="CD415" s="183"/>
      <c r="CE415" s="183"/>
      <c r="CF415" s="183"/>
      <c r="CG415" s="183"/>
      <c r="CH415" s="183"/>
      <c r="CI415" s="183"/>
      <c r="CJ415" s="183"/>
      <c r="CK415" s="183"/>
      <c r="CL415" s="183"/>
      <c r="CM415" s="183"/>
      <c r="CN415" s="183"/>
      <c r="CO415" s="183"/>
      <c r="CP415" s="183"/>
      <c r="CQ415" s="183"/>
      <c r="CR415" s="183"/>
      <c r="CS415" s="183"/>
      <c r="CT415" s="40"/>
      <c r="CU415" s="183"/>
      <c r="CV415" s="183"/>
      <c r="CW415" s="183"/>
      <c r="DC415" s="183"/>
      <c r="DD415" s="40"/>
      <c r="DG415" s="40"/>
      <c r="DH415" s="40"/>
      <c r="DI415" s="40"/>
      <c r="DJ415" s="40"/>
      <c r="DK415" s="40"/>
      <c r="DL415" s="40"/>
      <c r="DM415" s="40"/>
      <c r="DN415" s="40"/>
      <c r="DO415" s="40"/>
      <c r="DP415" s="40"/>
      <c r="DQ415" s="40"/>
      <c r="DR415" s="40"/>
      <c r="DS415" s="40"/>
      <c r="DT415" s="40"/>
      <c r="DU415" s="40"/>
      <c r="DV415" s="40"/>
      <c r="DW415" s="40"/>
      <c r="DX415" s="40"/>
      <c r="DY415" s="40"/>
      <c r="DZ415" s="40"/>
      <c r="EA415" s="40"/>
      <c r="EB415" s="40"/>
      <c r="EC415" s="40"/>
      <c r="ED415" s="40"/>
      <c r="EE415" s="40"/>
      <c r="EF415" s="40"/>
      <c r="EG415" s="40"/>
      <c r="EH415" s="40"/>
      <c r="EI415" s="40"/>
      <c r="EJ415" s="40"/>
      <c r="EK415" s="40"/>
      <c r="EL415" s="40"/>
      <c r="EM415" s="40"/>
      <c r="EN415" s="40"/>
      <c r="EO415" s="40"/>
      <c r="EP415" s="40"/>
      <c r="EQ415" s="40"/>
      <c r="ER415" s="40"/>
      <c r="ES415" s="40"/>
      <c r="ET415" s="40"/>
      <c r="EU415" s="40"/>
      <c r="EV415" s="40"/>
      <c r="EW415" s="40"/>
      <c r="EX415" s="40"/>
      <c r="EY415" s="40"/>
      <c r="EZ415" s="40"/>
      <c r="FA415" s="40"/>
      <c r="FB415" s="40"/>
      <c r="FC415" s="40"/>
      <c r="FD415" s="40"/>
      <c r="FE415" s="40"/>
      <c r="FF415" s="40"/>
      <c r="FG415" s="190"/>
      <c r="FH415" s="237"/>
      <c r="FI415" s="40"/>
      <c r="FL415" s="406"/>
      <c r="FM415" s="406"/>
      <c r="FN415" s="368"/>
      <c r="FO415" s="368"/>
      <c r="FP415" s="368"/>
      <c r="FQ415" s="368"/>
      <c r="FR415" s="368"/>
      <c r="FS415" s="368"/>
      <c r="FT415" s="190"/>
      <c r="GA415" s="241"/>
    </row>
    <row r="416" spans="1:183" ht="12.75" customHeight="1" x14ac:dyDescent="0.2">
      <c r="A416" s="40"/>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3"/>
      <c r="BY416" s="183"/>
      <c r="BZ416" s="183"/>
      <c r="CA416" s="183"/>
      <c r="CB416" s="183"/>
      <c r="CC416" s="183"/>
      <c r="CD416" s="183"/>
      <c r="CE416" s="183"/>
      <c r="CF416" s="183"/>
      <c r="CG416" s="183"/>
      <c r="CH416" s="183"/>
      <c r="CI416" s="183"/>
      <c r="CJ416" s="183"/>
      <c r="CK416" s="183"/>
      <c r="CL416" s="183"/>
      <c r="CM416" s="183"/>
      <c r="CN416" s="183"/>
      <c r="CO416" s="183"/>
      <c r="CP416" s="183"/>
      <c r="CQ416" s="183"/>
      <c r="CR416" s="183"/>
      <c r="CS416" s="183"/>
      <c r="CT416" s="40"/>
      <c r="CU416" s="183"/>
      <c r="CV416" s="183"/>
      <c r="CW416" s="183"/>
      <c r="DC416" s="183"/>
      <c r="DD416" s="40"/>
      <c r="DG416" s="40"/>
      <c r="DH416" s="40"/>
      <c r="DI416" s="40"/>
      <c r="DJ416" s="40"/>
      <c r="DK416" s="40"/>
      <c r="DL416" s="40"/>
      <c r="DM416" s="40"/>
      <c r="DN416" s="40"/>
      <c r="DO416" s="40"/>
      <c r="DP416" s="40"/>
      <c r="DQ416" s="40"/>
      <c r="DR416" s="40"/>
      <c r="DS416" s="40"/>
      <c r="DT416" s="40"/>
      <c r="DU416" s="40"/>
      <c r="DV416" s="40"/>
      <c r="DW416" s="40"/>
      <c r="DX416" s="40"/>
      <c r="DY416" s="40"/>
      <c r="DZ416" s="40"/>
      <c r="EA416" s="40"/>
      <c r="EB416" s="40"/>
      <c r="EC416" s="40"/>
      <c r="ED416" s="40"/>
      <c r="EE416" s="40"/>
      <c r="EF416" s="40"/>
      <c r="EG416" s="40"/>
      <c r="EH416" s="40"/>
      <c r="EI416" s="40"/>
      <c r="EJ416" s="40"/>
      <c r="EK416" s="40"/>
      <c r="EL416" s="40"/>
      <c r="EM416" s="40"/>
      <c r="EN416" s="40"/>
      <c r="EO416" s="40"/>
      <c r="EP416" s="40"/>
      <c r="EQ416" s="40"/>
      <c r="ER416" s="40"/>
      <c r="ES416" s="40"/>
      <c r="ET416" s="40"/>
      <c r="EU416" s="40"/>
      <c r="EV416" s="40"/>
      <c r="EW416" s="40"/>
      <c r="EX416" s="40"/>
      <c r="EY416" s="40"/>
      <c r="EZ416" s="40"/>
      <c r="FA416" s="40"/>
      <c r="FB416" s="40"/>
      <c r="FC416" s="40"/>
      <c r="FD416" s="40"/>
      <c r="FE416" s="40"/>
      <c r="FF416" s="40"/>
      <c r="FG416" s="190"/>
      <c r="FH416" s="237"/>
      <c r="FI416" s="40"/>
      <c r="FL416" s="406"/>
      <c r="FM416" s="406"/>
      <c r="FN416" s="368"/>
      <c r="FO416" s="368"/>
      <c r="FP416" s="368"/>
      <c r="FQ416" s="368"/>
      <c r="FR416" s="368"/>
      <c r="FS416" s="368"/>
      <c r="FT416" s="190"/>
      <c r="GA416" s="241"/>
    </row>
    <row r="417" spans="1:183" ht="12.75" customHeight="1" x14ac:dyDescent="0.2">
      <c r="A417" s="40"/>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183"/>
      <c r="AK417" s="183"/>
      <c r="AL417" s="183"/>
      <c r="AM417" s="183"/>
      <c r="AN417" s="183"/>
      <c r="AO417" s="183"/>
      <c r="AP417" s="183"/>
      <c r="AQ417" s="183"/>
      <c r="AR417" s="183"/>
      <c r="AS417" s="183"/>
      <c r="AT417" s="183"/>
      <c r="AU417" s="183"/>
      <c r="AV417" s="183"/>
      <c r="AW417" s="183"/>
      <c r="AX417" s="183"/>
      <c r="AY417" s="183"/>
      <c r="AZ417" s="183"/>
      <c r="BA417" s="183"/>
      <c r="BB417" s="183"/>
      <c r="BC417" s="183"/>
      <c r="BD417" s="183"/>
      <c r="BE417" s="183"/>
      <c r="BF417" s="183"/>
      <c r="BG417" s="183"/>
      <c r="BH417" s="183"/>
      <c r="BI417" s="183"/>
      <c r="BJ417" s="183"/>
      <c r="BK417" s="183"/>
      <c r="BL417" s="183"/>
      <c r="BM417" s="183"/>
      <c r="BN417" s="183"/>
      <c r="BO417" s="183"/>
      <c r="BP417" s="183"/>
      <c r="BQ417" s="183"/>
      <c r="BR417" s="183"/>
      <c r="BS417" s="183"/>
      <c r="BT417" s="183"/>
      <c r="BU417" s="183"/>
      <c r="BV417" s="183"/>
      <c r="BW417" s="183"/>
      <c r="BX417" s="183"/>
      <c r="BY417" s="183"/>
      <c r="BZ417" s="183"/>
      <c r="CA417" s="183"/>
      <c r="CB417" s="183"/>
      <c r="CC417" s="183"/>
      <c r="CD417" s="183"/>
      <c r="CE417" s="183"/>
      <c r="CF417" s="183"/>
      <c r="CG417" s="183"/>
      <c r="CH417" s="183"/>
      <c r="CI417" s="183"/>
      <c r="CJ417" s="183"/>
      <c r="CK417" s="183"/>
      <c r="CL417" s="183"/>
      <c r="CM417" s="183"/>
      <c r="CN417" s="183"/>
      <c r="CO417" s="183"/>
      <c r="CP417" s="183"/>
      <c r="CQ417" s="183"/>
      <c r="CR417" s="183"/>
      <c r="CS417" s="183"/>
      <c r="CT417" s="40"/>
      <c r="CU417" s="183"/>
      <c r="CV417" s="183"/>
      <c r="CW417" s="183"/>
      <c r="DC417" s="183"/>
      <c r="DD417" s="40"/>
      <c r="DG417" s="40"/>
      <c r="DH417" s="40"/>
      <c r="DI417" s="40"/>
      <c r="DJ417" s="40"/>
      <c r="DK417" s="40"/>
      <c r="DL417" s="40"/>
      <c r="DM417" s="40"/>
      <c r="DN417" s="40"/>
      <c r="DO417" s="40"/>
      <c r="DP417" s="40"/>
      <c r="DQ417" s="40"/>
      <c r="DR417" s="40"/>
      <c r="DS417" s="40"/>
      <c r="DT417" s="40"/>
      <c r="DU417" s="40"/>
      <c r="DV417" s="40"/>
      <c r="DW417" s="40"/>
      <c r="DX417" s="40"/>
      <c r="DY417" s="40"/>
      <c r="DZ417" s="40"/>
      <c r="EA417" s="40"/>
      <c r="EB417" s="40"/>
      <c r="EC417" s="40"/>
      <c r="ED417" s="40"/>
      <c r="EE417" s="40"/>
      <c r="EF417" s="40"/>
      <c r="EG417" s="40"/>
      <c r="EH417" s="40"/>
      <c r="EI417" s="40"/>
      <c r="EJ417" s="40"/>
      <c r="EK417" s="40"/>
      <c r="EL417" s="40"/>
      <c r="EM417" s="40"/>
      <c r="EN417" s="40"/>
      <c r="EO417" s="40"/>
      <c r="EP417" s="40"/>
      <c r="EQ417" s="40"/>
      <c r="ER417" s="40"/>
      <c r="ES417" s="40"/>
      <c r="ET417" s="40"/>
      <c r="EU417" s="40"/>
      <c r="EV417" s="40"/>
      <c r="EW417" s="40"/>
      <c r="EX417" s="40"/>
      <c r="EY417" s="40"/>
      <c r="EZ417" s="40"/>
      <c r="FA417" s="40"/>
      <c r="FB417" s="40"/>
      <c r="FC417" s="40"/>
      <c r="FD417" s="40"/>
      <c r="FE417" s="40"/>
      <c r="FF417" s="40"/>
      <c r="FG417" s="190"/>
      <c r="FH417" s="237"/>
      <c r="FI417" s="40"/>
      <c r="FL417" s="406"/>
      <c r="FM417" s="406"/>
      <c r="FN417" s="368"/>
      <c r="FO417" s="368"/>
      <c r="FP417" s="368"/>
      <c r="FQ417" s="368"/>
      <c r="FR417" s="368"/>
      <c r="FS417" s="368"/>
      <c r="FT417" s="190"/>
      <c r="GA417" s="241"/>
    </row>
    <row r="418" spans="1:183" ht="12.75" customHeight="1" x14ac:dyDescent="0.2">
      <c r="A418" s="40"/>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183"/>
      <c r="AK418" s="183"/>
      <c r="AL418" s="183"/>
      <c r="AM418" s="183"/>
      <c r="AN418" s="183"/>
      <c r="AO418" s="183"/>
      <c r="AP418" s="183"/>
      <c r="AQ418" s="183"/>
      <c r="AR418" s="183"/>
      <c r="AS418" s="183"/>
      <c r="AT418" s="183"/>
      <c r="AU418" s="183"/>
      <c r="AV418" s="183"/>
      <c r="AW418" s="183"/>
      <c r="AX418" s="183"/>
      <c r="AY418" s="183"/>
      <c r="AZ418" s="183"/>
      <c r="BA418" s="183"/>
      <c r="BB418" s="183"/>
      <c r="BC418" s="183"/>
      <c r="BD418" s="183"/>
      <c r="BE418" s="183"/>
      <c r="BF418" s="183"/>
      <c r="BG418" s="183"/>
      <c r="BH418" s="183"/>
      <c r="BI418" s="183"/>
      <c r="BJ418" s="183"/>
      <c r="BK418" s="183"/>
      <c r="BL418" s="183"/>
      <c r="BM418" s="183"/>
      <c r="BN418" s="183"/>
      <c r="BO418" s="183"/>
      <c r="BP418" s="183"/>
      <c r="BQ418" s="183"/>
      <c r="BR418" s="183"/>
      <c r="BS418" s="183"/>
      <c r="BT418" s="183"/>
      <c r="BU418" s="183"/>
      <c r="BV418" s="183"/>
      <c r="BW418" s="183"/>
      <c r="BX418" s="183"/>
      <c r="BY418" s="183"/>
      <c r="BZ418" s="183"/>
      <c r="CA418" s="183"/>
      <c r="CB418" s="183"/>
      <c r="CC418" s="183"/>
      <c r="CD418" s="183"/>
      <c r="CE418" s="183"/>
      <c r="CF418" s="183"/>
      <c r="CG418" s="183"/>
      <c r="CH418" s="183"/>
      <c r="CI418" s="183"/>
      <c r="CJ418" s="183"/>
      <c r="CK418" s="183"/>
      <c r="CL418" s="183"/>
      <c r="CM418" s="183"/>
      <c r="CN418" s="183"/>
      <c r="CO418" s="183"/>
      <c r="CP418" s="183"/>
      <c r="CQ418" s="183"/>
      <c r="CR418" s="183"/>
      <c r="CS418" s="183"/>
      <c r="CT418" s="40"/>
      <c r="CU418" s="183"/>
      <c r="CV418" s="183"/>
      <c r="CW418" s="183"/>
      <c r="DC418" s="183"/>
      <c r="DD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190"/>
      <c r="FH418" s="237"/>
      <c r="FI418" s="40"/>
      <c r="FL418" s="406"/>
      <c r="FM418" s="406"/>
      <c r="FN418" s="368"/>
      <c r="FO418" s="368"/>
      <c r="FP418" s="368"/>
      <c r="FQ418" s="368"/>
      <c r="FR418" s="368"/>
      <c r="FS418" s="368"/>
      <c r="FT418" s="190"/>
      <c r="GA418" s="241"/>
    </row>
    <row r="419" spans="1:183" ht="12.75" customHeight="1" x14ac:dyDescent="0.2">
      <c r="A419" s="40"/>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183"/>
      <c r="AK419" s="183"/>
      <c r="AL419" s="183"/>
      <c r="AM419" s="183"/>
      <c r="AN419" s="183"/>
      <c r="AO419" s="183"/>
      <c r="AP419" s="183"/>
      <c r="AQ419" s="183"/>
      <c r="AR419" s="183"/>
      <c r="AS419" s="183"/>
      <c r="AT419" s="183"/>
      <c r="AU419" s="183"/>
      <c r="AV419" s="183"/>
      <c r="AW419" s="183"/>
      <c r="AX419" s="183"/>
      <c r="AY419" s="183"/>
      <c r="AZ419" s="183"/>
      <c r="BA419" s="183"/>
      <c r="BB419" s="183"/>
      <c r="BC419" s="183"/>
      <c r="BD419" s="183"/>
      <c r="BE419" s="183"/>
      <c r="BF419" s="183"/>
      <c r="BG419" s="183"/>
      <c r="BH419" s="183"/>
      <c r="BI419" s="183"/>
      <c r="BJ419" s="183"/>
      <c r="BK419" s="183"/>
      <c r="BL419" s="183"/>
      <c r="BM419" s="183"/>
      <c r="BN419" s="183"/>
      <c r="BO419" s="183"/>
      <c r="BP419" s="183"/>
      <c r="BQ419" s="183"/>
      <c r="BR419" s="183"/>
      <c r="BS419" s="183"/>
      <c r="BT419" s="183"/>
      <c r="BU419" s="183"/>
      <c r="BV419" s="183"/>
      <c r="BW419" s="183"/>
      <c r="BX419" s="183"/>
      <c r="BY419" s="183"/>
      <c r="BZ419" s="183"/>
      <c r="CA419" s="183"/>
      <c r="CB419" s="183"/>
      <c r="CC419" s="183"/>
      <c r="CD419" s="183"/>
      <c r="CE419" s="183"/>
      <c r="CF419" s="183"/>
      <c r="CG419" s="183"/>
      <c r="CH419" s="183"/>
      <c r="CI419" s="183"/>
      <c r="CJ419" s="183"/>
      <c r="CK419" s="183"/>
      <c r="CL419" s="183"/>
      <c r="CM419" s="183"/>
      <c r="CN419" s="183"/>
      <c r="CO419" s="183"/>
      <c r="CP419" s="183"/>
      <c r="CQ419" s="183"/>
      <c r="CR419" s="183"/>
      <c r="CS419" s="183"/>
      <c r="CT419" s="40"/>
      <c r="CU419" s="183"/>
      <c r="CV419" s="183"/>
      <c r="CW419" s="183"/>
      <c r="DC419" s="183"/>
      <c r="DD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190"/>
      <c r="FH419" s="237"/>
      <c r="FI419" s="40"/>
      <c r="FL419" s="406"/>
      <c r="FM419" s="406"/>
      <c r="FN419" s="368"/>
      <c r="FO419" s="368"/>
      <c r="FP419" s="368"/>
      <c r="FQ419" s="368"/>
      <c r="FR419" s="368"/>
      <c r="FS419" s="368"/>
      <c r="FT419" s="190"/>
      <c r="GA419" s="241"/>
    </row>
    <row r="420" spans="1:183" ht="12.75" customHeight="1" x14ac:dyDescent="0.2">
      <c r="A420" s="40"/>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183"/>
      <c r="AK420" s="183"/>
      <c r="AL420" s="183"/>
      <c r="AM420" s="183"/>
      <c r="AN420" s="183"/>
      <c r="AO420" s="183"/>
      <c r="AP420" s="183"/>
      <c r="AQ420" s="183"/>
      <c r="AR420" s="183"/>
      <c r="AS420" s="183"/>
      <c r="AT420" s="183"/>
      <c r="AU420" s="183"/>
      <c r="AV420" s="183"/>
      <c r="AW420" s="183"/>
      <c r="AX420" s="183"/>
      <c r="AY420" s="183"/>
      <c r="AZ420" s="183"/>
      <c r="BA420" s="183"/>
      <c r="BB420" s="183"/>
      <c r="BC420" s="183"/>
      <c r="BD420" s="183"/>
      <c r="BE420" s="183"/>
      <c r="BF420" s="183"/>
      <c r="BG420" s="183"/>
      <c r="BH420" s="183"/>
      <c r="BI420" s="183"/>
      <c r="BJ420" s="183"/>
      <c r="BK420" s="183"/>
      <c r="BL420" s="183"/>
      <c r="BM420" s="183"/>
      <c r="BN420" s="183"/>
      <c r="BO420" s="183"/>
      <c r="BP420" s="183"/>
      <c r="BQ420" s="183"/>
      <c r="BR420" s="183"/>
      <c r="BS420" s="183"/>
      <c r="BT420" s="183"/>
      <c r="BU420" s="183"/>
      <c r="BV420" s="183"/>
      <c r="BW420" s="183"/>
      <c r="BX420" s="183"/>
      <c r="BY420" s="183"/>
      <c r="BZ420" s="183"/>
      <c r="CA420" s="183"/>
      <c r="CB420" s="183"/>
      <c r="CC420" s="183"/>
      <c r="CD420" s="183"/>
      <c r="CE420" s="183"/>
      <c r="CF420" s="183"/>
      <c r="CG420" s="183"/>
      <c r="CH420" s="183"/>
      <c r="CI420" s="183"/>
      <c r="CJ420" s="183"/>
      <c r="CK420" s="183"/>
      <c r="CL420" s="183"/>
      <c r="CM420" s="183"/>
      <c r="CN420" s="183"/>
      <c r="CO420" s="183"/>
      <c r="CP420" s="183"/>
      <c r="CQ420" s="183"/>
      <c r="CR420" s="183"/>
      <c r="CS420" s="183"/>
      <c r="CT420" s="40"/>
      <c r="CU420" s="183"/>
      <c r="CV420" s="183"/>
      <c r="CW420" s="183"/>
      <c r="DC420" s="183"/>
      <c r="DD420" s="40"/>
      <c r="DG420" s="40"/>
      <c r="DH420" s="40"/>
      <c r="DI420" s="40"/>
      <c r="DJ420" s="40"/>
      <c r="DK420" s="40"/>
      <c r="DL420" s="40"/>
      <c r="DM420" s="40"/>
      <c r="DN420" s="40"/>
      <c r="DO420" s="40"/>
      <c r="DP420" s="40"/>
      <c r="DQ420" s="40"/>
      <c r="DR420" s="40"/>
      <c r="DS420" s="40"/>
      <c r="DT420" s="40"/>
      <c r="DU420" s="40"/>
      <c r="DV420" s="40"/>
      <c r="DW420" s="40"/>
      <c r="DX420" s="40"/>
      <c r="DY420" s="40"/>
      <c r="DZ420" s="40"/>
      <c r="EA420" s="40"/>
      <c r="EB420" s="40"/>
      <c r="EC420" s="40"/>
      <c r="ED420" s="40"/>
      <c r="EE420" s="40"/>
      <c r="EF420" s="40"/>
      <c r="EG420" s="40"/>
      <c r="EH420" s="40"/>
      <c r="EI420" s="40"/>
      <c r="EJ420" s="40"/>
      <c r="EK420" s="40"/>
      <c r="EL420" s="40"/>
      <c r="EM420" s="40"/>
      <c r="EN420" s="40"/>
      <c r="EO420" s="40"/>
      <c r="EP420" s="40"/>
      <c r="EQ420" s="40"/>
      <c r="ER420" s="40"/>
      <c r="ES420" s="40"/>
      <c r="ET420" s="40"/>
      <c r="EU420" s="40"/>
      <c r="EV420" s="40"/>
      <c r="EW420" s="40"/>
      <c r="EX420" s="40"/>
      <c r="EY420" s="40"/>
      <c r="EZ420" s="40"/>
      <c r="FA420" s="40"/>
      <c r="FB420" s="40"/>
      <c r="FC420" s="40"/>
      <c r="FD420" s="40"/>
      <c r="FE420" s="40"/>
      <c r="FF420" s="40"/>
      <c r="FG420" s="190"/>
      <c r="FH420" s="237"/>
      <c r="FI420" s="40"/>
      <c r="FL420" s="406"/>
      <c r="FM420" s="406"/>
      <c r="FN420" s="368"/>
      <c r="FO420" s="368"/>
      <c r="FP420" s="368"/>
      <c r="FQ420" s="368"/>
      <c r="FR420" s="368"/>
      <c r="FS420" s="368"/>
      <c r="FT420" s="190"/>
      <c r="GA420" s="241"/>
    </row>
    <row r="421" spans="1:183" ht="12.75" customHeight="1" x14ac:dyDescent="0.2">
      <c r="A421" s="40"/>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183"/>
      <c r="AK421" s="183"/>
      <c r="AL421" s="183"/>
      <c r="AM421" s="183"/>
      <c r="AN421" s="183"/>
      <c r="AO421" s="183"/>
      <c r="AP421" s="183"/>
      <c r="AQ421" s="183"/>
      <c r="AR421" s="183"/>
      <c r="AS421" s="183"/>
      <c r="AT421" s="183"/>
      <c r="AU421" s="183"/>
      <c r="AV421" s="183"/>
      <c r="AW421" s="183"/>
      <c r="AX421" s="183"/>
      <c r="AY421" s="183"/>
      <c r="AZ421" s="183"/>
      <c r="BA421" s="183"/>
      <c r="BB421" s="183"/>
      <c r="BC421" s="183"/>
      <c r="BD421" s="183"/>
      <c r="BE421" s="183"/>
      <c r="BF421" s="183"/>
      <c r="BG421" s="183"/>
      <c r="BH421" s="183"/>
      <c r="BI421" s="183"/>
      <c r="BJ421" s="183"/>
      <c r="BK421" s="183"/>
      <c r="BL421" s="183"/>
      <c r="BM421" s="183"/>
      <c r="BN421" s="183"/>
      <c r="BO421" s="183"/>
      <c r="BP421" s="183"/>
      <c r="BQ421" s="183"/>
      <c r="BR421" s="183"/>
      <c r="BS421" s="183"/>
      <c r="BT421" s="183"/>
      <c r="BU421" s="183"/>
      <c r="BV421" s="183"/>
      <c r="BW421" s="183"/>
      <c r="BX421" s="183"/>
      <c r="BY421" s="183"/>
      <c r="BZ421" s="183"/>
      <c r="CA421" s="183"/>
      <c r="CB421" s="183"/>
      <c r="CC421" s="183"/>
      <c r="CD421" s="183"/>
      <c r="CE421" s="183"/>
      <c r="CF421" s="183"/>
      <c r="CG421" s="183"/>
      <c r="CH421" s="183"/>
      <c r="CI421" s="183"/>
      <c r="CJ421" s="183"/>
      <c r="CK421" s="183"/>
      <c r="CL421" s="183"/>
      <c r="CM421" s="183"/>
      <c r="CN421" s="183"/>
      <c r="CO421" s="183"/>
      <c r="CP421" s="183"/>
      <c r="CQ421" s="183"/>
      <c r="CR421" s="183"/>
      <c r="CS421" s="183"/>
      <c r="CT421" s="40"/>
      <c r="CU421" s="183"/>
      <c r="CV421" s="183"/>
      <c r="CW421" s="183"/>
      <c r="DC421" s="183"/>
      <c r="DD421" s="40"/>
      <c r="DE421" s="40"/>
      <c r="DF421" s="40"/>
      <c r="DG421" s="40"/>
      <c r="DH421" s="40"/>
      <c r="DI421" s="40"/>
      <c r="DJ421" s="40"/>
      <c r="DK421" s="40"/>
      <c r="DL421" s="40"/>
      <c r="DM421" s="40"/>
      <c r="DN421" s="40"/>
      <c r="DO421" s="40"/>
      <c r="DP421" s="40"/>
      <c r="DQ421" s="40"/>
      <c r="DR421" s="40"/>
      <c r="DS421" s="40"/>
      <c r="DT421" s="40"/>
      <c r="DU421" s="40"/>
      <c r="DV421" s="40"/>
      <c r="DW421" s="40"/>
      <c r="DX421" s="40"/>
      <c r="DY421" s="40"/>
      <c r="DZ421" s="40"/>
      <c r="EA421" s="40"/>
      <c r="EB421" s="40"/>
      <c r="EC421" s="40"/>
      <c r="ED421" s="40"/>
      <c r="EE421" s="40"/>
      <c r="EF421" s="40"/>
      <c r="EG421" s="40"/>
      <c r="EH421" s="40"/>
      <c r="EI421" s="40"/>
      <c r="EJ421" s="40"/>
      <c r="EK421" s="40"/>
      <c r="EL421" s="40"/>
      <c r="EM421" s="40"/>
      <c r="EN421" s="40"/>
      <c r="EO421" s="40"/>
      <c r="EP421" s="40"/>
      <c r="EQ421" s="40"/>
      <c r="ER421" s="40"/>
      <c r="ES421" s="40"/>
      <c r="ET421" s="40"/>
      <c r="EU421" s="40"/>
      <c r="EV421" s="40"/>
      <c r="EW421" s="40"/>
      <c r="EX421" s="40"/>
      <c r="EY421" s="40"/>
      <c r="EZ421" s="40"/>
      <c r="FA421" s="40"/>
      <c r="FB421" s="40"/>
      <c r="FC421" s="40"/>
      <c r="FD421" s="40"/>
      <c r="FE421" s="40"/>
      <c r="FF421" s="40"/>
      <c r="FG421" s="190"/>
      <c r="FH421" s="237"/>
      <c r="FI421" s="40"/>
      <c r="FL421" s="406"/>
      <c r="FM421" s="406"/>
      <c r="FN421" s="368"/>
      <c r="FO421" s="368"/>
      <c r="FP421" s="368"/>
      <c r="FQ421" s="368"/>
      <c r="FR421" s="368"/>
      <c r="FS421" s="368"/>
      <c r="FT421" s="190"/>
      <c r="GA421" s="241"/>
    </row>
    <row r="422" spans="1:183" s="7" customFormat="1" ht="12.75" customHeight="1" collapsed="1" x14ac:dyDescent="0.2">
      <c r="A422" s="7" t="s">
        <v>294</v>
      </c>
      <c r="DE422" s="7" t="s">
        <v>446</v>
      </c>
      <c r="FF422" s="336"/>
      <c r="FG422" s="6"/>
      <c r="FH422" s="346"/>
      <c r="FI422" s="336"/>
      <c r="FJ422" s="336"/>
      <c r="FK422" s="336"/>
      <c r="FL422" s="412"/>
      <c r="FM422" s="412"/>
      <c r="FN422" s="373"/>
      <c r="FO422" s="373"/>
      <c r="FP422" s="373"/>
      <c r="FQ422" s="373"/>
      <c r="FR422" s="373"/>
      <c r="FS422" s="373"/>
      <c r="FT422" s="6"/>
      <c r="FU422"/>
      <c r="FV422"/>
      <c r="FW422"/>
      <c r="FX422"/>
      <c r="FY422"/>
      <c r="FZ422"/>
      <c r="GA422" s="341"/>
    </row>
    <row r="423" spans="1:183" ht="12.75" customHeight="1" x14ac:dyDescent="0.2">
      <c r="A423" s="40"/>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183"/>
      <c r="AK423" s="183"/>
      <c r="AL423" s="183"/>
      <c r="AM423" s="183"/>
      <c r="AN423" s="183"/>
      <c r="AO423" s="183"/>
      <c r="AP423" s="183"/>
      <c r="AQ423" s="183"/>
      <c r="AR423" s="183"/>
      <c r="AS423" s="183"/>
      <c r="AT423" s="183"/>
      <c r="AU423" s="183"/>
      <c r="AV423" s="183"/>
      <c r="AW423" s="183"/>
      <c r="AX423" s="183"/>
      <c r="AY423" s="183"/>
      <c r="AZ423" s="183"/>
      <c r="BA423" s="183"/>
      <c r="BB423" s="183"/>
      <c r="BC423" s="183"/>
      <c r="BD423" s="183"/>
      <c r="BE423" s="183"/>
      <c r="BF423" s="183"/>
      <c r="BG423" s="183"/>
      <c r="BH423" s="183"/>
      <c r="BI423" s="183"/>
      <c r="BJ423" s="183"/>
      <c r="BK423" s="183"/>
      <c r="BL423" s="183"/>
      <c r="BM423" s="183"/>
      <c r="BN423" s="183"/>
      <c r="BO423" s="183"/>
      <c r="BP423" s="183"/>
      <c r="BQ423" s="183"/>
      <c r="BR423" s="183"/>
      <c r="BS423" s="183"/>
      <c r="BT423" s="183"/>
      <c r="BU423" s="183"/>
      <c r="BV423" s="183"/>
      <c r="BW423" s="183"/>
      <c r="BX423" s="183"/>
      <c r="BY423" s="183"/>
      <c r="BZ423" s="183"/>
      <c r="CA423" s="183"/>
      <c r="CB423" s="183"/>
      <c r="CC423" s="183"/>
      <c r="CD423" s="183"/>
      <c r="CE423" s="183"/>
      <c r="CF423" s="183"/>
      <c r="CG423" s="183"/>
      <c r="CH423" s="183"/>
      <c r="CI423" s="183"/>
      <c r="CJ423" s="183"/>
      <c r="CK423" s="183"/>
      <c r="CL423" s="183"/>
      <c r="CM423" s="183"/>
      <c r="CN423" s="183"/>
      <c r="CO423" s="183"/>
      <c r="CP423" s="183"/>
      <c r="CQ423" s="183"/>
      <c r="CR423" s="183"/>
      <c r="CS423" s="183"/>
      <c r="CT423" s="40"/>
      <c r="CU423" s="183"/>
      <c r="CV423" s="183"/>
      <c r="CW423" s="183"/>
      <c r="DC423" s="183"/>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190"/>
      <c r="FH423" s="237"/>
      <c r="FI423" s="40"/>
      <c r="FL423" s="406"/>
      <c r="FM423" s="406"/>
      <c r="FN423" s="368"/>
      <c r="FO423" s="368"/>
      <c r="FP423" s="368"/>
      <c r="FQ423" s="368"/>
      <c r="FR423" s="368"/>
      <c r="FS423" s="368"/>
      <c r="FT423" s="190"/>
      <c r="GA423" s="241"/>
    </row>
    <row r="424" spans="1:183" ht="12.75" customHeight="1" x14ac:dyDescent="0.2">
      <c r="A424" s="40"/>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183"/>
      <c r="AK424" s="183"/>
      <c r="AL424" s="183"/>
      <c r="AM424" s="183"/>
      <c r="AN424" s="183"/>
      <c r="AO424" s="183"/>
      <c r="AP424" s="183"/>
      <c r="AQ424" s="183"/>
      <c r="AR424" s="183"/>
      <c r="AS424" s="183"/>
      <c r="AT424" s="183"/>
      <c r="AU424" s="183"/>
      <c r="AV424" s="183"/>
      <c r="AW424" s="183"/>
      <c r="AX424" s="183"/>
      <c r="AY424" s="183"/>
      <c r="AZ424" s="183"/>
      <c r="BA424" s="183"/>
      <c r="BB424" s="183"/>
      <c r="BC424" s="183"/>
      <c r="BD424" s="183"/>
      <c r="BE424" s="183"/>
      <c r="BF424" s="183"/>
      <c r="BG424" s="183"/>
      <c r="BH424" s="183"/>
      <c r="BI424" s="183"/>
      <c r="BJ424" s="183"/>
      <c r="BK424" s="183"/>
      <c r="BL424" s="183"/>
      <c r="BM424" s="183"/>
      <c r="BN424" s="183"/>
      <c r="BO424" s="183"/>
      <c r="BP424" s="183"/>
      <c r="BQ424" s="183"/>
      <c r="BR424" s="183"/>
      <c r="BS424" s="183"/>
      <c r="BT424" s="183"/>
      <c r="BU424" s="183"/>
      <c r="BV424" s="183"/>
      <c r="BW424" s="183"/>
      <c r="BX424" s="183"/>
      <c r="BY424" s="183"/>
      <c r="BZ424" s="183"/>
      <c r="CA424" s="183"/>
      <c r="CB424" s="183"/>
      <c r="CC424" s="183"/>
      <c r="CD424" s="183"/>
      <c r="CE424" s="183"/>
      <c r="CF424" s="183"/>
      <c r="CG424" s="183"/>
      <c r="CH424" s="183"/>
      <c r="CI424" s="183"/>
      <c r="CJ424" s="183"/>
      <c r="CK424" s="183"/>
      <c r="CL424" s="183"/>
      <c r="CM424" s="183"/>
      <c r="CN424" s="183"/>
      <c r="CO424" s="183"/>
      <c r="CP424" s="183"/>
      <c r="CQ424" s="183"/>
      <c r="CR424" s="183"/>
      <c r="CS424" s="183"/>
      <c r="CT424" s="40"/>
      <c r="CU424" s="183"/>
      <c r="CV424" s="183"/>
      <c r="CW424" s="183"/>
      <c r="DQ424" s="40"/>
      <c r="DR424" s="40"/>
      <c r="DS424" s="40"/>
      <c r="DT424" s="40"/>
      <c r="DU424" s="40"/>
      <c r="DV424" s="40"/>
      <c r="DW424" s="40"/>
      <c r="DX424" s="40"/>
      <c r="DY424" s="40"/>
      <c r="DZ424" s="40"/>
      <c r="EA424" s="40"/>
      <c r="EB424" s="526"/>
      <c r="EC424" s="526"/>
      <c r="ED424" s="526"/>
      <c r="EE424" s="526"/>
      <c r="EF424" s="526"/>
      <c r="EG424" s="526"/>
      <c r="EH424" s="526"/>
      <c r="EI424" s="526"/>
      <c r="EJ424" s="526"/>
      <c r="EK424" s="526"/>
      <c r="EL424" s="526"/>
      <c r="EM424" s="526"/>
      <c r="EN424" s="526"/>
      <c r="EO424" s="526"/>
      <c r="EP424" s="526"/>
      <c r="EQ424" s="526"/>
      <c r="ER424" s="526"/>
      <c r="ES424" s="526"/>
      <c r="ET424" s="526"/>
      <c r="EU424" s="526"/>
      <c r="EV424" s="526"/>
      <c r="EW424" s="526"/>
      <c r="EX424" s="526"/>
      <c r="EY424" s="526"/>
      <c r="EZ424" s="526"/>
      <c r="FA424" s="526"/>
      <c r="FB424" s="526"/>
      <c r="FC424" s="526"/>
      <c r="FD424" s="526"/>
      <c r="FE424" s="526"/>
      <c r="FF424" s="40"/>
      <c r="FG424" s="190"/>
      <c r="FH424" s="237"/>
      <c r="FI424" s="40"/>
      <c r="FL424" s="406"/>
      <c r="FM424" s="406"/>
      <c r="FN424" s="368"/>
      <c r="FO424" s="368"/>
      <c r="FP424" s="368"/>
      <c r="FQ424" s="368"/>
      <c r="FR424" s="368"/>
      <c r="FS424" s="368"/>
      <c r="FT424" s="190"/>
      <c r="GA424" s="241"/>
    </row>
    <row r="425" spans="1:183" ht="12.75" customHeight="1" x14ac:dyDescent="0.2">
      <c r="A425" s="40"/>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183"/>
      <c r="AK425" s="183"/>
      <c r="AL425" s="183"/>
      <c r="AM425" s="183"/>
      <c r="AN425" s="183"/>
      <c r="AO425" s="183"/>
      <c r="AP425" s="183"/>
      <c r="AQ425" s="183"/>
      <c r="AR425" s="183"/>
      <c r="AS425" s="183"/>
      <c r="AT425" s="183"/>
      <c r="AU425" s="183"/>
      <c r="AV425" s="183"/>
      <c r="AW425" s="183"/>
      <c r="AX425" s="183"/>
      <c r="AY425" s="183"/>
      <c r="AZ425" s="183"/>
      <c r="BA425" s="183"/>
      <c r="BB425" s="183"/>
      <c r="BC425" s="183"/>
      <c r="BD425" s="183"/>
      <c r="BE425" s="183"/>
      <c r="BF425" s="183"/>
      <c r="BG425" s="183"/>
      <c r="BH425" s="183"/>
      <c r="BI425" s="183"/>
      <c r="BJ425" s="183"/>
      <c r="BK425" s="183"/>
      <c r="BL425" s="183"/>
      <c r="BM425" s="183"/>
      <c r="BN425" s="183"/>
      <c r="BO425" s="183"/>
      <c r="BP425" s="183"/>
      <c r="BQ425" s="183"/>
      <c r="BR425" s="183"/>
      <c r="BS425" s="183"/>
      <c r="BT425" s="183"/>
      <c r="BU425" s="183"/>
      <c r="BV425" s="183"/>
      <c r="BW425" s="183"/>
      <c r="BX425" s="183"/>
      <c r="BY425" s="183"/>
      <c r="BZ425" s="183"/>
      <c r="CA425" s="183"/>
      <c r="CB425" s="183"/>
      <c r="CC425" s="183"/>
      <c r="CD425" s="183"/>
      <c r="CE425" s="183"/>
      <c r="CF425" s="183"/>
      <c r="CG425" s="183"/>
      <c r="CH425" s="183"/>
      <c r="CI425" s="183"/>
      <c r="CJ425" s="183"/>
      <c r="CK425" s="183"/>
      <c r="CL425" s="183"/>
      <c r="CM425" s="183"/>
      <c r="CN425" s="183"/>
      <c r="CO425" s="183"/>
      <c r="CP425" s="183"/>
      <c r="CQ425" s="183"/>
      <c r="CR425" s="183"/>
      <c r="CS425" s="183"/>
      <c r="CT425" s="40"/>
      <c r="CU425" s="183"/>
      <c r="CV425" s="183"/>
      <c r="CW425" s="183"/>
      <c r="DQ425" s="40"/>
      <c r="DR425" s="40"/>
      <c r="DS425" s="40"/>
      <c r="DT425" s="40"/>
      <c r="DU425" s="40"/>
      <c r="DV425" s="40"/>
      <c r="DW425" s="40"/>
      <c r="DX425" s="40"/>
      <c r="DY425" s="40"/>
      <c r="DZ425" s="40"/>
      <c r="EA425" s="40"/>
      <c r="EB425" s="526"/>
      <c r="EC425" s="526"/>
      <c r="ED425" s="526"/>
      <c r="EE425" s="526"/>
      <c r="EF425" s="526"/>
      <c r="EG425" s="526"/>
      <c r="EH425" s="526"/>
      <c r="EI425" s="526"/>
      <c r="EJ425" s="526"/>
      <c r="EK425" s="526"/>
      <c r="EL425" s="526"/>
      <c r="EM425" s="526"/>
      <c r="EN425" s="526"/>
      <c r="EO425" s="526"/>
      <c r="EP425" s="526"/>
      <c r="EQ425" s="526"/>
      <c r="ER425" s="526"/>
      <c r="ES425" s="526"/>
      <c r="ET425" s="526"/>
      <c r="EU425" s="526"/>
      <c r="EV425" s="526"/>
      <c r="EW425" s="526"/>
      <c r="EX425" s="526"/>
      <c r="EY425" s="526"/>
      <c r="EZ425" s="526"/>
      <c r="FA425" s="526"/>
      <c r="FB425" s="526"/>
      <c r="FC425" s="526"/>
      <c r="FD425" s="526"/>
      <c r="FE425" s="526"/>
      <c r="FF425" s="40"/>
      <c r="FG425" s="190"/>
      <c r="FH425" s="237"/>
      <c r="FI425" s="40"/>
      <c r="FL425" s="406"/>
      <c r="FM425" s="406"/>
      <c r="FN425" s="368"/>
      <c r="FO425" s="368"/>
      <c r="FP425" s="368"/>
      <c r="FQ425" s="368"/>
      <c r="FR425" s="368"/>
      <c r="FS425" s="368"/>
      <c r="FT425" s="190"/>
      <c r="GA425" s="241"/>
    </row>
    <row r="426" spans="1:183" ht="12.75" customHeight="1" x14ac:dyDescent="0.2">
      <c r="A426" s="40"/>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183"/>
      <c r="AK426" s="183"/>
      <c r="AL426" s="183"/>
      <c r="AM426" s="183"/>
      <c r="AN426" s="183"/>
      <c r="AO426" s="183"/>
      <c r="AP426" s="183"/>
      <c r="AQ426" s="183"/>
      <c r="AR426" s="183"/>
      <c r="AS426" s="183"/>
      <c r="AT426" s="183"/>
      <c r="AU426" s="183"/>
      <c r="AV426" s="183"/>
      <c r="AW426" s="183"/>
      <c r="AX426" s="183"/>
      <c r="AY426" s="183"/>
      <c r="AZ426" s="183"/>
      <c r="BA426" s="183"/>
      <c r="BB426" s="183"/>
      <c r="BC426" s="183"/>
      <c r="BD426" s="183"/>
      <c r="BE426" s="183"/>
      <c r="BF426" s="183"/>
      <c r="BG426" s="183"/>
      <c r="BH426" s="183"/>
      <c r="BI426" s="183"/>
      <c r="BJ426" s="183"/>
      <c r="BK426" s="183"/>
      <c r="BL426" s="183"/>
      <c r="BM426" s="183"/>
      <c r="BN426" s="183"/>
      <c r="BO426" s="183"/>
      <c r="BP426" s="183"/>
      <c r="BQ426" s="183"/>
      <c r="BR426" s="183"/>
      <c r="BS426" s="183"/>
      <c r="BT426" s="183"/>
      <c r="BU426" s="183"/>
      <c r="BV426" s="183"/>
      <c r="BW426" s="183"/>
      <c r="BX426" s="183"/>
      <c r="BY426" s="183"/>
      <c r="BZ426" s="183"/>
      <c r="CA426" s="183"/>
      <c r="CB426" s="183"/>
      <c r="CC426" s="183"/>
      <c r="CD426" s="183"/>
      <c r="CE426" s="183"/>
      <c r="CF426" s="183"/>
      <c r="CG426" s="183"/>
      <c r="CH426" s="183"/>
      <c r="CI426" s="183"/>
      <c r="CJ426" s="183"/>
      <c r="CK426" s="183"/>
      <c r="CL426" s="183"/>
      <c r="CM426" s="183"/>
      <c r="CN426" s="183"/>
      <c r="CO426" s="183"/>
      <c r="CP426" s="183"/>
      <c r="CQ426" s="183"/>
      <c r="CR426" s="183"/>
      <c r="CS426" s="183"/>
      <c r="CT426" s="40"/>
      <c r="CU426" s="183"/>
      <c r="CV426" s="183"/>
      <c r="CW426" s="183"/>
      <c r="DQ426" s="40"/>
      <c r="DR426" s="40"/>
      <c r="DS426" s="40"/>
      <c r="DT426" s="40"/>
      <c r="DU426" s="40"/>
      <c r="DV426" s="40"/>
      <c r="DW426" s="40"/>
      <c r="DX426" s="40"/>
      <c r="DY426" s="40"/>
      <c r="DZ426" s="40"/>
      <c r="EA426" s="40"/>
      <c r="EB426" s="526"/>
      <c r="EC426" s="526"/>
      <c r="ED426" s="526"/>
      <c r="EE426" s="526"/>
      <c r="EF426" s="526"/>
      <c r="EG426" s="526"/>
      <c r="EH426" s="526"/>
      <c r="EI426" s="526"/>
      <c r="EJ426" s="526"/>
      <c r="EK426" s="526"/>
      <c r="EL426" s="526"/>
      <c r="EM426" s="526"/>
      <c r="EN426" s="526"/>
      <c r="EO426" s="526"/>
      <c r="EP426" s="526"/>
      <c r="EQ426" s="526"/>
      <c r="ER426" s="526"/>
      <c r="ES426" s="526"/>
      <c r="ET426" s="526"/>
      <c r="EU426" s="526"/>
      <c r="EV426" s="526"/>
      <c r="EW426" s="526"/>
      <c r="EX426" s="526"/>
      <c r="EY426" s="526"/>
      <c r="EZ426" s="526"/>
      <c r="FA426" s="526"/>
      <c r="FB426" s="526"/>
      <c r="FC426" s="526"/>
      <c r="FD426" s="526"/>
      <c r="FE426" s="526"/>
      <c r="FF426" s="40"/>
      <c r="FG426" s="190"/>
      <c r="FH426" s="237"/>
      <c r="FI426" s="40"/>
      <c r="FL426" s="406"/>
      <c r="FM426" s="406"/>
      <c r="FN426" s="368"/>
      <c r="FO426" s="368"/>
      <c r="FP426" s="368"/>
      <c r="FQ426" s="368"/>
      <c r="FR426" s="368"/>
      <c r="FS426" s="368"/>
      <c r="FT426" s="190"/>
      <c r="GA426" s="241"/>
    </row>
    <row r="427" spans="1:183" ht="12.75" customHeight="1" x14ac:dyDescent="0.2">
      <c r="A427" s="40"/>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183"/>
      <c r="AK427" s="183"/>
      <c r="AL427" s="183"/>
      <c r="AM427" s="183"/>
      <c r="AN427" s="183"/>
      <c r="AO427" s="183"/>
      <c r="AP427" s="183"/>
      <c r="AQ427" s="183"/>
      <c r="AR427" s="183"/>
      <c r="AS427" s="183"/>
      <c r="AT427" s="183"/>
      <c r="AU427" s="183"/>
      <c r="AV427" s="183"/>
      <c r="AW427" s="183"/>
      <c r="AX427" s="183"/>
      <c r="AY427" s="183"/>
      <c r="AZ427" s="183"/>
      <c r="BA427" s="183"/>
      <c r="BB427" s="183"/>
      <c r="BC427" s="183"/>
      <c r="BD427" s="183"/>
      <c r="BE427" s="183"/>
      <c r="BF427" s="183"/>
      <c r="BG427" s="183"/>
      <c r="BH427" s="183"/>
      <c r="BI427" s="183"/>
      <c r="BJ427" s="183"/>
      <c r="BK427" s="183"/>
      <c r="BL427" s="183"/>
      <c r="BM427" s="183"/>
      <c r="BN427" s="183"/>
      <c r="BO427" s="183"/>
      <c r="BP427" s="183"/>
      <c r="BQ427" s="183"/>
      <c r="BR427" s="183"/>
      <c r="BS427" s="183"/>
      <c r="BT427" s="183"/>
      <c r="BU427" s="183"/>
      <c r="BV427" s="183"/>
      <c r="BW427" s="183"/>
      <c r="BX427" s="183"/>
      <c r="BY427" s="183"/>
      <c r="BZ427" s="183"/>
      <c r="CA427" s="183"/>
      <c r="CB427" s="183"/>
      <c r="CC427" s="183"/>
      <c r="CD427" s="183"/>
      <c r="CE427" s="183"/>
      <c r="CF427" s="183"/>
      <c r="CG427" s="183"/>
      <c r="CH427" s="183"/>
      <c r="CI427" s="183"/>
      <c r="CJ427" s="183"/>
      <c r="CK427" s="183"/>
      <c r="CL427" s="183"/>
      <c r="CM427" s="183"/>
      <c r="CN427" s="183"/>
      <c r="CO427" s="183"/>
      <c r="CP427" s="183"/>
      <c r="CQ427" s="183"/>
      <c r="CR427" s="183"/>
      <c r="CS427" s="183"/>
      <c r="CT427" s="40"/>
      <c r="CU427" s="183"/>
      <c r="CV427" s="183"/>
      <c r="CW427" s="183"/>
      <c r="DR427" s="357"/>
      <c r="DS427" s="393"/>
      <c r="DT427" s="213" t="s">
        <v>381</v>
      </c>
      <c r="DV427" s="212"/>
      <c r="DW427" s="359"/>
      <c r="DX427" s="212"/>
      <c r="DY427" s="213" t="s">
        <v>381</v>
      </c>
      <c r="DZ427" s="358"/>
      <c r="EA427" s="526"/>
      <c r="EB427" s="526"/>
      <c r="EC427" s="526"/>
      <c r="ED427" s="526"/>
      <c r="EE427" s="526"/>
      <c r="EF427" s="526"/>
      <c r="EG427" s="526"/>
      <c r="EH427" s="526"/>
      <c r="EI427" s="526"/>
      <c r="EJ427" s="526"/>
      <c r="EK427" s="526"/>
      <c r="EL427" s="526"/>
      <c r="EM427" s="526"/>
      <c r="EN427" s="526"/>
      <c r="EO427" s="526"/>
      <c r="EP427" s="526"/>
      <c r="EQ427" s="526"/>
      <c r="ER427" s="526"/>
      <c r="ES427" s="526"/>
      <c r="ET427" s="526"/>
      <c r="EU427" s="526"/>
      <c r="EV427" s="526"/>
      <c r="EW427" s="526"/>
      <c r="EX427" s="526"/>
      <c r="EY427" s="526"/>
      <c r="EZ427" s="526"/>
      <c r="FA427" s="526"/>
      <c r="FB427" s="526"/>
      <c r="FC427" s="526"/>
      <c r="FD427" s="526"/>
      <c r="FE427" s="526"/>
      <c r="FF427" s="40"/>
      <c r="FG427" s="190"/>
      <c r="FH427" s="237"/>
      <c r="FI427" s="40"/>
      <c r="FL427" s="406"/>
      <c r="FM427" s="406"/>
      <c r="FN427" s="368"/>
      <c r="FO427" s="368"/>
      <c r="FP427" s="368"/>
      <c r="FQ427" s="368"/>
      <c r="FR427" s="368"/>
      <c r="FS427" s="368"/>
      <c r="FT427" s="190"/>
      <c r="GA427" s="241"/>
    </row>
    <row r="428" spans="1:183" ht="12.75" customHeight="1" x14ac:dyDescent="0.2">
      <c r="A428" s="40"/>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183"/>
      <c r="AK428" s="183"/>
      <c r="AL428" s="183"/>
      <c r="AM428" s="183"/>
      <c r="AN428" s="183"/>
      <c r="AO428" s="183"/>
      <c r="AP428" s="183"/>
      <c r="AQ428" s="183"/>
      <c r="AR428" s="183"/>
      <c r="AS428" s="183"/>
      <c r="AT428" s="183"/>
      <c r="AU428" s="183"/>
      <c r="AV428" s="183"/>
      <c r="AW428" s="183"/>
      <c r="AX428" s="183"/>
      <c r="AY428" s="183"/>
      <c r="AZ428" s="183"/>
      <c r="BA428" s="183"/>
      <c r="BB428" s="183"/>
      <c r="BC428" s="183"/>
      <c r="BD428" s="183"/>
      <c r="BE428" s="183"/>
      <c r="BF428" s="183"/>
      <c r="BG428" s="183"/>
      <c r="BH428" s="183"/>
      <c r="BI428" s="183"/>
      <c r="BJ428" s="183"/>
      <c r="BK428" s="183"/>
      <c r="BL428" s="183"/>
      <c r="BM428" s="183"/>
      <c r="BN428" s="183"/>
      <c r="BO428" s="183"/>
      <c r="BP428" s="183"/>
      <c r="BQ428" s="183"/>
      <c r="BR428" s="183"/>
      <c r="BS428" s="183"/>
      <c r="BT428" s="183"/>
      <c r="BU428" s="183"/>
      <c r="BV428" s="183"/>
      <c r="BW428" s="183"/>
      <c r="BX428" s="183"/>
      <c r="BY428" s="183"/>
      <c r="BZ428" s="183"/>
      <c r="CA428" s="183"/>
      <c r="CB428" s="183"/>
      <c r="CC428" s="183"/>
      <c r="CD428" s="183"/>
      <c r="CE428" s="183"/>
      <c r="CF428" s="183"/>
      <c r="CG428" s="183"/>
      <c r="CH428" s="183"/>
      <c r="CI428" s="183"/>
      <c r="CJ428" s="183"/>
      <c r="CK428" s="183"/>
      <c r="CL428" s="183"/>
      <c r="CM428" s="183"/>
      <c r="CN428" s="183"/>
      <c r="CO428" s="183"/>
      <c r="CP428" s="183"/>
      <c r="CQ428" s="183"/>
      <c r="CR428" s="183"/>
      <c r="CS428" s="183"/>
      <c r="CT428" s="40"/>
      <c r="CU428" s="183"/>
      <c r="CV428" s="183"/>
      <c r="CW428" s="183"/>
      <c r="DR428" s="357"/>
      <c r="DS428" s="394">
        <f>DS429-2%</f>
        <v>-0.06</v>
      </c>
      <c r="DT428" s="560" t="e">
        <f>$DT$431+(DS428*(4/$DW$426))</f>
        <v>#DIV/0!</v>
      </c>
      <c r="DV428" s="212"/>
      <c r="DW428" s="359"/>
      <c r="DX428" s="212"/>
      <c r="DY428" s="561">
        <f>DZ428/42</f>
        <v>-0.7142857142857143</v>
      </c>
      <c r="DZ428" s="356">
        <f>DZ429-10</f>
        <v>-30</v>
      </c>
      <c r="EA428" s="526"/>
      <c r="EB428" s="526"/>
      <c r="EC428" s="526"/>
      <c r="ED428" s="526"/>
      <c r="EE428" s="526"/>
      <c r="EF428" s="526"/>
      <c r="EG428" s="526"/>
      <c r="EH428" s="526"/>
      <c r="EI428" s="526"/>
      <c r="EJ428" s="526"/>
      <c r="EK428" s="526"/>
      <c r="EL428" s="526"/>
      <c r="EM428" s="526"/>
      <c r="EN428" s="526"/>
      <c r="EO428" s="526"/>
      <c r="EP428" s="526"/>
      <c r="EQ428" s="526"/>
      <c r="ER428" s="526"/>
      <c r="ES428" s="526"/>
      <c r="ET428" s="526"/>
      <c r="EU428" s="526"/>
      <c r="EV428" s="526"/>
      <c r="EW428" s="526"/>
      <c r="EX428" s="526"/>
      <c r="EY428" s="526"/>
      <c r="EZ428" s="526"/>
      <c r="FA428" s="526"/>
      <c r="FB428" s="526"/>
      <c r="FC428" s="526"/>
      <c r="FD428" s="526"/>
      <c r="FE428" s="526"/>
      <c r="FF428" s="40"/>
      <c r="FG428" s="190"/>
      <c r="FH428" s="237"/>
      <c r="FI428" s="40"/>
      <c r="FL428" s="406"/>
      <c r="FM428" s="406"/>
      <c r="FN428" s="368"/>
      <c r="FO428" s="368"/>
      <c r="FP428" s="368"/>
      <c r="FQ428" s="368"/>
      <c r="FR428" s="368"/>
      <c r="FS428" s="368"/>
      <c r="FT428" s="190"/>
      <c r="GA428" s="241"/>
    </row>
    <row r="429" spans="1:183" ht="12.75" customHeight="1" x14ac:dyDescent="0.2">
      <c r="A429" s="40"/>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183"/>
      <c r="AK429" s="183"/>
      <c r="AL429" s="183"/>
      <c r="AM429" s="183"/>
      <c r="AN429" s="183"/>
      <c r="AO429" s="183"/>
      <c r="AP429" s="183"/>
      <c r="AQ429" s="183"/>
      <c r="AR429" s="183"/>
      <c r="AS429" s="183"/>
      <c r="AT429" s="183"/>
      <c r="AU429" s="183"/>
      <c r="AV429" s="183"/>
      <c r="AW429" s="183"/>
      <c r="AX429" s="183"/>
      <c r="AY429" s="183"/>
      <c r="AZ429" s="183"/>
      <c r="BA429" s="183"/>
      <c r="BB429" s="183"/>
      <c r="BC429" s="183"/>
      <c r="BD429" s="183"/>
      <c r="BE429" s="183"/>
      <c r="BF429" s="183"/>
      <c r="BG429" s="183"/>
      <c r="BH429" s="183"/>
      <c r="BI429" s="183"/>
      <c r="BJ429" s="183"/>
      <c r="BK429" s="183"/>
      <c r="BL429" s="183"/>
      <c r="BM429" s="183"/>
      <c r="BN429" s="183"/>
      <c r="BO429" s="183"/>
      <c r="BP429" s="183"/>
      <c r="BQ429" s="183"/>
      <c r="BR429" s="183"/>
      <c r="BS429" s="183"/>
      <c r="BT429" s="183"/>
      <c r="BU429" s="183"/>
      <c r="BV429" s="183"/>
      <c r="BW429" s="183"/>
      <c r="BX429" s="183"/>
      <c r="BY429" s="183"/>
      <c r="BZ429" s="183"/>
      <c r="CA429" s="183"/>
      <c r="CB429" s="183"/>
      <c r="CC429" s="183"/>
      <c r="CD429" s="183"/>
      <c r="CE429" s="183"/>
      <c r="CF429" s="183"/>
      <c r="CG429" s="183"/>
      <c r="CH429" s="183"/>
      <c r="CI429" s="183"/>
      <c r="CJ429" s="183"/>
      <c r="CK429" s="183"/>
      <c r="CL429" s="183"/>
      <c r="CM429" s="183"/>
      <c r="CN429" s="183"/>
      <c r="CO429" s="183"/>
      <c r="CP429" s="183"/>
      <c r="CQ429" s="183"/>
      <c r="CR429" s="183"/>
      <c r="CS429" s="183"/>
      <c r="CT429" s="40"/>
      <c r="CU429" s="183"/>
      <c r="CV429" s="183"/>
      <c r="CW429" s="183"/>
      <c r="DR429" s="357"/>
      <c r="DS429" s="394">
        <f>DS430-2%</f>
        <v>-0.04</v>
      </c>
      <c r="DT429" s="560" t="e">
        <f>$DT$431+(DS429*(4/$DW$426))</f>
        <v>#DIV/0!</v>
      </c>
      <c r="DV429" s="212"/>
      <c r="DW429" s="359"/>
      <c r="DX429" s="212"/>
      <c r="DY429" s="561">
        <f>DZ429/42</f>
        <v>-0.47619047619047616</v>
      </c>
      <c r="DZ429" s="356">
        <f>DZ430-10</f>
        <v>-20</v>
      </c>
      <c r="EA429" s="526"/>
      <c r="EB429" s="526"/>
      <c r="EC429" s="526"/>
      <c r="ED429" s="526"/>
      <c r="EE429" s="526"/>
      <c r="EF429" s="526"/>
      <c r="EG429" s="526"/>
      <c r="EH429" s="526"/>
      <c r="EI429" s="526"/>
      <c r="EJ429" s="526"/>
      <c r="EK429" s="526"/>
      <c r="EL429" s="526"/>
      <c r="EM429" s="526"/>
      <c r="EN429" s="526"/>
      <c r="EO429" s="526"/>
      <c r="EP429" s="526"/>
      <c r="EQ429" s="526"/>
      <c r="ER429" s="526"/>
      <c r="ES429" s="526"/>
      <c r="ET429" s="526"/>
      <c r="EU429" s="526"/>
      <c r="EV429" s="526"/>
      <c r="EW429" s="526"/>
      <c r="EX429" s="526"/>
      <c r="EY429" s="526"/>
      <c r="EZ429" s="526"/>
      <c r="FA429" s="526"/>
      <c r="FB429" s="526"/>
      <c r="FC429" s="526"/>
      <c r="FD429" s="526"/>
      <c r="FE429" s="526"/>
      <c r="FF429" s="40"/>
      <c r="FG429" s="190"/>
      <c r="FH429" s="237"/>
      <c r="FI429" s="40"/>
      <c r="FL429" s="406"/>
      <c r="FM429" s="406"/>
      <c r="FN429" s="368"/>
      <c r="FO429" s="368"/>
      <c r="FP429" s="368"/>
      <c r="FQ429" s="368"/>
      <c r="FR429" s="368"/>
      <c r="FS429" s="368"/>
      <c r="FT429" s="190"/>
      <c r="GA429" s="241"/>
    </row>
    <row r="430" spans="1:183" ht="12.75" customHeight="1" x14ac:dyDescent="0.2">
      <c r="A430" s="40"/>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183"/>
      <c r="AK430" s="183"/>
      <c r="AL430" s="183"/>
      <c r="AM430" s="183"/>
      <c r="AN430" s="183"/>
      <c r="AO430" s="183"/>
      <c r="AP430" s="183"/>
      <c r="AQ430" s="183"/>
      <c r="AR430" s="183"/>
      <c r="AS430" s="183"/>
      <c r="AT430" s="183"/>
      <c r="AU430" s="183"/>
      <c r="AV430" s="183"/>
      <c r="AW430" s="183"/>
      <c r="AX430" s="183"/>
      <c r="AY430" s="183"/>
      <c r="AZ430" s="183"/>
      <c r="BA430" s="183"/>
      <c r="BB430" s="183"/>
      <c r="BC430" s="183"/>
      <c r="BD430" s="183"/>
      <c r="BE430" s="183"/>
      <c r="BF430" s="183"/>
      <c r="BG430" s="183"/>
      <c r="BH430" s="183"/>
      <c r="BI430" s="183"/>
      <c r="BJ430" s="183"/>
      <c r="BK430" s="183"/>
      <c r="BL430" s="183"/>
      <c r="BM430" s="183"/>
      <c r="BN430" s="183"/>
      <c r="BO430" s="183"/>
      <c r="BP430" s="183"/>
      <c r="BQ430" s="183"/>
      <c r="BR430" s="183"/>
      <c r="BS430" s="183"/>
      <c r="BT430" s="183"/>
      <c r="BU430" s="183"/>
      <c r="BV430" s="183"/>
      <c r="BW430" s="183"/>
      <c r="BX430" s="183"/>
      <c r="BY430" s="183"/>
      <c r="BZ430" s="183"/>
      <c r="CA430" s="183"/>
      <c r="CB430" s="183"/>
      <c r="CC430" s="183"/>
      <c r="CD430" s="183"/>
      <c r="CE430" s="183"/>
      <c r="CF430" s="183"/>
      <c r="CG430" s="183"/>
      <c r="CH430" s="183"/>
      <c r="CI430" s="183"/>
      <c r="CJ430" s="183"/>
      <c r="CK430" s="183"/>
      <c r="CL430" s="183"/>
      <c r="CM430" s="183"/>
      <c r="CN430" s="183"/>
      <c r="CO430" s="183"/>
      <c r="CP430" s="183"/>
      <c r="CQ430" s="183"/>
      <c r="CR430" s="183"/>
      <c r="CS430" s="183"/>
      <c r="CT430" s="40"/>
      <c r="CU430" s="183"/>
      <c r="CV430" s="183"/>
      <c r="CW430" s="183"/>
      <c r="DR430" s="357"/>
      <c r="DS430" s="394">
        <v>-0.02</v>
      </c>
      <c r="DT430" s="560" t="e">
        <f>$DT$431+(DS430*(4/$DW$426))</f>
        <v>#DIV/0!</v>
      </c>
      <c r="DV430" s="212"/>
      <c r="DW430" s="359"/>
      <c r="DX430" s="212"/>
      <c r="DY430" s="561">
        <f>DZ430/42</f>
        <v>-0.23809523809523808</v>
      </c>
      <c r="DZ430" s="356">
        <f>DZ431-10</f>
        <v>-10</v>
      </c>
      <c r="EA430" s="526"/>
      <c r="EB430" s="526"/>
      <c r="EC430" s="526"/>
      <c r="ED430" s="526"/>
      <c r="EE430" s="526"/>
      <c r="EF430" s="526"/>
      <c r="EG430" s="526"/>
      <c r="EH430" s="526"/>
      <c r="EI430" s="526"/>
      <c r="EJ430" s="526"/>
      <c r="EK430" s="526"/>
      <c r="EL430" s="526"/>
      <c r="EM430" s="526"/>
      <c r="EN430" s="526"/>
      <c r="EO430" s="526"/>
      <c r="EP430" s="526"/>
      <c r="EQ430" s="526"/>
      <c r="ER430" s="526"/>
      <c r="ES430" s="526"/>
      <c r="ET430" s="526"/>
      <c r="EU430" s="526"/>
      <c r="EV430" s="526"/>
      <c r="EW430" s="526"/>
      <c r="EX430" s="526"/>
      <c r="EY430" s="526"/>
      <c r="EZ430" s="526"/>
      <c r="FA430" s="526"/>
      <c r="FB430" s="526"/>
      <c r="FC430" s="526"/>
      <c r="FD430" s="526"/>
      <c r="FE430" s="526"/>
      <c r="FF430" s="40"/>
      <c r="FG430" s="190"/>
      <c r="FH430" s="237"/>
      <c r="FI430" s="40"/>
      <c r="FL430" s="406"/>
      <c r="FM430" s="406"/>
      <c r="FN430" s="368"/>
      <c r="FO430" s="368"/>
      <c r="FP430" s="368"/>
      <c r="FQ430" s="368"/>
      <c r="FR430" s="368"/>
      <c r="FS430" s="368"/>
      <c r="FT430" s="190"/>
      <c r="GA430" s="241"/>
    </row>
    <row r="431" spans="1:183" ht="12.75" customHeight="1" x14ac:dyDescent="0.2">
      <c r="A431" s="40"/>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183"/>
      <c r="AK431" s="183"/>
      <c r="AL431" s="183"/>
      <c r="AM431" s="183"/>
      <c r="AN431" s="183"/>
      <c r="AO431" s="183"/>
      <c r="AP431" s="183"/>
      <c r="AQ431" s="183"/>
      <c r="AR431" s="183"/>
      <c r="AS431" s="183"/>
      <c r="AT431" s="183"/>
      <c r="AU431" s="183"/>
      <c r="AV431" s="183"/>
      <c r="AW431" s="183"/>
      <c r="AX431" s="183"/>
      <c r="AY431" s="183"/>
      <c r="AZ431" s="183"/>
      <c r="BA431" s="183"/>
      <c r="BB431" s="183"/>
      <c r="BC431" s="183"/>
      <c r="BD431" s="183"/>
      <c r="BE431" s="183"/>
      <c r="BF431" s="183"/>
      <c r="BG431" s="183"/>
      <c r="BH431" s="183"/>
      <c r="BI431" s="183"/>
      <c r="BJ431" s="183"/>
      <c r="BK431" s="183"/>
      <c r="BL431" s="183"/>
      <c r="BM431" s="183"/>
      <c r="BN431" s="183"/>
      <c r="BO431" s="183"/>
      <c r="BP431" s="183"/>
      <c r="BQ431" s="183"/>
      <c r="BR431" s="183"/>
      <c r="BS431" s="183"/>
      <c r="BT431" s="183"/>
      <c r="BU431" s="183"/>
      <c r="BV431" s="183"/>
      <c r="BW431" s="183"/>
      <c r="BX431" s="183"/>
      <c r="BY431" s="183"/>
      <c r="BZ431" s="183"/>
      <c r="CA431" s="183"/>
      <c r="CB431" s="183"/>
      <c r="CC431" s="183"/>
      <c r="CD431" s="183"/>
      <c r="CE431" s="183"/>
      <c r="CF431" s="183"/>
      <c r="CG431" s="183"/>
      <c r="CH431" s="183"/>
      <c r="CI431" s="183"/>
      <c r="CJ431" s="183"/>
      <c r="CK431" s="183"/>
      <c r="CL431" s="183"/>
      <c r="CM431" s="183"/>
      <c r="CN431" s="183"/>
      <c r="CO431" s="183"/>
      <c r="CP431" s="183"/>
      <c r="CQ431" s="183"/>
      <c r="CR431" s="183"/>
      <c r="CS431" s="183"/>
      <c r="CT431" s="40"/>
      <c r="CU431" s="183"/>
      <c r="CV431" s="183"/>
      <c r="CW431" s="183"/>
      <c r="DR431" s="357"/>
      <c r="DS431" s="241" t="s">
        <v>58</v>
      </c>
      <c r="DT431" s="560">
        <f>EB23</f>
        <v>-3.6009933450726339E-2</v>
      </c>
      <c r="DV431" s="212"/>
      <c r="DW431" s="359"/>
      <c r="DX431" s="212"/>
      <c r="DY431" s="562">
        <f>EC63</f>
        <v>0</v>
      </c>
      <c r="DZ431" s="356">
        <f>DY431*42</f>
        <v>0</v>
      </c>
      <c r="EA431" s="526"/>
      <c r="EB431" s="526"/>
      <c r="EC431" s="526"/>
      <c r="ED431" s="526"/>
      <c r="EE431" s="526"/>
      <c r="EF431" s="526"/>
      <c r="EG431" s="526"/>
      <c r="EH431" s="526"/>
      <c r="EI431" s="526"/>
      <c r="EJ431" s="526"/>
      <c r="EK431" s="526"/>
      <c r="EL431" s="526"/>
      <c r="EM431" s="526"/>
      <c r="EN431" s="526"/>
      <c r="EO431" s="526"/>
      <c r="EP431" s="526"/>
      <c r="EQ431" s="526"/>
      <c r="ER431" s="526"/>
      <c r="ES431" s="526"/>
      <c r="ET431" s="526"/>
      <c r="EU431" s="526"/>
      <c r="EV431" s="526"/>
      <c r="EW431" s="526"/>
      <c r="EX431" s="526"/>
      <c r="EY431" s="526"/>
      <c r="EZ431" s="526"/>
      <c r="FA431" s="526"/>
      <c r="FB431" s="526"/>
      <c r="FC431" s="526"/>
      <c r="FD431" s="526"/>
      <c r="FE431" s="526"/>
      <c r="FF431" s="40"/>
      <c r="FG431" s="190"/>
      <c r="FH431" s="237"/>
      <c r="FI431" s="40"/>
      <c r="FL431" s="406"/>
      <c r="FM431" s="406"/>
      <c r="FN431" s="368"/>
      <c r="FO431" s="368"/>
      <c r="FP431" s="368"/>
      <c r="FQ431" s="368"/>
      <c r="FR431" s="368"/>
      <c r="FS431" s="368"/>
      <c r="FT431" s="190"/>
      <c r="GA431" s="241"/>
    </row>
    <row r="432" spans="1:183" ht="12.75" customHeight="1" x14ac:dyDescent="0.2">
      <c r="A432" s="40"/>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183"/>
      <c r="AK432" s="183"/>
      <c r="AL432" s="183"/>
      <c r="AM432" s="183"/>
      <c r="AN432" s="183"/>
      <c r="AO432" s="183"/>
      <c r="AP432" s="183"/>
      <c r="AQ432" s="183"/>
      <c r="AR432" s="183"/>
      <c r="AS432" s="183"/>
      <c r="AT432" s="183"/>
      <c r="AU432" s="183"/>
      <c r="AV432" s="183"/>
      <c r="AW432" s="183"/>
      <c r="AX432" s="183"/>
      <c r="AY432" s="183"/>
      <c r="AZ432" s="183"/>
      <c r="BA432" s="183"/>
      <c r="BB432" s="183"/>
      <c r="BC432" s="183"/>
      <c r="BD432" s="183"/>
      <c r="BE432" s="183"/>
      <c r="BF432" s="183"/>
      <c r="BG432" s="183"/>
      <c r="BH432" s="183"/>
      <c r="BI432" s="183"/>
      <c r="BJ432" s="183"/>
      <c r="BK432" s="183"/>
      <c r="BL432" s="183"/>
      <c r="BM432" s="183"/>
      <c r="BN432" s="183"/>
      <c r="BO432" s="183"/>
      <c r="BP432" s="183"/>
      <c r="BQ432" s="183"/>
      <c r="BR432" s="183"/>
      <c r="BS432" s="183"/>
      <c r="BT432" s="183"/>
      <c r="BU432" s="183"/>
      <c r="BV432" s="183"/>
      <c r="BW432" s="183"/>
      <c r="BX432" s="183"/>
      <c r="BY432" s="183"/>
      <c r="BZ432" s="183"/>
      <c r="CA432" s="183"/>
      <c r="CB432" s="183"/>
      <c r="CC432" s="183"/>
      <c r="CD432" s="183"/>
      <c r="CE432" s="183"/>
      <c r="CF432" s="183"/>
      <c r="CG432" s="183"/>
      <c r="CH432" s="183"/>
      <c r="CI432" s="183"/>
      <c r="CJ432" s="183"/>
      <c r="CK432" s="183"/>
      <c r="CL432" s="183"/>
      <c r="CM432" s="183"/>
      <c r="CN432" s="183"/>
      <c r="CO432" s="183"/>
      <c r="CP432" s="183"/>
      <c r="CQ432" s="183"/>
      <c r="CR432" s="183"/>
      <c r="CS432" s="183"/>
      <c r="CT432" s="40"/>
      <c r="CU432" s="183"/>
      <c r="CV432" s="183"/>
      <c r="CW432" s="183"/>
      <c r="DR432" s="357"/>
      <c r="DS432" s="394">
        <v>0.02</v>
      </c>
      <c r="DT432" s="560" t="e">
        <f>$DT$431+(DS432*(4/$DW$426))</f>
        <v>#DIV/0!</v>
      </c>
      <c r="DV432" s="212"/>
      <c r="DW432" s="359"/>
      <c r="DX432" s="212"/>
      <c r="DY432" s="561">
        <f>DZ432/42</f>
        <v>0.23809523809523808</v>
      </c>
      <c r="DZ432" s="356">
        <f>DZ431+10</f>
        <v>10</v>
      </c>
      <c r="EA432" s="526"/>
      <c r="EB432" s="526"/>
      <c r="EC432" s="526"/>
      <c r="ED432" s="526"/>
      <c r="EE432" s="526"/>
      <c r="EF432" s="526"/>
      <c r="EG432" s="526"/>
      <c r="EH432" s="526"/>
      <c r="EI432" s="526"/>
      <c r="EJ432" s="526"/>
      <c r="EK432" s="526"/>
      <c r="EL432" s="526"/>
      <c r="EM432" s="526"/>
      <c r="EN432" s="526"/>
      <c r="EO432" s="526"/>
      <c r="EP432" s="526"/>
      <c r="EQ432" s="526"/>
      <c r="ER432" s="526"/>
      <c r="ES432" s="526"/>
      <c r="ET432" s="526"/>
      <c r="EU432" s="526"/>
      <c r="EV432" s="526"/>
      <c r="EW432" s="526"/>
      <c r="EX432" s="526"/>
      <c r="EY432" s="526"/>
      <c r="EZ432" s="526"/>
      <c r="FA432" s="526"/>
      <c r="FB432" s="526"/>
      <c r="FC432" s="526"/>
      <c r="FD432" s="526"/>
      <c r="FE432" s="526"/>
      <c r="FF432" s="40"/>
      <c r="FG432" s="190"/>
      <c r="FH432" s="237"/>
      <c r="FI432" s="40"/>
      <c r="FL432" s="406"/>
      <c r="FM432" s="406"/>
      <c r="FN432" s="368"/>
      <c r="FO432" s="368"/>
      <c r="FP432" s="368"/>
      <c r="FQ432" s="368"/>
      <c r="FR432" s="368"/>
      <c r="FS432" s="368"/>
      <c r="FT432" s="190"/>
      <c r="GA432" s="241"/>
    </row>
    <row r="433" spans="1:183" ht="12.75" customHeight="1" x14ac:dyDescent="0.2">
      <c r="A433" s="40"/>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183"/>
      <c r="AK433" s="183"/>
      <c r="AL433" s="183"/>
      <c r="AM433" s="183"/>
      <c r="AN433" s="183"/>
      <c r="AO433" s="183"/>
      <c r="AP433" s="183"/>
      <c r="AQ433" s="183"/>
      <c r="AR433" s="183"/>
      <c r="AS433" s="183"/>
      <c r="AT433" s="183"/>
      <c r="AU433" s="183"/>
      <c r="AV433" s="183"/>
      <c r="AW433" s="183"/>
      <c r="AX433" s="183"/>
      <c r="AY433" s="183"/>
      <c r="AZ433" s="183"/>
      <c r="BA433" s="183"/>
      <c r="BB433" s="183"/>
      <c r="BC433" s="183"/>
      <c r="BD433" s="183"/>
      <c r="BE433" s="183"/>
      <c r="BF433" s="183"/>
      <c r="BG433" s="183"/>
      <c r="BH433" s="183"/>
      <c r="BI433" s="183"/>
      <c r="BJ433" s="183"/>
      <c r="BK433" s="183"/>
      <c r="BL433" s="183"/>
      <c r="BM433" s="183"/>
      <c r="BN433" s="183"/>
      <c r="BO433" s="183"/>
      <c r="BP433" s="183"/>
      <c r="BQ433" s="183"/>
      <c r="BR433" s="183"/>
      <c r="BS433" s="183"/>
      <c r="BT433" s="183"/>
      <c r="BU433" s="183"/>
      <c r="BV433" s="183"/>
      <c r="BW433" s="183"/>
      <c r="BX433" s="183"/>
      <c r="BY433" s="183"/>
      <c r="BZ433" s="183"/>
      <c r="CA433" s="183"/>
      <c r="CB433" s="183"/>
      <c r="CC433" s="183"/>
      <c r="CD433" s="183"/>
      <c r="CE433" s="183"/>
      <c r="CF433" s="183"/>
      <c r="CG433" s="183"/>
      <c r="CH433" s="183"/>
      <c r="CI433" s="183"/>
      <c r="CJ433" s="183"/>
      <c r="CK433" s="183"/>
      <c r="CL433" s="183"/>
      <c r="CM433" s="183"/>
      <c r="CN433" s="183"/>
      <c r="CO433" s="183"/>
      <c r="CP433" s="183"/>
      <c r="CQ433" s="183"/>
      <c r="CR433" s="183"/>
      <c r="CS433" s="183"/>
      <c r="CT433" s="40"/>
      <c r="CU433" s="183"/>
      <c r="CV433" s="183"/>
      <c r="CW433" s="183"/>
      <c r="DR433" s="357"/>
      <c r="DS433" s="394">
        <f>DS432+2%</f>
        <v>0.04</v>
      </c>
      <c r="DT433" s="560" t="e">
        <f>$DT$431+(DS433*(4/$DW$426))</f>
        <v>#DIV/0!</v>
      </c>
      <c r="DV433" s="212"/>
      <c r="DW433" s="359"/>
      <c r="DX433" s="212"/>
      <c r="DY433" s="561">
        <f>DZ433/42</f>
        <v>0.47619047619047616</v>
      </c>
      <c r="DZ433" s="356">
        <f>DZ432+10</f>
        <v>20</v>
      </c>
      <c r="EA433" s="526"/>
      <c r="EB433" s="526"/>
      <c r="EC433" s="526"/>
      <c r="ED433" s="526"/>
      <c r="EE433" s="526"/>
      <c r="EF433" s="526"/>
      <c r="EG433" s="526"/>
      <c r="EH433" s="526"/>
      <c r="EI433" s="526"/>
      <c r="EJ433" s="526"/>
      <c r="EK433" s="526"/>
      <c r="EL433" s="526"/>
      <c r="EM433" s="526"/>
      <c r="EN433" s="526"/>
      <c r="EO433" s="526"/>
      <c r="EP433" s="526"/>
      <c r="EQ433" s="526"/>
      <c r="ER433" s="526"/>
      <c r="ES433" s="526"/>
      <c r="ET433" s="526"/>
      <c r="EU433" s="526"/>
      <c r="EV433" s="526"/>
      <c r="EW433" s="526"/>
      <c r="EX433" s="526"/>
      <c r="EY433" s="526"/>
      <c r="EZ433" s="526"/>
      <c r="FA433" s="526"/>
      <c r="FB433" s="526"/>
      <c r="FC433" s="526"/>
      <c r="FD433" s="526"/>
      <c r="FE433" s="526"/>
      <c r="FF433" s="40"/>
      <c r="FG433" s="190"/>
      <c r="FH433" s="237"/>
      <c r="FI433" s="40"/>
      <c r="FL433" s="406"/>
      <c r="FM433" s="406"/>
      <c r="FN433" s="368"/>
      <c r="FO433" s="368"/>
      <c r="FP433" s="368"/>
      <c r="FQ433" s="368"/>
      <c r="FR433" s="368"/>
      <c r="FS433" s="368"/>
      <c r="FT433" s="190"/>
      <c r="GA433" s="241"/>
    </row>
    <row r="434" spans="1:183" ht="12.75" customHeight="1" x14ac:dyDescent="0.2">
      <c r="A434" s="40"/>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183"/>
      <c r="AK434" s="183"/>
      <c r="AL434" s="183"/>
      <c r="AM434" s="183"/>
      <c r="AN434" s="183"/>
      <c r="AO434" s="183"/>
      <c r="AP434" s="183"/>
      <c r="AQ434" s="183"/>
      <c r="AR434" s="183"/>
      <c r="AS434" s="183"/>
      <c r="AT434" s="183"/>
      <c r="AU434" s="183"/>
      <c r="AV434" s="183"/>
      <c r="AW434" s="183"/>
      <c r="AX434" s="183"/>
      <c r="AY434" s="183"/>
      <c r="AZ434" s="183"/>
      <c r="BA434" s="183"/>
      <c r="BB434" s="183"/>
      <c r="BC434" s="183"/>
      <c r="BD434" s="183"/>
      <c r="BE434" s="183"/>
      <c r="BF434" s="183"/>
      <c r="BG434" s="183"/>
      <c r="BH434" s="183"/>
      <c r="BI434" s="183"/>
      <c r="BJ434" s="183"/>
      <c r="BK434" s="183"/>
      <c r="BL434" s="183"/>
      <c r="BM434" s="183"/>
      <c r="BN434" s="183"/>
      <c r="BO434" s="183"/>
      <c r="BP434" s="183"/>
      <c r="BQ434" s="183"/>
      <c r="BR434" s="183"/>
      <c r="BS434" s="183"/>
      <c r="BT434" s="183"/>
      <c r="BU434" s="183"/>
      <c r="BV434" s="183"/>
      <c r="BW434" s="183"/>
      <c r="BX434" s="183"/>
      <c r="BY434" s="183"/>
      <c r="BZ434" s="183"/>
      <c r="CA434" s="183"/>
      <c r="CB434" s="183"/>
      <c r="CC434" s="183"/>
      <c r="CD434" s="183"/>
      <c r="CE434" s="183"/>
      <c r="CF434" s="183"/>
      <c r="CG434" s="183"/>
      <c r="CH434" s="183"/>
      <c r="CI434" s="183"/>
      <c r="CJ434" s="183"/>
      <c r="CK434" s="183"/>
      <c r="CL434" s="183"/>
      <c r="CM434" s="183"/>
      <c r="CN434" s="183"/>
      <c r="CO434" s="183"/>
      <c r="CP434" s="183"/>
      <c r="CQ434" s="183"/>
      <c r="CR434" s="183"/>
      <c r="CS434" s="183"/>
      <c r="CT434" s="40"/>
      <c r="CU434" s="183"/>
      <c r="CV434" s="183"/>
      <c r="CW434" s="183"/>
      <c r="DR434" s="357"/>
      <c r="DS434" s="394">
        <f>DS433+2%</f>
        <v>0.06</v>
      </c>
      <c r="DT434" s="560" t="e">
        <f>$DT$431+(DS434*(4/$DW$426))</f>
        <v>#DIV/0!</v>
      </c>
      <c r="DV434" s="212"/>
      <c r="DW434" s="359"/>
      <c r="DX434" s="212"/>
      <c r="DY434" s="561">
        <f>DZ434/42</f>
        <v>0.7142857142857143</v>
      </c>
      <c r="DZ434" s="356">
        <f>DZ433+10</f>
        <v>30</v>
      </c>
      <c r="EA434" s="526"/>
      <c r="EB434" s="526"/>
      <c r="EC434" s="526"/>
      <c r="ED434" s="526"/>
      <c r="EE434" s="526"/>
      <c r="EF434" s="526"/>
      <c r="EG434" s="526"/>
      <c r="EH434" s="526"/>
      <c r="EI434" s="526"/>
      <c r="EJ434" s="526"/>
      <c r="EK434" s="526"/>
      <c r="EL434" s="526"/>
      <c r="EM434" s="526"/>
      <c r="EN434" s="526"/>
      <c r="EO434" s="526"/>
      <c r="EP434" s="526"/>
      <c r="EQ434" s="526"/>
      <c r="ER434" s="526"/>
      <c r="ES434" s="526"/>
      <c r="ET434" s="526"/>
      <c r="EU434" s="526"/>
      <c r="EV434" s="526"/>
      <c r="EW434" s="526"/>
      <c r="EX434" s="526"/>
      <c r="EY434" s="526"/>
      <c r="EZ434" s="526"/>
      <c r="FA434" s="526"/>
      <c r="FB434" s="526"/>
      <c r="FC434" s="526"/>
      <c r="FD434" s="526"/>
      <c r="FE434" s="526"/>
      <c r="FF434" s="40"/>
      <c r="FG434" s="190"/>
      <c r="FH434" s="237"/>
      <c r="FI434" s="40"/>
      <c r="FL434" s="406"/>
      <c r="FM434" s="406"/>
      <c r="FN434" s="368"/>
      <c r="FO434" s="368"/>
      <c r="FP434" s="368"/>
      <c r="FQ434" s="368"/>
      <c r="FR434" s="368"/>
      <c r="FS434" s="368"/>
      <c r="FT434" s="190"/>
      <c r="GA434" s="241"/>
    </row>
    <row r="435" spans="1:183" ht="12.75" customHeight="1" x14ac:dyDescent="0.2">
      <c r="A435" s="40"/>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183"/>
      <c r="AK435" s="183"/>
      <c r="AL435" s="183"/>
      <c r="AM435" s="183"/>
      <c r="AN435" s="183"/>
      <c r="AO435" s="183"/>
      <c r="AP435" s="183"/>
      <c r="AQ435" s="183"/>
      <c r="AR435" s="183"/>
      <c r="AS435" s="183"/>
      <c r="AT435" s="183"/>
      <c r="AU435" s="183"/>
      <c r="AV435" s="183"/>
      <c r="AW435" s="183"/>
      <c r="AX435" s="183"/>
      <c r="AY435" s="183"/>
      <c r="AZ435" s="183"/>
      <c r="BA435" s="183"/>
      <c r="BB435" s="183"/>
      <c r="BC435" s="183"/>
      <c r="BD435" s="183"/>
      <c r="BE435" s="183"/>
      <c r="BF435" s="183"/>
      <c r="BG435" s="183"/>
      <c r="BH435" s="183"/>
      <c r="BI435" s="183"/>
      <c r="BJ435" s="183"/>
      <c r="BK435" s="183"/>
      <c r="BL435" s="183"/>
      <c r="BM435" s="183"/>
      <c r="BN435" s="183"/>
      <c r="BO435" s="183"/>
      <c r="BP435" s="183"/>
      <c r="BQ435" s="183"/>
      <c r="BR435" s="183"/>
      <c r="BS435" s="183"/>
      <c r="BT435" s="183"/>
      <c r="BU435" s="183"/>
      <c r="BV435" s="183"/>
      <c r="BW435" s="183"/>
      <c r="BX435" s="183"/>
      <c r="BY435" s="183"/>
      <c r="BZ435" s="183"/>
      <c r="CA435" s="183"/>
      <c r="CB435" s="183"/>
      <c r="CC435" s="183"/>
      <c r="CD435" s="183"/>
      <c r="CE435" s="183"/>
      <c r="CF435" s="183"/>
      <c r="CG435" s="183"/>
      <c r="CH435" s="183"/>
      <c r="CI435" s="183"/>
      <c r="CJ435" s="183"/>
      <c r="CK435" s="183"/>
      <c r="CL435" s="183"/>
      <c r="CM435" s="183"/>
      <c r="CN435" s="183"/>
      <c r="CO435" s="183"/>
      <c r="CP435" s="183"/>
      <c r="CQ435" s="183"/>
      <c r="CR435" s="183"/>
      <c r="CS435" s="183"/>
      <c r="CT435" s="40"/>
      <c r="CU435" s="183"/>
      <c r="CV435" s="183"/>
      <c r="CW435" s="183"/>
      <c r="DQ435" s="40"/>
      <c r="DR435" s="40"/>
      <c r="DS435" s="40"/>
      <c r="DT435" s="40"/>
      <c r="DU435" s="40"/>
      <c r="DV435" s="40"/>
      <c r="DW435" s="40"/>
      <c r="DX435" s="40"/>
      <c r="DY435" s="40"/>
      <c r="DZ435" s="40"/>
      <c r="EA435" s="40"/>
      <c r="EB435" s="526"/>
      <c r="EC435" s="526"/>
      <c r="ED435" s="526"/>
      <c r="EE435" s="526"/>
      <c r="EF435" s="526"/>
      <c r="EG435" s="526"/>
      <c r="EH435" s="526"/>
      <c r="EI435" s="526"/>
      <c r="EJ435" s="526"/>
      <c r="EK435" s="526"/>
      <c r="EL435" s="526"/>
      <c r="EM435" s="526"/>
      <c r="EN435" s="526"/>
      <c r="EO435" s="526"/>
      <c r="EP435" s="526"/>
      <c r="EQ435" s="526"/>
      <c r="ER435" s="526"/>
      <c r="ES435" s="526"/>
      <c r="ET435" s="526"/>
      <c r="EU435" s="526"/>
      <c r="EV435" s="526"/>
      <c r="EW435" s="526"/>
      <c r="EX435" s="526"/>
      <c r="EY435" s="526"/>
      <c r="EZ435" s="526"/>
      <c r="FA435" s="526"/>
      <c r="FB435" s="526"/>
      <c r="FC435" s="526"/>
      <c r="FD435" s="526"/>
      <c r="FE435" s="526"/>
      <c r="FF435" s="40"/>
      <c r="FG435" s="190"/>
      <c r="FH435" s="237"/>
      <c r="FI435" s="40"/>
      <c r="FL435" s="406"/>
      <c r="FM435" s="406"/>
      <c r="FN435" s="368"/>
      <c r="FO435" s="368"/>
      <c r="FP435" s="368"/>
      <c r="FQ435" s="368"/>
      <c r="FR435" s="368"/>
      <c r="FS435" s="368"/>
      <c r="FT435" s="190"/>
      <c r="GA435" s="241"/>
    </row>
    <row r="436" spans="1:183" ht="12.75" customHeight="1" x14ac:dyDescent="0.2">
      <c r="A436" s="40"/>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c r="BK436" s="183"/>
      <c r="BL436" s="183"/>
      <c r="BM436" s="183"/>
      <c r="BN436" s="183"/>
      <c r="BO436" s="183"/>
      <c r="BP436" s="183"/>
      <c r="BQ436" s="183"/>
      <c r="BR436" s="183"/>
      <c r="BS436" s="183"/>
      <c r="BT436" s="183"/>
      <c r="BU436" s="183"/>
      <c r="BV436" s="183"/>
      <c r="BW436" s="183"/>
      <c r="BX436" s="183"/>
      <c r="BY436" s="183"/>
      <c r="BZ436" s="183"/>
      <c r="CA436" s="183"/>
      <c r="CB436" s="183"/>
      <c r="CC436" s="183"/>
      <c r="CD436" s="183"/>
      <c r="CE436" s="183"/>
      <c r="CF436" s="183"/>
      <c r="CG436" s="183"/>
      <c r="CH436" s="183"/>
      <c r="CI436" s="183"/>
      <c r="CJ436" s="183"/>
      <c r="CK436" s="183"/>
      <c r="CL436" s="183"/>
      <c r="CM436" s="183"/>
      <c r="CN436" s="183"/>
      <c r="CO436" s="183"/>
      <c r="CP436" s="183"/>
      <c r="CQ436" s="183"/>
      <c r="CR436" s="183"/>
      <c r="CS436" s="183"/>
      <c r="CT436" s="40"/>
      <c r="CU436" s="183"/>
      <c r="CV436" s="183"/>
      <c r="CW436" s="183"/>
      <c r="DQ436" s="40"/>
      <c r="DR436" s="40"/>
      <c r="DS436" s="40"/>
      <c r="DT436" s="40"/>
      <c r="DU436" s="40"/>
      <c r="DV436" s="40"/>
      <c r="DW436" s="40"/>
      <c r="DX436" s="40"/>
      <c r="DY436" s="40"/>
      <c r="DZ436" s="40"/>
      <c r="EA436" s="40"/>
      <c r="EB436" s="526"/>
      <c r="EC436" s="526"/>
      <c r="ED436" s="526"/>
      <c r="EE436" s="526"/>
      <c r="EF436" s="526"/>
      <c r="EG436" s="526"/>
      <c r="EH436" s="526"/>
      <c r="EI436" s="526"/>
      <c r="EJ436" s="526"/>
      <c r="EK436" s="526"/>
      <c r="EL436" s="526"/>
      <c r="EM436" s="526"/>
      <c r="EN436" s="526"/>
      <c r="EO436" s="526"/>
      <c r="EP436" s="526"/>
      <c r="EQ436" s="526"/>
      <c r="ER436" s="526"/>
      <c r="ES436" s="526"/>
      <c r="ET436" s="526"/>
      <c r="EU436" s="526"/>
      <c r="EV436" s="526"/>
      <c r="EW436" s="526"/>
      <c r="EX436" s="526"/>
      <c r="EY436" s="526"/>
      <c r="EZ436" s="526"/>
      <c r="FA436" s="526"/>
      <c r="FB436" s="526"/>
      <c r="FC436" s="526"/>
      <c r="FD436" s="526"/>
      <c r="FE436" s="526"/>
      <c r="FF436" s="40"/>
      <c r="FG436" s="190"/>
      <c r="FH436" s="237"/>
      <c r="FI436" s="40"/>
      <c r="FL436" s="406"/>
      <c r="FM436" s="406"/>
      <c r="FN436" s="368"/>
      <c r="FO436" s="368"/>
      <c r="FP436" s="368"/>
      <c r="FQ436" s="368"/>
      <c r="FR436" s="368"/>
      <c r="FS436" s="368"/>
      <c r="FT436" s="190"/>
      <c r="GA436" s="241"/>
    </row>
    <row r="437" spans="1:183" ht="12.75" customHeight="1" x14ac:dyDescent="0.2">
      <c r="A437" s="40"/>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83"/>
      <c r="CE437" s="183"/>
      <c r="CF437" s="183"/>
      <c r="CG437" s="183"/>
      <c r="CH437" s="183"/>
      <c r="CI437" s="183"/>
      <c r="CJ437" s="183"/>
      <c r="CK437" s="183"/>
      <c r="CL437" s="183"/>
      <c r="CM437" s="183"/>
      <c r="CN437" s="183"/>
      <c r="CO437" s="183"/>
      <c r="CP437" s="183"/>
      <c r="CQ437" s="183"/>
      <c r="CR437" s="183"/>
      <c r="CS437" s="183"/>
      <c r="CT437" s="40"/>
      <c r="CU437" s="183"/>
      <c r="CV437" s="183"/>
      <c r="CW437" s="183"/>
      <c r="DQ437" s="40"/>
      <c r="DR437" s="40"/>
      <c r="DS437" s="40"/>
      <c r="DT437" s="40"/>
      <c r="DU437" s="40"/>
      <c r="DV437" s="40"/>
      <c r="DW437" s="40"/>
      <c r="DX437" s="40"/>
      <c r="DY437" s="40"/>
      <c r="DZ437" s="40"/>
      <c r="EA437" s="40"/>
      <c r="EB437" s="526"/>
      <c r="EC437" s="526"/>
      <c r="ED437" s="526"/>
      <c r="EE437" s="526"/>
      <c r="EF437" s="526"/>
      <c r="EG437" s="526"/>
      <c r="EH437" s="526"/>
      <c r="EI437" s="526"/>
      <c r="EJ437" s="526"/>
      <c r="EK437" s="526"/>
      <c r="EL437" s="526"/>
      <c r="EM437" s="526"/>
      <c r="EN437" s="526"/>
      <c r="EO437" s="526"/>
      <c r="EP437" s="526"/>
      <c r="EQ437" s="526"/>
      <c r="ER437" s="526"/>
      <c r="ES437" s="526"/>
      <c r="ET437" s="526"/>
      <c r="EU437" s="526"/>
      <c r="EV437" s="526"/>
      <c r="EW437" s="526"/>
      <c r="EX437" s="526"/>
      <c r="EY437" s="526"/>
      <c r="EZ437" s="526"/>
      <c r="FA437" s="526"/>
      <c r="FB437" s="526"/>
      <c r="FC437" s="526"/>
      <c r="FD437" s="526"/>
      <c r="FE437" s="526"/>
      <c r="FF437" s="40"/>
      <c r="FG437" s="190"/>
      <c r="FH437" s="237"/>
      <c r="FI437" s="40"/>
      <c r="FL437" s="406"/>
      <c r="FM437" s="406"/>
      <c r="FN437" s="368"/>
      <c r="FO437" s="368"/>
      <c r="FP437" s="368"/>
      <c r="FQ437" s="368"/>
      <c r="FR437" s="368"/>
      <c r="FS437" s="368"/>
      <c r="FT437" s="190"/>
      <c r="GA437" s="241"/>
    </row>
    <row r="438" spans="1:183" ht="12.75" customHeight="1" x14ac:dyDescent="0.2">
      <c r="A438" s="40"/>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83"/>
      <c r="CE438" s="183"/>
      <c r="CF438" s="183"/>
      <c r="CG438" s="183"/>
      <c r="CH438" s="183"/>
      <c r="CI438" s="183"/>
      <c r="CJ438" s="183"/>
      <c r="CK438" s="183"/>
      <c r="CL438" s="183"/>
      <c r="CM438" s="183"/>
      <c r="CN438" s="183"/>
      <c r="CO438" s="183"/>
      <c r="CP438" s="183"/>
      <c r="CQ438" s="183"/>
      <c r="CR438" s="183"/>
      <c r="CS438" s="183"/>
      <c r="CT438" s="40"/>
      <c r="CU438" s="183"/>
      <c r="CV438" s="183"/>
      <c r="CW438" s="183"/>
      <c r="DQ438" s="40"/>
      <c r="DR438" s="40"/>
      <c r="DS438" s="40"/>
      <c r="DT438" s="40"/>
      <c r="DU438" s="40"/>
      <c r="DV438" s="40"/>
      <c r="DW438" s="40"/>
      <c r="DX438" s="40"/>
      <c r="DY438" s="40"/>
      <c r="DZ438" s="40"/>
      <c r="EA438" s="40"/>
      <c r="EB438" s="526"/>
      <c r="EC438" s="526"/>
      <c r="ED438" s="526"/>
      <c r="EE438" s="526"/>
      <c r="EF438" s="526"/>
      <c r="EG438" s="526"/>
      <c r="EH438" s="526"/>
      <c r="EI438" s="526"/>
      <c r="EJ438" s="526"/>
      <c r="EK438" s="526"/>
      <c r="EL438" s="526"/>
      <c r="EM438" s="526"/>
      <c r="EN438" s="526"/>
      <c r="EO438" s="526"/>
      <c r="EP438" s="526"/>
      <c r="EQ438" s="526"/>
      <c r="ER438" s="526"/>
      <c r="ES438" s="526"/>
      <c r="ET438" s="526"/>
      <c r="EU438" s="526"/>
      <c r="EV438" s="526"/>
      <c r="EW438" s="526"/>
      <c r="EX438" s="526"/>
      <c r="EY438" s="526"/>
      <c r="EZ438" s="526"/>
      <c r="FA438" s="526"/>
      <c r="FB438" s="526"/>
      <c r="FC438" s="526"/>
      <c r="FD438" s="526"/>
      <c r="FE438" s="526"/>
      <c r="FF438" s="40"/>
      <c r="FG438" s="190"/>
      <c r="FH438" s="237"/>
      <c r="FI438" s="40"/>
      <c r="FL438" s="406"/>
      <c r="FM438" s="406"/>
      <c r="FN438" s="368"/>
      <c r="FO438" s="368"/>
      <c r="FP438" s="368"/>
      <c r="FQ438" s="368"/>
      <c r="FR438" s="368"/>
      <c r="FS438" s="368"/>
      <c r="FT438" s="190"/>
      <c r="GA438" s="241"/>
    </row>
    <row r="439" spans="1:183" ht="12.75" customHeight="1" x14ac:dyDescent="0.2">
      <c r="A439" s="40"/>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183"/>
      <c r="AK439" s="183"/>
      <c r="AL439" s="183"/>
      <c r="AM439" s="183"/>
      <c r="AN439" s="183"/>
      <c r="AO439" s="183"/>
      <c r="AP439" s="183"/>
      <c r="AQ439" s="183"/>
      <c r="AR439" s="183"/>
      <c r="AS439" s="183"/>
      <c r="AT439" s="183"/>
      <c r="AU439" s="183"/>
      <c r="AV439" s="183"/>
      <c r="AW439" s="183"/>
      <c r="AX439" s="183"/>
      <c r="AY439" s="183"/>
      <c r="AZ439" s="183"/>
      <c r="BA439" s="183"/>
      <c r="BB439" s="183"/>
      <c r="BC439" s="183"/>
      <c r="BD439" s="183"/>
      <c r="BE439" s="183"/>
      <c r="BF439" s="183"/>
      <c r="BG439" s="183"/>
      <c r="BH439" s="183"/>
      <c r="BI439" s="183"/>
      <c r="BJ439" s="183"/>
      <c r="BK439" s="183"/>
      <c r="BL439" s="183"/>
      <c r="BM439" s="183"/>
      <c r="BN439" s="183"/>
      <c r="BO439" s="183"/>
      <c r="BP439" s="183"/>
      <c r="BQ439" s="183"/>
      <c r="BR439" s="183"/>
      <c r="BS439" s="183"/>
      <c r="BT439" s="183"/>
      <c r="BU439" s="183"/>
      <c r="BV439" s="183"/>
      <c r="BW439" s="183"/>
      <c r="BX439" s="183"/>
      <c r="BY439" s="183"/>
      <c r="BZ439" s="183"/>
      <c r="CA439" s="183"/>
      <c r="CB439" s="183"/>
      <c r="CC439" s="183"/>
      <c r="CD439" s="183"/>
      <c r="CE439" s="183"/>
      <c r="CF439" s="183"/>
      <c r="CG439" s="183"/>
      <c r="CH439" s="183"/>
      <c r="CI439" s="183"/>
      <c r="CJ439" s="183"/>
      <c r="CK439" s="183"/>
      <c r="CL439" s="183"/>
      <c r="CM439" s="183"/>
      <c r="CN439" s="183"/>
      <c r="CO439" s="183"/>
      <c r="CP439" s="183"/>
      <c r="CQ439" s="183"/>
      <c r="CR439" s="183"/>
      <c r="CS439" s="183"/>
      <c r="CT439" s="40"/>
      <c r="CU439" s="183"/>
      <c r="CV439" s="183"/>
      <c r="CW439" s="183"/>
      <c r="DQ439" s="40"/>
      <c r="DR439" s="40"/>
      <c r="DS439" s="40"/>
      <c r="DT439" s="40"/>
      <c r="DU439" s="40"/>
      <c r="DV439" s="40"/>
      <c r="DW439" s="40"/>
      <c r="DX439" s="40"/>
      <c r="DY439" s="40"/>
      <c r="DZ439" s="40"/>
      <c r="EA439" s="40"/>
      <c r="EB439" s="526"/>
      <c r="EC439" s="526"/>
      <c r="ED439" s="526"/>
      <c r="EE439" s="526"/>
      <c r="EF439" s="526"/>
      <c r="EG439" s="526"/>
      <c r="EH439" s="526"/>
      <c r="EI439" s="526"/>
      <c r="EJ439" s="526"/>
      <c r="EK439" s="526"/>
      <c r="EL439" s="526"/>
      <c r="EM439" s="526"/>
      <c r="EN439" s="526"/>
      <c r="EO439" s="526"/>
      <c r="EP439" s="526"/>
      <c r="EQ439" s="526"/>
      <c r="ER439" s="526"/>
      <c r="ES439" s="526"/>
      <c r="ET439" s="526"/>
      <c r="EU439" s="526"/>
      <c r="EV439" s="526"/>
      <c r="EW439" s="526"/>
      <c r="EX439" s="526"/>
      <c r="EY439" s="526"/>
      <c r="EZ439" s="526"/>
      <c r="FA439" s="526"/>
      <c r="FB439" s="526"/>
      <c r="FC439" s="526"/>
      <c r="FD439" s="526"/>
      <c r="FE439" s="526"/>
      <c r="FF439" s="40"/>
      <c r="FG439" s="190"/>
      <c r="FH439" s="237"/>
      <c r="FI439" s="40"/>
      <c r="FL439" s="406"/>
      <c r="FM439" s="406"/>
      <c r="FN439" s="368"/>
      <c r="FO439" s="368"/>
      <c r="FP439" s="368"/>
      <c r="FQ439" s="368"/>
      <c r="FR439" s="368"/>
      <c r="FS439" s="368"/>
      <c r="FT439" s="190"/>
      <c r="GA439" s="241"/>
    </row>
    <row r="440" spans="1:183" ht="12.75" customHeight="1" x14ac:dyDescent="0.2">
      <c r="A440" s="40"/>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183"/>
      <c r="AK440" s="183"/>
      <c r="AL440" s="183"/>
      <c r="AM440" s="183"/>
      <c r="AN440" s="183"/>
      <c r="AO440" s="183"/>
      <c r="AP440" s="183"/>
      <c r="AQ440" s="183"/>
      <c r="AR440" s="183"/>
      <c r="AS440" s="183"/>
      <c r="AT440" s="183"/>
      <c r="AU440" s="183"/>
      <c r="AV440" s="183"/>
      <c r="AW440" s="183"/>
      <c r="AX440" s="183"/>
      <c r="AY440" s="183"/>
      <c r="AZ440" s="183"/>
      <c r="BA440" s="183"/>
      <c r="BB440" s="183"/>
      <c r="BC440" s="183"/>
      <c r="BD440" s="183"/>
      <c r="BE440" s="183"/>
      <c r="BF440" s="183"/>
      <c r="BG440" s="183"/>
      <c r="BH440" s="183"/>
      <c r="BI440" s="183"/>
      <c r="BJ440" s="183"/>
      <c r="BK440" s="183"/>
      <c r="BL440" s="183"/>
      <c r="BM440" s="183"/>
      <c r="BN440" s="183"/>
      <c r="BO440" s="183"/>
      <c r="BP440" s="183"/>
      <c r="BQ440" s="183"/>
      <c r="BR440" s="183"/>
      <c r="BS440" s="183"/>
      <c r="BT440" s="183"/>
      <c r="BU440" s="183"/>
      <c r="BV440" s="183"/>
      <c r="BW440" s="183"/>
      <c r="BX440" s="183"/>
      <c r="BY440" s="183"/>
      <c r="BZ440" s="183"/>
      <c r="CA440" s="183"/>
      <c r="CB440" s="183"/>
      <c r="CC440" s="183"/>
      <c r="CD440" s="183"/>
      <c r="CE440" s="183"/>
      <c r="CF440" s="183"/>
      <c r="CG440" s="183"/>
      <c r="CH440" s="183"/>
      <c r="CI440" s="183"/>
      <c r="CJ440" s="183"/>
      <c r="CK440" s="183"/>
      <c r="CL440" s="183"/>
      <c r="CM440" s="183"/>
      <c r="CN440" s="183"/>
      <c r="CO440" s="183"/>
      <c r="CP440" s="183"/>
      <c r="CQ440" s="183"/>
      <c r="CR440" s="183"/>
      <c r="CS440" s="183"/>
      <c r="CT440" s="40"/>
      <c r="CU440" s="183"/>
      <c r="CV440" s="183"/>
      <c r="CW440" s="183"/>
      <c r="DQ440" s="40"/>
      <c r="DR440" s="40"/>
      <c r="DS440" s="40"/>
      <c r="DT440" s="40"/>
      <c r="DU440" s="40"/>
      <c r="DV440" s="40"/>
      <c r="DW440" s="40"/>
      <c r="DX440" s="40"/>
      <c r="DY440" s="40"/>
      <c r="DZ440" s="40"/>
      <c r="EA440" s="40"/>
      <c r="EB440" s="526"/>
      <c r="EC440" s="526"/>
      <c r="ED440" s="526"/>
      <c r="EE440" s="526"/>
      <c r="EF440" s="526"/>
      <c r="EG440" s="526"/>
      <c r="EH440" s="526"/>
      <c r="EI440" s="526"/>
      <c r="EJ440" s="526"/>
      <c r="EK440" s="526"/>
      <c r="EL440" s="526"/>
      <c r="EM440" s="526"/>
      <c r="EN440" s="526"/>
      <c r="EO440" s="526"/>
      <c r="EP440" s="526"/>
      <c r="EQ440" s="526"/>
      <c r="ER440" s="526"/>
      <c r="ES440" s="526"/>
      <c r="ET440" s="526"/>
      <c r="EU440" s="526"/>
      <c r="EV440" s="526"/>
      <c r="EW440" s="526"/>
      <c r="EX440" s="526"/>
      <c r="EY440" s="526"/>
      <c r="EZ440" s="526"/>
      <c r="FA440" s="526"/>
      <c r="FB440" s="526"/>
      <c r="FC440" s="526"/>
      <c r="FD440" s="526"/>
      <c r="FE440" s="526"/>
      <c r="FF440" s="40"/>
      <c r="FG440" s="190"/>
      <c r="FH440" s="237"/>
      <c r="FI440" s="40"/>
      <c r="FL440" s="406"/>
      <c r="FM440" s="406"/>
      <c r="FN440" s="368"/>
      <c r="FO440" s="368"/>
      <c r="FP440" s="368"/>
      <c r="FQ440" s="368"/>
      <c r="FR440" s="368"/>
      <c r="FS440" s="368"/>
      <c r="FT440" s="190"/>
      <c r="GA440" s="241"/>
    </row>
    <row r="441" spans="1:183" ht="12.75" customHeight="1" x14ac:dyDescent="0.2">
      <c r="A441" s="40"/>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3"/>
      <c r="BY441" s="183"/>
      <c r="BZ441" s="183"/>
      <c r="CA441" s="183"/>
      <c r="CB441" s="183"/>
      <c r="CC441" s="183"/>
      <c r="CD441" s="183"/>
      <c r="CE441" s="183"/>
      <c r="CF441" s="183"/>
      <c r="CG441" s="183"/>
      <c r="CH441" s="183"/>
      <c r="CI441" s="183"/>
      <c r="CJ441" s="183"/>
      <c r="CK441" s="183"/>
      <c r="CL441" s="183"/>
      <c r="CM441" s="183"/>
      <c r="CN441" s="183"/>
      <c r="CO441" s="183"/>
      <c r="CP441" s="183"/>
      <c r="CQ441" s="183"/>
      <c r="CR441" s="183"/>
      <c r="CS441" s="183"/>
      <c r="CT441" s="40"/>
      <c r="CU441" s="183"/>
      <c r="CV441" s="183"/>
      <c r="CW441" s="183"/>
      <c r="DQ441" s="40"/>
      <c r="DR441" s="40"/>
      <c r="DS441" s="40"/>
      <c r="DT441" s="40"/>
      <c r="DU441" s="40"/>
      <c r="DV441" s="40"/>
      <c r="DW441" s="40"/>
      <c r="DX441" s="40"/>
      <c r="DY441" s="40"/>
      <c r="DZ441" s="40"/>
      <c r="EA441" s="40"/>
      <c r="EB441" s="526"/>
      <c r="EC441" s="526"/>
      <c r="ED441" s="526"/>
      <c r="EE441" s="526"/>
      <c r="EF441" s="526"/>
      <c r="EG441" s="526"/>
      <c r="EH441" s="526"/>
      <c r="EI441" s="526"/>
      <c r="EJ441" s="526"/>
      <c r="EK441" s="526"/>
      <c r="EL441" s="526"/>
      <c r="EM441" s="526"/>
      <c r="EN441" s="526"/>
      <c r="EO441" s="526"/>
      <c r="EP441" s="526"/>
      <c r="EQ441" s="526"/>
      <c r="ER441" s="526"/>
      <c r="ES441" s="526"/>
      <c r="ET441" s="526"/>
      <c r="EU441" s="526"/>
      <c r="EV441" s="526"/>
      <c r="EW441" s="526"/>
      <c r="EX441" s="526"/>
      <c r="EY441" s="526"/>
      <c r="EZ441" s="526"/>
      <c r="FA441" s="526"/>
      <c r="FB441" s="526"/>
      <c r="FC441" s="526"/>
      <c r="FD441" s="526"/>
      <c r="FE441" s="526"/>
      <c r="FF441" s="40"/>
      <c r="FG441" s="190"/>
      <c r="FH441" s="237"/>
      <c r="FI441" s="40"/>
      <c r="FL441" s="406"/>
      <c r="FM441" s="406"/>
      <c r="FN441" s="368"/>
      <c r="FO441" s="368"/>
      <c r="FP441" s="368"/>
      <c r="FQ441" s="368"/>
      <c r="FR441" s="368"/>
      <c r="FS441" s="368"/>
      <c r="FT441" s="190"/>
      <c r="GA441" s="241"/>
    </row>
    <row r="442" spans="1:183" ht="12.75" customHeight="1" x14ac:dyDescent="0.2">
      <c r="A442" s="40"/>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3"/>
      <c r="BY442" s="183"/>
      <c r="BZ442" s="183"/>
      <c r="CA442" s="183"/>
      <c r="CB442" s="183"/>
      <c r="CC442" s="183"/>
      <c r="CD442" s="183"/>
      <c r="CE442" s="183"/>
      <c r="CF442" s="183"/>
      <c r="CG442" s="183"/>
      <c r="CH442" s="183"/>
      <c r="CI442" s="183"/>
      <c r="CJ442" s="183"/>
      <c r="CK442" s="183"/>
      <c r="CL442" s="183"/>
      <c r="CM442" s="183"/>
      <c r="CN442" s="183"/>
      <c r="CO442" s="183"/>
      <c r="CP442" s="183"/>
      <c r="CQ442" s="183"/>
      <c r="CR442" s="183"/>
      <c r="CS442" s="183"/>
      <c r="CT442" s="40"/>
      <c r="CU442" s="183"/>
      <c r="CV442" s="183"/>
      <c r="CW442" s="183"/>
      <c r="DQ442" s="40"/>
      <c r="DR442" s="40"/>
      <c r="DS442" s="40"/>
      <c r="DT442" s="40"/>
      <c r="DU442" s="40"/>
      <c r="DV442" s="40"/>
      <c r="DW442" s="40"/>
      <c r="DX442" s="40"/>
      <c r="DY442" s="40"/>
      <c r="DZ442" s="40"/>
      <c r="EA442" s="40"/>
      <c r="EB442" s="526"/>
      <c r="EC442" s="526"/>
      <c r="ED442" s="526"/>
      <c r="EE442" s="526"/>
      <c r="EF442" s="526"/>
      <c r="EG442" s="526"/>
      <c r="EH442" s="526"/>
      <c r="EI442" s="526"/>
      <c r="EJ442" s="526"/>
      <c r="EK442" s="526"/>
      <c r="EL442" s="526"/>
      <c r="EM442" s="526"/>
      <c r="EN442" s="526"/>
      <c r="EO442" s="526"/>
      <c r="EP442" s="526"/>
      <c r="EQ442" s="526"/>
      <c r="ER442" s="526"/>
      <c r="ES442" s="526"/>
      <c r="ET442" s="526"/>
      <c r="EU442" s="526"/>
      <c r="EV442" s="526"/>
      <c r="EW442" s="526"/>
      <c r="EX442" s="526"/>
      <c r="EY442" s="526"/>
      <c r="EZ442" s="526"/>
      <c r="FA442" s="526"/>
      <c r="FB442" s="526"/>
      <c r="FC442" s="526"/>
      <c r="FD442" s="526"/>
      <c r="FE442" s="526"/>
      <c r="FF442" s="40"/>
      <c r="FG442" s="190"/>
      <c r="FH442" s="237"/>
      <c r="FI442" s="40"/>
      <c r="FL442" s="406"/>
      <c r="FM442" s="406"/>
      <c r="FN442" s="368"/>
      <c r="FO442" s="368"/>
      <c r="FP442" s="368"/>
      <c r="FQ442" s="368"/>
      <c r="FR442" s="368"/>
      <c r="FS442" s="368"/>
      <c r="FT442" s="190"/>
      <c r="GA442" s="241"/>
    </row>
    <row r="443" spans="1:183" ht="12.75" customHeight="1" x14ac:dyDescent="0.2">
      <c r="A443" s="40"/>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183"/>
      <c r="AK443" s="183"/>
      <c r="AL443" s="183"/>
      <c r="AM443" s="183"/>
      <c r="AN443" s="183"/>
      <c r="AO443" s="183"/>
      <c r="AP443" s="183"/>
      <c r="AQ443" s="183"/>
      <c r="AR443" s="183"/>
      <c r="AS443" s="183"/>
      <c r="AT443" s="183"/>
      <c r="AU443" s="183"/>
      <c r="AV443" s="183"/>
      <c r="AW443" s="183"/>
      <c r="AX443" s="183"/>
      <c r="AY443" s="183"/>
      <c r="AZ443" s="183"/>
      <c r="BA443" s="183"/>
      <c r="BB443" s="183"/>
      <c r="BC443" s="183"/>
      <c r="BD443" s="183"/>
      <c r="BE443" s="183"/>
      <c r="BF443" s="183"/>
      <c r="BG443" s="183"/>
      <c r="BH443" s="183"/>
      <c r="BI443" s="183"/>
      <c r="BJ443" s="183"/>
      <c r="BK443" s="183"/>
      <c r="BL443" s="183"/>
      <c r="BM443" s="183"/>
      <c r="BN443" s="183"/>
      <c r="BO443" s="183"/>
      <c r="BP443" s="183"/>
      <c r="BQ443" s="183"/>
      <c r="BR443" s="183"/>
      <c r="BS443" s="183"/>
      <c r="BT443" s="183"/>
      <c r="BU443" s="183"/>
      <c r="BV443" s="183"/>
      <c r="BW443" s="183"/>
      <c r="BX443" s="183"/>
      <c r="BY443" s="183"/>
      <c r="BZ443" s="183"/>
      <c r="CA443" s="183"/>
      <c r="CB443" s="183"/>
      <c r="CC443" s="183"/>
      <c r="CD443" s="183"/>
      <c r="CE443" s="183"/>
      <c r="CF443" s="183"/>
      <c r="CG443" s="183"/>
      <c r="CH443" s="183"/>
      <c r="CI443" s="183"/>
      <c r="CJ443" s="183"/>
      <c r="CK443" s="183"/>
      <c r="CL443" s="183"/>
      <c r="CM443" s="183"/>
      <c r="CN443" s="183"/>
      <c r="CO443" s="183"/>
      <c r="CP443" s="183"/>
      <c r="CQ443" s="183"/>
      <c r="CR443" s="183"/>
      <c r="CS443" s="183"/>
      <c r="CT443" s="40"/>
      <c r="CU443" s="183"/>
      <c r="CV443" s="183"/>
      <c r="CW443" s="183"/>
      <c r="DQ443" s="40"/>
      <c r="DR443" s="40"/>
      <c r="DS443" s="40"/>
      <c r="DT443" s="40"/>
      <c r="DU443" s="40"/>
      <c r="DV443" s="40"/>
      <c r="DW443" s="40"/>
      <c r="DX443" s="40"/>
      <c r="DY443" s="40"/>
      <c r="DZ443" s="40"/>
      <c r="EA443" s="40"/>
      <c r="EB443" s="526"/>
      <c r="EC443" s="526"/>
      <c r="ED443" s="526"/>
      <c r="EE443" s="526"/>
      <c r="EF443" s="526"/>
      <c r="EG443" s="526"/>
      <c r="EH443" s="526"/>
      <c r="EI443" s="526"/>
      <c r="EJ443" s="526"/>
      <c r="EK443" s="526"/>
      <c r="EL443" s="526"/>
      <c r="EM443" s="526"/>
      <c r="EN443" s="526"/>
      <c r="EO443" s="526"/>
      <c r="EP443" s="526"/>
      <c r="EQ443" s="526"/>
      <c r="ER443" s="526"/>
      <c r="ES443" s="526"/>
      <c r="ET443" s="526"/>
      <c r="EU443" s="526"/>
      <c r="EV443" s="526"/>
      <c r="EW443" s="526"/>
      <c r="EX443" s="526"/>
      <c r="EY443" s="526"/>
      <c r="EZ443" s="526"/>
      <c r="FA443" s="526"/>
      <c r="FB443" s="526"/>
      <c r="FC443" s="526"/>
      <c r="FD443" s="526"/>
      <c r="FE443" s="526"/>
      <c r="FF443" s="40"/>
      <c r="FG443" s="190"/>
      <c r="FH443" s="237"/>
      <c r="FI443" s="40"/>
      <c r="FL443" s="406"/>
      <c r="FM443" s="406"/>
      <c r="FN443" s="368"/>
      <c r="FO443" s="368"/>
      <c r="FP443" s="368"/>
      <c r="FQ443" s="368"/>
      <c r="FR443" s="368"/>
      <c r="FS443" s="368"/>
      <c r="FT443" s="190"/>
      <c r="GA443" s="241"/>
    </row>
    <row r="444" spans="1:183" ht="12.75" customHeight="1" x14ac:dyDescent="0.2">
      <c r="A444" s="40"/>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183"/>
      <c r="AK444" s="183"/>
      <c r="AL444" s="183"/>
      <c r="AM444" s="183"/>
      <c r="AN444" s="183"/>
      <c r="AO444" s="183"/>
      <c r="AP444" s="183"/>
      <c r="AQ444" s="183"/>
      <c r="AR444" s="183"/>
      <c r="AS444" s="183"/>
      <c r="AT444" s="183"/>
      <c r="AU444" s="183"/>
      <c r="AV444" s="183"/>
      <c r="AW444" s="183"/>
      <c r="AX444" s="183"/>
      <c r="AY444" s="183"/>
      <c r="AZ444" s="183"/>
      <c r="BA444" s="183"/>
      <c r="BB444" s="183"/>
      <c r="BC444" s="183"/>
      <c r="BD444" s="183"/>
      <c r="BE444" s="183"/>
      <c r="BF444" s="183"/>
      <c r="BG444" s="183"/>
      <c r="BH444" s="183"/>
      <c r="BI444" s="183"/>
      <c r="BJ444" s="183"/>
      <c r="BK444" s="183"/>
      <c r="BL444" s="183"/>
      <c r="BM444" s="183"/>
      <c r="BN444" s="183"/>
      <c r="BO444" s="183"/>
      <c r="BP444" s="183"/>
      <c r="BQ444" s="183"/>
      <c r="BR444" s="183"/>
      <c r="BS444" s="183"/>
      <c r="BT444" s="183"/>
      <c r="BU444" s="183"/>
      <c r="BV444" s="183"/>
      <c r="BW444" s="183"/>
      <c r="BX444" s="183"/>
      <c r="BY444" s="183"/>
      <c r="BZ444" s="183"/>
      <c r="CA444" s="183"/>
      <c r="CB444" s="183"/>
      <c r="CC444" s="183"/>
      <c r="CD444" s="183"/>
      <c r="CE444" s="183"/>
      <c r="CF444" s="183"/>
      <c r="CG444" s="183"/>
      <c r="CH444" s="183"/>
      <c r="CI444" s="183"/>
      <c r="CJ444" s="183"/>
      <c r="CK444" s="183"/>
      <c r="CL444" s="183"/>
      <c r="CM444" s="183"/>
      <c r="CN444" s="183"/>
      <c r="CO444" s="183"/>
      <c r="CP444" s="183"/>
      <c r="CQ444" s="183"/>
      <c r="CR444" s="183"/>
      <c r="CS444" s="183"/>
      <c r="CT444" s="40"/>
      <c r="CU444" s="183"/>
      <c r="CV444" s="183"/>
      <c r="CW444" s="183"/>
      <c r="DQ444" s="40"/>
      <c r="DR444" s="40"/>
      <c r="DS444" s="40"/>
      <c r="DT444" s="40"/>
      <c r="DU444" s="40"/>
      <c r="DV444" s="40"/>
      <c r="DW444" s="40"/>
      <c r="DX444" s="40"/>
      <c r="DY444" s="40"/>
      <c r="DZ444" s="40"/>
      <c r="EA444" s="40"/>
      <c r="EB444" s="526"/>
      <c r="EC444" s="526"/>
      <c r="ED444" s="526"/>
      <c r="EE444" s="526"/>
      <c r="EF444" s="526"/>
      <c r="EG444" s="526"/>
      <c r="EH444" s="526"/>
      <c r="EI444" s="526"/>
      <c r="EJ444" s="526"/>
      <c r="EK444" s="526"/>
      <c r="EL444" s="526"/>
      <c r="EM444" s="526"/>
      <c r="EN444" s="526"/>
      <c r="EO444" s="526"/>
      <c r="EP444" s="526"/>
      <c r="EQ444" s="526"/>
      <c r="ER444" s="526"/>
      <c r="ES444" s="526"/>
      <c r="ET444" s="526"/>
      <c r="EU444" s="526"/>
      <c r="EV444" s="526"/>
      <c r="EW444" s="526"/>
      <c r="EX444" s="526"/>
      <c r="EY444" s="526"/>
      <c r="EZ444" s="526"/>
      <c r="FA444" s="526"/>
      <c r="FB444" s="526"/>
      <c r="FC444" s="526"/>
      <c r="FD444" s="526"/>
      <c r="FE444" s="526"/>
      <c r="FF444" s="40"/>
      <c r="FG444" s="190"/>
      <c r="FH444" s="237"/>
      <c r="FI444" s="40"/>
      <c r="FL444" s="406"/>
      <c r="FM444" s="406"/>
      <c r="FN444" s="368"/>
      <c r="FO444" s="368"/>
      <c r="FP444" s="368"/>
      <c r="FQ444" s="368"/>
      <c r="FR444" s="368"/>
      <c r="FS444" s="368"/>
      <c r="FT444" s="190"/>
      <c r="GA444" s="241"/>
    </row>
    <row r="445" spans="1:183" ht="12.75" customHeight="1" x14ac:dyDescent="0.2">
      <c r="A445" s="40"/>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183"/>
      <c r="AK445" s="183"/>
      <c r="AL445" s="183"/>
      <c r="AM445" s="183"/>
      <c r="AN445" s="183"/>
      <c r="AO445" s="183"/>
      <c r="AP445" s="183"/>
      <c r="AQ445" s="183"/>
      <c r="AR445" s="183"/>
      <c r="AS445" s="183"/>
      <c r="AT445" s="183"/>
      <c r="AU445" s="183"/>
      <c r="AV445" s="183"/>
      <c r="AW445" s="183"/>
      <c r="AX445" s="183"/>
      <c r="AY445" s="183"/>
      <c r="AZ445" s="183"/>
      <c r="BA445" s="183"/>
      <c r="BB445" s="183"/>
      <c r="BC445" s="183"/>
      <c r="BD445" s="183"/>
      <c r="BE445" s="183"/>
      <c r="BF445" s="183"/>
      <c r="BG445" s="183"/>
      <c r="BH445" s="183"/>
      <c r="BI445" s="183"/>
      <c r="BJ445" s="183"/>
      <c r="BK445" s="183"/>
      <c r="BL445" s="183"/>
      <c r="BM445" s="183"/>
      <c r="BN445" s="183"/>
      <c r="BO445" s="183"/>
      <c r="BP445" s="183"/>
      <c r="BQ445" s="183"/>
      <c r="BR445" s="183"/>
      <c r="BS445" s="183"/>
      <c r="BT445" s="183"/>
      <c r="BU445" s="183"/>
      <c r="BV445" s="183"/>
      <c r="BW445" s="183"/>
      <c r="BX445" s="183"/>
      <c r="BY445" s="183"/>
      <c r="BZ445" s="183"/>
      <c r="CA445" s="183"/>
      <c r="CB445" s="183"/>
      <c r="CC445" s="183"/>
      <c r="CD445" s="183"/>
      <c r="CE445" s="183"/>
      <c r="CF445" s="183"/>
      <c r="CG445" s="183"/>
      <c r="CH445" s="183"/>
      <c r="CI445" s="183"/>
      <c r="CJ445" s="183"/>
      <c r="CK445" s="183"/>
      <c r="CL445" s="183"/>
      <c r="CM445" s="183"/>
      <c r="CN445" s="183"/>
      <c r="CO445" s="183"/>
      <c r="CP445" s="183"/>
      <c r="CQ445" s="183"/>
      <c r="CR445" s="183"/>
      <c r="CS445" s="183"/>
      <c r="CT445" s="40"/>
      <c r="CU445" s="183"/>
      <c r="CV445" s="183"/>
      <c r="CW445" s="183"/>
      <c r="DQ445" s="40"/>
      <c r="DR445" s="40"/>
      <c r="DS445" s="40"/>
      <c r="DT445" s="40"/>
      <c r="DU445" s="40"/>
      <c r="DV445" s="40"/>
      <c r="DW445" s="40"/>
      <c r="DX445" s="40"/>
      <c r="DY445" s="40"/>
      <c r="DZ445" s="40"/>
      <c r="EA445" s="40"/>
      <c r="EB445" s="526"/>
      <c r="EC445" s="526"/>
      <c r="ED445" s="526"/>
      <c r="EE445" s="526"/>
      <c r="EF445" s="526"/>
      <c r="EG445" s="526"/>
      <c r="EH445" s="526"/>
      <c r="EI445" s="526"/>
      <c r="EJ445" s="526"/>
      <c r="EK445" s="526"/>
      <c r="EL445" s="526"/>
      <c r="EM445" s="526"/>
      <c r="EN445" s="526"/>
      <c r="EO445" s="526"/>
      <c r="EP445" s="526"/>
      <c r="EQ445" s="526"/>
      <c r="ER445" s="526"/>
      <c r="ES445" s="526"/>
      <c r="ET445" s="526"/>
      <c r="EU445" s="526"/>
      <c r="EV445" s="526"/>
      <c r="EW445" s="526"/>
      <c r="EX445" s="526"/>
      <c r="EY445" s="526"/>
      <c r="EZ445" s="526"/>
      <c r="FA445" s="526"/>
      <c r="FB445" s="526"/>
      <c r="FC445" s="526"/>
      <c r="FD445" s="526"/>
      <c r="FE445" s="526"/>
      <c r="FF445" s="40"/>
      <c r="FG445" s="190"/>
      <c r="FH445" s="237"/>
      <c r="FI445" s="40"/>
      <c r="FL445" s="406"/>
      <c r="FM445" s="406"/>
      <c r="FN445" s="368"/>
      <c r="FO445" s="368"/>
      <c r="FP445" s="368"/>
      <c r="FQ445" s="368"/>
      <c r="FR445" s="368"/>
      <c r="FS445" s="368"/>
      <c r="FT445" s="190"/>
      <c r="GA445" s="241"/>
    </row>
    <row r="446" spans="1:183" ht="12.75" customHeight="1" x14ac:dyDescent="0.2">
      <c r="A446" s="40"/>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183"/>
      <c r="AK446" s="183"/>
      <c r="AL446" s="183"/>
      <c r="AM446" s="183"/>
      <c r="AN446" s="183"/>
      <c r="AO446" s="183"/>
      <c r="AP446" s="183"/>
      <c r="AQ446" s="183"/>
      <c r="AR446" s="183"/>
      <c r="AS446" s="183"/>
      <c r="AT446" s="183"/>
      <c r="AU446" s="183"/>
      <c r="AV446" s="183"/>
      <c r="AW446" s="183"/>
      <c r="AX446" s="183"/>
      <c r="AY446" s="183"/>
      <c r="AZ446" s="183"/>
      <c r="BA446" s="183"/>
      <c r="BB446" s="183"/>
      <c r="BC446" s="183"/>
      <c r="BD446" s="183"/>
      <c r="BE446" s="183"/>
      <c r="BF446" s="183"/>
      <c r="BG446" s="183"/>
      <c r="BH446" s="183"/>
      <c r="BI446" s="183"/>
      <c r="BJ446" s="183"/>
      <c r="BK446" s="183"/>
      <c r="BL446" s="183"/>
      <c r="BM446" s="183"/>
      <c r="BN446" s="183"/>
      <c r="BO446" s="183"/>
      <c r="BP446" s="183"/>
      <c r="BQ446" s="183"/>
      <c r="BR446" s="183"/>
      <c r="BS446" s="183"/>
      <c r="BT446" s="183"/>
      <c r="BU446" s="183"/>
      <c r="BV446" s="183"/>
      <c r="BW446" s="183"/>
      <c r="BX446" s="183"/>
      <c r="BY446" s="183"/>
      <c r="BZ446" s="183"/>
      <c r="CA446" s="183"/>
      <c r="CB446" s="183"/>
      <c r="CC446" s="183"/>
      <c r="CD446" s="183"/>
      <c r="CE446" s="183"/>
      <c r="CF446" s="183"/>
      <c r="CG446" s="183"/>
      <c r="CH446" s="183"/>
      <c r="CI446" s="183"/>
      <c r="CJ446" s="183"/>
      <c r="CK446" s="183"/>
      <c r="CL446" s="183"/>
      <c r="CM446" s="183"/>
      <c r="CN446" s="183"/>
      <c r="CO446" s="183"/>
      <c r="CP446" s="183"/>
      <c r="CQ446" s="183"/>
      <c r="CR446" s="183"/>
      <c r="CS446" s="183"/>
      <c r="CT446" s="40"/>
      <c r="CU446" s="183"/>
      <c r="CV446" s="183"/>
      <c r="CW446" s="183"/>
      <c r="DQ446" s="40"/>
      <c r="DR446" s="40"/>
      <c r="DS446" s="40"/>
      <c r="DT446" s="40"/>
      <c r="DU446" s="40"/>
      <c r="DV446" s="40"/>
      <c r="DW446" s="40"/>
      <c r="DX446" s="40"/>
      <c r="DY446" s="40"/>
      <c r="DZ446" s="40"/>
      <c r="EA446" s="40"/>
      <c r="EB446" s="526"/>
      <c r="EC446" s="526"/>
      <c r="ED446" s="526"/>
      <c r="EE446" s="526"/>
      <c r="EF446" s="526"/>
      <c r="EG446" s="526"/>
      <c r="EH446" s="526"/>
      <c r="EI446" s="526"/>
      <c r="EJ446" s="526"/>
      <c r="EK446" s="526"/>
      <c r="EL446" s="526"/>
      <c r="EM446" s="526"/>
      <c r="EN446" s="526"/>
      <c r="EO446" s="526"/>
      <c r="EP446" s="526"/>
      <c r="EQ446" s="526"/>
      <c r="ER446" s="526"/>
      <c r="ES446" s="526"/>
      <c r="ET446" s="526"/>
      <c r="EU446" s="526"/>
      <c r="EV446" s="526"/>
      <c r="EW446" s="526"/>
      <c r="EX446" s="526"/>
      <c r="EY446" s="526"/>
      <c r="EZ446" s="526"/>
      <c r="FA446" s="526"/>
      <c r="FB446" s="526"/>
      <c r="FC446" s="526"/>
      <c r="FD446" s="526"/>
      <c r="FE446" s="526"/>
      <c r="FF446" s="40"/>
      <c r="FG446" s="190"/>
      <c r="FH446" s="237"/>
      <c r="FI446" s="40"/>
      <c r="FL446" s="406"/>
      <c r="FM446" s="406"/>
      <c r="FN446" s="368"/>
      <c r="FO446" s="368"/>
      <c r="FP446" s="368"/>
      <c r="FQ446" s="368"/>
      <c r="FR446" s="368"/>
      <c r="FS446" s="368"/>
      <c r="FT446" s="190"/>
      <c r="GA446" s="241"/>
    </row>
    <row r="447" spans="1:183" ht="12.75" customHeight="1" x14ac:dyDescent="0.2">
      <c r="A447" s="40"/>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183"/>
      <c r="AK447" s="183"/>
      <c r="AL447" s="183"/>
      <c r="AM447" s="183"/>
      <c r="AN447" s="183"/>
      <c r="AO447" s="183"/>
      <c r="AP447" s="183"/>
      <c r="AQ447" s="183"/>
      <c r="AR447" s="183"/>
      <c r="AS447" s="183"/>
      <c r="AT447" s="183"/>
      <c r="AU447" s="183"/>
      <c r="AV447" s="183"/>
      <c r="AW447" s="183"/>
      <c r="AX447" s="183"/>
      <c r="AY447" s="183"/>
      <c r="AZ447" s="183"/>
      <c r="BA447" s="183"/>
      <c r="BB447" s="183"/>
      <c r="BC447" s="183"/>
      <c r="BD447" s="183"/>
      <c r="BE447" s="183"/>
      <c r="BF447" s="183"/>
      <c r="BG447" s="183"/>
      <c r="BH447" s="183"/>
      <c r="BI447" s="183"/>
      <c r="BJ447" s="183"/>
      <c r="BK447" s="183"/>
      <c r="BL447" s="183"/>
      <c r="BM447" s="183"/>
      <c r="BN447" s="183"/>
      <c r="BO447" s="183"/>
      <c r="BP447" s="183"/>
      <c r="BQ447" s="183"/>
      <c r="BR447" s="183"/>
      <c r="BS447" s="183"/>
      <c r="BT447" s="183"/>
      <c r="BU447" s="183"/>
      <c r="BV447" s="183"/>
      <c r="BW447" s="183"/>
      <c r="BX447" s="183"/>
      <c r="BY447" s="183"/>
      <c r="BZ447" s="183"/>
      <c r="CA447" s="183"/>
      <c r="CB447" s="183"/>
      <c r="CC447" s="183"/>
      <c r="CD447" s="183"/>
      <c r="CE447" s="183"/>
      <c r="CF447" s="183"/>
      <c r="CG447" s="183"/>
      <c r="CH447" s="183"/>
      <c r="CI447" s="183"/>
      <c r="CJ447" s="183"/>
      <c r="CK447" s="183"/>
      <c r="CL447" s="183"/>
      <c r="CM447" s="183"/>
      <c r="CN447" s="183"/>
      <c r="CO447" s="183"/>
      <c r="CP447" s="183"/>
      <c r="CQ447" s="183"/>
      <c r="CR447" s="183"/>
      <c r="CS447" s="183"/>
      <c r="CT447" s="40"/>
      <c r="CU447" s="183"/>
      <c r="CV447" s="183"/>
      <c r="CW447" s="183"/>
      <c r="DQ447" s="40"/>
      <c r="DR447" s="40"/>
      <c r="DS447" s="40"/>
      <c r="DT447" s="40"/>
      <c r="DU447" s="40"/>
      <c r="DV447" s="40"/>
      <c r="DW447" s="40"/>
      <c r="DX447" s="40"/>
      <c r="DY447" s="40"/>
      <c r="DZ447" s="40"/>
      <c r="EA447" s="40"/>
      <c r="EB447" s="526"/>
      <c r="EC447" s="526"/>
      <c r="ED447" s="526"/>
      <c r="EE447" s="526"/>
      <c r="EF447" s="526"/>
      <c r="EG447" s="526"/>
      <c r="EH447" s="526"/>
      <c r="EI447" s="526"/>
      <c r="EJ447" s="526"/>
      <c r="EK447" s="526"/>
      <c r="EL447" s="526"/>
      <c r="EM447" s="526"/>
      <c r="EN447" s="526"/>
      <c r="EO447" s="526"/>
      <c r="EP447" s="526"/>
      <c r="EQ447" s="526"/>
      <c r="ER447" s="526"/>
      <c r="ES447" s="526"/>
      <c r="ET447" s="526"/>
      <c r="EU447" s="526"/>
      <c r="EV447" s="526"/>
      <c r="EW447" s="526"/>
      <c r="EX447" s="526"/>
      <c r="EY447" s="526"/>
      <c r="EZ447" s="526"/>
      <c r="FA447" s="526"/>
      <c r="FB447" s="526"/>
      <c r="FC447" s="526"/>
      <c r="FD447" s="526"/>
      <c r="FE447" s="526"/>
      <c r="FF447" s="40"/>
      <c r="FG447" s="190"/>
      <c r="FH447" s="237"/>
      <c r="FI447" s="40"/>
      <c r="FL447" s="406"/>
      <c r="FM447" s="406"/>
      <c r="FN447" s="368"/>
      <c r="FO447" s="368"/>
      <c r="FP447" s="368"/>
      <c r="FQ447" s="368"/>
      <c r="FR447" s="368"/>
      <c r="FS447" s="368"/>
      <c r="FT447" s="190"/>
      <c r="GA447" s="241"/>
    </row>
    <row r="448" spans="1:183" ht="12.75" customHeight="1" x14ac:dyDescent="0.2">
      <c r="A448" s="40"/>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183"/>
      <c r="AK448" s="183"/>
      <c r="AL448" s="183"/>
      <c r="AM448" s="183"/>
      <c r="AN448" s="183"/>
      <c r="AO448" s="183"/>
      <c r="AP448" s="183"/>
      <c r="AQ448" s="183"/>
      <c r="AR448" s="183"/>
      <c r="AS448" s="183"/>
      <c r="AT448" s="183"/>
      <c r="AU448" s="183"/>
      <c r="AV448" s="183"/>
      <c r="AW448" s="183"/>
      <c r="AX448" s="183"/>
      <c r="AY448" s="183"/>
      <c r="AZ448" s="183"/>
      <c r="BA448" s="183"/>
      <c r="BB448" s="183"/>
      <c r="BC448" s="183"/>
      <c r="BD448" s="183"/>
      <c r="BE448" s="183"/>
      <c r="BF448" s="183"/>
      <c r="BG448" s="183"/>
      <c r="BH448" s="183"/>
      <c r="BI448" s="183"/>
      <c r="BJ448" s="183"/>
      <c r="BK448" s="183"/>
      <c r="BL448" s="183"/>
      <c r="BM448" s="183"/>
      <c r="BN448" s="183"/>
      <c r="BO448" s="183"/>
      <c r="BP448" s="183"/>
      <c r="BQ448" s="183"/>
      <c r="BR448" s="183"/>
      <c r="BS448" s="183"/>
      <c r="BT448" s="183"/>
      <c r="BU448" s="183"/>
      <c r="BV448" s="183"/>
      <c r="BW448" s="183"/>
      <c r="BX448" s="183"/>
      <c r="BY448" s="183"/>
      <c r="BZ448" s="183"/>
      <c r="CA448" s="183"/>
      <c r="CB448" s="183"/>
      <c r="CC448" s="183"/>
      <c r="CD448" s="183"/>
      <c r="CE448" s="183"/>
      <c r="CF448" s="183"/>
      <c r="CG448" s="183"/>
      <c r="CH448" s="183"/>
      <c r="CI448" s="183"/>
      <c r="CJ448" s="183"/>
      <c r="CK448" s="183"/>
      <c r="CL448" s="183"/>
      <c r="CM448" s="183"/>
      <c r="CN448" s="183"/>
      <c r="CO448" s="183"/>
      <c r="CP448" s="183"/>
      <c r="CQ448" s="183"/>
      <c r="CR448" s="183"/>
      <c r="CS448" s="183"/>
      <c r="CT448" s="40"/>
      <c r="CU448" s="183"/>
      <c r="CV448" s="183"/>
      <c r="CW448" s="183"/>
      <c r="DQ448" s="40"/>
      <c r="DR448" s="40"/>
      <c r="DS448" s="40"/>
      <c r="DT448" s="40"/>
      <c r="DU448" s="40"/>
      <c r="DV448" s="40"/>
      <c r="DW448" s="40"/>
      <c r="DX448" s="40"/>
      <c r="DY448" s="40"/>
      <c r="DZ448" s="40"/>
      <c r="EA448" s="40"/>
      <c r="EB448" s="526"/>
      <c r="EC448" s="526"/>
      <c r="ED448" s="526"/>
      <c r="EE448" s="526"/>
      <c r="EF448" s="526"/>
      <c r="EG448" s="526"/>
      <c r="EH448" s="526"/>
      <c r="EI448" s="526"/>
      <c r="EJ448" s="526"/>
      <c r="EK448" s="526"/>
      <c r="EL448" s="526"/>
      <c r="EM448" s="526"/>
      <c r="EN448" s="526"/>
      <c r="EO448" s="526"/>
      <c r="EP448" s="526"/>
      <c r="EQ448" s="526"/>
      <c r="ER448" s="526"/>
      <c r="ES448" s="526"/>
      <c r="ET448" s="526"/>
      <c r="EU448" s="526"/>
      <c r="EV448" s="526"/>
      <c r="EW448" s="526"/>
      <c r="EX448" s="526"/>
      <c r="EY448" s="526"/>
      <c r="EZ448" s="526"/>
      <c r="FA448" s="526"/>
      <c r="FB448" s="526"/>
      <c r="FC448" s="526"/>
      <c r="FD448" s="526"/>
      <c r="FE448" s="526"/>
      <c r="FF448" s="40"/>
      <c r="FG448" s="190"/>
      <c r="FH448" s="237"/>
      <c r="FI448" s="40"/>
      <c r="FL448" s="406"/>
      <c r="FM448" s="406"/>
      <c r="FN448" s="368"/>
      <c r="FO448" s="368"/>
      <c r="FP448" s="368"/>
      <c r="FQ448" s="368"/>
      <c r="FR448" s="368"/>
      <c r="FS448" s="368"/>
      <c r="FT448" s="190"/>
      <c r="GA448" s="241"/>
    </row>
    <row r="449" spans="1:183" ht="12.75" customHeight="1" x14ac:dyDescent="0.2">
      <c r="A449" s="40"/>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183"/>
      <c r="AK449" s="183"/>
      <c r="AL449" s="183"/>
      <c r="AM449" s="183"/>
      <c r="AN449" s="183"/>
      <c r="AO449" s="183"/>
      <c r="AP449" s="183"/>
      <c r="AQ449" s="183"/>
      <c r="AR449" s="183"/>
      <c r="AS449" s="183"/>
      <c r="AT449" s="183"/>
      <c r="AU449" s="183"/>
      <c r="AV449" s="183"/>
      <c r="AW449" s="183"/>
      <c r="AX449" s="183"/>
      <c r="AY449" s="183"/>
      <c r="AZ449" s="183"/>
      <c r="BA449" s="183"/>
      <c r="BB449" s="183"/>
      <c r="BC449" s="183"/>
      <c r="BD449" s="183"/>
      <c r="BE449" s="183"/>
      <c r="BF449" s="183"/>
      <c r="BG449" s="183"/>
      <c r="BH449" s="183"/>
      <c r="BI449" s="183"/>
      <c r="BJ449" s="183"/>
      <c r="BK449" s="183"/>
      <c r="BL449" s="183"/>
      <c r="BM449" s="183"/>
      <c r="BN449" s="183"/>
      <c r="BO449" s="183"/>
      <c r="BP449" s="183"/>
      <c r="BQ449" s="183"/>
      <c r="BR449" s="183"/>
      <c r="BS449" s="183"/>
      <c r="BT449" s="183"/>
      <c r="BU449" s="183"/>
      <c r="BV449" s="183"/>
      <c r="BW449" s="183"/>
      <c r="BX449" s="183"/>
      <c r="BY449" s="183"/>
      <c r="BZ449" s="183"/>
      <c r="CA449" s="183"/>
      <c r="CB449" s="183"/>
      <c r="CC449" s="183"/>
      <c r="CD449" s="183"/>
      <c r="CE449" s="183"/>
      <c r="CF449" s="183"/>
      <c r="CG449" s="183"/>
      <c r="CH449" s="183"/>
      <c r="CI449" s="183"/>
      <c r="CJ449" s="183"/>
      <c r="CK449" s="183"/>
      <c r="CL449" s="183"/>
      <c r="CM449" s="183"/>
      <c r="CN449" s="183"/>
      <c r="CO449" s="183"/>
      <c r="CP449" s="183"/>
      <c r="CQ449" s="183"/>
      <c r="CR449" s="183"/>
      <c r="CS449" s="183"/>
      <c r="CT449" s="40"/>
      <c r="CU449" s="183"/>
      <c r="CV449" s="183"/>
      <c r="CW449" s="183"/>
      <c r="DQ449" s="40"/>
      <c r="DR449" s="40"/>
      <c r="DS449" s="40"/>
      <c r="DT449" s="40"/>
      <c r="DU449" s="40"/>
      <c r="DV449" s="40"/>
      <c r="DW449" s="40"/>
      <c r="DX449" s="40"/>
      <c r="DY449" s="40"/>
      <c r="DZ449" s="40"/>
      <c r="EA449" s="40"/>
      <c r="EB449" s="526"/>
      <c r="EC449" s="526"/>
      <c r="ED449" s="526"/>
      <c r="EE449" s="526"/>
      <c r="EF449" s="526"/>
      <c r="EG449" s="526"/>
      <c r="EH449" s="526"/>
      <c r="EI449" s="526"/>
      <c r="EJ449" s="526"/>
      <c r="EK449" s="526"/>
      <c r="EL449" s="526"/>
      <c r="EM449" s="526"/>
      <c r="EN449" s="526"/>
      <c r="EO449" s="526"/>
      <c r="EP449" s="526"/>
      <c r="EQ449" s="526"/>
      <c r="ER449" s="526"/>
      <c r="ES449" s="526"/>
      <c r="ET449" s="526"/>
      <c r="EU449" s="526"/>
      <c r="EV449" s="526"/>
      <c r="EW449" s="526"/>
      <c r="EX449" s="526"/>
      <c r="EY449" s="526"/>
      <c r="EZ449" s="526"/>
      <c r="FA449" s="526"/>
      <c r="FB449" s="526"/>
      <c r="FC449" s="526"/>
      <c r="FD449" s="526"/>
      <c r="FE449" s="526"/>
      <c r="FF449" s="40"/>
      <c r="FG449" s="190"/>
      <c r="FH449" s="237"/>
      <c r="FI449" s="40"/>
      <c r="FL449" s="406"/>
      <c r="FM449" s="406"/>
      <c r="FN449" s="368"/>
      <c r="FO449" s="368"/>
      <c r="FP449" s="368"/>
      <c r="FQ449" s="368"/>
      <c r="FR449" s="368"/>
      <c r="FS449" s="368"/>
      <c r="FT449" s="190"/>
      <c r="GA449" s="241"/>
    </row>
    <row r="450" spans="1:183" ht="12.75" customHeight="1" x14ac:dyDescent="0.2">
      <c r="A450" s="40"/>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183"/>
      <c r="AK450" s="183"/>
      <c r="AL450" s="183"/>
      <c r="AM450" s="183"/>
      <c r="AN450" s="183"/>
      <c r="AO450" s="183"/>
      <c r="AP450" s="183"/>
      <c r="AQ450" s="183"/>
      <c r="AR450" s="183"/>
      <c r="AS450" s="183"/>
      <c r="AT450" s="183"/>
      <c r="AU450" s="183"/>
      <c r="AV450" s="183"/>
      <c r="AW450" s="183"/>
      <c r="AX450" s="183"/>
      <c r="AY450" s="183"/>
      <c r="AZ450" s="183"/>
      <c r="BA450" s="183"/>
      <c r="BB450" s="183"/>
      <c r="BC450" s="183"/>
      <c r="BD450" s="183"/>
      <c r="BE450" s="183"/>
      <c r="BF450" s="183"/>
      <c r="BG450" s="183"/>
      <c r="BH450" s="183"/>
      <c r="BI450" s="183"/>
      <c r="BJ450" s="183"/>
      <c r="BK450" s="183"/>
      <c r="BL450" s="183"/>
      <c r="BM450" s="183"/>
      <c r="BN450" s="183"/>
      <c r="BO450" s="183"/>
      <c r="BP450" s="183"/>
      <c r="BQ450" s="183"/>
      <c r="BR450" s="183"/>
      <c r="BS450" s="183"/>
      <c r="BT450" s="183"/>
      <c r="BU450" s="183"/>
      <c r="BV450" s="183"/>
      <c r="BW450" s="183"/>
      <c r="BX450" s="183"/>
      <c r="BY450" s="183"/>
      <c r="BZ450" s="183"/>
      <c r="CA450" s="183"/>
      <c r="CB450" s="183"/>
      <c r="CC450" s="183"/>
      <c r="CD450" s="183"/>
      <c r="CE450" s="183"/>
      <c r="CF450" s="183"/>
      <c r="CG450" s="183"/>
      <c r="CH450" s="183"/>
      <c r="CI450" s="183"/>
      <c r="CJ450" s="183"/>
      <c r="CK450" s="183"/>
      <c r="CL450" s="183"/>
      <c r="CM450" s="183"/>
      <c r="CN450" s="183"/>
      <c r="CO450" s="183"/>
      <c r="CP450" s="183"/>
      <c r="CQ450" s="183"/>
      <c r="CR450" s="183"/>
      <c r="CS450" s="183"/>
      <c r="CT450" s="40"/>
      <c r="CU450" s="183"/>
      <c r="CV450" s="183"/>
      <c r="CW450" s="183"/>
      <c r="DQ450" s="40"/>
      <c r="DR450" s="40"/>
      <c r="DS450" s="40"/>
      <c r="DT450" s="40"/>
      <c r="DU450" s="40"/>
      <c r="DV450" s="40"/>
      <c r="DW450" s="40"/>
      <c r="DX450" s="40"/>
      <c r="DY450" s="40"/>
      <c r="DZ450" s="40"/>
      <c r="EA450" s="40"/>
      <c r="EB450" s="526"/>
      <c r="EC450" s="526"/>
      <c r="ED450" s="526"/>
      <c r="EE450" s="526"/>
      <c r="EF450" s="526"/>
      <c r="EG450" s="526"/>
      <c r="EH450" s="526"/>
      <c r="EI450" s="526"/>
      <c r="EJ450" s="526"/>
      <c r="EK450" s="526"/>
      <c r="EL450" s="526"/>
      <c r="EM450" s="526"/>
      <c r="EN450" s="526"/>
      <c r="EO450" s="526"/>
      <c r="EP450" s="526"/>
      <c r="EQ450" s="526"/>
      <c r="ER450" s="526"/>
      <c r="ES450" s="526"/>
      <c r="ET450" s="526"/>
      <c r="EU450" s="526"/>
      <c r="EV450" s="526"/>
      <c r="EW450" s="526"/>
      <c r="EX450" s="526"/>
      <c r="EY450" s="526"/>
      <c r="EZ450" s="526"/>
      <c r="FA450" s="526"/>
      <c r="FB450" s="526"/>
      <c r="FC450" s="526"/>
      <c r="FD450" s="526"/>
      <c r="FE450" s="526"/>
      <c r="FF450" s="40"/>
      <c r="FG450" s="190"/>
      <c r="FH450" s="237"/>
      <c r="FI450" s="40"/>
      <c r="FL450" s="406"/>
      <c r="FM450" s="406"/>
      <c r="FN450" s="368"/>
      <c r="FO450" s="368"/>
      <c r="FP450" s="368"/>
      <c r="FQ450" s="368"/>
      <c r="FR450" s="368"/>
      <c r="FS450" s="368"/>
      <c r="FT450" s="190"/>
      <c r="GA450" s="241"/>
    </row>
    <row r="451" spans="1:183" ht="12.75" customHeight="1" x14ac:dyDescent="0.2">
      <c r="A451" s="40"/>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183"/>
      <c r="AK451" s="183"/>
      <c r="AL451" s="183"/>
      <c r="AM451" s="183"/>
      <c r="AN451" s="183"/>
      <c r="AO451" s="183"/>
      <c r="AP451" s="183"/>
      <c r="AQ451" s="183"/>
      <c r="AR451" s="183"/>
      <c r="AS451" s="183"/>
      <c r="AT451" s="183"/>
      <c r="AU451" s="183"/>
      <c r="AV451" s="183"/>
      <c r="AW451" s="183"/>
      <c r="AX451" s="183"/>
      <c r="AY451" s="183"/>
      <c r="AZ451" s="183"/>
      <c r="BA451" s="183"/>
      <c r="BB451" s="183"/>
      <c r="BC451" s="183"/>
      <c r="BD451" s="183"/>
      <c r="BE451" s="183"/>
      <c r="BF451" s="183"/>
      <c r="BG451" s="183"/>
      <c r="BH451" s="183"/>
      <c r="BI451" s="183"/>
      <c r="BJ451" s="183"/>
      <c r="BK451" s="183"/>
      <c r="BL451" s="183"/>
      <c r="BM451" s="183"/>
      <c r="BN451" s="183"/>
      <c r="BO451" s="183"/>
      <c r="BP451" s="183"/>
      <c r="BQ451" s="183"/>
      <c r="BR451" s="183"/>
      <c r="BS451" s="183"/>
      <c r="BT451" s="183"/>
      <c r="BU451" s="183"/>
      <c r="BV451" s="183"/>
      <c r="BW451" s="183"/>
      <c r="BX451" s="183"/>
      <c r="BY451" s="183"/>
      <c r="BZ451" s="183"/>
      <c r="CA451" s="183"/>
      <c r="CB451" s="183"/>
      <c r="CC451" s="183"/>
      <c r="CD451" s="183"/>
      <c r="CE451" s="183"/>
      <c r="CF451" s="183"/>
      <c r="CG451" s="183"/>
      <c r="CH451" s="183"/>
      <c r="CI451" s="183"/>
      <c r="CJ451" s="183"/>
      <c r="CK451" s="183"/>
      <c r="CL451" s="183"/>
      <c r="CM451" s="183"/>
      <c r="CN451" s="183"/>
      <c r="CO451" s="183"/>
      <c r="CP451" s="183"/>
      <c r="CQ451" s="183"/>
      <c r="CR451" s="183"/>
      <c r="CS451" s="183"/>
      <c r="CT451" s="40"/>
      <c r="CU451" s="183"/>
      <c r="CV451" s="183"/>
      <c r="CW451" s="183"/>
      <c r="DQ451" s="40"/>
      <c r="DR451" s="40"/>
      <c r="DS451" s="40"/>
      <c r="DT451" s="40"/>
      <c r="DU451" s="40"/>
      <c r="DV451" s="40"/>
      <c r="DW451" s="40"/>
      <c r="DX451" s="40"/>
      <c r="DY451" s="40"/>
      <c r="DZ451" s="40"/>
      <c r="EA451" s="40"/>
      <c r="EB451" s="526"/>
      <c r="EC451" s="526"/>
      <c r="ED451" s="526"/>
      <c r="EE451" s="526"/>
      <c r="EF451" s="526"/>
      <c r="EG451" s="526"/>
      <c r="EH451" s="526"/>
      <c r="EI451" s="526"/>
      <c r="EJ451" s="526"/>
      <c r="EK451" s="526"/>
      <c r="EL451" s="526"/>
      <c r="EM451" s="526"/>
      <c r="EN451" s="526"/>
      <c r="EO451" s="526"/>
      <c r="EP451" s="526"/>
      <c r="EQ451" s="526"/>
      <c r="ER451" s="526"/>
      <c r="ES451" s="526"/>
      <c r="ET451" s="526"/>
      <c r="EU451" s="526"/>
      <c r="EV451" s="526"/>
      <c r="EW451" s="526"/>
      <c r="EX451" s="526"/>
      <c r="EY451" s="526"/>
      <c r="EZ451" s="526"/>
      <c r="FA451" s="526"/>
      <c r="FB451" s="526"/>
      <c r="FC451" s="526"/>
      <c r="FD451" s="526"/>
      <c r="FE451" s="526"/>
      <c r="FF451" s="40"/>
      <c r="FG451" s="190"/>
      <c r="FH451" s="237"/>
      <c r="FI451" s="40"/>
      <c r="FL451" s="406"/>
      <c r="FM451" s="406"/>
      <c r="FN451" s="368"/>
      <c r="FO451" s="368"/>
      <c r="FP451" s="368"/>
      <c r="FQ451" s="368"/>
      <c r="FR451" s="368"/>
      <c r="FS451" s="368"/>
      <c r="FT451" s="190"/>
      <c r="GA451" s="241"/>
    </row>
    <row r="452" spans="1:183" ht="12.75" customHeight="1" x14ac:dyDescent="0.2">
      <c r="A452" s="40"/>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183"/>
      <c r="AP452" s="183"/>
      <c r="AQ452" s="183"/>
      <c r="AR452" s="183"/>
      <c r="AS452" s="183"/>
      <c r="AT452" s="183"/>
      <c r="AU452" s="183"/>
      <c r="AV452" s="183"/>
      <c r="AW452" s="183"/>
      <c r="AX452" s="183"/>
      <c r="AY452" s="183"/>
      <c r="AZ452" s="183"/>
      <c r="BA452" s="183"/>
      <c r="BB452" s="183"/>
      <c r="BC452" s="183"/>
      <c r="BD452" s="183"/>
      <c r="BE452" s="183"/>
      <c r="BF452" s="183"/>
      <c r="BG452" s="183"/>
      <c r="BH452" s="183"/>
      <c r="BI452" s="183"/>
      <c r="BJ452" s="183"/>
      <c r="BK452" s="183"/>
      <c r="BL452" s="183"/>
      <c r="BM452" s="183"/>
      <c r="BN452" s="183"/>
      <c r="BO452" s="183"/>
      <c r="BP452" s="183"/>
      <c r="BQ452" s="183"/>
      <c r="BR452" s="183"/>
      <c r="BS452" s="183"/>
      <c r="BT452" s="183"/>
      <c r="BU452" s="183"/>
      <c r="BV452" s="183"/>
      <c r="BW452" s="183"/>
      <c r="BX452" s="183"/>
      <c r="BY452" s="183"/>
      <c r="BZ452" s="183"/>
      <c r="CA452" s="183"/>
      <c r="CB452" s="183"/>
      <c r="CC452" s="183"/>
      <c r="CD452" s="183"/>
      <c r="CE452" s="183"/>
      <c r="CF452" s="183"/>
      <c r="CG452" s="183"/>
      <c r="CH452" s="183"/>
      <c r="CI452" s="183"/>
      <c r="CJ452" s="183"/>
      <c r="CK452" s="183"/>
      <c r="CL452" s="183"/>
      <c r="CM452" s="183"/>
      <c r="CN452" s="183"/>
      <c r="CO452" s="183"/>
      <c r="CP452" s="183"/>
      <c r="CQ452" s="183"/>
      <c r="CR452" s="183"/>
      <c r="CS452" s="183"/>
      <c r="CT452" s="40"/>
      <c r="CU452" s="183"/>
      <c r="CV452" s="183"/>
      <c r="CW452" s="183"/>
      <c r="DQ452" s="40"/>
      <c r="DR452" s="40"/>
      <c r="DS452" s="40"/>
      <c r="DT452" s="40"/>
      <c r="DU452" s="40"/>
      <c r="DV452" s="40"/>
      <c r="DW452" s="40"/>
      <c r="DX452" s="40"/>
      <c r="DY452" s="40"/>
      <c r="DZ452" s="40"/>
      <c r="EA452" s="40"/>
      <c r="EB452" s="526"/>
      <c r="EC452" s="526"/>
      <c r="ED452" s="526"/>
      <c r="EE452" s="526"/>
      <c r="EF452" s="526"/>
      <c r="EG452" s="526"/>
      <c r="EH452" s="526"/>
      <c r="EI452" s="526"/>
      <c r="EJ452" s="526"/>
      <c r="EK452" s="526"/>
      <c r="EL452" s="526"/>
      <c r="EM452" s="526"/>
      <c r="EN452" s="526"/>
      <c r="EO452" s="526"/>
      <c r="EP452" s="526"/>
      <c r="EQ452" s="526"/>
      <c r="ER452" s="526"/>
      <c r="ES452" s="526"/>
      <c r="ET452" s="526"/>
      <c r="EU452" s="526"/>
      <c r="EV452" s="526"/>
      <c r="EW452" s="526"/>
      <c r="EX452" s="526"/>
      <c r="EY452" s="526"/>
      <c r="EZ452" s="526"/>
      <c r="FA452" s="526"/>
      <c r="FB452" s="526"/>
      <c r="FC452" s="526"/>
      <c r="FD452" s="526"/>
      <c r="FE452" s="526"/>
      <c r="FF452" s="40"/>
      <c r="FG452" s="190"/>
      <c r="FH452" s="237"/>
      <c r="FI452" s="40"/>
      <c r="FL452" s="406"/>
      <c r="FM452" s="406"/>
      <c r="FN452" s="368"/>
      <c r="FO452" s="368"/>
      <c r="FP452" s="368"/>
      <c r="FQ452" s="368"/>
      <c r="FR452" s="368"/>
      <c r="FS452" s="368"/>
      <c r="FT452" s="190"/>
      <c r="GA452" s="241"/>
    </row>
    <row r="453" spans="1:183" ht="12.75" customHeight="1" x14ac:dyDescent="0.2">
      <c r="A453" s="40"/>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183"/>
      <c r="AK453" s="183"/>
      <c r="AL453" s="183"/>
      <c r="AM453" s="183"/>
      <c r="AN453" s="183"/>
      <c r="AO453" s="183"/>
      <c r="AP453" s="183"/>
      <c r="AQ453" s="183"/>
      <c r="AR453" s="183"/>
      <c r="AS453" s="183"/>
      <c r="AT453" s="183"/>
      <c r="AU453" s="183"/>
      <c r="AV453" s="183"/>
      <c r="AW453" s="183"/>
      <c r="AX453" s="183"/>
      <c r="AY453" s="183"/>
      <c r="AZ453" s="183"/>
      <c r="BA453" s="183"/>
      <c r="BB453" s="183"/>
      <c r="BC453" s="183"/>
      <c r="BD453" s="183"/>
      <c r="BE453" s="183"/>
      <c r="BF453" s="183"/>
      <c r="BG453" s="183"/>
      <c r="BH453" s="183"/>
      <c r="BI453" s="183"/>
      <c r="BJ453" s="183"/>
      <c r="BK453" s="183"/>
      <c r="BL453" s="183"/>
      <c r="BM453" s="183"/>
      <c r="BN453" s="183"/>
      <c r="BO453" s="183"/>
      <c r="BP453" s="183"/>
      <c r="BQ453" s="183"/>
      <c r="BR453" s="183"/>
      <c r="BS453" s="183"/>
      <c r="BT453" s="183"/>
      <c r="BU453" s="183"/>
      <c r="BV453" s="183"/>
      <c r="BW453" s="183"/>
      <c r="BX453" s="183"/>
      <c r="BY453" s="183"/>
      <c r="BZ453" s="183"/>
      <c r="CA453" s="183"/>
      <c r="CB453" s="183"/>
      <c r="CC453" s="183"/>
      <c r="CD453" s="183"/>
      <c r="CE453" s="183"/>
      <c r="CF453" s="183"/>
      <c r="CG453" s="183"/>
      <c r="CH453" s="183"/>
      <c r="CI453" s="183"/>
      <c r="CJ453" s="183"/>
      <c r="CK453" s="183"/>
      <c r="CL453" s="183"/>
      <c r="CM453" s="183"/>
      <c r="CN453" s="183"/>
      <c r="CO453" s="183"/>
      <c r="CP453" s="183"/>
      <c r="CQ453" s="183"/>
      <c r="CR453" s="183"/>
      <c r="CS453" s="183"/>
      <c r="CT453" s="40"/>
      <c r="CU453" s="183"/>
      <c r="CV453" s="183"/>
      <c r="CW453" s="183"/>
      <c r="DQ453" s="40"/>
      <c r="DR453" s="40"/>
      <c r="DS453" s="40"/>
      <c r="DT453" s="40"/>
      <c r="DU453" s="40"/>
      <c r="DV453" s="40"/>
      <c r="DW453" s="40"/>
      <c r="DX453" s="40"/>
      <c r="DY453" s="40"/>
      <c r="DZ453" s="40"/>
      <c r="EA453" s="40"/>
      <c r="EB453" s="526"/>
      <c r="EC453" s="526"/>
      <c r="ED453" s="526"/>
      <c r="EE453" s="526"/>
      <c r="EF453" s="526"/>
      <c r="EG453" s="526"/>
      <c r="EH453" s="526"/>
      <c r="EI453" s="526"/>
      <c r="EJ453" s="526"/>
      <c r="EK453" s="526"/>
      <c r="EL453" s="526"/>
      <c r="EM453" s="526"/>
      <c r="EN453" s="526"/>
      <c r="EO453" s="526"/>
      <c r="EP453" s="526"/>
      <c r="EQ453" s="526"/>
      <c r="ER453" s="526"/>
      <c r="ES453" s="526"/>
      <c r="ET453" s="526"/>
      <c r="EU453" s="526"/>
      <c r="EV453" s="526"/>
      <c r="EW453" s="526"/>
      <c r="EX453" s="526"/>
      <c r="EY453" s="526"/>
      <c r="EZ453" s="526"/>
      <c r="FA453" s="526"/>
      <c r="FB453" s="526"/>
      <c r="FC453" s="526"/>
      <c r="FD453" s="526"/>
      <c r="FE453" s="526"/>
      <c r="FF453" s="40"/>
      <c r="FG453" s="190"/>
      <c r="FH453" s="237"/>
      <c r="FI453" s="40"/>
      <c r="FL453" s="406"/>
      <c r="FM453" s="406"/>
      <c r="FN453" s="368"/>
      <c r="FO453" s="368"/>
      <c r="FP453" s="368"/>
      <c r="FQ453" s="368"/>
      <c r="FR453" s="368"/>
      <c r="FS453" s="368"/>
      <c r="FT453" s="190"/>
      <c r="GA453" s="241"/>
    </row>
    <row r="454" spans="1:183" ht="12.75" customHeight="1" x14ac:dyDescent="0.2">
      <c r="A454" s="40"/>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183"/>
      <c r="AK454" s="183"/>
      <c r="AL454" s="183"/>
      <c r="AM454" s="183"/>
      <c r="AN454" s="183"/>
      <c r="AO454" s="183"/>
      <c r="AP454" s="183"/>
      <c r="AQ454" s="183"/>
      <c r="AR454" s="183"/>
      <c r="AS454" s="183"/>
      <c r="AT454" s="183"/>
      <c r="AU454" s="183"/>
      <c r="AV454" s="183"/>
      <c r="AW454" s="183"/>
      <c r="AX454" s="183"/>
      <c r="AY454" s="183"/>
      <c r="AZ454" s="183"/>
      <c r="BA454" s="183"/>
      <c r="BB454" s="183"/>
      <c r="BC454" s="183"/>
      <c r="BD454" s="183"/>
      <c r="BE454" s="183"/>
      <c r="BF454" s="183"/>
      <c r="BG454" s="183"/>
      <c r="BH454" s="183"/>
      <c r="BI454" s="183"/>
      <c r="BJ454" s="183"/>
      <c r="BK454" s="183"/>
      <c r="BL454" s="183"/>
      <c r="BM454" s="183"/>
      <c r="BN454" s="183"/>
      <c r="BO454" s="183"/>
      <c r="BP454" s="183"/>
      <c r="BQ454" s="183"/>
      <c r="BR454" s="183"/>
      <c r="BS454" s="183"/>
      <c r="BT454" s="183"/>
      <c r="BU454" s="183"/>
      <c r="BV454" s="183"/>
      <c r="BW454" s="183"/>
      <c r="BX454" s="183"/>
      <c r="BY454" s="183"/>
      <c r="BZ454" s="183"/>
      <c r="CA454" s="183"/>
      <c r="CB454" s="183"/>
      <c r="CC454" s="183"/>
      <c r="CD454" s="183"/>
      <c r="CE454" s="183"/>
      <c r="CF454" s="183"/>
      <c r="CG454" s="183"/>
      <c r="CH454" s="183"/>
      <c r="CI454" s="183"/>
      <c r="CJ454" s="183"/>
      <c r="CK454" s="183"/>
      <c r="CL454" s="183"/>
      <c r="CM454" s="183"/>
      <c r="CN454" s="183"/>
      <c r="CO454" s="183"/>
      <c r="CP454" s="183"/>
      <c r="CQ454" s="183"/>
      <c r="CR454" s="183"/>
      <c r="CS454" s="183"/>
      <c r="CT454" s="40"/>
      <c r="CU454" s="183"/>
      <c r="CV454" s="183"/>
      <c r="CW454" s="183"/>
      <c r="DQ454" s="40"/>
      <c r="DR454" s="40"/>
      <c r="DS454" s="40"/>
      <c r="DT454" s="40"/>
      <c r="DU454" s="40"/>
      <c r="DV454" s="40"/>
      <c r="DW454" s="40"/>
      <c r="DX454" s="40"/>
      <c r="DY454" s="40"/>
      <c r="DZ454" s="40"/>
      <c r="EA454" s="40"/>
      <c r="EB454" s="526"/>
      <c r="EC454" s="526"/>
      <c r="ED454" s="526"/>
      <c r="EE454" s="526"/>
      <c r="EF454" s="526"/>
      <c r="EG454" s="526"/>
      <c r="EH454" s="526"/>
      <c r="EI454" s="526"/>
      <c r="EJ454" s="526"/>
      <c r="EK454" s="526"/>
      <c r="EL454" s="526"/>
      <c r="EM454" s="526"/>
      <c r="EN454" s="526"/>
      <c r="EO454" s="526"/>
      <c r="EP454" s="526"/>
      <c r="EQ454" s="526"/>
      <c r="ER454" s="526"/>
      <c r="ES454" s="526"/>
      <c r="ET454" s="526"/>
      <c r="EU454" s="526"/>
      <c r="EV454" s="526"/>
      <c r="EW454" s="526"/>
      <c r="EX454" s="526"/>
      <c r="EY454" s="526"/>
      <c r="EZ454" s="526"/>
      <c r="FA454" s="526"/>
      <c r="FB454" s="526"/>
      <c r="FC454" s="526"/>
      <c r="FD454" s="526"/>
      <c r="FE454" s="526"/>
      <c r="FF454" s="40"/>
      <c r="FG454" s="190"/>
      <c r="FH454" s="237"/>
      <c r="FI454" s="40"/>
      <c r="FL454" s="406"/>
      <c r="FM454" s="406"/>
      <c r="FN454" s="368"/>
      <c r="FO454" s="368"/>
      <c r="FP454" s="368"/>
      <c r="FQ454" s="368"/>
      <c r="FR454" s="368"/>
      <c r="FS454" s="368"/>
      <c r="FT454" s="190"/>
      <c r="GA454" s="241"/>
    </row>
    <row r="455" spans="1:183" ht="12.75" customHeight="1" x14ac:dyDescent="0.2">
      <c r="A455" s="40"/>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183"/>
      <c r="AK455" s="183"/>
      <c r="AL455" s="183"/>
      <c r="AM455" s="183"/>
      <c r="AN455" s="183"/>
      <c r="AO455" s="183"/>
      <c r="AP455" s="183"/>
      <c r="AQ455" s="183"/>
      <c r="AR455" s="183"/>
      <c r="AS455" s="183"/>
      <c r="AT455" s="183"/>
      <c r="AU455" s="183"/>
      <c r="AV455" s="183"/>
      <c r="AW455" s="183"/>
      <c r="AX455" s="183"/>
      <c r="AY455" s="183"/>
      <c r="AZ455" s="183"/>
      <c r="BA455" s="183"/>
      <c r="BB455" s="183"/>
      <c r="BC455" s="183"/>
      <c r="BD455" s="183"/>
      <c r="BE455" s="183"/>
      <c r="BF455" s="183"/>
      <c r="BG455" s="183"/>
      <c r="BH455" s="183"/>
      <c r="BI455" s="183"/>
      <c r="BJ455" s="183"/>
      <c r="BK455" s="183"/>
      <c r="BL455" s="183"/>
      <c r="BM455" s="183"/>
      <c r="BN455" s="183"/>
      <c r="BO455" s="183"/>
      <c r="BP455" s="183"/>
      <c r="BQ455" s="183"/>
      <c r="BR455" s="183"/>
      <c r="BS455" s="183"/>
      <c r="BT455" s="183"/>
      <c r="BU455" s="183"/>
      <c r="BV455" s="183"/>
      <c r="BW455" s="183"/>
      <c r="BX455" s="183"/>
      <c r="BY455" s="183"/>
      <c r="BZ455" s="183"/>
      <c r="CA455" s="183"/>
      <c r="CB455" s="183"/>
      <c r="CC455" s="183"/>
      <c r="CD455" s="183"/>
      <c r="CE455" s="183"/>
      <c r="CF455" s="183"/>
      <c r="CG455" s="183"/>
      <c r="CH455" s="183"/>
      <c r="CI455" s="183"/>
      <c r="CJ455" s="183"/>
      <c r="CK455" s="183"/>
      <c r="CL455" s="183"/>
      <c r="CM455" s="183"/>
      <c r="CN455" s="183"/>
      <c r="CO455" s="183"/>
      <c r="CP455" s="183"/>
      <c r="CQ455" s="183"/>
      <c r="CR455" s="183"/>
      <c r="CS455" s="183"/>
      <c r="CT455" s="40"/>
      <c r="CU455" s="183"/>
      <c r="CV455" s="183"/>
      <c r="CW455" s="183"/>
      <c r="DQ455" s="40"/>
      <c r="DR455" s="40"/>
      <c r="DS455" s="40"/>
      <c r="DT455" s="40"/>
      <c r="DU455" s="40"/>
      <c r="DV455" s="40"/>
      <c r="DW455" s="40"/>
      <c r="DX455" s="40"/>
      <c r="DY455" s="40"/>
      <c r="DZ455" s="40"/>
      <c r="EA455" s="40"/>
      <c r="EB455" s="526"/>
      <c r="EC455" s="526"/>
      <c r="ED455" s="526"/>
      <c r="EE455" s="526"/>
      <c r="EF455" s="526"/>
      <c r="EG455" s="526"/>
      <c r="EH455" s="526"/>
      <c r="EI455" s="526"/>
      <c r="EJ455" s="526"/>
      <c r="EK455" s="526"/>
      <c r="EL455" s="526"/>
      <c r="EM455" s="526"/>
      <c r="EN455" s="526"/>
      <c r="EO455" s="526"/>
      <c r="EP455" s="526"/>
      <c r="EQ455" s="526"/>
      <c r="ER455" s="526"/>
      <c r="ES455" s="526"/>
      <c r="ET455" s="526"/>
      <c r="EU455" s="526"/>
      <c r="EV455" s="526"/>
      <c r="EW455" s="526"/>
      <c r="EX455" s="526"/>
      <c r="EY455" s="526"/>
      <c r="EZ455" s="526"/>
      <c r="FA455" s="526"/>
      <c r="FB455" s="526"/>
      <c r="FC455" s="526"/>
      <c r="FD455" s="526"/>
      <c r="FE455" s="526"/>
      <c r="FF455" s="40"/>
      <c r="FG455" s="190"/>
      <c r="FH455" s="237"/>
      <c r="FI455" s="40"/>
      <c r="FL455" s="406"/>
      <c r="FM455" s="406"/>
      <c r="FN455" s="368"/>
      <c r="FO455" s="368"/>
      <c r="FP455" s="368"/>
      <c r="FQ455" s="368"/>
      <c r="FR455" s="368"/>
      <c r="FS455" s="368"/>
      <c r="FT455" s="190"/>
      <c r="GA455" s="241"/>
    </row>
    <row r="456" spans="1:183" ht="12.75" customHeight="1" x14ac:dyDescent="0.2">
      <c r="A456" s="40"/>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183"/>
      <c r="AK456" s="183"/>
      <c r="AL456" s="183"/>
      <c r="AM456" s="183"/>
      <c r="AN456" s="183"/>
      <c r="AO456" s="183"/>
      <c r="AP456" s="183"/>
      <c r="AQ456" s="183"/>
      <c r="AR456" s="183"/>
      <c r="AS456" s="183"/>
      <c r="AT456" s="183"/>
      <c r="AU456" s="183"/>
      <c r="AV456" s="183"/>
      <c r="AW456" s="183"/>
      <c r="AX456" s="183"/>
      <c r="AY456" s="183"/>
      <c r="AZ456" s="183"/>
      <c r="BA456" s="183"/>
      <c r="BB456" s="183"/>
      <c r="BC456" s="183"/>
      <c r="BD456" s="183"/>
      <c r="BE456" s="183"/>
      <c r="BF456" s="183"/>
      <c r="BG456" s="183"/>
      <c r="BH456" s="183"/>
      <c r="BI456" s="183"/>
      <c r="BJ456" s="183"/>
      <c r="BK456" s="183"/>
      <c r="BL456" s="183"/>
      <c r="BM456" s="183"/>
      <c r="BN456" s="183"/>
      <c r="BO456" s="183"/>
      <c r="BP456" s="183"/>
      <c r="BQ456" s="183"/>
      <c r="BR456" s="183"/>
      <c r="BS456" s="183"/>
      <c r="BT456" s="183"/>
      <c r="BU456" s="183"/>
      <c r="BV456" s="183"/>
      <c r="BW456" s="183"/>
      <c r="BX456" s="183"/>
      <c r="BY456" s="183"/>
      <c r="BZ456" s="183"/>
      <c r="CA456" s="183"/>
      <c r="CB456" s="183"/>
      <c r="CC456" s="183"/>
      <c r="CD456" s="183"/>
      <c r="CE456" s="183"/>
      <c r="CF456" s="183"/>
      <c r="CG456" s="183"/>
      <c r="CH456" s="183"/>
      <c r="CI456" s="183"/>
      <c r="CJ456" s="183"/>
      <c r="CK456" s="183"/>
      <c r="CL456" s="183"/>
      <c r="CM456" s="183"/>
      <c r="CN456" s="183"/>
      <c r="CO456" s="183"/>
      <c r="CP456" s="183"/>
      <c r="CQ456" s="183"/>
      <c r="CR456" s="183"/>
      <c r="CS456" s="183"/>
      <c r="CT456" s="40"/>
      <c r="CU456" s="183"/>
      <c r="CV456" s="183"/>
      <c r="CW456" s="183"/>
      <c r="DQ456" s="40"/>
      <c r="DR456" s="40"/>
      <c r="DS456" s="40"/>
      <c r="DT456" s="40"/>
      <c r="DU456" s="40"/>
      <c r="DV456" s="40"/>
      <c r="DW456" s="40"/>
      <c r="DX456" s="40"/>
      <c r="DY456" s="40"/>
      <c r="DZ456" s="40"/>
      <c r="EA456" s="40"/>
      <c r="EB456" s="526"/>
      <c r="EC456" s="526"/>
      <c r="ED456" s="526"/>
      <c r="EE456" s="526"/>
      <c r="EF456" s="526"/>
      <c r="EG456" s="526"/>
      <c r="EH456" s="526"/>
      <c r="EI456" s="526"/>
      <c r="EJ456" s="526"/>
      <c r="EK456" s="526"/>
      <c r="EL456" s="526"/>
      <c r="EM456" s="526"/>
      <c r="EN456" s="526"/>
      <c r="EO456" s="526"/>
      <c r="EP456" s="526"/>
      <c r="EQ456" s="526"/>
      <c r="ER456" s="526"/>
      <c r="ES456" s="526"/>
      <c r="ET456" s="526"/>
      <c r="EU456" s="526"/>
      <c r="EV456" s="526"/>
      <c r="EW456" s="526"/>
      <c r="EX456" s="526"/>
      <c r="EY456" s="526"/>
      <c r="EZ456" s="526"/>
      <c r="FA456" s="526"/>
      <c r="FB456" s="526"/>
      <c r="FC456" s="526"/>
      <c r="FD456" s="526"/>
      <c r="FE456" s="526"/>
      <c r="FF456" s="40"/>
      <c r="FG456" s="190"/>
      <c r="FH456" s="237"/>
      <c r="FI456" s="40"/>
      <c r="FL456" s="406"/>
      <c r="FM456" s="406"/>
      <c r="FN456" s="368"/>
      <c r="FO456" s="368"/>
      <c r="FP456" s="368"/>
      <c r="FQ456" s="368"/>
      <c r="FR456" s="368"/>
      <c r="FS456" s="368"/>
      <c r="FT456" s="190"/>
      <c r="GA456" s="241"/>
    </row>
    <row r="457" spans="1:183" ht="12.75" customHeight="1" x14ac:dyDescent="0.2">
      <c r="A457" s="40"/>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183"/>
      <c r="AK457" s="183"/>
      <c r="AL457" s="183"/>
      <c r="AM457" s="183"/>
      <c r="AN457" s="183"/>
      <c r="AO457" s="183"/>
      <c r="AP457" s="183"/>
      <c r="AQ457" s="183"/>
      <c r="AR457" s="183"/>
      <c r="AS457" s="183"/>
      <c r="AT457" s="183"/>
      <c r="AU457" s="183"/>
      <c r="AV457" s="183"/>
      <c r="AW457" s="183"/>
      <c r="AX457" s="183"/>
      <c r="AY457" s="183"/>
      <c r="AZ457" s="183"/>
      <c r="BA457" s="183"/>
      <c r="BB457" s="183"/>
      <c r="BC457" s="183"/>
      <c r="BD457" s="183"/>
      <c r="BE457" s="183"/>
      <c r="BF457" s="183"/>
      <c r="BG457" s="183"/>
      <c r="BH457" s="183"/>
      <c r="BI457" s="183"/>
      <c r="BJ457" s="183"/>
      <c r="BK457" s="183"/>
      <c r="BL457" s="183"/>
      <c r="BM457" s="183"/>
      <c r="BN457" s="183"/>
      <c r="BO457" s="183"/>
      <c r="BP457" s="183"/>
      <c r="BQ457" s="183"/>
      <c r="BR457" s="183"/>
      <c r="BS457" s="183"/>
      <c r="BT457" s="183"/>
      <c r="BU457" s="183"/>
      <c r="BV457" s="183"/>
      <c r="BW457" s="183"/>
      <c r="BX457" s="183"/>
      <c r="BY457" s="183"/>
      <c r="BZ457" s="183"/>
      <c r="CA457" s="183"/>
      <c r="CB457" s="183"/>
      <c r="CC457" s="183"/>
      <c r="CD457" s="183"/>
      <c r="CE457" s="183"/>
      <c r="CF457" s="183"/>
      <c r="CG457" s="183"/>
      <c r="CH457" s="183"/>
      <c r="CI457" s="183"/>
      <c r="CJ457" s="183"/>
      <c r="CK457" s="183"/>
      <c r="CL457" s="183"/>
      <c r="CM457" s="183"/>
      <c r="CN457" s="183"/>
      <c r="CO457" s="183"/>
      <c r="CP457" s="183"/>
      <c r="CQ457" s="183"/>
      <c r="CR457" s="183"/>
      <c r="CS457" s="183"/>
      <c r="CT457" s="40"/>
      <c r="CU457" s="183"/>
      <c r="CV457" s="183"/>
      <c r="CW457" s="183"/>
      <c r="DQ457" s="40"/>
      <c r="DR457" s="40"/>
      <c r="DS457" s="40"/>
      <c r="DT457" s="40"/>
      <c r="DU457" s="40"/>
      <c r="DV457" s="40"/>
      <c r="DW457" s="40"/>
      <c r="DX457" s="40"/>
      <c r="DY457" s="40"/>
      <c r="DZ457" s="40"/>
      <c r="EA457" s="40"/>
      <c r="EB457" s="526"/>
      <c r="EC457" s="526"/>
      <c r="ED457" s="526"/>
      <c r="EE457" s="526"/>
      <c r="EF457" s="526"/>
      <c r="EG457" s="526"/>
      <c r="EH457" s="526"/>
      <c r="EI457" s="526"/>
      <c r="EJ457" s="526"/>
      <c r="EK457" s="526"/>
      <c r="EL457" s="526"/>
      <c r="EM457" s="526"/>
      <c r="EN457" s="526"/>
      <c r="EO457" s="526"/>
      <c r="EP457" s="526"/>
      <c r="EQ457" s="526"/>
      <c r="ER457" s="526"/>
      <c r="ES457" s="526"/>
      <c r="ET457" s="526"/>
      <c r="EU457" s="526"/>
      <c r="EV457" s="526"/>
      <c r="EW457" s="526"/>
      <c r="EX457" s="526"/>
      <c r="EY457" s="526"/>
      <c r="EZ457" s="526"/>
      <c r="FA457" s="526"/>
      <c r="FB457" s="526"/>
      <c r="FC457" s="526"/>
      <c r="FD457" s="526"/>
      <c r="FE457" s="526"/>
      <c r="FF457" s="40"/>
      <c r="FG457" s="190"/>
      <c r="FH457" s="237"/>
      <c r="FI457" s="40"/>
      <c r="FL457" s="406"/>
      <c r="FM457" s="406"/>
      <c r="FN457" s="368"/>
      <c r="FO457" s="368"/>
      <c r="FP457" s="368"/>
      <c r="FQ457" s="368"/>
      <c r="FR457" s="368"/>
      <c r="FS457" s="368"/>
      <c r="FT457" s="190"/>
      <c r="GA457" s="241"/>
    </row>
    <row r="458" spans="1:183" ht="12.75" customHeight="1" x14ac:dyDescent="0.2">
      <c r="A458" s="40"/>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183"/>
      <c r="AK458" s="183"/>
      <c r="AL458" s="183"/>
      <c r="AM458" s="183"/>
      <c r="AN458" s="183"/>
      <c r="AO458" s="183"/>
      <c r="AP458" s="183"/>
      <c r="AQ458" s="183"/>
      <c r="AR458" s="183"/>
      <c r="AS458" s="183"/>
      <c r="AT458" s="183"/>
      <c r="AU458" s="183"/>
      <c r="AV458" s="183"/>
      <c r="AW458" s="183"/>
      <c r="AX458" s="183"/>
      <c r="AY458" s="183"/>
      <c r="AZ458" s="183"/>
      <c r="BA458" s="183"/>
      <c r="BB458" s="183"/>
      <c r="BC458" s="183"/>
      <c r="BD458" s="183"/>
      <c r="BE458" s="183"/>
      <c r="BF458" s="183"/>
      <c r="BG458" s="183"/>
      <c r="BH458" s="183"/>
      <c r="BI458" s="183"/>
      <c r="BJ458" s="183"/>
      <c r="BK458" s="183"/>
      <c r="BL458" s="183"/>
      <c r="BM458" s="183"/>
      <c r="BN458" s="183"/>
      <c r="BO458" s="183"/>
      <c r="BP458" s="183"/>
      <c r="BQ458" s="183"/>
      <c r="BR458" s="183"/>
      <c r="BS458" s="183"/>
      <c r="BT458" s="183"/>
      <c r="BU458" s="183"/>
      <c r="BV458" s="183"/>
      <c r="BW458" s="183"/>
      <c r="BX458" s="183"/>
      <c r="BY458" s="183"/>
      <c r="BZ458" s="183"/>
      <c r="CA458" s="183"/>
      <c r="CB458" s="183"/>
      <c r="CC458" s="183"/>
      <c r="CD458" s="183"/>
      <c r="CE458" s="183"/>
      <c r="CF458" s="183"/>
      <c r="CG458" s="183"/>
      <c r="CH458" s="183"/>
      <c r="CI458" s="183"/>
      <c r="CJ458" s="183"/>
      <c r="CK458" s="183"/>
      <c r="CL458" s="183"/>
      <c r="CM458" s="183"/>
      <c r="CN458" s="183"/>
      <c r="CO458" s="183"/>
      <c r="CP458" s="183"/>
      <c r="CQ458" s="183"/>
      <c r="CR458" s="183"/>
      <c r="CS458" s="183"/>
      <c r="CT458" s="40"/>
      <c r="CU458" s="183"/>
      <c r="CV458" s="183"/>
      <c r="CW458" s="183"/>
      <c r="DQ458" s="40"/>
      <c r="DR458" s="40"/>
      <c r="DS458" s="40"/>
      <c r="DT458" s="40"/>
      <c r="DU458" s="40"/>
      <c r="DV458" s="40"/>
      <c r="DW458" s="40"/>
      <c r="DX458" s="40"/>
      <c r="DY458" s="40"/>
      <c r="DZ458" s="40"/>
      <c r="EA458" s="40"/>
      <c r="EB458" s="526"/>
      <c r="EC458" s="526"/>
      <c r="ED458" s="526"/>
      <c r="EE458" s="526"/>
      <c r="EF458" s="526"/>
      <c r="EG458" s="526"/>
      <c r="EH458" s="526"/>
      <c r="EI458" s="526"/>
      <c r="EJ458" s="526"/>
      <c r="EK458" s="526"/>
      <c r="EL458" s="526"/>
      <c r="EM458" s="526"/>
      <c r="EN458" s="526"/>
      <c r="EO458" s="526"/>
      <c r="EP458" s="526"/>
      <c r="EQ458" s="526"/>
      <c r="ER458" s="526"/>
      <c r="ES458" s="526"/>
      <c r="ET458" s="526"/>
      <c r="EU458" s="526"/>
      <c r="EV458" s="526"/>
      <c r="EW458" s="526"/>
      <c r="EX458" s="526"/>
      <c r="EY458" s="526"/>
      <c r="EZ458" s="526"/>
      <c r="FA458" s="526"/>
      <c r="FB458" s="526"/>
      <c r="FC458" s="526"/>
      <c r="FD458" s="526"/>
      <c r="FE458" s="526"/>
      <c r="FF458" s="40"/>
      <c r="FG458" s="190"/>
      <c r="FH458" s="237"/>
      <c r="FI458" s="40"/>
      <c r="FL458" s="406"/>
      <c r="FM458" s="406"/>
      <c r="FN458" s="368"/>
      <c r="FO458" s="368"/>
      <c r="FP458" s="368"/>
      <c r="FQ458" s="368"/>
      <c r="FR458" s="368"/>
      <c r="FS458" s="368"/>
      <c r="FT458" s="190"/>
      <c r="GA458" s="241"/>
    </row>
    <row r="459" spans="1:183" ht="12.75" customHeight="1" x14ac:dyDescent="0.2">
      <c r="A459" s="40"/>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183"/>
      <c r="AK459" s="183"/>
      <c r="AL459" s="183"/>
      <c r="AM459" s="183"/>
      <c r="AN459" s="183"/>
      <c r="AO459" s="183"/>
      <c r="AP459" s="183"/>
      <c r="AQ459" s="183"/>
      <c r="AR459" s="183"/>
      <c r="AS459" s="183"/>
      <c r="AT459" s="183"/>
      <c r="AU459" s="183"/>
      <c r="AV459" s="183"/>
      <c r="AW459" s="183"/>
      <c r="AX459" s="183"/>
      <c r="AY459" s="183"/>
      <c r="AZ459" s="183"/>
      <c r="BA459" s="183"/>
      <c r="BB459" s="183"/>
      <c r="BC459" s="183"/>
      <c r="BD459" s="183"/>
      <c r="BE459" s="183"/>
      <c r="BF459" s="183"/>
      <c r="BG459" s="183"/>
      <c r="BH459" s="183"/>
      <c r="BI459" s="183"/>
      <c r="BJ459" s="183"/>
      <c r="BK459" s="183"/>
      <c r="BL459" s="183"/>
      <c r="BM459" s="183"/>
      <c r="BN459" s="183"/>
      <c r="BO459" s="183"/>
      <c r="BP459" s="183"/>
      <c r="BQ459" s="183"/>
      <c r="BR459" s="183"/>
      <c r="BS459" s="183"/>
      <c r="BT459" s="183"/>
      <c r="BU459" s="183"/>
      <c r="BV459" s="183"/>
      <c r="BW459" s="183"/>
      <c r="BX459" s="183"/>
      <c r="BY459" s="183"/>
      <c r="BZ459" s="183"/>
      <c r="CA459" s="183"/>
      <c r="CB459" s="183"/>
      <c r="CC459" s="183"/>
      <c r="CD459" s="183"/>
      <c r="CE459" s="183"/>
      <c r="CF459" s="183"/>
      <c r="CG459" s="183"/>
      <c r="CH459" s="183"/>
      <c r="CI459" s="183"/>
      <c r="CJ459" s="183"/>
      <c r="CK459" s="183"/>
      <c r="CL459" s="183"/>
      <c r="CM459" s="183"/>
      <c r="CN459" s="183"/>
      <c r="CO459" s="183"/>
      <c r="CP459" s="183"/>
      <c r="CQ459" s="183"/>
      <c r="CR459" s="183"/>
      <c r="CS459" s="183"/>
      <c r="CT459" s="40"/>
      <c r="CU459" s="183"/>
      <c r="CV459" s="183"/>
      <c r="CW459" s="183"/>
      <c r="DQ459" s="40"/>
      <c r="DR459" s="40"/>
      <c r="DS459" s="40"/>
      <c r="DT459" s="40"/>
      <c r="DU459" s="40"/>
      <c r="DV459" s="40"/>
      <c r="DW459" s="40"/>
      <c r="DX459" s="40"/>
      <c r="DY459" s="40"/>
      <c r="DZ459" s="40"/>
      <c r="EA459" s="40"/>
      <c r="EB459" s="526"/>
      <c r="EC459" s="526"/>
      <c r="ED459" s="526"/>
      <c r="EE459" s="526"/>
      <c r="EF459" s="526"/>
      <c r="EG459" s="526"/>
      <c r="EH459" s="526"/>
      <c r="EI459" s="526"/>
      <c r="EJ459" s="526"/>
      <c r="EK459" s="526"/>
      <c r="EL459" s="526"/>
      <c r="EM459" s="526"/>
      <c r="EN459" s="526"/>
      <c r="EO459" s="526"/>
      <c r="EP459" s="526"/>
      <c r="EQ459" s="526"/>
      <c r="ER459" s="526"/>
      <c r="ES459" s="526"/>
      <c r="ET459" s="526"/>
      <c r="EU459" s="526"/>
      <c r="EV459" s="526"/>
      <c r="EW459" s="526"/>
      <c r="EX459" s="526"/>
      <c r="EY459" s="526"/>
      <c r="EZ459" s="526"/>
      <c r="FA459" s="526"/>
      <c r="FB459" s="526"/>
      <c r="FC459" s="526"/>
      <c r="FD459" s="526"/>
      <c r="FE459" s="526"/>
      <c r="FF459" s="40"/>
      <c r="FG459" s="190"/>
      <c r="FH459" s="237"/>
      <c r="FI459" s="40"/>
      <c r="FL459" s="406"/>
      <c r="FM459" s="406"/>
      <c r="FN459" s="368"/>
      <c r="FO459" s="368"/>
      <c r="FP459" s="368"/>
      <c r="FQ459" s="368"/>
      <c r="FR459" s="368"/>
      <c r="FS459" s="368"/>
      <c r="FT459" s="190"/>
      <c r="GA459" s="241"/>
    </row>
    <row r="460" spans="1:183" ht="12.75" customHeight="1" x14ac:dyDescent="0.2">
      <c r="A460" s="40"/>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183"/>
      <c r="AK460" s="183"/>
      <c r="AL460" s="183"/>
      <c r="AM460" s="183"/>
      <c r="AN460" s="183"/>
      <c r="AO460" s="183"/>
      <c r="AP460" s="183"/>
      <c r="AQ460" s="183"/>
      <c r="AR460" s="183"/>
      <c r="AS460" s="183"/>
      <c r="AT460" s="183"/>
      <c r="AU460" s="183"/>
      <c r="AV460" s="183"/>
      <c r="AW460" s="183"/>
      <c r="AX460" s="183"/>
      <c r="AY460" s="183"/>
      <c r="AZ460" s="183"/>
      <c r="BA460" s="183"/>
      <c r="BB460" s="183"/>
      <c r="BC460" s="183"/>
      <c r="BD460" s="183"/>
      <c r="BE460" s="183"/>
      <c r="BF460" s="183"/>
      <c r="BG460" s="183"/>
      <c r="BH460" s="183"/>
      <c r="BI460" s="183"/>
      <c r="BJ460" s="183"/>
      <c r="BK460" s="183"/>
      <c r="BL460" s="183"/>
      <c r="BM460" s="183"/>
      <c r="BN460" s="183"/>
      <c r="BO460" s="183"/>
      <c r="BP460" s="183"/>
      <c r="BQ460" s="183"/>
      <c r="BR460" s="183"/>
      <c r="BS460" s="183"/>
      <c r="BT460" s="183"/>
      <c r="BU460" s="183"/>
      <c r="BV460" s="183"/>
      <c r="BW460" s="183"/>
      <c r="BX460" s="183"/>
      <c r="BY460" s="183"/>
      <c r="BZ460" s="183"/>
      <c r="CA460" s="183"/>
      <c r="CB460" s="183"/>
      <c r="CC460" s="183"/>
      <c r="CD460" s="183"/>
      <c r="CE460" s="183"/>
      <c r="CF460" s="183"/>
      <c r="CG460" s="183"/>
      <c r="CH460" s="183"/>
      <c r="CI460" s="183"/>
      <c r="CJ460" s="183"/>
      <c r="CK460" s="183"/>
      <c r="CL460" s="183"/>
      <c r="CM460" s="183"/>
      <c r="CN460" s="183"/>
      <c r="CO460" s="183"/>
      <c r="CP460" s="183"/>
      <c r="CQ460" s="183"/>
      <c r="CR460" s="183"/>
      <c r="CS460" s="183"/>
      <c r="CT460" s="183"/>
      <c r="CU460" s="183"/>
      <c r="CV460" s="183"/>
      <c r="CW460" s="183"/>
      <c r="DQ460" s="40"/>
      <c r="DR460" s="40"/>
      <c r="DS460" s="40"/>
      <c r="DT460" s="40"/>
      <c r="DU460" s="40"/>
      <c r="DV460" s="40"/>
      <c r="DW460" s="40"/>
      <c r="DX460" s="40"/>
      <c r="DY460" s="40"/>
      <c r="DZ460" s="40"/>
      <c r="EA460" s="40"/>
      <c r="EB460" s="526"/>
      <c r="EC460" s="526"/>
      <c r="ED460" s="526"/>
      <c r="EE460" s="526"/>
      <c r="EF460" s="526"/>
      <c r="EG460" s="526"/>
      <c r="EH460" s="526"/>
      <c r="EI460" s="526"/>
      <c r="EJ460" s="526"/>
      <c r="EK460" s="526"/>
      <c r="EL460" s="526"/>
      <c r="EM460" s="526"/>
      <c r="EN460" s="526"/>
      <c r="EO460" s="526"/>
      <c r="EP460" s="526"/>
      <c r="EQ460" s="526"/>
      <c r="ER460" s="526"/>
      <c r="ES460" s="526"/>
      <c r="ET460" s="526"/>
      <c r="EU460" s="526"/>
      <c r="EV460" s="526"/>
      <c r="EW460" s="526"/>
      <c r="EX460" s="526"/>
      <c r="EY460" s="526"/>
      <c r="EZ460" s="526"/>
      <c r="FA460" s="526"/>
      <c r="FB460" s="526"/>
      <c r="FC460" s="526"/>
      <c r="FD460" s="526"/>
      <c r="FE460" s="526"/>
      <c r="FF460" s="40"/>
      <c r="FG460" s="190"/>
      <c r="FH460" s="237"/>
      <c r="FI460" s="40"/>
      <c r="FL460" s="406"/>
      <c r="FM460" s="406"/>
      <c r="FN460" s="368"/>
      <c r="FO460" s="368"/>
      <c r="FP460" s="368"/>
      <c r="FQ460" s="368"/>
      <c r="FR460" s="368"/>
      <c r="FS460" s="368"/>
      <c r="FT460" s="190"/>
      <c r="GA460" s="241"/>
    </row>
    <row r="461" spans="1:183" ht="12.75" customHeight="1" x14ac:dyDescent="0.2">
      <c r="A461" s="40"/>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183"/>
      <c r="AK461" s="183"/>
      <c r="AL461" s="183"/>
      <c r="AM461" s="183"/>
      <c r="AN461" s="183"/>
      <c r="AO461" s="183"/>
      <c r="AP461" s="183"/>
      <c r="AQ461" s="183"/>
      <c r="AR461" s="183"/>
      <c r="AS461" s="183"/>
      <c r="AT461" s="183"/>
      <c r="AU461" s="183"/>
      <c r="AV461" s="183"/>
      <c r="AW461" s="183"/>
      <c r="AX461" s="183"/>
      <c r="AY461" s="183"/>
      <c r="AZ461" s="183"/>
      <c r="BA461" s="183"/>
      <c r="BB461" s="183"/>
      <c r="BC461" s="183"/>
      <c r="BD461" s="183"/>
      <c r="BE461" s="183"/>
      <c r="BF461" s="183"/>
      <c r="BG461" s="183"/>
      <c r="BH461" s="183"/>
      <c r="BI461" s="183"/>
      <c r="BJ461" s="183"/>
      <c r="BK461" s="183"/>
      <c r="BL461" s="183"/>
      <c r="BM461" s="183"/>
      <c r="BN461" s="183"/>
      <c r="BO461" s="183"/>
      <c r="BP461" s="183"/>
      <c r="BQ461" s="183"/>
      <c r="BR461" s="183"/>
      <c r="BS461" s="183"/>
      <c r="BT461" s="183"/>
      <c r="BU461" s="183"/>
      <c r="BV461" s="183"/>
      <c r="BW461" s="183"/>
      <c r="BX461" s="183"/>
      <c r="BY461" s="183"/>
      <c r="BZ461" s="183"/>
      <c r="CA461" s="183"/>
      <c r="CB461" s="183"/>
      <c r="CC461" s="183"/>
      <c r="CD461" s="183"/>
      <c r="CE461" s="183"/>
      <c r="CF461" s="183"/>
      <c r="CG461" s="183"/>
      <c r="CH461" s="183"/>
      <c r="CI461" s="183"/>
      <c r="CJ461" s="183"/>
      <c r="CK461" s="183"/>
      <c r="CL461" s="183"/>
      <c r="CM461" s="183"/>
      <c r="CN461" s="183"/>
      <c r="CO461" s="183"/>
      <c r="CP461" s="183"/>
      <c r="CQ461" s="183"/>
      <c r="CR461" s="183"/>
      <c r="CS461" s="183"/>
      <c r="CT461" s="183"/>
      <c r="CU461" s="183"/>
      <c r="CV461" s="183"/>
      <c r="CW461" s="183"/>
      <c r="DQ461" s="40"/>
      <c r="DR461" s="40"/>
      <c r="DS461" s="40"/>
      <c r="DT461" s="40"/>
      <c r="DU461" s="40"/>
      <c r="DV461" s="40"/>
      <c r="DW461" s="40"/>
      <c r="DX461" s="40"/>
      <c r="DY461" s="40"/>
      <c r="DZ461" s="40"/>
      <c r="EA461" s="40"/>
      <c r="EB461" s="526"/>
      <c r="EC461" s="526"/>
      <c r="ED461" s="526"/>
      <c r="EE461" s="526"/>
      <c r="EF461" s="526"/>
      <c r="EG461" s="526"/>
      <c r="EH461" s="526"/>
      <c r="EI461" s="526"/>
      <c r="EJ461" s="526"/>
      <c r="EK461" s="526"/>
      <c r="EL461" s="526"/>
      <c r="EM461" s="526"/>
      <c r="EN461" s="526"/>
      <c r="EO461" s="526"/>
      <c r="EP461" s="526"/>
      <c r="EQ461" s="526"/>
      <c r="ER461" s="526"/>
      <c r="ES461" s="526"/>
      <c r="ET461" s="526"/>
      <c r="EU461" s="526"/>
      <c r="EV461" s="526"/>
      <c r="EW461" s="526"/>
      <c r="EX461" s="526"/>
      <c r="EY461" s="526"/>
      <c r="EZ461" s="526"/>
      <c r="FA461" s="526"/>
      <c r="FB461" s="526"/>
      <c r="FC461" s="526"/>
      <c r="FD461" s="526"/>
      <c r="FE461" s="526"/>
      <c r="FF461" s="40"/>
      <c r="FG461" s="190"/>
      <c r="FH461" s="237"/>
      <c r="FI461" s="40"/>
      <c r="FL461" s="406"/>
      <c r="FM461" s="406"/>
      <c r="FN461" s="368"/>
      <c r="FO461" s="368"/>
      <c r="FP461" s="368"/>
      <c r="FQ461" s="368"/>
      <c r="FR461" s="368"/>
      <c r="FS461" s="368"/>
      <c r="FT461" s="190"/>
      <c r="GA461" s="241"/>
    </row>
    <row r="462" spans="1:183" ht="12.75" customHeight="1" x14ac:dyDescent="0.2">
      <c r="A462" s="40"/>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183"/>
      <c r="AK462" s="183"/>
      <c r="AL462" s="183"/>
      <c r="AM462" s="183"/>
      <c r="AN462" s="183"/>
      <c r="AO462" s="183"/>
      <c r="AP462" s="183"/>
      <c r="AQ462" s="183"/>
      <c r="AR462" s="183"/>
      <c r="AS462" s="183"/>
      <c r="AT462" s="183"/>
      <c r="AU462" s="183"/>
      <c r="AV462" s="183"/>
      <c r="AW462" s="183"/>
      <c r="AX462" s="183"/>
      <c r="AY462" s="183"/>
      <c r="AZ462" s="183"/>
      <c r="BA462" s="183"/>
      <c r="BB462" s="183"/>
      <c r="BC462" s="183"/>
      <c r="BD462" s="183"/>
      <c r="BE462" s="183"/>
      <c r="BF462" s="183"/>
      <c r="BG462" s="183"/>
      <c r="BH462" s="183"/>
      <c r="BI462" s="183"/>
      <c r="BJ462" s="183"/>
      <c r="BK462" s="183"/>
      <c r="BL462" s="183"/>
      <c r="BM462" s="183"/>
      <c r="BN462" s="183"/>
      <c r="BO462" s="183"/>
      <c r="BP462" s="183"/>
      <c r="BQ462" s="183"/>
      <c r="BR462" s="183"/>
      <c r="BS462" s="183"/>
      <c r="BT462" s="183"/>
      <c r="BU462" s="183"/>
      <c r="BV462" s="183"/>
      <c r="BW462" s="183"/>
      <c r="BX462" s="183"/>
      <c r="BY462" s="183"/>
      <c r="BZ462" s="183"/>
      <c r="CA462" s="183"/>
      <c r="CB462" s="183"/>
      <c r="CC462" s="183"/>
      <c r="CD462" s="183"/>
      <c r="CE462" s="183"/>
      <c r="CF462" s="183"/>
      <c r="CG462" s="183"/>
      <c r="CH462" s="183"/>
      <c r="CI462" s="183"/>
      <c r="CJ462" s="183"/>
      <c r="CK462" s="183"/>
      <c r="CL462" s="183"/>
      <c r="CM462" s="183"/>
      <c r="CN462" s="183"/>
      <c r="CO462" s="183"/>
      <c r="CP462" s="183"/>
      <c r="CQ462" s="183"/>
      <c r="CR462" s="183"/>
      <c r="CS462" s="183"/>
      <c r="CT462" s="183"/>
      <c r="CU462" s="183"/>
      <c r="CV462" s="183"/>
      <c r="CW462" s="183"/>
      <c r="DQ462" s="40"/>
      <c r="DR462" s="40"/>
      <c r="DS462" s="40"/>
      <c r="DT462" s="40"/>
      <c r="DU462" s="40"/>
      <c r="DV462" s="40"/>
      <c r="DW462" s="40"/>
      <c r="DX462" s="40"/>
      <c r="DY462" s="40"/>
      <c r="DZ462" s="40"/>
      <c r="EA462" s="40"/>
      <c r="EB462" s="526"/>
      <c r="EC462" s="526"/>
      <c r="ED462" s="526"/>
      <c r="EE462" s="526"/>
      <c r="EF462" s="526"/>
      <c r="EG462" s="526"/>
      <c r="EH462" s="526"/>
      <c r="EI462" s="526"/>
      <c r="EJ462" s="526"/>
      <c r="EK462" s="526"/>
      <c r="EL462" s="526"/>
      <c r="EM462" s="526"/>
      <c r="EN462" s="526"/>
      <c r="EO462" s="526"/>
      <c r="EP462" s="526"/>
      <c r="EQ462" s="526"/>
      <c r="ER462" s="526"/>
      <c r="ES462" s="526"/>
      <c r="ET462" s="526"/>
      <c r="EU462" s="526"/>
      <c r="EV462" s="526"/>
      <c r="EW462" s="526"/>
      <c r="EX462" s="526"/>
      <c r="EY462" s="526"/>
      <c r="EZ462" s="526"/>
      <c r="FA462" s="526"/>
      <c r="FB462" s="526"/>
      <c r="FC462" s="526"/>
      <c r="FD462" s="526"/>
      <c r="FE462" s="526"/>
      <c r="FF462" s="40"/>
      <c r="FG462" s="190"/>
      <c r="FH462" s="237"/>
      <c r="FI462" s="40"/>
      <c r="FL462" s="406"/>
      <c r="FM462" s="406"/>
      <c r="FN462" s="368"/>
      <c r="FO462" s="368"/>
      <c r="FP462" s="368"/>
      <c r="FQ462" s="368"/>
      <c r="FR462" s="368"/>
      <c r="FS462" s="368"/>
      <c r="FT462" s="190"/>
      <c r="GA462" s="241"/>
    </row>
    <row r="463" spans="1:183" ht="12.75" customHeight="1" x14ac:dyDescent="0.2">
      <c r="A463" s="40"/>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183"/>
      <c r="AK463" s="183"/>
      <c r="AL463" s="183"/>
      <c r="AM463" s="183"/>
      <c r="AN463" s="183"/>
      <c r="AO463" s="183"/>
      <c r="AP463" s="183"/>
      <c r="AQ463" s="183"/>
      <c r="AR463" s="183"/>
      <c r="AS463" s="183"/>
      <c r="AT463" s="183"/>
      <c r="AU463" s="183"/>
      <c r="AV463" s="183"/>
      <c r="AW463" s="183"/>
      <c r="AX463" s="183"/>
      <c r="AY463" s="183"/>
      <c r="AZ463" s="183"/>
      <c r="BA463" s="183"/>
      <c r="BB463" s="183"/>
      <c r="BC463" s="183"/>
      <c r="BD463" s="183"/>
      <c r="BE463" s="183"/>
      <c r="BF463" s="183"/>
      <c r="BG463" s="183"/>
      <c r="BH463" s="183"/>
      <c r="BI463" s="183"/>
      <c r="BJ463" s="183"/>
      <c r="BK463" s="183"/>
      <c r="BL463" s="183"/>
      <c r="BM463" s="183"/>
      <c r="BN463" s="183"/>
      <c r="BO463" s="183"/>
      <c r="BP463" s="183"/>
      <c r="BQ463" s="183"/>
      <c r="BR463" s="183"/>
      <c r="BS463" s="183"/>
      <c r="BT463" s="183"/>
      <c r="BU463" s="183"/>
      <c r="BV463" s="183"/>
      <c r="BW463" s="183"/>
      <c r="BX463" s="183"/>
      <c r="BY463" s="183"/>
      <c r="BZ463" s="183"/>
      <c r="CA463" s="183"/>
      <c r="CB463" s="183"/>
      <c r="CC463" s="183"/>
      <c r="CD463" s="183"/>
      <c r="CE463" s="183"/>
      <c r="CF463" s="183"/>
      <c r="CG463" s="183"/>
      <c r="CH463" s="183"/>
      <c r="CI463" s="183"/>
      <c r="CJ463" s="183"/>
      <c r="CK463" s="183"/>
      <c r="CL463" s="183"/>
      <c r="CM463" s="183"/>
      <c r="CN463" s="183"/>
      <c r="CO463" s="183"/>
      <c r="CP463" s="183"/>
      <c r="CQ463" s="183"/>
      <c r="CR463" s="183"/>
      <c r="CS463" s="183"/>
      <c r="CT463" s="183"/>
      <c r="CU463" s="183"/>
      <c r="CV463" s="183"/>
      <c r="CW463" s="183"/>
      <c r="DQ463" s="40"/>
      <c r="DR463" s="40"/>
      <c r="DS463" s="40"/>
      <c r="DT463" s="40"/>
      <c r="DU463" s="40"/>
      <c r="DV463" s="40"/>
      <c r="DW463" s="40"/>
      <c r="DX463" s="40"/>
      <c r="DY463" s="40"/>
      <c r="DZ463" s="40"/>
      <c r="EA463" s="40"/>
      <c r="EB463" s="526"/>
      <c r="EC463" s="526"/>
      <c r="ED463" s="526"/>
      <c r="EE463" s="526"/>
      <c r="EF463" s="526"/>
      <c r="EG463" s="526"/>
      <c r="EH463" s="526"/>
      <c r="EI463" s="526"/>
      <c r="EJ463" s="526"/>
      <c r="EK463" s="526"/>
      <c r="EL463" s="526"/>
      <c r="EM463" s="526"/>
      <c r="EN463" s="526"/>
      <c r="EO463" s="526"/>
      <c r="EP463" s="526"/>
      <c r="EQ463" s="526"/>
      <c r="ER463" s="526"/>
      <c r="ES463" s="526"/>
      <c r="ET463" s="526"/>
      <c r="EU463" s="526"/>
      <c r="EV463" s="526"/>
      <c r="EW463" s="526"/>
      <c r="EX463" s="526"/>
      <c r="EY463" s="526"/>
      <c r="EZ463" s="526"/>
      <c r="FA463" s="526"/>
      <c r="FB463" s="526"/>
      <c r="FC463" s="526"/>
      <c r="FD463" s="526"/>
      <c r="FE463" s="526"/>
      <c r="FF463" s="40"/>
      <c r="FG463" s="190"/>
      <c r="FH463" s="237"/>
      <c r="FI463" s="40"/>
      <c r="FL463" s="406"/>
      <c r="FM463" s="406"/>
      <c r="FN463" s="368"/>
      <c r="FO463" s="368"/>
      <c r="FP463" s="368"/>
      <c r="FQ463" s="368"/>
      <c r="FR463" s="368"/>
      <c r="FS463" s="368"/>
      <c r="FT463" s="190"/>
      <c r="GA463" s="241"/>
    </row>
    <row r="464" spans="1:183" ht="12.75" customHeight="1" x14ac:dyDescent="0.2">
      <c r="A464" s="40"/>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183"/>
      <c r="AK464" s="183"/>
      <c r="AL464" s="183"/>
      <c r="AM464" s="183"/>
      <c r="AN464" s="183"/>
      <c r="AO464" s="183"/>
      <c r="AP464" s="183"/>
      <c r="AQ464" s="183"/>
      <c r="AR464" s="183"/>
      <c r="AS464" s="183"/>
      <c r="AT464" s="183"/>
      <c r="AU464" s="183"/>
      <c r="AV464" s="183"/>
      <c r="AW464" s="183"/>
      <c r="AX464" s="183"/>
      <c r="AY464" s="183"/>
      <c r="AZ464" s="183"/>
      <c r="BA464" s="183"/>
      <c r="BB464" s="183"/>
      <c r="BC464" s="183"/>
      <c r="BD464" s="183"/>
      <c r="BE464" s="183"/>
      <c r="BF464" s="183"/>
      <c r="BG464" s="183"/>
      <c r="BH464" s="183"/>
      <c r="BI464" s="183"/>
      <c r="BJ464" s="183"/>
      <c r="BK464" s="183"/>
      <c r="BL464" s="183"/>
      <c r="BM464" s="183"/>
      <c r="BN464" s="183"/>
      <c r="BO464" s="183"/>
      <c r="BP464" s="183"/>
      <c r="BQ464" s="183"/>
      <c r="BR464" s="183"/>
      <c r="BS464" s="183"/>
      <c r="BT464" s="183"/>
      <c r="BU464" s="183"/>
      <c r="BV464" s="183"/>
      <c r="BW464" s="183"/>
      <c r="BX464" s="183"/>
      <c r="BY464" s="183"/>
      <c r="BZ464" s="183"/>
      <c r="CA464" s="183"/>
      <c r="CB464" s="183"/>
      <c r="CC464" s="183"/>
      <c r="CD464" s="183"/>
      <c r="CE464" s="183"/>
      <c r="CF464" s="183"/>
      <c r="CG464" s="183"/>
      <c r="CH464" s="183"/>
      <c r="CI464" s="183"/>
      <c r="CJ464" s="183"/>
      <c r="CK464" s="183"/>
      <c r="CL464" s="183"/>
      <c r="CM464" s="183"/>
      <c r="CN464" s="183"/>
      <c r="CO464" s="183"/>
      <c r="CP464" s="183"/>
      <c r="CQ464" s="183"/>
      <c r="CR464" s="183"/>
      <c r="CS464" s="183"/>
      <c r="CT464" s="183"/>
      <c r="CU464" s="183"/>
      <c r="CV464" s="183"/>
      <c r="CW464" s="183"/>
      <c r="DQ464" s="40"/>
      <c r="DR464" s="40"/>
      <c r="DS464" s="40"/>
      <c r="DT464" s="40"/>
      <c r="DU464" s="40"/>
      <c r="DV464" s="40"/>
      <c r="DW464" s="40"/>
      <c r="DX464" s="40"/>
      <c r="DY464" s="40"/>
      <c r="DZ464" s="40"/>
      <c r="EA464" s="40"/>
      <c r="EB464" s="526"/>
      <c r="EC464" s="526"/>
      <c r="ED464" s="526"/>
      <c r="EE464" s="526"/>
      <c r="EF464" s="526"/>
      <c r="EG464" s="526"/>
      <c r="EH464" s="526"/>
      <c r="EI464" s="526"/>
      <c r="EJ464" s="526"/>
      <c r="EK464" s="526"/>
      <c r="EL464" s="526"/>
      <c r="EM464" s="526"/>
      <c r="EN464" s="526"/>
      <c r="EO464" s="526"/>
      <c r="EP464" s="526"/>
      <c r="EQ464" s="526"/>
      <c r="ER464" s="526"/>
      <c r="ES464" s="526"/>
      <c r="ET464" s="526"/>
      <c r="EU464" s="526"/>
      <c r="EV464" s="526"/>
      <c r="EW464" s="526"/>
      <c r="EX464" s="526"/>
      <c r="EY464" s="526"/>
      <c r="EZ464" s="526"/>
      <c r="FA464" s="526"/>
      <c r="FB464" s="526"/>
      <c r="FC464" s="526"/>
      <c r="FD464" s="526"/>
      <c r="FE464" s="526"/>
      <c r="FF464" s="40"/>
      <c r="FG464" s="190"/>
      <c r="FH464" s="237"/>
      <c r="FI464" s="40"/>
      <c r="FL464" s="406"/>
      <c r="FM464" s="406"/>
      <c r="FN464" s="368"/>
      <c r="FO464" s="368"/>
      <c r="FP464" s="368"/>
      <c r="FQ464" s="368"/>
      <c r="FR464" s="368"/>
      <c r="FS464" s="368"/>
      <c r="FT464" s="190"/>
      <c r="GA464" s="241"/>
    </row>
    <row r="465" spans="1:183" ht="12.75" customHeight="1" x14ac:dyDescent="0.2">
      <c r="A465" s="40"/>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183"/>
      <c r="AK465" s="183"/>
      <c r="AL465" s="183"/>
      <c r="AM465" s="183"/>
      <c r="AN465" s="183"/>
      <c r="AO465" s="183"/>
      <c r="AP465" s="183"/>
      <c r="AQ465" s="183"/>
      <c r="AR465" s="183"/>
      <c r="AS465" s="183"/>
      <c r="AT465" s="183"/>
      <c r="AU465" s="183"/>
      <c r="AV465" s="183"/>
      <c r="AW465" s="183"/>
      <c r="AX465" s="183"/>
      <c r="AY465" s="183"/>
      <c r="AZ465" s="183"/>
      <c r="BA465" s="183"/>
      <c r="BB465" s="183"/>
      <c r="BC465" s="183"/>
      <c r="BD465" s="183"/>
      <c r="BE465" s="183"/>
      <c r="BF465" s="183"/>
      <c r="BG465" s="183"/>
      <c r="BH465" s="183"/>
      <c r="BI465" s="183"/>
      <c r="BJ465" s="183"/>
      <c r="BK465" s="183"/>
      <c r="BL465" s="183"/>
      <c r="BM465" s="183"/>
      <c r="BN465" s="183"/>
      <c r="BO465" s="183"/>
      <c r="BP465" s="183"/>
      <c r="BQ465" s="183"/>
      <c r="BR465" s="183"/>
      <c r="BS465" s="183"/>
      <c r="BT465" s="183"/>
      <c r="BU465" s="183"/>
      <c r="BV465" s="183"/>
      <c r="BW465" s="183"/>
      <c r="BX465" s="183"/>
      <c r="BY465" s="183"/>
      <c r="BZ465" s="183"/>
      <c r="CA465" s="183"/>
      <c r="CB465" s="183"/>
      <c r="CC465" s="183"/>
      <c r="CD465" s="183"/>
      <c r="CE465" s="183"/>
      <c r="CF465" s="183"/>
      <c r="CG465" s="183"/>
      <c r="CH465" s="183"/>
      <c r="CI465" s="183"/>
      <c r="CJ465" s="183"/>
      <c r="CK465" s="183"/>
      <c r="CL465" s="183"/>
      <c r="CM465" s="183"/>
      <c r="CN465" s="183"/>
      <c r="CO465" s="183"/>
      <c r="CP465" s="183"/>
      <c r="CQ465" s="183"/>
      <c r="CR465" s="183"/>
      <c r="CS465" s="183"/>
      <c r="CT465" s="183"/>
      <c r="CU465" s="183"/>
      <c r="CV465" s="183"/>
      <c r="CW465" s="183"/>
      <c r="DQ465" s="40"/>
      <c r="DR465" s="40"/>
      <c r="DS465" s="40"/>
      <c r="DT465" s="40"/>
      <c r="DU465" s="40"/>
      <c r="DV465" s="40"/>
      <c r="DW465" s="40"/>
      <c r="DX465" s="40"/>
      <c r="DY465" s="40"/>
      <c r="DZ465" s="40"/>
      <c r="EA465" s="40"/>
      <c r="EB465" s="526"/>
      <c r="EC465" s="526"/>
      <c r="ED465" s="526"/>
      <c r="EE465" s="526"/>
      <c r="EF465" s="526"/>
      <c r="EG465" s="526"/>
      <c r="EH465" s="526"/>
      <c r="EI465" s="526"/>
      <c r="EJ465" s="526"/>
      <c r="EK465" s="526"/>
      <c r="EL465" s="526"/>
      <c r="EM465" s="526"/>
      <c r="EN465" s="526"/>
      <c r="EO465" s="526"/>
      <c r="EP465" s="526"/>
      <c r="EQ465" s="526"/>
      <c r="ER465" s="526"/>
      <c r="ES465" s="526"/>
      <c r="ET465" s="526"/>
      <c r="EU465" s="526"/>
      <c r="EV465" s="526"/>
      <c r="EW465" s="526"/>
      <c r="EX465" s="526"/>
      <c r="EY465" s="526"/>
      <c r="EZ465" s="526"/>
      <c r="FA465" s="526"/>
      <c r="FB465" s="526"/>
      <c r="FC465" s="526"/>
      <c r="FD465" s="526"/>
      <c r="FE465" s="526"/>
      <c r="FF465" s="40"/>
      <c r="FG465" s="190"/>
      <c r="FH465" s="237"/>
      <c r="FI465" s="40"/>
      <c r="FL465" s="406"/>
      <c r="FM465" s="406"/>
      <c r="FN465" s="368"/>
      <c r="FO465" s="368"/>
      <c r="FP465" s="368"/>
      <c r="FQ465" s="368"/>
      <c r="FR465" s="368"/>
      <c r="FS465" s="368"/>
      <c r="FT465" s="190"/>
      <c r="GA465" s="241"/>
    </row>
    <row r="466" spans="1:183" ht="12.75" customHeight="1" x14ac:dyDescent="0.2">
      <c r="A466" s="40"/>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183"/>
      <c r="AK466" s="183"/>
      <c r="AL466" s="183"/>
      <c r="AM466" s="183"/>
      <c r="AN466" s="183"/>
      <c r="AO466" s="183"/>
      <c r="AP466" s="183"/>
      <c r="AQ466" s="183"/>
      <c r="AR466" s="183"/>
      <c r="AS466" s="183"/>
      <c r="AT466" s="183"/>
      <c r="AU466" s="183"/>
      <c r="AV466" s="183"/>
      <c r="AW466" s="183"/>
      <c r="AX466" s="183"/>
      <c r="AY466" s="183"/>
      <c r="AZ466" s="183"/>
      <c r="BA466" s="183"/>
      <c r="BB466" s="183"/>
      <c r="BC466" s="183"/>
      <c r="BD466" s="183"/>
      <c r="BE466" s="183"/>
      <c r="BF466" s="183"/>
      <c r="BG466" s="183"/>
      <c r="BH466" s="183"/>
      <c r="BI466" s="183"/>
      <c r="BJ466" s="183"/>
      <c r="BK466" s="183"/>
      <c r="BL466" s="183"/>
      <c r="BM466" s="183"/>
      <c r="BN466" s="183"/>
      <c r="BO466" s="183"/>
      <c r="BP466" s="183"/>
      <c r="BQ466" s="183"/>
      <c r="BR466" s="183"/>
      <c r="BS466" s="183"/>
      <c r="BT466" s="183"/>
      <c r="BU466" s="183"/>
      <c r="BV466" s="183"/>
      <c r="BW466" s="183"/>
      <c r="BX466" s="183"/>
      <c r="BY466" s="183"/>
      <c r="BZ466" s="183"/>
      <c r="CA466" s="183"/>
      <c r="CB466" s="183"/>
      <c r="CC466" s="183"/>
      <c r="CD466" s="183"/>
      <c r="CE466" s="183"/>
      <c r="CF466" s="183"/>
      <c r="CG466" s="183"/>
      <c r="CH466" s="183"/>
      <c r="CI466" s="183"/>
      <c r="CJ466" s="183"/>
      <c r="CK466" s="183"/>
      <c r="CL466" s="183"/>
      <c r="CM466" s="183"/>
      <c r="CN466" s="183"/>
      <c r="CO466" s="183"/>
      <c r="CP466" s="183"/>
      <c r="CQ466" s="183"/>
      <c r="CR466" s="183"/>
      <c r="CS466" s="183"/>
      <c r="CT466" s="183"/>
      <c r="CU466" s="183"/>
      <c r="CV466" s="183"/>
      <c r="CW466" s="183"/>
      <c r="DQ466" s="40"/>
      <c r="DR466" s="40"/>
      <c r="DS466" s="40"/>
      <c r="DT466" s="40"/>
      <c r="DU466" s="40"/>
      <c r="DV466" s="40"/>
      <c r="DW466" s="40"/>
      <c r="DX466" s="40"/>
      <c r="DY466" s="40"/>
      <c r="DZ466" s="40"/>
      <c r="EA466" s="40"/>
      <c r="EB466" s="526"/>
      <c r="EC466" s="526"/>
      <c r="ED466" s="526"/>
      <c r="EE466" s="526"/>
      <c r="EF466" s="526"/>
      <c r="EG466" s="526"/>
      <c r="EH466" s="526"/>
      <c r="EI466" s="526"/>
      <c r="EJ466" s="526"/>
      <c r="EK466" s="526"/>
      <c r="EL466" s="526"/>
      <c r="EM466" s="526"/>
      <c r="EN466" s="526"/>
      <c r="EO466" s="526"/>
      <c r="EP466" s="526"/>
      <c r="EQ466" s="526"/>
      <c r="ER466" s="526"/>
      <c r="ES466" s="526"/>
      <c r="ET466" s="526"/>
      <c r="EU466" s="526"/>
      <c r="EV466" s="526"/>
      <c r="EW466" s="526"/>
      <c r="EX466" s="526"/>
      <c r="EY466" s="526"/>
      <c r="EZ466" s="526"/>
      <c r="FA466" s="526"/>
      <c r="FB466" s="526"/>
      <c r="FC466" s="526"/>
      <c r="FD466" s="526"/>
      <c r="FE466" s="526"/>
      <c r="FF466" s="40"/>
      <c r="FG466" s="190"/>
      <c r="FH466" s="237"/>
      <c r="FI466" s="40"/>
      <c r="FL466" s="406"/>
      <c r="FM466" s="406"/>
      <c r="FN466" s="368"/>
      <c r="FO466" s="368"/>
      <c r="FP466" s="368"/>
      <c r="FQ466" s="368"/>
      <c r="FR466" s="368"/>
      <c r="FS466" s="368"/>
      <c r="FT466" s="190"/>
      <c r="GA466" s="241"/>
    </row>
    <row r="467" spans="1:183" ht="12.75" customHeight="1" x14ac:dyDescent="0.2">
      <c r="A467" s="40"/>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183"/>
      <c r="AK467" s="183"/>
      <c r="AL467" s="183"/>
      <c r="AM467" s="183"/>
      <c r="AN467" s="183"/>
      <c r="AO467" s="183"/>
      <c r="AP467" s="183"/>
      <c r="AQ467" s="183"/>
      <c r="AR467" s="183"/>
      <c r="AS467" s="183"/>
      <c r="AT467" s="183"/>
      <c r="AU467" s="183"/>
      <c r="AV467" s="183"/>
      <c r="AW467" s="183"/>
      <c r="AX467" s="183"/>
      <c r="AY467" s="183"/>
      <c r="AZ467" s="183"/>
      <c r="BA467" s="183"/>
      <c r="BB467" s="183"/>
      <c r="BC467" s="183"/>
      <c r="BD467" s="183"/>
      <c r="BE467" s="183"/>
      <c r="BF467" s="183"/>
      <c r="BG467" s="183"/>
      <c r="BH467" s="183"/>
      <c r="BI467" s="183"/>
      <c r="BJ467" s="183"/>
      <c r="BK467" s="183"/>
      <c r="BL467" s="183"/>
      <c r="BM467" s="183"/>
      <c r="BN467" s="183"/>
      <c r="BO467" s="183"/>
      <c r="BP467" s="183"/>
      <c r="BQ467" s="183"/>
      <c r="BR467" s="183"/>
      <c r="BS467" s="183"/>
      <c r="BT467" s="183"/>
      <c r="BU467" s="183"/>
      <c r="BV467" s="183"/>
      <c r="BW467" s="183"/>
      <c r="BX467" s="183"/>
      <c r="BY467" s="183"/>
      <c r="BZ467" s="183"/>
      <c r="CA467" s="183"/>
      <c r="CB467" s="183"/>
      <c r="CC467" s="183"/>
      <c r="CD467" s="183"/>
      <c r="CE467" s="183"/>
      <c r="CF467" s="183"/>
      <c r="CG467" s="183"/>
      <c r="CH467" s="183"/>
      <c r="CI467" s="183"/>
      <c r="CJ467" s="183"/>
      <c r="CK467" s="183"/>
      <c r="CL467" s="183"/>
      <c r="CM467" s="183"/>
      <c r="CN467" s="183"/>
      <c r="CO467" s="183"/>
      <c r="CP467" s="183"/>
      <c r="CQ467" s="183"/>
      <c r="CR467" s="183"/>
      <c r="CS467" s="183"/>
      <c r="CT467" s="183"/>
      <c r="CU467" s="183"/>
      <c r="CV467" s="183"/>
      <c r="CW467" s="183"/>
      <c r="DQ467" s="40"/>
      <c r="DR467" s="40"/>
      <c r="DS467" s="40"/>
      <c r="DT467" s="40"/>
      <c r="DU467" s="40"/>
      <c r="DV467" s="40"/>
      <c r="DW467" s="40"/>
      <c r="DX467" s="40"/>
      <c r="DY467" s="40"/>
      <c r="DZ467" s="40"/>
      <c r="EA467" s="40"/>
      <c r="EB467" s="526"/>
      <c r="EC467" s="526"/>
      <c r="ED467" s="526"/>
      <c r="EE467" s="526"/>
      <c r="EF467" s="526"/>
      <c r="EG467" s="526"/>
      <c r="EH467" s="526"/>
      <c r="EI467" s="526"/>
      <c r="EJ467" s="526"/>
      <c r="EK467" s="526"/>
      <c r="EL467" s="526"/>
      <c r="EM467" s="526"/>
      <c r="EN467" s="526"/>
      <c r="EO467" s="526"/>
      <c r="EP467" s="526"/>
      <c r="EQ467" s="526"/>
      <c r="ER467" s="526"/>
      <c r="ES467" s="526"/>
      <c r="ET467" s="526"/>
      <c r="EU467" s="526"/>
      <c r="EV467" s="526"/>
      <c r="EW467" s="526"/>
      <c r="EX467" s="526"/>
      <c r="EY467" s="526"/>
      <c r="EZ467" s="526"/>
      <c r="FA467" s="526"/>
      <c r="FB467" s="526"/>
      <c r="FC467" s="526"/>
      <c r="FD467" s="526"/>
      <c r="FE467" s="526"/>
      <c r="FF467" s="40"/>
      <c r="FG467" s="190"/>
      <c r="FH467" s="237"/>
      <c r="FI467" s="40"/>
      <c r="FL467" s="406"/>
      <c r="FM467" s="406"/>
      <c r="FN467" s="368"/>
      <c r="FO467" s="368"/>
      <c r="FP467" s="368"/>
      <c r="FQ467" s="368"/>
      <c r="FR467" s="368"/>
      <c r="FS467" s="368"/>
      <c r="FT467" s="190"/>
      <c r="GA467" s="241"/>
    </row>
    <row r="468" spans="1:183" ht="12.75" customHeight="1" x14ac:dyDescent="0.2">
      <c r="A468" s="40"/>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183"/>
      <c r="AK468" s="183"/>
      <c r="AL468" s="183"/>
      <c r="AM468" s="183"/>
      <c r="AN468" s="183"/>
      <c r="AO468" s="183"/>
      <c r="AP468" s="183"/>
      <c r="AQ468" s="183"/>
      <c r="AR468" s="183"/>
      <c r="AS468" s="183"/>
      <c r="AT468" s="183"/>
      <c r="AU468" s="183"/>
      <c r="AV468" s="183"/>
      <c r="AW468" s="183"/>
      <c r="AX468" s="183"/>
      <c r="AY468" s="183"/>
      <c r="AZ468" s="183"/>
      <c r="BA468" s="183"/>
      <c r="BB468" s="183"/>
      <c r="BC468" s="183"/>
      <c r="BD468" s="183"/>
      <c r="BE468" s="183"/>
      <c r="BF468" s="183"/>
      <c r="BG468" s="183"/>
      <c r="BH468" s="183"/>
      <c r="BI468" s="183"/>
      <c r="BJ468" s="183"/>
      <c r="BK468" s="183"/>
      <c r="BL468" s="183"/>
      <c r="BM468" s="183"/>
      <c r="BN468" s="183"/>
      <c r="BO468" s="183"/>
      <c r="BP468" s="183"/>
      <c r="BQ468" s="183"/>
      <c r="BR468" s="183"/>
      <c r="BS468" s="183"/>
      <c r="BT468" s="183"/>
      <c r="BU468" s="183"/>
      <c r="BV468" s="183"/>
      <c r="BW468" s="183"/>
      <c r="BX468" s="183"/>
      <c r="BY468" s="183"/>
      <c r="BZ468" s="183"/>
      <c r="CA468" s="183"/>
      <c r="CB468" s="183"/>
      <c r="CC468" s="183"/>
      <c r="CD468" s="183"/>
      <c r="CE468" s="183"/>
      <c r="CF468" s="183"/>
      <c r="CG468" s="183"/>
      <c r="CH468" s="183"/>
      <c r="CI468" s="183"/>
      <c r="CJ468" s="183"/>
      <c r="CK468" s="183"/>
      <c r="CL468" s="183"/>
      <c r="CM468" s="183"/>
      <c r="CN468" s="183"/>
      <c r="CO468" s="183"/>
      <c r="CP468" s="183"/>
      <c r="CQ468" s="183"/>
      <c r="CR468" s="183"/>
      <c r="CS468" s="183"/>
      <c r="CT468" s="183"/>
      <c r="CU468" s="183"/>
      <c r="CV468" s="183"/>
      <c r="CW468" s="183"/>
      <c r="DQ468" s="40"/>
      <c r="DR468" s="40"/>
      <c r="DS468" s="40"/>
      <c r="DT468" s="40"/>
      <c r="DU468" s="40"/>
      <c r="DV468" s="40"/>
      <c r="DW468" s="40"/>
      <c r="DX468" s="40"/>
      <c r="DY468" s="40"/>
      <c r="DZ468" s="40"/>
      <c r="EA468" s="40"/>
      <c r="EB468" s="526"/>
      <c r="EC468" s="526"/>
      <c r="ED468" s="526"/>
      <c r="EE468" s="526"/>
      <c r="EF468" s="526"/>
      <c r="EG468" s="526"/>
      <c r="EH468" s="526"/>
      <c r="EI468" s="526"/>
      <c r="EJ468" s="526"/>
      <c r="EK468" s="526"/>
      <c r="EL468" s="526"/>
      <c r="EM468" s="526"/>
      <c r="EN468" s="526"/>
      <c r="EO468" s="526"/>
      <c r="EP468" s="526"/>
      <c r="EQ468" s="526"/>
      <c r="ER468" s="526"/>
      <c r="ES468" s="526"/>
      <c r="ET468" s="526"/>
      <c r="EU468" s="526"/>
      <c r="EV468" s="526"/>
      <c r="EW468" s="526"/>
      <c r="EX468" s="526"/>
      <c r="EY468" s="526"/>
      <c r="EZ468" s="526"/>
      <c r="FA468" s="526"/>
      <c r="FB468" s="526"/>
      <c r="FC468" s="526"/>
      <c r="FD468" s="526"/>
      <c r="FE468" s="526"/>
      <c r="FF468" s="40"/>
      <c r="FG468" s="190"/>
      <c r="FH468" s="237"/>
      <c r="FI468" s="40"/>
      <c r="FL468" s="406"/>
      <c r="FM468" s="406"/>
      <c r="FN468" s="368"/>
      <c r="FO468" s="368"/>
      <c r="FP468" s="368"/>
      <c r="FQ468" s="368"/>
      <c r="FR468" s="368"/>
      <c r="FS468" s="368"/>
      <c r="FT468" s="190"/>
      <c r="GA468" s="241"/>
    </row>
    <row r="469" spans="1:183" ht="12.75" customHeight="1" x14ac:dyDescent="0.2">
      <c r="A469" s="40"/>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183"/>
      <c r="AK469" s="183"/>
      <c r="AL469" s="183"/>
      <c r="AM469" s="183"/>
      <c r="AN469" s="183"/>
      <c r="AO469" s="183"/>
      <c r="AP469" s="183"/>
      <c r="AQ469" s="183"/>
      <c r="AR469" s="183"/>
      <c r="AS469" s="183"/>
      <c r="AT469" s="183"/>
      <c r="AU469" s="183"/>
      <c r="AV469" s="183"/>
      <c r="AW469" s="183"/>
      <c r="AX469" s="183"/>
      <c r="AY469" s="183"/>
      <c r="AZ469" s="183"/>
      <c r="BA469" s="183"/>
      <c r="BB469" s="183"/>
      <c r="BC469" s="183"/>
      <c r="BD469" s="183"/>
      <c r="BE469" s="183"/>
      <c r="BF469" s="183"/>
      <c r="BG469" s="183"/>
      <c r="BH469" s="183"/>
      <c r="BI469" s="183"/>
      <c r="BJ469" s="183"/>
      <c r="BK469" s="183"/>
      <c r="BL469" s="183"/>
      <c r="BM469" s="183"/>
      <c r="BN469" s="183"/>
      <c r="BO469" s="183"/>
      <c r="BP469" s="183"/>
      <c r="BQ469" s="183"/>
      <c r="BR469" s="183"/>
      <c r="BS469" s="183"/>
      <c r="BT469" s="183"/>
      <c r="BU469" s="183"/>
      <c r="BV469" s="183"/>
      <c r="BW469" s="183"/>
      <c r="BX469" s="183"/>
      <c r="BY469" s="183"/>
      <c r="BZ469" s="183"/>
      <c r="CA469" s="183"/>
      <c r="CB469" s="183"/>
      <c r="CC469" s="183"/>
      <c r="CD469" s="183"/>
      <c r="CE469" s="183"/>
      <c r="CF469" s="183"/>
      <c r="CG469" s="183"/>
      <c r="CH469" s="183"/>
      <c r="CI469" s="183"/>
      <c r="CJ469" s="183"/>
      <c r="CK469" s="183"/>
      <c r="CL469" s="183"/>
      <c r="CM469" s="183"/>
      <c r="CN469" s="183"/>
      <c r="CO469" s="183"/>
      <c r="CP469" s="183"/>
      <c r="CQ469" s="183"/>
      <c r="CR469" s="183"/>
      <c r="CS469" s="183"/>
      <c r="CT469" s="183"/>
      <c r="CU469" s="183"/>
      <c r="CV469" s="183"/>
      <c r="CW469" s="183"/>
      <c r="DQ469" s="40"/>
      <c r="DR469" s="40"/>
      <c r="DS469" s="40"/>
      <c r="DT469" s="40"/>
      <c r="DU469" s="40"/>
      <c r="DV469" s="40"/>
      <c r="DW469" s="40"/>
      <c r="DX469" s="40"/>
      <c r="DY469" s="40"/>
      <c r="DZ469" s="40"/>
      <c r="EA469" s="40"/>
      <c r="EB469" s="526"/>
      <c r="EC469" s="526"/>
      <c r="ED469" s="526"/>
      <c r="EE469" s="526"/>
      <c r="EF469" s="526"/>
      <c r="EG469" s="526"/>
      <c r="EH469" s="526"/>
      <c r="EI469" s="526"/>
      <c r="EJ469" s="526"/>
      <c r="EK469" s="526"/>
      <c r="EL469" s="526"/>
      <c r="EM469" s="526"/>
      <c r="EN469" s="526"/>
      <c r="EO469" s="526"/>
      <c r="EP469" s="526"/>
      <c r="EQ469" s="526"/>
      <c r="ER469" s="526"/>
      <c r="ES469" s="526"/>
      <c r="ET469" s="526"/>
      <c r="EU469" s="526"/>
      <c r="EV469" s="526"/>
      <c r="EW469" s="526"/>
      <c r="EX469" s="526"/>
      <c r="EY469" s="526"/>
      <c r="EZ469" s="526"/>
      <c r="FA469" s="526"/>
      <c r="FB469" s="526"/>
      <c r="FC469" s="526"/>
      <c r="FD469" s="526"/>
      <c r="FE469" s="526"/>
      <c r="FF469" s="40"/>
      <c r="FG469" s="190"/>
      <c r="FH469" s="237"/>
      <c r="FI469" s="40"/>
      <c r="FL469" s="406"/>
      <c r="FM469" s="406"/>
      <c r="FN469" s="368"/>
      <c r="FO469" s="368"/>
      <c r="FP469" s="368"/>
      <c r="FQ469" s="368"/>
      <c r="FR469" s="368"/>
      <c r="FS469" s="368"/>
      <c r="FT469" s="190"/>
      <c r="GA469" s="241"/>
    </row>
    <row r="470" spans="1:183" ht="12.75" customHeight="1" x14ac:dyDescent="0.2">
      <c r="A470" s="40"/>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183"/>
      <c r="AK470" s="183"/>
      <c r="AL470" s="183"/>
      <c r="AM470" s="183"/>
      <c r="AN470" s="183"/>
      <c r="AO470" s="183"/>
      <c r="AP470" s="183"/>
      <c r="AQ470" s="183"/>
      <c r="AR470" s="183"/>
      <c r="AS470" s="183"/>
      <c r="AT470" s="183"/>
      <c r="AU470" s="183"/>
      <c r="AV470" s="183"/>
      <c r="AW470" s="183"/>
      <c r="AX470" s="183"/>
      <c r="AY470" s="183"/>
      <c r="AZ470" s="183"/>
      <c r="BA470" s="183"/>
      <c r="BB470" s="183"/>
      <c r="BC470" s="183"/>
      <c r="BD470" s="183"/>
      <c r="BE470" s="183"/>
      <c r="BF470" s="183"/>
      <c r="BG470" s="183"/>
      <c r="BH470" s="183"/>
      <c r="BI470" s="183"/>
      <c r="BJ470" s="183"/>
      <c r="BK470" s="183"/>
      <c r="BL470" s="183"/>
      <c r="BM470" s="183"/>
      <c r="BN470" s="183"/>
      <c r="BO470" s="183"/>
      <c r="BP470" s="183"/>
      <c r="BQ470" s="183"/>
      <c r="BR470" s="183"/>
      <c r="BS470" s="183"/>
      <c r="BT470" s="183"/>
      <c r="BU470" s="183"/>
      <c r="BV470" s="183"/>
      <c r="BW470" s="183"/>
      <c r="BX470" s="183"/>
      <c r="BY470" s="183"/>
      <c r="BZ470" s="183"/>
      <c r="CA470" s="183"/>
      <c r="CB470" s="183"/>
      <c r="CC470" s="183"/>
      <c r="CD470" s="183"/>
      <c r="CE470" s="183"/>
      <c r="CF470" s="183"/>
      <c r="CG470" s="183"/>
      <c r="CH470" s="183"/>
      <c r="CI470" s="183"/>
      <c r="CJ470" s="183"/>
      <c r="CK470" s="183"/>
      <c r="CL470" s="183"/>
      <c r="CM470" s="183"/>
      <c r="CN470" s="183"/>
      <c r="CO470" s="183"/>
      <c r="CP470" s="183"/>
      <c r="CQ470" s="183"/>
      <c r="CR470" s="183"/>
      <c r="CS470" s="183"/>
      <c r="CT470" s="183"/>
      <c r="CU470" s="183"/>
      <c r="CV470" s="183"/>
      <c r="CW470" s="183"/>
      <c r="CX470" s="183"/>
      <c r="CY470" s="40"/>
      <c r="CZ470" s="40"/>
      <c r="DA470" s="24"/>
      <c r="DB470" s="24"/>
      <c r="DC470" s="40"/>
      <c r="DD470" s="40"/>
      <c r="DE470" s="40"/>
      <c r="DF470" s="40"/>
      <c r="DG470" s="40"/>
      <c r="DH470" s="40"/>
      <c r="DI470" s="40"/>
      <c r="DJ470" s="40"/>
      <c r="DK470" s="40"/>
      <c r="DL470" s="527"/>
      <c r="DM470" s="527"/>
      <c r="DN470" s="527"/>
      <c r="DO470" s="527"/>
      <c r="DP470" s="527"/>
      <c r="DQ470" s="40"/>
      <c r="DR470" s="40"/>
      <c r="DS470" s="40"/>
      <c r="DT470" s="40"/>
      <c r="DU470" s="40"/>
      <c r="DV470" s="40"/>
      <c r="DW470" s="40"/>
      <c r="DX470" s="40"/>
      <c r="DY470" s="40"/>
      <c r="DZ470" s="40"/>
      <c r="EA470" s="40"/>
      <c r="EB470" s="526"/>
      <c r="EC470" s="526"/>
      <c r="ED470" s="526"/>
      <c r="EE470" s="526"/>
      <c r="EF470" s="527"/>
      <c r="EG470" s="526"/>
      <c r="EH470" s="526"/>
      <c r="EI470" s="526"/>
      <c r="EJ470" s="526"/>
      <c r="EK470" s="527"/>
      <c r="EL470" s="526"/>
      <c r="EM470" s="526"/>
      <c r="EN470" s="526"/>
      <c r="EO470" s="526"/>
      <c r="EP470" s="527"/>
      <c r="EQ470" s="526"/>
      <c r="ER470" s="526"/>
      <c r="ES470" s="526"/>
      <c r="ET470" s="526"/>
      <c r="EU470" s="527"/>
      <c r="EV470" s="526"/>
      <c r="EW470" s="526"/>
      <c r="EX470" s="526"/>
      <c r="EY470" s="526"/>
      <c r="EZ470" s="527"/>
      <c r="FA470" s="526"/>
      <c r="FB470" s="526"/>
      <c r="FC470" s="526"/>
      <c r="FD470" s="526"/>
      <c r="FE470" s="527"/>
      <c r="FF470" s="40"/>
      <c r="FG470" s="190"/>
      <c r="FH470" s="237"/>
      <c r="FI470" s="40"/>
      <c r="FL470" s="406"/>
      <c r="FM470" s="406"/>
      <c r="FN470" s="368"/>
      <c r="FO470" s="368"/>
      <c r="FP470" s="368"/>
      <c r="FQ470" s="368"/>
      <c r="FR470" s="368"/>
      <c r="FS470" s="368"/>
      <c r="FT470" s="190"/>
      <c r="GA470" s="241"/>
    </row>
    <row r="471" spans="1:183" ht="12.75" customHeight="1" x14ac:dyDescent="0.2">
      <c r="DL471" s="526"/>
      <c r="DM471" s="526"/>
      <c r="DN471" s="526"/>
      <c r="DO471" s="526"/>
      <c r="DP471" s="526"/>
      <c r="DQ471" s="40"/>
      <c r="DR471" s="40"/>
      <c r="DS471" s="40"/>
      <c r="DT471" s="40"/>
      <c r="DU471" s="40"/>
      <c r="DV471" s="40"/>
      <c r="DW471" s="40"/>
      <c r="DX471" s="40"/>
      <c r="DY471" s="40"/>
      <c r="DZ471" s="40"/>
      <c r="EA471" s="40"/>
      <c r="EB471" s="526"/>
      <c r="EC471" s="526"/>
      <c r="ED471" s="526"/>
      <c r="EE471" s="526"/>
      <c r="EF471" s="526"/>
      <c r="EG471" s="526"/>
      <c r="EH471" s="526"/>
      <c r="EI471" s="526"/>
      <c r="EJ471" s="526"/>
      <c r="EK471" s="526"/>
      <c r="EL471" s="526"/>
      <c r="EM471" s="526"/>
      <c r="EN471" s="526"/>
      <c r="EO471" s="526"/>
      <c r="EP471" s="526"/>
      <c r="EQ471" s="526"/>
      <c r="ER471" s="526"/>
      <c r="ES471" s="526"/>
      <c r="ET471" s="526"/>
      <c r="EU471" s="526"/>
      <c r="EV471" s="526"/>
      <c r="EW471" s="526"/>
      <c r="EX471" s="526"/>
      <c r="EY471" s="526"/>
      <c r="EZ471" s="526"/>
      <c r="FA471" s="526"/>
      <c r="FB471" s="526"/>
      <c r="FC471" s="526"/>
      <c r="FD471" s="526"/>
      <c r="FE471" s="526"/>
    </row>
    <row r="472" spans="1:183" ht="12.75" customHeight="1" x14ac:dyDescent="0.2">
      <c r="DL472" s="526"/>
      <c r="DM472" s="526"/>
      <c r="DN472" s="526"/>
      <c r="DO472" s="526"/>
      <c r="DP472" s="526"/>
      <c r="DQ472" s="40"/>
      <c r="DR472" s="40"/>
      <c r="DS472" s="40"/>
      <c r="DT472" s="40"/>
      <c r="DU472" s="40"/>
      <c r="DV472" s="40"/>
      <c r="DW472" s="40"/>
      <c r="DX472" s="40"/>
      <c r="DY472" s="40"/>
      <c r="DZ472" s="40"/>
      <c r="EA472" s="40"/>
      <c r="EB472" s="526"/>
      <c r="EC472" s="526"/>
      <c r="ED472" s="526"/>
      <c r="EE472" s="526"/>
      <c r="EF472" s="526"/>
      <c r="EG472" s="526"/>
      <c r="EH472" s="526"/>
      <c r="EI472" s="526"/>
      <c r="EJ472" s="526"/>
      <c r="EK472" s="526"/>
      <c r="EL472" s="526"/>
      <c r="EM472" s="526"/>
      <c r="EN472" s="526"/>
      <c r="EO472" s="526"/>
      <c r="EP472" s="526"/>
      <c r="EQ472" s="526"/>
      <c r="ER472" s="526"/>
      <c r="ES472" s="526"/>
      <c r="ET472" s="526"/>
      <c r="EU472" s="526"/>
      <c r="EV472" s="526"/>
      <c r="EW472" s="526"/>
      <c r="EX472" s="526"/>
      <c r="EY472" s="526"/>
      <c r="EZ472" s="526"/>
      <c r="FA472" s="526"/>
      <c r="FB472" s="526"/>
      <c r="FC472" s="526"/>
      <c r="FD472" s="526"/>
      <c r="FE472" s="526"/>
    </row>
    <row r="473" spans="1:183" ht="12.75" customHeight="1" x14ac:dyDescent="0.2">
      <c r="DL473" s="526"/>
      <c r="DM473" s="526"/>
      <c r="DN473" s="526"/>
      <c r="DO473" s="526"/>
      <c r="DP473" s="526"/>
      <c r="DQ473" s="40"/>
      <c r="DR473" s="40"/>
      <c r="DS473" s="40"/>
      <c r="DT473" s="40"/>
      <c r="DU473" s="40"/>
      <c r="DV473" s="40"/>
      <c r="DW473" s="40"/>
      <c r="DX473" s="40"/>
      <c r="DY473" s="40"/>
      <c r="DZ473" s="40"/>
      <c r="EA473" s="40"/>
      <c r="EB473" s="526"/>
      <c r="EC473" s="526"/>
      <c r="ED473" s="526"/>
      <c r="EE473" s="526"/>
      <c r="EF473" s="526"/>
      <c r="EG473" s="526"/>
      <c r="EH473" s="526"/>
      <c r="EI473" s="526"/>
      <c r="EJ473" s="526"/>
      <c r="EK473" s="526"/>
      <c r="EL473" s="526"/>
      <c r="EM473" s="526"/>
      <c r="EN473" s="526"/>
      <c r="EO473" s="526"/>
      <c r="EP473" s="526"/>
      <c r="EQ473" s="526"/>
      <c r="ER473" s="526"/>
      <c r="ES473" s="526"/>
      <c r="ET473" s="526"/>
      <c r="EU473" s="526"/>
      <c r="EV473" s="526"/>
      <c r="EW473" s="526"/>
      <c r="EX473" s="526"/>
      <c r="EY473" s="526"/>
      <c r="EZ473" s="526"/>
      <c r="FA473" s="526"/>
      <c r="FB473" s="526"/>
      <c r="FC473" s="526"/>
      <c r="FD473" s="526"/>
      <c r="FE473" s="526"/>
    </row>
    <row r="474" spans="1:183" ht="12.75" customHeight="1" x14ac:dyDescent="0.2">
      <c r="DL474" s="526"/>
      <c r="DM474" s="526"/>
      <c r="DN474" s="526"/>
      <c r="DO474" s="526"/>
      <c r="DP474" s="526"/>
      <c r="DQ474" s="40"/>
      <c r="DR474" s="40"/>
      <c r="DS474" s="40"/>
      <c r="DT474" s="40"/>
      <c r="DU474" s="40"/>
      <c r="DV474" s="40"/>
      <c r="DW474" s="40"/>
      <c r="DX474" s="40"/>
      <c r="DY474" s="40"/>
      <c r="DZ474" s="40"/>
      <c r="EA474" s="40"/>
      <c r="EB474" s="526"/>
      <c r="EC474" s="526"/>
      <c r="ED474" s="526"/>
      <c r="EE474" s="526"/>
      <c r="EF474" s="526"/>
      <c r="EG474" s="526"/>
      <c r="EH474" s="526"/>
      <c r="EI474" s="526"/>
      <c r="EJ474" s="526"/>
      <c r="EK474" s="526"/>
      <c r="EL474" s="526"/>
      <c r="EM474" s="526"/>
      <c r="EN474" s="526"/>
      <c r="EO474" s="526"/>
      <c r="EP474" s="526"/>
      <c r="EQ474" s="526"/>
      <c r="ER474" s="526"/>
      <c r="ES474" s="526"/>
      <c r="ET474" s="526"/>
      <c r="EU474" s="526"/>
      <c r="EV474" s="526"/>
      <c r="EW474" s="526"/>
      <c r="EX474" s="526"/>
      <c r="EY474" s="526"/>
      <c r="EZ474" s="526"/>
      <c r="FA474" s="526"/>
      <c r="FB474" s="526"/>
      <c r="FC474" s="526"/>
      <c r="FD474" s="526"/>
      <c r="FE474" s="526"/>
    </row>
    <row r="475" spans="1:183" ht="12.75" customHeight="1" x14ac:dyDescent="0.2">
      <c r="DL475" s="526"/>
      <c r="DM475" s="526"/>
      <c r="DN475" s="526"/>
      <c r="DO475" s="526"/>
      <c r="DP475" s="526"/>
      <c r="DQ475" s="40"/>
      <c r="DR475" s="40"/>
      <c r="DS475" s="40"/>
      <c r="DT475" s="40"/>
      <c r="DU475" s="40"/>
      <c r="DV475" s="40"/>
      <c r="DW475" s="40"/>
      <c r="DX475" s="40"/>
      <c r="DY475" s="40"/>
      <c r="DZ475" s="40"/>
      <c r="EA475" s="40"/>
      <c r="EB475" s="526"/>
      <c r="EC475" s="526"/>
      <c r="ED475" s="526"/>
      <c r="EE475" s="526"/>
      <c r="EF475" s="526"/>
      <c r="EG475" s="526"/>
      <c r="EH475" s="526"/>
      <c r="EI475" s="526"/>
      <c r="EJ475" s="526"/>
      <c r="EK475" s="526"/>
      <c r="EL475" s="526"/>
      <c r="EM475" s="526"/>
      <c r="EN475" s="526"/>
      <c r="EO475" s="526"/>
      <c r="EP475" s="526"/>
      <c r="EQ475" s="526"/>
      <c r="ER475" s="526"/>
      <c r="ES475" s="526"/>
      <c r="ET475" s="526"/>
      <c r="EU475" s="526"/>
      <c r="EV475" s="526"/>
      <c r="EW475" s="526"/>
      <c r="EX475" s="526"/>
      <c r="EY475" s="526"/>
      <c r="EZ475" s="526"/>
      <c r="FA475" s="526"/>
      <c r="FB475" s="526"/>
      <c r="FC475" s="526"/>
      <c r="FD475" s="526"/>
      <c r="FE475" s="526"/>
    </row>
    <row r="476" spans="1:183" ht="12.75" customHeight="1" x14ac:dyDescent="0.2">
      <c r="DL476" s="526"/>
      <c r="DM476" s="526"/>
      <c r="DN476" s="526"/>
      <c r="DO476" s="526"/>
      <c r="DP476" s="526"/>
      <c r="DQ476" s="40"/>
      <c r="DR476" s="40"/>
      <c r="DS476" s="40"/>
      <c r="DT476" s="40"/>
      <c r="DU476" s="40"/>
      <c r="DV476" s="40"/>
      <c r="DW476" s="40"/>
      <c r="DX476" s="40"/>
      <c r="DY476" s="40"/>
      <c r="DZ476" s="40"/>
      <c r="EA476" s="40"/>
      <c r="EB476" s="526"/>
      <c r="EC476" s="526"/>
      <c r="ED476" s="526"/>
      <c r="EE476" s="526"/>
      <c r="EF476" s="526"/>
      <c r="EG476" s="526"/>
      <c r="EH476" s="526"/>
      <c r="EI476" s="526"/>
      <c r="EJ476" s="526"/>
      <c r="EK476" s="526"/>
      <c r="EL476" s="526"/>
      <c r="EM476" s="526"/>
      <c r="EN476" s="526"/>
      <c r="EO476" s="526"/>
      <c r="EP476" s="526"/>
      <c r="EQ476" s="526"/>
      <c r="ER476" s="526"/>
      <c r="ES476" s="526"/>
      <c r="ET476" s="526"/>
      <c r="EU476" s="526"/>
      <c r="EV476" s="526"/>
      <c r="EW476" s="526"/>
      <c r="EX476" s="526"/>
      <c r="EY476" s="526"/>
      <c r="EZ476" s="526"/>
      <c r="FA476" s="526"/>
      <c r="FB476" s="526"/>
      <c r="FC476" s="526"/>
      <c r="FD476" s="526"/>
      <c r="FE476" s="526"/>
    </row>
    <row r="477" spans="1:183" ht="12.75" customHeight="1" x14ac:dyDescent="0.2">
      <c r="DL477" s="526"/>
      <c r="DM477" s="526"/>
      <c r="DN477" s="526"/>
      <c r="DO477" s="526"/>
      <c r="DP477" s="526"/>
      <c r="DQ477" s="40"/>
      <c r="DR477" s="40"/>
      <c r="DS477" s="40"/>
      <c r="DT477" s="40"/>
      <c r="DU477" s="40"/>
      <c r="DV477" s="40"/>
      <c r="DW477" s="40"/>
      <c r="DX477" s="40"/>
      <c r="DY477" s="40"/>
      <c r="DZ477" s="40"/>
      <c r="EA477" s="40"/>
      <c r="EB477" s="526"/>
      <c r="EC477" s="526"/>
      <c r="ED477" s="526"/>
      <c r="EE477" s="526"/>
      <c r="EF477" s="526"/>
      <c r="EG477" s="526"/>
      <c r="EH477" s="526"/>
      <c r="EI477" s="526"/>
      <c r="EJ477" s="526"/>
      <c r="EK477" s="526"/>
      <c r="EL477" s="526"/>
      <c r="EM477" s="526"/>
      <c r="EN477" s="526"/>
      <c r="EO477" s="526"/>
      <c r="EP477" s="526"/>
      <c r="EQ477" s="526"/>
      <c r="ER477" s="526"/>
      <c r="ES477" s="526"/>
      <c r="ET477" s="526"/>
      <c r="EU477" s="526"/>
      <c r="EV477" s="526"/>
      <c r="EW477" s="526"/>
      <c r="EX477" s="526"/>
      <c r="EY477" s="526"/>
      <c r="EZ477" s="526"/>
      <c r="FA477" s="526"/>
      <c r="FB477" s="526"/>
      <c r="FC477" s="526"/>
      <c r="FD477" s="526"/>
      <c r="FE477" s="526"/>
    </row>
    <row r="478" spans="1:183" ht="12.75" customHeight="1" x14ac:dyDescent="0.2">
      <c r="DL478" s="526"/>
      <c r="DM478" s="526"/>
      <c r="DN478" s="526"/>
      <c r="DO478" s="526"/>
      <c r="DP478" s="526"/>
      <c r="DQ478" s="40"/>
      <c r="DR478" s="40"/>
      <c r="DS478" s="40"/>
      <c r="DT478" s="40"/>
      <c r="DU478" s="40"/>
      <c r="DV478" s="40"/>
      <c r="DW478" s="40"/>
      <c r="DX478" s="40"/>
      <c r="DY478" s="40"/>
      <c r="DZ478" s="40"/>
      <c r="EA478" s="40"/>
      <c r="EB478" s="526"/>
      <c r="EC478" s="526"/>
      <c r="ED478" s="526"/>
      <c r="EE478" s="526"/>
      <c r="EF478" s="526"/>
      <c r="EG478" s="526"/>
      <c r="EH478" s="526"/>
      <c r="EI478" s="526"/>
      <c r="EJ478" s="526"/>
      <c r="EK478" s="526"/>
      <c r="EL478" s="526"/>
      <c r="EM478" s="526"/>
      <c r="EN478" s="526"/>
      <c r="EO478" s="526"/>
      <c r="EP478" s="526"/>
      <c r="EQ478" s="526"/>
      <c r="ER478" s="526"/>
      <c r="ES478" s="526"/>
      <c r="ET478" s="526"/>
      <c r="EU478" s="526"/>
      <c r="EV478" s="526"/>
      <c r="EW478" s="526"/>
      <c r="EX478" s="526"/>
      <c r="EY478" s="526"/>
      <c r="EZ478" s="526"/>
      <c r="FA478" s="526"/>
      <c r="FB478" s="526"/>
      <c r="FC478" s="526"/>
      <c r="FD478" s="526"/>
      <c r="FE478" s="526"/>
    </row>
    <row r="479" spans="1:183" ht="12.75" customHeight="1" x14ac:dyDescent="0.2">
      <c r="DL479" s="526"/>
      <c r="DM479" s="526"/>
      <c r="DN479" s="526"/>
      <c r="DO479" s="526"/>
      <c r="DP479" s="526"/>
      <c r="DQ479" s="40"/>
      <c r="DR479" s="40"/>
      <c r="DS479" s="40"/>
      <c r="DT479" s="40"/>
      <c r="DU479" s="40"/>
      <c r="DV479" s="40"/>
      <c r="DW479" s="40"/>
      <c r="DX479" s="40"/>
      <c r="DY479" s="40"/>
      <c r="DZ479" s="40"/>
      <c r="EA479" s="40"/>
      <c r="EB479" s="526"/>
      <c r="EC479" s="526"/>
      <c r="ED479" s="526"/>
      <c r="EE479" s="526"/>
      <c r="EF479" s="526"/>
      <c r="EG479" s="526"/>
      <c r="EH479" s="526"/>
      <c r="EI479" s="526"/>
      <c r="EJ479" s="526"/>
      <c r="EK479" s="526"/>
      <c r="EL479" s="526"/>
      <c r="EM479" s="526"/>
      <c r="EN479" s="526"/>
      <c r="EO479" s="526"/>
      <c r="EP479" s="526"/>
      <c r="EQ479" s="526"/>
      <c r="ER479" s="526"/>
      <c r="ES479" s="526"/>
      <c r="ET479" s="526"/>
      <c r="EU479" s="526"/>
      <c r="EV479" s="526"/>
      <c r="EW479" s="526"/>
      <c r="EX479" s="526"/>
      <c r="EY479" s="526"/>
      <c r="EZ479" s="526"/>
      <c r="FA479" s="526"/>
      <c r="FB479" s="526"/>
      <c r="FC479" s="526"/>
      <c r="FD479" s="526"/>
      <c r="FE479" s="526"/>
    </row>
    <row r="480" spans="1:183" ht="12.75" customHeight="1" x14ac:dyDescent="0.2">
      <c r="DL480" s="526"/>
      <c r="DM480" s="526"/>
      <c r="DN480" s="526"/>
      <c r="DO480" s="526"/>
      <c r="DP480" s="526"/>
      <c r="DQ480" s="40"/>
      <c r="DR480" s="40"/>
      <c r="DS480" s="40"/>
      <c r="DT480" s="40"/>
      <c r="DU480" s="40"/>
      <c r="DV480" s="40"/>
      <c r="DW480" s="40"/>
      <c r="DX480" s="40"/>
      <c r="DY480" s="40"/>
      <c r="DZ480" s="40"/>
      <c r="EA480" s="40"/>
      <c r="EB480" s="526"/>
      <c r="EC480" s="526"/>
      <c r="ED480" s="526"/>
      <c r="EE480" s="526"/>
      <c r="EF480" s="526"/>
      <c r="EG480" s="526"/>
      <c r="EH480" s="526"/>
      <c r="EI480" s="526"/>
      <c r="EJ480" s="526"/>
      <c r="EK480" s="526"/>
      <c r="EL480" s="526"/>
      <c r="EM480" s="526"/>
      <c r="EN480" s="526"/>
      <c r="EO480" s="526"/>
      <c r="EP480" s="526"/>
      <c r="EQ480" s="526"/>
      <c r="ER480" s="526"/>
      <c r="ES480" s="526"/>
      <c r="ET480" s="526"/>
      <c r="EU480" s="526"/>
      <c r="EV480" s="526"/>
      <c r="EW480" s="526"/>
      <c r="EX480" s="526"/>
      <c r="EY480" s="526"/>
      <c r="EZ480" s="526"/>
      <c r="FA480" s="526"/>
      <c r="FB480" s="526"/>
      <c r="FC480" s="526"/>
      <c r="FD480" s="526"/>
      <c r="FE480" s="526"/>
    </row>
    <row r="481" spans="116:161" ht="12.75" customHeight="1" x14ac:dyDescent="0.2">
      <c r="DL481" s="526"/>
      <c r="DM481" s="526"/>
      <c r="DN481" s="526"/>
      <c r="DO481" s="526"/>
      <c r="DP481" s="526"/>
      <c r="DQ481" s="40"/>
      <c r="DR481" s="40"/>
      <c r="DS481" s="40"/>
      <c r="DT481" s="40"/>
      <c r="DU481" s="40"/>
      <c r="DV481" s="40"/>
      <c r="DW481" s="40"/>
      <c r="DX481" s="40"/>
      <c r="DY481" s="40"/>
      <c r="DZ481" s="40"/>
      <c r="EA481" s="40"/>
      <c r="EB481" s="526"/>
      <c r="EC481" s="526"/>
      <c r="ED481" s="526"/>
      <c r="EE481" s="526"/>
      <c r="EF481" s="526"/>
      <c r="EG481" s="526"/>
      <c r="EH481" s="526"/>
      <c r="EI481" s="526"/>
      <c r="EJ481" s="526"/>
      <c r="EK481" s="526"/>
      <c r="EL481" s="526"/>
      <c r="EM481" s="526"/>
      <c r="EN481" s="526"/>
      <c r="EO481" s="526"/>
      <c r="EP481" s="526"/>
      <c r="EQ481" s="526"/>
      <c r="ER481" s="526"/>
      <c r="ES481" s="526"/>
      <c r="ET481" s="526"/>
      <c r="EU481" s="526"/>
      <c r="EV481" s="526"/>
      <c r="EW481" s="526"/>
      <c r="EX481" s="526"/>
      <c r="EY481" s="526"/>
      <c r="EZ481" s="526"/>
      <c r="FA481" s="526"/>
      <c r="FB481" s="526"/>
      <c r="FC481" s="526"/>
      <c r="FD481" s="526"/>
      <c r="FE481" s="526"/>
    </row>
    <row r="482" spans="116:161" ht="12.75" customHeight="1" x14ac:dyDescent="0.2">
      <c r="DL482" s="526"/>
      <c r="DM482" s="526"/>
      <c r="DN482" s="526"/>
      <c r="DO482" s="526"/>
      <c r="DP482" s="526"/>
      <c r="DQ482" s="526"/>
      <c r="DR482" s="526"/>
      <c r="DS482" s="526"/>
      <c r="DT482" s="526"/>
      <c r="DU482" s="526"/>
      <c r="DV482" s="526"/>
      <c r="DW482" s="526"/>
      <c r="DX482" s="526"/>
      <c r="DY482" s="526"/>
      <c r="DZ482" s="526"/>
      <c r="EA482" s="526"/>
      <c r="EB482" s="526"/>
      <c r="EC482" s="526"/>
      <c r="ED482" s="526"/>
      <c r="EE482" s="526"/>
      <c r="EF482" s="526"/>
      <c r="EG482" s="526"/>
      <c r="EH482" s="526"/>
      <c r="EI482" s="526"/>
      <c r="EJ482" s="526"/>
      <c r="EK482" s="526"/>
      <c r="EL482" s="526"/>
      <c r="EM482" s="526"/>
      <c r="EN482" s="526"/>
      <c r="EO482" s="526"/>
      <c r="EP482" s="526"/>
      <c r="EQ482" s="526"/>
      <c r="ER482" s="526"/>
      <c r="ES482" s="526"/>
      <c r="ET482" s="526"/>
      <c r="EU482" s="526"/>
      <c r="EV482" s="526"/>
      <c r="EW482" s="526"/>
      <c r="EX482" s="526"/>
      <c r="EY482" s="526"/>
      <c r="EZ482" s="526"/>
      <c r="FA482" s="526"/>
      <c r="FB482" s="526"/>
      <c r="FC482" s="526"/>
      <c r="FD482" s="526"/>
      <c r="FE482" s="526"/>
    </row>
    <row r="483" spans="116:161" ht="12.75" customHeight="1" x14ac:dyDescent="0.2">
      <c r="DL483" s="526"/>
      <c r="DM483" s="526"/>
      <c r="DN483" s="526"/>
      <c r="DO483" s="526"/>
      <c r="DP483" s="526"/>
      <c r="DQ483" s="526"/>
      <c r="DR483" s="526"/>
      <c r="DS483" s="526"/>
      <c r="DT483" s="526"/>
      <c r="DU483" s="526"/>
      <c r="DV483" s="526"/>
      <c r="DW483" s="526"/>
      <c r="DX483" s="526"/>
      <c r="DY483" s="526"/>
      <c r="DZ483" s="526"/>
      <c r="EA483" s="526"/>
      <c r="EB483" s="526"/>
      <c r="EC483" s="526"/>
      <c r="ED483" s="526"/>
      <c r="EE483" s="526"/>
      <c r="EF483" s="526"/>
      <c r="EG483" s="526"/>
      <c r="EH483" s="526"/>
      <c r="EI483" s="526"/>
      <c r="EJ483" s="526"/>
      <c r="EK483" s="526"/>
      <c r="EL483" s="526"/>
      <c r="EM483" s="526"/>
      <c r="EN483" s="526"/>
      <c r="EO483" s="526"/>
      <c r="EP483" s="526"/>
      <c r="EQ483" s="526"/>
      <c r="ER483" s="526"/>
      <c r="ES483" s="526"/>
      <c r="ET483" s="526"/>
      <c r="EU483" s="526"/>
      <c r="EV483" s="526"/>
      <c r="EW483" s="526"/>
      <c r="EX483" s="526"/>
      <c r="EY483" s="526"/>
      <c r="EZ483" s="526"/>
      <c r="FA483" s="526"/>
      <c r="FB483" s="526"/>
      <c r="FC483" s="526"/>
      <c r="FD483" s="526"/>
      <c r="FE483" s="526"/>
    </row>
    <row r="484" spans="116:161" ht="12.75" customHeight="1" x14ac:dyDescent="0.2">
      <c r="DL484" s="526"/>
      <c r="DM484" s="526"/>
      <c r="DN484" s="526"/>
      <c r="DO484" s="526"/>
      <c r="DP484" s="526"/>
      <c r="DQ484" s="526"/>
      <c r="DR484" s="526"/>
      <c r="DS484" s="526"/>
      <c r="DT484" s="526"/>
      <c r="DU484" s="526"/>
      <c r="DV484" s="526"/>
      <c r="DW484" s="526"/>
      <c r="DX484" s="526"/>
      <c r="DY484" s="526"/>
      <c r="DZ484" s="526"/>
      <c r="EA484" s="526"/>
      <c r="EB484" s="526"/>
      <c r="EC484" s="526"/>
      <c r="ED484" s="526"/>
      <c r="EE484" s="526"/>
      <c r="EF484" s="526"/>
      <c r="EG484" s="526"/>
      <c r="EH484" s="526"/>
      <c r="EI484" s="526"/>
      <c r="EJ484" s="526"/>
      <c r="EK484" s="526"/>
      <c r="EL484" s="526"/>
      <c r="EM484" s="526"/>
      <c r="EN484" s="526"/>
      <c r="EO484" s="526"/>
      <c r="EP484" s="526"/>
      <c r="EQ484" s="526"/>
      <c r="ER484" s="526"/>
      <c r="ES484" s="526"/>
      <c r="ET484" s="526"/>
      <c r="EU484" s="526"/>
      <c r="EV484" s="526"/>
      <c r="EW484" s="526"/>
      <c r="EX484" s="526"/>
      <c r="EY484" s="526"/>
      <c r="EZ484" s="526"/>
      <c r="FA484" s="526"/>
      <c r="FB484" s="526"/>
      <c r="FC484" s="526"/>
      <c r="FD484" s="526"/>
      <c r="FE484" s="526"/>
    </row>
    <row r="485" spans="116:161" ht="12.75" customHeight="1" x14ac:dyDescent="0.2">
      <c r="DL485" s="526"/>
      <c r="DM485" s="526"/>
      <c r="DN485" s="526"/>
      <c r="DO485" s="526"/>
      <c r="DP485" s="526"/>
      <c r="DQ485" s="526"/>
      <c r="DR485" s="526"/>
      <c r="DS485" s="526"/>
      <c r="DT485" s="526"/>
      <c r="DU485" s="526"/>
      <c r="DV485" s="526"/>
      <c r="DW485" s="526"/>
      <c r="DX485" s="526"/>
      <c r="DY485" s="526"/>
      <c r="DZ485" s="526"/>
      <c r="EA485" s="526"/>
      <c r="EB485" s="526"/>
      <c r="EC485" s="526"/>
      <c r="ED485" s="526"/>
      <c r="EE485" s="526"/>
      <c r="EF485" s="526"/>
      <c r="EG485" s="526"/>
      <c r="EH485" s="526"/>
      <c r="EI485" s="526"/>
      <c r="EJ485" s="526"/>
      <c r="EK485" s="526"/>
      <c r="EL485" s="526"/>
      <c r="EM485" s="526"/>
      <c r="EN485" s="526"/>
      <c r="EO485" s="526"/>
      <c r="EP485" s="526"/>
      <c r="EQ485" s="526"/>
      <c r="ER485" s="526"/>
      <c r="ES485" s="526"/>
      <c r="ET485" s="526"/>
      <c r="EU485" s="526"/>
      <c r="EV485" s="526"/>
      <c r="EW485" s="526"/>
      <c r="EX485" s="526"/>
      <c r="EY485" s="526"/>
      <c r="EZ485" s="526"/>
      <c r="FA485" s="526"/>
      <c r="FB485" s="526"/>
      <c r="FC485" s="526"/>
      <c r="FD485" s="526"/>
      <c r="FE485" s="526"/>
    </row>
  </sheetData>
  <mergeCells count="1">
    <mergeCell ref="A1:A2"/>
  </mergeCells>
  <phoneticPr fontId="8" type="noConversion"/>
  <pageMargins left="0.62" right="0.39" top="0.74" bottom="0.62" header="0.33" footer="0.22"/>
  <pageSetup scale="65" fitToHeight="5" orientation="landscape" r:id="rId1"/>
  <headerFooter alignWithMargins="0"/>
  <rowBreaks count="4" manualBreakCount="4">
    <brk id="53" max="174" man="1"/>
    <brk id="107" max="16383" man="1"/>
    <brk id="161" max="174" man="1"/>
    <brk id="243" max="174" man="1"/>
  </rowBreaks>
  <cellWatches>
    <cellWatch r="BY54"/>
  </cellWatche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x14ac:dyDescent="0.2"/>
  <cols>
    <col min="1" max="1" width="34.5" style="899" bestFit="1" customWidth="1"/>
    <col min="2" max="2" width="23.1640625" style="913" customWidth="1"/>
    <col min="3" max="3" width="14" style="899" bestFit="1" customWidth="1"/>
    <col min="4" max="256" width="9.33203125" style="899"/>
    <col min="257" max="257" width="34.5" style="899" bestFit="1" customWidth="1"/>
    <col min="258" max="258" width="23.1640625" style="899" customWidth="1"/>
    <col min="259" max="259" width="14" style="899" bestFit="1" customWidth="1"/>
    <col min="260" max="512" width="9.33203125" style="899"/>
    <col min="513" max="513" width="34.5" style="899" bestFit="1" customWidth="1"/>
    <col min="514" max="514" width="23.1640625" style="899" customWidth="1"/>
    <col min="515" max="515" width="14" style="899" bestFit="1" customWidth="1"/>
    <col min="516" max="768" width="9.33203125" style="899"/>
    <col min="769" max="769" width="34.5" style="899" bestFit="1" customWidth="1"/>
    <col min="770" max="770" width="23.1640625" style="899" customWidth="1"/>
    <col min="771" max="771" width="14" style="899" bestFit="1" customWidth="1"/>
    <col min="772" max="1024" width="9.33203125" style="899"/>
    <col min="1025" max="1025" width="34.5" style="899" bestFit="1" customWidth="1"/>
    <col min="1026" max="1026" width="23.1640625" style="899" customWidth="1"/>
    <col min="1027" max="1027" width="14" style="899" bestFit="1" customWidth="1"/>
    <col min="1028" max="1280" width="9.33203125" style="899"/>
    <col min="1281" max="1281" width="34.5" style="899" bestFit="1" customWidth="1"/>
    <col min="1282" max="1282" width="23.1640625" style="899" customWidth="1"/>
    <col min="1283" max="1283" width="14" style="899" bestFit="1" customWidth="1"/>
    <col min="1284" max="1536" width="9.33203125" style="899"/>
    <col min="1537" max="1537" width="34.5" style="899" bestFit="1" customWidth="1"/>
    <col min="1538" max="1538" width="23.1640625" style="899" customWidth="1"/>
    <col min="1539" max="1539" width="14" style="899" bestFit="1" customWidth="1"/>
    <col min="1540" max="1792" width="9.33203125" style="899"/>
    <col min="1793" max="1793" width="34.5" style="899" bestFit="1" customWidth="1"/>
    <col min="1794" max="1794" width="23.1640625" style="899" customWidth="1"/>
    <col min="1795" max="1795" width="14" style="899" bestFit="1" customWidth="1"/>
    <col min="1796" max="2048" width="9.33203125" style="899"/>
    <col min="2049" max="2049" width="34.5" style="899" bestFit="1" customWidth="1"/>
    <col min="2050" max="2050" width="23.1640625" style="899" customWidth="1"/>
    <col min="2051" max="2051" width="14" style="899" bestFit="1" customWidth="1"/>
    <col min="2052" max="2304" width="9.33203125" style="899"/>
    <col min="2305" max="2305" width="34.5" style="899" bestFit="1" customWidth="1"/>
    <col min="2306" max="2306" width="23.1640625" style="899" customWidth="1"/>
    <col min="2307" max="2307" width="14" style="899" bestFit="1" customWidth="1"/>
    <col min="2308" max="2560" width="9.33203125" style="899"/>
    <col min="2561" max="2561" width="34.5" style="899" bestFit="1" customWidth="1"/>
    <col min="2562" max="2562" width="23.1640625" style="899" customWidth="1"/>
    <col min="2563" max="2563" width="14" style="899" bestFit="1" customWidth="1"/>
    <col min="2564" max="2816" width="9.33203125" style="899"/>
    <col min="2817" max="2817" width="34.5" style="899" bestFit="1" customWidth="1"/>
    <col min="2818" max="2818" width="23.1640625" style="899" customWidth="1"/>
    <col min="2819" max="2819" width="14" style="899" bestFit="1" customWidth="1"/>
    <col min="2820" max="3072" width="9.33203125" style="899"/>
    <col min="3073" max="3073" width="34.5" style="899" bestFit="1" customWidth="1"/>
    <col min="3074" max="3074" width="23.1640625" style="899" customWidth="1"/>
    <col min="3075" max="3075" width="14" style="899" bestFit="1" customWidth="1"/>
    <col min="3076" max="3328" width="9.33203125" style="899"/>
    <col min="3329" max="3329" width="34.5" style="899" bestFit="1" customWidth="1"/>
    <col min="3330" max="3330" width="23.1640625" style="899" customWidth="1"/>
    <col min="3331" max="3331" width="14" style="899" bestFit="1" customWidth="1"/>
    <col min="3332" max="3584" width="9.33203125" style="899"/>
    <col min="3585" max="3585" width="34.5" style="899" bestFit="1" customWidth="1"/>
    <col min="3586" max="3586" width="23.1640625" style="899" customWidth="1"/>
    <col min="3587" max="3587" width="14" style="899" bestFit="1" customWidth="1"/>
    <col min="3588" max="3840" width="9.33203125" style="899"/>
    <col min="3841" max="3841" width="34.5" style="899" bestFit="1" customWidth="1"/>
    <col min="3842" max="3842" width="23.1640625" style="899" customWidth="1"/>
    <col min="3843" max="3843" width="14" style="899" bestFit="1" customWidth="1"/>
    <col min="3844" max="4096" width="9.33203125" style="899"/>
    <col min="4097" max="4097" width="34.5" style="899" bestFit="1" customWidth="1"/>
    <col min="4098" max="4098" width="23.1640625" style="899" customWidth="1"/>
    <col min="4099" max="4099" width="14" style="899" bestFit="1" customWidth="1"/>
    <col min="4100" max="4352" width="9.33203125" style="899"/>
    <col min="4353" max="4353" width="34.5" style="899" bestFit="1" customWidth="1"/>
    <col min="4354" max="4354" width="23.1640625" style="899" customWidth="1"/>
    <col min="4355" max="4355" width="14" style="899" bestFit="1" customWidth="1"/>
    <col min="4356" max="4608" width="9.33203125" style="899"/>
    <col min="4609" max="4609" width="34.5" style="899" bestFit="1" customWidth="1"/>
    <col min="4610" max="4610" width="23.1640625" style="899" customWidth="1"/>
    <col min="4611" max="4611" width="14" style="899" bestFit="1" customWidth="1"/>
    <col min="4612" max="4864" width="9.33203125" style="899"/>
    <col min="4865" max="4865" width="34.5" style="899" bestFit="1" customWidth="1"/>
    <col min="4866" max="4866" width="23.1640625" style="899" customWidth="1"/>
    <col min="4867" max="4867" width="14" style="899" bestFit="1" customWidth="1"/>
    <col min="4868" max="5120" width="9.33203125" style="899"/>
    <col min="5121" max="5121" width="34.5" style="899" bestFit="1" customWidth="1"/>
    <col min="5122" max="5122" width="23.1640625" style="899" customWidth="1"/>
    <col min="5123" max="5123" width="14" style="899" bestFit="1" customWidth="1"/>
    <col min="5124" max="5376" width="9.33203125" style="899"/>
    <col min="5377" max="5377" width="34.5" style="899" bestFit="1" customWidth="1"/>
    <col min="5378" max="5378" width="23.1640625" style="899" customWidth="1"/>
    <col min="5379" max="5379" width="14" style="899" bestFit="1" customWidth="1"/>
    <col min="5380" max="5632" width="9.33203125" style="899"/>
    <col min="5633" max="5633" width="34.5" style="899" bestFit="1" customWidth="1"/>
    <col min="5634" max="5634" width="23.1640625" style="899" customWidth="1"/>
    <col min="5635" max="5635" width="14" style="899" bestFit="1" customWidth="1"/>
    <col min="5636" max="5888" width="9.33203125" style="899"/>
    <col min="5889" max="5889" width="34.5" style="899" bestFit="1" customWidth="1"/>
    <col min="5890" max="5890" width="23.1640625" style="899" customWidth="1"/>
    <col min="5891" max="5891" width="14" style="899" bestFit="1" customWidth="1"/>
    <col min="5892" max="6144" width="9.33203125" style="899"/>
    <col min="6145" max="6145" width="34.5" style="899" bestFit="1" customWidth="1"/>
    <col min="6146" max="6146" width="23.1640625" style="899" customWidth="1"/>
    <col min="6147" max="6147" width="14" style="899" bestFit="1" customWidth="1"/>
    <col min="6148" max="6400" width="9.33203125" style="899"/>
    <col min="6401" max="6401" width="34.5" style="899" bestFit="1" customWidth="1"/>
    <col min="6402" max="6402" width="23.1640625" style="899" customWidth="1"/>
    <col min="6403" max="6403" width="14" style="899" bestFit="1" customWidth="1"/>
    <col min="6404" max="6656" width="9.33203125" style="899"/>
    <col min="6657" max="6657" width="34.5" style="899" bestFit="1" customWidth="1"/>
    <col min="6658" max="6658" width="23.1640625" style="899" customWidth="1"/>
    <col min="6659" max="6659" width="14" style="899" bestFit="1" customWidth="1"/>
    <col min="6660" max="6912" width="9.33203125" style="899"/>
    <col min="6913" max="6913" width="34.5" style="899" bestFit="1" customWidth="1"/>
    <col min="6914" max="6914" width="23.1640625" style="899" customWidth="1"/>
    <col min="6915" max="6915" width="14" style="899" bestFit="1" customWidth="1"/>
    <col min="6916" max="7168" width="9.33203125" style="899"/>
    <col min="7169" max="7169" width="34.5" style="899" bestFit="1" customWidth="1"/>
    <col min="7170" max="7170" width="23.1640625" style="899" customWidth="1"/>
    <col min="7171" max="7171" width="14" style="899" bestFit="1" customWidth="1"/>
    <col min="7172" max="7424" width="9.33203125" style="899"/>
    <col min="7425" max="7425" width="34.5" style="899" bestFit="1" customWidth="1"/>
    <col min="7426" max="7426" width="23.1640625" style="899" customWidth="1"/>
    <col min="7427" max="7427" width="14" style="899" bestFit="1" customWidth="1"/>
    <col min="7428" max="7680" width="9.33203125" style="899"/>
    <col min="7681" max="7681" width="34.5" style="899" bestFit="1" customWidth="1"/>
    <col min="7682" max="7682" width="23.1640625" style="899" customWidth="1"/>
    <col min="7683" max="7683" width="14" style="899" bestFit="1" customWidth="1"/>
    <col min="7684" max="7936" width="9.33203125" style="899"/>
    <col min="7937" max="7937" width="34.5" style="899" bestFit="1" customWidth="1"/>
    <col min="7938" max="7938" width="23.1640625" style="899" customWidth="1"/>
    <col min="7939" max="7939" width="14" style="899" bestFit="1" customWidth="1"/>
    <col min="7940" max="8192" width="9.33203125" style="899"/>
    <col min="8193" max="8193" width="34.5" style="899" bestFit="1" customWidth="1"/>
    <col min="8194" max="8194" width="23.1640625" style="899" customWidth="1"/>
    <col min="8195" max="8195" width="14" style="899" bestFit="1" customWidth="1"/>
    <col min="8196" max="8448" width="9.33203125" style="899"/>
    <col min="8449" max="8449" width="34.5" style="899" bestFit="1" customWidth="1"/>
    <col min="8450" max="8450" width="23.1640625" style="899" customWidth="1"/>
    <col min="8451" max="8451" width="14" style="899" bestFit="1" customWidth="1"/>
    <col min="8452" max="8704" width="9.33203125" style="899"/>
    <col min="8705" max="8705" width="34.5" style="899" bestFit="1" customWidth="1"/>
    <col min="8706" max="8706" width="23.1640625" style="899" customWidth="1"/>
    <col min="8707" max="8707" width="14" style="899" bestFit="1" customWidth="1"/>
    <col min="8708" max="8960" width="9.33203125" style="899"/>
    <col min="8961" max="8961" width="34.5" style="899" bestFit="1" customWidth="1"/>
    <col min="8962" max="8962" width="23.1640625" style="899" customWidth="1"/>
    <col min="8963" max="8963" width="14" style="899" bestFit="1" customWidth="1"/>
    <col min="8964" max="9216" width="9.33203125" style="899"/>
    <col min="9217" max="9217" width="34.5" style="899" bestFit="1" customWidth="1"/>
    <col min="9218" max="9218" width="23.1640625" style="899" customWidth="1"/>
    <col min="9219" max="9219" width="14" style="899" bestFit="1" customWidth="1"/>
    <col min="9220" max="9472" width="9.33203125" style="899"/>
    <col min="9473" max="9473" width="34.5" style="899" bestFit="1" customWidth="1"/>
    <col min="9474" max="9474" width="23.1640625" style="899" customWidth="1"/>
    <col min="9475" max="9475" width="14" style="899" bestFit="1" customWidth="1"/>
    <col min="9476" max="9728" width="9.33203125" style="899"/>
    <col min="9729" max="9729" width="34.5" style="899" bestFit="1" customWidth="1"/>
    <col min="9730" max="9730" width="23.1640625" style="899" customWidth="1"/>
    <col min="9731" max="9731" width="14" style="899" bestFit="1" customWidth="1"/>
    <col min="9732" max="9984" width="9.33203125" style="899"/>
    <col min="9985" max="9985" width="34.5" style="899" bestFit="1" customWidth="1"/>
    <col min="9986" max="9986" width="23.1640625" style="899" customWidth="1"/>
    <col min="9987" max="9987" width="14" style="899" bestFit="1" customWidth="1"/>
    <col min="9988" max="10240" width="9.33203125" style="899"/>
    <col min="10241" max="10241" width="34.5" style="899" bestFit="1" customWidth="1"/>
    <col min="10242" max="10242" width="23.1640625" style="899" customWidth="1"/>
    <col min="10243" max="10243" width="14" style="899" bestFit="1" customWidth="1"/>
    <col min="10244" max="10496" width="9.33203125" style="899"/>
    <col min="10497" max="10497" width="34.5" style="899" bestFit="1" customWidth="1"/>
    <col min="10498" max="10498" width="23.1640625" style="899" customWidth="1"/>
    <col min="10499" max="10499" width="14" style="899" bestFit="1" customWidth="1"/>
    <col min="10500" max="10752" width="9.33203125" style="899"/>
    <col min="10753" max="10753" width="34.5" style="899" bestFit="1" customWidth="1"/>
    <col min="10754" max="10754" width="23.1640625" style="899" customWidth="1"/>
    <col min="10755" max="10755" width="14" style="899" bestFit="1" customWidth="1"/>
    <col min="10756" max="11008" width="9.33203125" style="899"/>
    <col min="11009" max="11009" width="34.5" style="899" bestFit="1" customWidth="1"/>
    <col min="11010" max="11010" width="23.1640625" style="899" customWidth="1"/>
    <col min="11011" max="11011" width="14" style="899" bestFit="1" customWidth="1"/>
    <col min="11012" max="11264" width="9.33203125" style="899"/>
    <col min="11265" max="11265" width="34.5" style="899" bestFit="1" customWidth="1"/>
    <col min="11266" max="11266" width="23.1640625" style="899" customWidth="1"/>
    <col min="11267" max="11267" width="14" style="899" bestFit="1" customWidth="1"/>
    <col min="11268" max="11520" width="9.33203125" style="899"/>
    <col min="11521" max="11521" width="34.5" style="899" bestFit="1" customWidth="1"/>
    <col min="11522" max="11522" width="23.1640625" style="899" customWidth="1"/>
    <col min="11523" max="11523" width="14" style="899" bestFit="1" customWidth="1"/>
    <col min="11524" max="11776" width="9.33203125" style="899"/>
    <col min="11777" max="11777" width="34.5" style="899" bestFit="1" customWidth="1"/>
    <col min="11778" max="11778" width="23.1640625" style="899" customWidth="1"/>
    <col min="11779" max="11779" width="14" style="899" bestFit="1" customWidth="1"/>
    <col min="11780" max="12032" width="9.33203125" style="899"/>
    <col min="12033" max="12033" width="34.5" style="899" bestFit="1" customWidth="1"/>
    <col min="12034" max="12034" width="23.1640625" style="899" customWidth="1"/>
    <col min="12035" max="12035" width="14" style="899" bestFit="1" customWidth="1"/>
    <col min="12036" max="12288" width="9.33203125" style="899"/>
    <col min="12289" max="12289" width="34.5" style="899" bestFit="1" customWidth="1"/>
    <col min="12290" max="12290" width="23.1640625" style="899" customWidth="1"/>
    <col min="12291" max="12291" width="14" style="899" bestFit="1" customWidth="1"/>
    <col min="12292" max="12544" width="9.33203125" style="899"/>
    <col min="12545" max="12545" width="34.5" style="899" bestFit="1" customWidth="1"/>
    <col min="12546" max="12546" width="23.1640625" style="899" customWidth="1"/>
    <col min="12547" max="12547" width="14" style="899" bestFit="1" customWidth="1"/>
    <col min="12548" max="12800" width="9.33203125" style="899"/>
    <col min="12801" max="12801" width="34.5" style="899" bestFit="1" customWidth="1"/>
    <col min="12802" max="12802" width="23.1640625" style="899" customWidth="1"/>
    <col min="12803" max="12803" width="14" style="899" bestFit="1" customWidth="1"/>
    <col min="12804" max="13056" width="9.33203125" style="899"/>
    <col min="13057" max="13057" width="34.5" style="899" bestFit="1" customWidth="1"/>
    <col min="13058" max="13058" width="23.1640625" style="899" customWidth="1"/>
    <col min="13059" max="13059" width="14" style="899" bestFit="1" customWidth="1"/>
    <col min="13060" max="13312" width="9.33203125" style="899"/>
    <col min="13313" max="13313" width="34.5" style="899" bestFit="1" customWidth="1"/>
    <col min="13314" max="13314" width="23.1640625" style="899" customWidth="1"/>
    <col min="13315" max="13315" width="14" style="899" bestFit="1" customWidth="1"/>
    <col min="13316" max="13568" width="9.33203125" style="899"/>
    <col min="13569" max="13569" width="34.5" style="899" bestFit="1" customWidth="1"/>
    <col min="13570" max="13570" width="23.1640625" style="899" customWidth="1"/>
    <col min="13571" max="13571" width="14" style="899" bestFit="1" customWidth="1"/>
    <col min="13572" max="13824" width="9.33203125" style="899"/>
    <col min="13825" max="13825" width="34.5" style="899" bestFit="1" customWidth="1"/>
    <col min="13826" max="13826" width="23.1640625" style="899" customWidth="1"/>
    <col min="13827" max="13827" width="14" style="899" bestFit="1" customWidth="1"/>
    <col min="13828" max="14080" width="9.33203125" style="899"/>
    <col min="14081" max="14081" width="34.5" style="899" bestFit="1" customWidth="1"/>
    <col min="14082" max="14082" width="23.1640625" style="899" customWidth="1"/>
    <col min="14083" max="14083" width="14" style="899" bestFit="1" customWidth="1"/>
    <col min="14084" max="14336" width="9.33203125" style="899"/>
    <col min="14337" max="14337" width="34.5" style="899" bestFit="1" customWidth="1"/>
    <col min="14338" max="14338" width="23.1640625" style="899" customWidth="1"/>
    <col min="14339" max="14339" width="14" style="899" bestFit="1" customWidth="1"/>
    <col min="14340" max="14592" width="9.33203125" style="899"/>
    <col min="14593" max="14593" width="34.5" style="899" bestFit="1" customWidth="1"/>
    <col min="14594" max="14594" width="23.1640625" style="899" customWidth="1"/>
    <col min="14595" max="14595" width="14" style="899" bestFit="1" customWidth="1"/>
    <col min="14596" max="14848" width="9.33203125" style="899"/>
    <col min="14849" max="14849" width="34.5" style="899" bestFit="1" customWidth="1"/>
    <col min="14850" max="14850" width="23.1640625" style="899" customWidth="1"/>
    <col min="14851" max="14851" width="14" style="899" bestFit="1" customWidth="1"/>
    <col min="14852" max="15104" width="9.33203125" style="899"/>
    <col min="15105" max="15105" width="34.5" style="899" bestFit="1" customWidth="1"/>
    <col min="15106" max="15106" width="23.1640625" style="899" customWidth="1"/>
    <col min="15107" max="15107" width="14" style="899" bestFit="1" customWidth="1"/>
    <col min="15108" max="15360" width="9.33203125" style="899"/>
    <col min="15361" max="15361" width="34.5" style="899" bestFit="1" customWidth="1"/>
    <col min="15362" max="15362" width="23.1640625" style="899" customWidth="1"/>
    <col min="15363" max="15363" width="14" style="899" bestFit="1" customWidth="1"/>
    <col min="15364" max="15616" width="9.33203125" style="899"/>
    <col min="15617" max="15617" width="34.5" style="899" bestFit="1" customWidth="1"/>
    <col min="15618" max="15618" width="23.1640625" style="899" customWidth="1"/>
    <col min="15619" max="15619" width="14" style="899" bestFit="1" customWidth="1"/>
    <col min="15620" max="15872" width="9.33203125" style="899"/>
    <col min="15873" max="15873" width="34.5" style="899" bestFit="1" customWidth="1"/>
    <col min="15874" max="15874" width="23.1640625" style="899" customWidth="1"/>
    <col min="15875" max="15875" width="14" style="899" bestFit="1" customWidth="1"/>
    <col min="15876" max="16128" width="9.33203125" style="899"/>
    <col min="16129" max="16129" width="34.5" style="899" bestFit="1" customWidth="1"/>
    <col min="16130" max="16130" width="23.1640625" style="899" customWidth="1"/>
    <col min="16131" max="16131" width="14" style="899" bestFit="1" customWidth="1"/>
    <col min="16132" max="16384" width="9.33203125" style="899"/>
  </cols>
  <sheetData>
    <row r="1" spans="1:2" x14ac:dyDescent="0.2">
      <c r="A1" s="899" t="s">
        <v>911</v>
      </c>
      <c r="B1" s="912">
        <v>6.1</v>
      </c>
    </row>
    <row r="2" spans="1:2" x14ac:dyDescent="0.2">
      <c r="A2" s="899" t="s">
        <v>912</v>
      </c>
      <c r="B2" s="916">
        <v>43201.498414351852</v>
      </c>
    </row>
    <row r="3" spans="1:2" x14ac:dyDescent="0.2">
      <c r="A3" s="899" t="s">
        <v>913</v>
      </c>
      <c r="B3" s="913" t="s">
        <v>431</v>
      </c>
    </row>
    <row r="4" spans="1:2" x14ac:dyDescent="0.2">
      <c r="A4" s="899" t="s">
        <v>914</v>
      </c>
      <c r="B4" s="913" t="s">
        <v>915</v>
      </c>
    </row>
    <row r="5" spans="1:2" x14ac:dyDescent="0.2">
      <c r="A5" s="899" t="s">
        <v>916</v>
      </c>
      <c r="B5" s="913" t="s">
        <v>917</v>
      </c>
    </row>
    <row r="6" spans="1:2" x14ac:dyDescent="0.2">
      <c r="A6" s="899" t="s">
        <v>918</v>
      </c>
    </row>
    <row r="7" spans="1:2" x14ac:dyDescent="0.2">
      <c r="A7" s="899" t="s">
        <v>919</v>
      </c>
      <c r="B7" s="913" t="s">
        <v>410</v>
      </c>
    </row>
    <row r="8" spans="1:2" x14ac:dyDescent="0.2">
      <c r="A8" s="899" t="s">
        <v>920</v>
      </c>
      <c r="B8" s="913" t="s">
        <v>921</v>
      </c>
    </row>
    <row r="9" spans="1:2" x14ac:dyDescent="0.2">
      <c r="A9" s="899" t="s">
        <v>922</v>
      </c>
      <c r="B9" s="913" t="s">
        <v>958</v>
      </c>
    </row>
    <row r="10" spans="1:2" x14ac:dyDescent="0.2">
      <c r="A10" s="899" t="s">
        <v>923</v>
      </c>
    </row>
    <row r="11" spans="1:2" x14ac:dyDescent="0.2">
      <c r="A11" s="899" t="s">
        <v>924</v>
      </c>
    </row>
    <row r="12" spans="1:2" x14ac:dyDescent="0.2">
      <c r="A12" s="899" t="s">
        <v>925</v>
      </c>
    </row>
    <row r="13" spans="1:2" x14ac:dyDescent="0.2">
      <c r="A13" s="899" t="s">
        <v>926</v>
      </c>
    </row>
    <row r="14" spans="1:2" x14ac:dyDescent="0.2">
      <c r="A14" s="899" t="s">
        <v>927</v>
      </c>
    </row>
    <row r="15" spans="1:2" x14ac:dyDescent="0.2">
      <c r="A15" s="899" t="s">
        <v>928</v>
      </c>
    </row>
    <row r="16" spans="1:2" x14ac:dyDescent="0.2">
      <c r="A16" s="899" t="s">
        <v>929</v>
      </c>
    </row>
    <row r="17" spans="1:4" x14ac:dyDescent="0.2">
      <c r="A17" s="899" t="s">
        <v>930</v>
      </c>
      <c r="B17" s="913" t="s">
        <v>959</v>
      </c>
    </row>
    <row r="18" spans="1:4" x14ac:dyDescent="0.2">
      <c r="A18" s="899" t="s">
        <v>931</v>
      </c>
      <c r="B18" s="913" t="s">
        <v>171</v>
      </c>
    </row>
    <row r="19" spans="1:4" x14ac:dyDescent="0.2">
      <c r="A19" s="899" t="s">
        <v>932</v>
      </c>
      <c r="B19" s="913" t="s">
        <v>378</v>
      </c>
    </row>
    <row r="20" spans="1:4" x14ac:dyDescent="0.2">
      <c r="A20" s="899" t="s">
        <v>933</v>
      </c>
      <c r="B20" s="914">
        <v>844741108</v>
      </c>
    </row>
    <row r="21" spans="1:4" x14ac:dyDescent="0.2">
      <c r="A21" s="899" t="s">
        <v>934</v>
      </c>
      <c r="B21" s="913" t="s">
        <v>378</v>
      </c>
    </row>
    <row r="22" spans="1:4" x14ac:dyDescent="0.2">
      <c r="A22" s="899" t="s">
        <v>935</v>
      </c>
      <c r="B22" s="914">
        <v>2831543</v>
      </c>
    </row>
    <row r="23" spans="1:4" x14ac:dyDescent="0.2">
      <c r="A23" s="899" t="s">
        <v>203</v>
      </c>
      <c r="B23" s="912">
        <v>54.02</v>
      </c>
    </row>
    <row r="24" spans="1:4" x14ac:dyDescent="0.2">
      <c r="A24" s="899" t="s">
        <v>138</v>
      </c>
      <c r="B24" s="913" t="s">
        <v>353</v>
      </c>
      <c r="D24" s="899" t="s">
        <v>176</v>
      </c>
    </row>
    <row r="25" spans="1:4" x14ac:dyDescent="0.2">
      <c r="A25" s="899" t="s">
        <v>936</v>
      </c>
      <c r="B25" s="913" t="s">
        <v>962</v>
      </c>
    </row>
    <row r="26" spans="1:4" x14ac:dyDescent="0.2">
      <c r="A26" s="899" t="s">
        <v>200</v>
      </c>
      <c r="B26" s="913">
        <v>0</v>
      </c>
    </row>
    <row r="27" spans="1:4" x14ac:dyDescent="0.2">
      <c r="A27" s="899" t="s">
        <v>937</v>
      </c>
      <c r="B27" s="913" t="s">
        <v>938</v>
      </c>
    </row>
    <row r="28" spans="1:4" x14ac:dyDescent="0.2">
      <c r="A28" s="899" t="s">
        <v>939</v>
      </c>
      <c r="B28" s="913" t="s">
        <v>940</v>
      </c>
    </row>
    <row r="29" spans="1:4" x14ac:dyDescent="0.2">
      <c r="A29" s="899" t="s">
        <v>941</v>
      </c>
    </row>
    <row r="30" spans="1:4" x14ac:dyDescent="0.2">
      <c r="A30" s="899" t="s">
        <v>942</v>
      </c>
    </row>
    <row r="31" spans="1:4" x14ac:dyDescent="0.2">
      <c r="A31" s="899" t="s">
        <v>943</v>
      </c>
    </row>
    <row r="32" spans="1:4" x14ac:dyDescent="0.2">
      <c r="A32" s="899" t="s">
        <v>944</v>
      </c>
      <c r="B32" s="912"/>
    </row>
    <row r="33" spans="1:2" x14ac:dyDescent="0.2">
      <c r="A33" s="899" t="s">
        <v>945</v>
      </c>
      <c r="B33" s="912"/>
    </row>
    <row r="34" spans="1:2" x14ac:dyDescent="0.2">
      <c r="A34" s="899" t="s">
        <v>946</v>
      </c>
      <c r="B34" s="912"/>
    </row>
    <row r="35" spans="1:2" x14ac:dyDescent="0.2">
      <c r="A35" s="899" t="s">
        <v>947</v>
      </c>
      <c r="B35" s="913">
        <v>1000000</v>
      </c>
    </row>
    <row r="36" spans="1:2" x14ac:dyDescent="0.2">
      <c r="A36" s="899" t="s">
        <v>948</v>
      </c>
      <c r="B36" s="913" t="s">
        <v>960</v>
      </c>
    </row>
    <row r="37" spans="1:2" x14ac:dyDescent="0.2">
      <c r="A37" s="899" t="s">
        <v>949</v>
      </c>
      <c r="B37" s="913" t="s">
        <v>950</v>
      </c>
    </row>
    <row r="38" spans="1:2" x14ac:dyDescent="0.2">
      <c r="A38" s="899" t="s">
        <v>951</v>
      </c>
      <c r="B38" s="913" t="s">
        <v>952</v>
      </c>
    </row>
    <row r="39" spans="1:2" x14ac:dyDescent="0.2">
      <c r="A39" s="899" t="s">
        <v>953</v>
      </c>
      <c r="B39" s="913" t="s">
        <v>961</v>
      </c>
    </row>
    <row r="40" spans="1:2" x14ac:dyDescent="0.2">
      <c r="A40" s="899" t="s">
        <v>954</v>
      </c>
      <c r="B40" s="913">
        <v>1500005409</v>
      </c>
    </row>
    <row r="41" spans="1:2" x14ac:dyDescent="0.2">
      <c r="A41" s="899" t="s">
        <v>955</v>
      </c>
      <c r="B41" s="913">
        <v>1</v>
      </c>
    </row>
    <row r="42" spans="1:2" x14ac:dyDescent="0.2">
      <c r="A42" s="915" t="s">
        <v>956</v>
      </c>
    </row>
    <row r="43" spans="1:2" x14ac:dyDescent="0.2">
      <c r="A43" s="899" t="s">
        <v>957</v>
      </c>
    </row>
  </sheetData>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x14ac:dyDescent="0.2"/>
  <cols>
    <col min="1" max="1" width="33.33203125" style="899" bestFit="1" customWidth="1"/>
    <col min="2" max="256" width="9.33203125" style="899"/>
    <col min="257" max="257" width="33.33203125" style="899" bestFit="1" customWidth="1"/>
    <col min="258" max="512" width="9.33203125" style="899"/>
    <col min="513" max="513" width="33.33203125" style="899" bestFit="1" customWidth="1"/>
    <col min="514" max="768" width="9.33203125" style="899"/>
    <col min="769" max="769" width="33.33203125" style="899" bestFit="1" customWidth="1"/>
    <col min="770" max="1024" width="9.33203125" style="899"/>
    <col min="1025" max="1025" width="33.33203125" style="899" bestFit="1" customWidth="1"/>
    <col min="1026" max="1280" width="9.33203125" style="899"/>
    <col min="1281" max="1281" width="33.33203125" style="899" bestFit="1" customWidth="1"/>
    <col min="1282" max="1536" width="9.33203125" style="899"/>
    <col min="1537" max="1537" width="33.33203125" style="899" bestFit="1" customWidth="1"/>
    <col min="1538" max="1792" width="9.33203125" style="899"/>
    <col min="1793" max="1793" width="33.33203125" style="899" bestFit="1" customWidth="1"/>
    <col min="1794" max="2048" width="9.33203125" style="899"/>
    <col min="2049" max="2049" width="33.33203125" style="899" bestFit="1" customWidth="1"/>
    <col min="2050" max="2304" width="9.33203125" style="899"/>
    <col min="2305" max="2305" width="33.33203125" style="899" bestFit="1" customWidth="1"/>
    <col min="2306" max="2560" width="9.33203125" style="899"/>
    <col min="2561" max="2561" width="33.33203125" style="899" bestFit="1" customWidth="1"/>
    <col min="2562" max="2816" width="9.33203125" style="899"/>
    <col min="2817" max="2817" width="33.33203125" style="899" bestFit="1" customWidth="1"/>
    <col min="2818" max="3072" width="9.33203125" style="899"/>
    <col min="3073" max="3073" width="33.33203125" style="899" bestFit="1" customWidth="1"/>
    <col min="3074" max="3328" width="9.33203125" style="899"/>
    <col min="3329" max="3329" width="33.33203125" style="899" bestFit="1" customWidth="1"/>
    <col min="3330" max="3584" width="9.33203125" style="899"/>
    <col min="3585" max="3585" width="33.33203125" style="899" bestFit="1" customWidth="1"/>
    <col min="3586" max="3840" width="9.33203125" style="899"/>
    <col min="3841" max="3841" width="33.33203125" style="899" bestFit="1" customWidth="1"/>
    <col min="3842" max="4096" width="9.33203125" style="899"/>
    <col min="4097" max="4097" width="33.33203125" style="899" bestFit="1" customWidth="1"/>
    <col min="4098" max="4352" width="9.33203125" style="899"/>
    <col min="4353" max="4353" width="33.33203125" style="899" bestFit="1" customWidth="1"/>
    <col min="4354" max="4608" width="9.33203125" style="899"/>
    <col min="4609" max="4609" width="33.33203125" style="899" bestFit="1" customWidth="1"/>
    <col min="4610" max="4864" width="9.33203125" style="899"/>
    <col min="4865" max="4865" width="33.33203125" style="899" bestFit="1" customWidth="1"/>
    <col min="4866" max="5120" width="9.33203125" style="899"/>
    <col min="5121" max="5121" width="33.33203125" style="899" bestFit="1" customWidth="1"/>
    <col min="5122" max="5376" width="9.33203125" style="899"/>
    <col min="5377" max="5377" width="33.33203125" style="899" bestFit="1" customWidth="1"/>
    <col min="5378" max="5632" width="9.33203125" style="899"/>
    <col min="5633" max="5633" width="33.33203125" style="899" bestFit="1" customWidth="1"/>
    <col min="5634" max="5888" width="9.33203125" style="899"/>
    <col min="5889" max="5889" width="33.33203125" style="899" bestFit="1" customWidth="1"/>
    <col min="5890" max="6144" width="9.33203125" style="899"/>
    <col min="6145" max="6145" width="33.33203125" style="899" bestFit="1" customWidth="1"/>
    <col min="6146" max="6400" width="9.33203125" style="899"/>
    <col min="6401" max="6401" width="33.33203125" style="899" bestFit="1" customWidth="1"/>
    <col min="6402" max="6656" width="9.33203125" style="899"/>
    <col min="6657" max="6657" width="33.33203125" style="899" bestFit="1" customWidth="1"/>
    <col min="6658" max="6912" width="9.33203125" style="899"/>
    <col min="6913" max="6913" width="33.33203125" style="899" bestFit="1" customWidth="1"/>
    <col min="6914" max="7168" width="9.33203125" style="899"/>
    <col min="7169" max="7169" width="33.33203125" style="899" bestFit="1" customWidth="1"/>
    <col min="7170" max="7424" width="9.33203125" style="899"/>
    <col min="7425" max="7425" width="33.33203125" style="899" bestFit="1" customWidth="1"/>
    <col min="7426" max="7680" width="9.33203125" style="899"/>
    <col min="7681" max="7681" width="33.33203125" style="899" bestFit="1" customWidth="1"/>
    <col min="7682" max="7936" width="9.33203125" style="899"/>
    <col min="7937" max="7937" width="33.33203125" style="899" bestFit="1" customWidth="1"/>
    <col min="7938" max="8192" width="9.33203125" style="899"/>
    <col min="8193" max="8193" width="33.33203125" style="899" bestFit="1" customWidth="1"/>
    <col min="8194" max="8448" width="9.33203125" style="899"/>
    <col min="8449" max="8449" width="33.33203125" style="899" bestFit="1" customWidth="1"/>
    <col min="8450" max="8704" width="9.33203125" style="899"/>
    <col min="8705" max="8705" width="33.33203125" style="899" bestFit="1" customWidth="1"/>
    <col min="8706" max="8960" width="9.33203125" style="899"/>
    <col min="8961" max="8961" width="33.33203125" style="899" bestFit="1" customWidth="1"/>
    <col min="8962" max="9216" width="9.33203125" style="899"/>
    <col min="9217" max="9217" width="33.33203125" style="899" bestFit="1" customWidth="1"/>
    <col min="9218" max="9472" width="9.33203125" style="899"/>
    <col min="9473" max="9473" width="33.33203125" style="899" bestFit="1" customWidth="1"/>
    <col min="9474" max="9728" width="9.33203125" style="899"/>
    <col min="9729" max="9729" width="33.33203125" style="899" bestFit="1" customWidth="1"/>
    <col min="9730" max="9984" width="9.33203125" style="899"/>
    <col min="9985" max="9985" width="33.33203125" style="899" bestFit="1" customWidth="1"/>
    <col min="9986" max="10240" width="9.33203125" style="899"/>
    <col min="10241" max="10241" width="33.33203125" style="899" bestFit="1" customWidth="1"/>
    <col min="10242" max="10496" width="9.33203125" style="899"/>
    <col min="10497" max="10497" width="33.33203125" style="899" bestFit="1" customWidth="1"/>
    <col min="10498" max="10752" width="9.33203125" style="899"/>
    <col min="10753" max="10753" width="33.33203125" style="899" bestFit="1" customWidth="1"/>
    <col min="10754" max="11008" width="9.33203125" style="899"/>
    <col min="11009" max="11009" width="33.33203125" style="899" bestFit="1" customWidth="1"/>
    <col min="11010" max="11264" width="9.33203125" style="899"/>
    <col min="11265" max="11265" width="33.33203125" style="899" bestFit="1" customWidth="1"/>
    <col min="11266" max="11520" width="9.33203125" style="899"/>
    <col min="11521" max="11521" width="33.33203125" style="899" bestFit="1" customWidth="1"/>
    <col min="11522" max="11776" width="9.33203125" style="899"/>
    <col min="11777" max="11777" width="33.33203125" style="899" bestFit="1" customWidth="1"/>
    <col min="11778" max="12032" width="9.33203125" style="899"/>
    <col min="12033" max="12033" width="33.33203125" style="899" bestFit="1" customWidth="1"/>
    <col min="12034" max="12288" width="9.33203125" style="899"/>
    <col min="12289" max="12289" width="33.33203125" style="899" bestFit="1" customWidth="1"/>
    <col min="12290" max="12544" width="9.33203125" style="899"/>
    <col min="12545" max="12545" width="33.33203125" style="899" bestFit="1" customWidth="1"/>
    <col min="12546" max="12800" width="9.33203125" style="899"/>
    <col min="12801" max="12801" width="33.33203125" style="899" bestFit="1" customWidth="1"/>
    <col min="12802" max="13056" width="9.33203125" style="899"/>
    <col min="13057" max="13057" width="33.33203125" style="899" bestFit="1" customWidth="1"/>
    <col min="13058" max="13312" width="9.33203125" style="899"/>
    <col min="13313" max="13313" width="33.33203125" style="899" bestFit="1" customWidth="1"/>
    <col min="13314" max="13568" width="9.33203125" style="899"/>
    <col min="13569" max="13569" width="33.33203125" style="899" bestFit="1" customWidth="1"/>
    <col min="13570" max="13824" width="9.33203125" style="899"/>
    <col min="13825" max="13825" width="33.33203125" style="899" bestFit="1" customWidth="1"/>
    <col min="13826" max="14080" width="9.33203125" style="899"/>
    <col min="14081" max="14081" width="33.33203125" style="899" bestFit="1" customWidth="1"/>
    <col min="14082" max="14336" width="9.33203125" style="899"/>
    <col min="14337" max="14337" width="33.33203125" style="899" bestFit="1" customWidth="1"/>
    <col min="14338" max="14592" width="9.33203125" style="899"/>
    <col min="14593" max="14593" width="33.33203125" style="899" bestFit="1" customWidth="1"/>
    <col min="14594" max="14848" width="9.33203125" style="899"/>
    <col min="14849" max="14849" width="33.33203125" style="899" bestFit="1" customWidth="1"/>
    <col min="14850" max="15104" width="9.33203125" style="899"/>
    <col min="15105" max="15105" width="33.33203125" style="899" bestFit="1" customWidth="1"/>
    <col min="15106" max="15360" width="9.33203125" style="899"/>
    <col min="15361" max="15361" width="33.33203125" style="899" bestFit="1" customWidth="1"/>
    <col min="15362" max="15616" width="9.33203125" style="899"/>
    <col min="15617" max="15617" width="33.33203125" style="899" bestFit="1" customWidth="1"/>
    <col min="15618" max="15872" width="9.33203125" style="899"/>
    <col min="15873" max="15873" width="33.33203125" style="899" bestFit="1" customWidth="1"/>
    <col min="15874" max="16128" width="9.33203125" style="899"/>
    <col min="16129" max="16129" width="33.33203125" style="899" bestFit="1" customWidth="1"/>
    <col min="16130" max="16384" width="9.33203125" style="899"/>
  </cols>
  <sheetData>
    <row r="1" spans="1:1" x14ac:dyDescent="0.2">
      <c r="A1" s="917" t="s">
        <v>963</v>
      </c>
    </row>
    <row r="2" spans="1:1" x14ac:dyDescent="0.2">
      <c r="A2" s="917" t="s">
        <v>968</v>
      </c>
    </row>
    <row r="3" spans="1:1" x14ac:dyDescent="0.2">
      <c r="A3" s="917" t="s">
        <v>969</v>
      </c>
    </row>
    <row r="4" spans="1:1" x14ac:dyDescent="0.2">
      <c r="A4" s="917" t="s">
        <v>970</v>
      </c>
    </row>
    <row r="5" spans="1:1" x14ac:dyDescent="0.2">
      <c r="A5" s="917" t="s">
        <v>971</v>
      </c>
    </row>
    <row r="6" spans="1:1" x14ac:dyDescent="0.2">
      <c r="A6" s="917" t="s">
        <v>964</v>
      </c>
    </row>
    <row r="7" spans="1:1" x14ac:dyDescent="0.2">
      <c r="A7" s="917" t="s">
        <v>972</v>
      </c>
    </row>
    <row r="8" spans="1:1" x14ac:dyDescent="0.2">
      <c r="A8" s="917" t="s">
        <v>973</v>
      </c>
    </row>
    <row r="9" spans="1:1" x14ac:dyDescent="0.2">
      <c r="A9" s="917" t="s">
        <v>974</v>
      </c>
    </row>
    <row r="10" spans="1:1" x14ac:dyDescent="0.2">
      <c r="A10" s="917" t="s">
        <v>965</v>
      </c>
    </row>
    <row r="11" spans="1:1" x14ac:dyDescent="0.2">
      <c r="A11" s="917" t="s">
        <v>975</v>
      </c>
    </row>
    <row r="12" spans="1:1" x14ac:dyDescent="0.2">
      <c r="A12" s="917" t="s">
        <v>966</v>
      </c>
    </row>
    <row r="13" spans="1:1" x14ac:dyDescent="0.2">
      <c r="A13" s="917" t="s">
        <v>967</v>
      </c>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Z2"/>
  <sheetViews>
    <sheetView workbookViewId="0"/>
  </sheetViews>
  <sheetFormatPr defaultRowHeight="12.75" x14ac:dyDescent="0.2"/>
  <sheetData>
    <row r="1" spans="1:182" x14ac:dyDescent="0.2">
      <c r="A1" t="s">
        <v>206</v>
      </c>
    </row>
    <row r="2" spans="1:182" x14ac:dyDescent="0.2">
      <c r="A2" s="1" t="s">
        <v>23</v>
      </c>
      <c r="B2" s="1" t="s">
        <v>214</v>
      </c>
      <c r="C2" s="1" t="s">
        <v>188</v>
      </c>
      <c r="D2" s="1" t="s">
        <v>207</v>
      </c>
      <c r="E2" s="1" t="s">
        <v>52</v>
      </c>
      <c r="F2" s="1" t="s">
        <v>139</v>
      </c>
      <c r="G2" s="1" t="s">
        <v>44</v>
      </c>
      <c r="H2" s="1" t="s">
        <v>219</v>
      </c>
      <c r="I2" s="1" t="s">
        <v>50</v>
      </c>
      <c r="J2" s="1" t="s">
        <v>272</v>
      </c>
      <c r="K2" s="1" t="s">
        <v>368</v>
      </c>
      <c r="L2" s="1" t="s">
        <v>428</v>
      </c>
      <c r="M2" s="1" t="s">
        <v>315</v>
      </c>
      <c r="N2" s="1" t="s">
        <v>272</v>
      </c>
      <c r="O2" s="1" t="s">
        <v>433</v>
      </c>
      <c r="P2" s="1" t="s">
        <v>223</v>
      </c>
      <c r="Q2" s="1" t="s">
        <v>261</v>
      </c>
      <c r="R2" s="1" t="s">
        <v>139</v>
      </c>
      <c r="S2" s="1" t="s">
        <v>108</v>
      </c>
      <c r="T2" s="1" t="s">
        <v>329</v>
      </c>
      <c r="U2" s="1" t="s">
        <v>427</v>
      </c>
      <c r="V2" s="1" t="s">
        <v>428</v>
      </c>
      <c r="W2" s="1" t="s">
        <v>173</v>
      </c>
      <c r="X2" s="1" t="s">
        <v>428</v>
      </c>
      <c r="Y2" s="1" t="s">
        <v>28</v>
      </c>
      <c r="Z2" s="1" t="s">
        <v>139</v>
      </c>
      <c r="AA2" s="1" t="s">
        <v>115</v>
      </c>
      <c r="AB2" s="1" t="s">
        <v>139</v>
      </c>
      <c r="AC2" s="1" t="s">
        <v>33</v>
      </c>
      <c r="AD2" s="1" t="s">
        <v>353</v>
      </c>
      <c r="AE2" s="1" t="s">
        <v>317</v>
      </c>
      <c r="AF2" s="1" t="s">
        <v>139</v>
      </c>
      <c r="AG2" s="1" t="s">
        <v>129</v>
      </c>
      <c r="AH2" s="1" t="s">
        <v>139</v>
      </c>
      <c r="AI2" s="1" t="s">
        <v>13</v>
      </c>
      <c r="AJ2" s="1" t="s">
        <v>139</v>
      </c>
      <c r="AK2" s="1" t="s">
        <v>456</v>
      </c>
      <c r="AL2" s="1" t="s">
        <v>428</v>
      </c>
      <c r="AM2" s="1" t="s">
        <v>185</v>
      </c>
      <c r="AN2" s="1" t="s">
        <v>139</v>
      </c>
      <c r="AO2" s="1" t="s">
        <v>53</v>
      </c>
      <c r="AP2" s="1" t="s">
        <v>139</v>
      </c>
      <c r="AQ2" s="1" t="s">
        <v>197</v>
      </c>
      <c r="AR2" s="1" t="s">
        <v>212</v>
      </c>
      <c r="AS2" s="1" t="s">
        <v>187</v>
      </c>
      <c r="AT2" s="1" t="s">
        <v>139</v>
      </c>
      <c r="AU2" s="1" t="s">
        <v>174</v>
      </c>
      <c r="AV2" s="1" t="s">
        <v>428</v>
      </c>
      <c r="AW2" s="1" t="s">
        <v>59</v>
      </c>
      <c r="AX2" s="1" t="s">
        <v>222</v>
      </c>
      <c r="AY2" s="1" t="s">
        <v>429</v>
      </c>
      <c r="AZ2" s="1" t="s">
        <v>428</v>
      </c>
      <c r="BA2" s="1" t="s">
        <v>22</v>
      </c>
      <c r="BB2" s="1" t="s">
        <v>209</v>
      </c>
      <c r="BC2" s="1" t="s">
        <v>46</v>
      </c>
      <c r="BD2" s="1" t="s">
        <v>221</v>
      </c>
      <c r="BE2" s="1" t="s">
        <v>343</v>
      </c>
      <c r="BF2" s="1" t="s">
        <v>139</v>
      </c>
      <c r="BG2" s="1" t="s">
        <v>32</v>
      </c>
      <c r="BH2" s="1" t="s">
        <v>139</v>
      </c>
      <c r="BI2" s="1" t="s">
        <v>114</v>
      </c>
      <c r="BJ2" s="1" t="s">
        <v>139</v>
      </c>
      <c r="BK2" s="1" t="s">
        <v>34</v>
      </c>
      <c r="BL2" s="1" t="s">
        <v>589</v>
      </c>
      <c r="BM2" s="1" t="s">
        <v>169</v>
      </c>
      <c r="BN2" s="1" t="s">
        <v>139</v>
      </c>
      <c r="BO2" s="1" t="s">
        <v>29</v>
      </c>
      <c r="BP2" s="1" t="s">
        <v>139</v>
      </c>
      <c r="BQ2" s="1" t="s">
        <v>434</v>
      </c>
      <c r="BR2" s="1" t="s">
        <v>224</v>
      </c>
      <c r="BS2" s="1" t="s">
        <v>75</v>
      </c>
      <c r="BT2" s="1" t="s">
        <v>272</v>
      </c>
      <c r="BU2" s="1" t="s">
        <v>306</v>
      </c>
      <c r="BV2" s="1" t="s">
        <v>139</v>
      </c>
      <c r="BW2" s="1" t="s">
        <v>186</v>
      </c>
      <c r="BX2" s="1" t="s">
        <v>139</v>
      </c>
      <c r="BY2" s="1" t="s">
        <v>51</v>
      </c>
      <c r="BZ2" s="1" t="s">
        <v>272</v>
      </c>
      <c r="CA2" s="1" t="s">
        <v>175</v>
      </c>
      <c r="CB2" s="1" t="s">
        <v>428</v>
      </c>
      <c r="CC2" s="1" t="s">
        <v>340</v>
      </c>
      <c r="CD2" s="1" t="s">
        <v>139</v>
      </c>
      <c r="CE2" s="1" t="s">
        <v>260</v>
      </c>
      <c r="CF2" s="1" t="s">
        <v>139</v>
      </c>
      <c r="CG2" s="1" t="s">
        <v>195</v>
      </c>
      <c r="CH2" s="1" t="s">
        <v>210</v>
      </c>
      <c r="CI2" s="1" t="s">
        <v>113</v>
      </c>
      <c r="CJ2" s="1" t="s">
        <v>139</v>
      </c>
      <c r="CK2" s="1" t="s">
        <v>338</v>
      </c>
      <c r="CL2" s="1" t="s">
        <v>139</v>
      </c>
      <c r="CM2" s="1" t="s">
        <v>49</v>
      </c>
      <c r="CN2" s="1" t="s">
        <v>272</v>
      </c>
      <c r="CO2" s="1" t="s">
        <v>199</v>
      </c>
      <c r="CP2" s="1" t="s">
        <v>428</v>
      </c>
      <c r="CQ2" s="1" t="s">
        <v>341</v>
      </c>
      <c r="CR2" s="1" t="s">
        <v>215</v>
      </c>
      <c r="CS2" s="1" t="s">
        <v>112</v>
      </c>
      <c r="CT2" s="1" t="s">
        <v>468</v>
      </c>
      <c r="CU2" s="1" t="s">
        <v>31</v>
      </c>
      <c r="CV2" s="1" t="s">
        <v>139</v>
      </c>
      <c r="CW2" s="1" t="s">
        <v>48</v>
      </c>
      <c r="CX2" s="1" t="s">
        <v>428</v>
      </c>
      <c r="CY2" s="1" t="s">
        <v>205</v>
      </c>
      <c r="CZ2" s="1" t="s">
        <v>331</v>
      </c>
      <c r="DA2" s="1" t="s">
        <v>142</v>
      </c>
      <c r="DB2" s="1" t="s">
        <v>272</v>
      </c>
      <c r="DC2" s="1" t="s">
        <v>307</v>
      </c>
      <c r="DD2" s="1" t="s">
        <v>269</v>
      </c>
      <c r="DE2" s="1" t="s">
        <v>107</v>
      </c>
      <c r="DF2" s="1" t="s">
        <v>428</v>
      </c>
      <c r="DG2" s="1" t="s">
        <v>106</v>
      </c>
      <c r="DH2" s="1" t="s">
        <v>428</v>
      </c>
      <c r="DI2" s="1" t="s">
        <v>370</v>
      </c>
      <c r="DJ2" s="1" t="s">
        <v>428</v>
      </c>
      <c r="DK2" s="1" t="s">
        <v>400</v>
      </c>
      <c r="DL2" s="1" t="s">
        <v>428</v>
      </c>
      <c r="DM2" s="1" t="s">
        <v>339</v>
      </c>
      <c r="DN2" s="1" t="s">
        <v>139</v>
      </c>
      <c r="DO2" s="1" t="s">
        <v>148</v>
      </c>
      <c r="DP2" s="1" t="s">
        <v>217</v>
      </c>
      <c r="DQ2" s="1" t="s">
        <v>316</v>
      </c>
      <c r="DR2" s="1" t="s">
        <v>272</v>
      </c>
      <c r="DS2" s="1" t="s">
        <v>196</v>
      </c>
      <c r="DT2" s="1" t="s">
        <v>211</v>
      </c>
      <c r="DU2" s="1" t="s">
        <v>143</v>
      </c>
      <c r="DV2" s="1" t="s">
        <v>272</v>
      </c>
      <c r="DW2" s="1" t="s">
        <v>337</v>
      </c>
      <c r="DX2" s="1" t="s">
        <v>139</v>
      </c>
      <c r="DY2" s="1" t="s">
        <v>311</v>
      </c>
      <c r="DZ2" s="1" t="s">
        <v>428</v>
      </c>
      <c r="EA2" s="1" t="s">
        <v>262</v>
      </c>
      <c r="EB2" s="1" t="s">
        <v>139</v>
      </c>
      <c r="EC2" s="1" t="s">
        <v>109</v>
      </c>
      <c r="ED2" s="1" t="s">
        <v>330</v>
      </c>
      <c r="EE2" s="1" t="s">
        <v>225</v>
      </c>
      <c r="EF2" s="1" t="s">
        <v>226</v>
      </c>
      <c r="EG2" s="1" t="s">
        <v>312</v>
      </c>
      <c r="EH2" s="1" t="s">
        <v>428</v>
      </c>
      <c r="EI2" s="1" t="s">
        <v>445</v>
      </c>
      <c r="EJ2" s="1" t="s">
        <v>139</v>
      </c>
      <c r="EK2" s="1" t="s">
        <v>8</v>
      </c>
      <c r="EL2" s="1" t="s">
        <v>428</v>
      </c>
      <c r="EM2" s="1" t="s">
        <v>12</v>
      </c>
      <c r="EN2" s="1" t="s">
        <v>139</v>
      </c>
      <c r="EO2" s="1" t="s">
        <v>254</v>
      </c>
      <c r="EP2" s="1" t="s">
        <v>428</v>
      </c>
      <c r="EQ2" s="1" t="s">
        <v>189</v>
      </c>
      <c r="ER2" s="1" t="s">
        <v>208</v>
      </c>
      <c r="ES2" s="1" t="s">
        <v>170</v>
      </c>
      <c r="ET2" s="1" t="s">
        <v>353</v>
      </c>
      <c r="EU2" s="1" t="s">
        <v>369</v>
      </c>
      <c r="EV2" s="1" t="s">
        <v>428</v>
      </c>
      <c r="EW2" s="1" t="s">
        <v>7</v>
      </c>
      <c r="EX2" s="1" t="s">
        <v>428</v>
      </c>
      <c r="EY2" s="1" t="s">
        <v>128</v>
      </c>
      <c r="EZ2" s="1" t="s">
        <v>272</v>
      </c>
      <c r="FA2" s="1" t="s">
        <v>43</v>
      </c>
      <c r="FB2" s="1" t="s">
        <v>218</v>
      </c>
      <c r="FC2" s="1" t="s">
        <v>259</v>
      </c>
      <c r="FD2" s="1" t="s">
        <v>139</v>
      </c>
      <c r="FE2" s="1" t="s">
        <v>342</v>
      </c>
      <c r="FF2" s="1" t="s">
        <v>216</v>
      </c>
      <c r="FG2" s="1" t="s">
        <v>61</v>
      </c>
      <c r="FH2" s="1" t="s">
        <v>139</v>
      </c>
      <c r="FI2" s="1" t="s">
        <v>167</v>
      </c>
      <c r="FJ2" s="1" t="s">
        <v>377</v>
      </c>
      <c r="FK2" s="1" t="s">
        <v>271</v>
      </c>
      <c r="FL2" s="1" t="s">
        <v>272</v>
      </c>
      <c r="FM2" s="1" t="s">
        <v>256</v>
      </c>
      <c r="FN2" s="1" t="s">
        <v>213</v>
      </c>
      <c r="FO2" s="1" t="s">
        <v>308</v>
      </c>
      <c r="FP2" s="1" t="s">
        <v>270</v>
      </c>
      <c r="FQ2" s="1" t="s">
        <v>45</v>
      </c>
      <c r="FR2" s="1" t="s">
        <v>220</v>
      </c>
      <c r="FS2" s="1" t="s">
        <v>336</v>
      </c>
      <c r="FT2" s="1" t="s">
        <v>139</v>
      </c>
      <c r="FU2" s="1" t="s">
        <v>47</v>
      </c>
      <c r="FV2" s="1" t="s">
        <v>428</v>
      </c>
      <c r="FW2" s="1" t="s">
        <v>30</v>
      </c>
      <c r="FX2" s="1" t="s">
        <v>139</v>
      </c>
      <c r="FY2" s="1" t="s">
        <v>255</v>
      </c>
      <c r="FZ2" s="1" t="s">
        <v>428</v>
      </c>
    </row>
  </sheetData>
  <phoneticPr fontId="8"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373</v>
      </c>
    </row>
  </sheetData>
  <phoneticPr fontId="8"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F2160B49-63F0-415D-93C5-6E1A247456D7}">
  <ds:schemaRefs>
    <ds:schemaRef ds:uri="thomsonreuters.linking.metadata"/>
  </ds:schemaRefs>
</ds:datastoreItem>
</file>

<file path=customXml/itemProps2.xml><?xml version="1.0" encoding="utf-8"?>
<ds:datastoreItem xmlns:ds="http://schemas.openxmlformats.org/officeDocument/2006/customXml" ds:itemID="{EC334D4D-0550-456C-9554-4F8025FDA4E4}">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78</vt:i4>
      </vt:variant>
    </vt:vector>
  </HeadingPairs>
  <TitlesOfParts>
    <vt:vector size="84" baseType="lpstr">
      <vt:lpstr>ImportantDisclosures</vt:lpstr>
      <vt:lpstr>Cover</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Linking_5</vt:lpstr>
      <vt:lpstr>Linking_6</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2001-04-26T23:42:46Z</dcterms:created>
  <dc:creator>WG</dc:creator>
  <cp:lastModifiedBy>Badhautiya, Son Prakash (Research)</cp:lastModifiedBy>
  <cp:lastPrinted>2018-03-25T19:25:21Z</cp:lastPrinted>
  <dcterms:modified xsi:type="dcterms:W3CDTF">2018-04-11T16:23:25Z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761025</vt:lpwstr>
  </property>
  <property fmtid="{D5CDD505-2E9C-101B-9397-08002B2CF9AE}" name="ERModPubCompanyName" pid="6">
    <vt:lpwstr>Southwest Airlines</vt:lpwstr>
  </property>
  <property fmtid="{D5CDD505-2E9C-101B-9397-08002B2CF9AE}" name="MSDH34TAG" pid="7">
    <vt:lpwstr>.TEZUF76X5TAHATHESADREYAK-00-INB160+*94600-06=16e76628/-3da1/-11e8/-b3f7/-7a79cfe26848,MD=20180411122528/-0400,ZZ=000Z-779c.</vt:lpwstr>
  </property>
</Properties>
</file>