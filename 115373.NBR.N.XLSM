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20" yWindow="75" windowWidth="28590" windowHeight="13095"/>
  </bookViews>
  <sheets>
    <sheet name="ImportantDisclosures" sheetId="27" r:id="rId1"/>
    <sheet name="Model" sheetId="1" r:id="rId2"/>
    <sheet name="IndexInformation" sheetId="28" r:id="rId3"/>
    <sheet name="ModPubIndex" sheetId="29" r:id="rId4"/>
    <sheet name="MW-Cache" sheetId="18" state="veryHidden" r:id="rId5"/>
  </sheets>
  <definedNames>
    <definedName name="__FDS_HYPERLINK_TOGGLE_STATE__" hidden="1">"ON"</definedName>
    <definedName name="_Order1">255</definedName>
    <definedName name="AdditionalInstructions">IndexInformation!$B$42</definedName>
    <definedName name="Address" localSheetId="0">ImportantDisclosures!$A$2:$A$2</definedName>
    <definedName name="ANA" localSheetId="3">ModPubIndex!$A$7</definedName>
    <definedName name="Authors" localSheetId="0">ImportantDisclosures!$A$7</definedName>
    <definedName name="Authors" localSheetId="2">IndexInformation!$B$18</definedName>
    <definedName name="BRO" localSheetId="3">ModPubIndex!$A$1</definedName>
    <definedName name="CopyrightStamp">ImportantDisclosures!$A$27</definedName>
    <definedName name="COU" localSheetId="3">ModPubIndex!$A$5</definedName>
    <definedName name="CQEnd" localSheetId="2">IndexInformation!$B$31</definedName>
    <definedName name="Currency" localSheetId="2">IndexInformation!$B$24</definedName>
    <definedName name="CurrentStockPrice" localSheetId="2">IndexInformation!$B$23</definedName>
    <definedName name="CurrQtrEPS" localSheetId="2">IndexInformation!$B$29</definedName>
    <definedName name="CurrYearEPS" localSheetId="2">IndexInformation!$B$11</definedName>
    <definedName name="CurrYearTotalRevenue" localSheetId="2">IndexInformation!$B$10</definedName>
    <definedName name="CurrYearTotalRevenueActual" localSheetId="2">IndexInformation!$B$32</definedName>
    <definedName name="CUSIP" localSheetId="2">IndexInformation!$B$20</definedName>
    <definedName name="CYEnd" localSheetId="2">IndexInformation!$B$30</definedName>
    <definedName name="Date" localSheetId="0">ImportantDisclosures!$A$8</definedName>
    <definedName name="Deleted" localSheetId="2">IndexInformation!$B$27</definedName>
    <definedName name="Description" localSheetId="2">IndexInformation!$B$7</definedName>
    <definedName name="Discipline" localSheetId="2">IndexInformation!$B$3</definedName>
    <definedName name="DISCIPLINE" localSheetId="3">ModPubIndex!$A$12</definedName>
    <definedName name="DisclosuresText">ImportantDisclosures!$A$22</definedName>
    <definedName name="Distribution" localSheetId="2">IndexInformation!$B$26</definedName>
    <definedName name="DistTable" localSheetId="0">ImportantDisclosures!#REF!</definedName>
    <definedName name="DistTablePreamble" localSheetId="0">ImportantDisclosures!#REF!</definedName>
    <definedName name="DOCDAT" localSheetId="3">ModPubIndex!$A$2</definedName>
    <definedName name="DOCTIME" localSheetId="3">ModPubIndex!$A$3</definedName>
    <definedName name="DocType" localSheetId="2">IndexInformation!$B$5</definedName>
    <definedName name="EMAIL_ALERT" localSheetId="3">ModPubIndex!$A$10</definedName>
    <definedName name="EmailAlert" localSheetId="2">IndexInformation!$B$28</definedName>
    <definedName name="ev.Calculation">-4105</definedName>
    <definedName name="ev.Initialized">FALSE</definedName>
    <definedName name="FiveYearGrowthRate" localSheetId="2">IndexInformation!$B$16</definedName>
    <definedName name="FollowingYearEPS" localSheetId="2">IndexInformation!$B$15</definedName>
    <definedName name="FollowingYearTotalRevenue" localSheetId="2">IndexInformation!$B$14</definedName>
    <definedName name="FollowingYearTotalRevenueActual" localSheetId="2">IndexInformation!$B$34</definedName>
    <definedName name="HL" localSheetId="3">ModPubIndex!$A$8</definedName>
    <definedName name="hn.ExtDb">FALSE</definedName>
    <definedName name="hn.ModelType">"DEAL"</definedName>
    <definedName name="hn.ModelVersion">1</definedName>
    <definedName name="hn.NoUpload">0</definedName>
    <definedName name="IND" localSheetId="3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sColHidden">FALSE</definedName>
    <definedName name="IsLTMColHidden">FALSE</definedName>
    <definedName name="KeepVersions" localSheetId="2">IndexInformation!$B$8</definedName>
    <definedName name="LanguageCode">IndexInformation!$B$38</definedName>
    <definedName name="LastCell" localSheetId="0">ImportantDisclosures!$A$22</definedName>
    <definedName name="Linking_10">Model!$B$349:$M$399</definedName>
    <definedName name="Linking_2">Model!$B$10:$L$54</definedName>
    <definedName name="Linking_3">Model!$B$56:$L$112</definedName>
    <definedName name="Linking_4">Model!$B$322:$L$346</definedName>
    <definedName name="Linking_5">Model!$B$349:$L$399</definedName>
    <definedName name="Linking_7">Model!$B$10:$M$54</definedName>
    <definedName name="Linking_8">Model!$B$56:$M$112</definedName>
    <definedName name="Linking_9">Model!$B$322:$M$346</definedName>
    <definedName name="MacroVersion" localSheetId="2">IndexInformation!$B$1</definedName>
    <definedName name="Model">Model!$A$10:$BJ$583</definedName>
    <definedName name="ModelPrice" localSheetId="0">ImportantDisclosures!$A$14</definedName>
    <definedName name="Multiplier" localSheetId="2">IndexInformation!$B$35</definedName>
    <definedName name="NextYearEPS" localSheetId="2">IndexInformation!$B$13</definedName>
    <definedName name="NextYearTotalRevenue" localSheetId="2">IndexInformation!$B$12</definedName>
    <definedName name="NextYearTotalRevenueActual" localSheetId="2">IndexInformation!$B$33</definedName>
    <definedName name="NM">"NM"</definedName>
    <definedName name="ObjectType">IndexInformation!$B$37</definedName>
    <definedName name="PANA" localSheetId="3">ModPubIndex!$A$11</definedName>
    <definedName name="PathName" localSheetId="2">IndexInformation!$B$25</definedName>
    <definedName name="PRODUCT" localSheetId="3">ModPubIndex!$A$6</definedName>
    <definedName name="ProjectName">{"Cereva Networks, Inc"}</definedName>
    <definedName name="PSYM" localSheetId="3">ModPubIndex!$A$4</definedName>
    <definedName name="PublishDate" localSheetId="2">IndexInformation!$B$2</definedName>
    <definedName name="Rating" localSheetId="2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2">IndexInformation!$B$4</definedName>
    <definedName name="RIC" localSheetId="2">IndexInformation!$B$21</definedName>
    <definedName name="SECSettlement" localSheetId="0">ImportantDisclosures!#REF!</definedName>
    <definedName name="SEDOL" localSheetId="2">IndexInformation!$B$22</definedName>
    <definedName name="SourceDefined" localSheetId="0">ImportantDisclosures!$A$19</definedName>
    <definedName name="StockRating" localSheetId="0">ImportantDisclosures!$A$11</definedName>
    <definedName name="SubjectCode" localSheetId="2">IndexInformation!$B$6</definedName>
    <definedName name="SubmitterUserId">IndexInformation!$B$39</definedName>
    <definedName name="SUPPRESSED" localSheetId="3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2">IndexInformation!$B$19</definedName>
    <definedName name="UpdateReason" localSheetId="2">IndexInformation!$B$17</definedName>
    <definedName name="USRegDisclosures" localSheetId="0">ImportantDisclosures!#REF!</definedName>
  </definedNames>
  <calcPr calcId="145621" calcMode="manual"/>
</workbook>
</file>

<file path=xl/calcChain.xml><?xml version="1.0" encoding="utf-8"?>
<calcChain xmlns="http://schemas.openxmlformats.org/spreadsheetml/2006/main">
  <c r="BJ11" i="1" l="1"/>
  <c r="BJ12" i="1" s="1"/>
  <c r="BJ13" i="1" s="1"/>
  <c r="AQ580" i="1"/>
  <c r="AP580" i="1"/>
  <c r="AO580" i="1"/>
  <c r="AN580" i="1"/>
  <c r="AM580" i="1"/>
  <c r="AL580" i="1"/>
  <c r="AK580" i="1"/>
  <c r="AJ580" i="1"/>
  <c r="AI580" i="1"/>
  <c r="AH580" i="1"/>
  <c r="AG580" i="1"/>
  <c r="AF580" i="1"/>
  <c r="AE580" i="1"/>
  <c r="AD580" i="1"/>
  <c r="AC580" i="1"/>
  <c r="AB580" i="1"/>
  <c r="AA580" i="1"/>
  <c r="Z580" i="1"/>
  <c r="Y580" i="1"/>
  <c r="X580" i="1"/>
  <c r="W580" i="1"/>
  <c r="V580" i="1"/>
  <c r="U580" i="1"/>
  <c r="T580" i="1"/>
  <c r="S580" i="1"/>
  <c r="R580" i="1"/>
  <c r="Q580" i="1"/>
  <c r="P580" i="1"/>
  <c r="O580" i="1"/>
  <c r="BF579" i="1"/>
  <c r="BE579" i="1"/>
  <c r="BD579" i="1"/>
  <c r="BC579" i="1"/>
  <c r="BB579" i="1"/>
  <c r="BA579" i="1"/>
  <c r="AZ579" i="1"/>
  <c r="AY579" i="1"/>
  <c r="AX579" i="1"/>
  <c r="AW579" i="1"/>
  <c r="AV579" i="1"/>
  <c r="AU579" i="1"/>
  <c r="AQ579" i="1"/>
  <c r="AP579" i="1"/>
  <c r="AO579" i="1"/>
  <c r="AN579" i="1"/>
  <c r="AM579" i="1"/>
  <c r="AL579" i="1"/>
  <c r="AK579" i="1"/>
  <c r="AJ579" i="1"/>
  <c r="AI579" i="1"/>
  <c r="AH579" i="1"/>
  <c r="AG579" i="1"/>
  <c r="AF579" i="1"/>
  <c r="AE579" i="1"/>
  <c r="AD579" i="1"/>
  <c r="AC579" i="1"/>
  <c r="AB579" i="1"/>
  <c r="AA579" i="1"/>
  <c r="Z579" i="1"/>
  <c r="Y579" i="1"/>
  <c r="X579" i="1"/>
  <c r="W579" i="1"/>
  <c r="V579" i="1"/>
  <c r="U579" i="1"/>
  <c r="T579" i="1"/>
  <c r="S579" i="1"/>
  <c r="R579" i="1"/>
  <c r="Q579" i="1"/>
  <c r="P579" i="1"/>
  <c r="O579" i="1"/>
  <c r="AQ578" i="1"/>
  <c r="AP578" i="1"/>
  <c r="AO578" i="1"/>
  <c r="AN578" i="1"/>
  <c r="AM578" i="1"/>
  <c r="AL578" i="1"/>
  <c r="AK578" i="1"/>
  <c r="AJ578" i="1"/>
  <c r="AI578" i="1"/>
  <c r="AH578" i="1"/>
  <c r="AG578" i="1"/>
  <c r="AF578" i="1"/>
  <c r="AE578" i="1"/>
  <c r="AD578" i="1"/>
  <c r="AC578" i="1"/>
  <c r="AB578" i="1"/>
  <c r="AA578" i="1"/>
  <c r="Z578" i="1"/>
  <c r="Y578" i="1"/>
  <c r="X578" i="1"/>
  <c r="W578" i="1"/>
  <c r="V578" i="1"/>
  <c r="U578" i="1"/>
  <c r="T578" i="1"/>
  <c r="S578" i="1"/>
  <c r="R578" i="1"/>
  <c r="Q578" i="1"/>
  <c r="P578" i="1"/>
  <c r="O578" i="1"/>
  <c r="AT572" i="1"/>
  <c r="AS572" i="1"/>
  <c r="AR572" i="1"/>
  <c r="AQ572" i="1"/>
  <c r="AP572" i="1"/>
  <c r="AO572" i="1"/>
  <c r="AN572" i="1"/>
  <c r="AM572" i="1"/>
  <c r="AL572" i="1"/>
  <c r="AK572" i="1"/>
  <c r="AJ572" i="1"/>
  <c r="AI572" i="1"/>
  <c r="AH572" i="1"/>
  <c r="AG572" i="1"/>
  <c r="AF572" i="1"/>
  <c r="AE572" i="1"/>
  <c r="AD572" i="1"/>
  <c r="AC572" i="1"/>
  <c r="AB572" i="1"/>
  <c r="AA572" i="1"/>
  <c r="Z572" i="1"/>
  <c r="Y572" i="1"/>
  <c r="AT542" i="1"/>
  <c r="AS542" i="1"/>
  <c r="AR542" i="1"/>
  <c r="AQ542" i="1"/>
  <c r="AP542" i="1"/>
  <c r="AO542" i="1"/>
  <c r="AN542" i="1"/>
  <c r="AM542" i="1"/>
  <c r="AL542" i="1"/>
  <c r="AK542" i="1"/>
  <c r="AJ542" i="1"/>
  <c r="AI542" i="1"/>
  <c r="AG542" i="1"/>
  <c r="AE542" i="1"/>
  <c r="AE544" i="1" s="1"/>
  <c r="AD542" i="1"/>
  <c r="AD544" i="1" s="1"/>
  <c r="AC542" i="1"/>
  <c r="AC544" i="1" s="1"/>
  <c r="AB542" i="1"/>
  <c r="AB544" i="1" s="1"/>
  <c r="AA542" i="1"/>
  <c r="AA544" i="1" s="1"/>
  <c r="Z542" i="1"/>
  <c r="Z544" i="1" s="1"/>
  <c r="Y542" i="1"/>
  <c r="Y544" i="1" s="1"/>
  <c r="X542" i="1"/>
  <c r="X544" i="1" s="1"/>
  <c r="Y536" i="1"/>
  <c r="AT534" i="1"/>
  <c r="AS534" i="1"/>
  <c r="AR534" i="1"/>
  <c r="AQ534" i="1"/>
  <c r="AP534" i="1"/>
  <c r="AO534" i="1"/>
  <c r="AN534" i="1"/>
  <c r="AM534" i="1"/>
  <c r="AL534" i="1"/>
  <c r="AK534" i="1"/>
  <c r="AJ534" i="1"/>
  <c r="AI534" i="1"/>
  <c r="AH534" i="1"/>
  <c r="AG534" i="1"/>
  <c r="AE534" i="1"/>
  <c r="AE536" i="1" s="1"/>
  <c r="AD534" i="1"/>
  <c r="AD536" i="1" s="1"/>
  <c r="AC534" i="1"/>
  <c r="AC536" i="1" s="1"/>
  <c r="AB534" i="1"/>
  <c r="AB536" i="1" s="1"/>
  <c r="AA534" i="1"/>
  <c r="AA536" i="1" s="1"/>
  <c r="Z534" i="1"/>
  <c r="Z536" i="1" s="1"/>
  <c r="Y534" i="1"/>
  <c r="X534" i="1"/>
  <c r="X536" i="1" s="1"/>
  <c r="AC528" i="1"/>
  <c r="AT527" i="1"/>
  <c r="AT528" i="1" s="1"/>
  <c r="AS527" i="1"/>
  <c r="AR527" i="1"/>
  <c r="AQ527" i="1"/>
  <c r="AP527" i="1"/>
  <c r="AO527" i="1"/>
  <c r="AN527" i="1"/>
  <c r="AM527" i="1"/>
  <c r="AK527" i="1"/>
  <c r="AH527" i="1"/>
  <c r="AG527" i="1"/>
  <c r="AA527" i="1"/>
  <c r="Z527" i="1"/>
  <c r="AI526" i="1"/>
  <c r="AI525" i="1"/>
  <c r="AI527" i="1" s="1"/>
  <c r="AI524" i="1"/>
  <c r="AL525" i="1"/>
  <c r="AL527" i="1" s="1"/>
  <c r="AL524" i="1"/>
  <c r="AJ525" i="1"/>
  <c r="AJ527" i="1" s="1"/>
  <c r="AT524" i="1"/>
  <c r="AS524" i="1"/>
  <c r="AR524" i="1"/>
  <c r="AQ524" i="1"/>
  <c r="AP524" i="1"/>
  <c r="AP528" i="1" s="1"/>
  <c r="AO524" i="1"/>
  <c r="AN524" i="1"/>
  <c r="AM524" i="1"/>
  <c r="AH524" i="1"/>
  <c r="AH528" i="1" s="1"/>
  <c r="AE524" i="1"/>
  <c r="AE528" i="1" s="1"/>
  <c r="AD524" i="1"/>
  <c r="AD528" i="1" s="1"/>
  <c r="AC524" i="1"/>
  <c r="AB524" i="1"/>
  <c r="AB528" i="1" s="1"/>
  <c r="AA524" i="1"/>
  <c r="Z524" i="1"/>
  <c r="Y524" i="1"/>
  <c r="Y528" i="1" s="1"/>
  <c r="X524" i="1"/>
  <c r="AJ522" i="1"/>
  <c r="AK522" i="1" s="1"/>
  <c r="AK524" i="1" s="1"/>
  <c r="AI522" i="1"/>
  <c r="AG522" i="1"/>
  <c r="AG521" i="1"/>
  <c r="AG524" i="1" s="1"/>
  <c r="AI521" i="1"/>
  <c r="AT518" i="1"/>
  <c r="AS518" i="1"/>
  <c r="AR518" i="1"/>
  <c r="AQ518" i="1"/>
  <c r="AP518" i="1"/>
  <c r="AO518" i="1"/>
  <c r="AN518" i="1"/>
  <c r="AM518" i="1"/>
  <c r="AL518" i="1"/>
  <c r="AK518" i="1"/>
  <c r="AJ518" i="1"/>
  <c r="AI518" i="1"/>
  <c r="AH518" i="1"/>
  <c r="AG518" i="1"/>
  <c r="AF518" i="1"/>
  <c r="AE518" i="1"/>
  <c r="AD518" i="1"/>
  <c r="AC518" i="1"/>
  <c r="AB518" i="1"/>
  <c r="AA518" i="1"/>
  <c r="Z518" i="1"/>
  <c r="Y518" i="1"/>
  <c r="X518" i="1"/>
  <c r="W518" i="1"/>
  <c r="V518" i="1"/>
  <c r="U518" i="1"/>
  <c r="T518" i="1"/>
  <c r="S518" i="1"/>
  <c r="R518" i="1"/>
  <c r="Q518" i="1"/>
  <c r="P518" i="1"/>
  <c r="O518" i="1"/>
  <c r="AT516" i="1"/>
  <c r="AS516" i="1"/>
  <c r="AR516" i="1"/>
  <c r="AQ516" i="1"/>
  <c r="AP516" i="1"/>
  <c r="AO516" i="1"/>
  <c r="AN516" i="1"/>
  <c r="AM516" i="1"/>
  <c r="AL516" i="1"/>
  <c r="AK516" i="1"/>
  <c r="AJ516" i="1"/>
  <c r="AI516" i="1"/>
  <c r="AH516" i="1"/>
  <c r="AG516" i="1"/>
  <c r="AF516" i="1"/>
  <c r="AE516" i="1"/>
  <c r="AD516" i="1"/>
  <c r="AC516" i="1"/>
  <c r="AB516" i="1"/>
  <c r="AA516" i="1"/>
  <c r="Z516" i="1"/>
  <c r="Y516" i="1"/>
  <c r="X516" i="1"/>
  <c r="W516" i="1"/>
  <c r="V516" i="1"/>
  <c r="U516" i="1"/>
  <c r="T516" i="1"/>
  <c r="S516" i="1"/>
  <c r="R516" i="1"/>
  <c r="Q516" i="1"/>
  <c r="P516" i="1"/>
  <c r="O516" i="1"/>
  <c r="AT514" i="1"/>
  <c r="AS514" i="1"/>
  <c r="AR514" i="1"/>
  <c r="AQ514" i="1"/>
  <c r="AP514" i="1"/>
  <c r="AO514" i="1"/>
  <c r="AN514" i="1"/>
  <c r="AM514" i="1"/>
  <c r="AL514" i="1"/>
  <c r="AK514" i="1"/>
  <c r="AJ514" i="1"/>
  <c r="AI514" i="1"/>
  <c r="AH514" i="1"/>
  <c r="AF514" i="1"/>
  <c r="AE514" i="1"/>
  <c r="AD514" i="1"/>
  <c r="AC514" i="1"/>
  <c r="AB514" i="1"/>
  <c r="AA514" i="1"/>
  <c r="Z514" i="1"/>
  <c r="Y514" i="1"/>
  <c r="X514" i="1"/>
  <c r="W514" i="1"/>
  <c r="V514" i="1"/>
  <c r="U514" i="1"/>
  <c r="T514" i="1"/>
  <c r="S514" i="1"/>
  <c r="R514" i="1"/>
  <c r="Q514" i="1"/>
  <c r="P514" i="1"/>
  <c r="O514" i="1"/>
  <c r="AQ500" i="1"/>
  <c r="AP500" i="1"/>
  <c r="AO500" i="1"/>
  <c r="AN500" i="1"/>
  <c r="AM500" i="1"/>
  <c r="AL500" i="1"/>
  <c r="AK500" i="1"/>
  <c r="AJ500" i="1"/>
  <c r="AI500" i="1"/>
  <c r="AH500" i="1"/>
  <c r="AG500" i="1"/>
  <c r="AF500" i="1"/>
  <c r="AE500" i="1"/>
  <c r="AD500" i="1"/>
  <c r="AC500" i="1"/>
  <c r="AB500" i="1"/>
  <c r="AA500" i="1"/>
  <c r="Z500" i="1"/>
  <c r="Y500" i="1"/>
  <c r="X500" i="1"/>
  <c r="W500" i="1"/>
  <c r="V500" i="1"/>
  <c r="U500" i="1"/>
  <c r="T500" i="1"/>
  <c r="S500" i="1"/>
  <c r="R500" i="1"/>
  <c r="Q500" i="1"/>
  <c r="P500" i="1"/>
  <c r="O500" i="1"/>
  <c r="AT493" i="1"/>
  <c r="AS493" i="1"/>
  <c r="AO493" i="1"/>
  <c r="AN493" i="1"/>
  <c r="AM493" i="1"/>
  <c r="AL493" i="1"/>
  <c r="AI493" i="1"/>
  <c r="AH493" i="1"/>
  <c r="AG493" i="1"/>
  <c r="AF493" i="1"/>
  <c r="AE493" i="1"/>
  <c r="AD493" i="1"/>
  <c r="AC493" i="1"/>
  <c r="AB493" i="1"/>
  <c r="AA493" i="1"/>
  <c r="Z493" i="1"/>
  <c r="Y493" i="1"/>
  <c r="X493" i="1"/>
  <c r="W493" i="1"/>
  <c r="V493" i="1"/>
  <c r="U493" i="1"/>
  <c r="T493" i="1"/>
  <c r="S493" i="1"/>
  <c r="R493" i="1"/>
  <c r="Q493" i="1"/>
  <c r="AQ491" i="1"/>
  <c r="AK491" i="1"/>
  <c r="AJ491" i="1"/>
  <c r="AI491" i="1"/>
  <c r="AH491" i="1"/>
  <c r="AG491" i="1"/>
  <c r="AF491" i="1"/>
  <c r="AE491" i="1"/>
  <c r="AD491" i="1"/>
  <c r="AC491" i="1"/>
  <c r="AB491" i="1"/>
  <c r="AA491" i="1"/>
  <c r="Z491" i="1"/>
  <c r="Y491" i="1"/>
  <c r="X491" i="1"/>
  <c r="W491" i="1"/>
  <c r="V491" i="1"/>
  <c r="U491" i="1"/>
  <c r="T491" i="1"/>
  <c r="S491" i="1"/>
  <c r="R491" i="1"/>
  <c r="Q491" i="1"/>
  <c r="BF490" i="1"/>
  <c r="BE490" i="1"/>
  <c r="BD490" i="1"/>
  <c r="BC490" i="1"/>
  <c r="BB490" i="1"/>
  <c r="BA490" i="1"/>
  <c r="AZ490" i="1"/>
  <c r="AY490" i="1"/>
  <c r="AX490" i="1"/>
  <c r="AW490" i="1"/>
  <c r="AV490" i="1"/>
  <c r="AU490" i="1"/>
  <c r="AT490" i="1"/>
  <c r="AS490" i="1"/>
  <c r="AR490" i="1"/>
  <c r="AQ490" i="1"/>
  <c r="AP490" i="1"/>
  <c r="AO490" i="1"/>
  <c r="AN490" i="1"/>
  <c r="AM490" i="1"/>
  <c r="AL490" i="1"/>
  <c r="AK490" i="1"/>
  <c r="AJ490" i="1"/>
  <c r="AI490" i="1"/>
  <c r="AH490" i="1"/>
  <c r="AG490" i="1"/>
  <c r="AF490" i="1"/>
  <c r="AE490" i="1"/>
  <c r="AD490" i="1"/>
  <c r="AC490" i="1"/>
  <c r="AB490" i="1"/>
  <c r="AA490" i="1"/>
  <c r="Z490" i="1"/>
  <c r="Y490" i="1"/>
  <c r="X490" i="1"/>
  <c r="W490" i="1"/>
  <c r="V490" i="1"/>
  <c r="U490" i="1"/>
  <c r="T490" i="1"/>
  <c r="S490" i="1"/>
  <c r="R490" i="1"/>
  <c r="Q490" i="1"/>
  <c r="AT489" i="1"/>
  <c r="AS489" i="1"/>
  <c r="AR489" i="1"/>
  <c r="AQ489" i="1"/>
  <c r="AP489" i="1"/>
  <c r="AO489" i="1"/>
  <c r="AN489" i="1"/>
  <c r="AM489" i="1"/>
  <c r="AL489" i="1"/>
  <c r="AK489" i="1"/>
  <c r="AJ489" i="1"/>
  <c r="AI489" i="1"/>
  <c r="AH489" i="1"/>
  <c r="AG489" i="1"/>
  <c r="AF489" i="1"/>
  <c r="AE489" i="1"/>
  <c r="AD489" i="1"/>
  <c r="AC489" i="1"/>
  <c r="AB489" i="1"/>
  <c r="AA489" i="1"/>
  <c r="Z489" i="1"/>
  <c r="Y489" i="1"/>
  <c r="X489" i="1"/>
  <c r="W489" i="1"/>
  <c r="V489" i="1"/>
  <c r="U489" i="1"/>
  <c r="T489" i="1"/>
  <c r="S489" i="1"/>
  <c r="R489" i="1"/>
  <c r="Q489" i="1"/>
  <c r="AU488" i="1"/>
  <c r="AT488" i="1"/>
  <c r="AS488" i="1"/>
  <c r="AR488" i="1"/>
  <c r="AQ488" i="1"/>
  <c r="AP488" i="1"/>
  <c r="AO488" i="1"/>
  <c r="AN488" i="1"/>
  <c r="AM488" i="1"/>
  <c r="AL488" i="1"/>
  <c r="AK488" i="1"/>
  <c r="AJ488" i="1"/>
  <c r="AI488" i="1"/>
  <c r="AH488" i="1"/>
  <c r="AG488" i="1"/>
  <c r="AF488" i="1"/>
  <c r="AE488" i="1"/>
  <c r="AD488" i="1"/>
  <c r="AC488" i="1"/>
  <c r="AB488" i="1"/>
  <c r="AA488" i="1"/>
  <c r="Z488" i="1"/>
  <c r="Y488" i="1"/>
  <c r="X488" i="1"/>
  <c r="W488" i="1"/>
  <c r="V488" i="1"/>
  <c r="U488" i="1"/>
  <c r="T488" i="1"/>
  <c r="S488" i="1"/>
  <c r="R488" i="1"/>
  <c r="Q488" i="1"/>
  <c r="AT487" i="1"/>
  <c r="AS487" i="1"/>
  <c r="AR487" i="1"/>
  <c r="AQ487" i="1"/>
  <c r="AP487" i="1"/>
  <c r="AO487" i="1"/>
  <c r="AN487" i="1"/>
  <c r="AM487" i="1"/>
  <c r="AL487" i="1"/>
  <c r="AK487" i="1"/>
  <c r="AJ487" i="1"/>
  <c r="AI487" i="1"/>
  <c r="AH487" i="1"/>
  <c r="AG487" i="1"/>
  <c r="AF487" i="1"/>
  <c r="AE487" i="1"/>
  <c r="AD487" i="1"/>
  <c r="AC487" i="1"/>
  <c r="AB487" i="1"/>
  <c r="AA487" i="1"/>
  <c r="Z487" i="1"/>
  <c r="Y487" i="1"/>
  <c r="X487" i="1"/>
  <c r="W487" i="1"/>
  <c r="V487" i="1"/>
  <c r="U487" i="1"/>
  <c r="T487" i="1"/>
  <c r="S487" i="1"/>
  <c r="R487" i="1"/>
  <c r="Q487" i="1"/>
  <c r="AT486" i="1"/>
  <c r="AS486" i="1"/>
  <c r="AR486" i="1"/>
  <c r="AQ486" i="1"/>
  <c r="AP486" i="1"/>
  <c r="AO486" i="1"/>
  <c r="AN486" i="1"/>
  <c r="AM486" i="1"/>
  <c r="AL486" i="1"/>
  <c r="AK486" i="1"/>
  <c r="AJ486" i="1"/>
  <c r="AI486" i="1"/>
  <c r="AH486" i="1"/>
  <c r="AG486" i="1"/>
  <c r="AF486" i="1"/>
  <c r="AE486" i="1"/>
  <c r="AD486" i="1"/>
  <c r="AC486" i="1"/>
  <c r="AB486" i="1"/>
  <c r="AA486" i="1"/>
  <c r="Z486" i="1"/>
  <c r="Y486" i="1"/>
  <c r="X486" i="1"/>
  <c r="W486" i="1"/>
  <c r="V486" i="1"/>
  <c r="U486" i="1"/>
  <c r="T486" i="1"/>
  <c r="S486" i="1"/>
  <c r="R486" i="1"/>
  <c r="Q486" i="1"/>
  <c r="AT485" i="1"/>
  <c r="AS485" i="1"/>
  <c r="AR485" i="1"/>
  <c r="AQ485" i="1"/>
  <c r="AP485" i="1"/>
  <c r="AO485" i="1"/>
  <c r="AN485" i="1"/>
  <c r="AM485" i="1"/>
  <c r="AL485" i="1"/>
  <c r="AK485" i="1"/>
  <c r="AJ485" i="1"/>
  <c r="AI485" i="1"/>
  <c r="AH485" i="1"/>
  <c r="AG485" i="1"/>
  <c r="AF485" i="1"/>
  <c r="AE485" i="1"/>
  <c r="AD485" i="1"/>
  <c r="AC485" i="1"/>
  <c r="AB485" i="1"/>
  <c r="AA485" i="1"/>
  <c r="Z485" i="1"/>
  <c r="Y485" i="1"/>
  <c r="X485" i="1"/>
  <c r="W485" i="1"/>
  <c r="V485" i="1"/>
  <c r="U485" i="1"/>
  <c r="T485" i="1"/>
  <c r="S485" i="1"/>
  <c r="R485" i="1"/>
  <c r="Q485" i="1"/>
  <c r="AT484" i="1"/>
  <c r="AS484" i="1"/>
  <c r="AR484" i="1"/>
  <c r="AQ484" i="1"/>
  <c r="AP484" i="1"/>
  <c r="AO484" i="1"/>
  <c r="AN484" i="1"/>
  <c r="AM484" i="1"/>
  <c r="AL484" i="1"/>
  <c r="AK484" i="1"/>
  <c r="AJ484" i="1"/>
  <c r="AI484" i="1"/>
  <c r="AH484" i="1"/>
  <c r="AG484" i="1"/>
  <c r="AF484" i="1"/>
  <c r="AE484" i="1"/>
  <c r="AD484" i="1"/>
  <c r="AC484" i="1"/>
  <c r="AB484" i="1"/>
  <c r="AA484" i="1"/>
  <c r="Z484" i="1"/>
  <c r="Y484" i="1"/>
  <c r="X484" i="1"/>
  <c r="W484" i="1"/>
  <c r="V484" i="1"/>
  <c r="U484" i="1"/>
  <c r="T484" i="1"/>
  <c r="S484" i="1"/>
  <c r="R484" i="1"/>
  <c r="Q484" i="1"/>
  <c r="AT483" i="1"/>
  <c r="AS483" i="1"/>
  <c r="AR483" i="1"/>
  <c r="AQ483" i="1"/>
  <c r="AP483" i="1"/>
  <c r="AO483" i="1"/>
  <c r="AN483" i="1"/>
  <c r="AM483" i="1"/>
  <c r="AL483" i="1"/>
  <c r="AK483" i="1"/>
  <c r="AJ483" i="1"/>
  <c r="AI483" i="1"/>
  <c r="AH483" i="1"/>
  <c r="AG483" i="1"/>
  <c r="AF483" i="1"/>
  <c r="AE483" i="1"/>
  <c r="AD483" i="1"/>
  <c r="AC483" i="1"/>
  <c r="AB483" i="1"/>
  <c r="AA483" i="1"/>
  <c r="Z483" i="1"/>
  <c r="Y483" i="1"/>
  <c r="X483" i="1"/>
  <c r="W483" i="1"/>
  <c r="V483" i="1"/>
  <c r="U483" i="1"/>
  <c r="T483" i="1"/>
  <c r="S483" i="1"/>
  <c r="R483" i="1"/>
  <c r="Q483" i="1"/>
  <c r="AT482" i="1"/>
  <c r="AS482" i="1"/>
  <c r="AR482" i="1"/>
  <c r="AQ482" i="1"/>
  <c r="AP482" i="1"/>
  <c r="AO482" i="1"/>
  <c r="AN482" i="1"/>
  <c r="AM482" i="1"/>
  <c r="AL482" i="1"/>
  <c r="AK482" i="1"/>
  <c r="AJ482" i="1"/>
  <c r="AI482" i="1"/>
  <c r="AH482" i="1"/>
  <c r="AG482" i="1"/>
  <c r="AF482" i="1"/>
  <c r="AE482" i="1"/>
  <c r="AD482" i="1"/>
  <c r="AC482" i="1"/>
  <c r="AB482" i="1"/>
  <c r="AA482" i="1"/>
  <c r="Z482" i="1"/>
  <c r="Y482" i="1"/>
  <c r="X482" i="1"/>
  <c r="W482" i="1"/>
  <c r="V482" i="1"/>
  <c r="U482" i="1"/>
  <c r="T482" i="1"/>
  <c r="S482" i="1"/>
  <c r="R482" i="1"/>
  <c r="Q482" i="1"/>
  <c r="AU481" i="1"/>
  <c r="AT481" i="1"/>
  <c r="AS481" i="1"/>
  <c r="AR481" i="1"/>
  <c r="AQ481" i="1"/>
  <c r="AP481" i="1"/>
  <c r="AO481" i="1"/>
  <c r="AN481" i="1"/>
  <c r="AM481" i="1"/>
  <c r="AL481" i="1"/>
  <c r="AK481" i="1"/>
  <c r="AJ481" i="1"/>
  <c r="AI481" i="1"/>
  <c r="AH481" i="1"/>
  <c r="AG481" i="1"/>
  <c r="AF481" i="1"/>
  <c r="AE481" i="1"/>
  <c r="AD481" i="1"/>
  <c r="AC481" i="1"/>
  <c r="AB481" i="1"/>
  <c r="AA481" i="1"/>
  <c r="Z481" i="1"/>
  <c r="Y481" i="1"/>
  <c r="X481" i="1"/>
  <c r="W481" i="1"/>
  <c r="V481" i="1"/>
  <c r="U481" i="1"/>
  <c r="T481" i="1"/>
  <c r="S481" i="1"/>
  <c r="R481" i="1"/>
  <c r="Q481" i="1"/>
  <c r="AT477" i="1"/>
  <c r="AS477" i="1"/>
  <c r="AR477" i="1"/>
  <c r="AQ477" i="1"/>
  <c r="AP477" i="1"/>
  <c r="AO477" i="1"/>
  <c r="AN477" i="1"/>
  <c r="AM477" i="1"/>
  <c r="AL477" i="1"/>
  <c r="AK477" i="1"/>
  <c r="AJ477" i="1"/>
  <c r="AI477" i="1"/>
  <c r="AH477" i="1"/>
  <c r="AG477" i="1"/>
  <c r="AF477" i="1"/>
  <c r="AE477" i="1"/>
  <c r="AD477" i="1"/>
  <c r="AC477" i="1"/>
  <c r="AB477" i="1"/>
  <c r="AA477" i="1"/>
  <c r="Z477" i="1"/>
  <c r="Y477" i="1"/>
  <c r="X477" i="1"/>
  <c r="W477" i="1"/>
  <c r="V477" i="1"/>
  <c r="U477" i="1"/>
  <c r="T477" i="1"/>
  <c r="S477" i="1"/>
  <c r="R477" i="1"/>
  <c r="Q477" i="1"/>
  <c r="P477" i="1"/>
  <c r="AT475" i="1"/>
  <c r="AT496" i="1" s="1"/>
  <c r="AS475" i="1"/>
  <c r="AS496" i="1" s="1"/>
  <c r="AR475" i="1"/>
  <c r="AR496" i="1" s="1"/>
  <c r="AO475" i="1"/>
  <c r="AO496" i="1" s="1"/>
  <c r="AN475" i="1"/>
  <c r="AN496" i="1" s="1"/>
  <c r="AM475" i="1"/>
  <c r="AM496" i="1" s="1"/>
  <c r="AL475" i="1"/>
  <c r="AL496" i="1" s="1"/>
  <c r="AK475" i="1"/>
  <c r="AK496" i="1" s="1"/>
  <c r="AI475" i="1"/>
  <c r="AI496" i="1" s="1"/>
  <c r="AH475" i="1"/>
  <c r="AH496" i="1" s="1"/>
  <c r="T472" i="1"/>
  <c r="AJ470" i="1"/>
  <c r="AJ455" i="1" s="1"/>
  <c r="AR470" i="1"/>
  <c r="AQ470" i="1"/>
  <c r="AP470" i="1"/>
  <c r="AP455" i="1" s="1"/>
  <c r="AK470" i="1"/>
  <c r="AK492" i="1" s="1"/>
  <c r="AI470" i="1"/>
  <c r="AH470" i="1"/>
  <c r="AG470" i="1"/>
  <c r="AG492" i="1" s="1"/>
  <c r="AF470" i="1"/>
  <c r="AF455" i="1" s="1"/>
  <c r="AE470" i="1"/>
  <c r="AD470" i="1"/>
  <c r="AC470" i="1"/>
  <c r="AC492" i="1" s="1"/>
  <c r="AB470" i="1"/>
  <c r="AB455" i="1" s="1"/>
  <c r="AA470" i="1"/>
  <c r="Z470" i="1"/>
  <c r="Y470" i="1"/>
  <c r="Y492" i="1" s="1"/>
  <c r="X470" i="1"/>
  <c r="X455" i="1" s="1"/>
  <c r="W470" i="1"/>
  <c r="V470" i="1"/>
  <c r="U470" i="1"/>
  <c r="U492" i="1" s="1"/>
  <c r="T470" i="1"/>
  <c r="T455" i="1" s="1"/>
  <c r="S470" i="1"/>
  <c r="R470" i="1"/>
  <c r="Q470" i="1"/>
  <c r="Q492" i="1" s="1"/>
  <c r="P470" i="1"/>
  <c r="P472" i="1" s="1"/>
  <c r="AT469" i="1"/>
  <c r="AT491" i="1" s="1"/>
  <c r="AS469" i="1"/>
  <c r="AR469" i="1"/>
  <c r="AR491" i="1" s="1"/>
  <c r="AO469" i="1"/>
  <c r="AN469" i="1"/>
  <c r="AN491" i="1" s="1"/>
  <c r="AM469" i="1"/>
  <c r="AL469" i="1"/>
  <c r="AL491" i="1" s="1"/>
  <c r="AU467" i="1"/>
  <c r="AU489" i="1" s="1"/>
  <c r="AU465" i="1"/>
  <c r="AU487" i="1" s="1"/>
  <c r="AU464" i="1"/>
  <c r="AU486" i="1" s="1"/>
  <c r="AU463" i="1"/>
  <c r="AU485" i="1" s="1"/>
  <c r="AU462" i="1"/>
  <c r="AU484" i="1" s="1"/>
  <c r="AU461" i="1"/>
  <c r="AU483" i="1" s="1"/>
  <c r="AU460" i="1"/>
  <c r="AU482" i="1" s="1"/>
  <c r="AW466" i="1"/>
  <c r="AW488" i="1" s="1"/>
  <c r="AV466" i="1"/>
  <c r="AV488" i="1" s="1"/>
  <c r="AV465" i="1"/>
  <c r="AV487" i="1" s="1"/>
  <c r="BF461" i="1"/>
  <c r="BF483" i="1" s="1"/>
  <c r="AW461" i="1"/>
  <c r="AW483" i="1" s="1"/>
  <c r="AV461" i="1"/>
  <c r="AV483" i="1" s="1"/>
  <c r="AZ460" i="1"/>
  <c r="AZ482" i="1" s="1"/>
  <c r="AV459" i="1"/>
  <c r="AV481" i="1" s="1"/>
  <c r="O454" i="1"/>
  <c r="AR455" i="1"/>
  <c r="AQ455" i="1"/>
  <c r="AI455" i="1"/>
  <c r="AH455" i="1"/>
  <c r="AE455" i="1"/>
  <c r="AD455" i="1"/>
  <c r="AA455" i="1"/>
  <c r="Z455" i="1"/>
  <c r="W455" i="1"/>
  <c r="V455" i="1"/>
  <c r="S455" i="1"/>
  <c r="R455" i="1"/>
  <c r="AT454" i="1"/>
  <c r="AS454" i="1"/>
  <c r="AR454" i="1"/>
  <c r="AQ454" i="1"/>
  <c r="AP454" i="1"/>
  <c r="AO454" i="1"/>
  <c r="AN454" i="1"/>
  <c r="AM454" i="1"/>
  <c r="AL454" i="1"/>
  <c r="AK454" i="1"/>
  <c r="AJ454" i="1"/>
  <c r="AI454" i="1"/>
  <c r="AH454" i="1"/>
  <c r="AG454" i="1"/>
  <c r="AF454" i="1"/>
  <c r="AE454" i="1"/>
  <c r="AD454" i="1"/>
  <c r="AC454" i="1"/>
  <c r="AB454" i="1"/>
  <c r="AA454" i="1"/>
  <c r="Z454" i="1"/>
  <c r="Y454" i="1"/>
  <c r="X454" i="1"/>
  <c r="W454" i="1"/>
  <c r="V454" i="1"/>
  <c r="U454" i="1"/>
  <c r="T454" i="1"/>
  <c r="S454" i="1"/>
  <c r="R454" i="1"/>
  <c r="Q454" i="1"/>
  <c r="P454" i="1"/>
  <c r="AT449" i="1"/>
  <c r="AS449" i="1"/>
  <c r="AR449" i="1"/>
  <c r="AQ449" i="1"/>
  <c r="AP449" i="1"/>
  <c r="AO449" i="1"/>
  <c r="AN449" i="1"/>
  <c r="AM449" i="1"/>
  <c r="AL449" i="1"/>
  <c r="AK449" i="1"/>
  <c r="AJ449" i="1"/>
  <c r="AI449" i="1"/>
  <c r="AH449" i="1"/>
  <c r="AG449" i="1"/>
  <c r="AF449" i="1"/>
  <c r="AE449" i="1"/>
  <c r="AD449" i="1"/>
  <c r="AC449" i="1"/>
  <c r="AB449" i="1"/>
  <c r="AA449" i="1"/>
  <c r="Z449" i="1"/>
  <c r="Y449" i="1"/>
  <c r="X449" i="1"/>
  <c r="W449" i="1"/>
  <c r="V449" i="1"/>
  <c r="U449" i="1"/>
  <c r="T449" i="1"/>
  <c r="S449" i="1"/>
  <c r="R449" i="1"/>
  <c r="Q449" i="1"/>
  <c r="P449" i="1"/>
  <c r="O449" i="1"/>
  <c r="AQ448" i="1"/>
  <c r="AP448" i="1"/>
  <c r="AO448" i="1"/>
  <c r="AN448" i="1"/>
  <c r="AM448" i="1"/>
  <c r="AL448" i="1"/>
  <c r="AK448" i="1"/>
  <c r="AJ448" i="1"/>
  <c r="AI448" i="1"/>
  <c r="AH448" i="1"/>
  <c r="AG448" i="1"/>
  <c r="AF448" i="1"/>
  <c r="AE448" i="1"/>
  <c r="AD448" i="1"/>
  <c r="AC448" i="1"/>
  <c r="AB448" i="1"/>
  <c r="AA448" i="1"/>
  <c r="Z448" i="1"/>
  <c r="Y448" i="1"/>
  <c r="X448" i="1"/>
  <c r="W448" i="1"/>
  <c r="V448" i="1"/>
  <c r="U448" i="1"/>
  <c r="T448" i="1"/>
  <c r="S448" i="1"/>
  <c r="R448" i="1"/>
  <c r="Q448" i="1"/>
  <c r="P448" i="1"/>
  <c r="O448" i="1"/>
  <c r="AS436" i="1"/>
  <c r="AR436" i="1"/>
  <c r="AQ436" i="1"/>
  <c r="AP436" i="1"/>
  <c r="AO436" i="1"/>
  <c r="AN436" i="1"/>
  <c r="AM436" i="1"/>
  <c r="AL436" i="1"/>
  <c r="AK436" i="1"/>
  <c r="AJ436" i="1"/>
  <c r="AI436" i="1"/>
  <c r="AH436" i="1"/>
  <c r="AG436" i="1"/>
  <c r="AF436" i="1"/>
  <c r="AE436" i="1"/>
  <c r="AD436" i="1"/>
  <c r="AC436" i="1"/>
  <c r="AB436" i="1"/>
  <c r="AA436" i="1"/>
  <c r="Z436" i="1"/>
  <c r="Y436" i="1"/>
  <c r="X436" i="1"/>
  <c r="W436" i="1"/>
  <c r="V436" i="1"/>
  <c r="U436" i="1"/>
  <c r="T436" i="1"/>
  <c r="S436" i="1"/>
  <c r="R436" i="1"/>
  <c r="Q436" i="1"/>
  <c r="P436" i="1"/>
  <c r="O436" i="1"/>
  <c r="AV435" i="1"/>
  <c r="AW435" i="1" s="1"/>
  <c r="AX435" i="1" s="1"/>
  <c r="AY435" i="1" s="1"/>
  <c r="AZ435" i="1" s="1"/>
  <c r="BA435" i="1" s="1"/>
  <c r="BB435" i="1" s="1"/>
  <c r="BC435" i="1" s="1"/>
  <c r="BD435" i="1" s="1"/>
  <c r="BE435" i="1" s="1"/>
  <c r="BF435" i="1" s="1"/>
  <c r="AU435" i="1"/>
  <c r="AT435" i="1"/>
  <c r="AS435" i="1"/>
  <c r="AR435" i="1"/>
  <c r="AU433" i="1"/>
  <c r="AQ422" i="1"/>
  <c r="AM422" i="1"/>
  <c r="AI422" i="1"/>
  <c r="AE422" i="1"/>
  <c r="AA422" i="1"/>
  <c r="W422" i="1"/>
  <c r="S422" i="1"/>
  <c r="AT418" i="1"/>
  <c r="AS418" i="1"/>
  <c r="AR418" i="1"/>
  <c r="AQ418" i="1"/>
  <c r="AP418" i="1"/>
  <c r="AO418" i="1"/>
  <c r="AN418" i="1"/>
  <c r="AM418" i="1"/>
  <c r="AL418" i="1"/>
  <c r="AK418" i="1"/>
  <c r="AJ418" i="1"/>
  <c r="AI418" i="1"/>
  <c r="AH418" i="1"/>
  <c r="AG418" i="1"/>
  <c r="AF418" i="1"/>
  <c r="AE418" i="1"/>
  <c r="AD418" i="1"/>
  <c r="AC418" i="1"/>
  <c r="AB418" i="1"/>
  <c r="AA418" i="1"/>
  <c r="Z418" i="1"/>
  <c r="Y418" i="1"/>
  <c r="X418" i="1"/>
  <c r="W418" i="1"/>
  <c r="V418" i="1"/>
  <c r="U418" i="1"/>
  <c r="T418" i="1"/>
  <c r="S418" i="1"/>
  <c r="R418" i="1"/>
  <c r="Q418" i="1"/>
  <c r="P418" i="1"/>
  <c r="O418" i="1"/>
  <c r="BF411" i="1"/>
  <c r="BE411" i="1"/>
  <c r="BD411" i="1"/>
  <c r="BC411" i="1"/>
  <c r="BB411" i="1"/>
  <c r="BA411" i="1"/>
  <c r="AZ411" i="1"/>
  <c r="AY411" i="1"/>
  <c r="AX411" i="1"/>
  <c r="AW411" i="1"/>
  <c r="AV411" i="1"/>
  <c r="AU411" i="1"/>
  <c r="AT387" i="1"/>
  <c r="AS387" i="1"/>
  <c r="AR387" i="1"/>
  <c r="AQ387" i="1"/>
  <c r="AP387" i="1"/>
  <c r="AO387" i="1"/>
  <c r="AN387" i="1"/>
  <c r="AM387" i="1"/>
  <c r="AL387" i="1"/>
  <c r="AK387" i="1"/>
  <c r="AJ387" i="1"/>
  <c r="AI387" i="1"/>
  <c r="AI388" i="1" s="1"/>
  <c r="AH387" i="1"/>
  <c r="AG387" i="1"/>
  <c r="AF387" i="1"/>
  <c r="AE387" i="1"/>
  <c r="AD387" i="1"/>
  <c r="AC387" i="1"/>
  <c r="AB387" i="1"/>
  <c r="AA387" i="1"/>
  <c r="Z387" i="1"/>
  <c r="Y387" i="1"/>
  <c r="X387" i="1"/>
  <c r="W387" i="1"/>
  <c r="V387" i="1"/>
  <c r="U387" i="1"/>
  <c r="T387" i="1"/>
  <c r="S387" i="1"/>
  <c r="S388" i="1" s="1"/>
  <c r="R387" i="1"/>
  <c r="Q387" i="1"/>
  <c r="P387" i="1"/>
  <c r="O387" i="1"/>
  <c r="BF384" i="1"/>
  <c r="BE384" i="1"/>
  <c r="BD384" i="1"/>
  <c r="BC384" i="1"/>
  <c r="BB384" i="1"/>
  <c r="BA384" i="1"/>
  <c r="AZ384" i="1"/>
  <c r="AY384" i="1"/>
  <c r="AX384" i="1"/>
  <c r="AW384" i="1"/>
  <c r="AV384" i="1"/>
  <c r="AU384" i="1"/>
  <c r="AT384" i="1"/>
  <c r="AS384" i="1"/>
  <c r="AR384" i="1"/>
  <c r="AQ384" i="1"/>
  <c r="AP384" i="1"/>
  <c r="AO384" i="1"/>
  <c r="AN384" i="1"/>
  <c r="AM384" i="1"/>
  <c r="AL384" i="1"/>
  <c r="AK384" i="1"/>
  <c r="AJ384" i="1"/>
  <c r="AI384" i="1"/>
  <c r="AH384" i="1"/>
  <c r="AG384" i="1"/>
  <c r="AF384" i="1"/>
  <c r="AE384" i="1"/>
  <c r="AD384" i="1"/>
  <c r="AC384" i="1"/>
  <c r="AB384" i="1"/>
  <c r="AA384" i="1"/>
  <c r="Z384" i="1"/>
  <c r="Y384" i="1"/>
  <c r="X384" i="1"/>
  <c r="W384" i="1"/>
  <c r="V384" i="1"/>
  <c r="U384" i="1"/>
  <c r="T384" i="1"/>
  <c r="S384" i="1"/>
  <c r="R384" i="1"/>
  <c r="Q384" i="1"/>
  <c r="P384" i="1"/>
  <c r="O384" i="1"/>
  <c r="M384" i="1"/>
  <c r="L384" i="1"/>
  <c r="K384" i="1"/>
  <c r="J384" i="1"/>
  <c r="I384" i="1"/>
  <c r="H384" i="1"/>
  <c r="G384" i="1"/>
  <c r="F384" i="1"/>
  <c r="E384" i="1"/>
  <c r="D384" i="1"/>
  <c r="C384" i="1"/>
  <c r="AT379" i="1"/>
  <c r="AS379" i="1"/>
  <c r="AR379" i="1"/>
  <c r="AQ379" i="1"/>
  <c r="AP379" i="1"/>
  <c r="AO379" i="1"/>
  <c r="AN379" i="1"/>
  <c r="AM379" i="1"/>
  <c r="AL379" i="1"/>
  <c r="AK379" i="1"/>
  <c r="AJ379" i="1"/>
  <c r="AI379" i="1"/>
  <c r="AH379" i="1"/>
  <c r="AG379" i="1"/>
  <c r="AF379" i="1"/>
  <c r="AF386" i="1" s="1"/>
  <c r="AE379" i="1"/>
  <c r="AD379" i="1"/>
  <c r="AC379" i="1"/>
  <c r="AB379" i="1"/>
  <c r="AA379" i="1"/>
  <c r="Z379" i="1"/>
  <c r="Y379" i="1"/>
  <c r="X379" i="1"/>
  <c r="X386" i="1" s="1"/>
  <c r="W379" i="1"/>
  <c r="V379" i="1"/>
  <c r="U379" i="1"/>
  <c r="T379" i="1"/>
  <c r="S379" i="1"/>
  <c r="R379" i="1"/>
  <c r="Q379" i="1"/>
  <c r="P379" i="1"/>
  <c r="P386" i="1" s="1"/>
  <c r="O379" i="1"/>
  <c r="AQ369" i="1"/>
  <c r="AP369" i="1"/>
  <c r="AO369" i="1"/>
  <c r="AN369" i="1"/>
  <c r="AM369" i="1"/>
  <c r="AL369" i="1"/>
  <c r="AK369" i="1"/>
  <c r="AJ369" i="1"/>
  <c r="AI369" i="1"/>
  <c r="AH369" i="1"/>
  <c r="AG369" i="1"/>
  <c r="AF369" i="1"/>
  <c r="AE369" i="1"/>
  <c r="AD369" i="1"/>
  <c r="AC369" i="1"/>
  <c r="AB369" i="1"/>
  <c r="AA369" i="1"/>
  <c r="Z369" i="1"/>
  <c r="Y369" i="1"/>
  <c r="X369" i="1"/>
  <c r="W369" i="1"/>
  <c r="V369" i="1"/>
  <c r="U369" i="1"/>
  <c r="T369" i="1"/>
  <c r="S369" i="1"/>
  <c r="R369" i="1"/>
  <c r="Q369" i="1"/>
  <c r="P369" i="1"/>
  <c r="O369" i="1"/>
  <c r="AT368" i="1"/>
  <c r="AS368" i="1"/>
  <c r="AS369" i="1" s="1"/>
  <c r="AR368" i="1"/>
  <c r="AU380" i="1"/>
  <c r="AV380" i="1" s="1"/>
  <c r="AU378" i="1"/>
  <c r="AV378" i="1" s="1"/>
  <c r="AW378" i="1" s="1"/>
  <c r="AX378" i="1" s="1"/>
  <c r="AY378" i="1" s="1"/>
  <c r="AZ378" i="1" s="1"/>
  <c r="BA378" i="1" s="1"/>
  <c r="BB378" i="1" s="1"/>
  <c r="BC378" i="1" s="1"/>
  <c r="BD378" i="1" s="1"/>
  <c r="BE378" i="1" s="1"/>
  <c r="BF378" i="1" s="1"/>
  <c r="AV377" i="1"/>
  <c r="AW377" i="1" s="1"/>
  <c r="AX377" i="1" s="1"/>
  <c r="AY377" i="1" s="1"/>
  <c r="AZ377" i="1" s="1"/>
  <c r="BA377" i="1" s="1"/>
  <c r="BB377" i="1" s="1"/>
  <c r="BC377" i="1" s="1"/>
  <c r="BD377" i="1" s="1"/>
  <c r="BE377" i="1" s="1"/>
  <c r="BF377" i="1" s="1"/>
  <c r="AU377" i="1"/>
  <c r="AU374" i="1"/>
  <c r="AV374" i="1" s="1"/>
  <c r="AW374" i="1" s="1"/>
  <c r="AU372" i="1"/>
  <c r="AU333" i="1" s="1"/>
  <c r="AU371" i="1"/>
  <c r="AV371" i="1" s="1"/>
  <c r="AU368" i="1"/>
  <c r="AV368" i="1" s="1"/>
  <c r="BF366" i="1"/>
  <c r="BE366" i="1"/>
  <c r="BD366" i="1"/>
  <c r="BC366" i="1"/>
  <c r="AQ357" i="1"/>
  <c r="AP357" i="1"/>
  <c r="AO357" i="1"/>
  <c r="AN357" i="1"/>
  <c r="AM357" i="1"/>
  <c r="AL357" i="1"/>
  <c r="AK357" i="1"/>
  <c r="AJ357" i="1"/>
  <c r="AI357" i="1"/>
  <c r="AH357" i="1"/>
  <c r="AG357" i="1"/>
  <c r="AF357" i="1"/>
  <c r="AE357" i="1"/>
  <c r="AD357" i="1"/>
  <c r="AC357" i="1"/>
  <c r="AB357" i="1"/>
  <c r="AA357" i="1"/>
  <c r="Z357" i="1"/>
  <c r="Y357" i="1"/>
  <c r="X357" i="1"/>
  <c r="W357" i="1"/>
  <c r="V357" i="1"/>
  <c r="U357" i="1"/>
  <c r="T357" i="1"/>
  <c r="S357" i="1"/>
  <c r="R357" i="1"/>
  <c r="Q357" i="1"/>
  <c r="P357" i="1"/>
  <c r="O357" i="1"/>
  <c r="AT356" i="1"/>
  <c r="AS356" i="1"/>
  <c r="AR356" i="1"/>
  <c r="AR355" i="1"/>
  <c r="AR357" i="1" s="1"/>
  <c r="AU362" i="1"/>
  <c r="AU361" i="1"/>
  <c r="AV361" i="1" s="1"/>
  <c r="AW361" i="1" s="1"/>
  <c r="AX361" i="1" s="1"/>
  <c r="AY361" i="1" s="1"/>
  <c r="AZ361" i="1" s="1"/>
  <c r="BA361" i="1" s="1"/>
  <c r="BB361" i="1" s="1"/>
  <c r="BC361" i="1" s="1"/>
  <c r="BD361" i="1" s="1"/>
  <c r="BE361" i="1" s="1"/>
  <c r="BF361" i="1" s="1"/>
  <c r="AU356" i="1"/>
  <c r="AV356" i="1" s="1"/>
  <c r="AW356" i="1" s="1"/>
  <c r="AU352" i="1"/>
  <c r="AV352" i="1" s="1"/>
  <c r="AW352" i="1" s="1"/>
  <c r="AX352" i="1" s="1"/>
  <c r="AY352" i="1" s="1"/>
  <c r="AZ352" i="1" s="1"/>
  <c r="BA352" i="1" s="1"/>
  <c r="BB352" i="1" s="1"/>
  <c r="BC352" i="1" s="1"/>
  <c r="BD352" i="1" s="1"/>
  <c r="BE352" i="1" s="1"/>
  <c r="BF352" i="1" s="1"/>
  <c r="BF349" i="1"/>
  <c r="BE349" i="1"/>
  <c r="BD349" i="1"/>
  <c r="BC349" i="1"/>
  <c r="BB349" i="1"/>
  <c r="BA349" i="1"/>
  <c r="AZ349" i="1"/>
  <c r="AY349" i="1"/>
  <c r="AX349" i="1"/>
  <c r="AW349" i="1"/>
  <c r="AV349" i="1"/>
  <c r="AU349" i="1"/>
  <c r="AT349" i="1"/>
  <c r="AS349" i="1"/>
  <c r="AR349" i="1"/>
  <c r="AQ349" i="1"/>
  <c r="AP349" i="1"/>
  <c r="AO349" i="1"/>
  <c r="AN349" i="1"/>
  <c r="AM349" i="1"/>
  <c r="AL349" i="1"/>
  <c r="AK349" i="1"/>
  <c r="AJ349" i="1"/>
  <c r="AI349" i="1"/>
  <c r="AH349" i="1"/>
  <c r="AG349" i="1"/>
  <c r="AF349" i="1"/>
  <c r="AE349" i="1"/>
  <c r="AD349" i="1"/>
  <c r="AC349" i="1"/>
  <c r="AB349" i="1"/>
  <c r="AA349" i="1"/>
  <c r="Z349" i="1"/>
  <c r="Y349" i="1"/>
  <c r="X349" i="1"/>
  <c r="W349" i="1"/>
  <c r="V349" i="1"/>
  <c r="U349" i="1"/>
  <c r="T349" i="1"/>
  <c r="S349" i="1"/>
  <c r="R349" i="1"/>
  <c r="Q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AR345" i="1"/>
  <c r="AS345" i="1" s="1"/>
  <c r="AT345" i="1" s="1"/>
  <c r="AR344" i="1"/>
  <c r="AS344" i="1" s="1"/>
  <c r="AT344" i="1" s="1"/>
  <c r="AT343" i="1"/>
  <c r="AU337" i="1"/>
  <c r="AU332" i="1"/>
  <c r="AQ336" i="1"/>
  <c r="AQ346" i="1" s="1"/>
  <c r="AQ347" i="1" s="1"/>
  <c r="AM336" i="1"/>
  <c r="AM346" i="1" s="1"/>
  <c r="AM347" i="1" s="1"/>
  <c r="AI336" i="1"/>
  <c r="AI346" i="1" s="1"/>
  <c r="AI347" i="1" s="1"/>
  <c r="AE336" i="1"/>
  <c r="AE346" i="1" s="1"/>
  <c r="AE347" i="1" s="1"/>
  <c r="AA336" i="1"/>
  <c r="AA346" i="1" s="1"/>
  <c r="AA347" i="1" s="1"/>
  <c r="W336" i="1"/>
  <c r="W346" i="1" s="1"/>
  <c r="W347" i="1" s="1"/>
  <c r="S336" i="1"/>
  <c r="S346" i="1" s="1"/>
  <c r="S347" i="1" s="1"/>
  <c r="O336" i="1"/>
  <c r="O346" i="1" s="1"/>
  <c r="AN335" i="1"/>
  <c r="AJ335" i="1"/>
  <c r="AJ336" i="1" s="1"/>
  <c r="AJ346" i="1" s="1"/>
  <c r="AJ347" i="1" s="1"/>
  <c r="AG335" i="1"/>
  <c r="AF335" i="1"/>
  <c r="AF336" i="1" s="1"/>
  <c r="AF346" i="1" s="1"/>
  <c r="AF347" i="1" s="1"/>
  <c r="AB335" i="1"/>
  <c r="X335" i="1"/>
  <c r="X319" i="1" s="1"/>
  <c r="V335" i="1"/>
  <c r="T335" i="1"/>
  <c r="U335" i="1" s="1"/>
  <c r="O335" i="1"/>
  <c r="O422" i="1" s="1"/>
  <c r="AR342" i="1"/>
  <c r="AR341" i="1"/>
  <c r="AR578" i="1" s="1"/>
  <c r="AR340" i="1"/>
  <c r="AS340" i="1" s="1"/>
  <c r="AT340" i="1" s="1"/>
  <c r="AR339" i="1"/>
  <c r="AS339" i="1" s="1"/>
  <c r="AT339" i="1" s="1"/>
  <c r="AR338" i="1"/>
  <c r="AS338" i="1" s="1"/>
  <c r="AT338" i="1" s="1"/>
  <c r="AR337" i="1"/>
  <c r="AS337" i="1" s="1"/>
  <c r="AT337" i="1" s="1"/>
  <c r="AR335" i="1"/>
  <c r="AS335" i="1" s="1"/>
  <c r="AR334" i="1"/>
  <c r="AR333" i="1"/>
  <c r="AS333" i="1" s="1"/>
  <c r="AT333" i="1" s="1"/>
  <c r="AR332" i="1"/>
  <c r="AS332" i="1" s="1"/>
  <c r="AT332" i="1" s="1"/>
  <c r="AR331" i="1"/>
  <c r="AS331" i="1" s="1"/>
  <c r="AT331" i="1" s="1"/>
  <c r="AR330" i="1"/>
  <c r="AS330" i="1" s="1"/>
  <c r="AT330" i="1" s="1"/>
  <c r="AR329" i="1"/>
  <c r="AS329" i="1" s="1"/>
  <c r="AT329" i="1" s="1"/>
  <c r="AR326" i="1"/>
  <c r="AR580" i="1" s="1"/>
  <c r="AR325" i="1"/>
  <c r="AS325" i="1" s="1"/>
  <c r="AT325" i="1" s="1"/>
  <c r="AT324" i="1"/>
  <c r="AT421" i="1" s="1"/>
  <c r="AS324" i="1"/>
  <c r="AS421" i="1" s="1"/>
  <c r="AR324" i="1"/>
  <c r="AR421" i="1" s="1"/>
  <c r="BF322" i="1"/>
  <c r="BE322" i="1"/>
  <c r="BD322" i="1"/>
  <c r="BC322" i="1"/>
  <c r="BB322" i="1"/>
  <c r="BA322" i="1"/>
  <c r="AZ322" i="1"/>
  <c r="AY322" i="1"/>
  <c r="AX322" i="1"/>
  <c r="AW322" i="1"/>
  <c r="AV322" i="1"/>
  <c r="AU322" i="1"/>
  <c r="AT322" i="1"/>
  <c r="AS322" i="1"/>
  <c r="AR322" i="1"/>
  <c r="AQ324" i="1"/>
  <c r="AP324" i="1"/>
  <c r="AP421" i="1" s="1"/>
  <c r="AO324" i="1"/>
  <c r="AO421" i="1" s="1"/>
  <c r="AN324" i="1"/>
  <c r="AN421" i="1" s="1"/>
  <c r="AM324" i="1"/>
  <c r="AL324" i="1"/>
  <c r="AL421" i="1" s="1"/>
  <c r="AK324" i="1"/>
  <c r="AK421" i="1" s="1"/>
  <c r="AJ324" i="1"/>
  <c r="AJ421" i="1" s="1"/>
  <c r="AI324" i="1"/>
  <c r="AH324" i="1"/>
  <c r="AH421" i="1" s="1"/>
  <c r="AG324" i="1"/>
  <c r="AG421" i="1" s="1"/>
  <c r="AF324" i="1"/>
  <c r="AF421" i="1" s="1"/>
  <c r="AE324" i="1"/>
  <c r="AD324" i="1"/>
  <c r="AD421" i="1" s="1"/>
  <c r="AC324" i="1"/>
  <c r="AC421" i="1" s="1"/>
  <c r="AB324" i="1"/>
  <c r="AB421" i="1" s="1"/>
  <c r="AA324" i="1"/>
  <c r="Z324" i="1"/>
  <c r="Z421" i="1" s="1"/>
  <c r="Y324" i="1"/>
  <c r="Y421" i="1" s="1"/>
  <c r="X324" i="1"/>
  <c r="X421" i="1" s="1"/>
  <c r="W324" i="1"/>
  <c r="V324" i="1"/>
  <c r="V421" i="1" s="1"/>
  <c r="U324" i="1"/>
  <c r="U421" i="1" s="1"/>
  <c r="T324" i="1"/>
  <c r="T421" i="1" s="1"/>
  <c r="S324" i="1"/>
  <c r="R324" i="1"/>
  <c r="R421" i="1" s="1"/>
  <c r="Q324" i="1"/>
  <c r="Q421" i="1" s="1"/>
  <c r="P324" i="1"/>
  <c r="P421" i="1" s="1"/>
  <c r="O324" i="1"/>
  <c r="O421" i="1" s="1"/>
  <c r="AQ322" i="1"/>
  <c r="AP322" i="1"/>
  <c r="AO322" i="1"/>
  <c r="AN322" i="1"/>
  <c r="AM322" i="1"/>
  <c r="AL322" i="1"/>
  <c r="AK322" i="1"/>
  <c r="AJ322" i="1"/>
  <c r="AI322" i="1"/>
  <c r="AH322" i="1"/>
  <c r="AG322" i="1"/>
  <c r="AF322" i="1"/>
  <c r="AE322" i="1"/>
  <c r="AD322" i="1"/>
  <c r="AC322" i="1"/>
  <c r="AB322" i="1"/>
  <c r="AA322" i="1"/>
  <c r="Z322" i="1"/>
  <c r="Y322" i="1"/>
  <c r="X322" i="1"/>
  <c r="W322" i="1"/>
  <c r="V322" i="1"/>
  <c r="U322" i="1"/>
  <c r="T322" i="1"/>
  <c r="S322" i="1"/>
  <c r="R322" i="1"/>
  <c r="Q322" i="1"/>
  <c r="P322" i="1"/>
  <c r="O322" i="1"/>
  <c r="M322" i="1"/>
  <c r="L322" i="1"/>
  <c r="K322" i="1"/>
  <c r="J322" i="1"/>
  <c r="I322" i="1"/>
  <c r="H322" i="1"/>
  <c r="G322" i="1"/>
  <c r="F322" i="1"/>
  <c r="E322" i="1"/>
  <c r="D322" i="1"/>
  <c r="C322" i="1"/>
  <c r="AR319" i="1"/>
  <c r="AQ319" i="1"/>
  <c r="AN319" i="1"/>
  <c r="AM319" i="1"/>
  <c r="AJ319" i="1"/>
  <c r="AI319" i="1"/>
  <c r="AF319" i="1"/>
  <c r="AE319" i="1"/>
  <c r="AA319" i="1"/>
  <c r="W319" i="1"/>
  <c r="T319" i="1"/>
  <c r="S319" i="1"/>
  <c r="Y317" i="1"/>
  <c r="S317" i="1"/>
  <c r="AT313" i="1"/>
  <c r="BF301" i="1"/>
  <c r="BE301" i="1"/>
  <c r="BD301" i="1"/>
  <c r="BC301" i="1"/>
  <c r="BB301" i="1"/>
  <c r="BA301" i="1"/>
  <c r="AZ301" i="1"/>
  <c r="AY301" i="1"/>
  <c r="AT299" i="1"/>
  <c r="AT295" i="1"/>
  <c r="AT293" i="1"/>
  <c r="AW290" i="1"/>
  <c r="AZ289" i="1"/>
  <c r="BA289" i="1" s="1"/>
  <c r="BB289" i="1" s="1"/>
  <c r="BC289" i="1" s="1"/>
  <c r="BD289" i="1" s="1"/>
  <c r="BE289" i="1" s="1"/>
  <c r="BF289" i="1" s="1"/>
  <c r="BF288" i="1"/>
  <c r="BE288" i="1"/>
  <c r="BD288" i="1"/>
  <c r="BC288" i="1"/>
  <c r="BC290" i="1" s="1"/>
  <c r="BB288" i="1"/>
  <c r="BA288" i="1"/>
  <c r="AZ288" i="1"/>
  <c r="AY288" i="1"/>
  <c r="AY290" i="1" s="1"/>
  <c r="AX288" i="1"/>
  <c r="AX290" i="1" s="1"/>
  <c r="AW288" i="1"/>
  <c r="AV288" i="1"/>
  <c r="AV290" i="1" s="1"/>
  <c r="AU288" i="1"/>
  <c r="AU290" i="1" s="1"/>
  <c r="AT288" i="1"/>
  <c r="AT290" i="1" s="1"/>
  <c r="J283" i="1"/>
  <c r="I283" i="1"/>
  <c r="H283" i="1"/>
  <c r="G283" i="1"/>
  <c r="F283" i="1"/>
  <c r="E283" i="1"/>
  <c r="D283" i="1"/>
  <c r="C283" i="1"/>
  <c r="J281" i="1"/>
  <c r="I281" i="1"/>
  <c r="H281" i="1"/>
  <c r="G281" i="1"/>
  <c r="F281" i="1"/>
  <c r="E281" i="1"/>
  <c r="AP282" i="1"/>
  <c r="AN280" i="1"/>
  <c r="AS277" i="1"/>
  <c r="AS282" i="1" s="1"/>
  <c r="AR277" i="1"/>
  <c r="AR282" i="1" s="1"/>
  <c r="AR283" i="1" s="1"/>
  <c r="AQ277" i="1"/>
  <c r="AP277" i="1"/>
  <c r="AR275" i="1"/>
  <c r="AR280" i="1" s="1"/>
  <c r="AQ275" i="1"/>
  <c r="AP275" i="1"/>
  <c r="AS272" i="1"/>
  <c r="AR272" i="1"/>
  <c r="AQ272" i="1"/>
  <c r="AP272" i="1"/>
  <c r="AO272" i="1"/>
  <c r="AN272" i="1"/>
  <c r="AM272" i="1"/>
  <c r="H272" i="1"/>
  <c r="G272" i="1"/>
  <c r="F272" i="1"/>
  <c r="AS270" i="1"/>
  <c r="AR270" i="1"/>
  <c r="AQ270" i="1"/>
  <c r="AP270" i="1"/>
  <c r="AO270" i="1"/>
  <c r="AN270" i="1"/>
  <c r="H270" i="1"/>
  <c r="G270" i="1"/>
  <c r="AR266" i="1"/>
  <c r="AQ266" i="1"/>
  <c r="AP266" i="1"/>
  <c r="AO265" i="1"/>
  <c r="AO277" i="1" s="1"/>
  <c r="AR264" i="1"/>
  <c r="AQ264" i="1"/>
  <c r="AT265" i="1"/>
  <c r="AT263" i="1"/>
  <c r="AS263" i="1"/>
  <c r="AS266" i="1" s="1"/>
  <c r="AO263" i="1"/>
  <c r="AT257" i="1"/>
  <c r="AT258" i="1" s="1"/>
  <c r="AS257" i="1"/>
  <c r="AS258" i="1" s="1"/>
  <c r="AR257" i="1"/>
  <c r="AR258" i="1" s="1"/>
  <c r="AQ257" i="1"/>
  <c r="AQ258" i="1" s="1"/>
  <c r="AM257" i="1"/>
  <c r="AM258" i="1" s="1"/>
  <c r="AL257" i="1"/>
  <c r="AL258" i="1" s="1"/>
  <c r="AK257" i="1"/>
  <c r="AK258" i="1" s="1"/>
  <c r="AJ257" i="1"/>
  <c r="AJ258" i="1" s="1"/>
  <c r="AI257" i="1"/>
  <c r="AI258" i="1" s="1"/>
  <c r="AH257" i="1"/>
  <c r="AH258" i="1" s="1"/>
  <c r="AG257" i="1"/>
  <c r="AG258" i="1" s="1"/>
  <c r="AF257" i="1"/>
  <c r="AF258" i="1" s="1"/>
  <c r="AE257" i="1"/>
  <c r="AE258" i="1" s="1"/>
  <c r="AD257" i="1"/>
  <c r="AD258" i="1" s="1"/>
  <c r="AC257" i="1"/>
  <c r="AC258" i="1" s="1"/>
  <c r="AB257" i="1"/>
  <c r="AB258" i="1" s="1"/>
  <c r="AA257" i="1"/>
  <c r="AA258" i="1" s="1"/>
  <c r="Z257" i="1"/>
  <c r="Z258" i="1" s="1"/>
  <c r="Y257" i="1"/>
  <c r="Y258" i="1" s="1"/>
  <c r="X257" i="1"/>
  <c r="X258" i="1" s="1"/>
  <c r="W257" i="1"/>
  <c r="W258" i="1" s="1"/>
  <c r="V257" i="1"/>
  <c r="V258" i="1" s="1"/>
  <c r="U257" i="1"/>
  <c r="U258" i="1" s="1"/>
  <c r="T257" i="1"/>
  <c r="T258" i="1" s="1"/>
  <c r="S257" i="1"/>
  <c r="S258" i="1" s="1"/>
  <c r="R257" i="1"/>
  <c r="R258" i="1" s="1"/>
  <c r="Q257" i="1"/>
  <c r="Q258" i="1" s="1"/>
  <c r="P257" i="1"/>
  <c r="P258" i="1" s="1"/>
  <c r="O257" i="1"/>
  <c r="O258" i="1" s="1"/>
  <c r="O132" i="1" s="1"/>
  <c r="AT253" i="1"/>
  <c r="AS253" i="1"/>
  <c r="AR253" i="1"/>
  <c r="AQ253" i="1"/>
  <c r="AP253" i="1"/>
  <c r="AO253" i="1"/>
  <c r="AN253" i="1"/>
  <c r="AM253" i="1"/>
  <c r="AL253" i="1"/>
  <c r="AK253" i="1"/>
  <c r="AJ253" i="1"/>
  <c r="AI253" i="1"/>
  <c r="AH253" i="1"/>
  <c r="AG253" i="1"/>
  <c r="AF253" i="1"/>
  <c r="AE253" i="1"/>
  <c r="AD253" i="1"/>
  <c r="AC253" i="1"/>
  <c r="AB253" i="1"/>
  <c r="AA253" i="1"/>
  <c r="Z253" i="1"/>
  <c r="Y253" i="1"/>
  <c r="X253" i="1"/>
  <c r="W253" i="1"/>
  <c r="V253" i="1"/>
  <c r="U253" i="1"/>
  <c r="T253" i="1"/>
  <c r="S253" i="1"/>
  <c r="R253" i="1"/>
  <c r="Q253" i="1"/>
  <c r="P253" i="1"/>
  <c r="O253" i="1"/>
  <c r="BF250" i="1"/>
  <c r="BE250" i="1"/>
  <c r="BD250" i="1"/>
  <c r="BC250" i="1"/>
  <c r="BB250" i="1"/>
  <c r="BA250" i="1"/>
  <c r="AZ250" i="1"/>
  <c r="AY250" i="1"/>
  <c r="AX250" i="1"/>
  <c r="AW250" i="1"/>
  <c r="AV250" i="1"/>
  <c r="AU250" i="1"/>
  <c r="O249" i="1"/>
  <c r="O247" i="1"/>
  <c r="O255" i="1" s="1"/>
  <c r="AT246" i="1"/>
  <c r="AS246" i="1"/>
  <c r="AR246" i="1"/>
  <c r="AQ246" i="1"/>
  <c r="AP246" i="1"/>
  <c r="AO246" i="1"/>
  <c r="AN246" i="1"/>
  <c r="AL246" i="1"/>
  <c r="AK246" i="1"/>
  <c r="AJ246" i="1"/>
  <c r="AI246" i="1"/>
  <c r="AH246" i="1"/>
  <c r="AG246" i="1"/>
  <c r="AF246" i="1"/>
  <c r="AE246" i="1"/>
  <c r="AD246" i="1"/>
  <c r="AC246" i="1"/>
  <c r="AB246" i="1"/>
  <c r="AA246" i="1"/>
  <c r="Y246" i="1"/>
  <c r="X246" i="1"/>
  <c r="S246" i="1"/>
  <c r="R246" i="1"/>
  <c r="O246" i="1"/>
  <c r="AX245" i="1"/>
  <c r="AX518" i="1" s="1"/>
  <c r="AW245" i="1"/>
  <c r="AV245" i="1"/>
  <c r="AU245" i="1"/>
  <c r="AU518" i="1" s="1"/>
  <c r="AU244" i="1"/>
  <c r="AV244" i="1" s="1"/>
  <c r="AM244" i="1"/>
  <c r="AM246" i="1" s="1"/>
  <c r="Z244" i="1"/>
  <c r="AA317" i="1" s="1"/>
  <c r="X244" i="1"/>
  <c r="T244" i="1"/>
  <c r="T246" i="1" s="1"/>
  <c r="P244" i="1"/>
  <c r="AT239" i="1"/>
  <c r="AT240" i="1" s="1"/>
  <c r="AS239" i="1"/>
  <c r="AS240" i="1" s="1"/>
  <c r="AS131" i="1" s="1"/>
  <c r="AR239" i="1"/>
  <c r="AR240" i="1" s="1"/>
  <c r="AQ239" i="1"/>
  <c r="AQ240" i="1" s="1"/>
  <c r="AP239" i="1"/>
  <c r="AP240" i="1" s="1"/>
  <c r="AO239" i="1"/>
  <c r="AO240" i="1" s="1"/>
  <c r="AN239" i="1"/>
  <c r="AN240" i="1" s="1"/>
  <c r="AM239" i="1"/>
  <c r="AM240" i="1" s="1"/>
  <c r="AL239" i="1"/>
  <c r="AL240" i="1" s="1"/>
  <c r="AK239" i="1"/>
  <c r="AK240" i="1" s="1"/>
  <c r="AJ239" i="1"/>
  <c r="AJ240" i="1" s="1"/>
  <c r="AI239" i="1"/>
  <c r="AI240" i="1" s="1"/>
  <c r="AH239" i="1"/>
  <c r="AH240" i="1" s="1"/>
  <c r="AG239" i="1"/>
  <c r="AG240" i="1" s="1"/>
  <c r="AF239" i="1"/>
  <c r="AF240" i="1" s="1"/>
  <c r="AE239" i="1"/>
  <c r="AE240" i="1" s="1"/>
  <c r="AD239" i="1"/>
  <c r="AD240" i="1" s="1"/>
  <c r="AC239" i="1"/>
  <c r="AC240" i="1" s="1"/>
  <c r="AB239" i="1"/>
  <c r="AB240" i="1" s="1"/>
  <c r="AA239" i="1"/>
  <c r="AA240" i="1" s="1"/>
  <c r="Z239" i="1"/>
  <c r="Z240" i="1" s="1"/>
  <c r="Y239" i="1"/>
  <c r="Y240" i="1" s="1"/>
  <c r="X239" i="1"/>
  <c r="X240" i="1" s="1"/>
  <c r="W239" i="1"/>
  <c r="W240" i="1" s="1"/>
  <c r="V239" i="1"/>
  <c r="V240" i="1" s="1"/>
  <c r="U239" i="1"/>
  <c r="U240" i="1" s="1"/>
  <c r="T239" i="1"/>
  <c r="T240" i="1" s="1"/>
  <c r="S239" i="1"/>
  <c r="S240" i="1" s="1"/>
  <c r="R239" i="1"/>
  <c r="R240" i="1" s="1"/>
  <c r="Q239" i="1"/>
  <c r="Q240" i="1" s="1"/>
  <c r="Q131" i="1" s="1"/>
  <c r="P239" i="1"/>
  <c r="P240" i="1" s="1"/>
  <c r="O239" i="1"/>
  <c r="O240" i="1" s="1"/>
  <c r="AT235" i="1"/>
  <c r="AS235" i="1"/>
  <c r="AR235" i="1"/>
  <c r="AQ235" i="1"/>
  <c r="AP235" i="1"/>
  <c r="AO235" i="1"/>
  <c r="AN235" i="1"/>
  <c r="AM235" i="1"/>
  <c r="AL235" i="1"/>
  <c r="AK235" i="1"/>
  <c r="AJ235" i="1"/>
  <c r="AI235" i="1"/>
  <c r="AH235" i="1"/>
  <c r="AG235" i="1"/>
  <c r="AF235" i="1"/>
  <c r="AE235" i="1"/>
  <c r="AD235" i="1"/>
  <c r="AC235" i="1"/>
  <c r="AB235" i="1"/>
  <c r="AA235" i="1"/>
  <c r="Z235" i="1"/>
  <c r="Y235" i="1"/>
  <c r="X235" i="1"/>
  <c r="W235" i="1"/>
  <c r="V235" i="1"/>
  <c r="U235" i="1"/>
  <c r="T235" i="1"/>
  <c r="S235" i="1"/>
  <c r="R235" i="1"/>
  <c r="Q235" i="1"/>
  <c r="P235" i="1"/>
  <c r="O235" i="1"/>
  <c r="BF232" i="1"/>
  <c r="BE232" i="1"/>
  <c r="BD232" i="1"/>
  <c r="BC232" i="1"/>
  <c r="BB232" i="1"/>
  <c r="BA232" i="1"/>
  <c r="AZ232" i="1"/>
  <c r="AY232" i="1"/>
  <c r="AW232" i="1"/>
  <c r="AV232" i="1"/>
  <c r="AU232" i="1"/>
  <c r="BF231" i="1"/>
  <c r="BF233" i="1" s="1"/>
  <c r="BE231" i="1"/>
  <c r="BD231" i="1"/>
  <c r="BC231" i="1"/>
  <c r="BB231" i="1"/>
  <c r="BB233" i="1" s="1"/>
  <c r="BA231" i="1"/>
  <c r="AZ231" i="1"/>
  <c r="AY231" i="1"/>
  <c r="AX231" i="1"/>
  <c r="AW231" i="1"/>
  <c r="AW233" i="1" s="1"/>
  <c r="AV231" i="1"/>
  <c r="AV233" i="1" s="1"/>
  <c r="AU231" i="1"/>
  <c r="AU233" i="1" s="1"/>
  <c r="O229" i="1"/>
  <c r="O237" i="1" s="1"/>
  <c r="AT228" i="1"/>
  <c r="AQ228" i="1"/>
  <c r="AP228" i="1"/>
  <c r="AO228" i="1"/>
  <c r="AN228" i="1"/>
  <c r="AM228" i="1"/>
  <c r="AL228" i="1"/>
  <c r="AK228" i="1"/>
  <c r="AJ228" i="1"/>
  <c r="AI228" i="1"/>
  <c r="AH228" i="1"/>
  <c r="AG228" i="1"/>
  <c r="AF228" i="1"/>
  <c r="AE228" i="1"/>
  <c r="AD228" i="1"/>
  <c r="AC228" i="1"/>
  <c r="AB228" i="1"/>
  <c r="AA228" i="1"/>
  <c r="Z228" i="1"/>
  <c r="Y228" i="1"/>
  <c r="X228" i="1"/>
  <c r="W228" i="1"/>
  <c r="V228" i="1"/>
  <c r="U228" i="1"/>
  <c r="T228" i="1"/>
  <c r="S228" i="1"/>
  <c r="R228" i="1"/>
  <c r="Q228" i="1"/>
  <c r="P228" i="1"/>
  <c r="O228" i="1"/>
  <c r="AY227" i="1"/>
  <c r="AX227" i="1"/>
  <c r="AX516" i="1" s="1"/>
  <c r="AW227" i="1"/>
  <c r="AV227" i="1"/>
  <c r="AU227" i="1"/>
  <c r="AV226" i="1"/>
  <c r="AU226" i="1"/>
  <c r="AU317" i="1" s="1"/>
  <c r="AR226" i="1"/>
  <c r="AS226" i="1" s="1"/>
  <c r="AS228" i="1" s="1"/>
  <c r="AV223" i="1"/>
  <c r="AU223" i="1"/>
  <c r="AX222" i="1"/>
  <c r="AY222" i="1" s="1"/>
  <c r="AZ222" i="1" s="1"/>
  <c r="BA222" i="1" s="1"/>
  <c r="BB222" i="1" s="1"/>
  <c r="BC222" i="1" s="1"/>
  <c r="BD222" i="1" s="1"/>
  <c r="BE222" i="1" s="1"/>
  <c r="BF222" i="1" s="1"/>
  <c r="AW222" i="1"/>
  <c r="AW221" i="1"/>
  <c r="BB218" i="1"/>
  <c r="BA218" i="1"/>
  <c r="AZ218" i="1"/>
  <c r="AY218" i="1"/>
  <c r="AX218" i="1"/>
  <c r="AW218" i="1"/>
  <c r="AV218" i="1"/>
  <c r="AU218" i="1"/>
  <c r="BF217" i="1"/>
  <c r="BE217" i="1"/>
  <c r="BD217" i="1"/>
  <c r="BD152" i="1" s="1"/>
  <c r="BC217" i="1"/>
  <c r="BC218" i="1" s="1"/>
  <c r="BD216" i="1"/>
  <c r="BB216" i="1"/>
  <c r="AT217" i="1"/>
  <c r="AS217" i="1"/>
  <c r="AR217" i="1"/>
  <c r="AQ217" i="1"/>
  <c r="AP217" i="1"/>
  <c r="AO217" i="1"/>
  <c r="AN217" i="1"/>
  <c r="AM217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Z217" i="1"/>
  <c r="Y217" i="1"/>
  <c r="X217" i="1"/>
  <c r="W217" i="1"/>
  <c r="V217" i="1"/>
  <c r="U217" i="1"/>
  <c r="T217" i="1"/>
  <c r="S217" i="1"/>
  <c r="R217" i="1"/>
  <c r="Q217" i="1"/>
  <c r="P217" i="1"/>
  <c r="O217" i="1"/>
  <c r="AT216" i="1"/>
  <c r="AT218" i="1" s="1"/>
  <c r="AS216" i="1"/>
  <c r="AS218" i="1" s="1"/>
  <c r="AR216" i="1"/>
  <c r="AR218" i="1" s="1"/>
  <c r="AQ216" i="1"/>
  <c r="AQ218" i="1" s="1"/>
  <c r="AP216" i="1"/>
  <c r="AP218" i="1" s="1"/>
  <c r="AO216" i="1"/>
  <c r="AO218" i="1" s="1"/>
  <c r="AN216" i="1"/>
  <c r="AN218" i="1" s="1"/>
  <c r="AM216" i="1"/>
  <c r="AM218" i="1" s="1"/>
  <c r="AL216" i="1"/>
  <c r="AL218" i="1" s="1"/>
  <c r="AK216" i="1"/>
  <c r="AK218" i="1" s="1"/>
  <c r="AJ216" i="1"/>
  <c r="AJ218" i="1" s="1"/>
  <c r="AI216" i="1"/>
  <c r="AI218" i="1" s="1"/>
  <c r="AH216" i="1"/>
  <c r="AH218" i="1" s="1"/>
  <c r="AG216" i="1"/>
  <c r="AG218" i="1" s="1"/>
  <c r="AF216" i="1"/>
  <c r="AF218" i="1" s="1"/>
  <c r="AE216" i="1"/>
  <c r="AE218" i="1" s="1"/>
  <c r="AD216" i="1"/>
  <c r="AD218" i="1" s="1"/>
  <c r="AC216" i="1"/>
  <c r="AC218" i="1" s="1"/>
  <c r="AB216" i="1"/>
  <c r="AB218" i="1" s="1"/>
  <c r="AA216" i="1"/>
  <c r="AA218" i="1" s="1"/>
  <c r="Z216" i="1"/>
  <c r="Z218" i="1" s="1"/>
  <c r="Y216" i="1"/>
  <c r="Y218" i="1" s="1"/>
  <c r="X216" i="1"/>
  <c r="X218" i="1" s="1"/>
  <c r="W216" i="1"/>
  <c r="W218" i="1" s="1"/>
  <c r="V216" i="1"/>
  <c r="V218" i="1" s="1"/>
  <c r="U216" i="1"/>
  <c r="U218" i="1" s="1"/>
  <c r="T216" i="1"/>
  <c r="T218" i="1" s="1"/>
  <c r="S216" i="1"/>
  <c r="S218" i="1" s="1"/>
  <c r="R216" i="1"/>
  <c r="R218" i="1" s="1"/>
  <c r="Q216" i="1"/>
  <c r="Q218" i="1" s="1"/>
  <c r="P216" i="1"/>
  <c r="P218" i="1" s="1"/>
  <c r="O216" i="1"/>
  <c r="O218" i="1" s="1"/>
  <c r="AZ207" i="1"/>
  <c r="BA207" i="1" s="1"/>
  <c r="BB207" i="1" s="1"/>
  <c r="BC207" i="1" s="1"/>
  <c r="BD207" i="1" s="1"/>
  <c r="BE207" i="1" s="1"/>
  <c r="BF207" i="1" s="1"/>
  <c r="AS202" i="1"/>
  <c r="AS199" i="1"/>
  <c r="AT199" i="1"/>
  <c r="AE201" i="1"/>
  <c r="AD201" i="1"/>
  <c r="AC201" i="1"/>
  <c r="AB201" i="1"/>
  <c r="AA201" i="1"/>
  <c r="Z201" i="1"/>
  <c r="Y201" i="1"/>
  <c r="X201" i="1"/>
  <c r="W201" i="1"/>
  <c r="V201" i="1"/>
  <c r="U201" i="1"/>
  <c r="T201" i="1"/>
  <c r="S201" i="1"/>
  <c r="R201" i="1"/>
  <c r="Q201" i="1"/>
  <c r="P201" i="1"/>
  <c r="O201" i="1"/>
  <c r="AZ199" i="1"/>
  <c r="AY199" i="1"/>
  <c r="AX199" i="1"/>
  <c r="AW199" i="1"/>
  <c r="AV199" i="1"/>
  <c r="AU199" i="1"/>
  <c r="AR199" i="1"/>
  <c r="AQ199" i="1"/>
  <c r="BA198" i="1"/>
  <c r="BB198" i="1" s="1"/>
  <c r="O193" i="1"/>
  <c r="C193" i="1"/>
  <c r="AU189" i="1"/>
  <c r="Z189" i="1"/>
  <c r="Y189" i="1"/>
  <c r="X189" i="1"/>
  <c r="W189" i="1"/>
  <c r="V189" i="1"/>
  <c r="U189" i="1"/>
  <c r="T189" i="1"/>
  <c r="S189" i="1"/>
  <c r="R189" i="1"/>
  <c r="Q189" i="1"/>
  <c r="P189" i="1"/>
  <c r="O189" i="1"/>
  <c r="AX188" i="1"/>
  <c r="AY188" i="1" s="1"/>
  <c r="AZ188" i="1" s="1"/>
  <c r="AW188" i="1"/>
  <c r="AV187" i="1"/>
  <c r="AV189" i="1" s="1"/>
  <c r="AT188" i="1"/>
  <c r="AS188" i="1"/>
  <c r="AR188" i="1"/>
  <c r="AQ188" i="1"/>
  <c r="AP188" i="1"/>
  <c r="AO188" i="1"/>
  <c r="AN188" i="1"/>
  <c r="AM188" i="1"/>
  <c r="AL188" i="1"/>
  <c r="AL189" i="1" s="1"/>
  <c r="AK188" i="1"/>
  <c r="AJ188" i="1"/>
  <c r="AI188" i="1"/>
  <c r="AH188" i="1"/>
  <c r="AG188" i="1"/>
  <c r="AF188" i="1"/>
  <c r="AE188" i="1"/>
  <c r="AD188" i="1"/>
  <c r="AC188" i="1"/>
  <c r="AB188" i="1"/>
  <c r="AA188" i="1"/>
  <c r="AT187" i="1"/>
  <c r="AT189" i="1" s="1"/>
  <c r="AR187" i="1"/>
  <c r="AR189" i="1" s="1"/>
  <c r="AQ187" i="1"/>
  <c r="AO187" i="1"/>
  <c r="AN187" i="1"/>
  <c r="AN189" i="1" s="1"/>
  <c r="AM187" i="1"/>
  <c r="AL187" i="1"/>
  <c r="AK187" i="1"/>
  <c r="AJ187" i="1"/>
  <c r="AJ189" i="1" s="1"/>
  <c r="AI187" i="1"/>
  <c r="AH187" i="1"/>
  <c r="AG187" i="1"/>
  <c r="AF187" i="1"/>
  <c r="AF189" i="1" s="1"/>
  <c r="AE187" i="1"/>
  <c r="AD187" i="1"/>
  <c r="AC187" i="1"/>
  <c r="AB187" i="1"/>
  <c r="AB189" i="1" s="1"/>
  <c r="AA187" i="1"/>
  <c r="AT173" i="1"/>
  <c r="AT174" i="1" s="1"/>
  <c r="AT130" i="1" s="1"/>
  <c r="AS173" i="1"/>
  <c r="AS174" i="1" s="1"/>
  <c r="AS130" i="1" s="1"/>
  <c r="AR173" i="1"/>
  <c r="AR174" i="1" s="1"/>
  <c r="AQ173" i="1"/>
  <c r="AQ174" i="1" s="1"/>
  <c r="AP173" i="1"/>
  <c r="AP174" i="1" s="1"/>
  <c r="AP130" i="1" s="1"/>
  <c r="AO173" i="1"/>
  <c r="AO174" i="1" s="1"/>
  <c r="AK173" i="1"/>
  <c r="AK174" i="1" s="1"/>
  <c r="AK130" i="1" s="1"/>
  <c r="AH173" i="1"/>
  <c r="AH174" i="1" s="1"/>
  <c r="AH130" i="1" s="1"/>
  <c r="AF173" i="1"/>
  <c r="AF174" i="1" s="1"/>
  <c r="AE173" i="1"/>
  <c r="AE174" i="1" s="1"/>
  <c r="AE130" i="1" s="1"/>
  <c r="AE133" i="1" s="1"/>
  <c r="AD173" i="1"/>
  <c r="AD174" i="1" s="1"/>
  <c r="AD130" i="1" s="1"/>
  <c r="AB173" i="1"/>
  <c r="AB174" i="1" s="1"/>
  <c r="AA173" i="1"/>
  <c r="AA174" i="1" s="1"/>
  <c r="Z173" i="1"/>
  <c r="Z174" i="1" s="1"/>
  <c r="Z130" i="1" s="1"/>
  <c r="Y173" i="1"/>
  <c r="Y174" i="1" s="1"/>
  <c r="X173" i="1"/>
  <c r="X174" i="1" s="1"/>
  <c r="W173" i="1"/>
  <c r="W174" i="1" s="1"/>
  <c r="V173" i="1"/>
  <c r="V174" i="1" s="1"/>
  <c r="V130" i="1" s="1"/>
  <c r="U173" i="1"/>
  <c r="U174" i="1" s="1"/>
  <c r="U130" i="1" s="1"/>
  <c r="T173" i="1"/>
  <c r="T174" i="1" s="1"/>
  <c r="S173" i="1"/>
  <c r="S174" i="1" s="1"/>
  <c r="R173" i="1"/>
  <c r="R174" i="1" s="1"/>
  <c r="R130" i="1" s="1"/>
  <c r="Q173" i="1"/>
  <c r="Q174" i="1" s="1"/>
  <c r="P173" i="1"/>
  <c r="P174" i="1" s="1"/>
  <c r="P130" i="1" s="1"/>
  <c r="O173" i="1"/>
  <c r="O174" i="1" s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P169" i="1"/>
  <c r="O169" i="1"/>
  <c r="O166" i="1"/>
  <c r="O165" i="1"/>
  <c r="O164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P161" i="1"/>
  <c r="O161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O160" i="1"/>
  <c r="AT159" i="1"/>
  <c r="AS159" i="1"/>
  <c r="AR159" i="1"/>
  <c r="AQ159" i="1"/>
  <c r="AP159" i="1"/>
  <c r="AN159" i="1"/>
  <c r="AM159" i="1"/>
  <c r="AL159" i="1"/>
  <c r="AK159" i="1"/>
  <c r="AJ159" i="1"/>
  <c r="AI159" i="1"/>
  <c r="AH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AS158" i="1"/>
  <c r="AR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AG154" i="1"/>
  <c r="AS149" i="1"/>
  <c r="AS187" i="1" s="1"/>
  <c r="AP149" i="1"/>
  <c r="AP187" i="1" s="1"/>
  <c r="AP189" i="1" s="1"/>
  <c r="AG148" i="1"/>
  <c r="AG147" i="1" s="1"/>
  <c r="BF152" i="1"/>
  <c r="BE152" i="1"/>
  <c r="BC152" i="1"/>
  <c r="BB152" i="1"/>
  <c r="BA152" i="1"/>
  <c r="AZ152" i="1"/>
  <c r="AY152" i="1"/>
  <c r="AX152" i="1"/>
  <c r="AW152" i="1"/>
  <c r="AV152" i="1"/>
  <c r="AU152" i="1"/>
  <c r="BD151" i="1"/>
  <c r="BC151" i="1"/>
  <c r="BB151" i="1"/>
  <c r="BA151" i="1"/>
  <c r="AZ151" i="1"/>
  <c r="AY151" i="1"/>
  <c r="AX151" i="1"/>
  <c r="AW151" i="1"/>
  <c r="AV151" i="1"/>
  <c r="AU151" i="1"/>
  <c r="AY150" i="1"/>
  <c r="AW150" i="1"/>
  <c r="AV150" i="1"/>
  <c r="AU150" i="1"/>
  <c r="AV149" i="1"/>
  <c r="AV148" i="1" s="1"/>
  <c r="AU149" i="1"/>
  <c r="AF147" i="1"/>
  <c r="AE147" i="1"/>
  <c r="AD147" i="1"/>
  <c r="AC147" i="1"/>
  <c r="AB147" i="1"/>
  <c r="AA147" i="1"/>
  <c r="Z147" i="1"/>
  <c r="Y147" i="1"/>
  <c r="X147" i="1"/>
  <c r="X156" i="1" s="1"/>
  <c r="W147" i="1"/>
  <c r="V147" i="1"/>
  <c r="U147" i="1"/>
  <c r="T147" i="1"/>
  <c r="T156" i="1" s="1"/>
  <c r="S147" i="1"/>
  <c r="R147" i="1"/>
  <c r="Q147" i="1"/>
  <c r="P147" i="1"/>
  <c r="P156" i="1" s="1"/>
  <c r="O147" i="1"/>
  <c r="AS145" i="1"/>
  <c r="AS161" i="1" s="1"/>
  <c r="AV144" i="1"/>
  <c r="AU144" i="1"/>
  <c r="AT143" i="1"/>
  <c r="AS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O142" i="1"/>
  <c r="AG142" i="1"/>
  <c r="AT141" i="1"/>
  <c r="AT158" i="1" s="1"/>
  <c r="AT140" i="1"/>
  <c r="AQ141" i="1"/>
  <c r="AQ158" i="1" s="1"/>
  <c r="AU142" i="1"/>
  <c r="AU141" i="1"/>
  <c r="AU140" i="1" s="1"/>
  <c r="AS140" i="1"/>
  <c r="AR140" i="1"/>
  <c r="AR139" i="1" s="1"/>
  <c r="AR444" i="1" s="1"/>
  <c r="AP140" i="1"/>
  <c r="AP139" i="1" s="1"/>
  <c r="AN140" i="1"/>
  <c r="AM140" i="1"/>
  <c r="AL140" i="1"/>
  <c r="AK140" i="1"/>
  <c r="AK139" i="1" s="1"/>
  <c r="AK444" i="1" s="1"/>
  <c r="AJ140" i="1"/>
  <c r="AI140" i="1"/>
  <c r="AH140" i="1"/>
  <c r="AH139" i="1" s="1"/>
  <c r="AG140" i="1"/>
  <c r="AG139" i="1" s="1"/>
  <c r="AG444" i="1" s="1"/>
  <c r="AF140" i="1"/>
  <c r="AE140" i="1"/>
  <c r="AD140" i="1"/>
  <c r="AD139" i="1" s="1"/>
  <c r="AD444" i="1" s="1"/>
  <c r="AC140" i="1"/>
  <c r="AC139" i="1" s="1"/>
  <c r="AC444" i="1" s="1"/>
  <c r="AB140" i="1"/>
  <c r="AA140" i="1"/>
  <c r="AL139" i="1"/>
  <c r="AE139" i="1"/>
  <c r="AE444" i="1" s="1"/>
  <c r="Z139" i="1"/>
  <c r="Z444" i="1" s="1"/>
  <c r="Y139" i="1"/>
  <c r="Y444" i="1" s="1"/>
  <c r="X139" i="1"/>
  <c r="X444" i="1" s="1"/>
  <c r="W139" i="1"/>
  <c r="V139" i="1"/>
  <c r="U139" i="1"/>
  <c r="T139" i="1"/>
  <c r="T444" i="1" s="1"/>
  <c r="S139" i="1"/>
  <c r="S444" i="1" s="1"/>
  <c r="R139" i="1"/>
  <c r="R444" i="1" s="1"/>
  <c r="Q139" i="1"/>
  <c r="P139" i="1"/>
  <c r="O139" i="1"/>
  <c r="O444" i="1" s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AT132" i="1"/>
  <c r="AS132" i="1"/>
  <c r="AR132" i="1"/>
  <c r="AQ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T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P131" i="1"/>
  <c r="O131" i="1"/>
  <c r="AR130" i="1"/>
  <c r="AQ130" i="1"/>
  <c r="AO130" i="1"/>
  <c r="AF130" i="1"/>
  <c r="AB130" i="1"/>
  <c r="AB133" i="1" s="1"/>
  <c r="AA130" i="1"/>
  <c r="Y130" i="1"/>
  <c r="X130" i="1"/>
  <c r="W130" i="1"/>
  <c r="T130" i="1"/>
  <c r="S130" i="1"/>
  <c r="Q130" i="1"/>
  <c r="O130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AT108" i="1"/>
  <c r="AS108" i="1"/>
  <c r="AR108" i="1"/>
  <c r="AQ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O107" i="1"/>
  <c r="AT106" i="1"/>
  <c r="AS106" i="1"/>
  <c r="AR106" i="1"/>
  <c r="AQ106" i="1"/>
  <c r="AP106" i="1"/>
  <c r="AO106" i="1"/>
  <c r="AK106" i="1"/>
  <c r="AH106" i="1"/>
  <c r="AF106" i="1"/>
  <c r="AE106" i="1"/>
  <c r="AD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V94" i="1"/>
  <c r="AW94" i="1" s="1"/>
  <c r="AV93" i="1"/>
  <c r="AW93" i="1" s="1"/>
  <c r="AX93" i="1" s="1"/>
  <c r="AY93" i="1" s="1"/>
  <c r="AZ93" i="1" s="1"/>
  <c r="AT94" i="1"/>
  <c r="AS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AT90" i="1"/>
  <c r="AS90" i="1"/>
  <c r="AR90" i="1"/>
  <c r="AQ90" i="1"/>
  <c r="AP90" i="1"/>
  <c r="AO90" i="1"/>
  <c r="AN90" i="1"/>
  <c r="AM90" i="1"/>
  <c r="AL90" i="1"/>
  <c r="AV90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Y74" i="1"/>
  <c r="X74" i="1"/>
  <c r="T74" i="1"/>
  <c r="S74" i="1"/>
  <c r="R74" i="1"/>
  <c r="O74" i="1"/>
  <c r="AZ73" i="1"/>
  <c r="BA73" i="1" s="1"/>
  <c r="AT73" i="1"/>
  <c r="AS73" i="1"/>
  <c r="AR73" i="1"/>
  <c r="AQ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BF71" i="1"/>
  <c r="BF249" i="1" s="1"/>
  <c r="BF251" i="1" s="1"/>
  <c r="BE71" i="1"/>
  <c r="BE249" i="1" s="1"/>
  <c r="BE251" i="1" s="1"/>
  <c r="BD71" i="1"/>
  <c r="BD249" i="1" s="1"/>
  <c r="BD251" i="1" s="1"/>
  <c r="BC71" i="1"/>
  <c r="BC249" i="1" s="1"/>
  <c r="BC251" i="1" s="1"/>
  <c r="AY71" i="1"/>
  <c r="AY249" i="1" s="1"/>
  <c r="AY251" i="1" s="1"/>
  <c r="AX71" i="1"/>
  <c r="AX249" i="1" s="1"/>
  <c r="AX251" i="1" s="1"/>
  <c r="AW71" i="1"/>
  <c r="AW249" i="1" s="1"/>
  <c r="AW251" i="1" s="1"/>
  <c r="AV71" i="1"/>
  <c r="AV249" i="1" s="1"/>
  <c r="AV251" i="1" s="1"/>
  <c r="AU71" i="1"/>
  <c r="O71" i="1"/>
  <c r="AY70" i="1"/>
  <c r="AY245" i="1" s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AT68" i="1"/>
  <c r="AS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BF67" i="1"/>
  <c r="BE67" i="1"/>
  <c r="BD67" i="1"/>
  <c r="BC67" i="1"/>
  <c r="BB67" i="1"/>
  <c r="BA67" i="1"/>
  <c r="AZ67" i="1"/>
  <c r="AY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AX66" i="1"/>
  <c r="AX232" i="1" s="1"/>
  <c r="AX233" i="1" s="1"/>
  <c r="BC64" i="1"/>
  <c r="BC227" i="1" s="1"/>
  <c r="BB64" i="1"/>
  <c r="BB227" i="1" s="1"/>
  <c r="BA64" i="1"/>
  <c r="BA227" i="1" s="1"/>
  <c r="AZ64" i="1"/>
  <c r="AZ227" i="1" s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X62" i="1"/>
  <c r="T62" i="1"/>
  <c r="P62" i="1"/>
  <c r="AT61" i="1"/>
  <c r="AS61" i="1"/>
  <c r="AR61" i="1"/>
  <c r="AQ61" i="1"/>
  <c r="AP61" i="1"/>
  <c r="AO61" i="1"/>
  <c r="AK61" i="1"/>
  <c r="AH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M56" i="1"/>
  <c r="L56" i="1"/>
  <c r="K56" i="1"/>
  <c r="J56" i="1"/>
  <c r="I56" i="1"/>
  <c r="H56" i="1"/>
  <c r="G56" i="1"/>
  <c r="F56" i="1"/>
  <c r="E56" i="1"/>
  <c r="D56" i="1"/>
  <c r="C56" i="1"/>
  <c r="AU54" i="1"/>
  <c r="AU341" i="1" s="1"/>
  <c r="AU578" i="1" s="1"/>
  <c r="AR48" i="1"/>
  <c r="AN47" i="1"/>
  <c r="AM47" i="1"/>
  <c r="AL47" i="1"/>
  <c r="AK47" i="1"/>
  <c r="AJ47" i="1"/>
  <c r="Y47" i="1"/>
  <c r="X47" i="1"/>
  <c r="W47" i="1"/>
  <c r="AJ40" i="1"/>
  <c r="AH40" i="1"/>
  <c r="AT38" i="1"/>
  <c r="AT36" i="1"/>
  <c r="AR38" i="1"/>
  <c r="AQ38" i="1"/>
  <c r="AS36" i="1"/>
  <c r="AR36" i="1"/>
  <c r="AQ36" i="1"/>
  <c r="AR34" i="1"/>
  <c r="AR94" i="1" s="1"/>
  <c r="AU36" i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AU35" i="1"/>
  <c r="AV35" i="1" s="1"/>
  <c r="AU34" i="1"/>
  <c r="AU32" i="1"/>
  <c r="AT28" i="1"/>
  <c r="AT31" i="1" s="1"/>
  <c r="AS28" i="1"/>
  <c r="AS31" i="1" s="1"/>
  <c r="AR28" i="1"/>
  <c r="AR31" i="1" s="1"/>
  <c r="AQ28" i="1"/>
  <c r="AQ31" i="1" s="1"/>
  <c r="AL28" i="1"/>
  <c r="AL31" i="1" s="1"/>
  <c r="AK28" i="1"/>
  <c r="AK31" i="1" s="1"/>
  <c r="AH28" i="1"/>
  <c r="AH31" i="1" s="1"/>
  <c r="AF28" i="1"/>
  <c r="AF31" i="1" s="1"/>
  <c r="AE28" i="1"/>
  <c r="AE31" i="1" s="1"/>
  <c r="AD28" i="1"/>
  <c r="AD31" i="1" s="1"/>
  <c r="AB28" i="1"/>
  <c r="AB31" i="1" s="1"/>
  <c r="AA28" i="1"/>
  <c r="AA31" i="1" s="1"/>
  <c r="Z28" i="1"/>
  <c r="Z31" i="1" s="1"/>
  <c r="Y28" i="1"/>
  <c r="Y31" i="1" s="1"/>
  <c r="X28" i="1"/>
  <c r="X31" i="1" s="1"/>
  <c r="W28" i="1"/>
  <c r="W31" i="1" s="1"/>
  <c r="V28" i="1"/>
  <c r="V31" i="1" s="1"/>
  <c r="U28" i="1"/>
  <c r="U31" i="1" s="1"/>
  <c r="T28" i="1"/>
  <c r="T31" i="1" s="1"/>
  <c r="S28" i="1"/>
  <c r="S31" i="1" s="1"/>
  <c r="R28" i="1"/>
  <c r="R31" i="1" s="1"/>
  <c r="Q28" i="1"/>
  <c r="Q31" i="1" s="1"/>
  <c r="P28" i="1"/>
  <c r="P31" i="1" s="1"/>
  <c r="O28" i="1"/>
  <c r="O31" i="1" s="1"/>
  <c r="AP25" i="1"/>
  <c r="AP257" i="1" s="1"/>
  <c r="AO25" i="1"/>
  <c r="AO257" i="1" s="1"/>
  <c r="AN25" i="1"/>
  <c r="AN257" i="1" s="1"/>
  <c r="AN23" i="1"/>
  <c r="AN173" i="1" s="1"/>
  <c r="AM23" i="1"/>
  <c r="AM173" i="1" s="1"/>
  <c r="AL23" i="1"/>
  <c r="AL173" i="1" s="1"/>
  <c r="AJ23" i="1"/>
  <c r="AJ173" i="1" s="1"/>
  <c r="AI23" i="1"/>
  <c r="AI173" i="1" s="1"/>
  <c r="AG23" i="1"/>
  <c r="AG173" i="1" s="1"/>
  <c r="AC23" i="1"/>
  <c r="AC173" i="1" s="1"/>
  <c r="AS20" i="1"/>
  <c r="AC20" i="1"/>
  <c r="AT17" i="1"/>
  <c r="AS17" i="1"/>
  <c r="AR17" i="1"/>
  <c r="AR20" i="1" s="1"/>
  <c r="AQ17" i="1"/>
  <c r="AQ20" i="1" s="1"/>
  <c r="AP17" i="1"/>
  <c r="AP20" i="1" s="1"/>
  <c r="AO17" i="1"/>
  <c r="AO20" i="1" s="1"/>
  <c r="AN17" i="1"/>
  <c r="AN20" i="1" s="1"/>
  <c r="AM17" i="1"/>
  <c r="AM20" i="1" s="1"/>
  <c r="AL17" i="1"/>
  <c r="AL20" i="1" s="1"/>
  <c r="AK17" i="1"/>
  <c r="AK20" i="1" s="1"/>
  <c r="AJ17" i="1"/>
  <c r="AJ20" i="1" s="1"/>
  <c r="AI17" i="1"/>
  <c r="AI20" i="1" s="1"/>
  <c r="AH17" i="1"/>
  <c r="AH20" i="1" s="1"/>
  <c r="AG17" i="1"/>
  <c r="AG20" i="1" s="1"/>
  <c r="AF17" i="1"/>
  <c r="AF20" i="1" s="1"/>
  <c r="AE17" i="1"/>
  <c r="AE20" i="1" s="1"/>
  <c r="AD17" i="1"/>
  <c r="AD20" i="1" s="1"/>
  <c r="AC17" i="1"/>
  <c r="AB17" i="1"/>
  <c r="AB20" i="1" s="1"/>
  <c r="AA17" i="1"/>
  <c r="AA20" i="1" s="1"/>
  <c r="Z17" i="1"/>
  <c r="Z20" i="1" s="1"/>
  <c r="Y17" i="1"/>
  <c r="Y20" i="1" s="1"/>
  <c r="X17" i="1"/>
  <c r="X20" i="1" s="1"/>
  <c r="W17" i="1"/>
  <c r="W20" i="1" s="1"/>
  <c r="V17" i="1"/>
  <c r="V20" i="1" s="1"/>
  <c r="U17" i="1"/>
  <c r="U20" i="1" s="1"/>
  <c r="T17" i="1"/>
  <c r="T20" i="1" s="1"/>
  <c r="S17" i="1"/>
  <c r="S20" i="1" s="1"/>
  <c r="R17" i="1"/>
  <c r="R20" i="1" s="1"/>
  <c r="Q17" i="1"/>
  <c r="Q20" i="1" s="1"/>
  <c r="P17" i="1"/>
  <c r="P20" i="1" s="1"/>
  <c r="O17" i="1"/>
  <c r="O20" i="1" s="1"/>
  <c r="AU16" i="1"/>
  <c r="AU27" i="1" s="1"/>
  <c r="AU15" i="1"/>
  <c r="AU263" i="1" s="1"/>
  <c r="AU264" i="1" s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M10" i="1"/>
  <c r="L10" i="1"/>
  <c r="K10" i="1"/>
  <c r="J10" i="1"/>
  <c r="I10" i="1"/>
  <c r="H10" i="1"/>
  <c r="G10" i="1"/>
  <c r="F10" i="1"/>
  <c r="E10" i="1"/>
  <c r="D10" i="1"/>
  <c r="C10" i="1"/>
  <c r="O5" i="1"/>
  <c r="C5" i="1"/>
  <c r="P4" i="1"/>
  <c r="D4" i="1"/>
  <c r="E4" i="1" s="1"/>
  <c r="E6" i="1" s="1"/>
  <c r="E193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AV516" i="1" l="1"/>
  <c r="AV518" i="1"/>
  <c r="AB191" i="1"/>
  <c r="AF191" i="1"/>
  <c r="AW518" i="1"/>
  <c r="AW516" i="1"/>
  <c r="S133" i="1"/>
  <c r="O450" i="1"/>
  <c r="S450" i="1"/>
  <c r="W450" i="1"/>
  <c r="AA450" i="1"/>
  <c r="AE450" i="1"/>
  <c r="AI450" i="1"/>
  <c r="AM450" i="1"/>
  <c r="AQ450" i="1"/>
  <c r="AT264" i="1"/>
  <c r="AV372" i="1"/>
  <c r="W133" i="1"/>
  <c r="AQ133" i="1"/>
  <c r="AF133" i="1"/>
  <c r="AW144" i="1"/>
  <c r="AX144" i="1" s="1"/>
  <c r="AY144" i="1" s="1"/>
  <c r="AZ144" i="1" s="1"/>
  <c r="BA144" i="1" s="1"/>
  <c r="AD189" i="1"/>
  <c r="AD191" i="1" s="1"/>
  <c r="AQ189" i="1"/>
  <c r="AW187" i="1"/>
  <c r="AW149" i="1" s="1"/>
  <c r="AW148" i="1" s="1"/>
  <c r="AW147" i="1" s="1"/>
  <c r="AW58" i="1" s="1"/>
  <c r="AY233" i="1"/>
  <c r="BC233" i="1"/>
  <c r="O231" i="1"/>
  <c r="AT275" i="1"/>
  <c r="T336" i="1"/>
  <c r="T346" i="1" s="1"/>
  <c r="T347" i="1" s="1"/>
  <c r="AM528" i="1"/>
  <c r="AQ528" i="1"/>
  <c r="AI528" i="1"/>
  <c r="AG528" i="1"/>
  <c r="Q133" i="1"/>
  <c r="O163" i="1"/>
  <c r="O171" i="1" s="1"/>
  <c r="AA189" i="1"/>
  <c r="AA191" i="1" s="1"/>
  <c r="AE189" i="1"/>
  <c r="AE191" i="1" s="1"/>
  <c r="AI189" i="1"/>
  <c r="AM189" i="1"/>
  <c r="AM191" i="1" s="1"/>
  <c r="O219" i="1"/>
  <c r="BD218" i="1"/>
  <c r="AW223" i="1"/>
  <c r="AZ233" i="1"/>
  <c r="BD233" i="1"/>
  <c r="O256" i="1"/>
  <c r="O88" i="1" s="1"/>
  <c r="AR336" i="1"/>
  <c r="AR346" i="1" s="1"/>
  <c r="AR347" i="1" s="1"/>
  <c r="R381" i="1"/>
  <c r="V381" i="1"/>
  <c r="Z381" i="1"/>
  <c r="AD381" i="1"/>
  <c r="AH381" i="1"/>
  <c r="AL381" i="1"/>
  <c r="AP381" i="1"/>
  <c r="R450" i="1"/>
  <c r="V450" i="1"/>
  <c r="Z450" i="1"/>
  <c r="AD450" i="1"/>
  <c r="AH450" i="1"/>
  <c r="AL450" i="1"/>
  <c r="AP450" i="1"/>
  <c r="AV460" i="1"/>
  <c r="AV482" i="1" s="1"/>
  <c r="AV514" i="1"/>
  <c r="AV147" i="1"/>
  <c r="AG156" i="1"/>
  <c r="AG62" i="1" s="1"/>
  <c r="AG58" i="1"/>
  <c r="D6" i="1"/>
  <c r="D193" i="1" s="1"/>
  <c r="AV15" i="1"/>
  <c r="AS133" i="1"/>
  <c r="X133" i="1"/>
  <c r="P444" i="1"/>
  <c r="AD157" i="1"/>
  <c r="AH157" i="1"/>
  <c r="AL157" i="1"/>
  <c r="AG159" i="1"/>
  <c r="AD317" i="1"/>
  <c r="AH317" i="1"/>
  <c r="AL317" i="1"/>
  <c r="AP317" i="1"/>
  <c r="AT145" i="1"/>
  <c r="Q156" i="1"/>
  <c r="Q62" i="1" s="1"/>
  <c r="U156" i="1"/>
  <c r="U62" i="1" s="1"/>
  <c r="Y156" i="1"/>
  <c r="Y62" i="1" s="1"/>
  <c r="AC156" i="1"/>
  <c r="AC62" i="1" s="1"/>
  <c r="AX150" i="1"/>
  <c r="AT133" i="1"/>
  <c r="AH189" i="1"/>
  <c r="AH191" i="1" s="1"/>
  <c r="AW189" i="1"/>
  <c r="AU206" i="1"/>
  <c r="BE216" i="1"/>
  <c r="AA133" i="1"/>
  <c r="AA157" i="1"/>
  <c r="AE157" i="1"/>
  <c r="AI157" i="1"/>
  <c r="AM157" i="1"/>
  <c r="AR157" i="1"/>
  <c r="AV141" i="1"/>
  <c r="AE317" i="1"/>
  <c r="AI317" i="1"/>
  <c r="AM317" i="1"/>
  <c r="AQ317" i="1"/>
  <c r="AW514" i="1"/>
  <c r="AU159" i="1"/>
  <c r="AH133" i="1"/>
  <c r="AX221" i="1"/>
  <c r="AX223" i="1" s="1"/>
  <c r="P133" i="1"/>
  <c r="AI139" i="1"/>
  <c r="AM139" i="1"/>
  <c r="AB157" i="1"/>
  <c r="AF157" i="1"/>
  <c r="AJ157" i="1"/>
  <c r="AN157" i="1"/>
  <c r="AV142" i="1"/>
  <c r="AT157" i="1"/>
  <c r="AB317" i="1"/>
  <c r="AF317" i="1"/>
  <c r="AJ317" i="1"/>
  <c r="AN317" i="1"/>
  <c r="AS317" i="1"/>
  <c r="AU158" i="1"/>
  <c r="AV159" i="1"/>
  <c r="AG514" i="1"/>
  <c r="AD133" i="1"/>
  <c r="AW226" i="1"/>
  <c r="AV228" i="1"/>
  <c r="AV68" i="1" s="1"/>
  <c r="P317" i="1"/>
  <c r="P246" i="1"/>
  <c r="P74" i="1" s="1"/>
  <c r="AV16" i="1"/>
  <c r="AU249" i="1"/>
  <c r="AU251" i="1" s="1"/>
  <c r="O133" i="1"/>
  <c r="T133" i="1"/>
  <c r="Y133" i="1"/>
  <c r="AR133" i="1"/>
  <c r="U133" i="1"/>
  <c r="AK133" i="1"/>
  <c r="AB139" i="1"/>
  <c r="AB444" i="1" s="1"/>
  <c r="AF139" i="1"/>
  <c r="AF444" i="1" s="1"/>
  <c r="AJ139" i="1"/>
  <c r="AJ444" i="1" s="1"/>
  <c r="AN139" i="1"/>
  <c r="AN444" i="1" s="1"/>
  <c r="AC157" i="1"/>
  <c r="AG157" i="1"/>
  <c r="AK157" i="1"/>
  <c r="AP157" i="1"/>
  <c r="AC317" i="1"/>
  <c r="AG317" i="1"/>
  <c r="AK317" i="1"/>
  <c r="AO317" i="1"/>
  <c r="AB156" i="1"/>
  <c r="AB62" i="1" s="1"/>
  <c r="AF156" i="1"/>
  <c r="AF62" i="1" s="1"/>
  <c r="AU148" i="1"/>
  <c r="AU157" i="1" s="1"/>
  <c r="AS189" i="1"/>
  <c r="R133" i="1"/>
  <c r="V133" i="1"/>
  <c r="Z133" i="1"/>
  <c r="AC189" i="1"/>
  <c r="AC191" i="1" s="1"/>
  <c r="AG189" i="1"/>
  <c r="AG191" i="1" s="1"/>
  <c r="AK189" i="1"/>
  <c r="AL206" i="1" s="1"/>
  <c r="AO189" i="1"/>
  <c r="AR228" i="1"/>
  <c r="AR68" i="1" s="1"/>
  <c r="AW244" i="1"/>
  <c r="AX244" i="1" s="1"/>
  <c r="AY244" i="1" s="1"/>
  <c r="AZ244" i="1" s="1"/>
  <c r="BA244" i="1" s="1"/>
  <c r="BB244" i="1" s="1"/>
  <c r="BC244" i="1" s="1"/>
  <c r="BD244" i="1" s="1"/>
  <c r="BE244" i="1" s="1"/>
  <c r="BF244" i="1" s="1"/>
  <c r="O254" i="1"/>
  <c r="AS264" i="1"/>
  <c r="AQ276" i="1"/>
  <c r="AT280" i="1"/>
  <c r="O381" i="1"/>
  <c r="S381" i="1"/>
  <c r="W381" i="1"/>
  <c r="AA381" i="1"/>
  <c r="AE381" i="1"/>
  <c r="AI381" i="1"/>
  <c r="AM381" i="1"/>
  <c r="AQ381" i="1"/>
  <c r="P450" i="1"/>
  <c r="T450" i="1"/>
  <c r="X450" i="1"/>
  <c r="AB450" i="1"/>
  <c r="AF450" i="1"/>
  <c r="AJ450" i="1"/>
  <c r="AN450" i="1"/>
  <c r="Q455" i="1"/>
  <c r="U455" i="1"/>
  <c r="Y455" i="1"/>
  <c r="AC455" i="1"/>
  <c r="AG455" i="1"/>
  <c r="AK455" i="1"/>
  <c r="S492" i="1"/>
  <c r="W492" i="1"/>
  <c r="AA492" i="1"/>
  <c r="AE492" i="1"/>
  <c r="AI492" i="1"/>
  <c r="AR492" i="1"/>
  <c r="AL528" i="1"/>
  <c r="Z528" i="1"/>
  <c r="AV292" i="1"/>
  <c r="P381" i="1"/>
  <c r="T381" i="1"/>
  <c r="X381" i="1"/>
  <c r="AB381" i="1"/>
  <c r="AF381" i="1"/>
  <c r="AJ381" i="1"/>
  <c r="AN381" i="1"/>
  <c r="AV433" i="1"/>
  <c r="AW433" i="1" s="1"/>
  <c r="AX433" i="1" s="1"/>
  <c r="AY433" i="1" s="1"/>
  <c r="AZ433" i="1" s="1"/>
  <c r="BA433" i="1" s="1"/>
  <c r="BB433" i="1" s="1"/>
  <c r="BC433" i="1" s="1"/>
  <c r="Q450" i="1"/>
  <c r="U450" i="1"/>
  <c r="Y450" i="1"/>
  <c r="AC450" i="1"/>
  <c r="AG450" i="1"/>
  <c r="AK450" i="1"/>
  <c r="AO450" i="1"/>
  <c r="AJ524" i="1"/>
  <c r="AJ528" i="1" s="1"/>
  <c r="AJ422" i="1"/>
  <c r="BJ14" i="1"/>
  <c r="BA233" i="1"/>
  <c r="BE233" i="1"/>
  <c r="AZ290" i="1"/>
  <c r="AQ386" i="1"/>
  <c r="P455" i="1"/>
  <c r="AV463" i="1"/>
  <c r="AV485" i="1" s="1"/>
  <c r="Y472" i="1"/>
  <c r="AO528" i="1"/>
  <c r="AS528" i="1"/>
  <c r="Q506" i="1"/>
  <c r="Q417" i="1"/>
  <c r="Q416" i="1"/>
  <c r="Q415" i="1"/>
  <c r="Q414" i="1"/>
  <c r="Q413" i="1"/>
  <c r="Q405" i="1"/>
  <c r="Q423" i="1"/>
  <c r="Q116" i="1"/>
  <c r="Q119" i="1" s="1"/>
  <c r="Q91" i="1"/>
  <c r="Q99" i="1"/>
  <c r="U506" i="1"/>
  <c r="U417" i="1"/>
  <c r="U416" i="1"/>
  <c r="U415" i="1"/>
  <c r="U414" i="1"/>
  <c r="U413" i="1"/>
  <c r="U405" i="1"/>
  <c r="U423" i="1"/>
  <c r="U424" i="1" s="1"/>
  <c r="U116" i="1"/>
  <c r="U119" i="1" s="1"/>
  <c r="U91" i="1"/>
  <c r="U99" i="1"/>
  <c r="Y506" i="1"/>
  <c r="Y417" i="1"/>
  <c r="Y416" i="1"/>
  <c r="Y415" i="1"/>
  <c r="Y414" i="1"/>
  <c r="Y413" i="1"/>
  <c r="Y423" i="1"/>
  <c r="Y405" i="1"/>
  <c r="Y116" i="1"/>
  <c r="Y119" i="1" s="1"/>
  <c r="Y91" i="1"/>
  <c r="Y99" i="1"/>
  <c r="AK506" i="1"/>
  <c r="AK417" i="1"/>
  <c r="AK416" i="1"/>
  <c r="AK415" i="1"/>
  <c r="AK414" i="1"/>
  <c r="AK413" i="1"/>
  <c r="AK405" i="1"/>
  <c r="AK423" i="1"/>
  <c r="AK116" i="1"/>
  <c r="AK119" i="1" s="1"/>
  <c r="AK91" i="1"/>
  <c r="AK99" i="1"/>
  <c r="AO506" i="1"/>
  <c r="AO417" i="1"/>
  <c r="AO416" i="1"/>
  <c r="AO415" i="1"/>
  <c r="AO414" i="1"/>
  <c r="AO413" i="1"/>
  <c r="AO423" i="1"/>
  <c r="AO405" i="1"/>
  <c r="AO116" i="1"/>
  <c r="AO119" i="1" s="1"/>
  <c r="AO99" i="1"/>
  <c r="AG506" i="1"/>
  <c r="AG417" i="1"/>
  <c r="AG416" i="1"/>
  <c r="AG415" i="1"/>
  <c r="AG414" i="1"/>
  <c r="AG413" i="1"/>
  <c r="AG423" i="1"/>
  <c r="AG405" i="1"/>
  <c r="AG116" i="1"/>
  <c r="AG119" i="1" s="1"/>
  <c r="AG91" i="1"/>
  <c r="AG99" i="1"/>
  <c r="Q4" i="1"/>
  <c r="P5" i="1"/>
  <c r="P6" i="1"/>
  <c r="AU109" i="1"/>
  <c r="AU82" i="1"/>
  <c r="R506" i="1"/>
  <c r="R423" i="1"/>
  <c r="R416" i="1"/>
  <c r="R414" i="1"/>
  <c r="R417" i="1"/>
  <c r="R415" i="1"/>
  <c r="R413" i="1"/>
  <c r="R405" i="1"/>
  <c r="R99" i="1"/>
  <c r="R116" i="1"/>
  <c r="R119" i="1" s="1"/>
  <c r="R91" i="1"/>
  <c r="V506" i="1"/>
  <c r="V423" i="1"/>
  <c r="V424" i="1" s="1"/>
  <c r="V405" i="1"/>
  <c r="V417" i="1"/>
  <c r="V415" i="1"/>
  <c r="V413" i="1"/>
  <c r="V416" i="1"/>
  <c r="V414" i="1"/>
  <c r="V99" i="1"/>
  <c r="V116" i="1"/>
  <c r="V119" i="1" s="1"/>
  <c r="V91" i="1"/>
  <c r="Z506" i="1"/>
  <c r="Z423" i="1"/>
  <c r="Z405" i="1"/>
  <c r="Z416" i="1"/>
  <c r="Z414" i="1"/>
  <c r="Z417" i="1"/>
  <c r="Z415" i="1"/>
  <c r="Z413" i="1"/>
  <c r="Z99" i="1"/>
  <c r="Z116" i="1"/>
  <c r="Z119" i="1" s="1"/>
  <c r="Z91" i="1"/>
  <c r="AD506" i="1"/>
  <c r="AD423" i="1"/>
  <c r="AD405" i="1"/>
  <c r="AD417" i="1"/>
  <c r="AD415" i="1"/>
  <c r="AD413" i="1"/>
  <c r="AD416" i="1"/>
  <c r="AD414" i="1"/>
  <c r="AD99" i="1"/>
  <c r="AD116" i="1"/>
  <c r="AD119" i="1" s="1"/>
  <c r="AD91" i="1"/>
  <c r="AH506" i="1"/>
  <c r="AH423" i="1"/>
  <c r="AH405" i="1"/>
  <c r="AH416" i="1"/>
  <c r="AH414" i="1"/>
  <c r="AH417" i="1"/>
  <c r="AH415" i="1"/>
  <c r="AH413" i="1"/>
  <c r="AH99" i="1"/>
  <c r="AH116" i="1"/>
  <c r="AH119" i="1" s="1"/>
  <c r="AH91" i="1"/>
  <c r="AL506" i="1"/>
  <c r="AL423" i="1"/>
  <c r="AL405" i="1"/>
  <c r="AL417" i="1"/>
  <c r="AL415" i="1"/>
  <c r="AL413" i="1"/>
  <c r="AL416" i="1"/>
  <c r="AL414" i="1"/>
  <c r="AL99" i="1"/>
  <c r="AL116" i="1"/>
  <c r="AL119" i="1" s="1"/>
  <c r="AP506" i="1"/>
  <c r="AP423" i="1"/>
  <c r="AP405" i="1"/>
  <c r="AP416" i="1"/>
  <c r="AP414" i="1"/>
  <c r="AP417" i="1"/>
  <c r="AP415" i="1"/>
  <c r="AP413" i="1"/>
  <c r="AP99" i="1"/>
  <c r="AP116" i="1"/>
  <c r="AP119" i="1" s="1"/>
  <c r="Q127" i="1"/>
  <c r="Q126" i="1"/>
  <c r="Q33" i="1"/>
  <c r="Q105" i="1"/>
  <c r="U397" i="1"/>
  <c r="U396" i="1"/>
  <c r="U127" i="1"/>
  <c r="U126" i="1"/>
  <c r="U33" i="1"/>
  <c r="U105" i="1"/>
  <c r="Y396" i="1"/>
  <c r="Y127" i="1"/>
  <c r="Y126" i="1"/>
  <c r="Y33" i="1"/>
  <c r="Y105" i="1"/>
  <c r="AD396" i="1"/>
  <c r="AD105" i="1"/>
  <c r="AD127" i="1"/>
  <c r="AD126" i="1"/>
  <c r="AD33" i="1"/>
  <c r="AK396" i="1"/>
  <c r="AK127" i="1"/>
  <c r="AK126" i="1"/>
  <c r="AK33" i="1"/>
  <c r="AK105" i="1"/>
  <c r="AS396" i="1"/>
  <c r="AS397" i="1"/>
  <c r="AS127" i="1"/>
  <c r="AS126" i="1"/>
  <c r="AS33" i="1"/>
  <c r="AS105" i="1"/>
  <c r="X127" i="1"/>
  <c r="AN91" i="1"/>
  <c r="AR91" i="1"/>
  <c r="AX94" i="1"/>
  <c r="D5" i="1"/>
  <c r="O506" i="1"/>
  <c r="O423" i="1"/>
  <c r="O424" i="1" s="1"/>
  <c r="O406" i="1"/>
  <c r="O417" i="1"/>
  <c r="O415" i="1"/>
  <c r="O413" i="1"/>
  <c r="O416" i="1"/>
  <c r="O414" i="1"/>
  <c r="O405" i="1"/>
  <c r="O116" i="1"/>
  <c r="O119" i="1" s="1"/>
  <c r="O91" i="1"/>
  <c r="S506" i="1"/>
  <c r="S423" i="1"/>
  <c r="S416" i="1"/>
  <c r="S414" i="1"/>
  <c r="S413" i="1"/>
  <c r="S415" i="1"/>
  <c r="S405" i="1"/>
  <c r="S417" i="1"/>
  <c r="S116" i="1"/>
  <c r="S119" i="1" s="1"/>
  <c r="S91" i="1"/>
  <c r="S99" i="1"/>
  <c r="W506" i="1"/>
  <c r="W423" i="1"/>
  <c r="W405" i="1"/>
  <c r="W417" i="1"/>
  <c r="W415" i="1"/>
  <c r="W413" i="1"/>
  <c r="W416" i="1"/>
  <c r="W414" i="1"/>
  <c r="W116" i="1"/>
  <c r="W119" i="1" s="1"/>
  <c r="W91" i="1"/>
  <c r="W99" i="1"/>
  <c r="AA506" i="1"/>
  <c r="AA423" i="1"/>
  <c r="AA405" i="1"/>
  <c r="AA416" i="1"/>
  <c r="AA414" i="1"/>
  <c r="AA415" i="1"/>
  <c r="AA417" i="1"/>
  <c r="AA413" i="1"/>
  <c r="AA116" i="1"/>
  <c r="AA119" i="1" s="1"/>
  <c r="AA91" i="1"/>
  <c r="AA99" i="1"/>
  <c r="AE506" i="1"/>
  <c r="AE423" i="1"/>
  <c r="AE425" i="1" s="1"/>
  <c r="AE405" i="1"/>
  <c r="AE417" i="1"/>
  <c r="AE415" i="1"/>
  <c r="AE413" i="1"/>
  <c r="AE414" i="1"/>
  <c r="AE416" i="1"/>
  <c r="AE116" i="1"/>
  <c r="AE119" i="1" s="1"/>
  <c r="AE91" i="1"/>
  <c r="AE99" i="1"/>
  <c r="AI506" i="1"/>
  <c r="AI423" i="1"/>
  <c r="AI405" i="1"/>
  <c r="AI416" i="1"/>
  <c r="AI414" i="1"/>
  <c r="AI417" i="1"/>
  <c r="AI415" i="1"/>
  <c r="AI413" i="1"/>
  <c r="AI116" i="1"/>
  <c r="AI119" i="1" s="1"/>
  <c r="AI91" i="1"/>
  <c r="AI99" i="1"/>
  <c r="AM506" i="1"/>
  <c r="AM423" i="1"/>
  <c r="AM405" i="1"/>
  <c r="AM417" i="1"/>
  <c r="AM415" i="1"/>
  <c r="AM413" i="1"/>
  <c r="AM414" i="1"/>
  <c r="AM416" i="1"/>
  <c r="AM116" i="1"/>
  <c r="AM119" i="1" s="1"/>
  <c r="AM99" i="1"/>
  <c r="AQ506" i="1"/>
  <c r="AQ423" i="1"/>
  <c r="AQ405" i="1"/>
  <c r="AQ416" i="1"/>
  <c r="AQ414" i="1"/>
  <c r="AQ413" i="1"/>
  <c r="AQ417" i="1"/>
  <c r="AQ415" i="1"/>
  <c r="AQ116" i="1"/>
  <c r="AQ119" i="1" s="1"/>
  <c r="AQ99" i="1"/>
  <c r="R126" i="1"/>
  <c r="R105" i="1"/>
  <c r="R127" i="1"/>
  <c r="R33" i="1"/>
  <c r="V397" i="1"/>
  <c r="V396" i="1"/>
  <c r="V127" i="1"/>
  <c r="V126" i="1"/>
  <c r="V105" i="1"/>
  <c r="V33" i="1"/>
  <c r="Z396" i="1"/>
  <c r="Z127" i="1"/>
  <c r="Z105" i="1"/>
  <c r="Z126" i="1"/>
  <c r="Z33" i="1"/>
  <c r="AE397" i="1"/>
  <c r="AE396" i="1"/>
  <c r="AE105" i="1"/>
  <c r="AE127" i="1"/>
  <c r="AE126" i="1"/>
  <c r="AE33" i="1"/>
  <c r="AL396" i="1"/>
  <c r="AL127" i="1"/>
  <c r="AL126" i="1"/>
  <c r="AL105" i="1"/>
  <c r="AL33" i="1"/>
  <c r="AT396" i="1"/>
  <c r="AT33" i="1"/>
  <c r="AB127" i="1"/>
  <c r="AO91" i="1"/>
  <c r="AS91" i="1"/>
  <c r="E5" i="1"/>
  <c r="P506" i="1"/>
  <c r="P417" i="1"/>
  <c r="P416" i="1"/>
  <c r="P415" i="1"/>
  <c r="P414" i="1"/>
  <c r="P413" i="1"/>
  <c r="P423" i="1"/>
  <c r="P424" i="1" s="1"/>
  <c r="P406" i="1"/>
  <c r="P405" i="1"/>
  <c r="P116" i="1"/>
  <c r="P119" i="1" s="1"/>
  <c r="P91" i="1"/>
  <c r="P99" i="1"/>
  <c r="T506" i="1"/>
  <c r="T417" i="1"/>
  <c r="T416" i="1"/>
  <c r="T415" i="1"/>
  <c r="T414" i="1"/>
  <c r="T413" i="1"/>
  <c r="T405" i="1"/>
  <c r="T423" i="1"/>
  <c r="T116" i="1"/>
  <c r="T119" i="1" s="1"/>
  <c r="T91" i="1"/>
  <c r="T99" i="1"/>
  <c r="X506" i="1"/>
  <c r="X417" i="1"/>
  <c r="X416" i="1"/>
  <c r="X415" i="1"/>
  <c r="X414" i="1"/>
  <c r="X413" i="1"/>
  <c r="X423" i="1"/>
  <c r="X424" i="1" s="1"/>
  <c r="X405" i="1"/>
  <c r="X116" i="1"/>
  <c r="X119" i="1" s="1"/>
  <c r="X91" i="1"/>
  <c r="X99" i="1"/>
  <c r="AB506" i="1"/>
  <c r="AB417" i="1"/>
  <c r="AB416" i="1"/>
  <c r="AB415" i="1"/>
  <c r="AB414" i="1"/>
  <c r="AB413" i="1"/>
  <c r="AB405" i="1"/>
  <c r="AB423" i="1"/>
  <c r="AB116" i="1"/>
  <c r="AB119" i="1" s="1"/>
  <c r="AB91" i="1"/>
  <c r="AB99" i="1"/>
  <c r="AF506" i="1"/>
  <c r="AF417" i="1"/>
  <c r="AF416" i="1"/>
  <c r="AF415" i="1"/>
  <c r="AF414" i="1"/>
  <c r="AF413" i="1"/>
  <c r="AF423" i="1"/>
  <c r="AF424" i="1" s="1"/>
  <c r="AF405" i="1"/>
  <c r="AF116" i="1"/>
  <c r="AF119" i="1" s="1"/>
  <c r="AF91" i="1"/>
  <c r="AF99" i="1"/>
  <c r="AJ506" i="1"/>
  <c r="AJ417" i="1"/>
  <c r="AJ416" i="1"/>
  <c r="AJ415" i="1"/>
  <c r="AJ414" i="1"/>
  <c r="AJ413" i="1"/>
  <c r="AJ405" i="1"/>
  <c r="AJ423" i="1"/>
  <c r="AJ116" i="1"/>
  <c r="AJ119" i="1" s="1"/>
  <c r="AJ91" i="1"/>
  <c r="AJ99" i="1"/>
  <c r="AN506" i="1"/>
  <c r="AN417" i="1"/>
  <c r="AN416" i="1"/>
  <c r="AN415" i="1"/>
  <c r="AN414" i="1"/>
  <c r="AN413" i="1"/>
  <c r="AN423" i="1"/>
  <c r="AN424" i="1" s="1"/>
  <c r="AN405" i="1"/>
  <c r="AN116" i="1"/>
  <c r="AN119" i="1" s="1"/>
  <c r="AN99" i="1"/>
  <c r="AR416" i="1"/>
  <c r="AR414" i="1"/>
  <c r="AR405" i="1"/>
  <c r="AR423" i="1"/>
  <c r="AR116" i="1"/>
  <c r="AR119" i="1" s="1"/>
  <c r="AR99" i="1"/>
  <c r="AC506" i="1"/>
  <c r="AC417" i="1"/>
  <c r="AC416" i="1"/>
  <c r="AC415" i="1"/>
  <c r="AC414" i="1"/>
  <c r="AC413" i="1"/>
  <c r="AC405" i="1"/>
  <c r="AC423" i="1"/>
  <c r="AC424" i="1" s="1"/>
  <c r="AC116" i="1"/>
  <c r="AC119" i="1" s="1"/>
  <c r="AC91" i="1"/>
  <c r="AC99" i="1"/>
  <c r="AS416" i="1"/>
  <c r="AS414" i="1"/>
  <c r="AS405" i="1"/>
  <c r="AS423" i="1"/>
  <c r="AS116" i="1"/>
  <c r="AS119" i="1" s="1"/>
  <c r="AS99" i="1"/>
  <c r="O105" i="1"/>
  <c r="O127" i="1"/>
  <c r="O126" i="1"/>
  <c r="O33" i="1"/>
  <c r="S397" i="1"/>
  <c r="S396" i="1"/>
  <c r="S105" i="1"/>
  <c r="S127" i="1"/>
  <c r="S33" i="1"/>
  <c r="S126" i="1"/>
  <c r="W397" i="1"/>
  <c r="W396" i="1"/>
  <c r="W126" i="1"/>
  <c r="W105" i="1"/>
  <c r="W33" i="1"/>
  <c r="W127" i="1"/>
  <c r="AA397" i="1"/>
  <c r="AA396" i="1"/>
  <c r="AA127" i="1"/>
  <c r="AA105" i="1"/>
  <c r="AA126" i="1"/>
  <c r="AA33" i="1"/>
  <c r="AQ397" i="1"/>
  <c r="AQ396" i="1"/>
  <c r="AQ127" i="1"/>
  <c r="AQ105" i="1"/>
  <c r="AQ126" i="1"/>
  <c r="AQ33" i="1"/>
  <c r="P127" i="1"/>
  <c r="AF105" i="1"/>
  <c r="AW35" i="1"/>
  <c r="AV118" i="1"/>
  <c r="F4" i="1"/>
  <c r="AH396" i="1"/>
  <c r="AH126" i="1"/>
  <c r="AH105" i="1"/>
  <c r="AH127" i="1"/>
  <c r="AH33" i="1"/>
  <c r="T126" i="1"/>
  <c r="AR127" i="1"/>
  <c r="BB73" i="1"/>
  <c r="BB71" i="1" s="1"/>
  <c r="BB249" i="1" s="1"/>
  <c r="BB251" i="1" s="1"/>
  <c r="BA71" i="1"/>
  <c r="BA249" i="1" s="1"/>
  <c r="BA251" i="1" s="1"/>
  <c r="AM91" i="1"/>
  <c r="AQ91" i="1"/>
  <c r="BA93" i="1"/>
  <c r="AC174" i="1"/>
  <c r="AC130" i="1" s="1"/>
  <c r="AC133" i="1" s="1"/>
  <c r="AL174" i="1"/>
  <c r="AL130" i="1" s="1"/>
  <c r="AL133" i="1" s="1"/>
  <c r="AV26" i="1"/>
  <c r="AV27" i="1"/>
  <c r="AO258" i="1"/>
  <c r="AO132" i="1" s="1"/>
  <c r="AO133" i="1" s="1"/>
  <c r="AC28" i="1"/>
  <c r="AC31" i="1" s="1"/>
  <c r="AG28" i="1"/>
  <c r="AG31" i="1" s="1"/>
  <c r="AO28" i="1"/>
  <c r="AO31" i="1" s="1"/>
  <c r="AR33" i="1"/>
  <c r="BA516" i="1"/>
  <c r="BE64" i="1"/>
  <c r="AL91" i="1"/>
  <c r="AP91" i="1"/>
  <c r="AU103" i="1"/>
  <c r="P105" i="1"/>
  <c r="T105" i="1"/>
  <c r="X105" i="1"/>
  <c r="AB105" i="1"/>
  <c r="AR105" i="1"/>
  <c r="AJ106" i="1"/>
  <c r="AN106" i="1"/>
  <c r="AN108" i="1"/>
  <c r="X126" i="1"/>
  <c r="AA139" i="1"/>
  <c r="AI444" i="1"/>
  <c r="AI156" i="1"/>
  <c r="AI62" i="1" s="1"/>
  <c r="AM444" i="1"/>
  <c r="AM156" i="1"/>
  <c r="AM62" i="1" s="1"/>
  <c r="AS139" i="1"/>
  <c r="AS157" i="1"/>
  <c r="AV158" i="1"/>
  <c r="AP206" i="1"/>
  <c r="AP191" i="1"/>
  <c r="AJ206" i="1"/>
  <c r="AJ191" i="1"/>
  <c r="AN206" i="1"/>
  <c r="AN191" i="1"/>
  <c r="AG174" i="1"/>
  <c r="AG130" i="1" s="1"/>
  <c r="AG133" i="1" s="1"/>
  <c r="AM174" i="1"/>
  <c r="AM130" i="1" s="1"/>
  <c r="AM133" i="1" s="1"/>
  <c r="AP258" i="1"/>
  <c r="AP132" i="1" s="1"/>
  <c r="AP133" i="1" s="1"/>
  <c r="AP28" i="1"/>
  <c r="AP31" i="1" s="1"/>
  <c r="AU324" i="1"/>
  <c r="AU421" i="1" s="1"/>
  <c r="AU134" i="1"/>
  <c r="BB516" i="1"/>
  <c r="BF64" i="1"/>
  <c r="AC106" i="1"/>
  <c r="AG106" i="1"/>
  <c r="AO108" i="1"/>
  <c r="AU118" i="1"/>
  <c r="AV140" i="1"/>
  <c r="AW141" i="1"/>
  <c r="AS191" i="1"/>
  <c r="AS206" i="1"/>
  <c r="AK191" i="1"/>
  <c r="AK206" i="1"/>
  <c r="AV206" i="1"/>
  <c r="AV191" i="1"/>
  <c r="BA188" i="1"/>
  <c r="AZ150" i="1"/>
  <c r="AQ206" i="1"/>
  <c r="AI174" i="1"/>
  <c r="AI130" i="1" s="1"/>
  <c r="AI133" i="1" s="1"/>
  <c r="AM28" i="1"/>
  <c r="AM31" i="1" s="1"/>
  <c r="T397" i="1"/>
  <c r="T396" i="1"/>
  <c r="X397" i="1"/>
  <c r="X396" i="1"/>
  <c r="AB397" i="1"/>
  <c r="AB396" i="1"/>
  <c r="AF397" i="1"/>
  <c r="AF396" i="1"/>
  <c r="AR397" i="1"/>
  <c r="AR396" i="1"/>
  <c r="P33" i="1"/>
  <c r="T33" i="1"/>
  <c r="X33" i="1"/>
  <c r="AB33" i="1"/>
  <c r="AF33" i="1"/>
  <c r="BC516" i="1"/>
  <c r="AX67" i="1"/>
  <c r="AY518" i="1"/>
  <c r="AY246" i="1"/>
  <c r="AY74" i="1" s="1"/>
  <c r="AW90" i="1"/>
  <c r="AL106" i="1"/>
  <c r="AP108" i="1"/>
  <c r="P126" i="1"/>
  <c r="AF126" i="1"/>
  <c r="T127" i="1"/>
  <c r="AP444" i="1"/>
  <c r="AP156" i="1"/>
  <c r="AP62" i="1" s="1"/>
  <c r="AO159" i="1"/>
  <c r="AO140" i="1"/>
  <c r="R156" i="1"/>
  <c r="R62" i="1" s="1"/>
  <c r="V156" i="1"/>
  <c r="V62" i="1" s="1"/>
  <c r="Z156" i="1"/>
  <c r="Z62" i="1" s="1"/>
  <c r="AD156" i="1"/>
  <c r="AD62" i="1" s="1"/>
  <c r="O172" i="1"/>
  <c r="O86" i="1" s="1"/>
  <c r="O170" i="1"/>
  <c r="AW206" i="1"/>
  <c r="AW191" i="1"/>
  <c r="AT206" i="1"/>
  <c r="AT20" i="1"/>
  <c r="AT413" i="1" s="1"/>
  <c r="AN174" i="1"/>
  <c r="AN130" i="1" s="1"/>
  <c r="AI28" i="1"/>
  <c r="AI31" i="1" s="1"/>
  <c r="AJ174" i="1"/>
  <c r="AJ130" i="1" s="1"/>
  <c r="AJ133" i="1" s="1"/>
  <c r="AU26" i="1"/>
  <c r="AN258" i="1"/>
  <c r="AN132" i="1" s="1"/>
  <c r="AJ28" i="1"/>
  <c r="AJ31" i="1" s="1"/>
  <c r="AN28" i="1"/>
  <c r="AN31" i="1" s="1"/>
  <c r="AV54" i="1"/>
  <c r="AZ516" i="1"/>
  <c r="BD64" i="1"/>
  <c r="AZ70" i="1"/>
  <c r="AZ71" i="1"/>
  <c r="AZ249" i="1" s="1"/>
  <c r="AZ251" i="1" s="1"/>
  <c r="AI106" i="1"/>
  <c r="AM106" i="1"/>
  <c r="AB126" i="1"/>
  <c r="AR126" i="1"/>
  <c r="AF127" i="1"/>
  <c r="AH444" i="1"/>
  <c r="AH156" i="1"/>
  <c r="AH62" i="1" s="1"/>
  <c r="AL444" i="1"/>
  <c r="AL156" i="1"/>
  <c r="AL62" i="1" s="1"/>
  <c r="BB144" i="1"/>
  <c r="BC144" i="1" s="1"/>
  <c r="BD144" i="1" s="1"/>
  <c r="BE144" i="1" s="1"/>
  <c r="BA160" i="1"/>
  <c r="O156" i="1"/>
  <c r="O62" i="1" s="1"/>
  <c r="S156" i="1"/>
  <c r="S62" i="1" s="1"/>
  <c r="W156" i="1"/>
  <c r="W62" i="1" s="1"/>
  <c r="AE156" i="1"/>
  <c r="AE62" i="1" s="1"/>
  <c r="AR206" i="1"/>
  <c r="AR191" i="1"/>
  <c r="AJ156" i="1"/>
  <c r="AJ62" i="1" s="1"/>
  <c r="AN156" i="1"/>
  <c r="AN62" i="1" s="1"/>
  <c r="AR156" i="1"/>
  <c r="AR62" i="1" s="1"/>
  <c r="AV157" i="1"/>
  <c r="AV160" i="1"/>
  <c r="AZ160" i="1"/>
  <c r="AL191" i="1"/>
  <c r="AT191" i="1"/>
  <c r="AM206" i="1"/>
  <c r="AY221" i="1"/>
  <c r="AU516" i="1"/>
  <c r="AU228" i="1"/>
  <c r="AU68" i="1" s="1"/>
  <c r="AY516" i="1"/>
  <c r="AT277" i="1"/>
  <c r="AT266" i="1"/>
  <c r="BE290" i="1"/>
  <c r="BA290" i="1"/>
  <c r="S393" i="1"/>
  <c r="S391" i="1"/>
  <c r="AM389" i="1"/>
  <c r="AI391" i="1"/>
  <c r="Y430" i="1"/>
  <c r="Y429" i="1"/>
  <c r="Y428" i="1"/>
  <c r="Y424" i="1"/>
  <c r="AK156" i="1"/>
  <c r="AK62" i="1" s="1"/>
  <c r="AW160" i="1"/>
  <c r="O177" i="1"/>
  <c r="O59" i="1" s="1"/>
  <c r="AI191" i="1"/>
  <c r="AQ191" i="1"/>
  <c r="AU191" i="1"/>
  <c r="O196" i="1"/>
  <c r="AS430" i="1"/>
  <c r="AS424" i="1"/>
  <c r="O403" i="1"/>
  <c r="O404" i="1"/>
  <c r="O402" i="1"/>
  <c r="O363" i="1"/>
  <c r="S404" i="1"/>
  <c r="S403" i="1"/>
  <c r="S363" i="1"/>
  <c r="S402" i="1"/>
  <c r="W402" i="1"/>
  <c r="W404" i="1"/>
  <c r="W363" i="1"/>
  <c r="W403" i="1"/>
  <c r="AA402" i="1"/>
  <c r="AA403" i="1"/>
  <c r="AA404" i="1"/>
  <c r="AA363" i="1"/>
  <c r="AE403" i="1"/>
  <c r="AE404" i="1"/>
  <c r="AE402" i="1"/>
  <c r="AE363" i="1"/>
  <c r="AI404" i="1"/>
  <c r="AI403" i="1"/>
  <c r="AI402" i="1"/>
  <c r="AI363" i="1"/>
  <c r="AM402" i="1"/>
  <c r="AM404" i="1"/>
  <c r="AM363" i="1"/>
  <c r="AM403" i="1"/>
  <c r="AQ402" i="1"/>
  <c r="AQ403" i="1"/>
  <c r="AQ404" i="1"/>
  <c r="AQ363" i="1"/>
  <c r="AR143" i="1"/>
  <c r="AX160" i="1"/>
  <c r="AX187" i="1"/>
  <c r="BC198" i="1"/>
  <c r="BA199" i="1"/>
  <c r="V422" i="1"/>
  <c r="V399" i="1"/>
  <c r="V336" i="1"/>
  <c r="V346" i="1" s="1"/>
  <c r="V347" i="1" s="1"/>
  <c r="V319" i="1"/>
  <c r="AG422" i="1"/>
  <c r="AG399" i="1"/>
  <c r="AG336" i="1"/>
  <c r="AG346" i="1" s="1"/>
  <c r="AG347" i="1" s="1"/>
  <c r="AG319" i="1"/>
  <c r="AH335" i="1"/>
  <c r="Q501" i="1"/>
  <c r="Q453" i="1"/>
  <c r="Q456" i="1" s="1"/>
  <c r="Q442" i="1"/>
  <c r="Q386" i="1"/>
  <c r="Q441" i="1"/>
  <c r="U501" i="1"/>
  <c r="U453" i="1"/>
  <c r="U456" i="1" s="1"/>
  <c r="U441" i="1"/>
  <c r="U386" i="1"/>
  <c r="U442" i="1"/>
  <c r="Y501" i="1"/>
  <c r="Y453" i="1"/>
  <c r="Y443" i="1"/>
  <c r="Y442" i="1"/>
  <c r="Y441" i="1"/>
  <c r="Y386" i="1"/>
  <c r="Y381" i="1"/>
  <c r="AC501" i="1"/>
  <c r="AC453" i="1"/>
  <c r="AC456" i="1" s="1"/>
  <c r="AC443" i="1"/>
  <c r="AC441" i="1"/>
  <c r="AC386" i="1"/>
  <c r="AC442" i="1"/>
  <c r="AG501" i="1"/>
  <c r="AG453" i="1"/>
  <c r="AG442" i="1"/>
  <c r="AG386" i="1"/>
  <c r="AG389" i="1" s="1"/>
  <c r="AG443" i="1"/>
  <c r="AG441" i="1"/>
  <c r="AK501" i="1"/>
  <c r="AK453" i="1"/>
  <c r="AK443" i="1"/>
  <c r="AK441" i="1"/>
  <c r="AK386" i="1"/>
  <c r="AK389" i="1" s="1"/>
  <c r="AK442" i="1"/>
  <c r="AO501" i="1"/>
  <c r="AO453" i="1"/>
  <c r="AO442" i="1"/>
  <c r="AO386" i="1"/>
  <c r="AO389" i="1" s="1"/>
  <c r="AO441" i="1"/>
  <c r="AO381" i="1"/>
  <c r="AS501" i="1"/>
  <c r="AS453" i="1"/>
  <c r="AS441" i="1"/>
  <c r="AS442" i="1"/>
  <c r="AS386" i="1"/>
  <c r="AS389" i="1" s="1"/>
  <c r="AQ140" i="1"/>
  <c r="AU160" i="1"/>
  <c r="AY160" i="1"/>
  <c r="BB199" i="1"/>
  <c r="O238" i="1"/>
  <c r="O87" i="1" s="1"/>
  <c r="O236" i="1"/>
  <c r="O123" i="1" s="1"/>
  <c r="U244" i="1"/>
  <c r="T317" i="1"/>
  <c r="AV246" i="1"/>
  <c r="AV74" i="1" s="1"/>
  <c r="AQ278" i="1"/>
  <c r="AQ282" i="1"/>
  <c r="BD290" i="1"/>
  <c r="O382" i="1"/>
  <c r="S382" i="1"/>
  <c r="W382" i="1"/>
  <c r="AA382" i="1"/>
  <c r="AE382" i="1"/>
  <c r="AI382" i="1"/>
  <c r="AM382" i="1"/>
  <c r="AQ382" i="1"/>
  <c r="AV317" i="1"/>
  <c r="AS334" i="1"/>
  <c r="AR579" i="1"/>
  <c r="AS342" i="1"/>
  <c r="AB422" i="1"/>
  <c r="AB399" i="1"/>
  <c r="AB336" i="1"/>
  <c r="AB346" i="1" s="1"/>
  <c r="AB347" i="1" s="1"/>
  <c r="AC335" i="1"/>
  <c r="AB319" i="1"/>
  <c r="AW317" i="1"/>
  <c r="AX226" i="1"/>
  <c r="AP264" i="1"/>
  <c r="AO275" i="1"/>
  <c r="AO278" i="1" s="1"/>
  <c r="AP278" i="1"/>
  <c r="AP280" i="1"/>
  <c r="AP283" i="1" s="1"/>
  <c r="AX292" i="1"/>
  <c r="AT292" i="1"/>
  <c r="AT294" i="1" s="1"/>
  <c r="AT296" i="1" s="1"/>
  <c r="AT297" i="1" s="1"/>
  <c r="AW292" i="1"/>
  <c r="BC292" i="1"/>
  <c r="AY292" i="1"/>
  <c r="AU292" i="1"/>
  <c r="BB290" i="1"/>
  <c r="BF290" i="1"/>
  <c r="AZ292" i="1"/>
  <c r="AT300" i="1"/>
  <c r="AT302" i="1" s="1"/>
  <c r="AU307" i="1" s="1"/>
  <c r="AU299" i="1"/>
  <c r="O430" i="1"/>
  <c r="O428" i="1"/>
  <c r="O429" i="1"/>
  <c r="S421" i="1"/>
  <c r="S399" i="1"/>
  <c r="W421" i="1"/>
  <c r="W399" i="1"/>
  <c r="AA421" i="1"/>
  <c r="AA426" i="1" s="1"/>
  <c r="AA399" i="1"/>
  <c r="AE421" i="1"/>
  <c r="AE399" i="1"/>
  <c r="AE359" i="1"/>
  <c r="AI421" i="1"/>
  <c r="AI426" i="1" s="1"/>
  <c r="AI399" i="1"/>
  <c r="AI359" i="1"/>
  <c r="AM421" i="1"/>
  <c r="AM399" i="1"/>
  <c r="AQ421" i="1"/>
  <c r="AQ399" i="1"/>
  <c r="AQ359" i="1"/>
  <c r="AS422" i="1"/>
  <c r="AS319" i="1"/>
  <c r="AT335" i="1"/>
  <c r="AT397" i="1" s="1"/>
  <c r="U422" i="1"/>
  <c r="U399" i="1"/>
  <c r="U336" i="1"/>
  <c r="U346" i="1" s="1"/>
  <c r="U347" i="1" s="1"/>
  <c r="U319" i="1"/>
  <c r="AX356" i="1"/>
  <c r="AW368" i="1"/>
  <c r="AV332" i="1"/>
  <c r="AS381" i="1"/>
  <c r="Q381" i="1"/>
  <c r="U381" i="1"/>
  <c r="AC381" i="1"/>
  <c r="AG381" i="1"/>
  <c r="AK381" i="1"/>
  <c r="AS399" i="1"/>
  <c r="AJ426" i="1"/>
  <c r="AJ425" i="1"/>
  <c r="Q244" i="1"/>
  <c r="Q443" i="1" s="1"/>
  <c r="AU246" i="1"/>
  <c r="AU74" i="1" s="1"/>
  <c r="AS275" i="1"/>
  <c r="AT276" i="1" s="1"/>
  <c r="AR276" i="1"/>
  <c r="AR278" i="1"/>
  <c r="AS280" i="1"/>
  <c r="AS281" i="1" s="1"/>
  <c r="AO282" i="1"/>
  <c r="R430" i="1"/>
  <c r="R429" i="1"/>
  <c r="R428" i="1"/>
  <c r="R424" i="1"/>
  <c r="V430" i="1"/>
  <c r="V429" i="1"/>
  <c r="V428" i="1"/>
  <c r="Z430" i="1"/>
  <c r="Z429" i="1"/>
  <c r="Z428" i="1"/>
  <c r="Z424" i="1"/>
  <c r="AD430" i="1"/>
  <c r="AD429" i="1"/>
  <c r="AD428" i="1"/>
  <c r="AD424" i="1"/>
  <c r="AH430" i="1"/>
  <c r="AH429" i="1"/>
  <c r="AH428" i="1"/>
  <c r="AH424" i="1"/>
  <c r="AL430" i="1"/>
  <c r="AL424" i="1"/>
  <c r="AP430" i="1"/>
  <c r="AP429" i="1"/>
  <c r="AP428" i="1"/>
  <c r="AP424" i="1"/>
  <c r="AR430" i="1"/>
  <c r="AR424" i="1"/>
  <c r="AS341" i="1"/>
  <c r="P335" i="1"/>
  <c r="AF422" i="1"/>
  <c r="AF399" i="1"/>
  <c r="AK335" i="1"/>
  <c r="AR363" i="1"/>
  <c r="AW246" i="1"/>
  <c r="AW74" i="1" s="1"/>
  <c r="AQ280" i="1"/>
  <c r="AQ281" i="1" s="1"/>
  <c r="Z317" i="1"/>
  <c r="P430" i="1"/>
  <c r="P429" i="1"/>
  <c r="P428" i="1"/>
  <c r="T430" i="1"/>
  <c r="T429" i="1"/>
  <c r="T424" i="1"/>
  <c r="T428" i="1"/>
  <c r="X430" i="1"/>
  <c r="X429" i="1"/>
  <c r="X428" i="1"/>
  <c r="AB430" i="1"/>
  <c r="AB429" i="1"/>
  <c r="AB428" i="1"/>
  <c r="AB424" i="1"/>
  <c r="AF430" i="1"/>
  <c r="AJ430" i="1"/>
  <c r="AJ424" i="1"/>
  <c r="AN430" i="1"/>
  <c r="AT430" i="1"/>
  <c r="X422" i="1"/>
  <c r="X399" i="1"/>
  <c r="AN422" i="1"/>
  <c r="AN399" i="1"/>
  <c r="X336" i="1"/>
  <c r="X346" i="1" s="1"/>
  <c r="X347" i="1" s="1"/>
  <c r="AN336" i="1"/>
  <c r="AN346" i="1" s="1"/>
  <c r="AN347" i="1" s="1"/>
  <c r="AX374" i="1"/>
  <c r="P382" i="1"/>
  <c r="T382" i="1"/>
  <c r="AW228" i="1"/>
  <c r="AW68" i="1" s="1"/>
  <c r="Z246" i="1"/>
  <c r="Z74" i="1" s="1"/>
  <c r="AX246" i="1"/>
  <c r="AX74" i="1" s="1"/>
  <c r="AO266" i="1"/>
  <c r="Q430" i="1"/>
  <c r="Q429" i="1"/>
  <c r="Q428" i="1"/>
  <c r="Q424" i="1"/>
  <c r="U430" i="1"/>
  <c r="U429" i="1"/>
  <c r="U428" i="1"/>
  <c r="AC430" i="1"/>
  <c r="AC429" i="1"/>
  <c r="AC428" i="1"/>
  <c r="AG430" i="1"/>
  <c r="AG424" i="1"/>
  <c r="AK430" i="1"/>
  <c r="AK424" i="1"/>
  <c r="AO430" i="1"/>
  <c r="AO424" i="1"/>
  <c r="AS326" i="1"/>
  <c r="AR422" i="1"/>
  <c r="AR399" i="1"/>
  <c r="O426" i="1"/>
  <c r="T399" i="1"/>
  <c r="T422" i="1"/>
  <c r="Y335" i="1"/>
  <c r="Y397" i="1" s="1"/>
  <c r="AJ399" i="1"/>
  <c r="AO335" i="1"/>
  <c r="AW371" i="1"/>
  <c r="AW372" i="1"/>
  <c r="AW380" i="1"/>
  <c r="AS415" i="1"/>
  <c r="O388" i="1"/>
  <c r="O386" i="1"/>
  <c r="O389" i="1" s="1"/>
  <c r="S386" i="1"/>
  <c r="S389" i="1" s="1"/>
  <c r="W388" i="1"/>
  <c r="W386" i="1"/>
  <c r="W389" i="1" s="1"/>
  <c r="AA388" i="1"/>
  <c r="AA386" i="1"/>
  <c r="AA389" i="1" s="1"/>
  <c r="AE388" i="1"/>
  <c r="AE386" i="1"/>
  <c r="AE389" i="1" s="1"/>
  <c r="AI386" i="1"/>
  <c r="AI390" i="1" s="1"/>
  <c r="AI497" i="1" s="1"/>
  <c r="AM388" i="1"/>
  <c r="AM386" i="1"/>
  <c r="AQ388" i="1"/>
  <c r="AQ389" i="1"/>
  <c r="AV362" i="1"/>
  <c r="AS355" i="1"/>
  <c r="R404" i="1"/>
  <c r="R403" i="1"/>
  <c r="R402" i="1"/>
  <c r="V404" i="1"/>
  <c r="V403" i="1"/>
  <c r="V402" i="1"/>
  <c r="Z404" i="1"/>
  <c r="Z403" i="1"/>
  <c r="Z402" i="1"/>
  <c r="AD404" i="1"/>
  <c r="AD403" i="1"/>
  <c r="AD402" i="1"/>
  <c r="AH404" i="1"/>
  <c r="AH403" i="1"/>
  <c r="AH402" i="1"/>
  <c r="AL404" i="1"/>
  <c r="AL403" i="1"/>
  <c r="AL402" i="1"/>
  <c r="AP404" i="1"/>
  <c r="AP403" i="1"/>
  <c r="AP402" i="1"/>
  <c r="R363" i="1"/>
  <c r="R382" i="1" s="1"/>
  <c r="V363" i="1"/>
  <c r="V382" i="1" s="1"/>
  <c r="Z363" i="1"/>
  <c r="Z382" i="1" s="1"/>
  <c r="AD363" i="1"/>
  <c r="AD382" i="1" s="1"/>
  <c r="AH363" i="1"/>
  <c r="AH382" i="1" s="1"/>
  <c r="AL363" i="1"/>
  <c r="AL382" i="1" s="1"/>
  <c r="AP363" i="1"/>
  <c r="AP382" i="1" s="1"/>
  <c r="AR415" i="1"/>
  <c r="AR369" i="1"/>
  <c r="AR381" i="1" s="1"/>
  <c r="P501" i="1"/>
  <c r="P453" i="1"/>
  <c r="P443" i="1"/>
  <c r="P442" i="1"/>
  <c r="P441" i="1"/>
  <c r="T501" i="1"/>
  <c r="T453" i="1"/>
  <c r="T443" i="1"/>
  <c r="T442" i="1"/>
  <c r="T441" i="1"/>
  <c r="X501" i="1"/>
  <c r="X453" i="1"/>
  <c r="X443" i="1"/>
  <c r="X442" i="1"/>
  <c r="X441" i="1"/>
  <c r="AB501" i="1"/>
  <c r="AB453" i="1"/>
  <c r="AB443" i="1"/>
  <c r="AB442" i="1"/>
  <c r="AB441" i="1"/>
  <c r="AF501" i="1"/>
  <c r="AF453" i="1"/>
  <c r="AF443" i="1"/>
  <c r="AF442" i="1"/>
  <c r="AF441" i="1"/>
  <c r="AJ501" i="1"/>
  <c r="AJ453" i="1"/>
  <c r="AJ443" i="1"/>
  <c r="AJ442" i="1"/>
  <c r="AJ441" i="1"/>
  <c r="AN501" i="1"/>
  <c r="AN453" i="1"/>
  <c r="AN443" i="1"/>
  <c r="AN442" i="1"/>
  <c r="AN441" i="1"/>
  <c r="AN386" i="1"/>
  <c r="AN389" i="1" s="1"/>
  <c r="AR501" i="1"/>
  <c r="AR453" i="1"/>
  <c r="AR443" i="1"/>
  <c r="AR442" i="1"/>
  <c r="AR441" i="1"/>
  <c r="AR386" i="1"/>
  <c r="Z389" i="1"/>
  <c r="BD433" i="1"/>
  <c r="BE433" i="1" s="1"/>
  <c r="BF433" i="1" s="1"/>
  <c r="AR413" i="1"/>
  <c r="P404" i="1"/>
  <c r="P403" i="1"/>
  <c r="P402" i="1"/>
  <c r="T404" i="1"/>
  <c r="T403" i="1"/>
  <c r="T402" i="1"/>
  <c r="X404" i="1"/>
  <c r="X403" i="1"/>
  <c r="X402" i="1"/>
  <c r="AB404" i="1"/>
  <c r="AB403" i="1"/>
  <c r="AB402" i="1"/>
  <c r="AF404" i="1"/>
  <c r="AF403" i="1"/>
  <c r="AF402" i="1"/>
  <c r="AJ404" i="1"/>
  <c r="AJ403" i="1"/>
  <c r="AJ402" i="1"/>
  <c r="AN404" i="1"/>
  <c r="AN403" i="1"/>
  <c r="AN402" i="1"/>
  <c r="P363" i="1"/>
  <c r="T363" i="1"/>
  <c r="X363" i="1"/>
  <c r="X382" i="1" s="1"/>
  <c r="AB363" i="1"/>
  <c r="AB382" i="1" s="1"/>
  <c r="AF363" i="1"/>
  <c r="AF382" i="1" s="1"/>
  <c r="AJ363" i="1"/>
  <c r="AJ382" i="1" s="1"/>
  <c r="AN363" i="1"/>
  <c r="AN382" i="1" s="1"/>
  <c r="AT415" i="1"/>
  <c r="AT369" i="1"/>
  <c r="AT381" i="1" s="1"/>
  <c r="R501" i="1"/>
  <c r="R453" i="1"/>
  <c r="R443" i="1"/>
  <c r="R441" i="1"/>
  <c r="R442" i="1"/>
  <c r="R386" i="1"/>
  <c r="R389" i="1" s="1"/>
  <c r="V501" i="1"/>
  <c r="V453" i="1"/>
  <c r="V456" i="1" s="1"/>
  <c r="V442" i="1"/>
  <c r="V441" i="1"/>
  <c r="V386" i="1"/>
  <c r="V389" i="1" s="1"/>
  <c r="Z501" i="1"/>
  <c r="Z453" i="1"/>
  <c r="Z456" i="1" s="1"/>
  <c r="Z443" i="1"/>
  <c r="Z441" i="1"/>
  <c r="Z442" i="1"/>
  <c r="Z386" i="1"/>
  <c r="AD501" i="1"/>
  <c r="AD453" i="1"/>
  <c r="AD456" i="1" s="1"/>
  <c r="AD443" i="1"/>
  <c r="AD442" i="1"/>
  <c r="AD441" i="1"/>
  <c r="AD386" i="1"/>
  <c r="AD389" i="1" s="1"/>
  <c r="AH501" i="1"/>
  <c r="AH453" i="1"/>
  <c r="AH443" i="1"/>
  <c r="AH441" i="1"/>
  <c r="AH442" i="1"/>
  <c r="AH386" i="1"/>
  <c r="AH389" i="1" s="1"/>
  <c r="AL501" i="1"/>
  <c r="AL453" i="1"/>
  <c r="AL443" i="1"/>
  <c r="AL442" i="1"/>
  <c r="AL441" i="1"/>
  <c r="AL386" i="1"/>
  <c r="AL389" i="1" s="1"/>
  <c r="AP501" i="1"/>
  <c r="AP453" i="1"/>
  <c r="AP456" i="1" s="1"/>
  <c r="AP471" i="1" s="1"/>
  <c r="AP443" i="1"/>
  <c r="AP441" i="1"/>
  <c r="AP442" i="1"/>
  <c r="AP386" i="1"/>
  <c r="AP389" i="1" s="1"/>
  <c r="AT501" i="1"/>
  <c r="AT453" i="1"/>
  <c r="AT442" i="1"/>
  <c r="AT441" i="1"/>
  <c r="AT386" i="1"/>
  <c r="AT389" i="1" s="1"/>
  <c r="P389" i="1"/>
  <c r="X389" i="1"/>
  <c r="AF389" i="1"/>
  <c r="AR389" i="1"/>
  <c r="AR500" i="1"/>
  <c r="AR506" i="1" s="1"/>
  <c r="AR448" i="1"/>
  <c r="AR450" i="1" s="1"/>
  <c r="AR417" i="1"/>
  <c r="AS413" i="1"/>
  <c r="Q404" i="1"/>
  <c r="Q403" i="1"/>
  <c r="Q402" i="1"/>
  <c r="U404" i="1"/>
  <c r="U403" i="1"/>
  <c r="U402" i="1"/>
  <c r="Y404" i="1"/>
  <c r="Y403" i="1"/>
  <c r="Y402" i="1"/>
  <c r="AC404" i="1"/>
  <c r="AC403" i="1"/>
  <c r="AC402" i="1"/>
  <c r="AG404" i="1"/>
  <c r="AG403" i="1"/>
  <c r="AG402" i="1"/>
  <c r="AK404" i="1"/>
  <c r="AK403" i="1"/>
  <c r="AK402" i="1"/>
  <c r="AO404" i="1"/>
  <c r="AO403" i="1"/>
  <c r="AO402" i="1"/>
  <c r="Q363" i="1"/>
  <c r="U363" i="1"/>
  <c r="Y363" i="1"/>
  <c r="AC363" i="1"/>
  <c r="AG363" i="1"/>
  <c r="AK363" i="1"/>
  <c r="AO363" i="1"/>
  <c r="O501" i="1"/>
  <c r="O443" i="1"/>
  <c r="O442" i="1"/>
  <c r="O441" i="1"/>
  <c r="O453" i="1"/>
  <c r="S501" i="1"/>
  <c r="S453" i="1"/>
  <c r="S443" i="1"/>
  <c r="S442" i="1"/>
  <c r="S441" i="1"/>
  <c r="W501" i="1"/>
  <c r="W453" i="1"/>
  <c r="W456" i="1" s="1"/>
  <c r="W442" i="1"/>
  <c r="W441" i="1"/>
  <c r="AA501" i="1"/>
  <c r="AA453" i="1"/>
  <c r="AA443" i="1"/>
  <c r="AA442" i="1"/>
  <c r="AA441" i="1"/>
  <c r="AE501" i="1"/>
  <c r="AE453" i="1"/>
  <c r="AE456" i="1" s="1"/>
  <c r="AE443" i="1"/>
  <c r="AE442" i="1"/>
  <c r="AE441" i="1"/>
  <c r="AI501" i="1"/>
  <c r="AI453" i="1"/>
  <c r="AI443" i="1"/>
  <c r="AI442" i="1"/>
  <c r="AI441" i="1"/>
  <c r="AM501" i="1"/>
  <c r="AM453" i="1"/>
  <c r="AM443" i="1"/>
  <c r="AM442" i="1"/>
  <c r="AM441" i="1"/>
  <c r="AQ501" i="1"/>
  <c r="AQ453" i="1"/>
  <c r="AQ456" i="1" s="1"/>
  <c r="AQ471" i="1" s="1"/>
  <c r="AQ442" i="1"/>
  <c r="AQ441" i="1"/>
  <c r="T386" i="1"/>
  <c r="T389" i="1" s="1"/>
  <c r="AB386" i="1"/>
  <c r="AB389" i="1" s="1"/>
  <c r="AJ386" i="1"/>
  <c r="AJ389" i="1" s="1"/>
  <c r="Q389" i="1"/>
  <c r="U389" i="1"/>
  <c r="Y389" i="1"/>
  <c r="AC389" i="1"/>
  <c r="AE426" i="1"/>
  <c r="R388" i="1"/>
  <c r="V388" i="1"/>
  <c r="Z388" i="1"/>
  <c r="AD388" i="1"/>
  <c r="AH388" i="1"/>
  <c r="AL388" i="1"/>
  <c r="AP388" i="1"/>
  <c r="AT388" i="1"/>
  <c r="S426" i="1"/>
  <c r="P388" i="1"/>
  <c r="T388" i="1"/>
  <c r="X388" i="1"/>
  <c r="AB388" i="1"/>
  <c r="AF388" i="1"/>
  <c r="AJ388" i="1"/>
  <c r="AN388" i="1"/>
  <c r="AR388" i="1"/>
  <c r="AQ426" i="1"/>
  <c r="Y456" i="1"/>
  <c r="AG456" i="1"/>
  <c r="AK456" i="1"/>
  <c r="P478" i="1"/>
  <c r="P473" i="1"/>
  <c r="Q388" i="1"/>
  <c r="U388" i="1"/>
  <c r="Y388" i="1"/>
  <c r="AC388" i="1"/>
  <c r="AG388" i="1"/>
  <c r="AK388" i="1"/>
  <c r="AO388" i="1"/>
  <c r="AS388" i="1"/>
  <c r="W426" i="1"/>
  <c r="AM426" i="1"/>
  <c r="S456" i="1"/>
  <c r="AA456" i="1"/>
  <c r="AI456" i="1"/>
  <c r="S425" i="1"/>
  <c r="W425" i="1"/>
  <c r="AA425" i="1"/>
  <c r="AI425" i="1"/>
  <c r="AM425" i="1"/>
  <c r="AQ425" i="1"/>
  <c r="P456" i="1"/>
  <c r="T456" i="1"/>
  <c r="X456" i="1"/>
  <c r="AB456" i="1"/>
  <c r="AF456" i="1"/>
  <c r="AJ456" i="1"/>
  <c r="AJ471" i="1" s="1"/>
  <c r="R456" i="1"/>
  <c r="AH456" i="1"/>
  <c r="AW459" i="1"/>
  <c r="AW460" i="1"/>
  <c r="AX461" i="1"/>
  <c r="AV464" i="1"/>
  <c r="AW465" i="1"/>
  <c r="AX466" i="1"/>
  <c r="AO491" i="1"/>
  <c r="AP491" i="1"/>
  <c r="AU469" i="1"/>
  <c r="AU470" i="1" s="1"/>
  <c r="T492" i="1"/>
  <c r="X492" i="1"/>
  <c r="AB492" i="1"/>
  <c r="AF492" i="1"/>
  <c r="AO470" i="1"/>
  <c r="AT470" i="1"/>
  <c r="U472" i="1"/>
  <c r="AA472" i="1"/>
  <c r="AF472" i="1"/>
  <c r="AK472" i="1"/>
  <c r="AL470" i="1"/>
  <c r="AP492" i="1"/>
  <c r="AJ492" i="1"/>
  <c r="Q472" i="1"/>
  <c r="W472" i="1"/>
  <c r="AB472" i="1"/>
  <c r="AG472" i="1"/>
  <c r="AR472" i="1"/>
  <c r="BA460" i="1"/>
  <c r="AV462" i="1"/>
  <c r="AW463" i="1"/>
  <c r="AV467" i="1"/>
  <c r="AM491" i="1"/>
  <c r="AS491" i="1"/>
  <c r="AS470" i="1"/>
  <c r="R472" i="1"/>
  <c r="R492" i="1"/>
  <c r="V472" i="1"/>
  <c r="V492" i="1"/>
  <c r="Z472" i="1"/>
  <c r="Z492" i="1"/>
  <c r="AD472" i="1"/>
  <c r="AD492" i="1"/>
  <c r="AH472" i="1"/>
  <c r="AH492" i="1"/>
  <c r="AM470" i="1"/>
  <c r="AQ492" i="1"/>
  <c r="S472" i="1"/>
  <c r="T494" i="1" s="1"/>
  <c r="X472" i="1"/>
  <c r="Y494" i="1" s="1"/>
  <c r="AC472" i="1"/>
  <c r="AI472" i="1"/>
  <c r="AN470" i="1"/>
  <c r="T478" i="1"/>
  <c r="Y478" i="1"/>
  <c r="AE472" i="1"/>
  <c r="T473" i="1"/>
  <c r="Y473" i="1"/>
  <c r="AA528" i="1"/>
  <c r="AK528" i="1"/>
  <c r="AN528" i="1"/>
  <c r="AR528" i="1"/>
  <c r="BD160" i="1" l="1"/>
  <c r="S394" i="1"/>
  <c r="AI206" i="1"/>
  <c r="AR456" i="1"/>
  <c r="BB160" i="1"/>
  <c r="BB292" i="1"/>
  <c r="O232" i="1"/>
  <c r="O66" i="1" s="1"/>
  <c r="O65" i="1"/>
  <c r="AI389" i="1"/>
  <c r="U444" i="1"/>
  <c r="U443" i="1"/>
  <c r="AT278" i="1"/>
  <c r="AT282" i="1"/>
  <c r="AT283" i="1" s="1"/>
  <c r="BF292" i="1"/>
  <c r="AR317" i="1"/>
  <c r="AT126" i="1"/>
  <c r="AT127" i="1"/>
  <c r="AT91" i="1"/>
  <c r="O250" i="1"/>
  <c r="O72" i="1" s="1"/>
  <c r="O124" i="1"/>
  <c r="AO206" i="1"/>
  <c r="AO191" i="1"/>
  <c r="AU514" i="1"/>
  <c r="AU147" i="1"/>
  <c r="AR382" i="1"/>
  <c r="AR402" i="1"/>
  <c r="BE292" i="1"/>
  <c r="AA444" i="1"/>
  <c r="AA156" i="1"/>
  <c r="AA62" i="1" s="1"/>
  <c r="AV58" i="1"/>
  <c r="O89" i="1"/>
  <c r="AV103" i="1"/>
  <c r="AW16" i="1"/>
  <c r="BF216" i="1"/>
  <c r="BE218" i="1"/>
  <c r="BE151" i="1"/>
  <c r="AN133" i="1"/>
  <c r="BJ15" i="1"/>
  <c r="BJ16" i="1" s="1"/>
  <c r="AW142" i="1"/>
  <c r="AT161" i="1"/>
  <c r="AU145" i="1"/>
  <c r="AT139" i="1"/>
  <c r="AV263" i="1"/>
  <c r="AV264" i="1" s="1"/>
  <c r="AW15" i="1"/>
  <c r="AI393" i="1"/>
  <c r="AP493" i="1"/>
  <c r="AP475" i="1"/>
  <c r="AP496" i="1" s="1"/>
  <c r="AP472" i="1"/>
  <c r="AT409" i="1"/>
  <c r="AT407" i="1"/>
  <c r="AN492" i="1"/>
  <c r="AN472" i="1"/>
  <c r="AN455" i="1"/>
  <c r="AN456" i="1" s="1"/>
  <c r="AH494" i="1"/>
  <c r="AH478" i="1"/>
  <c r="AH473" i="1"/>
  <c r="Z494" i="1"/>
  <c r="Z478" i="1"/>
  <c r="Z473" i="1"/>
  <c r="AR478" i="1"/>
  <c r="AR473" i="1"/>
  <c r="Q494" i="1"/>
  <c r="Q478" i="1"/>
  <c r="Q473" i="1"/>
  <c r="AA494" i="1"/>
  <c r="AA473" i="1"/>
  <c r="AA478" i="1"/>
  <c r="AX488" i="1"/>
  <c r="AY466" i="1"/>
  <c r="AG391" i="1"/>
  <c r="AG390" i="1"/>
  <c r="AG393" i="1"/>
  <c r="AL393" i="1"/>
  <c r="AL391" i="1"/>
  <c r="AL390" i="1"/>
  <c r="AL497" i="1" s="1"/>
  <c r="AM393" i="1"/>
  <c r="AM391" i="1"/>
  <c r="AM390" i="1"/>
  <c r="AM497" i="1" s="1"/>
  <c r="AO422" i="1"/>
  <c r="AO399" i="1"/>
  <c r="AO336" i="1"/>
  <c r="AO346" i="1" s="1"/>
  <c r="AO347" i="1" s="1"/>
  <c r="AO319" i="1"/>
  <c r="AP335" i="1"/>
  <c r="AR426" i="1"/>
  <c r="AR425" i="1"/>
  <c r="AG382" i="1"/>
  <c r="AY356" i="1"/>
  <c r="AS425" i="1"/>
  <c r="AS426" i="1"/>
  <c r="AI424" i="1"/>
  <c r="AI430" i="1"/>
  <c r="AX317" i="1"/>
  <c r="AY226" i="1"/>
  <c r="AC422" i="1"/>
  <c r="AC336" i="1"/>
  <c r="AC346" i="1" s="1"/>
  <c r="AC347" i="1" s="1"/>
  <c r="AD335" i="1"/>
  <c r="AC319" i="1"/>
  <c r="AC399" i="1"/>
  <c r="O209" i="1"/>
  <c r="O204" i="1"/>
  <c r="AB502" i="1"/>
  <c r="AB503" i="1" s="1"/>
  <c r="AB398" i="1"/>
  <c r="AB111" i="1"/>
  <c r="AB37" i="1"/>
  <c r="AS444" i="1"/>
  <c r="AS156" i="1"/>
  <c r="AS62" i="1" s="1"/>
  <c r="AV109" i="1"/>
  <c r="AV82" i="1"/>
  <c r="BB93" i="1"/>
  <c r="AH409" i="1"/>
  <c r="AH407" i="1"/>
  <c r="AQ502" i="1"/>
  <c r="AQ503" i="1" s="1"/>
  <c r="AQ398" i="1"/>
  <c r="AQ111" i="1"/>
  <c r="AQ37" i="1"/>
  <c r="O502" i="1"/>
  <c r="O503" i="1" s="1"/>
  <c r="O111" i="1"/>
  <c r="O37" i="1"/>
  <c r="R409" i="1"/>
  <c r="R407" i="1"/>
  <c r="AS409" i="1"/>
  <c r="AS407" i="1"/>
  <c r="AC494" i="1"/>
  <c r="AC478" i="1"/>
  <c r="AC473" i="1"/>
  <c r="AM492" i="1"/>
  <c r="AM472" i="1"/>
  <c r="AM455" i="1"/>
  <c r="AM456" i="1" s="1"/>
  <c r="AD494" i="1"/>
  <c r="AD478" i="1"/>
  <c r="AD473" i="1"/>
  <c r="V494" i="1"/>
  <c r="V478" i="1"/>
  <c r="V473" i="1"/>
  <c r="AV484" i="1"/>
  <c r="AW462" i="1"/>
  <c r="AB478" i="1"/>
  <c r="AB494" i="1"/>
  <c r="AB473" i="1"/>
  <c r="AK478" i="1"/>
  <c r="AK473" i="1"/>
  <c r="AT472" i="1"/>
  <c r="AT492" i="1"/>
  <c r="AT455" i="1"/>
  <c r="AV486" i="1"/>
  <c r="AW464" i="1"/>
  <c r="AK493" i="1"/>
  <c r="AJ475" i="1"/>
  <c r="AJ496" i="1" s="1"/>
  <c r="AJ493" i="1"/>
  <c r="AJ472" i="1"/>
  <c r="AK494" i="1" s="1"/>
  <c r="AO391" i="1"/>
  <c r="AO390" i="1"/>
  <c r="AO497" i="1" s="1"/>
  <c r="AO393" i="1"/>
  <c r="Y391" i="1"/>
  <c r="Y390" i="1"/>
  <c r="Y393" i="1"/>
  <c r="Y394" i="1"/>
  <c r="AJ391" i="1"/>
  <c r="AJ390" i="1"/>
  <c r="AJ497" i="1" s="1"/>
  <c r="AJ393" i="1"/>
  <c r="T391" i="1"/>
  <c r="T390" i="1"/>
  <c r="T394" i="1"/>
  <c r="T393" i="1"/>
  <c r="AT394" i="1"/>
  <c r="AT393" i="1"/>
  <c r="AT391" i="1"/>
  <c r="AT390" i="1"/>
  <c r="AT497" i="1" s="1"/>
  <c r="AD393" i="1"/>
  <c r="AD391" i="1"/>
  <c r="AD390" i="1"/>
  <c r="AS500" i="1"/>
  <c r="AS506" i="1" s="1"/>
  <c r="AS448" i="1"/>
  <c r="AS450" i="1" s="1"/>
  <c r="AS417" i="1"/>
  <c r="AS357" i="1"/>
  <c r="AT355" i="1"/>
  <c r="AQ393" i="1"/>
  <c r="AQ391" i="1"/>
  <c r="AQ390" i="1"/>
  <c r="AQ497" i="1" s="1"/>
  <c r="W394" i="1"/>
  <c r="W393" i="1"/>
  <c r="W391" i="1"/>
  <c r="W390" i="1"/>
  <c r="O390" i="1"/>
  <c r="O391" i="1"/>
  <c r="Y399" i="1"/>
  <c r="Y336" i="1"/>
  <c r="Y346" i="1" s="1"/>
  <c r="Y347" i="1" s="1"/>
  <c r="Y319" i="1"/>
  <c r="Z335" i="1"/>
  <c r="Y422" i="1"/>
  <c r="AR404" i="1"/>
  <c r="AS276" i="1"/>
  <c r="AS278" i="1"/>
  <c r="U382" i="1"/>
  <c r="AX368" i="1"/>
  <c r="AW332" i="1"/>
  <c r="AT422" i="1"/>
  <c r="AT399" i="1"/>
  <c r="AT319" i="1"/>
  <c r="AJ359" i="1"/>
  <c r="AI358" i="1"/>
  <c r="AI428" i="1" s="1"/>
  <c r="AI429" i="1"/>
  <c r="AU300" i="1"/>
  <c r="AV299" i="1"/>
  <c r="AS283" i="1"/>
  <c r="AO280" i="1"/>
  <c r="AO281" i="1" s="1"/>
  <c r="AQ283" i="1"/>
  <c r="BC160" i="1"/>
  <c r="AQ157" i="1"/>
  <c r="AQ139" i="1"/>
  <c r="AS443" i="1"/>
  <c r="Y382" i="1"/>
  <c r="AH422" i="1"/>
  <c r="AH399" i="1"/>
  <c r="AH336" i="1"/>
  <c r="AH346" i="1" s="1"/>
  <c r="AH347" i="1" s="1"/>
  <c r="AH319" i="1"/>
  <c r="AG426" i="1"/>
  <c r="AG425" i="1"/>
  <c r="V426" i="1"/>
  <c r="V425" i="1"/>
  <c r="BD198" i="1"/>
  <c r="BC199" i="1"/>
  <c r="S390" i="1"/>
  <c r="BD292" i="1"/>
  <c r="AR409" i="1"/>
  <c r="AR407" i="1"/>
  <c r="AJ397" i="1"/>
  <c r="AJ396" i="1"/>
  <c r="AJ127" i="1"/>
  <c r="AJ33" i="1"/>
  <c r="AJ126" i="1"/>
  <c r="AJ105" i="1"/>
  <c r="AO157" i="1"/>
  <c r="AO139" i="1"/>
  <c r="P407" i="1"/>
  <c r="P409" i="1"/>
  <c r="T502" i="1"/>
  <c r="T503" i="1" s="1"/>
  <c r="T398" i="1"/>
  <c r="T111" i="1"/>
  <c r="T37" i="1"/>
  <c r="AM397" i="1"/>
  <c r="AM396" i="1"/>
  <c r="AM126" i="1"/>
  <c r="AM105" i="1"/>
  <c r="AM33" i="1"/>
  <c r="AM127" i="1"/>
  <c r="AW158" i="1"/>
  <c r="AW140" i="1"/>
  <c r="AX141" i="1"/>
  <c r="AR502" i="1"/>
  <c r="AR503" i="1" s="1"/>
  <c r="AR398" i="1"/>
  <c r="AR111" i="1"/>
  <c r="AR37" i="1"/>
  <c r="AH397" i="1"/>
  <c r="AA502" i="1"/>
  <c r="AA503" i="1" s="1"/>
  <c r="AA398" i="1"/>
  <c r="AA111" i="1"/>
  <c r="AA37" i="1"/>
  <c r="S409" i="1"/>
  <c r="S407" i="1"/>
  <c r="O410" i="1"/>
  <c r="O408" i="1"/>
  <c r="AT502" i="1"/>
  <c r="AT503" i="1" s="1"/>
  <c r="AT398" i="1"/>
  <c r="AT37" i="1"/>
  <c r="AT111" i="1"/>
  <c r="Z409" i="1"/>
  <c r="Z407" i="1"/>
  <c r="AK409" i="1"/>
  <c r="AK407" i="1"/>
  <c r="AD502" i="1"/>
  <c r="AD503" i="1" s="1"/>
  <c r="AD398" i="1"/>
  <c r="AD111" i="1"/>
  <c r="AD37" i="1"/>
  <c r="Y407" i="1"/>
  <c r="Y409" i="1"/>
  <c r="Q407" i="1"/>
  <c r="Q409" i="1"/>
  <c r="S494" i="1"/>
  <c r="S473" i="1"/>
  <c r="S478" i="1"/>
  <c r="AV489" i="1"/>
  <c r="AW467" i="1"/>
  <c r="AU492" i="1"/>
  <c r="AU455" i="1"/>
  <c r="AR493" i="1"/>
  <c r="AQ493" i="1"/>
  <c r="AQ475" i="1"/>
  <c r="AQ496" i="1" s="1"/>
  <c r="Q391" i="1"/>
  <c r="Q390" i="1"/>
  <c r="AB391" i="1"/>
  <c r="AB390" i="1"/>
  <c r="AB394" i="1"/>
  <c r="AB393" i="1"/>
  <c r="V394" i="1"/>
  <c r="V393" i="1"/>
  <c r="V391" i="1"/>
  <c r="V390" i="1"/>
  <c r="AA394" i="1"/>
  <c r="AA393" i="1"/>
  <c r="AA391" i="1"/>
  <c r="AA390" i="1"/>
  <c r="P422" i="1"/>
  <c r="P336" i="1"/>
  <c r="P346" i="1" s="1"/>
  <c r="P347" i="1" s="1"/>
  <c r="P319" i="1"/>
  <c r="Q335" i="1"/>
  <c r="R335" i="1" s="1"/>
  <c r="AS579" i="1"/>
  <c r="AT342" i="1"/>
  <c r="AT579" i="1" s="1"/>
  <c r="AZ245" i="1"/>
  <c r="BA70" i="1"/>
  <c r="BF227" i="1"/>
  <c r="AG397" i="1"/>
  <c r="AG396" i="1"/>
  <c r="AG127" i="1"/>
  <c r="AG126" i="1"/>
  <c r="AG33" i="1"/>
  <c r="AG394" i="1" s="1"/>
  <c r="AG105" i="1"/>
  <c r="T409" i="1"/>
  <c r="T407" i="1"/>
  <c r="AE409" i="1"/>
  <c r="AE407" i="1"/>
  <c r="AE494" i="1"/>
  <c r="AE473" i="1"/>
  <c r="AE478" i="1"/>
  <c r="X478" i="1"/>
  <c r="X494" i="1"/>
  <c r="X473" i="1"/>
  <c r="BA482" i="1"/>
  <c r="BB460" i="1"/>
  <c r="W494" i="1"/>
  <c r="W473" i="1"/>
  <c r="W478" i="1"/>
  <c r="AF478" i="1"/>
  <c r="AF494" i="1"/>
  <c r="AF473" i="1"/>
  <c r="AO492" i="1"/>
  <c r="AO472" i="1"/>
  <c r="AO455" i="1"/>
  <c r="AO456" i="1" s="1"/>
  <c r="AX483" i="1"/>
  <c r="AY461" i="1"/>
  <c r="AQ472" i="1"/>
  <c r="AK391" i="1"/>
  <c r="AK390" i="1"/>
  <c r="AK497" i="1" s="1"/>
  <c r="AK393" i="1"/>
  <c r="U391" i="1"/>
  <c r="U390" i="1"/>
  <c r="U393" i="1"/>
  <c r="U394" i="1"/>
  <c r="AF391" i="1"/>
  <c r="AF390" i="1"/>
  <c r="AF393" i="1"/>
  <c r="P391" i="1"/>
  <c r="P390" i="1"/>
  <c r="AP393" i="1"/>
  <c r="AP391" i="1"/>
  <c r="AP390" i="1"/>
  <c r="AP497" i="1" s="1"/>
  <c r="Z394" i="1"/>
  <c r="Z393" i="1"/>
  <c r="Z391" i="1"/>
  <c r="Z390" i="1"/>
  <c r="AV333" i="1"/>
  <c r="AW362" i="1"/>
  <c r="AX372" i="1"/>
  <c r="T426" i="1"/>
  <c r="T425" i="1"/>
  <c r="AY374" i="1"/>
  <c r="X425" i="1"/>
  <c r="X426" i="1"/>
  <c r="AF425" i="1"/>
  <c r="AF426" i="1"/>
  <c r="AX228" i="1"/>
  <c r="AX68" i="1" s="1"/>
  <c r="AK382" i="1"/>
  <c r="Q382" i="1"/>
  <c r="AQ424" i="1"/>
  <c r="AQ430" i="1"/>
  <c r="AE424" i="1"/>
  <c r="AE430" i="1"/>
  <c r="W424" i="1"/>
  <c r="W428" i="1"/>
  <c r="W429" i="1"/>
  <c r="W430" i="1"/>
  <c r="AU293" i="1"/>
  <c r="AU294" i="1" s="1"/>
  <c r="BA292" i="1"/>
  <c r="AP276" i="1"/>
  <c r="AB426" i="1"/>
  <c r="AB425" i="1"/>
  <c r="AT334" i="1"/>
  <c r="AS336" i="1"/>
  <c r="AS346" i="1" s="1"/>
  <c r="AS347" i="1" s="1"/>
  <c r="AY187" i="1"/>
  <c r="AX189" i="1"/>
  <c r="AX149" i="1"/>
  <c r="AT281" i="1"/>
  <c r="AY223" i="1"/>
  <c r="AZ221" i="1"/>
  <c r="AB409" i="1"/>
  <c r="AB407" i="1"/>
  <c r="O178" i="1"/>
  <c r="O60" i="1" s="1"/>
  <c r="O122" i="1"/>
  <c r="AF502" i="1"/>
  <c r="AF503" i="1" s="1"/>
  <c r="AF398" i="1"/>
  <c r="AF111" i="1"/>
  <c r="AF37" i="1"/>
  <c r="P502" i="1"/>
  <c r="P503" i="1" s="1"/>
  <c r="P111" i="1"/>
  <c r="P37" i="1"/>
  <c r="AP397" i="1"/>
  <c r="AP396" i="1"/>
  <c r="AP127" i="1"/>
  <c r="AP105" i="1"/>
  <c r="AP126" i="1"/>
  <c r="AP33" i="1"/>
  <c r="AO396" i="1"/>
  <c r="AO397" i="1"/>
  <c r="AO127" i="1"/>
  <c r="AO126" i="1"/>
  <c r="AO33" i="1"/>
  <c r="AO105" i="1"/>
  <c r="G4" i="1"/>
  <c r="F6" i="1"/>
  <c r="F193" i="1" s="1"/>
  <c r="F5" i="1"/>
  <c r="P410" i="1"/>
  <c r="P411" i="1" s="1"/>
  <c r="P408" i="1"/>
  <c r="AA409" i="1"/>
  <c r="AA407" i="1"/>
  <c r="W409" i="1"/>
  <c r="W407" i="1"/>
  <c r="S502" i="1"/>
  <c r="S503" i="1" s="1"/>
  <c r="S398" i="1"/>
  <c r="S111" i="1"/>
  <c r="S37" i="1"/>
  <c r="AL409" i="1"/>
  <c r="AL407" i="1"/>
  <c r="AE502" i="1"/>
  <c r="AE503" i="1" s="1"/>
  <c r="AE398" i="1"/>
  <c r="AE111" i="1"/>
  <c r="AE37" i="1"/>
  <c r="V502" i="1"/>
  <c r="V503" i="1" s="1"/>
  <c r="V398" i="1"/>
  <c r="V111" i="1"/>
  <c r="V37" i="1"/>
  <c r="AS502" i="1"/>
  <c r="AS503" i="1" s="1"/>
  <c r="AS398" i="1"/>
  <c r="AS111" i="1"/>
  <c r="AS37" i="1"/>
  <c r="AD409" i="1"/>
  <c r="AD407" i="1"/>
  <c r="U502" i="1"/>
  <c r="U503" i="1" s="1"/>
  <c r="U398" i="1"/>
  <c r="U111" i="1"/>
  <c r="U37" i="1"/>
  <c r="Q6" i="1"/>
  <c r="Q408" i="1" s="1"/>
  <c r="Q5" i="1"/>
  <c r="R4" i="1"/>
  <c r="C356" i="1" s="1"/>
  <c r="C557" i="1"/>
  <c r="C527" i="1"/>
  <c r="C552" i="1"/>
  <c r="R494" i="1"/>
  <c r="R478" i="1"/>
  <c r="R473" i="1"/>
  <c r="AL472" i="1"/>
  <c r="AL492" i="1"/>
  <c r="AL455" i="1"/>
  <c r="AL456" i="1" s="1"/>
  <c r="AW482" i="1"/>
  <c r="AX460" i="1"/>
  <c r="AR391" i="1"/>
  <c r="AR390" i="1"/>
  <c r="AR497" i="1" s="1"/>
  <c r="AR394" i="1"/>
  <c r="AR393" i="1"/>
  <c r="AE393" i="1"/>
  <c r="AE390" i="1"/>
  <c r="AE391" i="1"/>
  <c r="AR281" i="1"/>
  <c r="BE227" i="1"/>
  <c r="AY94" i="1"/>
  <c r="U409" i="1"/>
  <c r="U407" i="1"/>
  <c r="AI494" i="1"/>
  <c r="AI473" i="1"/>
  <c r="AI478" i="1"/>
  <c r="AS492" i="1"/>
  <c r="AS455" i="1"/>
  <c r="AS472" i="1"/>
  <c r="AW485" i="1"/>
  <c r="AX463" i="1"/>
  <c r="AG494" i="1"/>
  <c r="AG478" i="1"/>
  <c r="AG473" i="1"/>
  <c r="U494" i="1"/>
  <c r="U478" i="1"/>
  <c r="U473" i="1"/>
  <c r="AU491" i="1"/>
  <c r="AV469" i="1"/>
  <c r="AV470" i="1" s="1"/>
  <c r="AW487" i="1"/>
  <c r="AX465" i="1"/>
  <c r="AW481" i="1"/>
  <c r="AX459" i="1"/>
  <c r="AS391" i="1"/>
  <c r="AS390" i="1"/>
  <c r="AS497" i="1" s="1"/>
  <c r="AS394" i="1"/>
  <c r="AS393" i="1"/>
  <c r="AC391" i="1"/>
  <c r="AC390" i="1"/>
  <c r="AC393" i="1"/>
  <c r="AN391" i="1"/>
  <c r="AN390" i="1"/>
  <c r="AN497" i="1" s="1"/>
  <c r="AN393" i="1"/>
  <c r="X391" i="1"/>
  <c r="X390" i="1"/>
  <c r="X394" i="1"/>
  <c r="X393" i="1"/>
  <c r="AH394" i="1"/>
  <c r="AH393" i="1"/>
  <c r="AH391" i="1"/>
  <c r="AH390" i="1"/>
  <c r="AH497" i="1" s="1"/>
  <c r="R391" i="1"/>
  <c r="R390" i="1"/>
  <c r="AX380" i="1"/>
  <c r="AX371" i="1"/>
  <c r="O425" i="1"/>
  <c r="AS580" i="1"/>
  <c r="AT326" i="1"/>
  <c r="AN425" i="1"/>
  <c r="AN426" i="1"/>
  <c r="AR403" i="1"/>
  <c r="AK422" i="1"/>
  <c r="AK399" i="1"/>
  <c r="AK336" i="1"/>
  <c r="AK346" i="1" s="1"/>
  <c r="AK347" i="1" s="1"/>
  <c r="AK319" i="1"/>
  <c r="AL335" i="1"/>
  <c r="AS578" i="1"/>
  <c r="AT341" i="1"/>
  <c r="AT578" i="1" s="1"/>
  <c r="R317" i="1"/>
  <c r="Q246" i="1"/>
  <c r="Q74" i="1" s="1"/>
  <c r="Q317" i="1"/>
  <c r="AC382" i="1"/>
  <c r="U425" i="1"/>
  <c r="U426" i="1"/>
  <c r="AQ429" i="1"/>
  <c r="AR359" i="1"/>
  <c r="AQ358" i="1"/>
  <c r="AQ428" i="1" s="1"/>
  <c r="AM424" i="1"/>
  <c r="AM430" i="1"/>
  <c r="AE429" i="1"/>
  <c r="AE358" i="1"/>
  <c r="AE428" i="1" s="1"/>
  <c r="AF359" i="1"/>
  <c r="AA424" i="1"/>
  <c r="AA429" i="1"/>
  <c r="AA430" i="1"/>
  <c r="AA428" i="1"/>
  <c r="S424" i="1"/>
  <c r="S430" i="1"/>
  <c r="S429" i="1"/>
  <c r="S428" i="1"/>
  <c r="V244" i="1"/>
  <c r="U246" i="1"/>
  <c r="U74" i="1" s="1"/>
  <c r="U317" i="1"/>
  <c r="AO382" i="1"/>
  <c r="Q444" i="1"/>
  <c r="BF144" i="1"/>
  <c r="BE160" i="1"/>
  <c r="BD227" i="1"/>
  <c r="AV341" i="1"/>
  <c r="AV578" i="1" s="1"/>
  <c r="AW54" i="1"/>
  <c r="AN397" i="1"/>
  <c r="AN396" i="1"/>
  <c r="AN33" i="1"/>
  <c r="AN127" i="1"/>
  <c r="AN126" i="1"/>
  <c r="AN105" i="1"/>
  <c r="AU265" i="1"/>
  <c r="AU266" i="1" s="1"/>
  <c r="AU78" i="1"/>
  <c r="AI397" i="1"/>
  <c r="AI396" i="1"/>
  <c r="AI105" i="1"/>
  <c r="AI127" i="1"/>
  <c r="AI33" i="1"/>
  <c r="AI126" i="1"/>
  <c r="AT423" i="1"/>
  <c r="AT424" i="1" s="1"/>
  <c r="AT405" i="1"/>
  <c r="AT416" i="1"/>
  <c r="AT414" i="1"/>
  <c r="AT99" i="1"/>
  <c r="AT116" i="1"/>
  <c r="AT119" i="1" s="1"/>
  <c r="AF407" i="1"/>
  <c r="AF409" i="1"/>
  <c r="AX90" i="1"/>
  <c r="X502" i="1"/>
  <c r="X503" i="1" s="1"/>
  <c r="X398" i="1"/>
  <c r="X111" i="1"/>
  <c r="X37" i="1"/>
  <c r="BA150" i="1"/>
  <c r="BB188" i="1"/>
  <c r="AU133" i="1"/>
  <c r="AU132" i="1"/>
  <c r="AU131" i="1"/>
  <c r="AU130" i="1"/>
  <c r="X407" i="1"/>
  <c r="X409" i="1"/>
  <c r="AC396" i="1"/>
  <c r="AC397" i="1"/>
  <c r="AC127" i="1"/>
  <c r="AC126" i="1"/>
  <c r="AC33" i="1"/>
  <c r="AD394" i="1" s="1"/>
  <c r="AC105" i="1"/>
  <c r="AV265" i="1"/>
  <c r="AV266" i="1" s="1"/>
  <c r="AV78" i="1"/>
  <c r="AH502" i="1"/>
  <c r="AH503" i="1" s="1"/>
  <c r="AH398" i="1"/>
  <c r="AH111" i="1"/>
  <c r="AH37" i="1"/>
  <c r="AW118" i="1"/>
  <c r="AX35" i="1"/>
  <c r="AQ409" i="1"/>
  <c r="AQ407" i="1"/>
  <c r="W502" i="1"/>
  <c r="W503" i="1" s="1"/>
  <c r="W398" i="1"/>
  <c r="W111" i="1"/>
  <c r="W37" i="1"/>
  <c r="O409" i="1"/>
  <c r="O407" i="1"/>
  <c r="O125" i="1"/>
  <c r="AT105" i="1"/>
  <c r="AL502" i="1"/>
  <c r="AL503" i="1" s="1"/>
  <c r="AL398" i="1"/>
  <c r="AL111" i="1"/>
  <c r="AL37" i="1"/>
  <c r="Z502" i="1"/>
  <c r="Z503" i="1" s="1"/>
  <c r="Z398" i="1"/>
  <c r="Z111" i="1"/>
  <c r="Z37" i="1"/>
  <c r="V409" i="1"/>
  <c r="V407" i="1"/>
  <c r="R502" i="1"/>
  <c r="R503" i="1" s="1"/>
  <c r="R111" i="1"/>
  <c r="R37" i="1"/>
  <c r="AK502" i="1"/>
  <c r="AK503" i="1" s="1"/>
  <c r="AK398" i="1"/>
  <c r="AK111" i="1"/>
  <c r="AK37" i="1"/>
  <c r="AK397" i="1"/>
  <c r="Y502" i="1"/>
  <c r="Y503" i="1" s="1"/>
  <c r="Y398" i="1"/>
  <c r="Y111" i="1"/>
  <c r="Y37" i="1"/>
  <c r="Q502" i="1"/>
  <c r="Q503" i="1" s="1"/>
  <c r="Q111" i="1"/>
  <c r="Q37" i="1"/>
  <c r="P229" i="1"/>
  <c r="P247" i="1"/>
  <c r="P193" i="1"/>
  <c r="P166" i="1"/>
  <c r="P165" i="1"/>
  <c r="P164" i="1"/>
  <c r="AP281" i="1" l="1"/>
  <c r="AN394" i="1"/>
  <c r="AK394" i="1"/>
  <c r="C463" i="1"/>
  <c r="Q410" i="1"/>
  <c r="AV145" i="1"/>
  <c r="AU139" i="1"/>
  <c r="AU156" i="1" s="1"/>
  <c r="AU62" i="1" s="1"/>
  <c r="AU161" i="1"/>
  <c r="C353" i="1"/>
  <c r="C531" i="1"/>
  <c r="C370" i="1"/>
  <c r="C559" i="1"/>
  <c r="C523" i="1"/>
  <c r="C485" i="1"/>
  <c r="C456" i="1"/>
  <c r="C361" i="1"/>
  <c r="C487" i="1"/>
  <c r="C540" i="1"/>
  <c r="C553" i="1"/>
  <c r="C471" i="1"/>
  <c r="C465" i="1"/>
  <c r="C371" i="1"/>
  <c r="C571" i="1"/>
  <c r="C469" i="1"/>
  <c r="AJ394" i="1"/>
  <c r="AW26" i="1"/>
  <c r="AX15" i="1"/>
  <c r="AW263" i="1"/>
  <c r="AW264" i="1" s="1"/>
  <c r="AP394" i="1"/>
  <c r="C568" i="1"/>
  <c r="C558" i="1"/>
  <c r="C496" i="1"/>
  <c r="C448" i="1"/>
  <c r="C443" i="1"/>
  <c r="C362" i="1"/>
  <c r="C554" i="1"/>
  <c r="C372" i="1"/>
  <c r="O411" i="1"/>
  <c r="BJ17" i="1"/>
  <c r="BF218" i="1"/>
  <c r="BF151" i="1"/>
  <c r="BF160" i="1" s="1"/>
  <c r="AU58" i="1"/>
  <c r="AT444" i="1"/>
  <c r="AT156" i="1"/>
  <c r="AT62" i="1" s="1"/>
  <c r="AT443" i="1"/>
  <c r="AW159" i="1"/>
  <c r="AX142" i="1"/>
  <c r="AX16" i="1"/>
  <c r="AW27" i="1"/>
  <c r="AW103" i="1"/>
  <c r="AV492" i="1"/>
  <c r="AV455" i="1"/>
  <c r="Y507" i="1"/>
  <c r="Y504" i="1"/>
  <c r="Z95" i="1"/>
  <c r="Z39" i="1"/>
  <c r="Z41" i="1" s="1"/>
  <c r="AO502" i="1"/>
  <c r="AO503" i="1" s="1"/>
  <c r="AO398" i="1"/>
  <c r="AO111" i="1"/>
  <c r="AO37" i="1"/>
  <c r="AZ223" i="1"/>
  <c r="BA221" i="1"/>
  <c r="AA507" i="1"/>
  <c r="AA504" i="1"/>
  <c r="AY368" i="1"/>
  <c r="AQ507" i="1"/>
  <c r="AQ504" i="1"/>
  <c r="BC93" i="1"/>
  <c r="AC425" i="1"/>
  <c r="AC426" i="1"/>
  <c r="P219" i="1"/>
  <c r="P196" i="1"/>
  <c r="Y39" i="1"/>
  <c r="Y41" i="1" s="1"/>
  <c r="Y95" i="1"/>
  <c r="AK507" i="1"/>
  <c r="AK504" i="1"/>
  <c r="AL504" i="1"/>
  <c r="AL507" i="1"/>
  <c r="W95" i="1"/>
  <c r="W39" i="1"/>
  <c r="W41" i="1" s="1"/>
  <c r="AC409" i="1"/>
  <c r="AC407" i="1"/>
  <c r="AU240" i="1"/>
  <c r="BC188" i="1"/>
  <c r="BB150" i="1"/>
  <c r="AN407" i="1"/>
  <c r="AN409" i="1"/>
  <c r="BD516" i="1"/>
  <c r="AF429" i="1"/>
  <c r="AG359" i="1"/>
  <c r="AF358" i="1"/>
  <c r="AF428" i="1" s="1"/>
  <c r="AL422" i="1"/>
  <c r="AL399" i="1"/>
  <c r="AL336" i="1"/>
  <c r="AL346" i="1" s="1"/>
  <c r="AL347" i="1" s="1"/>
  <c r="AL319" i="1"/>
  <c r="AL397" i="1"/>
  <c r="AK425" i="1"/>
  <c r="AK426" i="1"/>
  <c r="AT580" i="1"/>
  <c r="AU326" i="1"/>
  <c r="AY371" i="1"/>
  <c r="AX485" i="1"/>
  <c r="AY463" i="1"/>
  <c r="AZ94" i="1"/>
  <c r="C526" i="1"/>
  <c r="C562" i="1"/>
  <c r="C535" i="1"/>
  <c r="C482" i="1"/>
  <c r="C475" i="1"/>
  <c r="C376" i="1"/>
  <c r="C351" i="1"/>
  <c r="Q229" i="1"/>
  <c r="Q247" i="1"/>
  <c r="Q193" i="1"/>
  <c r="Q166" i="1"/>
  <c r="Q165" i="1"/>
  <c r="Q164" i="1"/>
  <c r="Q406" i="1"/>
  <c r="Q411" i="1" s="1"/>
  <c r="S95" i="1"/>
  <c r="S39" i="1"/>
  <c r="S41" i="1" s="1"/>
  <c r="G6" i="1"/>
  <c r="G193" i="1" s="1"/>
  <c r="G5" i="1"/>
  <c r="H4" i="1"/>
  <c r="AO407" i="1"/>
  <c r="AO409" i="1"/>
  <c r="AP502" i="1"/>
  <c r="AP503" i="1" s="1"/>
  <c r="AP398" i="1"/>
  <c r="AP111" i="1"/>
  <c r="AP37" i="1"/>
  <c r="P507" i="1"/>
  <c r="P504" i="1"/>
  <c r="AF507" i="1"/>
  <c r="AF504" i="1"/>
  <c r="AY189" i="1"/>
  <c r="AY149" i="1"/>
  <c r="AZ187" i="1"/>
  <c r="AZ374" i="1"/>
  <c r="AY372" i="1"/>
  <c r="AQ494" i="1"/>
  <c r="AQ473" i="1"/>
  <c r="AQ478" i="1"/>
  <c r="AO494" i="1"/>
  <c r="AO478" i="1"/>
  <c r="AO473" i="1"/>
  <c r="BB482" i="1"/>
  <c r="BC460" i="1"/>
  <c r="Q422" i="1"/>
  <c r="Q336" i="1"/>
  <c r="Q346" i="1" s="1"/>
  <c r="Q347" i="1" s="1"/>
  <c r="Q319" i="1"/>
  <c r="P425" i="1"/>
  <c r="P426" i="1"/>
  <c r="C555" i="1"/>
  <c r="C565" i="1"/>
  <c r="C491" i="1"/>
  <c r="C467" i="1"/>
  <c r="C450" i="1"/>
  <c r="C352" i="1"/>
  <c r="C366" i="1"/>
  <c r="C387" i="1" s="1"/>
  <c r="AD95" i="1"/>
  <c r="AD39" i="1"/>
  <c r="AD41" i="1" s="1"/>
  <c r="AT507" i="1"/>
  <c r="AT504" i="1"/>
  <c r="AA95" i="1"/>
  <c r="AA39" i="1"/>
  <c r="AA41" i="1" s="1"/>
  <c r="AY141" i="1"/>
  <c r="AX140" i="1"/>
  <c r="AM502" i="1"/>
  <c r="AM503" i="1" s="1"/>
  <c r="AM398" i="1"/>
  <c r="AM111" i="1"/>
  <c r="AM37" i="1"/>
  <c r="T507" i="1"/>
  <c r="T504" i="1"/>
  <c r="AO444" i="1"/>
  <c r="AO156" i="1"/>
  <c r="AO62" i="1" s="1"/>
  <c r="AO443" i="1"/>
  <c r="AJ409" i="1"/>
  <c r="AJ407" i="1"/>
  <c r="AT426" i="1"/>
  <c r="AT425" i="1"/>
  <c r="AO283" i="1"/>
  <c r="AQ394" i="1"/>
  <c r="AS456" i="1"/>
  <c r="AQ39" i="1"/>
  <c r="AQ41" i="1" s="1"/>
  <c r="AQ95" i="1"/>
  <c r="AB507" i="1"/>
  <c r="AB504" i="1"/>
  <c r="AY317" i="1"/>
  <c r="AZ226" i="1"/>
  <c r="AY228" i="1"/>
  <c r="AY68" i="1" s="1"/>
  <c r="AX332" i="1"/>
  <c r="AR494" i="1"/>
  <c r="AP494" i="1"/>
  <c r="AP478" i="1"/>
  <c r="AP473" i="1"/>
  <c r="Q39" i="1"/>
  <c r="Q41" i="1" s="1"/>
  <c r="Q95" i="1"/>
  <c r="AH39" i="1"/>
  <c r="AH41" i="1" s="1"/>
  <c r="AH95" i="1"/>
  <c r="AV491" i="1"/>
  <c r="AW469" i="1"/>
  <c r="U39" i="1"/>
  <c r="U41" i="1" s="1"/>
  <c r="U95" i="1"/>
  <c r="AX206" i="1"/>
  <c r="AX191" i="1"/>
  <c r="BF516" i="1"/>
  <c r="O95" i="1"/>
  <c r="O39" i="1"/>
  <c r="O41" i="1" s="1"/>
  <c r="AY488" i="1"/>
  <c r="AZ466" i="1"/>
  <c r="P163" i="1"/>
  <c r="P255" i="1"/>
  <c r="P249" i="1"/>
  <c r="P71" i="1" s="1"/>
  <c r="Q507" i="1"/>
  <c r="Q504" i="1"/>
  <c r="AK95" i="1"/>
  <c r="AK39" i="1"/>
  <c r="AK41" i="1" s="1"/>
  <c r="R95" i="1"/>
  <c r="R39" i="1"/>
  <c r="R41" i="1" s="1"/>
  <c r="AL95" i="1"/>
  <c r="AL39" i="1"/>
  <c r="AL41" i="1" s="1"/>
  <c r="AY35" i="1"/>
  <c r="AX118" i="1"/>
  <c r="AU258" i="1"/>
  <c r="X507" i="1"/>
  <c r="X504" i="1"/>
  <c r="AI409" i="1"/>
  <c r="AI407" i="1"/>
  <c r="AW341" i="1"/>
  <c r="AW578" i="1" s="1"/>
  <c r="AX54" i="1"/>
  <c r="V246" i="1"/>
  <c r="V74" i="1" s="1"/>
  <c r="V317" i="1"/>
  <c r="W244" i="1"/>
  <c r="V444" i="1"/>
  <c r="V443" i="1"/>
  <c r="AX487" i="1"/>
  <c r="AY465" i="1"/>
  <c r="BE516" i="1"/>
  <c r="AE394" i="1"/>
  <c r="AS507" i="1"/>
  <c r="AS504" i="1"/>
  <c r="V504" i="1"/>
  <c r="V507" i="1"/>
  <c r="AE507" i="1"/>
  <c r="AE504" i="1"/>
  <c r="AP409" i="1"/>
  <c r="AP407" i="1"/>
  <c r="AF39" i="1"/>
  <c r="AF41" i="1" s="1"/>
  <c r="AF95" i="1"/>
  <c r="AT336" i="1"/>
  <c r="AT346" i="1" s="1"/>
  <c r="AT347" i="1" s="1"/>
  <c r="AF394" i="1"/>
  <c r="AY483" i="1"/>
  <c r="AZ461" i="1"/>
  <c r="AG502" i="1"/>
  <c r="AG503" i="1" s="1"/>
  <c r="AG398" i="1"/>
  <c r="AG111" i="1"/>
  <c r="AG37" i="1"/>
  <c r="AI394" i="1"/>
  <c r="BA245" i="1"/>
  <c r="BB70" i="1"/>
  <c r="AW489" i="1"/>
  <c r="AX467" i="1"/>
  <c r="C532" i="1"/>
  <c r="C522" i="1"/>
  <c r="C489" i="1"/>
  <c r="C441" i="1"/>
  <c r="C461" i="1"/>
  <c r="AW157" i="1"/>
  <c r="T39" i="1"/>
  <c r="T41" i="1" s="1"/>
  <c r="T95" i="1"/>
  <c r="AJ502" i="1"/>
  <c r="AJ503" i="1" s="1"/>
  <c r="AJ398" i="1"/>
  <c r="AJ111" i="1"/>
  <c r="AJ37" i="1"/>
  <c r="AQ444" i="1"/>
  <c r="AQ156" i="1"/>
  <c r="AQ62" i="1" s="1"/>
  <c r="AQ443" i="1"/>
  <c r="AV300" i="1"/>
  <c r="AW299" i="1"/>
  <c r="AJ429" i="1"/>
  <c r="AK359" i="1"/>
  <c r="AJ358" i="1"/>
  <c r="AJ428" i="1" s="1"/>
  <c r="AT500" i="1"/>
  <c r="AT506" i="1" s="1"/>
  <c r="AT448" i="1"/>
  <c r="AT450" i="1" s="1"/>
  <c r="AT456" i="1" s="1"/>
  <c r="AT417" i="1"/>
  <c r="AT357" i="1"/>
  <c r="AW484" i="1"/>
  <c r="AX462" i="1"/>
  <c r="O507" i="1"/>
  <c r="O504" i="1"/>
  <c r="AB39" i="1"/>
  <c r="AB41" i="1" s="1"/>
  <c r="AB95" i="1"/>
  <c r="O212" i="1"/>
  <c r="AD422" i="1"/>
  <c r="AD399" i="1"/>
  <c r="AD336" i="1"/>
  <c r="AD346" i="1" s="1"/>
  <c r="AD347" i="1" s="1"/>
  <c r="AD319" i="1"/>
  <c r="AD397" i="1"/>
  <c r="AZ356" i="1"/>
  <c r="AY332" i="1"/>
  <c r="AN478" i="1"/>
  <c r="AN494" i="1"/>
  <c r="AN473" i="1"/>
  <c r="R507" i="1"/>
  <c r="R504" i="1"/>
  <c r="W507" i="1"/>
  <c r="W504" i="1"/>
  <c r="AC502" i="1"/>
  <c r="AC503" i="1" s="1"/>
  <c r="AC398" i="1"/>
  <c r="AC111" i="1"/>
  <c r="AC37" i="1"/>
  <c r="AU174" i="1"/>
  <c r="AC394" i="1"/>
  <c r="S507" i="1"/>
  <c r="S504" i="1"/>
  <c r="AD507" i="1"/>
  <c r="AD504" i="1"/>
  <c r="AR39" i="1"/>
  <c r="AR41" i="1" s="1"/>
  <c r="AR95" i="1"/>
  <c r="Z422" i="1"/>
  <c r="Z399" i="1"/>
  <c r="Z336" i="1"/>
  <c r="Z346" i="1" s="1"/>
  <c r="Z347" i="1" s="1"/>
  <c r="Z319" i="1"/>
  <c r="Z397" i="1"/>
  <c r="P231" i="1"/>
  <c r="P237" i="1"/>
  <c r="Z504" i="1"/>
  <c r="Z507" i="1"/>
  <c r="AH507" i="1"/>
  <c r="AH504" i="1"/>
  <c r="X39" i="1"/>
  <c r="X41" i="1" s="1"/>
  <c r="X95" i="1"/>
  <c r="AY90" i="1"/>
  <c r="AI502" i="1"/>
  <c r="AI503" i="1" s="1"/>
  <c r="AI398" i="1"/>
  <c r="AI111" i="1"/>
  <c r="AI37" i="1"/>
  <c r="AN502" i="1"/>
  <c r="AN503" i="1" s="1"/>
  <c r="AN398" i="1"/>
  <c r="AN111" i="1"/>
  <c r="AN37" i="1"/>
  <c r="AR429" i="1"/>
  <c r="AS359" i="1"/>
  <c r="AR358" i="1"/>
  <c r="AR428" i="1" s="1"/>
  <c r="AY380" i="1"/>
  <c r="AX481" i="1"/>
  <c r="AY459" i="1"/>
  <c r="AS494" i="1"/>
  <c r="AS478" i="1"/>
  <c r="AS473" i="1"/>
  <c r="AY482" i="1"/>
  <c r="AX482" i="1"/>
  <c r="AL494" i="1"/>
  <c r="AL478" i="1"/>
  <c r="AL473" i="1"/>
  <c r="R5" i="1"/>
  <c r="R6" i="1"/>
  <c r="S4" i="1"/>
  <c r="C560" i="1"/>
  <c r="C541" i="1"/>
  <c r="C567" i="1"/>
  <c r="C551" i="1"/>
  <c r="C577" i="1"/>
  <c r="C524" i="1"/>
  <c r="C528" i="1" s="1"/>
  <c r="C542" i="1"/>
  <c r="C549" i="1"/>
  <c r="C521" i="1"/>
  <c r="C561" i="1"/>
  <c r="C494" i="1"/>
  <c r="C497" i="1"/>
  <c r="C484" i="1"/>
  <c r="C493" i="1"/>
  <c r="C483" i="1"/>
  <c r="C462" i="1"/>
  <c r="C472" i="1"/>
  <c r="C455" i="1"/>
  <c r="C464" i="1"/>
  <c r="C478" i="1"/>
  <c r="C453" i="1"/>
  <c r="C435" i="1"/>
  <c r="C368" i="1"/>
  <c r="C377" i="1"/>
  <c r="C379" i="1"/>
  <c r="C359" i="1"/>
  <c r="C358" i="1"/>
  <c r="C354" i="1"/>
  <c r="C569" i="1"/>
  <c r="C477" i="1"/>
  <c r="C470" i="1"/>
  <c r="C360" i="1"/>
  <c r="C355" i="1"/>
  <c r="C556" i="1"/>
  <c r="C547" i="1"/>
  <c r="C570" i="1"/>
  <c r="C543" i="1"/>
  <c r="C544" i="1" s="1"/>
  <c r="C490" i="1"/>
  <c r="C474" i="1"/>
  <c r="C454" i="1"/>
  <c r="C449" i="1"/>
  <c r="C444" i="1"/>
  <c r="C373" i="1"/>
  <c r="C374" i="1"/>
  <c r="C572" i="1"/>
  <c r="C533" i="1"/>
  <c r="C563" i="1"/>
  <c r="C566" i="1"/>
  <c r="C534" i="1"/>
  <c r="C539" i="1"/>
  <c r="C492" i="1"/>
  <c r="C486" i="1"/>
  <c r="C468" i="1"/>
  <c r="C460" i="1"/>
  <c r="C380" i="1"/>
  <c r="C375" i="1"/>
  <c r="C378" i="1"/>
  <c r="U507" i="1"/>
  <c r="U504" i="1"/>
  <c r="AS95" i="1"/>
  <c r="AS39" i="1"/>
  <c r="AS41" i="1" s="1"/>
  <c r="V95" i="1"/>
  <c r="V39" i="1"/>
  <c r="V41" i="1" s="1"/>
  <c r="AE95" i="1"/>
  <c r="AE39" i="1"/>
  <c r="AE41" i="1" s="1"/>
  <c r="P39" i="1"/>
  <c r="P41" i="1" s="1"/>
  <c r="P95" i="1"/>
  <c r="AX158" i="1"/>
  <c r="AX148" i="1"/>
  <c r="AX362" i="1"/>
  <c r="AW333" i="1"/>
  <c r="AG407" i="1"/>
  <c r="AG409" i="1"/>
  <c r="AZ518" i="1"/>
  <c r="AZ246" i="1"/>
  <c r="AZ74" i="1" s="1"/>
  <c r="R422" i="1"/>
  <c r="R336" i="1"/>
  <c r="R346" i="1" s="1"/>
  <c r="R347" i="1" s="1"/>
  <c r="R319" i="1"/>
  <c r="C548" i="1"/>
  <c r="C550" i="1"/>
  <c r="C525" i="1"/>
  <c r="C481" i="1"/>
  <c r="C459" i="1"/>
  <c r="C442" i="1"/>
  <c r="C367" i="1"/>
  <c r="AT39" i="1"/>
  <c r="AT41" i="1" s="1"/>
  <c r="AT95" i="1"/>
  <c r="AR507" i="1"/>
  <c r="AR504" i="1"/>
  <c r="AM409" i="1"/>
  <c r="AM407" i="1"/>
  <c r="BD199" i="1"/>
  <c r="BE198" i="1"/>
  <c r="AH426" i="1"/>
  <c r="AH425" i="1"/>
  <c r="AU302" i="1"/>
  <c r="AV307" i="1" s="1"/>
  <c r="Y426" i="1"/>
  <c r="Y425" i="1"/>
  <c r="AS404" i="1"/>
  <c r="AS403" i="1"/>
  <c r="AS402" i="1"/>
  <c r="AS363" i="1"/>
  <c r="AS382" i="1" s="1"/>
  <c r="AO394" i="1"/>
  <c r="AJ478" i="1"/>
  <c r="AJ494" i="1"/>
  <c r="AJ473" i="1"/>
  <c r="AW486" i="1"/>
  <c r="AX464" i="1"/>
  <c r="AT494" i="1"/>
  <c r="AT478" i="1"/>
  <c r="AT473" i="1"/>
  <c r="AM494" i="1"/>
  <c r="AM473" i="1"/>
  <c r="AM478" i="1"/>
  <c r="O208" i="1"/>
  <c r="O214" i="1"/>
  <c r="AP422" i="1"/>
  <c r="AP399" i="1"/>
  <c r="AP336" i="1"/>
  <c r="AP346" i="1" s="1"/>
  <c r="AP347" i="1" s="1"/>
  <c r="AP319" i="1"/>
  <c r="AO426" i="1"/>
  <c r="AO425" i="1"/>
  <c r="AM394" i="1"/>
  <c r="AL394" i="1"/>
  <c r="C564" i="1"/>
  <c r="C501" i="1" l="1"/>
  <c r="AY142" i="1"/>
  <c r="AX159" i="1"/>
  <c r="AW78" i="1"/>
  <c r="AW265" i="1"/>
  <c r="AW266" i="1" s="1"/>
  <c r="C536" i="1"/>
  <c r="AW109" i="1"/>
  <c r="AW82" i="1"/>
  <c r="AX27" i="1"/>
  <c r="AY16" i="1"/>
  <c r="AX103" i="1"/>
  <c r="AW145" i="1"/>
  <c r="AV161" i="1"/>
  <c r="AV139" i="1"/>
  <c r="AV156" i="1" s="1"/>
  <c r="AV62" i="1" s="1"/>
  <c r="BJ18" i="1"/>
  <c r="BJ19" i="1" s="1"/>
  <c r="AX26" i="1"/>
  <c r="AX263" i="1"/>
  <c r="AX264" i="1" s="1"/>
  <c r="AY15" i="1"/>
  <c r="AE508" i="1"/>
  <c r="AE439" i="1"/>
  <c r="AE51" i="1"/>
  <c r="AE1" i="1" s="1"/>
  <c r="AE49" i="1"/>
  <c r="AE112" i="1"/>
  <c r="AY481" i="1"/>
  <c r="AZ459" i="1"/>
  <c r="AN95" i="1"/>
  <c r="AN39" i="1"/>
  <c r="AN41" i="1" s="1"/>
  <c r="AZ90" i="1"/>
  <c r="AJ507" i="1"/>
  <c r="AJ504" i="1"/>
  <c r="AM95" i="1"/>
  <c r="AM39" i="1"/>
  <c r="AM41" i="1" s="1"/>
  <c r="AY206" i="1"/>
  <c r="AY191" i="1"/>
  <c r="AP504" i="1"/>
  <c r="AP507" i="1"/>
  <c r="O213" i="1"/>
  <c r="AV293" i="1"/>
  <c r="AV294" i="1" s="1"/>
  <c r="BE199" i="1"/>
  <c r="BF198" i="1"/>
  <c r="AZ380" i="1"/>
  <c r="AN507" i="1"/>
  <c r="AN504" i="1"/>
  <c r="AI507" i="1"/>
  <c r="AI504" i="1"/>
  <c r="X508" i="1"/>
  <c r="X439" i="1"/>
  <c r="X51" i="1"/>
  <c r="X1" i="1" s="1"/>
  <c r="X49" i="1"/>
  <c r="X112" i="1"/>
  <c r="Z426" i="1"/>
  <c r="Z425" i="1"/>
  <c r="C388" i="1"/>
  <c r="C386" i="1"/>
  <c r="C389" i="1" s="1"/>
  <c r="AC39" i="1"/>
  <c r="AC41" i="1" s="1"/>
  <c r="AC95" i="1"/>
  <c r="O221" i="1"/>
  <c r="AT404" i="1"/>
  <c r="AT403" i="1"/>
  <c r="AT402" i="1"/>
  <c r="AT363" i="1"/>
  <c r="AT382" i="1" s="1"/>
  <c r="AW300" i="1"/>
  <c r="AX299" i="1"/>
  <c r="AG507" i="1"/>
  <c r="AG504" i="1"/>
  <c r="AF508" i="1"/>
  <c r="AF439" i="1"/>
  <c r="AF51" i="1"/>
  <c r="AF1" i="1" s="1"/>
  <c r="AF49" i="1"/>
  <c r="AF112" i="1"/>
  <c r="AZ35" i="1"/>
  <c r="AY118" i="1"/>
  <c r="R508" i="1"/>
  <c r="R439" i="1"/>
  <c r="R51" i="1"/>
  <c r="R1" i="1" s="1"/>
  <c r="R49" i="1"/>
  <c r="R112" i="1"/>
  <c r="P256" i="1"/>
  <c r="P254" i="1"/>
  <c r="U508" i="1"/>
  <c r="U439" i="1"/>
  <c r="U112" i="1"/>
  <c r="U51" i="1"/>
  <c r="U1" i="1" s="1"/>
  <c r="U49" i="1"/>
  <c r="Q508" i="1"/>
  <c r="Q439" i="1"/>
  <c r="Q112" i="1"/>
  <c r="Q51" i="1"/>
  <c r="Q1" i="1" s="1"/>
  <c r="Q49" i="1"/>
  <c r="BA226" i="1"/>
  <c r="AZ317" i="1"/>
  <c r="AZ228" i="1"/>
  <c r="AZ68" i="1" s="1"/>
  <c r="AM507" i="1"/>
  <c r="AM504" i="1"/>
  <c r="AD508" i="1"/>
  <c r="AD439" i="1"/>
  <c r="AD51" i="1"/>
  <c r="AD1" i="1" s="1"/>
  <c r="AD49" i="1"/>
  <c r="AD112" i="1"/>
  <c r="AY158" i="1"/>
  <c r="AY148" i="1"/>
  <c r="Q237" i="1"/>
  <c r="Q231" i="1"/>
  <c r="W508" i="1"/>
  <c r="W439" i="1"/>
  <c r="W51" i="1"/>
  <c r="W1" i="1" s="1"/>
  <c r="W49" i="1"/>
  <c r="W112" i="1"/>
  <c r="P209" i="1"/>
  <c r="P204" i="1"/>
  <c r="AZ368" i="1"/>
  <c r="AZ332" i="1" s="1"/>
  <c r="AP426" i="1"/>
  <c r="AP425" i="1"/>
  <c r="P508" i="1"/>
  <c r="P439" i="1"/>
  <c r="P51" i="1"/>
  <c r="P1" i="1" s="1"/>
  <c r="P49" i="1"/>
  <c r="P112" i="1"/>
  <c r="AI95" i="1"/>
  <c r="AI39" i="1"/>
  <c r="AI41" i="1" s="1"/>
  <c r="P238" i="1"/>
  <c r="P236" i="1"/>
  <c r="AX489" i="1"/>
  <c r="AY467" i="1"/>
  <c r="AG39" i="1"/>
  <c r="AG41" i="1" s="1"/>
  <c r="AG95" i="1"/>
  <c r="AW491" i="1"/>
  <c r="AX469" i="1"/>
  <c r="AW470" i="1"/>
  <c r="BA374" i="1"/>
  <c r="H6" i="1"/>
  <c r="H193" i="1" s="1"/>
  <c r="I4" i="1"/>
  <c r="H5" i="1"/>
  <c r="C357" i="1"/>
  <c r="C2" i="1"/>
  <c r="BA94" i="1"/>
  <c r="AZ371" i="1"/>
  <c r="AG429" i="1"/>
  <c r="AG358" i="1"/>
  <c r="AG428" i="1" s="1"/>
  <c r="BD93" i="1"/>
  <c r="BA223" i="1"/>
  <c r="BB221" i="1"/>
  <c r="AX514" i="1"/>
  <c r="AX157" i="1"/>
  <c r="AX147" i="1"/>
  <c r="S6" i="1"/>
  <c r="T4" i="1"/>
  <c r="S5" i="1"/>
  <c r="P232" i="1"/>
  <c r="P66" i="1" s="1"/>
  <c r="P65" i="1"/>
  <c r="AX484" i="1"/>
  <c r="AY462" i="1"/>
  <c r="AK429" i="1"/>
  <c r="AK358" i="1"/>
  <c r="AK428" i="1" s="1"/>
  <c r="AL359" i="1"/>
  <c r="AJ39" i="1"/>
  <c r="AJ41" i="1" s="1"/>
  <c r="AJ95" i="1"/>
  <c r="BB245" i="1"/>
  <c r="BC70" i="1"/>
  <c r="AY487" i="1"/>
  <c r="AZ465" i="1"/>
  <c r="AX341" i="1"/>
  <c r="AX578" i="1" s="1"/>
  <c r="AY54" i="1"/>
  <c r="AL508" i="1"/>
  <c r="AL439" i="1"/>
  <c r="AL51" i="1"/>
  <c r="AL1" i="1" s="1"/>
  <c r="AL49" i="1"/>
  <c r="AL112" i="1"/>
  <c r="AK508" i="1"/>
  <c r="AK439" i="1"/>
  <c r="AK112" i="1"/>
  <c r="AK51" i="1"/>
  <c r="AK1" i="1" s="1"/>
  <c r="AK49" i="1"/>
  <c r="P316" i="1"/>
  <c r="P171" i="1"/>
  <c r="P177" i="1"/>
  <c r="P59" i="1" s="1"/>
  <c r="O508" i="1"/>
  <c r="O439" i="1"/>
  <c r="O51" i="1"/>
  <c r="O1" i="1" s="1"/>
  <c r="O49" i="1"/>
  <c r="O112" i="1"/>
  <c r="AH508" i="1"/>
  <c r="AH439" i="1"/>
  <c r="AH51" i="1"/>
  <c r="AH1" i="1" s="1"/>
  <c r="AH49" i="1"/>
  <c r="AH112" i="1"/>
  <c r="AQ508" i="1"/>
  <c r="AQ439" i="1"/>
  <c r="AQ51" i="1"/>
  <c r="AQ1" i="1" s="1"/>
  <c r="AQ49" i="1"/>
  <c r="AQ112" i="1"/>
  <c r="AZ141" i="1"/>
  <c r="AY140" i="1"/>
  <c r="Q426" i="1"/>
  <c r="Q425" i="1"/>
  <c r="AP95" i="1"/>
  <c r="AP39" i="1"/>
  <c r="AP41" i="1" s="1"/>
  <c r="Q219" i="1"/>
  <c r="Q196" i="1"/>
  <c r="AY485" i="1"/>
  <c r="AZ463" i="1"/>
  <c r="BD188" i="1"/>
  <c r="BC150" i="1"/>
  <c r="AO507" i="1"/>
  <c r="AO504" i="1"/>
  <c r="C500" i="1"/>
  <c r="BA356" i="1"/>
  <c r="AV302" i="1"/>
  <c r="AW307" i="1" s="1"/>
  <c r="AZ483" i="1"/>
  <c r="BA461" i="1"/>
  <c r="Z508" i="1"/>
  <c r="Z439" i="1"/>
  <c r="Z51" i="1"/>
  <c r="Z1" i="1" s="1"/>
  <c r="Z49" i="1"/>
  <c r="Z112" i="1"/>
  <c r="O223" i="1"/>
  <c r="AX486" i="1"/>
  <c r="AY464" i="1"/>
  <c r="AT508" i="1"/>
  <c r="AT439" i="1"/>
  <c r="AT51" i="1"/>
  <c r="AT1" i="1" s="1"/>
  <c r="AT49" i="1"/>
  <c r="AT112" i="1"/>
  <c r="R426" i="1"/>
  <c r="R425" i="1"/>
  <c r="AY362" i="1"/>
  <c r="AX333" i="1"/>
  <c r="V508" i="1"/>
  <c r="V439" i="1"/>
  <c r="V51" i="1"/>
  <c r="V1" i="1" s="1"/>
  <c r="V49" i="1"/>
  <c r="V112" i="1"/>
  <c r="AS508" i="1"/>
  <c r="AS439" i="1"/>
  <c r="AS112" i="1"/>
  <c r="AS51" i="1"/>
  <c r="AS1" i="1" s="1"/>
  <c r="AS49" i="1"/>
  <c r="R247" i="1"/>
  <c r="R229" i="1"/>
  <c r="R166" i="1"/>
  <c r="R165" i="1"/>
  <c r="R164" i="1"/>
  <c r="R193" i="1"/>
  <c r="R406" i="1"/>
  <c r="R408" i="1"/>
  <c r="R410" i="1"/>
  <c r="AS429" i="1"/>
  <c r="AS358" i="1"/>
  <c r="AS428" i="1" s="1"/>
  <c r="AT359" i="1"/>
  <c r="AR508" i="1"/>
  <c r="AR439" i="1"/>
  <c r="AR51" i="1"/>
  <c r="AR1" i="1" s="1"/>
  <c r="AR49" i="1"/>
  <c r="AR112" i="1"/>
  <c r="AC507" i="1"/>
  <c r="AC504" i="1"/>
  <c r="AD426" i="1"/>
  <c r="AD425" i="1"/>
  <c r="AB508" i="1"/>
  <c r="AB439" i="1"/>
  <c r="AB51" i="1"/>
  <c r="AB1" i="1" s="1"/>
  <c r="AB49" i="1"/>
  <c r="AB112" i="1"/>
  <c r="T508" i="1"/>
  <c r="T439" i="1"/>
  <c r="T51" i="1"/>
  <c r="T1" i="1" s="1"/>
  <c r="T49" i="1"/>
  <c r="T112" i="1"/>
  <c r="BA518" i="1"/>
  <c r="BA246" i="1"/>
  <c r="BA74" i="1" s="1"/>
  <c r="W317" i="1"/>
  <c r="W246" i="1"/>
  <c r="W74" i="1" s="1"/>
  <c r="X317" i="1"/>
  <c r="W443" i="1"/>
  <c r="W444" i="1"/>
  <c r="AZ488" i="1"/>
  <c r="BA466" i="1"/>
  <c r="AA508" i="1"/>
  <c r="AA439" i="1"/>
  <c r="AA51" i="1"/>
  <c r="AA1" i="1" s="1"/>
  <c r="AA49" i="1"/>
  <c r="AA112" i="1"/>
  <c r="C369" i="1"/>
  <c r="C381" i="1" s="1"/>
  <c r="BC482" i="1"/>
  <c r="BD460" i="1"/>
  <c r="AZ372" i="1"/>
  <c r="AZ189" i="1"/>
  <c r="AZ149" i="1"/>
  <c r="BA187" i="1"/>
  <c r="S508" i="1"/>
  <c r="S439" i="1"/>
  <c r="S51" i="1"/>
  <c r="S1" i="1" s="1"/>
  <c r="S49" i="1"/>
  <c r="S112" i="1"/>
  <c r="Q163" i="1"/>
  <c r="Q255" i="1"/>
  <c r="Q249" i="1"/>
  <c r="Q71" i="1" s="1"/>
  <c r="AU580" i="1"/>
  <c r="AU375" i="1"/>
  <c r="AV326" i="1"/>
  <c r="AL426" i="1"/>
  <c r="AL425" i="1"/>
  <c r="Y508" i="1"/>
  <c r="Y439" i="1"/>
  <c r="Y112" i="1"/>
  <c r="Y51" i="1"/>
  <c r="Y1" i="1" s="1"/>
  <c r="Y49" i="1"/>
  <c r="AO95" i="1"/>
  <c r="AO39" i="1"/>
  <c r="AO41" i="1" s="1"/>
  <c r="C418" i="1"/>
  <c r="AY263" i="1" l="1"/>
  <c r="AY264" i="1" s="1"/>
  <c r="AY26" i="1"/>
  <c r="AZ15" i="1"/>
  <c r="BJ20" i="1"/>
  <c r="AW161" i="1"/>
  <c r="AX145" i="1"/>
  <c r="AW139" i="1"/>
  <c r="AW156" i="1" s="1"/>
  <c r="AW62" i="1" s="1"/>
  <c r="AZ16" i="1"/>
  <c r="AY27" i="1"/>
  <c r="AY103" i="1"/>
  <c r="AX265" i="1"/>
  <c r="AX266" i="1" s="1"/>
  <c r="AX78" i="1"/>
  <c r="AX109" i="1"/>
  <c r="AX82" i="1"/>
  <c r="AZ142" i="1"/>
  <c r="AY159" i="1"/>
  <c r="Y575" i="1"/>
  <c r="Y509" i="1"/>
  <c r="Y438" i="1"/>
  <c r="Y323" i="1"/>
  <c r="Y327" i="1" s="1"/>
  <c r="Y52" i="1"/>
  <c r="AV375" i="1"/>
  <c r="Q316" i="1"/>
  <c r="Q318" i="1" s="1"/>
  <c r="Q171" i="1"/>
  <c r="Q177" i="1"/>
  <c r="Q59" i="1" s="1"/>
  <c r="AZ206" i="1"/>
  <c r="AZ191" i="1"/>
  <c r="AA575" i="1"/>
  <c r="AA509" i="1"/>
  <c r="AA438" i="1"/>
  <c r="AA323" i="1"/>
  <c r="AA327" i="1" s="1"/>
  <c r="AA52" i="1"/>
  <c r="R411" i="1"/>
  <c r="AZ362" i="1"/>
  <c r="AY333" i="1"/>
  <c r="BE188" i="1"/>
  <c r="BD150" i="1"/>
  <c r="P318" i="1"/>
  <c r="AL575" i="1"/>
  <c r="AL509" i="1"/>
  <c r="AL438" i="1"/>
  <c r="AL323" i="1"/>
  <c r="AL327" i="1" s="1"/>
  <c r="AL52" i="1"/>
  <c r="AY341" i="1"/>
  <c r="AY578" i="1" s="1"/>
  <c r="AZ54" i="1"/>
  <c r="AW492" i="1"/>
  <c r="AW455" i="1"/>
  <c r="AG508" i="1"/>
  <c r="AG439" i="1"/>
  <c r="AG112" i="1"/>
  <c r="AG51" i="1"/>
  <c r="AG1" i="1" s="1"/>
  <c r="AG49" i="1"/>
  <c r="P123" i="1"/>
  <c r="W575" i="1"/>
  <c r="W509" i="1"/>
  <c r="W438" i="1"/>
  <c r="W323" i="1"/>
  <c r="W327" i="1" s="1"/>
  <c r="W52" i="1"/>
  <c r="P88" i="1"/>
  <c r="AY299" i="1"/>
  <c r="AX300" i="1"/>
  <c r="AW293" i="1"/>
  <c r="AW294" i="1" s="1"/>
  <c r="AZ481" i="1"/>
  <c r="BA459" i="1"/>
  <c r="AE575" i="1"/>
  <c r="AE509" i="1"/>
  <c r="AE438" i="1"/>
  <c r="AE323" i="1"/>
  <c r="AE327" i="1" s="1"/>
  <c r="AE52" i="1"/>
  <c r="BA372" i="1"/>
  <c r="BA488" i="1"/>
  <c r="BB466" i="1"/>
  <c r="T575" i="1"/>
  <c r="T509" i="1"/>
  <c r="T438" i="1"/>
  <c r="T323" i="1"/>
  <c r="T327" i="1" s="1"/>
  <c r="T52" i="1"/>
  <c r="R219" i="1"/>
  <c r="R196" i="1"/>
  <c r="R237" i="1"/>
  <c r="R231" i="1"/>
  <c r="AS575" i="1"/>
  <c r="AS509" i="1"/>
  <c r="AS438" i="1"/>
  <c r="AS323" i="1"/>
  <c r="AS327" i="1" s="1"/>
  <c r="AS52" i="1"/>
  <c r="AT575" i="1"/>
  <c r="AT509" i="1"/>
  <c r="AT436" i="1"/>
  <c r="AT438" i="1"/>
  <c r="AT323" i="1"/>
  <c r="AT327" i="1" s="1"/>
  <c r="AT52" i="1"/>
  <c r="AY486" i="1"/>
  <c r="AZ464" i="1"/>
  <c r="AZ485" i="1"/>
  <c r="BA463" i="1"/>
  <c r="AP508" i="1"/>
  <c r="AP439" i="1"/>
  <c r="AP51" i="1"/>
  <c r="AP1" i="1" s="1"/>
  <c r="AP49" i="1"/>
  <c r="AP112" i="1"/>
  <c r="AQ575" i="1"/>
  <c r="AQ509" i="1"/>
  <c r="AQ438" i="1"/>
  <c r="AQ323" i="1"/>
  <c r="AQ327" i="1" s="1"/>
  <c r="AQ52" i="1"/>
  <c r="O575" i="1"/>
  <c r="O509" i="1"/>
  <c r="O438" i="1"/>
  <c r="O323" i="1"/>
  <c r="O52" i="1"/>
  <c r="BC245" i="1"/>
  <c r="BD70" i="1"/>
  <c r="AJ508" i="1"/>
  <c r="AJ439" i="1"/>
  <c r="AJ51" i="1"/>
  <c r="AJ1" i="1" s="1"/>
  <c r="AJ49" i="1"/>
  <c r="AJ112" i="1"/>
  <c r="AY484" i="1"/>
  <c r="AZ462" i="1"/>
  <c r="BA371" i="1"/>
  <c r="BB94" i="1"/>
  <c r="I5" i="1"/>
  <c r="J4" i="1"/>
  <c r="I6" i="1"/>
  <c r="I193" i="1" s="1"/>
  <c r="AX491" i="1"/>
  <c r="AY469" i="1"/>
  <c r="AY489" i="1"/>
  <c r="AZ467" i="1"/>
  <c r="P87" i="1"/>
  <c r="P575" i="1"/>
  <c r="P509" i="1"/>
  <c r="P438" i="1"/>
  <c r="P323" i="1"/>
  <c r="P327" i="1" s="1"/>
  <c r="P52" i="1"/>
  <c r="P212" i="1"/>
  <c r="Q232" i="1"/>
  <c r="Q66" i="1" s="1"/>
  <c r="Q65" i="1"/>
  <c r="AW302" i="1"/>
  <c r="AX307" i="1" s="1"/>
  <c r="C391" i="1"/>
  <c r="C390" i="1"/>
  <c r="O222" i="1"/>
  <c r="AN508" i="1"/>
  <c r="AN439" i="1"/>
  <c r="AN51" i="1"/>
  <c r="AN1" i="1" s="1"/>
  <c r="AN49" i="1"/>
  <c r="AN112" i="1"/>
  <c r="AX470" i="1"/>
  <c r="S575" i="1"/>
  <c r="S509" i="1"/>
  <c r="S438" i="1"/>
  <c r="S323" i="1"/>
  <c r="S327" i="1" s="1"/>
  <c r="S52" i="1"/>
  <c r="BA189" i="1"/>
  <c r="BA149" i="1"/>
  <c r="BB187" i="1"/>
  <c r="AB575" i="1"/>
  <c r="AB509" i="1"/>
  <c r="AB438" i="1"/>
  <c r="AB323" i="1"/>
  <c r="AB327" i="1" s="1"/>
  <c r="AB52" i="1"/>
  <c r="R163" i="1"/>
  <c r="R255" i="1"/>
  <c r="R249" i="1"/>
  <c r="R71" i="1" s="1"/>
  <c r="Z575" i="1"/>
  <c r="Z509" i="1"/>
  <c r="Z438" i="1"/>
  <c r="Z323" i="1"/>
  <c r="Z327" i="1" s="1"/>
  <c r="Z52" i="1"/>
  <c r="BA483" i="1"/>
  <c r="BB461" i="1"/>
  <c r="AH575" i="1"/>
  <c r="AH509" i="1"/>
  <c r="AH438" i="1"/>
  <c r="AH323" i="1"/>
  <c r="AH327" i="1" s="1"/>
  <c r="AH52" i="1"/>
  <c r="AK575" i="1"/>
  <c r="AK509" i="1"/>
  <c r="AK438" i="1"/>
  <c r="AK323" i="1"/>
  <c r="AK327" i="1" s="1"/>
  <c r="AK52" i="1"/>
  <c r="AZ487" i="1"/>
  <c r="BA465" i="1"/>
  <c r="BB518" i="1"/>
  <c r="BB246" i="1"/>
  <c r="BB74" i="1" s="1"/>
  <c r="AL429" i="1"/>
  <c r="AM359" i="1"/>
  <c r="AL358" i="1"/>
  <c r="AL428" i="1" s="1"/>
  <c r="U4" i="1"/>
  <c r="T6" i="1"/>
  <c r="T5" i="1"/>
  <c r="AX58" i="1"/>
  <c r="BE93" i="1"/>
  <c r="AI508" i="1"/>
  <c r="AI439" i="1"/>
  <c r="AI51" i="1"/>
  <c r="AI1" i="1" s="1"/>
  <c r="AI49" i="1"/>
  <c r="AI112" i="1"/>
  <c r="BA368" i="1"/>
  <c r="P208" i="1"/>
  <c r="Q238" i="1"/>
  <c r="Q87" i="1" s="1"/>
  <c r="Q236" i="1"/>
  <c r="Q123" i="1" s="1"/>
  <c r="AY514" i="1"/>
  <c r="AY157" i="1"/>
  <c r="AY147" i="1"/>
  <c r="AD575" i="1"/>
  <c r="AD509" i="1"/>
  <c r="AD438" i="1"/>
  <c r="AD323" i="1"/>
  <c r="AD327" i="1" s="1"/>
  <c r="AD52" i="1"/>
  <c r="BA317" i="1"/>
  <c r="BB226" i="1"/>
  <c r="BA228" i="1"/>
  <c r="BA68" i="1" s="1"/>
  <c r="U575" i="1"/>
  <c r="U509" i="1"/>
  <c r="U438" i="1"/>
  <c r="U323" i="1"/>
  <c r="U327" i="1" s="1"/>
  <c r="U52" i="1"/>
  <c r="R575" i="1"/>
  <c r="R509" i="1"/>
  <c r="R438" i="1"/>
  <c r="R323" i="1"/>
  <c r="R327" i="1" s="1"/>
  <c r="R52" i="1"/>
  <c r="AF575" i="1"/>
  <c r="AF509" i="1"/>
  <c r="AF438" i="1"/>
  <c r="AF323" i="1"/>
  <c r="AF327" i="1" s="1"/>
  <c r="AF52" i="1"/>
  <c r="AC508" i="1"/>
  <c r="AC439" i="1"/>
  <c r="AC112" i="1"/>
  <c r="AC51" i="1"/>
  <c r="AC1" i="1" s="1"/>
  <c r="AC49" i="1"/>
  <c r="X575" i="1"/>
  <c r="X509" i="1"/>
  <c r="X438" i="1"/>
  <c r="X323" i="1"/>
  <c r="X327" i="1" s="1"/>
  <c r="X52" i="1"/>
  <c r="BA380" i="1"/>
  <c r="AO508" i="1"/>
  <c r="AO439" i="1"/>
  <c r="AO112" i="1"/>
  <c r="AO51" i="1"/>
  <c r="AO1" i="1" s="1"/>
  <c r="AO49" i="1"/>
  <c r="AV580" i="1"/>
  <c r="AW326" i="1"/>
  <c r="Q256" i="1"/>
  <c r="Q88" i="1" s="1"/>
  <c r="Q254" i="1"/>
  <c r="AZ148" i="1"/>
  <c r="AZ158" i="1"/>
  <c r="BD482" i="1"/>
  <c r="BE460" i="1"/>
  <c r="AR575" i="1"/>
  <c r="AR509" i="1"/>
  <c r="AR438" i="1"/>
  <c r="AR323" i="1"/>
  <c r="AR327" i="1" s="1"/>
  <c r="AR52" i="1"/>
  <c r="AT429" i="1"/>
  <c r="AU359" i="1"/>
  <c r="AT358" i="1"/>
  <c r="V575" i="1"/>
  <c r="V509" i="1"/>
  <c r="V438" i="1"/>
  <c r="V323" i="1"/>
  <c r="V327" i="1" s="1"/>
  <c r="V52" i="1"/>
  <c r="BB356" i="1"/>
  <c r="BA332" i="1"/>
  <c r="Q204" i="1"/>
  <c r="Q212" i="1" s="1"/>
  <c r="Q221" i="1" s="1"/>
  <c r="Q209" i="1"/>
  <c r="AZ140" i="1"/>
  <c r="BA141" i="1"/>
  <c r="P214" i="1"/>
  <c r="P172" i="1"/>
  <c r="P170" i="1"/>
  <c r="S247" i="1"/>
  <c r="S229" i="1"/>
  <c r="S166" i="1"/>
  <c r="S165" i="1"/>
  <c r="S164" i="1"/>
  <c r="S193" i="1"/>
  <c r="S406" i="1"/>
  <c r="S410" i="1"/>
  <c r="S408" i="1"/>
  <c r="BB223" i="1"/>
  <c r="BC221" i="1"/>
  <c r="C402" i="1"/>
  <c r="C403" i="1"/>
  <c r="C404" i="1"/>
  <c r="C363" i="1"/>
  <c r="C382" i="1" s="1"/>
  <c r="BB374" i="1"/>
  <c r="Q575" i="1"/>
  <c r="Q509" i="1"/>
  <c r="Q438" i="1"/>
  <c r="Q323" i="1"/>
  <c r="Q327" i="1" s="1"/>
  <c r="Q52" i="1"/>
  <c r="P250" i="1"/>
  <c r="P72" i="1" s="1"/>
  <c r="P124" i="1"/>
  <c r="BA35" i="1"/>
  <c r="AZ118" i="1"/>
  <c r="BF199" i="1"/>
  <c r="AM508" i="1"/>
  <c r="AM439" i="1"/>
  <c r="AM51" i="1"/>
  <c r="AM1" i="1" s="1"/>
  <c r="AM49" i="1"/>
  <c r="AM112" i="1"/>
  <c r="BA90" i="1"/>
  <c r="AY470" i="1"/>
  <c r="AY265" i="1" l="1"/>
  <c r="AY266" i="1" s="1"/>
  <c r="AY78" i="1"/>
  <c r="S163" i="1"/>
  <c r="S316" i="1" s="1"/>
  <c r="AY145" i="1"/>
  <c r="AX161" i="1"/>
  <c r="AX139" i="1"/>
  <c r="AX156" i="1" s="1"/>
  <c r="AX62" i="1" s="1"/>
  <c r="BA142" i="1"/>
  <c r="BA140" i="1" s="1"/>
  <c r="AZ159" i="1"/>
  <c r="AY109" i="1"/>
  <c r="AY82" i="1"/>
  <c r="BJ21" i="1"/>
  <c r="AZ27" i="1"/>
  <c r="AZ103" i="1"/>
  <c r="BA16" i="1"/>
  <c r="BA15" i="1"/>
  <c r="AZ263" i="1"/>
  <c r="AZ264" i="1" s="1"/>
  <c r="AZ26" i="1"/>
  <c r="S237" i="1"/>
  <c r="S231" i="1"/>
  <c r="AC575" i="1"/>
  <c r="AC509" i="1"/>
  <c r="AC438" i="1"/>
  <c r="AC323" i="1"/>
  <c r="AC327" i="1" s="1"/>
  <c r="AC52" i="1"/>
  <c r="BA487" i="1"/>
  <c r="BB465" i="1"/>
  <c r="BC94" i="1"/>
  <c r="S171" i="1"/>
  <c r="BB141" i="1"/>
  <c r="AW580" i="1"/>
  <c r="AX326" i="1"/>
  <c r="AY492" i="1"/>
  <c r="AY455" i="1"/>
  <c r="AM575" i="1"/>
  <c r="AM509" i="1"/>
  <c r="AM438" i="1"/>
  <c r="AM323" i="1"/>
  <c r="AM327" i="1" s="1"/>
  <c r="AM52" i="1"/>
  <c r="BC223" i="1"/>
  <c r="BD221" i="1"/>
  <c r="S411" i="1"/>
  <c r="P86" i="1"/>
  <c r="Q208" i="1"/>
  <c r="AU429" i="1"/>
  <c r="BE482" i="1"/>
  <c r="BF460" i="1"/>
  <c r="BF482" i="1" s="1"/>
  <c r="Q250" i="1"/>
  <c r="Q72" i="1" s="1"/>
  <c r="Q124" i="1"/>
  <c r="AO575" i="1"/>
  <c r="AO509" i="1"/>
  <c r="AO438" i="1"/>
  <c r="AO323" i="1"/>
  <c r="AO327" i="1" s="1"/>
  <c r="AO52" i="1"/>
  <c r="BB380" i="1"/>
  <c r="BB368" i="1"/>
  <c r="AM429" i="1"/>
  <c r="AN359" i="1"/>
  <c r="AM358" i="1"/>
  <c r="AM428" i="1" s="1"/>
  <c r="R316" i="1"/>
  <c r="R318" i="1" s="1"/>
  <c r="R171" i="1"/>
  <c r="R177" i="1"/>
  <c r="R59" i="1" s="1"/>
  <c r="BA191" i="1"/>
  <c r="BA206" i="1"/>
  <c r="AX492" i="1"/>
  <c r="AX455" i="1"/>
  <c r="AX293" i="1"/>
  <c r="AX294" i="1" s="1"/>
  <c r="AY491" i="1"/>
  <c r="AZ469" i="1"/>
  <c r="K4" i="1"/>
  <c r="J6" i="1"/>
  <c r="J193" i="1" s="1"/>
  <c r="J5" i="1"/>
  <c r="BB371" i="1"/>
  <c r="BC518" i="1"/>
  <c r="BC246" i="1"/>
  <c r="BC74" i="1" s="1"/>
  <c r="AP575" i="1"/>
  <c r="AP509" i="1"/>
  <c r="AP438" i="1"/>
  <c r="AP323" i="1"/>
  <c r="AP327" i="1" s="1"/>
  <c r="AP52" i="1"/>
  <c r="BA485" i="1"/>
  <c r="BB463" i="1"/>
  <c r="AZ486" i="1"/>
  <c r="BA464" i="1"/>
  <c r="R209" i="1"/>
  <c r="R204" i="1"/>
  <c r="R212" i="1" s="1"/>
  <c r="R221" i="1" s="1"/>
  <c r="BB488" i="1"/>
  <c r="BC466" i="1"/>
  <c r="AY300" i="1"/>
  <c r="AZ299" i="1"/>
  <c r="BE150" i="1"/>
  <c r="BF188" i="1"/>
  <c r="BF150" i="1" s="1"/>
  <c r="Q172" i="1"/>
  <c r="Q86" i="1" s="1"/>
  <c r="Q89" i="1" s="1"/>
  <c r="Q170" i="1"/>
  <c r="Q214" i="1"/>
  <c r="Q223" i="1" s="1"/>
  <c r="S255" i="1"/>
  <c r="S249" i="1"/>
  <c r="S71" i="1" s="1"/>
  <c r="AY58" i="1"/>
  <c r="AI575" i="1"/>
  <c r="AI509" i="1"/>
  <c r="AI438" i="1"/>
  <c r="AI323" i="1"/>
  <c r="AI327" i="1" s="1"/>
  <c r="AI52" i="1"/>
  <c r="U6" i="1"/>
  <c r="U5" i="1"/>
  <c r="V4" i="1"/>
  <c r="BB483" i="1"/>
  <c r="BC461" i="1"/>
  <c r="R256" i="1"/>
  <c r="R88" i="1" s="1"/>
  <c r="R254" i="1"/>
  <c r="BC187" i="1"/>
  <c r="BB189" i="1"/>
  <c r="BB149" i="1"/>
  <c r="AN575" i="1"/>
  <c r="AN509" i="1"/>
  <c r="AN438" i="1"/>
  <c r="AN323" i="1"/>
  <c r="AN327" i="1" s="1"/>
  <c r="AN52" i="1"/>
  <c r="AZ489" i="1"/>
  <c r="BA467" i="1"/>
  <c r="AJ575" i="1"/>
  <c r="AJ509" i="1"/>
  <c r="AJ438" i="1"/>
  <c r="AJ323" i="1"/>
  <c r="AJ327" i="1" s="1"/>
  <c r="AJ52" i="1"/>
  <c r="O327" i="1"/>
  <c r="R232" i="1"/>
  <c r="R66" i="1" s="1"/>
  <c r="R65" i="1"/>
  <c r="BA481" i="1"/>
  <c r="BB459" i="1"/>
  <c r="AZ341" i="1"/>
  <c r="AZ578" i="1" s="1"/>
  <c r="BA54" i="1"/>
  <c r="BB90" i="1"/>
  <c r="S219" i="1"/>
  <c r="S196" i="1"/>
  <c r="P223" i="1"/>
  <c r="BB317" i="1"/>
  <c r="BC226" i="1"/>
  <c r="BB228" i="1"/>
  <c r="BB68" i="1" s="1"/>
  <c r="T247" i="1"/>
  <c r="T229" i="1"/>
  <c r="T193" i="1"/>
  <c r="T166" i="1"/>
  <c r="T165" i="1"/>
  <c r="T164" i="1"/>
  <c r="T406" i="1"/>
  <c r="T410" i="1"/>
  <c r="T408" i="1"/>
  <c r="P221" i="1"/>
  <c r="AG575" i="1"/>
  <c r="AG509" i="1"/>
  <c r="AG438" i="1"/>
  <c r="AG323" i="1"/>
  <c r="AG327" i="1" s="1"/>
  <c r="AG52" i="1"/>
  <c r="AZ333" i="1"/>
  <c r="BA362" i="1"/>
  <c r="BC374" i="1"/>
  <c r="BA118" i="1"/>
  <c r="BB35" i="1"/>
  <c r="P213" i="1"/>
  <c r="P178" i="1"/>
  <c r="P60" i="1" s="1"/>
  <c r="P122" i="1"/>
  <c r="BC356" i="1"/>
  <c r="BB332" i="1"/>
  <c r="AT428" i="1"/>
  <c r="AZ514" i="1"/>
  <c r="AZ147" i="1"/>
  <c r="AZ157" i="1"/>
  <c r="BF93" i="1"/>
  <c r="D559" i="1"/>
  <c r="D489" i="1"/>
  <c r="BA148" i="1"/>
  <c r="BA158" i="1"/>
  <c r="AZ484" i="1"/>
  <c r="BA462" i="1"/>
  <c r="BD245" i="1"/>
  <c r="BE70" i="1"/>
  <c r="R238" i="1"/>
  <c r="R87" i="1" s="1"/>
  <c r="R236" i="1"/>
  <c r="R123" i="1" s="1"/>
  <c r="BB372" i="1"/>
  <c r="AZ470" i="1"/>
  <c r="AX302" i="1"/>
  <c r="AY307" i="1" s="1"/>
  <c r="AW375" i="1"/>
  <c r="D493" i="1" l="1"/>
  <c r="S177" i="1"/>
  <c r="S59" i="1" s="1"/>
  <c r="D539" i="1"/>
  <c r="D560" i="1"/>
  <c r="D449" i="1"/>
  <c r="D463" i="1"/>
  <c r="D376" i="1"/>
  <c r="D521" i="1"/>
  <c r="D561" i="1"/>
  <c r="D355" i="1"/>
  <c r="D478" i="1"/>
  <c r="D461" i="1"/>
  <c r="D483" i="1"/>
  <c r="D570" i="1"/>
  <c r="BA27" i="1"/>
  <c r="BB16" i="1"/>
  <c r="BA103" i="1"/>
  <c r="D361" i="1"/>
  <c r="D486" i="1"/>
  <c r="D472" i="1"/>
  <c r="D460" i="1"/>
  <c r="D572" i="1"/>
  <c r="D356" i="1"/>
  <c r="D551" i="1"/>
  <c r="BB15" i="1"/>
  <c r="BA26" i="1"/>
  <c r="BA263" i="1"/>
  <c r="BA264" i="1" s="1"/>
  <c r="BJ22" i="1"/>
  <c r="AZ145" i="1"/>
  <c r="AY161" i="1"/>
  <c r="AY139" i="1"/>
  <c r="AY156" i="1" s="1"/>
  <c r="AY62" i="1" s="1"/>
  <c r="D482" i="1"/>
  <c r="AZ109" i="1"/>
  <c r="AZ82" i="1"/>
  <c r="BB142" i="1"/>
  <c r="BA159" i="1"/>
  <c r="D375" i="1"/>
  <c r="D443" i="1"/>
  <c r="D564" i="1"/>
  <c r="AZ265" i="1"/>
  <c r="AZ266" i="1" s="1"/>
  <c r="AZ78" i="1"/>
  <c r="BD518" i="1"/>
  <c r="BD246" i="1"/>
  <c r="BD74" i="1" s="1"/>
  <c r="D370" i="1"/>
  <c r="D475" i="1"/>
  <c r="D527" i="1"/>
  <c r="D351" i="1"/>
  <c r="D549" i="1"/>
  <c r="P222" i="1"/>
  <c r="BC90" i="1"/>
  <c r="BB158" i="1"/>
  <c r="BB148" i="1"/>
  <c r="AU477" i="1"/>
  <c r="AU366" i="1" s="1"/>
  <c r="AZ300" i="1"/>
  <c r="BA299" i="1"/>
  <c r="BC488" i="1"/>
  <c r="BD466" i="1"/>
  <c r="BA486" i="1"/>
  <c r="BB464" i="1"/>
  <c r="R172" i="1"/>
  <c r="R86" i="1" s="1"/>
  <c r="R89" i="1" s="1"/>
  <c r="R170" i="1"/>
  <c r="R214" i="1"/>
  <c r="AN429" i="1"/>
  <c r="AO359" i="1"/>
  <c r="AN358" i="1"/>
  <c r="AN428" i="1" s="1"/>
  <c r="D474" i="1"/>
  <c r="D526" i="1"/>
  <c r="D568" i="1"/>
  <c r="D540" i="1"/>
  <c r="D465" i="1"/>
  <c r="D562" i="1"/>
  <c r="D481" i="1"/>
  <c r="P89" i="1"/>
  <c r="BD223" i="1"/>
  <c r="BE221" i="1"/>
  <c r="AX580" i="1"/>
  <c r="AY326" i="1"/>
  <c r="S238" i="1"/>
  <c r="S236" i="1"/>
  <c r="BE245" i="1"/>
  <c r="BF70" i="1"/>
  <c r="BD356" i="1"/>
  <c r="BB362" i="1"/>
  <c r="BA333" i="1"/>
  <c r="T255" i="1"/>
  <c r="T249" i="1"/>
  <c r="T71" i="1" s="1"/>
  <c r="BA489" i="1"/>
  <c r="BB467" i="1"/>
  <c r="R250" i="1"/>
  <c r="R72" i="1" s="1"/>
  <c r="R124" i="1"/>
  <c r="AZ492" i="1"/>
  <c r="AZ455" i="1"/>
  <c r="BA484" i="1"/>
  <c r="BB462" i="1"/>
  <c r="BD374" i="1"/>
  <c r="T411" i="1"/>
  <c r="T219" i="1"/>
  <c r="T196" i="1"/>
  <c r="BC317" i="1"/>
  <c r="BD226" i="1"/>
  <c r="BC228" i="1"/>
  <c r="BC68" i="1" s="1"/>
  <c r="S209" i="1"/>
  <c r="S214" i="1" s="1"/>
  <c r="S205" i="1"/>
  <c r="S204" i="1"/>
  <c r="BB206" i="1"/>
  <c r="BB191" i="1"/>
  <c r="BC483" i="1"/>
  <c r="BD461" i="1"/>
  <c r="V5" i="1"/>
  <c r="V6" i="1"/>
  <c r="W4" i="1"/>
  <c r="D494" i="1"/>
  <c r="D448" i="1"/>
  <c r="D467" i="1"/>
  <c r="D435" i="1"/>
  <c r="D450" i="1"/>
  <c r="D441" i="1"/>
  <c r="D456" i="1"/>
  <c r="D532" i="1"/>
  <c r="D542" i="1"/>
  <c r="D541" i="1"/>
  <c r="D496" i="1"/>
  <c r="D367" i="1"/>
  <c r="D571" i="1"/>
  <c r="D577" i="1"/>
  <c r="D459" i="1"/>
  <c r="D477" i="1"/>
  <c r="D553" i="1"/>
  <c r="D464" i="1"/>
  <c r="D380" i="1"/>
  <c r="D535" i="1"/>
  <c r="D359" i="1"/>
  <c r="D492" i="1"/>
  <c r="D379" i="1"/>
  <c r="D531" i="1"/>
  <c r="D557" i="1"/>
  <c r="D469" i="1"/>
  <c r="D360" i="1"/>
  <c r="D525" i="1"/>
  <c r="D373" i="1"/>
  <c r="D354" i="1"/>
  <c r="D534" i="1"/>
  <c r="D374" i="1"/>
  <c r="D470" i="1"/>
  <c r="D547" i="1"/>
  <c r="D444" i="1"/>
  <c r="D554" i="1"/>
  <c r="D371" i="1"/>
  <c r="D524" i="1"/>
  <c r="D569" i="1"/>
  <c r="D455" i="1"/>
  <c r="D523" i="1"/>
  <c r="D567" i="1"/>
  <c r="D555" i="1"/>
  <c r="D563" i="1"/>
  <c r="D352" i="1"/>
  <c r="D484" i="1"/>
  <c r="D471" i="1"/>
  <c r="D533" i="1"/>
  <c r="D548" i="1"/>
  <c r="D353" i="1"/>
  <c r="D565" i="1"/>
  <c r="D468" i="1"/>
  <c r="D366" i="1"/>
  <c r="D522" i="1"/>
  <c r="D543" i="1"/>
  <c r="D544" i="1" s="1"/>
  <c r="D487" i="1"/>
  <c r="D368" i="1"/>
  <c r="D462" i="1"/>
  <c r="D377" i="1"/>
  <c r="S256" i="1"/>
  <c r="S254" i="1"/>
  <c r="D362" i="1"/>
  <c r="D558" i="1"/>
  <c r="D556" i="1"/>
  <c r="D552" i="1"/>
  <c r="D358" i="1"/>
  <c r="BC368" i="1"/>
  <c r="BC380" i="1"/>
  <c r="S172" i="1"/>
  <c r="S170" i="1"/>
  <c r="BD94" i="1"/>
  <c r="BC35" i="1"/>
  <c r="BB118" i="1"/>
  <c r="BA341" i="1"/>
  <c r="BA578" i="1" s="1"/>
  <c r="BB54" i="1"/>
  <c r="U229" i="1"/>
  <c r="U247" i="1"/>
  <c r="U193" i="1"/>
  <c r="U166" i="1"/>
  <c r="U165" i="1"/>
  <c r="U164" i="1"/>
  <c r="U406" i="1"/>
  <c r="U410" i="1"/>
  <c r="U408" i="1"/>
  <c r="R208" i="1"/>
  <c r="K6" i="1"/>
  <c r="K193" i="1" s="1"/>
  <c r="L4" i="1"/>
  <c r="K5" i="1"/>
  <c r="BB487" i="1"/>
  <c r="BC465" i="1"/>
  <c r="S232" i="1"/>
  <c r="S66" i="1" s="1"/>
  <c r="S65" i="1"/>
  <c r="AX375" i="1"/>
  <c r="AY293" i="1"/>
  <c r="AY294" i="1" s="1"/>
  <c r="BC372" i="1"/>
  <c r="BA514" i="1"/>
  <c r="BA147" i="1"/>
  <c r="BA157" i="1"/>
  <c r="D497" i="1"/>
  <c r="D378" i="1"/>
  <c r="D485" i="1"/>
  <c r="D454" i="1"/>
  <c r="D566" i="1"/>
  <c r="AZ58" i="1"/>
  <c r="P125" i="1"/>
  <c r="T163" i="1"/>
  <c r="T231" i="1"/>
  <c r="T237" i="1"/>
  <c r="BB481" i="1"/>
  <c r="BC459" i="1"/>
  <c r="BC189" i="1"/>
  <c r="BC149" i="1"/>
  <c r="BD187" i="1"/>
  <c r="Q213" i="1"/>
  <c r="Q222" i="1" s="1"/>
  <c r="Q122" i="1"/>
  <c r="Q125" i="1" s="1"/>
  <c r="Q178" i="1"/>
  <c r="Q60" i="1" s="1"/>
  <c r="BB485" i="1"/>
  <c r="BC463" i="1"/>
  <c r="BC371" i="1"/>
  <c r="AZ491" i="1"/>
  <c r="BA469" i="1"/>
  <c r="D372" i="1"/>
  <c r="D453" i="1"/>
  <c r="D550" i="1"/>
  <c r="D442" i="1"/>
  <c r="D491" i="1"/>
  <c r="D490" i="1"/>
  <c r="BC141" i="1"/>
  <c r="BB140" i="1"/>
  <c r="S318" i="1"/>
  <c r="U411" i="1" l="1"/>
  <c r="D418" i="1"/>
  <c r="BB27" i="1"/>
  <c r="BB103" i="1"/>
  <c r="BC16" i="1"/>
  <c r="BA145" i="1"/>
  <c r="AZ161" i="1"/>
  <c r="AZ139" i="1"/>
  <c r="AZ156" i="1" s="1"/>
  <c r="AZ62" i="1" s="1"/>
  <c r="BA265" i="1"/>
  <c r="BA266" i="1" s="1"/>
  <c r="BA78" i="1"/>
  <c r="BA109" i="1"/>
  <c r="BA82" i="1"/>
  <c r="BC15" i="1"/>
  <c r="BB26" i="1"/>
  <c r="BB263" i="1"/>
  <c r="BB264" i="1" s="1"/>
  <c r="BC142" i="1"/>
  <c r="BB159" i="1"/>
  <c r="BJ23" i="1"/>
  <c r="BD371" i="1"/>
  <c r="BC481" i="1"/>
  <c r="BD459" i="1"/>
  <c r="T232" i="1"/>
  <c r="T66" i="1" s="1"/>
  <c r="T65" i="1"/>
  <c r="BD372" i="1"/>
  <c r="L5" i="1"/>
  <c r="L6" i="1"/>
  <c r="L193" i="1" s="1"/>
  <c r="M4" i="1"/>
  <c r="U237" i="1"/>
  <c r="U231" i="1"/>
  <c r="S88" i="1"/>
  <c r="D369" i="1"/>
  <c r="D381" i="1" s="1"/>
  <c r="W6" i="1"/>
  <c r="X4" i="1"/>
  <c r="W5" i="1"/>
  <c r="S212" i="1"/>
  <c r="BE226" i="1"/>
  <c r="BD317" i="1"/>
  <c r="BD228" i="1"/>
  <c r="BD68" i="1" s="1"/>
  <c r="BB489" i="1"/>
  <c r="BC467" i="1"/>
  <c r="BE356" i="1"/>
  <c r="BE518" i="1"/>
  <c r="BE246" i="1"/>
  <c r="BE74" i="1" s="1"/>
  <c r="AY580" i="1"/>
  <c r="AZ326" i="1"/>
  <c r="D387" i="1"/>
  <c r="BC485" i="1"/>
  <c r="BD463" i="1"/>
  <c r="BD189" i="1"/>
  <c r="BD149" i="1"/>
  <c r="BE187" i="1"/>
  <c r="T316" i="1"/>
  <c r="T171" i="1"/>
  <c r="T177" i="1"/>
  <c r="T59" i="1" s="1"/>
  <c r="BB341" i="1"/>
  <c r="BB578" i="1" s="1"/>
  <c r="BC54" i="1"/>
  <c r="BD35" i="1"/>
  <c r="BC118" i="1"/>
  <c r="S178" i="1"/>
  <c r="S60" i="1" s="1"/>
  <c r="S122" i="1"/>
  <c r="BD368" i="1"/>
  <c r="BD332" i="1" s="1"/>
  <c r="V247" i="1"/>
  <c r="V229" i="1"/>
  <c r="V166" i="1"/>
  <c r="V165" i="1"/>
  <c r="V164" i="1"/>
  <c r="V193" i="1"/>
  <c r="V406" i="1"/>
  <c r="V410" i="1"/>
  <c r="V408" i="1"/>
  <c r="BE374" i="1"/>
  <c r="BC362" i="1"/>
  <c r="BB333" i="1"/>
  <c r="BB486" i="1"/>
  <c r="BC464" i="1"/>
  <c r="BB299" i="1"/>
  <c r="BA300" i="1"/>
  <c r="BB514" i="1"/>
  <c r="BB157" i="1"/>
  <c r="BB147" i="1"/>
  <c r="D357" i="1"/>
  <c r="D2" i="1"/>
  <c r="BC158" i="1"/>
  <c r="BC148" i="1"/>
  <c r="BA58" i="1"/>
  <c r="BC487" i="1"/>
  <c r="BD465" i="1"/>
  <c r="U196" i="1"/>
  <c r="U219" i="1"/>
  <c r="S86" i="1"/>
  <c r="AY302" i="1"/>
  <c r="AZ307" i="1" s="1"/>
  <c r="D500" i="1"/>
  <c r="D501" i="1"/>
  <c r="S208" i="1"/>
  <c r="S213" i="1" s="1"/>
  <c r="T209" i="1"/>
  <c r="T205" i="1"/>
  <c r="T204" i="1"/>
  <c r="T212" i="1" s="1"/>
  <c r="T221" i="1" s="1"/>
  <c r="S123" i="1"/>
  <c r="R223" i="1"/>
  <c r="BD90" i="1"/>
  <c r="D528" i="1"/>
  <c r="BD141" i="1"/>
  <c r="BC140" i="1"/>
  <c r="BA491" i="1"/>
  <c r="BB469" i="1"/>
  <c r="BA470" i="1"/>
  <c r="BC191" i="1"/>
  <c r="BC206" i="1"/>
  <c r="T238" i="1"/>
  <c r="T87" i="1" s="1"/>
  <c r="T236" i="1"/>
  <c r="T123" i="1" s="1"/>
  <c r="AY375" i="1"/>
  <c r="U163" i="1"/>
  <c r="U255" i="1"/>
  <c r="U249" i="1"/>
  <c r="U71" i="1" s="1"/>
  <c r="BE94" i="1"/>
  <c r="S223" i="1"/>
  <c r="BD380" i="1"/>
  <c r="S250" i="1"/>
  <c r="S72" i="1" s="1"/>
  <c r="S124" i="1"/>
  <c r="D536" i="1"/>
  <c r="BE483" i="1"/>
  <c r="BD483" i="1"/>
  <c r="BB484" i="1"/>
  <c r="BC462" i="1"/>
  <c r="T256" i="1"/>
  <c r="T88" i="1" s="1"/>
  <c r="T254" i="1"/>
  <c r="BC332" i="1"/>
  <c r="BF245" i="1"/>
  <c r="S87" i="1"/>
  <c r="BE223" i="1"/>
  <c r="BF221" i="1"/>
  <c r="BF223" i="1" s="1"/>
  <c r="AO429" i="1"/>
  <c r="AO358" i="1"/>
  <c r="AO428" i="1" s="1"/>
  <c r="R178" i="1"/>
  <c r="R60" i="1" s="1"/>
  <c r="R213" i="1"/>
  <c r="R222" i="1" s="1"/>
  <c r="R122" i="1"/>
  <c r="R125" i="1" s="1"/>
  <c r="BD488" i="1"/>
  <c r="BE466" i="1"/>
  <c r="AV477" i="1"/>
  <c r="AV366" i="1" s="1"/>
  <c r="V163" i="1" l="1"/>
  <c r="V316" i="1" s="1"/>
  <c r="V318" i="1" s="1"/>
  <c r="BD142" i="1"/>
  <c r="BC159" i="1"/>
  <c r="BJ24" i="1"/>
  <c r="BB82" i="1"/>
  <c r="BB109" i="1"/>
  <c r="BB78" i="1"/>
  <c r="BB265" i="1"/>
  <c r="BB266" i="1" s="1"/>
  <c r="BB145" i="1"/>
  <c r="BA161" i="1"/>
  <c r="BA139" i="1"/>
  <c r="BA156" i="1" s="1"/>
  <c r="BA62" i="1" s="1"/>
  <c r="BC26" i="1"/>
  <c r="BD15" i="1"/>
  <c r="BC263" i="1"/>
  <c r="BC264" i="1" s="1"/>
  <c r="BC27" i="1"/>
  <c r="BC103" i="1"/>
  <c r="BD16" i="1"/>
  <c r="BE380" i="1"/>
  <c r="V255" i="1"/>
  <c r="V249" i="1"/>
  <c r="V71" i="1" s="1"/>
  <c r="BD485" i="1"/>
  <c r="BE463" i="1"/>
  <c r="D386" i="1"/>
  <c r="D389" i="1" s="1"/>
  <c r="D388" i="1"/>
  <c r="M5" i="1"/>
  <c r="M6" i="1"/>
  <c r="M193" i="1" s="1"/>
  <c r="BF94" i="1"/>
  <c r="BD140" i="1"/>
  <c r="BE141" i="1"/>
  <c r="BF518" i="1"/>
  <c r="BF246" i="1"/>
  <c r="BF74" i="1" s="1"/>
  <c r="BE90" i="1"/>
  <c r="T208" i="1"/>
  <c r="T207" i="1" s="1"/>
  <c r="AZ293" i="1"/>
  <c r="D403" i="1"/>
  <c r="D404" i="1"/>
  <c r="D402" i="1"/>
  <c r="D363" i="1"/>
  <c r="D382" i="1" s="1"/>
  <c r="V219" i="1"/>
  <c r="V196" i="1"/>
  <c r="V237" i="1"/>
  <c r="V231" i="1"/>
  <c r="BE368" i="1"/>
  <c r="BE332" i="1" s="1"/>
  <c r="T214" i="1"/>
  <c r="T172" i="1"/>
  <c r="T170" i="1"/>
  <c r="BD206" i="1"/>
  <c r="BD191" i="1"/>
  <c r="AZ580" i="1"/>
  <c r="BA326" i="1"/>
  <c r="BC489" i="1"/>
  <c r="BD467" i="1"/>
  <c r="BE317" i="1"/>
  <c r="BF226" i="1"/>
  <c r="BE228" i="1"/>
  <c r="BE68" i="1" s="1"/>
  <c r="U236" i="1"/>
  <c r="U123" i="1" s="1"/>
  <c r="U238" i="1"/>
  <c r="U87" i="1" s="1"/>
  <c r="BD481" i="1"/>
  <c r="BE459" i="1"/>
  <c r="BE488" i="1"/>
  <c r="BF466" i="1"/>
  <c r="BF488" i="1" s="1"/>
  <c r="BC484" i="1"/>
  <c r="BD462" i="1"/>
  <c r="U256" i="1"/>
  <c r="U254" i="1"/>
  <c r="BD487" i="1"/>
  <c r="BE465" i="1"/>
  <c r="V171" i="1"/>
  <c r="BE35" i="1"/>
  <c r="BD118" i="1"/>
  <c r="T318" i="1"/>
  <c r="T250" i="1"/>
  <c r="T72" i="1" s="1"/>
  <c r="T124" i="1"/>
  <c r="BA492" i="1"/>
  <c r="BA455" i="1"/>
  <c r="S207" i="1"/>
  <c r="S89" i="1"/>
  <c r="BC514" i="1"/>
  <c r="BC157" i="1"/>
  <c r="BC147" i="1"/>
  <c r="BB58" i="1"/>
  <c r="BC299" i="1"/>
  <c r="BB300" i="1"/>
  <c r="BC341" i="1"/>
  <c r="BC578" i="1" s="1"/>
  <c r="BD54" i="1"/>
  <c r="BE189" i="1"/>
  <c r="BE149" i="1"/>
  <c r="BF187" i="1"/>
  <c r="BF356" i="1"/>
  <c r="S221" i="1"/>
  <c r="W247" i="1"/>
  <c r="W229" i="1"/>
  <c r="W166" i="1"/>
  <c r="W165" i="1"/>
  <c r="W164" i="1"/>
  <c r="W193" i="1"/>
  <c r="W406" i="1"/>
  <c r="W408" i="1"/>
  <c r="W410" i="1"/>
  <c r="BE371" i="1"/>
  <c r="S222" i="1"/>
  <c r="Y4" i="1"/>
  <c r="X5" i="1"/>
  <c r="X6" i="1"/>
  <c r="U316" i="1"/>
  <c r="U318" i="1" s="1"/>
  <c r="U171" i="1"/>
  <c r="U177" i="1"/>
  <c r="U59" i="1" s="1"/>
  <c r="AZ375" i="1"/>
  <c r="BB491" i="1"/>
  <c r="BC469" i="1"/>
  <c r="BC470" i="1" s="1"/>
  <c r="BB470" i="1"/>
  <c r="U209" i="1"/>
  <c r="U205" i="1"/>
  <c r="U204" i="1"/>
  <c r="BC486" i="1"/>
  <c r="BD464" i="1"/>
  <c r="BD362" i="1"/>
  <c r="BC333" i="1"/>
  <c r="BF374" i="1"/>
  <c r="V411" i="1"/>
  <c r="S125" i="1"/>
  <c r="BD148" i="1"/>
  <c r="BD158" i="1"/>
  <c r="U232" i="1"/>
  <c r="U66" i="1" s="1"/>
  <c r="U65" i="1"/>
  <c r="BE372" i="1"/>
  <c r="V177" i="1" l="1"/>
  <c r="V59" i="1" s="1"/>
  <c r="BJ25" i="1"/>
  <c r="BE142" i="1"/>
  <c r="BD159" i="1"/>
  <c r="BD103" i="1"/>
  <c r="BD27" i="1"/>
  <c r="BE16" i="1"/>
  <c r="BD263" i="1"/>
  <c r="BD264" i="1" s="1"/>
  <c r="BD26" i="1"/>
  <c r="BE15" i="1"/>
  <c r="BC145" i="1"/>
  <c r="BB161" i="1"/>
  <c r="BB139" i="1"/>
  <c r="BB156" i="1" s="1"/>
  <c r="BB62" i="1" s="1"/>
  <c r="BC78" i="1"/>
  <c r="BC265" i="1"/>
  <c r="BC266" i="1" s="1"/>
  <c r="BC109" i="1"/>
  <c r="BC82" i="1"/>
  <c r="BF372" i="1"/>
  <c r="BC491" i="1"/>
  <c r="BD469" i="1"/>
  <c r="W219" i="1"/>
  <c r="W196" i="1"/>
  <c r="W237" i="1"/>
  <c r="W231" i="1"/>
  <c r="BE191" i="1"/>
  <c r="BE206" i="1"/>
  <c r="V172" i="1"/>
  <c r="V86" i="1" s="1"/>
  <c r="V170" i="1"/>
  <c r="BD489" i="1"/>
  <c r="BE467" i="1"/>
  <c r="T223" i="1"/>
  <c r="V238" i="1"/>
  <c r="V87" i="1" s="1"/>
  <c r="V236" i="1"/>
  <c r="V123" i="1" s="1"/>
  <c r="BF90" i="1"/>
  <c r="U212" i="1"/>
  <c r="U214" i="1"/>
  <c r="U223" i="1" s="1"/>
  <c r="U172" i="1"/>
  <c r="U86" i="1" s="1"/>
  <c r="U170" i="1"/>
  <c r="X247" i="1"/>
  <c r="X229" i="1"/>
  <c r="X193" i="1"/>
  <c r="X166" i="1"/>
  <c r="X165" i="1"/>
  <c r="X164" i="1"/>
  <c r="X406" i="1"/>
  <c r="X408" i="1"/>
  <c r="X410" i="1"/>
  <c r="BF371" i="1"/>
  <c r="W163" i="1"/>
  <c r="W249" i="1"/>
  <c r="W71" i="1" s="1"/>
  <c r="W255" i="1"/>
  <c r="BD341" i="1"/>
  <c r="BD578" i="1" s="1"/>
  <c r="BE54" i="1"/>
  <c r="BC58" i="1"/>
  <c r="U250" i="1"/>
  <c r="U72" i="1" s="1"/>
  <c r="U124" i="1"/>
  <c r="BF368" i="1"/>
  <c r="BF332" i="1" s="1"/>
  <c r="V205" i="1"/>
  <c r="V204" i="1"/>
  <c r="V212" i="1" s="1"/>
  <c r="V221" i="1" s="1"/>
  <c r="V209" i="1"/>
  <c r="V256" i="1"/>
  <c r="V88" i="1" s="1"/>
  <c r="V254" i="1"/>
  <c r="BF380" i="1"/>
  <c r="BD486" i="1"/>
  <c r="BE464" i="1"/>
  <c r="BF189" i="1"/>
  <c r="BF149" i="1"/>
  <c r="BC300" i="1"/>
  <c r="BD299" i="1"/>
  <c r="AW477" i="1"/>
  <c r="AW366" i="1" s="1"/>
  <c r="BE118" i="1"/>
  <c r="BF35" i="1"/>
  <c r="BF118" i="1" s="1"/>
  <c r="BE487" i="1"/>
  <c r="BF465" i="1"/>
  <c r="BF487" i="1" s="1"/>
  <c r="U88" i="1"/>
  <c r="BF317" i="1"/>
  <c r="BF228" i="1"/>
  <c r="BF68" i="1" s="1"/>
  <c r="BA580" i="1"/>
  <c r="BB326" i="1"/>
  <c r="T213" i="1"/>
  <c r="T178" i="1"/>
  <c r="T60" i="1" s="1"/>
  <c r="T122" i="1"/>
  <c r="AZ294" i="1"/>
  <c r="AZ302" i="1"/>
  <c r="BA307" i="1" s="1"/>
  <c r="BA293" i="1" s="1"/>
  <c r="BE140" i="1"/>
  <c r="BF141" i="1"/>
  <c r="BE485" i="1"/>
  <c r="BF463" i="1"/>
  <c r="BF485" i="1" s="1"/>
  <c r="BC492" i="1"/>
  <c r="BC455" i="1"/>
  <c r="BD514" i="1"/>
  <c r="BD147" i="1"/>
  <c r="BD157" i="1"/>
  <c r="BE362" i="1"/>
  <c r="BD333" i="1"/>
  <c r="U208" i="1"/>
  <c r="BB492" i="1"/>
  <c r="BB455" i="1"/>
  <c r="BA375" i="1"/>
  <c r="Y6" i="1"/>
  <c r="Y5" i="1"/>
  <c r="Z4" i="1"/>
  <c r="W411" i="1"/>
  <c r="BE148" i="1"/>
  <c r="BE158" i="1"/>
  <c r="BD484" i="1"/>
  <c r="BE462" i="1"/>
  <c r="BE481" i="1"/>
  <c r="BF459" i="1"/>
  <c r="T86" i="1"/>
  <c r="T89" i="1" s="1"/>
  <c r="V232" i="1"/>
  <c r="V66" i="1" s="1"/>
  <c r="V65" i="1"/>
  <c r="D391" i="1"/>
  <c r="D390" i="1"/>
  <c r="BD78" i="1" l="1"/>
  <c r="BD265" i="1"/>
  <c r="BD266" i="1" s="1"/>
  <c r="BD145" i="1"/>
  <c r="BC161" i="1"/>
  <c r="BC139" i="1"/>
  <c r="BC156" i="1" s="1"/>
  <c r="BC62" i="1" s="1"/>
  <c r="BE27" i="1"/>
  <c r="BE103" i="1"/>
  <c r="BF16" i="1"/>
  <c r="BE263" i="1"/>
  <c r="BE264" i="1" s="1"/>
  <c r="BE26" i="1"/>
  <c r="BF15" i="1"/>
  <c r="BD82" i="1"/>
  <c r="BD109" i="1"/>
  <c r="BF142" i="1"/>
  <c r="BF140" i="1" s="1"/>
  <c r="BE159" i="1"/>
  <c r="BJ26" i="1"/>
  <c r="BJ27" i="1" s="1"/>
  <c r="BA294" i="1"/>
  <c r="BA302" i="1"/>
  <c r="BB307" i="1" s="1"/>
  <c r="BB293" i="1" s="1"/>
  <c r="U122" i="1"/>
  <c r="U125" i="1" s="1"/>
  <c r="U213" i="1"/>
  <c r="U222" i="1" s="1"/>
  <c r="U178" i="1"/>
  <c r="U60" i="1" s="1"/>
  <c r="V89" i="1"/>
  <c r="BE514" i="1"/>
  <c r="BE147" i="1"/>
  <c r="BE157" i="1"/>
  <c r="Z5" i="1"/>
  <c r="Z6" i="1"/>
  <c r="AA4" i="1"/>
  <c r="U207" i="1"/>
  <c r="Y229" i="1"/>
  <c r="Y247" i="1"/>
  <c r="Y193" i="1"/>
  <c r="Y166" i="1"/>
  <c r="Y165" i="1"/>
  <c r="Y164" i="1"/>
  <c r="Y406" i="1"/>
  <c r="Y408" i="1"/>
  <c r="Y410" i="1"/>
  <c r="BF362" i="1"/>
  <c r="BE333" i="1"/>
  <c r="BD58" i="1"/>
  <c r="T125" i="1"/>
  <c r="AX477" i="1"/>
  <c r="AX366" i="1" s="1"/>
  <c r="BD300" i="1"/>
  <c r="BE299" i="1"/>
  <c r="BE486" i="1"/>
  <c r="BF464" i="1"/>
  <c r="BF486" i="1" s="1"/>
  <c r="V250" i="1"/>
  <c r="V72" i="1" s="1"/>
  <c r="V124" i="1"/>
  <c r="BE341" i="1"/>
  <c r="BE578" i="1" s="1"/>
  <c r="BF54" i="1"/>
  <c r="BF341" i="1" s="1"/>
  <c r="BF578" i="1" s="1"/>
  <c r="W316" i="1"/>
  <c r="W318" i="1" s="1"/>
  <c r="W171" i="1"/>
  <c r="W177" i="1"/>
  <c r="W59" i="1" s="1"/>
  <c r="X255" i="1"/>
  <c r="X249" i="1"/>
  <c r="X71" i="1" s="1"/>
  <c r="V178" i="1"/>
  <c r="V60" i="1" s="1"/>
  <c r="V122" i="1"/>
  <c r="W209" i="1"/>
  <c r="W205" i="1"/>
  <c r="W204" i="1"/>
  <c r="W212" i="1" s="1"/>
  <c r="W221" i="1" s="1"/>
  <c r="BF158" i="1"/>
  <c r="BF148" i="1"/>
  <c r="W256" i="1"/>
  <c r="W88" i="1" s="1"/>
  <c r="W254" i="1"/>
  <c r="X411" i="1"/>
  <c r="X219" i="1"/>
  <c r="X196" i="1"/>
  <c r="U89" i="1"/>
  <c r="W232" i="1"/>
  <c r="W66" i="1" s="1"/>
  <c r="W65" i="1"/>
  <c r="BD491" i="1"/>
  <c r="BE469" i="1"/>
  <c r="BF481" i="1"/>
  <c r="BE489" i="1"/>
  <c r="BF467" i="1"/>
  <c r="BF489" i="1" s="1"/>
  <c r="BB375" i="1"/>
  <c r="T222" i="1"/>
  <c r="BE484" i="1"/>
  <c r="BF462" i="1"/>
  <c r="BF484" i="1" s="1"/>
  <c r="BB580" i="1"/>
  <c r="BC326" i="1"/>
  <c r="AY477" i="1"/>
  <c r="AY366" i="1" s="1"/>
  <c r="BF206" i="1"/>
  <c r="BF191" i="1"/>
  <c r="V208" i="1"/>
  <c r="V207" i="1" s="1"/>
  <c r="X163" i="1"/>
  <c r="X231" i="1"/>
  <c r="X237" i="1"/>
  <c r="U221" i="1"/>
  <c r="V214" i="1"/>
  <c r="V223" i="1" s="1"/>
  <c r="W238" i="1"/>
  <c r="W87" i="1" s="1"/>
  <c r="W236" i="1"/>
  <c r="W123" i="1" s="1"/>
  <c r="BD470" i="1"/>
  <c r="V125" i="1" l="1"/>
  <c r="BE82" i="1"/>
  <c r="BE109" i="1"/>
  <c r="BF26" i="1"/>
  <c r="BF263" i="1"/>
  <c r="BF264" i="1" s="1"/>
  <c r="BJ28" i="1"/>
  <c r="BE145" i="1"/>
  <c r="BD161" i="1"/>
  <c r="BD139" i="1"/>
  <c r="BD156" i="1" s="1"/>
  <c r="BD62" i="1" s="1"/>
  <c r="Y411" i="1"/>
  <c r="BF159" i="1"/>
  <c r="BE265" i="1"/>
  <c r="BE266" i="1" s="1"/>
  <c r="BE78" i="1"/>
  <c r="BF27" i="1"/>
  <c r="BF103" i="1"/>
  <c r="X238" i="1"/>
  <c r="X87" i="1" s="1"/>
  <c r="X236" i="1"/>
  <c r="X123" i="1" s="1"/>
  <c r="BE491" i="1"/>
  <c r="BF469" i="1"/>
  <c r="V213" i="1"/>
  <c r="V222" i="1" s="1"/>
  <c r="W214" i="1"/>
  <c r="W223" i="1" s="1"/>
  <c r="W172" i="1"/>
  <c r="W86" i="1" s="1"/>
  <c r="W89" i="1" s="1"/>
  <c r="W170" i="1"/>
  <c r="Y237" i="1"/>
  <c r="Y231" i="1"/>
  <c r="BB294" i="1"/>
  <c r="BB302" i="1"/>
  <c r="BC307" i="1" s="1"/>
  <c r="BC293" i="1" s="1"/>
  <c r="X232" i="1"/>
  <c r="X66" i="1" s="1"/>
  <c r="X65" i="1"/>
  <c r="X209" i="1"/>
  <c r="X205" i="1"/>
  <c r="X204" i="1"/>
  <c r="X212" i="1" s="1"/>
  <c r="X221" i="1" s="1"/>
  <c r="BF514" i="1"/>
  <c r="BF157" i="1"/>
  <c r="BF147" i="1"/>
  <c r="W208" i="1"/>
  <c r="W207" i="1" s="1"/>
  <c r="BF333" i="1"/>
  <c r="X316" i="1"/>
  <c r="X318" i="1" s="1"/>
  <c r="X171" i="1"/>
  <c r="X177" i="1"/>
  <c r="X59" i="1" s="1"/>
  <c r="BC580" i="1"/>
  <c r="BD326" i="1"/>
  <c r="W250" i="1"/>
  <c r="W72" i="1" s="1"/>
  <c r="W124" i="1"/>
  <c r="X256" i="1"/>
  <c r="X88" i="1" s="1"/>
  <c r="X254" i="1"/>
  <c r="Y219" i="1"/>
  <c r="Y196" i="1"/>
  <c r="AA6" i="1"/>
  <c r="AB4" i="1"/>
  <c r="AA5" i="1"/>
  <c r="BE470" i="1"/>
  <c r="BD492" i="1"/>
  <c r="BD455" i="1"/>
  <c r="BC375" i="1"/>
  <c r="BF299" i="1"/>
  <c r="BF300" i="1" s="1"/>
  <c r="BE300" i="1"/>
  <c r="Y163" i="1"/>
  <c r="Y181" i="1"/>
  <c r="Y255" i="1"/>
  <c r="Y249" i="1"/>
  <c r="Y71" i="1" s="1"/>
  <c r="Z247" i="1"/>
  <c r="Z229" i="1"/>
  <c r="Z166" i="1"/>
  <c r="Z165" i="1"/>
  <c r="Z164" i="1"/>
  <c r="Z193" i="1"/>
  <c r="Z406" i="1"/>
  <c r="Z410" i="1"/>
  <c r="Z408" i="1"/>
  <c r="BE58" i="1"/>
  <c r="BJ29" i="1" l="1"/>
  <c r="BJ30" i="1" s="1"/>
  <c r="BF78" i="1"/>
  <c r="BF265" i="1"/>
  <c r="BF266" i="1" s="1"/>
  <c r="Z411" i="1"/>
  <c r="BF82" i="1"/>
  <c r="BF109" i="1"/>
  <c r="BE161" i="1"/>
  <c r="BF145" i="1"/>
  <c r="BE139" i="1"/>
  <c r="BE156" i="1" s="1"/>
  <c r="BE62" i="1" s="1"/>
  <c r="Y256" i="1"/>
  <c r="Y88" i="1" s="1"/>
  <c r="Y254" i="1"/>
  <c r="BF58" i="1"/>
  <c r="Z237" i="1"/>
  <c r="Z231" i="1"/>
  <c r="AA247" i="1"/>
  <c r="AA229" i="1"/>
  <c r="AA166" i="1"/>
  <c r="AA165" i="1"/>
  <c r="AA164" i="1"/>
  <c r="AA193" i="1"/>
  <c r="AA406" i="1"/>
  <c r="AA410" i="1"/>
  <c r="AA408" i="1"/>
  <c r="X250" i="1"/>
  <c r="X72" i="1" s="1"/>
  <c r="X124" i="1"/>
  <c r="BD580" i="1"/>
  <c r="BE326" i="1"/>
  <c r="BE492" i="1"/>
  <c r="BA477" i="1" s="1"/>
  <c r="BA366" i="1" s="1"/>
  <c r="BE455" i="1"/>
  <c r="Y238" i="1"/>
  <c r="Y87" i="1" s="1"/>
  <c r="Y236" i="1"/>
  <c r="Y123" i="1" s="1"/>
  <c r="AC4" i="1"/>
  <c r="AB6" i="1"/>
  <c r="AB5" i="1"/>
  <c r="X214" i="1"/>
  <c r="X223" i="1" s="1"/>
  <c r="X172" i="1"/>
  <c r="X86" i="1" s="1"/>
  <c r="X89" i="1" s="1"/>
  <c r="X170" i="1"/>
  <c r="Z219" i="1"/>
  <c r="Z196" i="1"/>
  <c r="BC294" i="1"/>
  <c r="BC302" i="1"/>
  <c r="BD307" i="1" s="1"/>
  <c r="BD293" i="1" s="1"/>
  <c r="Z163" i="1"/>
  <c r="Z255" i="1"/>
  <c r="Z249" i="1"/>
  <c r="Z71" i="1" s="1"/>
  <c r="Y316" i="1"/>
  <c r="Y318" i="1" s="1"/>
  <c r="Y171" i="1"/>
  <c r="Y177" i="1"/>
  <c r="Y59" i="1" s="1"/>
  <c r="BD375" i="1"/>
  <c r="AZ477" i="1"/>
  <c r="AZ366" i="1" s="1"/>
  <c r="Y209" i="1"/>
  <c r="Y205" i="1"/>
  <c r="Y204" i="1"/>
  <c r="Y212" i="1" s="1"/>
  <c r="Y221" i="1" s="1"/>
  <c r="X208" i="1"/>
  <c r="X207" i="1" s="1"/>
  <c r="Y232" i="1"/>
  <c r="Y66" i="1" s="1"/>
  <c r="Y65" i="1"/>
  <c r="W213" i="1"/>
  <c r="W222" i="1" s="1"/>
  <c r="W178" i="1"/>
  <c r="W60" i="1" s="1"/>
  <c r="W122" i="1"/>
  <c r="W125" i="1" s="1"/>
  <c r="BF491" i="1"/>
  <c r="BF470" i="1"/>
  <c r="Y208" i="1" l="1"/>
  <c r="Y207" i="1"/>
  <c r="BF161" i="1"/>
  <c r="BF139" i="1"/>
  <c r="BF156" i="1" s="1"/>
  <c r="BF62" i="1" s="1"/>
  <c r="BJ31" i="1"/>
  <c r="BE375" i="1"/>
  <c r="Z256" i="1"/>
  <c r="Z88" i="1" s="1"/>
  <c r="Z254" i="1"/>
  <c r="Z209" i="1"/>
  <c r="Z205" i="1"/>
  <c r="Z204" i="1"/>
  <c r="Z212" i="1" s="1"/>
  <c r="Z221" i="1" s="1"/>
  <c r="X213" i="1"/>
  <c r="X222" i="1" s="1"/>
  <c r="X178" i="1"/>
  <c r="X60" i="1" s="1"/>
  <c r="X122" i="1"/>
  <c r="X125" i="1" s="1"/>
  <c r="AC6" i="1"/>
  <c r="AC5" i="1"/>
  <c r="AD4" i="1"/>
  <c r="AA411" i="1"/>
  <c r="Z232" i="1"/>
  <c r="Z66" i="1" s="1"/>
  <c r="Z65" i="1"/>
  <c r="Y250" i="1"/>
  <c r="Y72" i="1" s="1"/>
  <c r="Y124" i="1"/>
  <c r="Z316" i="1"/>
  <c r="Z318" i="1" s="1"/>
  <c r="Z171" i="1"/>
  <c r="Z177" i="1"/>
  <c r="Z59" i="1" s="1"/>
  <c r="AA219" i="1"/>
  <c r="AA195" i="1"/>
  <c r="AA194" i="1"/>
  <c r="AA237" i="1"/>
  <c r="AA231" i="1"/>
  <c r="Z238" i="1"/>
  <c r="Z87" i="1" s="1"/>
  <c r="Z236" i="1"/>
  <c r="Z123" i="1" s="1"/>
  <c r="AB193" i="1"/>
  <c r="AB247" i="1"/>
  <c r="AB229" i="1"/>
  <c r="AB166" i="1"/>
  <c r="AB165" i="1"/>
  <c r="AB164" i="1"/>
  <c r="AB406" i="1"/>
  <c r="AB408" i="1"/>
  <c r="AB410" i="1"/>
  <c r="BF492" i="1"/>
  <c r="BB477" i="1" s="1"/>
  <c r="BB366" i="1" s="1"/>
  <c r="BF455" i="1"/>
  <c r="Y214" i="1"/>
  <c r="Y223" i="1" s="1"/>
  <c r="Y172" i="1"/>
  <c r="Y86" i="1" s="1"/>
  <c r="Y89" i="1" s="1"/>
  <c r="Y170" i="1"/>
  <c r="BD294" i="1"/>
  <c r="BD302" i="1"/>
  <c r="BE307" i="1" s="1"/>
  <c r="BE293" i="1" s="1"/>
  <c r="BE580" i="1"/>
  <c r="BF326" i="1"/>
  <c r="BF580" i="1" s="1"/>
  <c r="AA163" i="1"/>
  <c r="AA249" i="1"/>
  <c r="AA71" i="1" s="1"/>
  <c r="AA255" i="1"/>
  <c r="BJ32" i="1" l="1"/>
  <c r="Z208" i="1"/>
  <c r="Z207" i="1" s="1"/>
  <c r="Z214" i="1"/>
  <c r="Z223" i="1" s="1"/>
  <c r="Z172" i="1"/>
  <c r="Z86" i="1" s="1"/>
  <c r="Z89" i="1" s="1"/>
  <c r="Z170" i="1"/>
  <c r="BF375" i="1"/>
  <c r="AA254" i="1"/>
  <c r="AA256" i="1"/>
  <c r="AA88" i="1" s="1"/>
  <c r="BE294" i="1"/>
  <c r="BE302" i="1"/>
  <c r="BF307" i="1" s="1"/>
  <c r="BF293" i="1" s="1"/>
  <c r="AB219" i="1"/>
  <c r="AB195" i="1"/>
  <c r="AB194" i="1"/>
  <c r="AB196" i="1" s="1"/>
  <c r="AD5" i="1"/>
  <c r="AD6" i="1"/>
  <c r="AE4" i="1"/>
  <c r="Y122" i="1"/>
  <c r="Y125" i="1" s="1"/>
  <c r="Y213" i="1"/>
  <c r="Y222" i="1" s="1"/>
  <c r="Y178" i="1"/>
  <c r="Y60" i="1" s="1"/>
  <c r="AB411" i="1"/>
  <c r="AB231" i="1"/>
  <c r="AB237" i="1"/>
  <c r="AA238" i="1"/>
  <c r="AA87" i="1" s="1"/>
  <c r="AA236" i="1"/>
  <c r="AA123" i="1" s="1"/>
  <c r="Z250" i="1"/>
  <c r="Z72" i="1" s="1"/>
  <c r="Z124" i="1"/>
  <c r="AA232" i="1"/>
  <c r="AA66" i="1" s="1"/>
  <c r="AA65" i="1"/>
  <c r="AA316" i="1"/>
  <c r="AA318" i="1" s="1"/>
  <c r="AA171" i="1"/>
  <c r="AA177" i="1"/>
  <c r="AA59" i="1" s="1"/>
  <c r="AB163" i="1"/>
  <c r="AB255" i="1"/>
  <c r="AB249" i="1"/>
  <c r="AB71" i="1" s="1"/>
  <c r="AA196" i="1"/>
  <c r="AC229" i="1"/>
  <c r="AC247" i="1"/>
  <c r="AC193" i="1"/>
  <c r="AC166" i="1"/>
  <c r="AC165" i="1"/>
  <c r="AC164" i="1"/>
  <c r="AC406" i="1"/>
  <c r="AC408" i="1"/>
  <c r="AC410" i="1"/>
  <c r="BJ33" i="1" l="1"/>
  <c r="AC411" i="1"/>
  <c r="AC255" i="1"/>
  <c r="AC249" i="1"/>
  <c r="AC71" i="1" s="1"/>
  <c r="AC237" i="1"/>
  <c r="AC231" i="1"/>
  <c r="AB316" i="1"/>
  <c r="AB318" i="1" s="1"/>
  <c r="AB171" i="1"/>
  <c r="AB177" i="1"/>
  <c r="AB59" i="1" s="1"/>
  <c r="AB232" i="1"/>
  <c r="AB66" i="1" s="1"/>
  <c r="AB65" i="1"/>
  <c r="AD247" i="1"/>
  <c r="AD229" i="1"/>
  <c r="AD166" i="1"/>
  <c r="AD165" i="1"/>
  <c r="AD164" i="1"/>
  <c r="AD193" i="1"/>
  <c r="AD406" i="1"/>
  <c r="AD408" i="1"/>
  <c r="AD410" i="1"/>
  <c r="AA250" i="1"/>
  <c r="AA72" i="1" s="1"/>
  <c r="AA124" i="1"/>
  <c r="AA205" i="1"/>
  <c r="AA204" i="1"/>
  <c r="AA212" i="1" s="1"/>
  <c r="AA221" i="1" s="1"/>
  <c r="AA209" i="1"/>
  <c r="AA208" i="1" s="1"/>
  <c r="AC195" i="1"/>
  <c r="AC194" i="1"/>
  <c r="AC219" i="1"/>
  <c r="AB209" i="1"/>
  <c r="AB205" i="1"/>
  <c r="AB204" i="1"/>
  <c r="AB212" i="1" s="1"/>
  <c r="AB221" i="1" s="1"/>
  <c r="BF294" i="1"/>
  <c r="BF302" i="1"/>
  <c r="AA172" i="1"/>
  <c r="AA86" i="1" s="1"/>
  <c r="AA89" i="1" s="1"/>
  <c r="AA170" i="1"/>
  <c r="AC163" i="1"/>
  <c r="AB256" i="1"/>
  <c r="AB88" i="1" s="1"/>
  <c r="AB254" i="1"/>
  <c r="AB238" i="1"/>
  <c r="AB87" i="1" s="1"/>
  <c r="AB236" i="1"/>
  <c r="AB123" i="1" s="1"/>
  <c r="AE6" i="1"/>
  <c r="AE5" i="1"/>
  <c r="AF4" i="1"/>
  <c r="Z213" i="1"/>
  <c r="Z222" i="1" s="1"/>
  <c r="Z178" i="1"/>
  <c r="Z60" i="1" s="1"/>
  <c r="Z122" i="1"/>
  <c r="Z125" i="1" s="1"/>
  <c r="AC196" i="1" l="1"/>
  <c r="AC205" i="1" s="1"/>
  <c r="AB208" i="1"/>
  <c r="AA214" i="1"/>
  <c r="AA223" i="1" s="1"/>
  <c r="BJ34" i="1"/>
  <c r="AB250" i="1"/>
  <c r="AB72" i="1" s="1"/>
  <c r="AB124" i="1"/>
  <c r="AB172" i="1"/>
  <c r="AB86" i="1" s="1"/>
  <c r="AB89" i="1" s="1"/>
  <c r="AB170" i="1"/>
  <c r="AB214" i="1"/>
  <c r="AB223" i="1" s="1"/>
  <c r="AD411" i="1"/>
  <c r="AG4" i="1"/>
  <c r="AF6" i="1"/>
  <c r="AF5" i="1"/>
  <c r="AD163" i="1"/>
  <c r="AD255" i="1"/>
  <c r="AD249" i="1"/>
  <c r="AD71" i="1" s="1"/>
  <c r="AC238" i="1"/>
  <c r="AC87" i="1" s="1"/>
  <c r="AC236" i="1"/>
  <c r="AC123" i="1" s="1"/>
  <c r="AE247" i="1"/>
  <c r="AE229" i="1"/>
  <c r="AE166" i="1"/>
  <c r="AE165" i="1"/>
  <c r="AE164" i="1"/>
  <c r="AE193" i="1"/>
  <c r="AE406" i="1"/>
  <c r="AE408" i="1"/>
  <c r="AE410" i="1"/>
  <c r="AB207" i="1"/>
  <c r="AC256" i="1"/>
  <c r="AC88" i="1" s="1"/>
  <c r="AC254" i="1"/>
  <c r="AA213" i="1"/>
  <c r="AA222" i="1" s="1"/>
  <c r="AA178" i="1"/>
  <c r="AA60" i="1" s="1"/>
  <c r="AA122" i="1"/>
  <c r="AA125" i="1" s="1"/>
  <c r="AC209" i="1"/>
  <c r="AC316" i="1"/>
  <c r="AC318" i="1" s="1"/>
  <c r="AC171" i="1"/>
  <c r="AC177" i="1"/>
  <c r="AC59" i="1" s="1"/>
  <c r="AA207" i="1"/>
  <c r="AD219" i="1"/>
  <c r="AD195" i="1"/>
  <c r="AD194" i="1"/>
  <c r="AD237" i="1"/>
  <c r="AD231" i="1"/>
  <c r="AC232" i="1"/>
  <c r="AC66" i="1" s="1"/>
  <c r="AC65" i="1"/>
  <c r="AC208" i="1" l="1"/>
  <c r="AC204" i="1"/>
  <c r="AC212" i="1" s="1"/>
  <c r="AC221" i="1" s="1"/>
  <c r="AD196" i="1"/>
  <c r="BJ35" i="1"/>
  <c r="AD209" i="1"/>
  <c r="AD205" i="1"/>
  <c r="AD204" i="1"/>
  <c r="AD212" i="1" s="1"/>
  <c r="AD221" i="1" s="1"/>
  <c r="AE219" i="1"/>
  <c r="AE195" i="1"/>
  <c r="AE194" i="1"/>
  <c r="AE196" i="1" s="1"/>
  <c r="AE237" i="1"/>
  <c r="AE231" i="1"/>
  <c r="AC170" i="1"/>
  <c r="AC214" i="1"/>
  <c r="AC223" i="1" s="1"/>
  <c r="AC172" i="1"/>
  <c r="AC86" i="1" s="1"/>
  <c r="AC89" i="1" s="1"/>
  <c r="AE163" i="1"/>
  <c r="AE255" i="1"/>
  <c r="AE249" i="1"/>
  <c r="AE71" i="1" s="1"/>
  <c r="AF229" i="1"/>
  <c r="AF247" i="1"/>
  <c r="AF193" i="1"/>
  <c r="AF166" i="1"/>
  <c r="AF165" i="1"/>
  <c r="AF164" i="1"/>
  <c r="AF163" i="1" s="1"/>
  <c r="AF406" i="1"/>
  <c r="AF410" i="1"/>
  <c r="AF408" i="1"/>
  <c r="AD232" i="1"/>
  <c r="AD66" i="1" s="1"/>
  <c r="AD65" i="1"/>
  <c r="AC250" i="1"/>
  <c r="AC72" i="1" s="1"/>
  <c r="AC124" i="1"/>
  <c r="AD256" i="1"/>
  <c r="AD88" i="1" s="1"/>
  <c r="AD254" i="1"/>
  <c r="AG6" i="1"/>
  <c r="AG5" i="1"/>
  <c r="AH4" i="1"/>
  <c r="AD238" i="1"/>
  <c r="AD87" i="1" s="1"/>
  <c r="AD236" i="1"/>
  <c r="AD123" i="1" s="1"/>
  <c r="AC207" i="1"/>
  <c r="AE411" i="1"/>
  <c r="AD316" i="1"/>
  <c r="AD318" i="1" s="1"/>
  <c r="AD171" i="1"/>
  <c r="AD177" i="1"/>
  <c r="AD59" i="1" s="1"/>
  <c r="AB213" i="1"/>
  <c r="AB222" i="1" s="1"/>
  <c r="AB178" i="1"/>
  <c r="AB60" i="1" s="1"/>
  <c r="AB122" i="1"/>
  <c r="AB125" i="1" s="1"/>
  <c r="BJ36" i="1" l="1"/>
  <c r="AH5" i="1"/>
  <c r="AI4" i="1"/>
  <c r="AH6" i="1"/>
  <c r="AF316" i="1"/>
  <c r="AF318" i="1" s="1"/>
  <c r="AF171" i="1"/>
  <c r="AF177" i="1"/>
  <c r="AF59" i="1" s="1"/>
  <c r="AF255" i="1"/>
  <c r="AF249" i="1"/>
  <c r="AF71" i="1" s="1"/>
  <c r="AE316" i="1"/>
  <c r="AE318" i="1" s="1"/>
  <c r="AE171" i="1"/>
  <c r="AE177" i="1"/>
  <c r="AE59" i="1" s="1"/>
  <c r="AE232" i="1"/>
  <c r="AE66" i="1" s="1"/>
  <c r="AE65" i="1"/>
  <c r="AF231" i="1"/>
  <c r="AF237" i="1"/>
  <c r="AE238" i="1"/>
  <c r="AE87" i="1" s="1"/>
  <c r="AE236" i="1"/>
  <c r="AE123" i="1" s="1"/>
  <c r="AD172" i="1"/>
  <c r="AD86" i="1" s="1"/>
  <c r="AD89" i="1" s="1"/>
  <c r="AD170" i="1"/>
  <c r="AD214" i="1"/>
  <c r="AD223" i="1" s="1"/>
  <c r="AG229" i="1"/>
  <c r="AG247" i="1"/>
  <c r="AG193" i="1"/>
  <c r="AG166" i="1"/>
  <c r="AG165" i="1"/>
  <c r="AG164" i="1"/>
  <c r="AG406" i="1"/>
  <c r="AG408" i="1"/>
  <c r="AG410" i="1"/>
  <c r="AE209" i="1"/>
  <c r="AE205" i="1"/>
  <c r="AE204" i="1"/>
  <c r="AE212" i="1" s="1"/>
  <c r="AE221" i="1" s="1"/>
  <c r="AD250" i="1"/>
  <c r="AD72" i="1" s="1"/>
  <c r="AD124" i="1"/>
  <c r="AF411" i="1"/>
  <c r="AF219" i="1"/>
  <c r="AF195" i="1"/>
  <c r="AF194" i="1"/>
  <c r="AE256" i="1"/>
  <c r="AE88" i="1" s="1"/>
  <c r="AE254" i="1"/>
  <c r="AC122" i="1"/>
  <c r="AC125" i="1" s="1"/>
  <c r="AC178" i="1"/>
  <c r="AC60" i="1" s="1"/>
  <c r="AC213" i="1"/>
  <c r="AC222" i="1" s="1"/>
  <c r="AD208" i="1"/>
  <c r="AD207" i="1" s="1"/>
  <c r="AE208" i="1" l="1"/>
  <c r="AE207" i="1" s="1"/>
  <c r="BJ37" i="1"/>
  <c r="AG179" i="1"/>
  <c r="AG163" i="1"/>
  <c r="AG255" i="1"/>
  <c r="AG249" i="1"/>
  <c r="AG71" i="1" s="1"/>
  <c r="AF232" i="1"/>
  <c r="AF66" i="1" s="1"/>
  <c r="AF65" i="1"/>
  <c r="AE214" i="1"/>
  <c r="AE223" i="1" s="1"/>
  <c r="AE172" i="1"/>
  <c r="AE86" i="1" s="1"/>
  <c r="AE89" i="1" s="1"/>
  <c r="AE170" i="1"/>
  <c r="AG237" i="1"/>
  <c r="AG231" i="1"/>
  <c r="AE250" i="1"/>
  <c r="AE72" i="1" s="1"/>
  <c r="AE124" i="1"/>
  <c r="AF196" i="1"/>
  <c r="AI6" i="1"/>
  <c r="AJ4" i="1"/>
  <c r="AI5" i="1"/>
  <c r="AF172" i="1"/>
  <c r="AF86" i="1" s="1"/>
  <c r="AF170" i="1"/>
  <c r="AG411" i="1"/>
  <c r="AG219" i="1"/>
  <c r="AG195" i="1"/>
  <c r="AG194" i="1"/>
  <c r="AD178" i="1"/>
  <c r="AD60" i="1" s="1"/>
  <c r="AD213" i="1"/>
  <c r="AD222" i="1" s="1"/>
  <c r="AD122" i="1"/>
  <c r="AD125" i="1" s="1"/>
  <c r="AF238" i="1"/>
  <c r="AF87" i="1" s="1"/>
  <c r="AF236" i="1"/>
  <c r="AF123" i="1" s="1"/>
  <c r="AF256" i="1"/>
  <c r="AF88" i="1" s="1"/>
  <c r="AF254" i="1"/>
  <c r="AH247" i="1"/>
  <c r="AH229" i="1"/>
  <c r="AH166" i="1"/>
  <c r="AH165" i="1"/>
  <c r="AH164" i="1"/>
  <c r="AH193" i="1"/>
  <c r="AH406" i="1"/>
  <c r="AH410" i="1"/>
  <c r="AH408" i="1"/>
  <c r="BJ38" i="1" l="1"/>
  <c r="AH163" i="1"/>
  <c r="AH316" i="1" s="1"/>
  <c r="AH318" i="1" s="1"/>
  <c r="AH219" i="1"/>
  <c r="AH195" i="1"/>
  <c r="AH194" i="1"/>
  <c r="AF209" i="1"/>
  <c r="AF205" i="1"/>
  <c r="AG238" i="1"/>
  <c r="AG87" i="1" s="1"/>
  <c r="AG236" i="1"/>
  <c r="AG123" i="1" s="1"/>
  <c r="AG316" i="1"/>
  <c r="AG318" i="1" s="1"/>
  <c r="AG177" i="1"/>
  <c r="AG59" i="1" s="1"/>
  <c r="AK4" i="1"/>
  <c r="AJ6" i="1"/>
  <c r="AJ5" i="1"/>
  <c r="AE213" i="1"/>
  <c r="AE222" i="1" s="1"/>
  <c r="AE178" i="1"/>
  <c r="AE60" i="1" s="1"/>
  <c r="AE122" i="1"/>
  <c r="AE125" i="1" s="1"/>
  <c r="AG171" i="1"/>
  <c r="AG61" i="1"/>
  <c r="AF250" i="1"/>
  <c r="AF72" i="1" s="1"/>
  <c r="AF124" i="1"/>
  <c r="AF89" i="1"/>
  <c r="AI247" i="1"/>
  <c r="AI229" i="1"/>
  <c r="AI166" i="1"/>
  <c r="AI165" i="1"/>
  <c r="AI164" i="1"/>
  <c r="AI193" i="1"/>
  <c r="AI406" i="1"/>
  <c r="AI410" i="1"/>
  <c r="AI408" i="1"/>
  <c r="AH255" i="1"/>
  <c r="AH249" i="1"/>
  <c r="AH71" i="1" s="1"/>
  <c r="AG196" i="1"/>
  <c r="AG200" i="1" s="1"/>
  <c r="AF178" i="1"/>
  <c r="AF60" i="1" s="1"/>
  <c r="AF122" i="1"/>
  <c r="AF125" i="1" s="1"/>
  <c r="AH411" i="1"/>
  <c r="AF200" i="1"/>
  <c r="AG232" i="1"/>
  <c r="AG66" i="1" s="1"/>
  <c r="AG65" i="1"/>
  <c r="AG256" i="1"/>
  <c r="AG88" i="1" s="1"/>
  <c r="AG254" i="1"/>
  <c r="AH237" i="1"/>
  <c r="AH231" i="1"/>
  <c r="AH177" i="1" l="1"/>
  <c r="AH59" i="1" s="1"/>
  <c r="AH171" i="1"/>
  <c r="BJ39" i="1"/>
  <c r="AG204" i="1"/>
  <c r="AG212" i="1" s="1"/>
  <c r="AG221" i="1" s="1"/>
  <c r="AG201" i="1"/>
  <c r="AI163" i="1"/>
  <c r="AI181" i="1"/>
  <c r="AI255" i="1"/>
  <c r="AI249" i="1"/>
  <c r="AI71" i="1" s="1"/>
  <c r="AF214" i="1"/>
  <c r="AF223" i="1" s="1"/>
  <c r="AG205" i="1"/>
  <c r="AG209" i="1"/>
  <c r="AG208" i="1" s="1"/>
  <c r="AG207" i="1" s="1"/>
  <c r="AH172" i="1"/>
  <c r="AH86" i="1" s="1"/>
  <c r="AH170" i="1"/>
  <c r="AH196" i="1"/>
  <c r="AH200" i="1" s="1"/>
  <c r="AH238" i="1"/>
  <c r="AH87" i="1" s="1"/>
  <c r="AH236" i="1"/>
  <c r="AH123" i="1" s="1"/>
  <c r="AI411" i="1"/>
  <c r="AJ247" i="1"/>
  <c r="AJ193" i="1"/>
  <c r="AJ229" i="1"/>
  <c r="AJ166" i="1"/>
  <c r="AJ165" i="1"/>
  <c r="AJ164" i="1"/>
  <c r="AJ406" i="1"/>
  <c r="AJ410" i="1"/>
  <c r="AJ408" i="1"/>
  <c r="AH232" i="1"/>
  <c r="AH66" i="1" s="1"/>
  <c r="AH65" i="1"/>
  <c r="AG170" i="1"/>
  <c r="AG172" i="1"/>
  <c r="AG86" i="1" s="1"/>
  <c r="AG89" i="1" s="1"/>
  <c r="AG250" i="1"/>
  <c r="AG72" i="1" s="1"/>
  <c r="AG124" i="1"/>
  <c r="AF204" i="1"/>
  <c r="AF212" i="1" s="1"/>
  <c r="AF221" i="1" s="1"/>
  <c r="AF201" i="1"/>
  <c r="AH256" i="1"/>
  <c r="AH88" i="1" s="1"/>
  <c r="AH254" i="1"/>
  <c r="AI219" i="1"/>
  <c r="AI195" i="1"/>
  <c r="AI194" i="1"/>
  <c r="AI237" i="1"/>
  <c r="AI231" i="1"/>
  <c r="AK6" i="1"/>
  <c r="AK5" i="1"/>
  <c r="AL4" i="1"/>
  <c r="AG214" i="1" l="1"/>
  <c r="AG223" i="1" s="1"/>
  <c r="BJ40" i="1"/>
  <c r="AK229" i="1"/>
  <c r="AK247" i="1"/>
  <c r="AK193" i="1"/>
  <c r="AK166" i="1"/>
  <c r="AK165" i="1"/>
  <c r="AK164" i="1"/>
  <c r="AK163" i="1" s="1"/>
  <c r="AK406" i="1"/>
  <c r="AK408" i="1"/>
  <c r="AK410" i="1"/>
  <c r="AJ219" i="1"/>
  <c r="AJ195" i="1"/>
  <c r="AJ194" i="1"/>
  <c r="AH178" i="1"/>
  <c r="AH60" i="1" s="1"/>
  <c r="AH122" i="1"/>
  <c r="AI232" i="1"/>
  <c r="AI66" i="1" s="1"/>
  <c r="AI65" i="1"/>
  <c r="AJ255" i="1"/>
  <c r="AJ249" i="1"/>
  <c r="AJ71" i="1" s="1"/>
  <c r="AH209" i="1"/>
  <c r="AH205" i="1"/>
  <c r="AH89" i="1"/>
  <c r="AF208" i="1"/>
  <c r="AI316" i="1"/>
  <c r="AI318" i="1" s="1"/>
  <c r="AI179" i="1"/>
  <c r="AI177" i="1"/>
  <c r="AI59" i="1" s="1"/>
  <c r="AL5" i="1"/>
  <c r="AL6" i="1"/>
  <c r="AM4" i="1"/>
  <c r="AI238" i="1"/>
  <c r="AI87" i="1" s="1"/>
  <c r="AI236" i="1"/>
  <c r="AI123" i="1" s="1"/>
  <c r="AH250" i="1"/>
  <c r="AH72" i="1" s="1"/>
  <c r="AH124" i="1"/>
  <c r="AG213" i="1"/>
  <c r="AG222" i="1" s="1"/>
  <c r="AG122" i="1"/>
  <c r="AG125" i="1" s="1"/>
  <c r="AG178" i="1"/>
  <c r="AG60" i="1" s="1"/>
  <c r="AH204" i="1"/>
  <c r="AH212" i="1" s="1"/>
  <c r="AH221" i="1" s="1"/>
  <c r="AH201" i="1"/>
  <c r="AJ163" i="1"/>
  <c r="AJ179" i="1" s="1"/>
  <c r="AI196" i="1"/>
  <c r="AJ411" i="1"/>
  <c r="AJ231" i="1"/>
  <c r="AJ237" i="1"/>
  <c r="AI256" i="1"/>
  <c r="AI88" i="1" s="1"/>
  <c r="AI254" i="1"/>
  <c r="BJ41" i="1" l="1"/>
  <c r="AJ256" i="1"/>
  <c r="AJ88" i="1" s="1"/>
  <c r="AJ254" i="1"/>
  <c r="AK255" i="1"/>
  <c r="AK249" i="1"/>
  <c r="AK71" i="1" s="1"/>
  <c r="AJ232" i="1"/>
  <c r="AJ66" i="1" s="1"/>
  <c r="AJ65" i="1"/>
  <c r="AJ316" i="1"/>
  <c r="AJ318" i="1" s="1"/>
  <c r="AJ177" i="1"/>
  <c r="AJ59" i="1" s="1"/>
  <c r="AL247" i="1"/>
  <c r="AL229" i="1"/>
  <c r="AL166" i="1"/>
  <c r="AL165" i="1"/>
  <c r="AL164" i="1"/>
  <c r="AL193" i="1"/>
  <c r="AL406" i="1"/>
  <c r="AL410" i="1"/>
  <c r="AL408" i="1"/>
  <c r="AH208" i="1"/>
  <c r="AH214" i="1"/>
  <c r="AH223" i="1" s="1"/>
  <c r="AJ196" i="1"/>
  <c r="AI209" i="1"/>
  <c r="AI205" i="1"/>
  <c r="AK316" i="1"/>
  <c r="AK318" i="1" s="1"/>
  <c r="AK171" i="1"/>
  <c r="AK177" i="1"/>
  <c r="AK59" i="1" s="1"/>
  <c r="AJ238" i="1"/>
  <c r="AJ87" i="1" s="1"/>
  <c r="AJ236" i="1"/>
  <c r="AJ123" i="1" s="1"/>
  <c r="AI250" i="1"/>
  <c r="AI72" i="1" s="1"/>
  <c r="AI124" i="1"/>
  <c r="AJ171" i="1"/>
  <c r="AJ61" i="1"/>
  <c r="AF207" i="1"/>
  <c r="AF213" i="1"/>
  <c r="AF222" i="1" s="1"/>
  <c r="AH125" i="1"/>
  <c r="AK411" i="1"/>
  <c r="AK195" i="1"/>
  <c r="AK194" i="1"/>
  <c r="AK219" i="1"/>
  <c r="AI200" i="1"/>
  <c r="AM6" i="1"/>
  <c r="AN4" i="1"/>
  <c r="AM5" i="1"/>
  <c r="AI171" i="1"/>
  <c r="AI61" i="1"/>
  <c r="AK237" i="1"/>
  <c r="AK231" i="1"/>
  <c r="BJ42" i="1" l="1"/>
  <c r="BJ43" i="1" s="1"/>
  <c r="BJ44" i="1" s="1"/>
  <c r="BJ45" i="1" s="1"/>
  <c r="BJ46" i="1" s="1"/>
  <c r="BJ47" i="1" s="1"/>
  <c r="BJ48" i="1" s="1"/>
  <c r="BJ49" i="1" s="1"/>
  <c r="AL219" i="1"/>
  <c r="AL195" i="1"/>
  <c r="AL194" i="1"/>
  <c r="AL237" i="1"/>
  <c r="AL231" i="1"/>
  <c r="AI214" i="1"/>
  <c r="AI223" i="1" s="1"/>
  <c r="AI170" i="1"/>
  <c r="AI172" i="1"/>
  <c r="AI86" i="1" s="1"/>
  <c r="AI89" i="1" s="1"/>
  <c r="AI204" i="1"/>
  <c r="AI212" i="1" s="1"/>
  <c r="AI221" i="1" s="1"/>
  <c r="AI201" i="1"/>
  <c r="AJ209" i="1"/>
  <c r="AJ214" i="1" s="1"/>
  <c r="AJ223" i="1" s="1"/>
  <c r="AJ205" i="1"/>
  <c r="AK236" i="1"/>
  <c r="AK123" i="1" s="1"/>
  <c r="AK238" i="1"/>
  <c r="AK87" i="1" s="1"/>
  <c r="AK196" i="1"/>
  <c r="AK200" i="1" s="1"/>
  <c r="AH207" i="1"/>
  <c r="AH213" i="1"/>
  <c r="AH222" i="1" s="1"/>
  <c r="AK232" i="1"/>
  <c r="AK66" i="1" s="1"/>
  <c r="AK65" i="1"/>
  <c r="AJ170" i="1"/>
  <c r="AJ172" i="1"/>
  <c r="AJ86" i="1" s="1"/>
  <c r="AJ89" i="1" s="1"/>
  <c r="AL411" i="1"/>
  <c r="AK256" i="1"/>
  <c r="AK88" i="1" s="1"/>
  <c r="AK254" i="1"/>
  <c r="AO4" i="1"/>
  <c r="AN6" i="1"/>
  <c r="AN5" i="1"/>
  <c r="AJ250" i="1"/>
  <c r="AJ72" i="1" s="1"/>
  <c r="AJ124" i="1"/>
  <c r="AM247" i="1"/>
  <c r="AM229" i="1"/>
  <c r="AM166" i="1"/>
  <c r="AM165" i="1"/>
  <c r="AM164" i="1"/>
  <c r="AM193" i="1"/>
  <c r="AM406" i="1"/>
  <c r="AM410" i="1"/>
  <c r="AM408" i="1"/>
  <c r="AK172" i="1"/>
  <c r="AK86" i="1" s="1"/>
  <c r="AK170" i="1"/>
  <c r="AJ200" i="1"/>
  <c r="AL181" i="1"/>
  <c r="AL163" i="1"/>
  <c r="AL179" i="1"/>
  <c r="AL255" i="1"/>
  <c r="AL249" i="1"/>
  <c r="AL71" i="1" s="1"/>
  <c r="BJ50" i="1" l="1"/>
  <c r="AM237" i="1"/>
  <c r="AM231" i="1"/>
  <c r="AJ204" i="1"/>
  <c r="AJ212" i="1" s="1"/>
  <c r="AJ221" i="1" s="1"/>
  <c r="AJ201" i="1"/>
  <c r="AM181" i="1"/>
  <c r="AM163" i="1"/>
  <c r="AM249" i="1"/>
  <c r="AM71" i="1" s="1"/>
  <c r="AM255" i="1"/>
  <c r="AN247" i="1"/>
  <c r="AN229" i="1"/>
  <c r="AN193" i="1"/>
  <c r="AN166" i="1"/>
  <c r="AN165" i="1"/>
  <c r="AN164" i="1"/>
  <c r="AN406" i="1"/>
  <c r="AN410" i="1"/>
  <c r="AN408" i="1"/>
  <c r="AL238" i="1"/>
  <c r="AL87" i="1" s="1"/>
  <c r="AL236" i="1"/>
  <c r="AL123" i="1" s="1"/>
  <c r="AL171" i="1"/>
  <c r="AL61" i="1"/>
  <c r="AK122" i="1"/>
  <c r="AK178" i="1"/>
  <c r="AK60" i="1" s="1"/>
  <c r="AO6" i="1"/>
  <c r="AO5" i="1"/>
  <c r="AP4" i="1"/>
  <c r="AK209" i="1"/>
  <c r="AK205" i="1"/>
  <c r="AJ208" i="1"/>
  <c r="AJ207" i="1" s="1"/>
  <c r="AI178" i="1"/>
  <c r="AI60" i="1" s="1"/>
  <c r="AI122" i="1"/>
  <c r="AI125" i="1" s="1"/>
  <c r="AL196" i="1"/>
  <c r="AM219" i="1"/>
  <c r="AM195" i="1"/>
  <c r="AM194" i="1"/>
  <c r="AL232" i="1"/>
  <c r="AL66" i="1" s="1"/>
  <c r="AL65" i="1"/>
  <c r="AL256" i="1"/>
  <c r="AL88" i="1" s="1"/>
  <c r="AL254" i="1"/>
  <c r="AK201" i="1"/>
  <c r="AK204" i="1"/>
  <c r="AK212" i="1" s="1"/>
  <c r="AK221" i="1" s="1"/>
  <c r="AI208" i="1"/>
  <c r="AI207" i="1" s="1"/>
  <c r="AL316" i="1"/>
  <c r="AL318" i="1" s="1"/>
  <c r="AL177" i="1"/>
  <c r="AL59" i="1" s="1"/>
  <c r="AK89" i="1"/>
  <c r="AM411" i="1"/>
  <c r="AK250" i="1"/>
  <c r="AK72" i="1" s="1"/>
  <c r="AK124" i="1"/>
  <c r="AJ213" i="1"/>
  <c r="AJ222" i="1" s="1"/>
  <c r="AJ178" i="1"/>
  <c r="AJ60" i="1" s="1"/>
  <c r="AJ122" i="1"/>
  <c r="AJ125" i="1" s="1"/>
  <c r="BJ51" i="1" l="1"/>
  <c r="AM316" i="1"/>
  <c r="AM318" i="1" s="1"/>
  <c r="AM177" i="1"/>
  <c r="AM59" i="1" s="1"/>
  <c r="AL205" i="1"/>
  <c r="AL209" i="1"/>
  <c r="AI213" i="1"/>
  <c r="AI222" i="1" s="1"/>
  <c r="AP5" i="1"/>
  <c r="AP6" i="1"/>
  <c r="AQ4" i="1"/>
  <c r="AN411" i="1"/>
  <c r="AN219" i="1"/>
  <c r="AN195" i="1"/>
  <c r="AN194" i="1"/>
  <c r="AO229" i="1"/>
  <c r="AO247" i="1"/>
  <c r="AO193" i="1"/>
  <c r="AO166" i="1"/>
  <c r="AO165" i="1"/>
  <c r="AO164" i="1"/>
  <c r="AO163" i="1" s="1"/>
  <c r="AO406" i="1"/>
  <c r="AO410" i="1"/>
  <c r="AO408" i="1"/>
  <c r="AN249" i="1"/>
  <c r="AN71" i="1" s="1"/>
  <c r="AN251" i="1"/>
  <c r="AM232" i="1"/>
  <c r="AM66" i="1" s="1"/>
  <c r="AM65" i="1"/>
  <c r="AL250" i="1"/>
  <c r="AL72" i="1" s="1"/>
  <c r="AL124" i="1"/>
  <c r="AM196" i="1"/>
  <c r="AM200" i="1" s="1"/>
  <c r="AL200" i="1"/>
  <c r="AK125" i="1"/>
  <c r="AN181" i="1"/>
  <c r="AN179" i="1" s="1"/>
  <c r="AN163" i="1"/>
  <c r="AN231" i="1"/>
  <c r="AN237" i="1"/>
  <c r="AM179" i="1"/>
  <c r="AK208" i="1"/>
  <c r="AK214" i="1"/>
  <c r="AK223" i="1" s="1"/>
  <c r="AL170" i="1"/>
  <c r="AL214" i="1"/>
  <c r="AL223" i="1" s="1"/>
  <c r="AL172" i="1"/>
  <c r="AL86" i="1" s="1"/>
  <c r="AL89" i="1" s="1"/>
  <c r="AM256" i="1"/>
  <c r="AM88" i="1" s="1"/>
  <c r="AM254" i="1"/>
  <c r="AM238" i="1"/>
  <c r="AM87" i="1" s="1"/>
  <c r="AM236" i="1"/>
  <c r="AM123" i="1" s="1"/>
  <c r="BJ52" i="1" l="1"/>
  <c r="BJ53" i="1" s="1"/>
  <c r="AN232" i="1"/>
  <c r="AN66" i="1" s="1"/>
  <c r="AN65" i="1"/>
  <c r="AO316" i="1"/>
  <c r="AO318" i="1" s="1"/>
  <c r="AO171" i="1"/>
  <c r="AO177" i="1"/>
  <c r="AO59" i="1" s="1"/>
  <c r="AO249" i="1"/>
  <c r="AO71" i="1" s="1"/>
  <c r="AO251" i="1"/>
  <c r="AM171" i="1"/>
  <c r="AM61" i="1"/>
  <c r="AN171" i="1"/>
  <c r="AN61" i="1"/>
  <c r="AM201" i="1"/>
  <c r="AM204" i="1"/>
  <c r="AM212" i="1" s="1"/>
  <c r="AM221" i="1" s="1"/>
  <c r="AN196" i="1"/>
  <c r="AN200" i="1" s="1"/>
  <c r="AQ6" i="1"/>
  <c r="AR4" i="1"/>
  <c r="AQ5" i="1"/>
  <c r="AM250" i="1"/>
  <c r="AM72" i="1" s="1"/>
  <c r="AM124" i="1"/>
  <c r="AL178" i="1"/>
  <c r="AL60" i="1" s="1"/>
  <c r="AL122" i="1"/>
  <c r="AL125" i="1" s="1"/>
  <c r="AN238" i="1"/>
  <c r="AN87" i="1" s="1"/>
  <c r="AN236" i="1"/>
  <c r="AN123" i="1" s="1"/>
  <c r="AN255" i="1"/>
  <c r="AN73" i="1"/>
  <c r="AO411" i="1"/>
  <c r="AO219" i="1"/>
  <c r="AO195" i="1"/>
  <c r="AO194" i="1"/>
  <c r="AP247" i="1"/>
  <c r="AP229" i="1"/>
  <c r="AP166" i="1"/>
  <c r="AP165" i="1"/>
  <c r="AP164" i="1"/>
  <c r="AP193" i="1"/>
  <c r="AP406" i="1"/>
  <c r="AP408" i="1"/>
  <c r="AP410" i="1"/>
  <c r="AL204" i="1"/>
  <c r="AL212" i="1" s="1"/>
  <c r="AL221" i="1" s="1"/>
  <c r="AL201" i="1"/>
  <c r="AK207" i="1"/>
  <c r="AK213" i="1"/>
  <c r="AK222" i="1" s="1"/>
  <c r="AN316" i="1"/>
  <c r="AN318" i="1" s="1"/>
  <c r="AN177" i="1"/>
  <c r="AN59" i="1" s="1"/>
  <c r="AM209" i="1"/>
  <c r="AM208" i="1" s="1"/>
  <c r="AM205" i="1"/>
  <c r="AO237" i="1"/>
  <c r="AO231" i="1"/>
  <c r="AP163" i="1" l="1"/>
  <c r="BJ54" i="1"/>
  <c r="AM207" i="1"/>
  <c r="AO196" i="1"/>
  <c r="AO200" i="1" s="1"/>
  <c r="AQ247" i="1"/>
  <c r="AQ229" i="1"/>
  <c r="AQ166" i="1"/>
  <c r="AQ165" i="1"/>
  <c r="AQ164" i="1"/>
  <c r="AQ193" i="1"/>
  <c r="AQ406" i="1"/>
  <c r="AQ408" i="1"/>
  <c r="AQ410" i="1"/>
  <c r="AM214" i="1"/>
  <c r="AM223" i="1" s="1"/>
  <c r="AM170" i="1"/>
  <c r="AM172" i="1"/>
  <c r="AM86" i="1" s="1"/>
  <c r="AM89" i="1" s="1"/>
  <c r="AO172" i="1"/>
  <c r="AO86" i="1" s="1"/>
  <c r="AO170" i="1"/>
  <c r="AO232" i="1"/>
  <c r="AO66" i="1" s="1"/>
  <c r="AO65" i="1"/>
  <c r="AP411" i="1"/>
  <c r="AN254" i="1"/>
  <c r="AN256" i="1"/>
  <c r="AN88" i="1" s="1"/>
  <c r="AL208" i="1"/>
  <c r="AN204" i="1"/>
  <c r="AN212" i="1" s="1"/>
  <c r="AN221" i="1" s="1"/>
  <c r="AN201" i="1"/>
  <c r="AO255" i="1"/>
  <c r="AO73" i="1"/>
  <c r="AO238" i="1"/>
  <c r="AO87" i="1" s="1"/>
  <c r="AO236" i="1"/>
  <c r="AO123" i="1" s="1"/>
  <c r="AP219" i="1"/>
  <c r="AP195" i="1"/>
  <c r="AP194" i="1"/>
  <c r="AP237" i="1"/>
  <c r="AP231" i="1"/>
  <c r="AN209" i="1"/>
  <c r="AN208" i="1" s="1"/>
  <c r="AN205" i="1"/>
  <c r="AN170" i="1"/>
  <c r="AN172" i="1"/>
  <c r="AN86" i="1" s="1"/>
  <c r="AN89" i="1" s="1"/>
  <c r="AP316" i="1"/>
  <c r="AP318" i="1" s="1"/>
  <c r="AP171" i="1"/>
  <c r="AP177" i="1"/>
  <c r="AP59" i="1" s="1"/>
  <c r="AP251" i="1"/>
  <c r="AP249" i="1"/>
  <c r="AP71" i="1" s="1"/>
  <c r="AS4" i="1"/>
  <c r="AR6" i="1"/>
  <c r="AR5" i="1"/>
  <c r="AQ163" i="1" l="1"/>
  <c r="AQ316" i="1" s="1"/>
  <c r="AQ318" i="1" s="1"/>
  <c r="BJ55" i="1"/>
  <c r="AP255" i="1"/>
  <c r="AP73" i="1"/>
  <c r="AN207" i="1"/>
  <c r="AL207" i="1"/>
  <c r="AL213" i="1"/>
  <c r="AL222" i="1" s="1"/>
  <c r="AQ171" i="1"/>
  <c r="AQ177" i="1"/>
  <c r="AQ59" i="1" s="1"/>
  <c r="AQ249" i="1"/>
  <c r="AQ71" i="1" s="1"/>
  <c r="AQ255" i="1"/>
  <c r="AR247" i="1"/>
  <c r="AR229" i="1"/>
  <c r="AR193" i="1"/>
  <c r="AR166" i="1"/>
  <c r="AR165" i="1"/>
  <c r="AR164" i="1"/>
  <c r="AR406" i="1"/>
  <c r="AR408" i="1"/>
  <c r="AR410" i="1"/>
  <c r="AN213" i="1"/>
  <c r="AN222" i="1" s="1"/>
  <c r="AN178" i="1"/>
  <c r="AN60" i="1" s="1"/>
  <c r="AN122" i="1"/>
  <c r="AP232" i="1"/>
  <c r="AP66" i="1" s="1"/>
  <c r="AP65" i="1"/>
  <c r="AO254" i="1"/>
  <c r="AO256" i="1"/>
  <c r="AO88" i="1" s="1"/>
  <c r="AO201" i="1"/>
  <c r="AO204" i="1"/>
  <c r="AO212" i="1" s="1"/>
  <c r="AO221" i="1" s="1"/>
  <c r="AS5" i="1"/>
  <c r="AT4" i="1"/>
  <c r="AS6" i="1"/>
  <c r="AP172" i="1"/>
  <c r="AP86" i="1" s="1"/>
  <c r="AP170" i="1"/>
  <c r="AN214" i="1"/>
  <c r="AN223" i="1" s="1"/>
  <c r="AP238" i="1"/>
  <c r="AP87" i="1" s="1"/>
  <c r="AP236" i="1"/>
  <c r="AP123" i="1" s="1"/>
  <c r="AN250" i="1"/>
  <c r="AN72" i="1" s="1"/>
  <c r="AN124" i="1"/>
  <c r="AO122" i="1"/>
  <c r="AO178" i="1"/>
  <c r="AO60" i="1" s="1"/>
  <c r="AM213" i="1"/>
  <c r="AM222" i="1" s="1"/>
  <c r="AM178" i="1"/>
  <c r="AM60" i="1" s="1"/>
  <c r="AM122" i="1"/>
  <c r="AM125" i="1" s="1"/>
  <c r="AQ411" i="1"/>
  <c r="AO209" i="1"/>
  <c r="AO205" i="1"/>
  <c r="AP196" i="1"/>
  <c r="AO89" i="1"/>
  <c r="AQ219" i="1"/>
  <c r="AQ195" i="1"/>
  <c r="AQ194" i="1"/>
  <c r="AQ237" i="1"/>
  <c r="AQ231" i="1"/>
  <c r="AR163" i="1" l="1"/>
  <c r="AR177" i="1" s="1"/>
  <c r="AR59" i="1" s="1"/>
  <c r="BJ56" i="1"/>
  <c r="AR171" i="1"/>
  <c r="AQ238" i="1"/>
  <c r="AQ87" i="1" s="1"/>
  <c r="AQ236" i="1"/>
  <c r="AQ123" i="1" s="1"/>
  <c r="AO208" i="1"/>
  <c r="AO214" i="1"/>
  <c r="AO223" i="1" s="1"/>
  <c r="AS229" i="1"/>
  <c r="AS247" i="1"/>
  <c r="AS193" i="1"/>
  <c r="AS166" i="1"/>
  <c r="AS165" i="1"/>
  <c r="AS164" i="1"/>
  <c r="AS406" i="1"/>
  <c r="AS408" i="1"/>
  <c r="AS410" i="1"/>
  <c r="AR255" i="1"/>
  <c r="AR249" i="1"/>
  <c r="AR71" i="1" s="1"/>
  <c r="AQ172" i="1"/>
  <c r="AQ86" i="1" s="1"/>
  <c r="AQ170" i="1"/>
  <c r="AQ232" i="1"/>
  <c r="AQ66" i="1" s="1"/>
  <c r="AQ65" i="1"/>
  <c r="AQ196" i="1"/>
  <c r="AQ200" i="1" s="1"/>
  <c r="AP209" i="1"/>
  <c r="AP205" i="1"/>
  <c r="AP178" i="1"/>
  <c r="AP60" i="1" s="1"/>
  <c r="AP122" i="1"/>
  <c r="AT5" i="1"/>
  <c r="AT6" i="1"/>
  <c r="AU4" i="1"/>
  <c r="AN125" i="1"/>
  <c r="AQ254" i="1"/>
  <c r="AQ256" i="1"/>
  <c r="AQ88" i="1" s="1"/>
  <c r="AR231" i="1"/>
  <c r="AR237" i="1"/>
  <c r="AP200" i="1"/>
  <c r="AO250" i="1"/>
  <c r="AO72" i="1" s="1"/>
  <c r="AO124" i="1"/>
  <c r="AO125" i="1" s="1"/>
  <c r="AR411" i="1"/>
  <c r="AR219" i="1"/>
  <c r="AR195" i="1"/>
  <c r="AR194" i="1"/>
  <c r="AP254" i="1"/>
  <c r="AP256" i="1"/>
  <c r="AP88" i="1" s="1"/>
  <c r="AP89" i="1" s="1"/>
  <c r="AR316" i="1" l="1"/>
  <c r="AR318" i="1" s="1"/>
  <c r="AS163" i="1"/>
  <c r="AS316" i="1" s="1"/>
  <c r="AS318" i="1" s="1"/>
  <c r="BJ57" i="1"/>
  <c r="AP204" i="1"/>
  <c r="AP212" i="1" s="1"/>
  <c r="AP221" i="1" s="1"/>
  <c r="AP201" i="1"/>
  <c r="AQ250" i="1"/>
  <c r="AQ72" i="1" s="1"/>
  <c r="AQ124" i="1"/>
  <c r="AQ89" i="1"/>
  <c r="AS237" i="1"/>
  <c r="AS231" i="1"/>
  <c r="AP250" i="1"/>
  <c r="AP72" i="1" s="1"/>
  <c r="AP124" i="1"/>
  <c r="AR196" i="1"/>
  <c r="AR200" i="1" s="1"/>
  <c r="AR238" i="1"/>
  <c r="AR87" i="1" s="1"/>
  <c r="AR236" i="1"/>
  <c r="AR123" i="1" s="1"/>
  <c r="AP125" i="1"/>
  <c r="AP208" i="1"/>
  <c r="AP214" i="1"/>
  <c r="AP223" i="1" s="1"/>
  <c r="AR232" i="1"/>
  <c r="AR66" i="1" s="1"/>
  <c r="AR65" i="1"/>
  <c r="AU6" i="1"/>
  <c r="AU5" i="1"/>
  <c r="AV4" i="1"/>
  <c r="AQ205" i="1"/>
  <c r="AQ209" i="1"/>
  <c r="AS411" i="1"/>
  <c r="AS195" i="1"/>
  <c r="AS194" i="1"/>
  <c r="AS219" i="1"/>
  <c r="AO207" i="1"/>
  <c r="AO213" i="1"/>
  <c r="AO222" i="1" s="1"/>
  <c r="AR172" i="1"/>
  <c r="AR86" i="1" s="1"/>
  <c r="AR170" i="1"/>
  <c r="AT247" i="1"/>
  <c r="AT229" i="1"/>
  <c r="AT166" i="1"/>
  <c r="AT165" i="1"/>
  <c r="AT164" i="1"/>
  <c r="AT193" i="1"/>
  <c r="AT406" i="1"/>
  <c r="AT410" i="1"/>
  <c r="AT408" i="1"/>
  <c r="AQ204" i="1"/>
  <c r="AQ212" i="1" s="1"/>
  <c r="AQ221" i="1" s="1"/>
  <c r="AQ201" i="1"/>
  <c r="AQ178" i="1"/>
  <c r="AQ60" i="1" s="1"/>
  <c r="AQ122" i="1"/>
  <c r="AR256" i="1"/>
  <c r="AR88" i="1" s="1"/>
  <c r="AR254" i="1"/>
  <c r="AS255" i="1"/>
  <c r="AS249" i="1"/>
  <c r="AS71" i="1" s="1"/>
  <c r="AS171" i="1" l="1"/>
  <c r="AS170" i="1" s="1"/>
  <c r="BJ58" i="1"/>
  <c r="AS177" i="1"/>
  <c r="AS59" i="1" s="1"/>
  <c r="AR250" i="1"/>
  <c r="AR72" i="1" s="1"/>
  <c r="AR124" i="1"/>
  <c r="AT411" i="1"/>
  <c r="AR178" i="1"/>
  <c r="AR60" i="1" s="1"/>
  <c r="AR122" i="1"/>
  <c r="AQ208" i="1"/>
  <c r="AQ214" i="1"/>
  <c r="AQ223" i="1" s="1"/>
  <c r="AU193" i="1"/>
  <c r="AU14" i="1"/>
  <c r="AU13" i="1"/>
  <c r="AU229" i="1"/>
  <c r="AU237" i="1" s="1"/>
  <c r="AU247" i="1"/>
  <c r="AU255" i="1" s="1"/>
  <c r="AU165" i="1"/>
  <c r="AU164" i="1"/>
  <c r="AU166" i="1"/>
  <c r="AU305" i="1"/>
  <c r="AU308" i="1" s="1"/>
  <c r="AU310" i="1" s="1"/>
  <c r="AP207" i="1"/>
  <c r="AP213" i="1"/>
  <c r="AP222" i="1" s="1"/>
  <c r="AR204" i="1"/>
  <c r="AR212" i="1" s="1"/>
  <c r="AR221" i="1" s="1"/>
  <c r="AR201" i="1"/>
  <c r="AS232" i="1"/>
  <c r="AS66" i="1" s="1"/>
  <c r="AS65" i="1"/>
  <c r="AQ125" i="1"/>
  <c r="AT219" i="1"/>
  <c r="AT195" i="1"/>
  <c r="AT194" i="1"/>
  <c r="AT237" i="1"/>
  <c r="AT231" i="1"/>
  <c r="AR89" i="1"/>
  <c r="AS196" i="1"/>
  <c r="AS200" i="1" s="1"/>
  <c r="AR209" i="1"/>
  <c r="AR205" i="1"/>
  <c r="AS238" i="1"/>
  <c r="AS87" i="1" s="1"/>
  <c r="AS236" i="1"/>
  <c r="AS123" i="1" s="1"/>
  <c r="AS256" i="1"/>
  <c r="AS88" i="1" s="1"/>
  <c r="AS254" i="1"/>
  <c r="AT163" i="1"/>
  <c r="AT255" i="1"/>
  <c r="AT249" i="1"/>
  <c r="AT71" i="1" s="1"/>
  <c r="AW4" i="1"/>
  <c r="AV6" i="1"/>
  <c r="AV5" i="1"/>
  <c r="AS172" i="1" l="1"/>
  <c r="AS86" i="1" s="1"/>
  <c r="AR125" i="1"/>
  <c r="BJ59" i="1"/>
  <c r="AS204" i="1"/>
  <c r="AS212" i="1" s="1"/>
  <c r="AS221" i="1" s="1"/>
  <c r="AS201" i="1"/>
  <c r="AS250" i="1"/>
  <c r="AS72" i="1" s="1"/>
  <c r="AS124" i="1"/>
  <c r="AR208" i="1"/>
  <c r="AR214" i="1"/>
  <c r="AR223" i="1" s="1"/>
  <c r="AT232" i="1"/>
  <c r="AT66" i="1" s="1"/>
  <c r="AT65" i="1"/>
  <c r="AS89" i="1"/>
  <c r="AV229" i="1"/>
  <c r="AV237" i="1" s="1"/>
  <c r="AV193" i="1"/>
  <c r="AV14" i="1"/>
  <c r="AV13" i="1"/>
  <c r="AV165" i="1"/>
  <c r="AV164" i="1"/>
  <c r="AV163" i="1" s="1"/>
  <c r="AV316" i="1" s="1"/>
  <c r="AV319" i="1" s="1"/>
  <c r="AV335" i="1" s="1"/>
  <c r="AV166" i="1"/>
  <c r="AV247" i="1"/>
  <c r="AV255" i="1" s="1"/>
  <c r="AV305" i="1"/>
  <c r="AV308" i="1" s="1"/>
  <c r="AV310" i="1" s="1"/>
  <c r="AV311" i="1" s="1"/>
  <c r="AV313" i="1" s="1"/>
  <c r="AV40" i="1" s="1"/>
  <c r="AV327" i="1" s="1"/>
  <c r="AW6" i="1"/>
  <c r="AW5" i="1"/>
  <c r="AX4" i="1"/>
  <c r="AT256" i="1"/>
  <c r="AT88" i="1" s="1"/>
  <c r="AU88" i="1" s="1"/>
  <c r="AT254" i="1"/>
  <c r="AS205" i="1"/>
  <c r="AS209" i="1"/>
  <c r="AT238" i="1"/>
  <c r="AT87" i="1" s="1"/>
  <c r="AU87" i="1" s="1"/>
  <c r="AT236" i="1"/>
  <c r="AT123" i="1" s="1"/>
  <c r="AU163" i="1"/>
  <c r="AU316" i="1" s="1"/>
  <c r="AU235" i="1"/>
  <c r="AU236" i="1" s="1"/>
  <c r="AU123" i="1" s="1"/>
  <c r="AU101" i="1"/>
  <c r="AQ207" i="1"/>
  <c r="AQ213" i="1"/>
  <c r="AQ222" i="1" s="1"/>
  <c r="AT316" i="1"/>
  <c r="AT318" i="1" s="1"/>
  <c r="AT171" i="1"/>
  <c r="AT177" i="1"/>
  <c r="AT59" i="1" s="1"/>
  <c r="AT196" i="1"/>
  <c r="AT200" i="1" s="1"/>
  <c r="AU253" i="1"/>
  <c r="AU254" i="1" s="1"/>
  <c r="AU124" i="1" s="1"/>
  <c r="AU102" i="1"/>
  <c r="AS122" i="1"/>
  <c r="AS125" i="1" s="1"/>
  <c r="AS178" i="1"/>
  <c r="AS60" i="1" s="1"/>
  <c r="AU295" i="1"/>
  <c r="AU296" i="1" s="1"/>
  <c r="AU297" i="1" s="1"/>
  <c r="AU311" i="1"/>
  <c r="AV295" i="1"/>
  <c r="AV296" i="1" s="1"/>
  <c r="AV297" i="1" s="1"/>
  <c r="AU219" i="1"/>
  <c r="AU195" i="1"/>
  <c r="AU194" i="1"/>
  <c r="BJ60" i="1" l="1"/>
  <c r="AU214" i="1"/>
  <c r="AU213" i="1"/>
  <c r="AU212" i="1"/>
  <c r="AT172" i="1"/>
  <c r="AT86" i="1" s="1"/>
  <c r="AT170" i="1"/>
  <c r="AU238" i="1"/>
  <c r="AU239" i="1" s="1"/>
  <c r="AV87" i="1"/>
  <c r="AU256" i="1"/>
  <c r="AU257" i="1" s="1"/>
  <c r="AV88" i="1"/>
  <c r="AU373" i="1"/>
  <c r="AU313" i="1"/>
  <c r="AU40" i="1" s="1"/>
  <c r="AT209" i="1"/>
  <c r="AT205" i="1"/>
  <c r="AS208" i="1"/>
  <c r="AS214" i="1"/>
  <c r="AS223" i="1" s="1"/>
  <c r="AX5" i="1"/>
  <c r="AY4" i="1"/>
  <c r="AX6" i="1"/>
  <c r="AV235" i="1"/>
  <c r="AV236" i="1" s="1"/>
  <c r="AV123" i="1" s="1"/>
  <c r="AV101" i="1"/>
  <c r="AU196" i="1"/>
  <c r="AU205" i="1" s="1"/>
  <c r="AU208" i="1" s="1"/>
  <c r="AU200" i="1"/>
  <c r="AT204" i="1"/>
  <c r="AT212" i="1" s="1"/>
  <c r="AT221" i="1" s="1"/>
  <c r="AT201" i="1"/>
  <c r="AV253" i="1"/>
  <c r="AV254" i="1" s="1"/>
  <c r="AV124" i="1" s="1"/>
  <c r="AV102" i="1"/>
  <c r="AT250" i="1"/>
  <c r="AT72" i="1" s="1"/>
  <c r="AT124" i="1"/>
  <c r="AW193" i="1"/>
  <c r="AW166" i="1"/>
  <c r="AW165" i="1"/>
  <c r="AW164" i="1"/>
  <c r="AW13" i="1"/>
  <c r="AW14" i="1"/>
  <c r="AW247" i="1"/>
  <c r="AW255" i="1" s="1"/>
  <c r="AW229" i="1"/>
  <c r="AW237" i="1" s="1"/>
  <c r="AW305" i="1"/>
  <c r="AW308" i="1" s="1"/>
  <c r="AW310" i="1" s="1"/>
  <c r="AV422" i="1"/>
  <c r="AV219" i="1"/>
  <c r="AV195" i="1"/>
  <c r="AV194" i="1"/>
  <c r="AR207" i="1"/>
  <c r="AR213" i="1"/>
  <c r="AR222" i="1" s="1"/>
  <c r="AU327" i="1" l="1"/>
  <c r="BJ61" i="1"/>
  <c r="AW253" i="1"/>
  <c r="AW254" i="1" s="1"/>
  <c r="AW124" i="1" s="1"/>
  <c r="AW102" i="1"/>
  <c r="AT178" i="1"/>
  <c r="AT60" i="1" s="1"/>
  <c r="AT122" i="1"/>
  <c r="AT125" i="1" s="1"/>
  <c r="AW311" i="1"/>
  <c r="AW313" i="1" s="1"/>
  <c r="AW40" i="1" s="1"/>
  <c r="AW327" i="1" s="1"/>
  <c r="AW295" i="1"/>
  <c r="AW296" i="1" s="1"/>
  <c r="AW297" i="1" s="1"/>
  <c r="AW235" i="1"/>
  <c r="AW101" i="1"/>
  <c r="AW219" i="1"/>
  <c r="AW195" i="1"/>
  <c r="AW194" i="1"/>
  <c r="AY6" i="1"/>
  <c r="AZ4" i="1"/>
  <c r="AY5" i="1"/>
  <c r="AV238" i="1"/>
  <c r="AV239" i="1" s="1"/>
  <c r="AW87" i="1"/>
  <c r="AU86" i="1"/>
  <c r="AT89" i="1"/>
  <c r="AU89" i="1" s="1"/>
  <c r="AV89" i="1" s="1"/>
  <c r="AX193" i="1"/>
  <c r="AX14" i="1"/>
  <c r="AX13" i="1"/>
  <c r="AX247" i="1"/>
  <c r="AX255" i="1" s="1"/>
  <c r="AX166" i="1"/>
  <c r="AX165" i="1"/>
  <c r="AX229" i="1"/>
  <c r="AX237" i="1" s="1"/>
  <c r="AX164" i="1"/>
  <c r="AX305" i="1"/>
  <c r="AX308" i="1" s="1"/>
  <c r="AX310" i="1" s="1"/>
  <c r="AX311" i="1" s="1"/>
  <c r="AX313" i="1" s="1"/>
  <c r="AX40" i="1" s="1"/>
  <c r="AX327" i="1" s="1"/>
  <c r="AS207" i="1"/>
  <c r="AS213" i="1"/>
  <c r="AS222" i="1" s="1"/>
  <c r="AU259" i="1"/>
  <c r="AU25" i="1"/>
  <c r="AV214" i="1"/>
  <c r="AV213" i="1"/>
  <c r="AV212" i="1"/>
  <c r="AW236" i="1"/>
  <c r="AW123" i="1" s="1"/>
  <c r="AW163" i="1"/>
  <c r="AW316" i="1" s="1"/>
  <c r="AU204" i="1"/>
  <c r="AT208" i="1"/>
  <c r="AT207" i="1" s="1"/>
  <c r="AU241" i="1"/>
  <c r="AU24" i="1"/>
  <c r="AV196" i="1"/>
  <c r="AV205" i="1" s="1"/>
  <c r="AV208" i="1" s="1"/>
  <c r="AV373" i="1"/>
  <c r="AU454" i="1"/>
  <c r="AU201" i="1"/>
  <c r="AU170" i="1"/>
  <c r="AV256" i="1"/>
  <c r="AV257" i="1" s="1"/>
  <c r="AW88" i="1"/>
  <c r="AT214" i="1"/>
  <c r="AT223" i="1" s="1"/>
  <c r="AT213" i="1" l="1"/>
  <c r="AT222" i="1" s="1"/>
  <c r="AU202" i="1"/>
  <c r="AU107" i="1"/>
  <c r="BJ62" i="1"/>
  <c r="BJ63" i="1" s="1"/>
  <c r="AU108" i="1"/>
  <c r="AX219" i="1"/>
  <c r="AX195" i="1"/>
  <c r="AX194" i="1"/>
  <c r="AW256" i="1"/>
  <c r="AW257" i="1" s="1"/>
  <c r="AX88" i="1"/>
  <c r="AX163" i="1"/>
  <c r="AX316" i="1" s="1"/>
  <c r="AX319" i="1" s="1"/>
  <c r="AX335" i="1" s="1"/>
  <c r="AW89" i="1"/>
  <c r="AX89" i="1" s="1"/>
  <c r="AY89" i="1" s="1"/>
  <c r="AZ89" i="1" s="1"/>
  <c r="BA89" i="1" s="1"/>
  <c r="BB89" i="1" s="1"/>
  <c r="BC89" i="1" s="1"/>
  <c r="BD89" i="1" s="1"/>
  <c r="BE89" i="1" s="1"/>
  <c r="BF89" i="1" s="1"/>
  <c r="AV30" i="1"/>
  <c r="AV25" i="1"/>
  <c r="AV108" i="1" s="1"/>
  <c r="AW373" i="1"/>
  <c r="AV454" i="1"/>
  <c r="AW319" i="1"/>
  <c r="AW335" i="1" s="1"/>
  <c r="AX235" i="1"/>
  <c r="AX236" i="1" s="1"/>
  <c r="AX123" i="1" s="1"/>
  <c r="AX101" i="1"/>
  <c r="AU172" i="1"/>
  <c r="AV86" i="1"/>
  <c r="BA4" i="1"/>
  <c r="AZ6" i="1"/>
  <c r="AZ5" i="1"/>
  <c r="AW213" i="1"/>
  <c r="AW212" i="1"/>
  <c r="AW214" i="1"/>
  <c r="AV201" i="1"/>
  <c r="AV170" i="1"/>
  <c r="AV24" i="1"/>
  <c r="AV107" i="1" s="1"/>
  <c r="AW196" i="1"/>
  <c r="AW205" i="1" s="1"/>
  <c r="AW208" i="1" s="1"/>
  <c r="AU209" i="1"/>
  <c r="AU171" i="1" s="1"/>
  <c r="AU169" i="1"/>
  <c r="AU177" i="1" s="1"/>
  <c r="AX295" i="1"/>
  <c r="AX296" i="1" s="1"/>
  <c r="AX297" i="1" s="1"/>
  <c r="AU178" i="1"/>
  <c r="AU60" i="1" s="1"/>
  <c r="AU122" i="1"/>
  <c r="AV200" i="1"/>
  <c r="AX253" i="1"/>
  <c r="AX254" i="1" s="1"/>
  <c r="AX124" i="1" s="1"/>
  <c r="AX102" i="1"/>
  <c r="AW238" i="1"/>
  <c r="AW239" i="1" s="1"/>
  <c r="AX87" i="1"/>
  <c r="AY193" i="1"/>
  <c r="AY14" i="1"/>
  <c r="AY13" i="1"/>
  <c r="AY165" i="1"/>
  <c r="AY229" i="1"/>
  <c r="AY237" i="1" s="1"/>
  <c r="AY247" i="1"/>
  <c r="AY255" i="1" s="1"/>
  <c r="AY166" i="1"/>
  <c r="AY164" i="1"/>
  <c r="AY163" i="1" s="1"/>
  <c r="AY305" i="1"/>
  <c r="AY308" i="1" s="1"/>
  <c r="AY310" i="1" s="1"/>
  <c r="AY311" i="1" s="1"/>
  <c r="AY313" i="1" s="1"/>
  <c r="AY40" i="1" s="1"/>
  <c r="AY327" i="1" s="1"/>
  <c r="AW200" i="1" l="1"/>
  <c r="AU318" i="1"/>
  <c r="AU319" i="1" s="1"/>
  <c r="AU335" i="1" s="1"/>
  <c r="AW30" i="1"/>
  <c r="AX30" i="1" s="1"/>
  <c r="AY30" i="1" s="1"/>
  <c r="AZ30" i="1" s="1"/>
  <c r="BA30" i="1" s="1"/>
  <c r="BB30" i="1" s="1"/>
  <c r="BC30" i="1" s="1"/>
  <c r="BD30" i="1" s="1"/>
  <c r="BE30" i="1" s="1"/>
  <c r="BF30" i="1" s="1"/>
  <c r="BJ64" i="1"/>
  <c r="AY219" i="1"/>
  <c r="AY195" i="1"/>
  <c r="AY194" i="1"/>
  <c r="AY295" i="1"/>
  <c r="AY296" i="1" s="1"/>
  <c r="AY297" i="1" s="1"/>
  <c r="AU179" i="1"/>
  <c r="AU61" i="1" s="1"/>
  <c r="AU59" i="1"/>
  <c r="AV178" i="1"/>
  <c r="AV60" i="1" s="1"/>
  <c r="AV122" i="1"/>
  <c r="AW25" i="1"/>
  <c r="AW108" i="1" s="1"/>
  <c r="AY235" i="1"/>
  <c r="AY236" i="1" s="1"/>
  <c r="AY123" i="1" s="1"/>
  <c r="AY101" i="1"/>
  <c r="AW24" i="1"/>
  <c r="AW107" i="1" s="1"/>
  <c r="AU173" i="1"/>
  <c r="AW201" i="1"/>
  <c r="AW170" i="1"/>
  <c r="AZ193" i="1"/>
  <c r="AZ13" i="1"/>
  <c r="AZ165" i="1"/>
  <c r="AZ229" i="1"/>
  <c r="AZ237" i="1" s="1"/>
  <c r="AZ166" i="1"/>
  <c r="AZ14" i="1"/>
  <c r="AZ247" i="1"/>
  <c r="AZ255" i="1" s="1"/>
  <c r="AZ164" i="1"/>
  <c r="AZ305" i="1"/>
  <c r="AZ308" i="1" s="1"/>
  <c r="AZ310" i="1" s="1"/>
  <c r="AZ311" i="1" s="1"/>
  <c r="AZ313" i="1" s="1"/>
  <c r="AZ40" i="1" s="1"/>
  <c r="AZ327" i="1" s="1"/>
  <c r="AX196" i="1"/>
  <c r="AX205" i="1" s="1"/>
  <c r="AX208" i="1" s="1"/>
  <c r="AV172" i="1"/>
  <c r="AW86" i="1"/>
  <c r="AX256" i="1"/>
  <c r="AX257" i="1" s="1"/>
  <c r="AY88" i="1"/>
  <c r="AX212" i="1"/>
  <c r="AX214" i="1"/>
  <c r="AX213" i="1"/>
  <c r="AY316" i="1"/>
  <c r="AY319" i="1" s="1"/>
  <c r="AY335" i="1" s="1"/>
  <c r="AX238" i="1"/>
  <c r="AX239" i="1" s="1"/>
  <c r="AY87" i="1"/>
  <c r="AW204" i="1"/>
  <c r="AX373" i="1"/>
  <c r="AW454" i="1"/>
  <c r="AY253" i="1"/>
  <c r="AY254" i="1" s="1"/>
  <c r="AY124" i="1" s="1"/>
  <c r="AY102" i="1"/>
  <c r="AV204" i="1"/>
  <c r="AV202" i="1"/>
  <c r="BA6" i="1"/>
  <c r="BA5" i="1"/>
  <c r="BB4" i="1"/>
  <c r="AW422" i="1"/>
  <c r="AX422" i="1"/>
  <c r="AW202" i="1" l="1"/>
  <c r="AZ295" i="1"/>
  <c r="AZ296" i="1" s="1"/>
  <c r="AZ297" i="1" s="1"/>
  <c r="AU12" i="1"/>
  <c r="BJ65" i="1"/>
  <c r="AY422" i="1"/>
  <c r="BB5" i="1"/>
  <c r="BB6" i="1"/>
  <c r="BC4" i="1"/>
  <c r="AY373" i="1"/>
  <c r="AX454" i="1"/>
  <c r="AY238" i="1"/>
  <c r="AY239" i="1" s="1"/>
  <c r="AZ87" i="1"/>
  <c r="AZ219" i="1"/>
  <c r="AZ195" i="1"/>
  <c r="AZ194" i="1"/>
  <c r="AY196" i="1"/>
  <c r="AY205" i="1" s="1"/>
  <c r="AY208" i="1" s="1"/>
  <c r="AY256" i="1"/>
  <c r="AY257" i="1" s="1"/>
  <c r="AZ88" i="1"/>
  <c r="AU422" i="1"/>
  <c r="AU399" i="1"/>
  <c r="AU358" i="1"/>
  <c r="AY214" i="1"/>
  <c r="AY213" i="1"/>
  <c r="AY212" i="1"/>
  <c r="AW169" i="1"/>
  <c r="AW177" i="1" s="1"/>
  <c r="AW209" i="1"/>
  <c r="AW171" i="1" s="1"/>
  <c r="AX25" i="1"/>
  <c r="AX108" i="1" s="1"/>
  <c r="AX200" i="1"/>
  <c r="BA193" i="1"/>
  <c r="BA166" i="1"/>
  <c r="BA165" i="1"/>
  <c r="BA13" i="1"/>
  <c r="BA229" i="1"/>
  <c r="BA237" i="1" s="1"/>
  <c r="BA14" i="1"/>
  <c r="BA247" i="1"/>
  <c r="BA255" i="1" s="1"/>
  <c r="BA164" i="1"/>
  <c r="BA305" i="1"/>
  <c r="BA308" i="1" s="1"/>
  <c r="BA310" i="1" s="1"/>
  <c r="AV209" i="1"/>
  <c r="AV171" i="1" s="1"/>
  <c r="AV173" i="1" s="1"/>
  <c r="AV169" i="1"/>
  <c r="AV177" i="1" s="1"/>
  <c r="AX24" i="1"/>
  <c r="AX107" i="1" s="1"/>
  <c r="AW172" i="1"/>
  <c r="AX86" i="1"/>
  <c r="AZ163" i="1"/>
  <c r="AZ316" i="1" s="1"/>
  <c r="AZ319" i="1" s="1"/>
  <c r="AZ335" i="1" s="1"/>
  <c r="AZ236" i="1"/>
  <c r="AZ123" i="1" s="1"/>
  <c r="AW122" i="1"/>
  <c r="AW178" i="1"/>
  <c r="AW60" i="1" s="1"/>
  <c r="AU17" i="1"/>
  <c r="AX201" i="1"/>
  <c r="AX170" i="1"/>
  <c r="AZ253" i="1"/>
  <c r="AZ254" i="1" s="1"/>
  <c r="AZ124" i="1" s="1"/>
  <c r="AZ102" i="1"/>
  <c r="AZ235" i="1"/>
  <c r="AZ101" i="1"/>
  <c r="AU175" i="1"/>
  <c r="AU23" i="1"/>
  <c r="AU100" i="1" l="1"/>
  <c r="BJ66" i="1"/>
  <c r="AY200" i="1"/>
  <c r="AV23" i="1"/>
  <c r="BA253" i="1"/>
  <c r="BA102" i="1"/>
  <c r="AX202" i="1"/>
  <c r="AX204" i="1"/>
  <c r="AW179" i="1"/>
  <c r="AW61" i="1" s="1"/>
  <c r="AW59" i="1"/>
  <c r="AW12" i="1" s="1"/>
  <c r="AU428" i="1"/>
  <c r="AU360" i="1"/>
  <c r="AV358" i="1"/>
  <c r="AY25" i="1"/>
  <c r="AY108" i="1" s="1"/>
  <c r="AZ196" i="1"/>
  <c r="AZ205" i="1" s="1"/>
  <c r="AZ208" i="1" s="1"/>
  <c r="AZ238" i="1"/>
  <c r="AZ239" i="1" s="1"/>
  <c r="BA87" i="1"/>
  <c r="AU106" i="1"/>
  <c r="AU28" i="1"/>
  <c r="AZ422" i="1"/>
  <c r="BA311" i="1"/>
  <c r="BA313" i="1" s="1"/>
  <c r="BA40" i="1" s="1"/>
  <c r="BA327" i="1" s="1"/>
  <c r="BA295" i="1"/>
  <c r="BA296" i="1" s="1"/>
  <c r="BA297" i="1" s="1"/>
  <c r="BA195" i="1"/>
  <c r="BA194" i="1"/>
  <c r="BA219" i="1"/>
  <c r="AY204" i="1"/>
  <c r="AY24" i="1"/>
  <c r="AY107" i="1" s="1"/>
  <c r="BC6" i="1"/>
  <c r="BD4" i="1"/>
  <c r="BC5" i="1"/>
  <c r="AU19" i="1"/>
  <c r="BA163" i="1"/>
  <c r="BA316" i="1" s="1"/>
  <c r="BA319" i="1" s="1"/>
  <c r="BA335" i="1" s="1"/>
  <c r="BA235" i="1"/>
  <c r="BA236" i="1" s="1"/>
  <c r="BA123" i="1" s="1"/>
  <c r="BA101" i="1"/>
  <c r="AU426" i="1"/>
  <c r="AY201" i="1"/>
  <c r="AY170" i="1"/>
  <c r="AZ214" i="1"/>
  <c r="AZ213" i="1"/>
  <c r="AZ212" i="1"/>
  <c r="BB193" i="1"/>
  <c r="BB13" i="1"/>
  <c r="BB165" i="1"/>
  <c r="BB166" i="1"/>
  <c r="BB229" i="1"/>
  <c r="BB237" i="1" s="1"/>
  <c r="BB14" i="1"/>
  <c r="BB247" i="1"/>
  <c r="BB255" i="1" s="1"/>
  <c r="BB164" i="1"/>
  <c r="BB305" i="1"/>
  <c r="BB308" i="1" s="1"/>
  <c r="BB310" i="1" s="1"/>
  <c r="BB311" i="1" s="1"/>
  <c r="BB313" i="1" s="1"/>
  <c r="BB40" i="1" s="1"/>
  <c r="BB327" i="1" s="1"/>
  <c r="AX178" i="1"/>
  <c r="AX60" i="1" s="1"/>
  <c r="AX122" i="1"/>
  <c r="AX172" i="1"/>
  <c r="AY86" i="1"/>
  <c r="AV179" i="1"/>
  <c r="AV61" i="1" s="1"/>
  <c r="AV59" i="1"/>
  <c r="AV12" i="1" s="1"/>
  <c r="BA254" i="1"/>
  <c r="BA124" i="1" s="1"/>
  <c r="AW173" i="1"/>
  <c r="AZ256" i="1"/>
  <c r="AZ257" i="1" s="1"/>
  <c r="BA88" i="1"/>
  <c r="AZ373" i="1"/>
  <c r="AY454" i="1"/>
  <c r="AY202" i="1" l="1"/>
  <c r="BJ67" i="1"/>
  <c r="AU31" i="1"/>
  <c r="AU105" i="1" s="1"/>
  <c r="AU20" i="1"/>
  <c r="AU423" i="1"/>
  <c r="AU405" i="1"/>
  <c r="AU353" i="1"/>
  <c r="AU116" i="1"/>
  <c r="AU119" i="1" s="1"/>
  <c r="AU91" i="1"/>
  <c r="AU99" i="1"/>
  <c r="AU416" i="1"/>
  <c r="AU414" i="1"/>
  <c r="AU413" i="1"/>
  <c r="AU415" i="1"/>
  <c r="BA373" i="1"/>
  <c r="AZ454" i="1"/>
  <c r="AY172" i="1"/>
  <c r="AZ86" i="1"/>
  <c r="BB219" i="1"/>
  <c r="BB195" i="1"/>
  <c r="BB194" i="1"/>
  <c r="AY178" i="1"/>
  <c r="AY60" i="1" s="1"/>
  <c r="AY122" i="1"/>
  <c r="BA214" i="1"/>
  <c r="BA213" i="1"/>
  <c r="BA212" i="1"/>
  <c r="AZ24" i="1"/>
  <c r="AZ107" i="1" s="1"/>
  <c r="AW100" i="1"/>
  <c r="AW17" i="1"/>
  <c r="AV100" i="1"/>
  <c r="AV17" i="1"/>
  <c r="BA256" i="1"/>
  <c r="BA257" i="1" s="1"/>
  <c r="BB88" i="1"/>
  <c r="BB163" i="1"/>
  <c r="BB316" i="1" s="1"/>
  <c r="BB319" i="1" s="1"/>
  <c r="BB335" i="1" s="1"/>
  <c r="BA196" i="1"/>
  <c r="BA205" i="1" s="1"/>
  <c r="BA208" i="1" s="1"/>
  <c r="BB295" i="1"/>
  <c r="BB296" i="1" s="1"/>
  <c r="BB297" i="1" s="1"/>
  <c r="AU396" i="1"/>
  <c r="AU33" i="1"/>
  <c r="AZ200" i="1"/>
  <c r="AW358" i="1"/>
  <c r="AZ25" i="1"/>
  <c r="AZ108" i="1" s="1"/>
  <c r="BA422" i="1"/>
  <c r="BE4" i="1"/>
  <c r="BD6" i="1"/>
  <c r="BD5" i="1"/>
  <c r="AZ201" i="1"/>
  <c r="AZ170" i="1"/>
  <c r="AU444" i="1"/>
  <c r="AU430" i="1"/>
  <c r="AV32" i="1"/>
  <c r="AU418" i="1"/>
  <c r="AX169" i="1"/>
  <c r="AX177" i="1" s="1"/>
  <c r="AX209" i="1"/>
  <c r="AX171" i="1" s="1"/>
  <c r="AX173" i="1" s="1"/>
  <c r="AV28" i="1"/>
  <c r="AV31" i="1" s="1"/>
  <c r="AV106" i="1"/>
  <c r="AW23" i="1"/>
  <c r="BB253" i="1"/>
  <c r="BB254" i="1" s="1"/>
  <c r="BB124" i="1" s="1"/>
  <c r="BB102" i="1"/>
  <c r="BB235" i="1"/>
  <c r="BB236" i="1" s="1"/>
  <c r="BB123" i="1" s="1"/>
  <c r="BB101" i="1"/>
  <c r="AV19" i="1"/>
  <c r="AW19" i="1" s="1"/>
  <c r="BC193" i="1"/>
  <c r="BC13" i="1"/>
  <c r="BC165" i="1"/>
  <c r="BC229" i="1"/>
  <c r="BC237" i="1" s="1"/>
  <c r="BC166" i="1"/>
  <c r="BC14" i="1"/>
  <c r="BC247" i="1"/>
  <c r="BC255" i="1" s="1"/>
  <c r="BC164" i="1"/>
  <c r="BC305" i="1"/>
  <c r="BC308" i="1" s="1"/>
  <c r="BC310" i="1" s="1"/>
  <c r="AY209" i="1"/>
  <c r="AY171" i="1" s="1"/>
  <c r="AY169" i="1"/>
  <c r="AY177" i="1" s="1"/>
  <c r="BA238" i="1"/>
  <c r="BA239" i="1" s="1"/>
  <c r="BB87" i="1"/>
  <c r="AY173" i="1" l="1"/>
  <c r="AU126" i="1"/>
  <c r="AU397" i="1"/>
  <c r="BC163" i="1"/>
  <c r="BC316" i="1" s="1"/>
  <c r="BC319" i="1" s="1"/>
  <c r="BC335" i="1" s="1"/>
  <c r="BC422" i="1" s="1"/>
  <c r="AU127" i="1"/>
  <c r="BJ68" i="1"/>
  <c r="BJ69" i="1" s="1"/>
  <c r="AV324" i="1"/>
  <c r="AV134" i="1"/>
  <c r="AU354" i="1"/>
  <c r="AU330" i="1" s="1"/>
  <c r="AU367" i="1"/>
  <c r="AW20" i="1"/>
  <c r="AZ172" i="1"/>
  <c r="BA86" i="1"/>
  <c r="BB238" i="1"/>
  <c r="BB239" i="1" s="1"/>
  <c r="BC87" i="1"/>
  <c r="BC311" i="1"/>
  <c r="BC313" i="1" s="1"/>
  <c r="BC40" i="1" s="1"/>
  <c r="BC327" i="1" s="1"/>
  <c r="BC295" i="1"/>
  <c r="BC296" i="1" s="1"/>
  <c r="BC297" i="1" s="1"/>
  <c r="BC219" i="1"/>
  <c r="BC195" i="1"/>
  <c r="BC194" i="1"/>
  <c r="AZ178" i="1"/>
  <c r="AZ60" i="1" s="1"/>
  <c r="AZ122" i="1"/>
  <c r="BE6" i="1"/>
  <c r="BE5" i="1"/>
  <c r="BF4" i="1"/>
  <c r="AU409" i="1"/>
  <c r="AU407" i="1"/>
  <c r="AU125" i="1"/>
  <c r="BB422" i="1"/>
  <c r="BB196" i="1"/>
  <c r="BB205" i="1" s="1"/>
  <c r="BB208" i="1" s="1"/>
  <c r="BB373" i="1"/>
  <c r="BA454" i="1"/>
  <c r="AU329" i="1"/>
  <c r="AY179" i="1"/>
  <c r="AY61" i="1" s="1"/>
  <c r="AY59" i="1"/>
  <c r="AY12" i="1" s="1"/>
  <c r="AW106" i="1"/>
  <c r="AW28" i="1"/>
  <c r="AW31" i="1" s="1"/>
  <c r="AX23" i="1"/>
  <c r="AZ204" i="1"/>
  <c r="AZ202" i="1"/>
  <c r="BA200" i="1"/>
  <c r="BA25" i="1"/>
  <c r="BA108" i="1" s="1"/>
  <c r="BB213" i="1"/>
  <c r="BB212" i="1"/>
  <c r="BB214" i="1"/>
  <c r="AU424" i="1"/>
  <c r="AU425" i="1"/>
  <c r="BA24" i="1"/>
  <c r="BA107" i="1" s="1"/>
  <c r="AV33" i="1"/>
  <c r="BB256" i="1"/>
  <c r="BB257" i="1" s="1"/>
  <c r="BC88" i="1"/>
  <c r="AY23" i="1"/>
  <c r="BC253" i="1"/>
  <c r="BC254" i="1" s="1"/>
  <c r="BC124" i="1" s="1"/>
  <c r="BC102" i="1"/>
  <c r="BC235" i="1"/>
  <c r="BC236" i="1" s="1"/>
  <c r="BC123" i="1" s="1"/>
  <c r="BC101" i="1"/>
  <c r="AX179" i="1"/>
  <c r="AX61" i="1" s="1"/>
  <c r="AX59" i="1"/>
  <c r="AX12" i="1" s="1"/>
  <c r="BD193" i="1"/>
  <c r="BD166" i="1"/>
  <c r="BD165" i="1"/>
  <c r="BD13" i="1"/>
  <c r="BD229" i="1"/>
  <c r="BD237" i="1" s="1"/>
  <c r="BD14" i="1"/>
  <c r="BD247" i="1"/>
  <c r="BD255" i="1" s="1"/>
  <c r="BD164" i="1"/>
  <c r="BD305" i="1"/>
  <c r="BD308" i="1" s="1"/>
  <c r="BD310" i="1" s="1"/>
  <c r="AX358" i="1"/>
  <c r="AU502" i="1"/>
  <c r="AU503" i="1" s="1"/>
  <c r="AU398" i="1"/>
  <c r="AU111" i="1"/>
  <c r="AU37" i="1"/>
  <c r="BA201" i="1"/>
  <c r="BA170" i="1"/>
  <c r="AV20" i="1"/>
  <c r="BJ70" i="1" l="1"/>
  <c r="AV105" i="1"/>
  <c r="BD163" i="1"/>
  <c r="BD316" i="1" s="1"/>
  <c r="BD319" i="1" s="1"/>
  <c r="BD335" i="1" s="1"/>
  <c r="AU38" i="1"/>
  <c r="BD235" i="1"/>
  <c r="BD101" i="1"/>
  <c r="AV126" i="1"/>
  <c r="AX106" i="1"/>
  <c r="AX28" i="1"/>
  <c r="AX31" i="1" s="1"/>
  <c r="BE193" i="1"/>
  <c r="BE166" i="1"/>
  <c r="BE165" i="1"/>
  <c r="BE13" i="1"/>
  <c r="BE229" i="1"/>
  <c r="BE237" i="1" s="1"/>
  <c r="BE14" i="1"/>
  <c r="BE247" i="1"/>
  <c r="BE255" i="1" s="1"/>
  <c r="BE164" i="1"/>
  <c r="BE305" i="1"/>
  <c r="BE308" i="1" s="1"/>
  <c r="BE310" i="1" s="1"/>
  <c r="BC238" i="1"/>
  <c r="BC239" i="1" s="1"/>
  <c r="BD87" i="1"/>
  <c r="AW423" i="1"/>
  <c r="AW425" i="1" s="1"/>
  <c r="AW353" i="1"/>
  <c r="AW116" i="1"/>
  <c r="AW119" i="1" s="1"/>
  <c r="AW99" i="1"/>
  <c r="AW413" i="1"/>
  <c r="AW91" i="1"/>
  <c r="AW416" i="1"/>
  <c r="AW415" i="1"/>
  <c r="AW414" i="1"/>
  <c r="AV421" i="1"/>
  <c r="AV359" i="1"/>
  <c r="AV399" i="1"/>
  <c r="BD422" i="1"/>
  <c r="AX17" i="1"/>
  <c r="AX100" i="1"/>
  <c r="BC256" i="1"/>
  <c r="BC257" i="1" s="1"/>
  <c r="BD88" i="1"/>
  <c r="AZ209" i="1"/>
  <c r="AZ171" i="1" s="1"/>
  <c r="AZ173" i="1" s="1"/>
  <c r="AZ169" i="1"/>
  <c r="AZ177" i="1" s="1"/>
  <c r="BB201" i="1"/>
  <c r="BB170" i="1"/>
  <c r="AY358" i="1"/>
  <c r="BB25" i="1"/>
  <c r="BB108" i="1" s="1"/>
  <c r="AV127" i="1"/>
  <c r="BC214" i="1"/>
  <c r="BC213" i="1"/>
  <c r="BC212" i="1"/>
  <c r="BB24" i="1"/>
  <c r="BB107" i="1" s="1"/>
  <c r="AU331" i="1"/>
  <c r="AU369" i="1"/>
  <c r="BA122" i="1"/>
  <c r="BA178" i="1"/>
  <c r="BA60" i="1" s="1"/>
  <c r="BD253" i="1"/>
  <c r="BD254" i="1" s="1"/>
  <c r="BD124" i="1" s="1"/>
  <c r="BD102" i="1"/>
  <c r="AY106" i="1"/>
  <c r="AY28" i="1"/>
  <c r="AY31" i="1" s="1"/>
  <c r="BA204" i="1"/>
  <c r="BA202" i="1"/>
  <c r="AW127" i="1"/>
  <c r="AW126" i="1"/>
  <c r="AW105" i="1"/>
  <c r="AY100" i="1"/>
  <c r="AY17" i="1"/>
  <c r="BC373" i="1"/>
  <c r="BB454" i="1"/>
  <c r="BF5" i="1"/>
  <c r="BF6" i="1"/>
  <c r="F489" i="1"/>
  <c r="F522" i="1"/>
  <c r="F468" i="1"/>
  <c r="F543" i="1"/>
  <c r="F566" i="1"/>
  <c r="F471" i="1"/>
  <c r="F355" i="1"/>
  <c r="F492" i="1"/>
  <c r="G465" i="1"/>
  <c r="E543" i="1"/>
  <c r="E353" i="1"/>
  <c r="F481" i="1"/>
  <c r="F563" i="1"/>
  <c r="G380" i="1"/>
  <c r="E551" i="1"/>
  <c r="F487" i="1"/>
  <c r="E539" i="1"/>
  <c r="G373" i="1"/>
  <c r="F572" i="1"/>
  <c r="F370" i="1"/>
  <c r="E454" i="1"/>
  <c r="F359" i="1"/>
  <c r="E450" i="1"/>
  <c r="F463" i="1"/>
  <c r="G483" i="1"/>
  <c r="F351" i="1"/>
  <c r="F375" i="1"/>
  <c r="F534" i="1"/>
  <c r="F352" i="1"/>
  <c r="E366" i="1"/>
  <c r="E550" i="1"/>
  <c r="F496" i="1"/>
  <c r="F441" i="1"/>
  <c r="H549" i="1"/>
  <c r="F552" i="1"/>
  <c r="F483" i="1"/>
  <c r="E555" i="1"/>
  <c r="E443" i="1"/>
  <c r="F477" i="1"/>
  <c r="F366" i="1"/>
  <c r="E563" i="1"/>
  <c r="E379" i="1"/>
  <c r="E472" i="1"/>
  <c r="F494" i="1"/>
  <c r="E556" i="1"/>
  <c r="E449" i="1"/>
  <c r="E467" i="1"/>
  <c r="E464" i="1"/>
  <c r="F497" i="1"/>
  <c r="F541" i="1"/>
  <c r="E564" i="1"/>
  <c r="F374" i="1"/>
  <c r="F532" i="1"/>
  <c r="F467" i="1"/>
  <c r="E494" i="1"/>
  <c r="E552" i="1"/>
  <c r="E352" i="1"/>
  <c r="E487" i="1"/>
  <c r="F469" i="1"/>
  <c r="E486" i="1"/>
  <c r="F372" i="1"/>
  <c r="F379" i="1"/>
  <c r="F561" i="1"/>
  <c r="F478" i="1"/>
  <c r="E461" i="1"/>
  <c r="E359" i="1"/>
  <c r="F560" i="1"/>
  <c r="E532" i="1"/>
  <c r="G474" i="1"/>
  <c r="F542" i="1"/>
  <c r="F571" i="1"/>
  <c r="E374" i="1"/>
  <c r="E469" i="1"/>
  <c r="E554" i="1"/>
  <c r="E470" i="1"/>
  <c r="F540" i="1"/>
  <c r="F555" i="1"/>
  <c r="E577" i="1"/>
  <c r="E368" i="1"/>
  <c r="E361" i="1"/>
  <c r="G564" i="1"/>
  <c r="F377" i="1"/>
  <c r="F470" i="1"/>
  <c r="G467" i="1"/>
  <c r="E548" i="1"/>
  <c r="E572" i="1"/>
  <c r="F448" i="1"/>
  <c r="G548" i="1"/>
  <c r="F523" i="1"/>
  <c r="G360" i="1"/>
  <c r="F486" i="1"/>
  <c r="F526" i="1"/>
  <c r="F482" i="1"/>
  <c r="F461" i="1"/>
  <c r="E355" i="1"/>
  <c r="E482" i="1"/>
  <c r="G449" i="1"/>
  <c r="E360" i="1"/>
  <c r="F371" i="1"/>
  <c r="F551" i="1"/>
  <c r="E354" i="1"/>
  <c r="F376" i="1"/>
  <c r="F472" i="1"/>
  <c r="G522" i="1"/>
  <c r="E562" i="1"/>
  <c r="E474" i="1"/>
  <c r="F462" i="1"/>
  <c r="H568" i="1"/>
  <c r="G448" i="1"/>
  <c r="G572" i="1"/>
  <c r="H488" i="1"/>
  <c r="H358" i="1"/>
  <c r="G376" i="1"/>
  <c r="G486" i="1"/>
  <c r="F454" i="1"/>
  <c r="F521" i="1"/>
  <c r="F455" i="1"/>
  <c r="F539" i="1"/>
  <c r="F564" i="1"/>
  <c r="H454" i="1"/>
  <c r="F358" i="1"/>
  <c r="F474" i="1"/>
  <c r="E566" i="1"/>
  <c r="E560" i="1"/>
  <c r="E483" i="1"/>
  <c r="G566" i="1"/>
  <c r="F459" i="1"/>
  <c r="F556" i="1"/>
  <c r="F554" i="1"/>
  <c r="F491" i="1"/>
  <c r="F442" i="1"/>
  <c r="F361" i="1"/>
  <c r="E527" i="1"/>
  <c r="E549" i="1"/>
  <c r="F493" i="1"/>
  <c r="G366" i="1"/>
  <c r="E442" i="1"/>
  <c r="F356" i="1"/>
  <c r="G355" i="1"/>
  <c r="G367" i="1"/>
  <c r="G558" i="1"/>
  <c r="G554" i="1"/>
  <c r="G561" i="1"/>
  <c r="G470" i="1"/>
  <c r="H524" i="1"/>
  <c r="G570" i="1"/>
  <c r="H470" i="1"/>
  <c r="G453" i="1"/>
  <c r="E465" i="1"/>
  <c r="F373" i="1"/>
  <c r="F553" i="1"/>
  <c r="H366" i="1"/>
  <c r="F378" i="1"/>
  <c r="H542" i="1"/>
  <c r="G356" i="1"/>
  <c r="G459" i="1"/>
  <c r="G490" i="1"/>
  <c r="E477" i="1"/>
  <c r="E525" i="1"/>
  <c r="F464" i="1"/>
  <c r="F562" i="1"/>
  <c r="E497" i="1"/>
  <c r="E523" i="1"/>
  <c r="F490" i="1"/>
  <c r="F531" i="1"/>
  <c r="E524" i="1"/>
  <c r="E463" i="1"/>
  <c r="E370" i="1"/>
  <c r="E387" i="1" s="1"/>
  <c r="E372" i="1"/>
  <c r="G562" i="1"/>
  <c r="H559" i="1"/>
  <c r="H463" i="1"/>
  <c r="H489" i="1"/>
  <c r="G460" i="1"/>
  <c r="G489" i="1"/>
  <c r="G563" i="1"/>
  <c r="G557" i="1"/>
  <c r="H441" i="1"/>
  <c r="H566" i="1"/>
  <c r="E378" i="1"/>
  <c r="E453" i="1"/>
  <c r="E356" i="1"/>
  <c r="G553" i="1"/>
  <c r="F380" i="1"/>
  <c r="F354" i="1"/>
  <c r="G555" i="1"/>
  <c r="H525" i="1"/>
  <c r="I563" i="1"/>
  <c r="I477" i="1"/>
  <c r="H522" i="1"/>
  <c r="G371" i="1"/>
  <c r="G418" i="1" s="1"/>
  <c r="H548" i="1"/>
  <c r="G468" i="1"/>
  <c r="G379" i="1"/>
  <c r="I560" i="1"/>
  <c r="G541" i="1"/>
  <c r="G525" i="1"/>
  <c r="G478" i="1"/>
  <c r="F465" i="1"/>
  <c r="E561" i="1"/>
  <c r="F569" i="1"/>
  <c r="E371" i="1"/>
  <c r="E418" i="1" s="1"/>
  <c r="G378" i="1"/>
  <c r="E533" i="1"/>
  <c r="H372" i="1"/>
  <c r="G454" i="1"/>
  <c r="F484" i="1"/>
  <c r="F527" i="1"/>
  <c r="E351" i="1"/>
  <c r="E496" i="1"/>
  <c r="E541" i="1"/>
  <c r="E535" i="1"/>
  <c r="H562" i="1"/>
  <c r="H468" i="1"/>
  <c r="G533" i="1"/>
  <c r="G487" i="1"/>
  <c r="E542" i="1"/>
  <c r="E441" i="1"/>
  <c r="E489" i="1"/>
  <c r="E569" i="1"/>
  <c r="F565" i="1"/>
  <c r="H534" i="1"/>
  <c r="G531" i="1"/>
  <c r="H485" i="1"/>
  <c r="E558" i="1"/>
  <c r="F535" i="1"/>
  <c r="F536" i="1" s="1"/>
  <c r="F435" i="1"/>
  <c r="E522" i="1"/>
  <c r="F488" i="1"/>
  <c r="F450" i="1"/>
  <c r="G534" i="1"/>
  <c r="G523" i="1"/>
  <c r="G353" i="1"/>
  <c r="H531" i="1"/>
  <c r="G472" i="1"/>
  <c r="G524" i="1"/>
  <c r="I454" i="1"/>
  <c r="I356" i="1"/>
  <c r="I497" i="1"/>
  <c r="I491" i="1"/>
  <c r="H553" i="1"/>
  <c r="H471" i="1"/>
  <c r="G550" i="1"/>
  <c r="H351" i="1"/>
  <c r="H540" i="1"/>
  <c r="H533" i="1"/>
  <c r="G481" i="1"/>
  <c r="H557" i="1"/>
  <c r="G539" i="1"/>
  <c r="H526" i="1"/>
  <c r="F559" i="1"/>
  <c r="F360" i="1"/>
  <c r="E373" i="1"/>
  <c r="E478" i="1"/>
  <c r="E559" i="1"/>
  <c r="E362" i="1"/>
  <c r="H449" i="1"/>
  <c r="G443" i="1"/>
  <c r="H376" i="1"/>
  <c r="G375" i="1"/>
  <c r="E490" i="1"/>
  <c r="E448" i="1"/>
  <c r="E567" i="1"/>
  <c r="E455" i="1"/>
  <c r="E462" i="1"/>
  <c r="H565" i="1"/>
  <c r="G535" i="1"/>
  <c r="G536" i="1" s="1"/>
  <c r="E367" i="1"/>
  <c r="E435" i="1"/>
  <c r="F449" i="1"/>
  <c r="E565" i="1"/>
  <c r="F444" i="1"/>
  <c r="E526" i="1"/>
  <c r="G568" i="1"/>
  <c r="F557" i="1"/>
  <c r="G462" i="1"/>
  <c r="F353" i="1"/>
  <c r="F570" i="1"/>
  <c r="F475" i="1"/>
  <c r="E568" i="1"/>
  <c r="F567" i="1"/>
  <c r="H492" i="1"/>
  <c r="G488" i="1"/>
  <c r="G482" i="1"/>
  <c r="H378" i="1"/>
  <c r="I525" i="1"/>
  <c r="H465" i="1"/>
  <c r="G464" i="1"/>
  <c r="H453" i="1"/>
  <c r="G477" i="1"/>
  <c r="H469" i="1"/>
  <c r="I532" i="1"/>
  <c r="I490" i="1"/>
  <c r="H355" i="1"/>
  <c r="G377" i="1"/>
  <c r="G370" i="1"/>
  <c r="G387" i="1" s="1"/>
  <c r="H539" i="1"/>
  <c r="I561" i="1"/>
  <c r="H560" i="1"/>
  <c r="H380" i="1"/>
  <c r="G463" i="1"/>
  <c r="E377" i="1"/>
  <c r="E531" i="1"/>
  <c r="F443" i="1"/>
  <c r="E380" i="1"/>
  <c r="E491" i="1"/>
  <c r="F547" i="1"/>
  <c r="E484" i="1"/>
  <c r="E547" i="1"/>
  <c r="G532" i="1"/>
  <c r="H482" i="1"/>
  <c r="H547" i="1"/>
  <c r="H450" i="1"/>
  <c r="G461" i="1"/>
  <c r="E540" i="1"/>
  <c r="F485" i="1"/>
  <c r="E376" i="1"/>
  <c r="E456" i="1"/>
  <c r="H466" i="1"/>
  <c r="G493" i="1"/>
  <c r="E358" i="1"/>
  <c r="F550" i="1"/>
  <c r="F525" i="1"/>
  <c r="E553" i="1"/>
  <c r="F453" i="1"/>
  <c r="H487" i="1"/>
  <c r="H577" i="1"/>
  <c r="G469" i="1"/>
  <c r="H352" i="1"/>
  <c r="G571" i="1"/>
  <c r="F533" i="1"/>
  <c r="E459" i="1"/>
  <c r="F524" i="1"/>
  <c r="E570" i="1"/>
  <c r="E471" i="1"/>
  <c r="H551" i="1"/>
  <c r="G352" i="1"/>
  <c r="G540" i="1"/>
  <c r="I378" i="1"/>
  <c r="I474" i="1"/>
  <c r="F368" i="1"/>
  <c r="H486" i="1"/>
  <c r="G351" i="1"/>
  <c r="H527" i="1"/>
  <c r="H477" i="1"/>
  <c r="H368" i="1"/>
  <c r="G549" i="1"/>
  <c r="I577" i="1"/>
  <c r="G492" i="1"/>
  <c r="H443" i="1"/>
  <c r="G521" i="1"/>
  <c r="G567" i="1"/>
  <c r="H494" i="1"/>
  <c r="I450" i="1"/>
  <c r="H361" i="1"/>
  <c r="G565" i="1"/>
  <c r="G560" i="1"/>
  <c r="H377" i="1"/>
  <c r="G542" i="1"/>
  <c r="E468" i="1"/>
  <c r="E475" i="1"/>
  <c r="E481" i="1"/>
  <c r="E534" i="1"/>
  <c r="G450" i="1"/>
  <c r="E571" i="1"/>
  <c r="G354" i="1"/>
  <c r="G444" i="1"/>
  <c r="F362" i="1"/>
  <c r="F549" i="1"/>
  <c r="F568" i="1"/>
  <c r="F367" i="1"/>
  <c r="F460" i="1"/>
  <c r="F456" i="1"/>
  <c r="E493" i="1"/>
  <c r="F558" i="1"/>
  <c r="E460" i="1"/>
  <c r="E557" i="1"/>
  <c r="E444" i="1"/>
  <c r="G543" i="1"/>
  <c r="G544" i="1" s="1"/>
  <c r="E375" i="1"/>
  <c r="H359" i="1"/>
  <c r="H448" i="1"/>
  <c r="G374" i="1"/>
  <c r="H554" i="1"/>
  <c r="E485" i="1"/>
  <c r="E492" i="1"/>
  <c r="E521" i="1"/>
  <c r="G491" i="1"/>
  <c r="F548" i="1"/>
  <c r="G441" i="1"/>
  <c r="G527" i="1"/>
  <c r="G528" i="1" s="1"/>
  <c r="H491" i="1"/>
  <c r="H532" i="1"/>
  <c r="H570" i="1"/>
  <c r="G497" i="1"/>
  <c r="H444" i="1"/>
  <c r="G551" i="1"/>
  <c r="H563" i="1"/>
  <c r="H521" i="1"/>
  <c r="I547" i="1"/>
  <c r="I531" i="1"/>
  <c r="J453" i="1"/>
  <c r="J493" i="1"/>
  <c r="I559" i="1"/>
  <c r="I540" i="1"/>
  <c r="J560" i="1"/>
  <c r="G547" i="1"/>
  <c r="G475" i="1"/>
  <c r="H461" i="1"/>
  <c r="H435" i="1"/>
  <c r="H360" i="1"/>
  <c r="G442" i="1"/>
  <c r="I549" i="1"/>
  <c r="I372" i="1"/>
  <c r="J462" i="1"/>
  <c r="I448" i="1"/>
  <c r="F577" i="1"/>
  <c r="G455" i="1"/>
  <c r="I459" i="1"/>
  <c r="I366" i="1"/>
  <c r="I542" i="1"/>
  <c r="I485" i="1"/>
  <c r="I361" i="1"/>
  <c r="G372" i="1"/>
  <c r="G361" i="1"/>
  <c r="I564" i="1"/>
  <c r="I557" i="1"/>
  <c r="J566" i="1"/>
  <c r="J548" i="1"/>
  <c r="J376" i="1"/>
  <c r="J474" i="1"/>
  <c r="F466" i="1"/>
  <c r="I354" i="1"/>
  <c r="G556" i="1"/>
  <c r="H456" i="1"/>
  <c r="I484" i="1"/>
  <c r="J556" i="1"/>
  <c r="I568" i="1"/>
  <c r="J359" i="1"/>
  <c r="I380" i="1"/>
  <c r="G552" i="1"/>
  <c r="G485" i="1"/>
  <c r="J356" i="1"/>
  <c r="I471" i="1"/>
  <c r="I368" i="1"/>
  <c r="H484" i="1"/>
  <c r="G358" i="1"/>
  <c r="I570" i="1"/>
  <c r="J547" i="1"/>
  <c r="G456" i="1"/>
  <c r="H550" i="1"/>
  <c r="H541" i="1"/>
  <c r="I375" i="1"/>
  <c r="J496" i="1"/>
  <c r="I370" i="1"/>
  <c r="I387" i="1" s="1"/>
  <c r="I551" i="1"/>
  <c r="I435" i="1"/>
  <c r="H496" i="1"/>
  <c r="I455" i="1"/>
  <c r="G466" i="1"/>
  <c r="H569" i="1"/>
  <c r="I543" i="1"/>
  <c r="I379" i="1"/>
  <c r="H362" i="1"/>
  <c r="I488" i="1"/>
  <c r="H353" i="1"/>
  <c r="H464" i="1"/>
  <c r="H375" i="1"/>
  <c r="I523" i="1"/>
  <c r="I493" i="1"/>
  <c r="H572" i="1"/>
  <c r="H474" i="1"/>
  <c r="I470" i="1"/>
  <c r="H490" i="1"/>
  <c r="I541" i="1"/>
  <c r="J379" i="1"/>
  <c r="J540" i="1"/>
  <c r="J531" i="1"/>
  <c r="J562" i="1"/>
  <c r="J491" i="1"/>
  <c r="J483" i="1"/>
  <c r="G559" i="1"/>
  <c r="H571" i="1"/>
  <c r="G471" i="1"/>
  <c r="I486" i="1"/>
  <c r="H478" i="1"/>
  <c r="H356" i="1"/>
  <c r="J557" i="1"/>
  <c r="I469" i="1"/>
  <c r="J370" i="1"/>
  <c r="H354" i="1"/>
  <c r="H558" i="1"/>
  <c r="I567" i="1"/>
  <c r="H497" i="1"/>
  <c r="H493" i="1"/>
  <c r="G569" i="1"/>
  <c r="H523" i="1"/>
  <c r="G577" i="1"/>
  <c r="I367" i="1"/>
  <c r="H367" i="1"/>
  <c r="I571" i="1"/>
  <c r="G496" i="1"/>
  <c r="I376" i="1"/>
  <c r="G435" i="1"/>
  <c r="H370" i="1"/>
  <c r="H387" i="1" s="1"/>
  <c r="H481" i="1"/>
  <c r="H564" i="1"/>
  <c r="I377" i="1"/>
  <c r="J541" i="1"/>
  <c r="J568" i="1"/>
  <c r="I496" i="1"/>
  <c r="J472" i="1"/>
  <c r="J435" i="1"/>
  <c r="I481" i="1"/>
  <c r="H379" i="1"/>
  <c r="H567" i="1"/>
  <c r="H442" i="1"/>
  <c r="I534" i="1"/>
  <c r="J487" i="1"/>
  <c r="I464" i="1"/>
  <c r="J563" i="1"/>
  <c r="I449" i="1"/>
  <c r="H543" i="1"/>
  <c r="H544" i="1" s="1"/>
  <c r="H371" i="1"/>
  <c r="H418" i="1" s="1"/>
  <c r="H472" i="1"/>
  <c r="H561" i="1"/>
  <c r="I461" i="1"/>
  <c r="I359" i="1"/>
  <c r="I355" i="1"/>
  <c r="I562" i="1"/>
  <c r="G494" i="1"/>
  <c r="G362" i="1"/>
  <c r="H459" i="1"/>
  <c r="I554" i="1"/>
  <c r="J443" i="1"/>
  <c r="I460" i="1"/>
  <c r="G526" i="1"/>
  <c r="H483" i="1"/>
  <c r="I482" i="1"/>
  <c r="H467" i="1"/>
  <c r="H552" i="1"/>
  <c r="J373" i="1"/>
  <c r="I526" i="1"/>
  <c r="I352" i="1"/>
  <c r="H535" i="1"/>
  <c r="H536" i="1" s="1"/>
  <c r="I572" i="1"/>
  <c r="H462" i="1"/>
  <c r="H374" i="1"/>
  <c r="I441" i="1"/>
  <c r="G368" i="1"/>
  <c r="I535" i="1"/>
  <c r="I536" i="1" s="1"/>
  <c r="J466" i="1"/>
  <c r="I444" i="1"/>
  <c r="I566" i="1"/>
  <c r="H555" i="1"/>
  <c r="I472" i="1"/>
  <c r="G484" i="1"/>
  <c r="I443" i="1"/>
  <c r="H475" i="1"/>
  <c r="H556" i="1"/>
  <c r="H455" i="1"/>
  <c r="I373" i="1"/>
  <c r="I475" i="1"/>
  <c r="H460" i="1"/>
  <c r="G359" i="1"/>
  <c r="I522" i="1"/>
  <c r="H373" i="1"/>
  <c r="I465" i="1"/>
  <c r="J354" i="1"/>
  <c r="I565" i="1"/>
  <c r="L577" i="1"/>
  <c r="J550" i="1"/>
  <c r="I362" i="1"/>
  <c r="J448" i="1"/>
  <c r="I466" i="1"/>
  <c r="J367" i="1"/>
  <c r="J449" i="1"/>
  <c r="J533" i="1"/>
  <c r="I442" i="1"/>
  <c r="I533" i="1"/>
  <c r="J366" i="1"/>
  <c r="J577" i="1"/>
  <c r="J525" i="1"/>
  <c r="J526" i="1"/>
  <c r="I555" i="1"/>
  <c r="I463" i="1"/>
  <c r="I374" i="1"/>
  <c r="J522" i="1"/>
  <c r="I489" i="1"/>
  <c r="I527" i="1"/>
  <c r="J455" i="1"/>
  <c r="J489" i="1"/>
  <c r="J486" i="1"/>
  <c r="J352" i="1"/>
  <c r="J360" i="1"/>
  <c r="I556" i="1"/>
  <c r="I478" i="1"/>
  <c r="I550" i="1"/>
  <c r="I467" i="1"/>
  <c r="J553" i="1"/>
  <c r="I351" i="1"/>
  <c r="J565" i="1"/>
  <c r="J564" i="1"/>
  <c r="J467" i="1"/>
  <c r="J569" i="1"/>
  <c r="I494" i="1"/>
  <c r="J463" i="1"/>
  <c r="J534" i="1"/>
  <c r="J527" i="1"/>
  <c r="J477" i="1"/>
  <c r="J542" i="1"/>
  <c r="J567" i="1"/>
  <c r="I483" i="1"/>
  <c r="I569" i="1"/>
  <c r="J481" i="1"/>
  <c r="L563" i="1"/>
  <c r="L483" i="1"/>
  <c r="J572" i="1"/>
  <c r="J461" i="1"/>
  <c r="I539" i="1"/>
  <c r="I456" i="1"/>
  <c r="J521" i="1"/>
  <c r="J441" i="1"/>
  <c r="J459" i="1"/>
  <c r="J380" i="1"/>
  <c r="I453" i="1"/>
  <c r="J570" i="1"/>
  <c r="J468" i="1"/>
  <c r="L378" i="1"/>
  <c r="K541" i="1"/>
  <c r="L469" i="1"/>
  <c r="L377" i="1"/>
  <c r="J539" i="1"/>
  <c r="J552" i="1"/>
  <c r="L487" i="1"/>
  <c r="J372" i="1"/>
  <c r="L547" i="1"/>
  <c r="K558" i="1"/>
  <c r="J478" i="1"/>
  <c r="I524" i="1"/>
  <c r="L551" i="1"/>
  <c r="J368" i="1"/>
  <c r="J351" i="1"/>
  <c r="I353" i="1"/>
  <c r="J485" i="1"/>
  <c r="K455" i="1"/>
  <c r="K375" i="1"/>
  <c r="L557" i="1"/>
  <c r="L523" i="1"/>
  <c r="I548" i="1"/>
  <c r="J484" i="1"/>
  <c r="L553" i="1"/>
  <c r="L549" i="1"/>
  <c r="J535" i="1"/>
  <c r="J536" i="1" s="1"/>
  <c r="J375" i="1"/>
  <c r="J549" i="1"/>
  <c r="I462" i="1"/>
  <c r="I468" i="1"/>
  <c r="L454" i="1"/>
  <c r="L356" i="1"/>
  <c r="I371" i="1"/>
  <c r="J355" i="1"/>
  <c r="J470" i="1"/>
  <c r="I487" i="1"/>
  <c r="I553" i="1"/>
  <c r="J543" i="1"/>
  <c r="L569" i="1"/>
  <c r="J554" i="1"/>
  <c r="L555" i="1"/>
  <c r="I521" i="1"/>
  <c r="J551" i="1"/>
  <c r="L461" i="1"/>
  <c r="J490" i="1"/>
  <c r="J454" i="1"/>
  <c r="J532" i="1"/>
  <c r="I360" i="1"/>
  <c r="J377" i="1"/>
  <c r="L527" i="1"/>
  <c r="K352" i="1"/>
  <c r="K468" i="1"/>
  <c r="L522" i="1"/>
  <c r="L562" i="1"/>
  <c r="K552" i="1"/>
  <c r="J464" i="1"/>
  <c r="J362" i="1"/>
  <c r="J442" i="1"/>
  <c r="J488" i="1"/>
  <c r="J371" i="1"/>
  <c r="J492" i="1"/>
  <c r="J471" i="1"/>
  <c r="L484" i="1"/>
  <c r="L532" i="1"/>
  <c r="L490" i="1"/>
  <c r="J378" i="1"/>
  <c r="J523" i="1"/>
  <c r="J460" i="1"/>
  <c r="I552" i="1"/>
  <c r="J558" i="1"/>
  <c r="J469" i="1"/>
  <c r="L556" i="1"/>
  <c r="J444" i="1"/>
  <c r="J482" i="1"/>
  <c r="J456" i="1"/>
  <c r="J374" i="1"/>
  <c r="I492" i="1"/>
  <c r="J358" i="1"/>
  <c r="J475" i="1"/>
  <c r="L572" i="1"/>
  <c r="J450" i="1"/>
  <c r="J361" i="1"/>
  <c r="J524" i="1"/>
  <c r="L366" i="1"/>
  <c r="K539" i="1"/>
  <c r="L474" i="1"/>
  <c r="J559" i="1"/>
  <c r="K486" i="1"/>
  <c r="K487" i="1"/>
  <c r="J353" i="1"/>
  <c r="M570" i="1"/>
  <c r="J494" i="1"/>
  <c r="L525" i="1"/>
  <c r="K549" i="1"/>
  <c r="I558" i="1"/>
  <c r="I358" i="1"/>
  <c r="L492" i="1"/>
  <c r="J571" i="1"/>
  <c r="L465" i="1"/>
  <c r="J555" i="1"/>
  <c r="L524" i="1"/>
  <c r="J561" i="1"/>
  <c r="J465" i="1"/>
  <c r="J497" i="1"/>
  <c r="K449" i="1"/>
  <c r="L570" i="1"/>
  <c r="M564" i="1"/>
  <c r="K567" i="1"/>
  <c r="M368" i="1"/>
  <c r="M465" i="1"/>
  <c r="K553" i="1"/>
  <c r="L467" i="1"/>
  <c r="M487" i="1"/>
  <c r="M470" i="1"/>
  <c r="M366" i="1"/>
  <c r="M567" i="1"/>
  <c r="L552" i="1"/>
  <c r="K548" i="1"/>
  <c r="M554" i="1"/>
  <c r="L561" i="1"/>
  <c r="K572" i="1"/>
  <c r="L541" i="1"/>
  <c r="K485" i="1"/>
  <c r="M467" i="1"/>
  <c r="M553" i="1"/>
  <c r="M543" i="1"/>
  <c r="K550" i="1"/>
  <c r="K380" i="1"/>
  <c r="K454" i="1"/>
  <c r="K459" i="1"/>
  <c r="K373" i="1"/>
  <c r="M521" i="1"/>
  <c r="M484" i="1"/>
  <c r="M558" i="1"/>
  <c r="M571" i="1"/>
  <c r="K522" i="1"/>
  <c r="K489" i="1"/>
  <c r="M561" i="1"/>
  <c r="L540" i="1"/>
  <c r="M356" i="1"/>
  <c r="L567" i="1"/>
  <c r="M362" i="1"/>
  <c r="M461" i="1"/>
  <c r="K524" i="1"/>
  <c r="K571" i="1"/>
  <c r="K531" i="1"/>
  <c r="K492" i="1"/>
  <c r="M463" i="1"/>
  <c r="K463" i="1"/>
  <c r="K532" i="1"/>
  <c r="M460" i="1"/>
  <c r="K570" i="1"/>
  <c r="M547" i="1"/>
  <c r="M550" i="1"/>
  <c r="K526" i="1"/>
  <c r="L486" i="1"/>
  <c r="L380" i="1"/>
  <c r="M557" i="1"/>
  <c r="M372" i="1"/>
  <c r="L533" i="1"/>
  <c r="L534" i="1"/>
  <c r="L568" i="1"/>
  <c r="K523" i="1"/>
  <c r="L352" i="1"/>
  <c r="K362" i="1"/>
  <c r="K483" i="1"/>
  <c r="M555" i="1"/>
  <c r="M477" i="1"/>
  <c r="K566" i="1"/>
  <c r="K470" i="1"/>
  <c r="L371" i="1"/>
  <c r="M560" i="1"/>
  <c r="M542" i="1"/>
  <c r="M527" i="1"/>
  <c r="K527" i="1"/>
  <c r="K528" i="1" s="1"/>
  <c r="M462" i="1"/>
  <c r="M371" i="1"/>
  <c r="K462" i="1"/>
  <c r="L373" i="1"/>
  <c r="K525" i="1"/>
  <c r="L459" i="1"/>
  <c r="L361" i="1"/>
  <c r="M577" i="1"/>
  <c r="K377" i="1"/>
  <c r="M534" i="1"/>
  <c r="M492" i="1"/>
  <c r="M540" i="1"/>
  <c r="M539" i="1"/>
  <c r="M468" i="1"/>
  <c r="K547" i="1"/>
  <c r="K556" i="1"/>
  <c r="K577" i="1"/>
  <c r="M531" i="1"/>
  <c r="L543" i="1"/>
  <c r="K356" i="1"/>
  <c r="K361" i="1"/>
  <c r="M488" i="1"/>
  <c r="L463" i="1"/>
  <c r="M489" i="1"/>
  <c r="K521" i="1"/>
  <c r="M541" i="1"/>
  <c r="M548" i="1"/>
  <c r="M551" i="1"/>
  <c r="K543" i="1"/>
  <c r="M380" i="1"/>
  <c r="K561" i="1"/>
  <c r="M532" i="1"/>
  <c r="M483" i="1"/>
  <c r="K467" i="1"/>
  <c r="L464" i="1"/>
  <c r="M486" i="1"/>
  <c r="L566" i="1"/>
  <c r="K466" i="1"/>
  <c r="K460" i="1"/>
  <c r="M552" i="1"/>
  <c r="K484" i="1"/>
  <c r="M566" i="1"/>
  <c r="K482" i="1"/>
  <c r="K564" i="1"/>
  <c r="K464" i="1"/>
  <c r="M556" i="1"/>
  <c r="M481" i="1"/>
  <c r="M549" i="1"/>
  <c r="K562" i="1"/>
  <c r="K358" i="1"/>
  <c r="M526" i="1"/>
  <c r="L571" i="1"/>
  <c r="L375" i="1"/>
  <c r="K461" i="1"/>
  <c r="L477" i="1"/>
  <c r="K435" i="1"/>
  <c r="M563" i="1"/>
  <c r="M559" i="1"/>
  <c r="L554" i="1"/>
  <c r="L435" i="1"/>
  <c r="L521" i="1"/>
  <c r="M378" i="1"/>
  <c r="M569" i="1"/>
  <c r="L526" i="1"/>
  <c r="K371" i="1"/>
  <c r="K469" i="1"/>
  <c r="L550" i="1"/>
  <c r="L535" i="1"/>
  <c r="M374" i="1"/>
  <c r="L372" i="1"/>
  <c r="L539" i="1"/>
  <c r="K477" i="1"/>
  <c r="M525" i="1"/>
  <c r="L462" i="1"/>
  <c r="L559" i="1"/>
  <c r="K569" i="1"/>
  <c r="K560" i="1"/>
  <c r="K551" i="1"/>
  <c r="L368" i="1"/>
  <c r="L489" i="1"/>
  <c r="L449" i="1"/>
  <c r="K378" i="1"/>
  <c r="M469" i="1"/>
  <c r="L565" i="1"/>
  <c r="M523" i="1"/>
  <c r="K540" i="1"/>
  <c r="M435" i="1"/>
  <c r="L542" i="1"/>
  <c r="L374" i="1"/>
  <c r="M485" i="1"/>
  <c r="M491" i="1"/>
  <c r="K555" i="1"/>
  <c r="K535" i="1"/>
  <c r="M572" i="1"/>
  <c r="L460" i="1"/>
  <c r="L548" i="1"/>
  <c r="K563" i="1"/>
  <c r="K565" i="1"/>
  <c r="L491" i="1"/>
  <c r="L466" i="1"/>
  <c r="M375" i="1"/>
  <c r="L531" i="1"/>
  <c r="L481" i="1"/>
  <c r="L470" i="1"/>
  <c r="M482" i="1"/>
  <c r="K542" i="1"/>
  <c r="L485" i="1"/>
  <c r="M535" i="1"/>
  <c r="L488" i="1"/>
  <c r="K557" i="1"/>
  <c r="L560" i="1"/>
  <c r="M449" i="1"/>
  <c r="M466" i="1"/>
  <c r="M565" i="1"/>
  <c r="L482" i="1"/>
  <c r="M522" i="1"/>
  <c r="K491" i="1"/>
  <c r="K481" i="1"/>
  <c r="K488" i="1"/>
  <c r="K533" i="1"/>
  <c r="K368" i="1"/>
  <c r="K534" i="1"/>
  <c r="M524" i="1"/>
  <c r="M464" i="1"/>
  <c r="K374" i="1"/>
  <c r="M474" i="1"/>
  <c r="M352" i="1"/>
  <c r="M562" i="1"/>
  <c r="K554" i="1"/>
  <c r="L468" i="1"/>
  <c r="M533" i="1"/>
  <c r="K559" i="1"/>
  <c r="K490" i="1"/>
  <c r="L558" i="1"/>
  <c r="K366" i="1"/>
  <c r="L564" i="1"/>
  <c r="M568" i="1"/>
  <c r="M459" i="1"/>
  <c r="K474" i="1"/>
  <c r="M361" i="1"/>
  <c r="L455" i="1"/>
  <c r="L362" i="1"/>
  <c r="K568" i="1"/>
  <c r="M377" i="1"/>
  <c r="M490" i="1"/>
  <c r="K465" i="1"/>
  <c r="K372" i="1"/>
  <c r="M455" i="1"/>
  <c r="BA172" i="1"/>
  <c r="BB86" i="1"/>
  <c r="AV423" i="1"/>
  <c r="AV425" i="1" s="1"/>
  <c r="AV353" i="1"/>
  <c r="AV116" i="1"/>
  <c r="AV119" i="1" s="1"/>
  <c r="AV99" i="1"/>
  <c r="AV91" i="1"/>
  <c r="AV413" i="1"/>
  <c r="AV416" i="1"/>
  <c r="AV415" i="1"/>
  <c r="AV414" i="1"/>
  <c r="AU504" i="1"/>
  <c r="BD311" i="1"/>
  <c r="BD313" i="1" s="1"/>
  <c r="BD40" i="1" s="1"/>
  <c r="BD327" i="1" s="1"/>
  <c r="BD295" i="1"/>
  <c r="BD296" i="1" s="1"/>
  <c r="BD297" i="1" s="1"/>
  <c r="BD236" i="1"/>
  <c r="BD123" i="1" s="1"/>
  <c r="BD219" i="1"/>
  <c r="BD195" i="1"/>
  <c r="BD194" i="1"/>
  <c r="AV502" i="1"/>
  <c r="AV503" i="1" s="1"/>
  <c r="AV111" i="1"/>
  <c r="BB200" i="1"/>
  <c r="D207" i="1"/>
  <c r="BC196" i="1"/>
  <c r="BC205" i="1" s="1"/>
  <c r="BC208" i="1" s="1"/>
  <c r="BC200" i="1"/>
  <c r="AV131" i="1"/>
  <c r="AV132" i="1"/>
  <c r="AV133" i="1"/>
  <c r="AV130" i="1"/>
  <c r="J418" i="1" l="1"/>
  <c r="H528" i="1"/>
  <c r="H501" i="1"/>
  <c r="M536" i="1"/>
  <c r="L536" i="1"/>
  <c r="J544" i="1"/>
  <c r="I544" i="1"/>
  <c r="BE163" i="1"/>
  <c r="AU355" i="1"/>
  <c r="L544" i="1"/>
  <c r="L528" i="1"/>
  <c r="BJ71" i="1"/>
  <c r="AV258" i="1"/>
  <c r="AV259" i="1" s="1"/>
  <c r="BD212" i="1"/>
  <c r="BD214" i="1"/>
  <c r="BD213" i="1"/>
  <c r="I418" i="1"/>
  <c r="J369" i="1"/>
  <c r="J381" i="1" s="1"/>
  <c r="H386" i="1"/>
  <c r="H389" i="1" s="1"/>
  <c r="H388" i="1"/>
  <c r="F500" i="1"/>
  <c r="G500" i="1"/>
  <c r="E357" i="1"/>
  <c r="E2" i="1"/>
  <c r="E528" i="1"/>
  <c r="AW367" i="1"/>
  <c r="AW354" i="1"/>
  <c r="BA209" i="1"/>
  <c r="BA171" i="1" s="1"/>
  <c r="BA173" i="1" s="1"/>
  <c r="BA169" i="1"/>
  <c r="BA177" i="1" s="1"/>
  <c r="AZ358" i="1"/>
  <c r="AZ179" i="1"/>
  <c r="AZ61" i="1" s="1"/>
  <c r="AZ59" i="1"/>
  <c r="AZ12" i="1" s="1"/>
  <c r="BE311" i="1"/>
  <c r="BE313" i="1" s="1"/>
  <c r="BE40" i="1" s="1"/>
  <c r="BE327" i="1" s="1"/>
  <c r="BE295" i="1"/>
  <c r="BE296" i="1" s="1"/>
  <c r="BE297" i="1" s="1"/>
  <c r="BE219" i="1"/>
  <c r="BE195" i="1"/>
  <c r="BE194" i="1"/>
  <c r="AV240" i="1"/>
  <c r="AV241" i="1" s="1"/>
  <c r="BB204" i="1"/>
  <c r="BB202" i="1"/>
  <c r="AV504" i="1"/>
  <c r="K544" i="1"/>
  <c r="M528" i="1"/>
  <c r="J501" i="1"/>
  <c r="I369" i="1"/>
  <c r="I381" i="1" s="1"/>
  <c r="G388" i="1"/>
  <c r="G386" i="1"/>
  <c r="G389" i="1" s="1"/>
  <c r="H357" i="1"/>
  <c r="H2" i="1"/>
  <c r="E536" i="1"/>
  <c r="F528" i="1"/>
  <c r="E386" i="1"/>
  <c r="E389" i="1" s="1"/>
  <c r="E388" i="1"/>
  <c r="H369" i="1"/>
  <c r="H381" i="1" s="1"/>
  <c r="G369" i="1"/>
  <c r="G381" i="1" s="1"/>
  <c r="F369" i="1"/>
  <c r="F381" i="1" s="1"/>
  <c r="F387" i="1"/>
  <c r="F544" i="1"/>
  <c r="BF193" i="1"/>
  <c r="BF166" i="1"/>
  <c r="BF13" i="1"/>
  <c r="BF165" i="1"/>
  <c r="BF229" i="1"/>
  <c r="BF14" i="1"/>
  <c r="BF247" i="1"/>
  <c r="BF164" i="1"/>
  <c r="BF305" i="1"/>
  <c r="BF308" i="1" s="1"/>
  <c r="BF310" i="1" s="1"/>
  <c r="AZ23" i="1"/>
  <c r="AX19" i="1"/>
  <c r="AY19" i="1" s="1"/>
  <c r="AV429" i="1"/>
  <c r="AV360" i="1"/>
  <c r="BE316" i="1"/>
  <c r="BE319" i="1" s="1"/>
  <c r="BE335" i="1" s="1"/>
  <c r="BE235" i="1"/>
  <c r="BE236" i="1" s="1"/>
  <c r="BE123" i="1" s="1"/>
  <c r="BE101" i="1"/>
  <c r="AV174" i="1"/>
  <c r="AV175" i="1" s="1"/>
  <c r="BD196" i="1"/>
  <c r="BD205" i="1" s="1"/>
  <c r="BD208" i="1" s="1"/>
  <c r="BB172" i="1"/>
  <c r="BC86" i="1"/>
  <c r="J500" i="1"/>
  <c r="I500" i="1"/>
  <c r="J528" i="1"/>
  <c r="I357" i="1"/>
  <c r="I2" i="1"/>
  <c r="I501" i="1"/>
  <c r="I388" i="1"/>
  <c r="I386" i="1"/>
  <c r="I389" i="1" s="1"/>
  <c r="G357" i="1"/>
  <c r="G2" i="1"/>
  <c r="F418" i="1"/>
  <c r="E500" i="1"/>
  <c r="C119" i="1"/>
  <c r="C229" i="1"/>
  <c r="C227" i="1" s="1"/>
  <c r="C116" i="1"/>
  <c r="C165" i="1"/>
  <c r="C151" i="1" s="1"/>
  <c r="C247" i="1"/>
  <c r="C245" i="1" s="1"/>
  <c r="D323" i="1"/>
  <c r="C226" i="1"/>
  <c r="D23" i="1"/>
  <c r="E199" i="1"/>
  <c r="E198" i="1"/>
  <c r="C326" i="1"/>
  <c r="C580" i="1" s="1"/>
  <c r="D517" i="1"/>
  <c r="E13" i="1"/>
  <c r="D119" i="1"/>
  <c r="C40" i="1"/>
  <c r="E174" i="1"/>
  <c r="E265" i="1"/>
  <c r="E131" i="1"/>
  <c r="C263" i="1"/>
  <c r="C264" i="1" s="1"/>
  <c r="D182" i="1"/>
  <c r="C515" i="1"/>
  <c r="C194" i="1"/>
  <c r="E237" i="1"/>
  <c r="C337" i="1"/>
  <c r="E213" i="1"/>
  <c r="E38" i="1"/>
  <c r="D340" i="1"/>
  <c r="C345" i="1"/>
  <c r="D117" i="1"/>
  <c r="E166" i="1"/>
  <c r="E152" i="1" s="1"/>
  <c r="D515" i="1"/>
  <c r="E171" i="1"/>
  <c r="C12" i="1"/>
  <c r="E319" i="1"/>
  <c r="D325" i="1"/>
  <c r="C25" i="1"/>
  <c r="E32" i="1"/>
  <c r="E93" i="1" s="1"/>
  <c r="E44" i="1"/>
  <c r="D341" i="1"/>
  <c r="D578" i="1" s="1"/>
  <c r="C206" i="1"/>
  <c r="E317" i="1"/>
  <c r="E329" i="1"/>
  <c r="D18" i="1"/>
  <c r="D32" i="1"/>
  <c r="D93" i="1" s="1"/>
  <c r="C54" i="1"/>
  <c r="C330" i="1"/>
  <c r="D144" i="1"/>
  <c r="C335" i="1"/>
  <c r="E24" i="1"/>
  <c r="E107" i="1" s="1"/>
  <c r="E323" i="1"/>
  <c r="C126" i="1"/>
  <c r="E325" i="1"/>
  <c r="D339" i="1"/>
  <c r="D327" i="1"/>
  <c r="E134" i="1"/>
  <c r="C325" i="1"/>
  <c r="E255" i="1"/>
  <c r="E194" i="1"/>
  <c r="E254" i="1"/>
  <c r="D134" i="1"/>
  <c r="D576" i="1"/>
  <c r="E206" i="1"/>
  <c r="E181" i="1"/>
  <c r="E86" i="1"/>
  <c r="E269" i="1"/>
  <c r="C130" i="1"/>
  <c r="E257" i="1"/>
  <c r="D344" i="1"/>
  <c r="C265" i="1"/>
  <c r="C266" i="1" s="1"/>
  <c r="D181" i="1"/>
  <c r="D54" i="1"/>
  <c r="E182" i="1"/>
  <c r="C339" i="1"/>
  <c r="E253" i="1"/>
  <c r="D241" i="1"/>
  <c r="E35" i="1"/>
  <c r="E40" i="1"/>
  <c r="D335" i="1"/>
  <c r="C133" i="1"/>
  <c r="D277" i="1"/>
  <c r="C253" i="1"/>
  <c r="C249" i="1" s="1"/>
  <c r="C71" i="1" s="1"/>
  <c r="C18" i="1"/>
  <c r="D19" i="1"/>
  <c r="C144" i="1"/>
  <c r="E212" i="1"/>
  <c r="E173" i="1"/>
  <c r="C96" i="1"/>
  <c r="C26" i="1"/>
  <c r="C255" i="1"/>
  <c r="C251" i="1" s="1"/>
  <c r="C73" i="1" s="1"/>
  <c r="C16" i="1"/>
  <c r="E434" i="1"/>
  <c r="E345" i="1"/>
  <c r="C329" i="1"/>
  <c r="D47" i="1"/>
  <c r="C207" i="1"/>
  <c r="D259" i="1"/>
  <c r="C145" i="1"/>
  <c r="C332" i="1"/>
  <c r="E125" i="1"/>
  <c r="C317" i="1"/>
  <c r="C434" i="1"/>
  <c r="D14" i="1"/>
  <c r="C88" i="1"/>
  <c r="E34" i="1"/>
  <c r="E94" i="1" s="1"/>
  <c r="E26" i="1"/>
  <c r="E236" i="1"/>
  <c r="C333" i="1"/>
  <c r="E239" i="1"/>
  <c r="D240" i="1"/>
  <c r="E170" i="1"/>
  <c r="C32" i="1"/>
  <c r="D29" i="1"/>
  <c r="C240" i="1"/>
  <c r="E318" i="1"/>
  <c r="E88" i="1"/>
  <c r="D154" i="1"/>
  <c r="D190" i="1"/>
  <c r="E164" i="1"/>
  <c r="E148" i="1" s="1"/>
  <c r="C45" i="1"/>
  <c r="E19" i="1"/>
  <c r="C343" i="1"/>
  <c r="E326" i="1"/>
  <c r="E580" i="1" s="1"/>
  <c r="E339" i="1"/>
  <c r="D90" i="1"/>
  <c r="C90" i="1"/>
  <c r="D433" i="1"/>
  <c r="E235" i="1"/>
  <c r="E29" i="1"/>
  <c r="D36" i="1"/>
  <c r="E15" i="1"/>
  <c r="E144" i="1"/>
  <c r="E208" i="1"/>
  <c r="E263" i="1"/>
  <c r="E241" i="1"/>
  <c r="C319" i="1"/>
  <c r="C30" i="1"/>
  <c r="E145" i="1"/>
  <c r="E190" i="1"/>
  <c r="C342" i="1"/>
  <c r="E132" i="1"/>
  <c r="D15" i="1"/>
  <c r="C29" i="1"/>
  <c r="D38" i="1"/>
  <c r="D173" i="1"/>
  <c r="C140" i="1"/>
  <c r="E25" i="1"/>
  <c r="D343" i="1"/>
  <c r="C331" i="1"/>
  <c r="E209" i="1"/>
  <c r="D126" i="1"/>
  <c r="C183" i="1"/>
  <c r="D342" i="1"/>
  <c r="D324" i="1"/>
  <c r="D421" i="1" s="1"/>
  <c r="C139" i="1"/>
  <c r="C15" i="1"/>
  <c r="D194" i="1"/>
  <c r="E48" i="1"/>
  <c r="E96" i="1"/>
  <c r="D34" i="1"/>
  <c r="D94" i="1" s="1"/>
  <c r="C275" i="1"/>
  <c r="C276" i="1" s="1"/>
  <c r="E204" i="1"/>
  <c r="C433" i="1"/>
  <c r="D26" i="1"/>
  <c r="E46" i="1"/>
  <c r="C277" i="1"/>
  <c r="D145" i="1"/>
  <c r="D175" i="1"/>
  <c r="C517" i="1"/>
  <c r="C163" i="1"/>
  <c r="C147" i="1" s="1"/>
  <c r="F341" i="1"/>
  <c r="F578" i="1" s="1"/>
  <c r="F134" i="1"/>
  <c r="E23" i="1"/>
  <c r="E14" i="1"/>
  <c r="E102" i="1" s="1"/>
  <c r="E433" i="1"/>
  <c r="D27" i="1"/>
  <c r="C35" i="1"/>
  <c r="D257" i="1"/>
  <c r="E335" i="1"/>
  <c r="C117" i="1"/>
  <c r="D140" i="1"/>
  <c r="D130" i="1"/>
  <c r="D226" i="1"/>
  <c r="E183" i="1"/>
  <c r="C38" i="1"/>
  <c r="E338" i="1"/>
  <c r="E342" i="1"/>
  <c r="E277" i="1"/>
  <c r="D53" i="1"/>
  <c r="C134" i="1"/>
  <c r="E331" i="1"/>
  <c r="C241" i="1"/>
  <c r="C344" i="1"/>
  <c r="D13" i="1"/>
  <c r="E117" i="1"/>
  <c r="C239" i="1"/>
  <c r="C235" i="1"/>
  <c r="C231" i="1" s="1"/>
  <c r="C65" i="1" s="1"/>
  <c r="D30" i="1"/>
  <c r="D337" i="1"/>
  <c r="E513" i="1"/>
  <c r="E517" i="1"/>
  <c r="F132" i="1"/>
  <c r="H256" i="1"/>
  <c r="C19" i="1"/>
  <c r="C174" i="1"/>
  <c r="E45" i="1"/>
  <c r="D169" i="1"/>
  <c r="C338" i="1"/>
  <c r="C205" i="1"/>
  <c r="E324" i="1"/>
  <c r="E421" i="1" s="1"/>
  <c r="D319" i="1"/>
  <c r="E275" i="1"/>
  <c r="C124" i="1"/>
  <c r="F344" i="1"/>
  <c r="F340" i="1"/>
  <c r="D139" i="1"/>
  <c r="D329" i="1"/>
  <c r="C154" i="1"/>
  <c r="C258" i="1"/>
  <c r="E515" i="1"/>
  <c r="C257" i="1"/>
  <c r="D331" i="1"/>
  <c r="E130" i="1"/>
  <c r="E54" i="1"/>
  <c r="E139" i="1"/>
  <c r="C181" i="1"/>
  <c r="D263" i="1"/>
  <c r="D264" i="1" s="1"/>
  <c r="E327" i="1"/>
  <c r="D174" i="1"/>
  <c r="C34" i="1"/>
  <c r="C324" i="1"/>
  <c r="C421" i="1" s="1"/>
  <c r="E244" i="1"/>
  <c r="D132" i="1"/>
  <c r="E341" i="1"/>
  <c r="E578" i="1" s="1"/>
  <c r="E47" i="1"/>
  <c r="D198" i="1"/>
  <c r="D45" i="1"/>
  <c r="C244" i="1"/>
  <c r="C175" i="1"/>
  <c r="E140" i="1"/>
  <c r="E16" i="1"/>
  <c r="D317" i="1"/>
  <c r="C44" i="1"/>
  <c r="C236" i="1"/>
  <c r="C232" i="1" s="1"/>
  <c r="C66" i="1" s="1"/>
  <c r="E337" i="1"/>
  <c r="D40" i="1"/>
  <c r="C238" i="1"/>
  <c r="D434" i="1"/>
  <c r="D436" i="1" s="1"/>
  <c r="E18" i="1"/>
  <c r="C195" i="1"/>
  <c r="C340" i="1"/>
  <c r="C576" i="1"/>
  <c r="D12" i="1"/>
  <c r="D275" i="1"/>
  <c r="C190" i="1"/>
  <c r="D265" i="1"/>
  <c r="D266" i="1" s="1"/>
  <c r="C89" i="1"/>
  <c r="F122" i="1"/>
  <c r="C208" i="1"/>
  <c r="D133" i="1"/>
  <c r="E154" i="1"/>
  <c r="C118" i="1"/>
  <c r="D326" i="1"/>
  <c r="D580" i="1" s="1"/>
  <c r="E27" i="1"/>
  <c r="C173" i="1"/>
  <c r="D118" i="1"/>
  <c r="E333" i="1"/>
  <c r="C132" i="1"/>
  <c r="E195" i="1"/>
  <c r="D183" i="1"/>
  <c r="D258" i="1"/>
  <c r="E36" i="1"/>
  <c r="E169" i="1"/>
  <c r="C13" i="1"/>
  <c r="E332" i="1"/>
  <c r="C204" i="1"/>
  <c r="C23" i="1"/>
  <c r="D332" i="1"/>
  <c r="C36" i="1"/>
  <c r="E118" i="1"/>
  <c r="E240" i="1"/>
  <c r="E343" i="1"/>
  <c r="E12" i="1"/>
  <c r="D239" i="1"/>
  <c r="F190" i="1"/>
  <c r="C122" i="1"/>
  <c r="F255" i="1"/>
  <c r="C125" i="1"/>
  <c r="D35" i="1"/>
  <c r="D513" i="1"/>
  <c r="D46" i="1"/>
  <c r="D330" i="1"/>
  <c r="D131" i="1"/>
  <c r="D96" i="1"/>
  <c r="C259" i="1"/>
  <c r="C182" i="1"/>
  <c r="F18" i="1"/>
  <c r="C27" i="1"/>
  <c r="C199" i="1"/>
  <c r="D199" i="1"/>
  <c r="D16" i="1"/>
  <c r="C209" i="1"/>
  <c r="D338" i="1"/>
  <c r="E116" i="1"/>
  <c r="E90" i="1"/>
  <c r="E340" i="1"/>
  <c r="D44" i="1"/>
  <c r="F196" i="1"/>
  <c r="F189" i="1" s="1"/>
  <c r="E119" i="1"/>
  <c r="E576" i="1"/>
  <c r="F124" i="1"/>
  <c r="C198" i="1"/>
  <c r="C53" i="1"/>
  <c r="C513" i="1"/>
  <c r="E259" i="1"/>
  <c r="E30" i="1"/>
  <c r="E330" i="1"/>
  <c r="E258" i="1"/>
  <c r="E126" i="1"/>
  <c r="F343" i="1"/>
  <c r="C172" i="1"/>
  <c r="D25" i="1"/>
  <c r="D108" i="1" s="1"/>
  <c r="C341" i="1"/>
  <c r="C578" i="1" s="1"/>
  <c r="E175" i="1"/>
  <c r="F325" i="1"/>
  <c r="C164" i="1"/>
  <c r="C148" i="1" s="1"/>
  <c r="D48" i="1"/>
  <c r="E53" i="1"/>
  <c r="D333" i="1"/>
  <c r="E344" i="1"/>
  <c r="F182" i="1"/>
  <c r="C46" i="1"/>
  <c r="F331" i="1"/>
  <c r="D195" i="1"/>
  <c r="D253" i="1"/>
  <c r="C169" i="1"/>
  <c r="E271" i="1"/>
  <c r="D235" i="1"/>
  <c r="F174" i="1"/>
  <c r="D206" i="1"/>
  <c r="C213" i="1"/>
  <c r="C48" i="1"/>
  <c r="D24" i="1"/>
  <c r="C131" i="1"/>
  <c r="C24" i="1"/>
  <c r="E226" i="1"/>
  <c r="E133" i="1"/>
  <c r="C14" i="1"/>
  <c r="C237" i="1"/>
  <c r="C233" i="1" s="1"/>
  <c r="C67" i="1" s="1"/>
  <c r="D244" i="1"/>
  <c r="D345" i="1"/>
  <c r="C47" i="1"/>
  <c r="D116" i="1"/>
  <c r="F337" i="1"/>
  <c r="D255" i="1"/>
  <c r="G339" i="1"/>
  <c r="F326" i="1"/>
  <c r="F580" i="1" s="1"/>
  <c r="G166" i="1"/>
  <c r="G152" i="1" s="1"/>
  <c r="G24" i="1"/>
  <c r="F23" i="1"/>
  <c r="G47" i="1"/>
  <c r="F24" i="1"/>
  <c r="H319" i="1"/>
  <c r="F27" i="1"/>
  <c r="G44" i="1"/>
  <c r="G265" i="1"/>
  <c r="G15" i="1"/>
  <c r="F15" i="1"/>
  <c r="F258" i="1"/>
  <c r="G255" i="1"/>
  <c r="F14" i="1"/>
  <c r="H337" i="1"/>
  <c r="G344" i="1"/>
  <c r="F277" i="1"/>
  <c r="F173" i="1"/>
  <c r="F253" i="1"/>
  <c r="F209" i="1"/>
  <c r="F202" i="1" s="1"/>
  <c r="F34" i="1"/>
  <c r="F94" i="1" s="1"/>
  <c r="F576" i="1"/>
  <c r="F145" i="1"/>
  <c r="F25" i="1"/>
  <c r="F108" i="1" s="1"/>
  <c r="G433" i="1"/>
  <c r="G241" i="1"/>
  <c r="F238" i="1"/>
  <c r="G18" i="1"/>
  <c r="G316" i="1"/>
  <c r="G140" i="1"/>
  <c r="F12" i="1"/>
  <c r="F164" i="1"/>
  <c r="F148" i="1" s="1"/>
  <c r="G171" i="1"/>
  <c r="G204" i="1"/>
  <c r="F226" i="1"/>
  <c r="G343" i="1"/>
  <c r="F166" i="1"/>
  <c r="F152" i="1" s="1"/>
  <c r="F141" i="1"/>
  <c r="F240" i="1"/>
  <c r="F323" i="1"/>
  <c r="F30" i="1"/>
  <c r="F86" i="1"/>
  <c r="G53" i="1"/>
  <c r="G131" i="1"/>
  <c r="G119" i="1"/>
  <c r="F130" i="1"/>
  <c r="F214" i="1"/>
  <c r="F118" i="1"/>
  <c r="G169" i="1"/>
  <c r="G126" i="1"/>
  <c r="G195" i="1"/>
  <c r="G206" i="1"/>
  <c r="G237" i="1"/>
  <c r="F213" i="1"/>
  <c r="F163" i="1"/>
  <c r="F147" i="1" s="1"/>
  <c r="G199" i="1"/>
  <c r="G238" i="1"/>
  <c r="G194" i="1"/>
  <c r="G117" i="1"/>
  <c r="G16" i="1"/>
  <c r="G515" i="1"/>
  <c r="G163" i="1"/>
  <c r="G147" i="1" s="1"/>
  <c r="F165" i="1"/>
  <c r="F151" i="1" s="1"/>
  <c r="G256" i="1"/>
  <c r="F13" i="1"/>
  <c r="F101" i="1" s="1"/>
  <c r="G118" i="1"/>
  <c r="F171" i="1"/>
  <c r="F179" i="1" s="1"/>
  <c r="F61" i="1" s="1"/>
  <c r="H229" i="1"/>
  <c r="H227" i="1" s="1"/>
  <c r="G330" i="1"/>
  <c r="F89" i="1"/>
  <c r="G198" i="1"/>
  <c r="G275" i="1"/>
  <c r="G277" i="1"/>
  <c r="G517" i="1"/>
  <c r="F206" i="1"/>
  <c r="G257" i="1"/>
  <c r="G87" i="1"/>
  <c r="G48" i="1"/>
  <c r="F207" i="1"/>
  <c r="G340" i="1"/>
  <c r="I515" i="1"/>
  <c r="F96" i="1"/>
  <c r="F46" i="1"/>
  <c r="F265" i="1"/>
  <c r="H24" i="1"/>
  <c r="C316" i="1"/>
  <c r="C318" i="1"/>
  <c r="H209" i="1"/>
  <c r="H134" i="1"/>
  <c r="F324" i="1"/>
  <c r="F421" i="1" s="1"/>
  <c r="F430" i="1" s="1"/>
  <c r="G29" i="1"/>
  <c r="F35" i="1"/>
  <c r="F263" i="1"/>
  <c r="F264" i="1" s="1"/>
  <c r="G345" i="1"/>
  <c r="G229" i="1"/>
  <c r="G227" i="1" s="1"/>
  <c r="G32" i="1"/>
  <c r="G93" i="1" s="1"/>
  <c r="G226" i="1"/>
  <c r="H275" i="1"/>
  <c r="G134" i="1"/>
  <c r="H183" i="1"/>
  <c r="F19" i="1"/>
  <c r="G239" i="1"/>
  <c r="G144" i="1"/>
  <c r="F194" i="1"/>
  <c r="G324" i="1"/>
  <c r="G421" i="1" s="1"/>
  <c r="G429" i="1" s="1"/>
  <c r="F154" i="1"/>
  <c r="F345" i="1"/>
  <c r="G212" i="1"/>
  <c r="G165" i="1"/>
  <c r="G151" i="1" s="1"/>
  <c r="G331" i="1"/>
  <c r="G213" i="1"/>
  <c r="G35" i="1"/>
  <c r="C327" i="1"/>
  <c r="G576" i="1"/>
  <c r="F339" i="1"/>
  <c r="F38" i="1"/>
  <c r="F47" i="1"/>
  <c r="F199" i="1"/>
  <c r="C256" i="1"/>
  <c r="F318" i="1"/>
  <c r="G337" i="1"/>
  <c r="G34" i="1"/>
  <c r="F208" i="1"/>
  <c r="F201" i="1" s="1"/>
  <c r="F259" i="1"/>
  <c r="F319" i="1"/>
  <c r="C171" i="1"/>
  <c r="F144" i="1"/>
  <c r="F117" i="1"/>
  <c r="F16" i="1"/>
  <c r="F329" i="1"/>
  <c r="F139" i="1"/>
  <c r="F90" i="1"/>
  <c r="G240" i="1"/>
  <c r="G319" i="1"/>
  <c r="G36" i="1"/>
  <c r="F237" i="1"/>
  <c r="F169" i="1"/>
  <c r="F177" i="1" s="1"/>
  <c r="F59" i="1" s="1"/>
  <c r="F125" i="1"/>
  <c r="F29" i="1"/>
  <c r="F195" i="1"/>
  <c r="F332" i="1"/>
  <c r="G88" i="1"/>
  <c r="G123" i="1"/>
  <c r="C254" i="1"/>
  <c r="F88" i="1"/>
  <c r="F48" i="1"/>
  <c r="F327" i="1"/>
  <c r="H16" i="1"/>
  <c r="G327" i="1"/>
  <c r="F433" i="1"/>
  <c r="G40" i="1"/>
  <c r="G338" i="1"/>
  <c r="F45" i="1"/>
  <c r="G89" i="1"/>
  <c r="H130" i="1"/>
  <c r="G263" i="1"/>
  <c r="G133" i="1"/>
  <c r="F517" i="1"/>
  <c r="G259" i="1"/>
  <c r="F87" i="1"/>
  <c r="G247" i="1"/>
  <c r="G245" i="1" s="1"/>
  <c r="F36" i="1"/>
  <c r="F342" i="1"/>
  <c r="F579" i="1" s="1"/>
  <c r="H244" i="1"/>
  <c r="G207" i="1"/>
  <c r="H163" i="1"/>
  <c r="H147" i="1" s="1"/>
  <c r="F40" i="1"/>
  <c r="F131" i="1"/>
  <c r="F513" i="1"/>
  <c r="F116" i="1"/>
  <c r="F254" i="1"/>
  <c r="H434" i="1"/>
  <c r="G244" i="1"/>
  <c r="C214" i="1"/>
  <c r="F434" i="1"/>
  <c r="F436" i="1" s="1"/>
  <c r="G214" i="1"/>
  <c r="G142" i="1"/>
  <c r="G183" i="1"/>
  <c r="F170" i="1"/>
  <c r="F178" i="1" s="1"/>
  <c r="F60" i="1" s="1"/>
  <c r="F333" i="1"/>
  <c r="F239" i="1"/>
  <c r="F316" i="1"/>
  <c r="G125" i="1"/>
  <c r="F26" i="1"/>
  <c r="F235" i="1"/>
  <c r="F244" i="1"/>
  <c r="F212" i="1"/>
  <c r="F140" i="1"/>
  <c r="F53" i="1"/>
  <c r="F241" i="1"/>
  <c r="G26" i="1"/>
  <c r="F32" i="1"/>
  <c r="F93" i="1" s="1"/>
  <c r="G333" i="1"/>
  <c r="G196" i="1"/>
  <c r="G189" i="1" s="1"/>
  <c r="G139" i="1"/>
  <c r="F317" i="1"/>
  <c r="G13" i="1"/>
  <c r="H117" i="1"/>
  <c r="F133" i="1"/>
  <c r="F175" i="1"/>
  <c r="F338" i="1"/>
  <c r="G254" i="1"/>
  <c r="G25" i="1"/>
  <c r="G341" i="1"/>
  <c r="G578" i="1" s="1"/>
  <c r="H48" i="1"/>
  <c r="F123" i="1"/>
  <c r="G173" i="1"/>
  <c r="F204" i="1"/>
  <c r="F200" i="1" s="1"/>
  <c r="F330" i="1"/>
  <c r="G170" i="1"/>
  <c r="G178" i="1" s="1"/>
  <c r="G60" i="1" s="1"/>
  <c r="G14" i="1"/>
  <c r="G182" i="1"/>
  <c r="G46" i="1"/>
  <c r="F247" i="1"/>
  <c r="F245" i="1" s="1"/>
  <c r="G205" i="1"/>
  <c r="G318" i="1"/>
  <c r="F256" i="1"/>
  <c r="G190" i="1"/>
  <c r="F119" i="1"/>
  <c r="F275" i="1"/>
  <c r="F276" i="1" s="1"/>
  <c r="D254" i="1"/>
  <c r="G86" i="1"/>
  <c r="F142" i="1"/>
  <c r="F126" i="1"/>
  <c r="G145" i="1"/>
  <c r="F181" i="1"/>
  <c r="F143" i="1"/>
  <c r="H182" i="1"/>
  <c r="F44" i="1"/>
  <c r="F54" i="1"/>
  <c r="F198" i="1"/>
  <c r="F229" i="1"/>
  <c r="F227" i="1" s="1"/>
  <c r="G317" i="1"/>
  <c r="C212" i="1"/>
  <c r="F172" i="1"/>
  <c r="G164" i="1"/>
  <c r="G148" i="1" s="1"/>
  <c r="F335" i="1"/>
  <c r="F183" i="1"/>
  <c r="D256" i="1"/>
  <c r="F236" i="1"/>
  <c r="F232" i="1" s="1"/>
  <c r="F66" i="1" s="1"/>
  <c r="F515" i="1"/>
  <c r="G27" i="1"/>
  <c r="F257" i="1"/>
  <c r="G143" i="1"/>
  <c r="G38" i="1"/>
  <c r="F205" i="1"/>
  <c r="J337" i="1"/>
  <c r="H27" i="1"/>
  <c r="I331" i="1"/>
  <c r="G329" i="1"/>
  <c r="I96" i="1"/>
  <c r="G209" i="1"/>
  <c r="G202" i="1" s="1"/>
  <c r="H181" i="1"/>
  <c r="I46" i="1"/>
  <c r="G253" i="1"/>
  <c r="G45" i="1"/>
  <c r="H194" i="1"/>
  <c r="H331" i="1"/>
  <c r="G154" i="1"/>
  <c r="I125" i="1"/>
  <c r="I144" i="1"/>
  <c r="I142" i="1"/>
  <c r="H239" i="1"/>
  <c r="H198" i="1"/>
  <c r="H30" i="1"/>
  <c r="I117" i="1"/>
  <c r="G325" i="1"/>
  <c r="H330" i="1"/>
  <c r="H139" i="1"/>
  <c r="H13" i="1"/>
  <c r="H34" i="1"/>
  <c r="H94" i="1" s="1"/>
  <c r="H515" i="1"/>
  <c r="I141" i="1"/>
  <c r="H165" i="1"/>
  <c r="H151" i="1" s="1"/>
  <c r="I323" i="1"/>
  <c r="H164" i="1"/>
  <c r="H148" i="1" s="1"/>
  <c r="I124" i="1"/>
  <c r="I154" i="1"/>
  <c r="H87" i="1"/>
  <c r="G181" i="1"/>
  <c r="H90" i="1"/>
  <c r="I207" i="1"/>
  <c r="H253" i="1"/>
  <c r="I513" i="1"/>
  <c r="H196" i="1"/>
  <c r="H189" i="1" s="1"/>
  <c r="I54" i="1"/>
  <c r="H132" i="1"/>
  <c r="I318" i="1"/>
  <c r="I45" i="1"/>
  <c r="I254" i="1"/>
  <c r="H46" i="1"/>
  <c r="I172" i="1"/>
  <c r="H170" i="1"/>
  <c r="H178" i="1" s="1"/>
  <c r="H60" i="1" s="1"/>
  <c r="H47" i="1"/>
  <c r="H199" i="1"/>
  <c r="I30" i="1"/>
  <c r="I433" i="1"/>
  <c r="H14" i="1"/>
  <c r="H175" i="1"/>
  <c r="H174" i="1"/>
  <c r="G132" i="1"/>
  <c r="G323" i="1"/>
  <c r="H240" i="1"/>
  <c r="H166" i="1"/>
  <c r="H152" i="1" s="1"/>
  <c r="H343" i="1"/>
  <c r="G236" i="1"/>
  <c r="G232" i="1" s="1"/>
  <c r="G66" i="1" s="1"/>
  <c r="I275" i="1"/>
  <c r="I276" i="1" s="1"/>
  <c r="I214" i="1"/>
  <c r="I182" i="1"/>
  <c r="H332" i="1"/>
  <c r="I205" i="1"/>
  <c r="I208" i="1"/>
  <c r="H237" i="1"/>
  <c r="H233" i="1" s="1"/>
  <c r="H67" i="1" s="1"/>
  <c r="H259" i="1"/>
  <c r="C170" i="1"/>
  <c r="G54" i="1"/>
  <c r="H131" i="1"/>
  <c r="H324" i="1"/>
  <c r="H421" i="1" s="1"/>
  <c r="H429" i="1" s="1"/>
  <c r="H277" i="1"/>
  <c r="H278" i="1" s="1"/>
  <c r="H341" i="1"/>
  <c r="H578" i="1" s="1"/>
  <c r="H213" i="1"/>
  <c r="H133" i="1"/>
  <c r="H255" i="1"/>
  <c r="C323" i="1"/>
  <c r="D212" i="1"/>
  <c r="I23" i="1"/>
  <c r="I123" i="1"/>
  <c r="H45" i="1"/>
  <c r="I236" i="1"/>
  <c r="I27" i="1"/>
  <c r="H236" i="1"/>
  <c r="H232" i="1" s="1"/>
  <c r="H66" i="1" s="1"/>
  <c r="H335" i="1"/>
  <c r="I38" i="1"/>
  <c r="H125" i="1"/>
  <c r="H318" i="1"/>
  <c r="H119" i="1"/>
  <c r="H323" i="1"/>
  <c r="I339" i="1"/>
  <c r="I229" i="1"/>
  <c r="I227" i="1" s="1"/>
  <c r="H238" i="1"/>
  <c r="I238" i="1"/>
  <c r="I316" i="1"/>
  <c r="H235" i="1"/>
  <c r="H231" i="1" s="1"/>
  <c r="H65" i="1" s="1"/>
  <c r="H212" i="1"/>
  <c r="H344" i="1"/>
  <c r="G258" i="1"/>
  <c r="G30" i="1"/>
  <c r="I134" i="1"/>
  <c r="I317" i="1"/>
  <c r="H258" i="1"/>
  <c r="I335" i="1"/>
  <c r="I143" i="1"/>
  <c r="H154" i="1"/>
  <c r="G141" i="1"/>
  <c r="H35" i="1"/>
  <c r="H173" i="1"/>
  <c r="G235" i="1"/>
  <c r="G231" i="1" s="1"/>
  <c r="G65" i="1" s="1"/>
  <c r="H214" i="1"/>
  <c r="G23" i="1"/>
  <c r="G124" i="1"/>
  <c r="H345" i="1"/>
  <c r="I181" i="1"/>
  <c r="I517" i="1"/>
  <c r="I116" i="1"/>
  <c r="I239" i="1"/>
  <c r="H123" i="1"/>
  <c r="H513" i="1"/>
  <c r="H118" i="1"/>
  <c r="I344" i="1"/>
  <c r="G335" i="1"/>
  <c r="G19" i="1"/>
  <c r="G332" i="1"/>
  <c r="H329" i="1"/>
  <c r="H317" i="1"/>
  <c r="H206" i="1"/>
  <c r="I343" i="1"/>
  <c r="I326" i="1"/>
  <c r="I580" i="1" s="1"/>
  <c r="H144" i="1"/>
  <c r="G122" i="1"/>
  <c r="H171" i="1"/>
  <c r="H179" i="1" s="1"/>
  <c r="H61" i="1" s="1"/>
  <c r="I171" i="1"/>
  <c r="H86" i="1"/>
  <c r="H207" i="1"/>
  <c r="H25" i="1"/>
  <c r="H108" i="1" s="1"/>
  <c r="H116" i="1"/>
  <c r="I126" i="1"/>
  <c r="I257" i="1"/>
  <c r="I16" i="1"/>
  <c r="H327" i="1"/>
  <c r="H576" i="1"/>
  <c r="I209" i="1"/>
  <c r="H338" i="1"/>
  <c r="G130" i="1"/>
  <c r="I15" i="1"/>
  <c r="G208" i="1"/>
  <c r="G201" i="1" s="1"/>
  <c r="G342" i="1"/>
  <c r="G579" i="1" s="1"/>
  <c r="H226" i="1"/>
  <c r="H15" i="1"/>
  <c r="H76" i="1" s="1"/>
  <c r="I259" i="1"/>
  <c r="H96" i="1"/>
  <c r="H172" i="1"/>
  <c r="H26" i="1"/>
  <c r="H12" i="1"/>
  <c r="I86" i="1"/>
  <c r="I12" i="1"/>
  <c r="I319" i="1"/>
  <c r="I327" i="1"/>
  <c r="I237" i="1"/>
  <c r="I88" i="1"/>
  <c r="H257" i="1"/>
  <c r="I40" i="1"/>
  <c r="H517" i="1"/>
  <c r="I133" i="1"/>
  <c r="I53" i="1"/>
  <c r="I206" i="1"/>
  <c r="H205" i="1"/>
  <c r="H247" i="1"/>
  <c r="H245" i="1" s="1"/>
  <c r="I244" i="1"/>
  <c r="I341" i="1"/>
  <c r="I578" i="1" s="1"/>
  <c r="H263" i="1"/>
  <c r="H264" i="1" s="1"/>
  <c r="H325" i="1"/>
  <c r="H326" i="1"/>
  <c r="H580" i="1" s="1"/>
  <c r="G326" i="1"/>
  <c r="G580" i="1" s="1"/>
  <c r="I122" i="1"/>
  <c r="H40" i="1"/>
  <c r="H265" i="1"/>
  <c r="I166" i="1"/>
  <c r="I152" i="1" s="1"/>
  <c r="I139" i="1"/>
  <c r="H29" i="1"/>
  <c r="H53" i="1"/>
  <c r="H145" i="1"/>
  <c r="H122" i="1"/>
  <c r="G434" i="1"/>
  <c r="G436" i="1" s="1"/>
  <c r="H36" i="1"/>
  <c r="I175" i="1"/>
  <c r="I204" i="1"/>
  <c r="H195" i="1"/>
  <c r="I173" i="1"/>
  <c r="H141" i="1"/>
  <c r="I90" i="1"/>
  <c r="I131" i="1"/>
  <c r="H19" i="1"/>
  <c r="I32" i="1"/>
  <c r="I93" i="1" s="1"/>
  <c r="I269" i="1"/>
  <c r="I270" i="1" s="1"/>
  <c r="H241" i="1"/>
  <c r="H23" i="1"/>
  <c r="H126" i="1"/>
  <c r="H316" i="1"/>
  <c r="I25" i="1"/>
  <c r="I44" i="1"/>
  <c r="G116" i="1"/>
  <c r="I24" i="1"/>
  <c r="H169" i="1"/>
  <c r="H177" i="1" s="1"/>
  <c r="H59" i="1" s="1"/>
  <c r="I213" i="1"/>
  <c r="I240" i="1"/>
  <c r="I256" i="1"/>
  <c r="I212" i="1"/>
  <c r="I226" i="1"/>
  <c r="G96" i="1"/>
  <c r="G513" i="1"/>
  <c r="I18" i="1"/>
  <c r="I253" i="1"/>
  <c r="G174" i="1"/>
  <c r="I333" i="1"/>
  <c r="H190" i="1"/>
  <c r="I265" i="1"/>
  <c r="G90" i="1"/>
  <c r="G175" i="1"/>
  <c r="H38" i="1"/>
  <c r="I19" i="1"/>
  <c r="H254" i="1"/>
  <c r="H142" i="1"/>
  <c r="I340" i="1"/>
  <c r="I35" i="1"/>
  <c r="H32" i="1"/>
  <c r="H93" i="1" s="1"/>
  <c r="I338" i="1"/>
  <c r="H54" i="1"/>
  <c r="I235" i="1"/>
  <c r="I231" i="1" s="1"/>
  <c r="I65" i="1" s="1"/>
  <c r="H18" i="1"/>
  <c r="I170" i="1"/>
  <c r="H140" i="1"/>
  <c r="H88" i="1"/>
  <c r="C86" i="1"/>
  <c r="H339" i="1"/>
  <c r="H208" i="1"/>
  <c r="H201" i="1" s="1"/>
  <c r="I241" i="1"/>
  <c r="I194" i="1"/>
  <c r="I183" i="1"/>
  <c r="H340" i="1"/>
  <c r="H89" i="1"/>
  <c r="H342" i="1"/>
  <c r="H44" i="1"/>
  <c r="G12" i="1"/>
  <c r="I169" i="1"/>
  <c r="G172" i="1"/>
  <c r="I332" i="1"/>
  <c r="I47" i="1"/>
  <c r="H433" i="1"/>
  <c r="I87" i="1"/>
  <c r="I325" i="1"/>
  <c r="H143" i="1"/>
  <c r="H204" i="1"/>
  <c r="I174" i="1"/>
  <c r="I196" i="1"/>
  <c r="I189" i="1" s="1"/>
  <c r="H333" i="1"/>
  <c r="H124" i="1"/>
  <c r="I324" i="1"/>
  <c r="I421" i="1" s="1"/>
  <c r="I429" i="1" s="1"/>
  <c r="I434" i="1"/>
  <c r="I164" i="1"/>
  <c r="I148" i="1" s="1"/>
  <c r="J139" i="1"/>
  <c r="J118" i="1"/>
  <c r="I277" i="1"/>
  <c r="I278" i="1" s="1"/>
  <c r="J338" i="1"/>
  <c r="J205" i="1"/>
  <c r="J166" i="1"/>
  <c r="J152" i="1" s="1"/>
  <c r="J326" i="1"/>
  <c r="J580" i="1" s="1"/>
  <c r="J333" i="1"/>
  <c r="J96" i="1"/>
  <c r="J117" i="1"/>
  <c r="J275" i="1"/>
  <c r="J276" i="1" s="1"/>
  <c r="J48" i="1"/>
  <c r="J87" i="1"/>
  <c r="I14" i="1"/>
  <c r="J170" i="1"/>
  <c r="I342" i="1"/>
  <c r="J30" i="1"/>
  <c r="J88" i="1"/>
  <c r="J254" i="1"/>
  <c r="J196" i="1"/>
  <c r="J189" i="1" s="1"/>
  <c r="J259" i="1"/>
  <c r="I48" i="1"/>
  <c r="J330" i="1"/>
  <c r="J341" i="1"/>
  <c r="J578" i="1" s="1"/>
  <c r="J199" i="1"/>
  <c r="I89" i="1"/>
  <c r="J36" i="1"/>
  <c r="J213" i="1"/>
  <c r="J116" i="1"/>
  <c r="J18" i="1"/>
  <c r="I345" i="1"/>
  <c r="J13" i="1"/>
  <c r="J331" i="1"/>
  <c r="J14" i="1"/>
  <c r="J238" i="1"/>
  <c r="J123" i="1"/>
  <c r="J239" i="1"/>
  <c r="J119" i="1"/>
  <c r="J207" i="1"/>
  <c r="J277" i="1"/>
  <c r="I145" i="1"/>
  <c r="J124" i="1"/>
  <c r="J323" i="1"/>
  <c r="J317" i="1"/>
  <c r="I258" i="1"/>
  <c r="J198" i="1"/>
  <c r="J45" i="1"/>
  <c r="I132" i="1"/>
  <c r="I195" i="1"/>
  <c r="J175" i="1"/>
  <c r="J131" i="1"/>
  <c r="J125" i="1"/>
  <c r="J269" i="1"/>
  <c r="J212" i="1"/>
  <c r="J169" i="1"/>
  <c r="I140" i="1"/>
  <c r="J89" i="1"/>
  <c r="J53" i="1"/>
  <c r="I29" i="1"/>
  <c r="I255" i="1"/>
  <c r="J319" i="1"/>
  <c r="I118" i="1"/>
  <c r="J229" i="1"/>
  <c r="J227" i="1" s="1"/>
  <c r="J226" i="1"/>
  <c r="J164" i="1"/>
  <c r="J148" i="1" s="1"/>
  <c r="J54" i="1"/>
  <c r="J46" i="1"/>
  <c r="I330" i="1"/>
  <c r="J340" i="1"/>
  <c r="J206" i="1"/>
  <c r="J576" i="1"/>
  <c r="J434" i="1"/>
  <c r="J190" i="1"/>
  <c r="J154" i="1"/>
  <c r="I163" i="1"/>
  <c r="I147" i="1" s="1"/>
  <c r="J208" i="1"/>
  <c r="J201" i="1" s="1"/>
  <c r="J342" i="1"/>
  <c r="J171" i="1"/>
  <c r="J257" i="1"/>
  <c r="J26" i="1"/>
  <c r="J183" i="1"/>
  <c r="I247" i="1"/>
  <c r="I245" i="1" s="1"/>
  <c r="J165" i="1"/>
  <c r="J151" i="1" s="1"/>
  <c r="J12" i="1"/>
  <c r="J181" i="1"/>
  <c r="J329" i="1"/>
  <c r="J327" i="1"/>
  <c r="J247" i="1"/>
  <c r="J245" i="1" s="1"/>
  <c r="J325" i="1"/>
  <c r="J126" i="1"/>
  <c r="J163" i="1"/>
  <c r="J147" i="1" s="1"/>
  <c r="I576" i="1"/>
  <c r="J132" i="1"/>
  <c r="J332" i="1"/>
  <c r="J143" i="1"/>
  <c r="J517" i="1"/>
  <c r="J271" i="1"/>
  <c r="J272" i="1" s="1"/>
  <c r="J47" i="1"/>
  <c r="J15" i="1"/>
  <c r="J76" i="1" s="1"/>
  <c r="I36" i="1"/>
  <c r="J235" i="1"/>
  <c r="J142" i="1"/>
  <c r="J90" i="1"/>
  <c r="J172" i="1"/>
  <c r="I190" i="1"/>
  <c r="J25" i="1"/>
  <c r="I34" i="1"/>
  <c r="I94" i="1" s="1"/>
  <c r="J258" i="1"/>
  <c r="J236" i="1"/>
  <c r="J174" i="1"/>
  <c r="I119" i="1"/>
  <c r="J263" i="1"/>
  <c r="J318" i="1"/>
  <c r="I198" i="1"/>
  <c r="J130" i="1"/>
  <c r="J209" i="1"/>
  <c r="J202" i="1" s="1"/>
  <c r="J343" i="1"/>
  <c r="J173" i="1"/>
  <c r="J40" i="1"/>
  <c r="J344" i="1"/>
  <c r="J144" i="1"/>
  <c r="J29" i="1"/>
  <c r="J141" i="1"/>
  <c r="J195" i="1"/>
  <c r="J214" i="1"/>
  <c r="J194" i="1"/>
  <c r="J133" i="1"/>
  <c r="J433" i="1"/>
  <c r="I199" i="1"/>
  <c r="I329" i="1"/>
  <c r="J253" i="1"/>
  <c r="J241" i="1"/>
  <c r="J140" i="1"/>
  <c r="J515" i="1"/>
  <c r="J256" i="1"/>
  <c r="I130" i="1"/>
  <c r="I26" i="1"/>
  <c r="J237" i="1"/>
  <c r="I271" i="1"/>
  <c r="I272" i="1" s="1"/>
  <c r="J44" i="1"/>
  <c r="J35" i="1"/>
  <c r="J324" i="1"/>
  <c r="J421" i="1" s="1"/>
  <c r="J430" i="1" s="1"/>
  <c r="J32" i="1"/>
  <c r="J93" i="1" s="1"/>
  <c r="J182" i="1"/>
  <c r="I13" i="1"/>
  <c r="J345" i="1"/>
  <c r="J316" i="1"/>
  <c r="K238" i="1"/>
  <c r="K244" i="1"/>
  <c r="K40" i="1"/>
  <c r="K117" i="1"/>
  <c r="K256" i="1"/>
  <c r="K327" i="1"/>
  <c r="K199" i="1"/>
  <c r="J335" i="1"/>
  <c r="J339" i="1"/>
  <c r="J134" i="1"/>
  <c r="I165" i="1"/>
  <c r="I151" i="1" s="1"/>
  <c r="J145" i="1"/>
  <c r="J265" i="1"/>
  <c r="J266" i="1" s="1"/>
  <c r="J19" i="1"/>
  <c r="J255" i="1"/>
  <c r="K141" i="1"/>
  <c r="K513" i="1"/>
  <c r="K332" i="1"/>
  <c r="K257" i="1"/>
  <c r="K576" i="1"/>
  <c r="K317" i="1"/>
  <c r="K198" i="1"/>
  <c r="K16" i="1"/>
  <c r="K23" i="1"/>
  <c r="J27" i="1"/>
  <c r="K15" i="1"/>
  <c r="K263" i="1"/>
  <c r="K264" i="1" s="1"/>
  <c r="K318" i="1"/>
  <c r="K140" i="1"/>
  <c r="K235" i="1"/>
  <c r="K35" i="1"/>
  <c r="K154" i="1"/>
  <c r="K181" i="1"/>
  <c r="K24" i="1"/>
  <c r="K341" i="1"/>
  <c r="K578" i="1" s="1"/>
  <c r="K87" i="1"/>
  <c r="J204" i="1"/>
  <c r="J200" i="1" s="1"/>
  <c r="J86" i="1"/>
  <c r="J34" i="1"/>
  <c r="J94" i="1" s="1"/>
  <c r="K45" i="1"/>
  <c r="K214" i="1"/>
  <c r="K326" i="1"/>
  <c r="K580" i="1" s="1"/>
  <c r="K172" i="1"/>
  <c r="K319" i="1"/>
  <c r="K183" i="1"/>
  <c r="K166" i="1"/>
  <c r="K152" i="1" s="1"/>
  <c r="J122" i="1"/>
  <c r="I263" i="1"/>
  <c r="I264" i="1" s="1"/>
  <c r="K29" i="1"/>
  <c r="K343" i="1"/>
  <c r="K337" i="1"/>
  <c r="K182" i="1"/>
  <c r="K195" i="1"/>
  <c r="K18" i="1"/>
  <c r="K19" i="1"/>
  <c r="K342" i="1"/>
  <c r="K209" i="1"/>
  <c r="K36" i="1"/>
  <c r="K171" i="1"/>
  <c r="K145" i="1"/>
  <c r="K205" i="1"/>
  <c r="J240" i="1"/>
  <c r="J16" i="1"/>
  <c r="J513" i="1"/>
  <c r="J23" i="1"/>
  <c r="J244" i="1"/>
  <c r="J24" i="1"/>
  <c r="I337" i="1"/>
  <c r="K143" i="1"/>
  <c r="K212" i="1"/>
  <c r="K433" i="1"/>
  <c r="K139" i="1"/>
  <c r="K204" i="1"/>
  <c r="K517" i="1"/>
  <c r="K333" i="1"/>
  <c r="K338" i="1"/>
  <c r="K206" i="1"/>
  <c r="K26" i="1"/>
  <c r="K142" i="1"/>
  <c r="J38" i="1"/>
  <c r="K253" i="1"/>
  <c r="L517" i="1"/>
  <c r="K226" i="1"/>
  <c r="K27" i="1"/>
  <c r="K196" i="1"/>
  <c r="K189" i="1" s="1"/>
  <c r="K213" i="1"/>
  <c r="K169" i="1"/>
  <c r="K46" i="1"/>
  <c r="K30" i="1"/>
  <c r="K124" i="1"/>
  <c r="K14" i="1"/>
  <c r="K122" i="1"/>
  <c r="K207" i="1"/>
  <c r="L195" i="1"/>
  <c r="M183" i="1"/>
  <c r="L14" i="1"/>
  <c r="K345" i="1"/>
  <c r="K165" i="1"/>
  <c r="K151" i="1" s="1"/>
  <c r="K118" i="1"/>
  <c r="K190" i="1"/>
  <c r="L204" i="1"/>
  <c r="L47" i="1"/>
  <c r="K194" i="1"/>
  <c r="K144" i="1"/>
  <c r="K25" i="1"/>
  <c r="K344" i="1"/>
  <c r="L238" i="1"/>
  <c r="K163" i="1"/>
  <c r="K147" i="1" s="1"/>
  <c r="K13" i="1"/>
  <c r="K54" i="1"/>
  <c r="K265" i="1"/>
  <c r="K48" i="1"/>
  <c r="K236" i="1"/>
  <c r="K86" i="1"/>
  <c r="L337" i="1"/>
  <c r="K515" i="1"/>
  <c r="K170" i="1"/>
  <c r="K255" i="1"/>
  <c r="K173" i="1"/>
  <c r="K89" i="1"/>
  <c r="K229" i="1"/>
  <c r="K227" i="1" s="1"/>
  <c r="K247" i="1"/>
  <c r="K245" i="1" s="1"/>
  <c r="K335" i="1"/>
  <c r="K90" i="1"/>
  <c r="L36" i="1"/>
  <c r="L515" i="1"/>
  <c r="L142" i="1"/>
  <c r="L319" i="1"/>
  <c r="L208" i="1"/>
  <c r="K254" i="1"/>
  <c r="K250" i="1" s="1"/>
  <c r="K72" i="1" s="1"/>
  <c r="L88" i="1"/>
  <c r="L318" i="1"/>
  <c r="L257" i="1"/>
  <c r="L339" i="1"/>
  <c r="K316" i="1"/>
  <c r="L181" i="1"/>
  <c r="L236" i="1"/>
  <c r="K339" i="1"/>
  <c r="L247" i="1"/>
  <c r="L245" i="1" s="1"/>
  <c r="L123" i="1"/>
  <c r="K47" i="1"/>
  <c r="M164" i="1"/>
  <c r="M148" i="1" s="1"/>
  <c r="L117" i="1"/>
  <c r="L166" i="1"/>
  <c r="L152" i="1" s="1"/>
  <c r="L27" i="1"/>
  <c r="L235" i="1"/>
  <c r="L198" i="1"/>
  <c r="M318" i="1"/>
  <c r="M27" i="1"/>
  <c r="M118" i="1"/>
  <c r="L40" i="1"/>
  <c r="M339" i="1"/>
  <c r="M206" i="1"/>
  <c r="L45" i="1"/>
  <c r="L212" i="1"/>
  <c r="M47" i="1"/>
  <c r="M332" i="1"/>
  <c r="M513" i="1"/>
  <c r="L170" i="1"/>
  <c r="M166" i="1"/>
  <c r="M152" i="1" s="1"/>
  <c r="M343" i="1"/>
  <c r="M26" i="1"/>
  <c r="M341" i="1"/>
  <c r="M578" i="1" s="1"/>
  <c r="M199" i="1"/>
  <c r="L244" i="1"/>
  <c r="L196" i="1"/>
  <c r="L189" i="1" s="1"/>
  <c r="L86" i="1"/>
  <c r="L256" i="1"/>
  <c r="L213" i="1"/>
  <c r="K123" i="1"/>
  <c r="K88" i="1"/>
  <c r="M29" i="1"/>
  <c r="L190" i="1"/>
  <c r="L513" i="1"/>
  <c r="L90" i="1"/>
  <c r="L344" i="1"/>
  <c r="L326" i="1"/>
  <c r="L580" i="1" s="1"/>
  <c r="L265" i="1"/>
  <c r="L24" i="1"/>
  <c r="L316" i="1"/>
  <c r="L342" i="1"/>
  <c r="L335" i="1"/>
  <c r="L141" i="1"/>
  <c r="L255" i="1"/>
  <c r="L251" i="1" s="1"/>
  <c r="L73" i="1" s="1"/>
  <c r="L30" i="1"/>
  <c r="L16" i="1"/>
  <c r="L140" i="1"/>
  <c r="M18" i="1"/>
  <c r="L18" i="1"/>
  <c r="L35" i="1"/>
  <c r="K44" i="1"/>
  <c r="M16" i="1"/>
  <c r="L15" i="1"/>
  <c r="L76" i="1" s="1"/>
  <c r="L333" i="1"/>
  <c r="L182" i="1"/>
  <c r="L54" i="1"/>
  <c r="L341" i="1"/>
  <c r="L578" i="1" s="1"/>
  <c r="M140" i="1"/>
  <c r="L199" i="1"/>
  <c r="L44" i="1"/>
  <c r="L143" i="1"/>
  <c r="L163" i="1"/>
  <c r="L147" i="1" s="1"/>
  <c r="L172" i="1"/>
  <c r="M139" i="1"/>
  <c r="L154" i="1"/>
  <c r="M229" i="1"/>
  <c r="M227" i="1" s="1"/>
  <c r="M576" i="1"/>
  <c r="L343" i="1"/>
  <c r="L183" i="1"/>
  <c r="L229" i="1"/>
  <c r="L227" i="1" s="1"/>
  <c r="L206" i="1"/>
  <c r="L194" i="1"/>
  <c r="L87" i="1"/>
  <c r="L48" i="1"/>
  <c r="L214" i="1"/>
  <c r="L237" i="1"/>
  <c r="L233" i="1" s="1"/>
  <c r="L67" i="1" s="1"/>
  <c r="L145" i="1"/>
  <c r="L338" i="1"/>
  <c r="L332" i="1"/>
  <c r="K237" i="1"/>
  <c r="L205" i="1"/>
  <c r="L576" i="1"/>
  <c r="L139" i="1"/>
  <c r="K164" i="1"/>
  <c r="K148" i="1" s="1"/>
  <c r="K12" i="1"/>
  <c r="L327" i="1"/>
  <c r="L317" i="1"/>
  <c r="L165" i="1"/>
  <c r="L151" i="1" s="1"/>
  <c r="L263" i="1"/>
  <c r="L254" i="1"/>
  <c r="L144" i="1"/>
  <c r="M244" i="1"/>
  <c r="M207" i="1"/>
  <c r="M89" i="1"/>
  <c r="L433" i="1"/>
  <c r="M30" i="1"/>
  <c r="M182" i="1"/>
  <c r="L89" i="1"/>
  <c r="M54" i="1"/>
  <c r="M344" i="1"/>
  <c r="L226" i="1"/>
  <c r="M46" i="1"/>
  <c r="L253" i="1"/>
  <c r="M154" i="1"/>
  <c r="L46" i="1"/>
  <c r="L207" i="1"/>
  <c r="M44" i="1"/>
  <c r="L13" i="1"/>
  <c r="K239" i="1"/>
  <c r="L239" i="1"/>
  <c r="L29" i="1"/>
  <c r="K208" i="1"/>
  <c r="K201" i="1" s="1"/>
  <c r="M333" i="1"/>
  <c r="M263" i="1"/>
  <c r="L118" i="1"/>
  <c r="M317" i="1"/>
  <c r="M165" i="1"/>
  <c r="M151" i="1" s="1"/>
  <c r="M226" i="1"/>
  <c r="M36" i="1"/>
  <c r="L26" i="1"/>
  <c r="M48" i="1"/>
  <c r="M141" i="1"/>
  <c r="M338" i="1"/>
  <c r="M247" i="1"/>
  <c r="M245" i="1" s="1"/>
  <c r="M35" i="1"/>
  <c r="M345" i="1"/>
  <c r="M342" i="1"/>
  <c r="L345" i="1"/>
  <c r="M117" i="1"/>
  <c r="L124" i="1"/>
  <c r="M326" i="1"/>
  <c r="M580" i="1" s="1"/>
  <c r="M517" i="1"/>
  <c r="M198" i="1"/>
  <c r="M13" i="1"/>
  <c r="M90" i="1"/>
  <c r="M143" i="1"/>
  <c r="M45" i="1"/>
  <c r="L25" i="1"/>
  <c r="M145" i="1"/>
  <c r="M515" i="1"/>
  <c r="M144" i="1"/>
  <c r="M15" i="1"/>
  <c r="M14" i="1"/>
  <c r="M337" i="1"/>
  <c r="M190" i="1"/>
  <c r="M433" i="1"/>
  <c r="M265" i="1"/>
  <c r="M266" i="1" s="1"/>
  <c r="L164" i="1"/>
  <c r="L148" i="1" s="1"/>
  <c r="M142" i="1"/>
  <c r="M181" i="1"/>
  <c r="E207" i="1"/>
  <c r="D318" i="1"/>
  <c r="E89" i="1"/>
  <c r="D89" i="1"/>
  <c r="BD373" i="1"/>
  <c r="BC454" i="1"/>
  <c r="AV354" i="1"/>
  <c r="AV330" i="1" s="1"/>
  <c r="AV367" i="1"/>
  <c r="BB178" i="1"/>
  <c r="BB60" i="1" s="1"/>
  <c r="BB122" i="1"/>
  <c r="L122" i="1" s="1"/>
  <c r="BD256" i="1"/>
  <c r="BD257" i="1" s="1"/>
  <c r="BE88" i="1"/>
  <c r="AV424" i="1"/>
  <c r="AV426" i="1"/>
  <c r="AV428" i="1"/>
  <c r="AW329" i="1"/>
  <c r="BD238" i="1"/>
  <c r="BD239" i="1" s="1"/>
  <c r="BE87" i="1"/>
  <c r="AU417" i="1"/>
  <c r="AU325" i="1"/>
  <c r="AU448" i="1"/>
  <c r="AU450" i="1" s="1"/>
  <c r="AU500" i="1"/>
  <c r="BC204" i="1"/>
  <c r="AV329" i="1"/>
  <c r="BC201" i="1"/>
  <c r="BC170" i="1"/>
  <c r="AV405" i="1"/>
  <c r="K536" i="1"/>
  <c r="M544" i="1"/>
  <c r="J428" i="1"/>
  <c r="J357" i="1"/>
  <c r="J2" i="1"/>
  <c r="I528" i="1"/>
  <c r="J387" i="1"/>
  <c r="H500" i="1"/>
  <c r="G501" i="1"/>
  <c r="G430" i="1"/>
  <c r="F501" i="1"/>
  <c r="E501" i="1"/>
  <c r="E369" i="1"/>
  <c r="E381" i="1" s="1"/>
  <c r="F357" i="1"/>
  <c r="F2" i="1"/>
  <c r="F429" i="1"/>
  <c r="E544" i="1"/>
  <c r="AY20" i="1"/>
  <c r="AW409" i="1"/>
  <c r="AW125" i="1"/>
  <c r="BC25" i="1"/>
  <c r="BC108" i="1" s="1"/>
  <c r="AW405" i="1"/>
  <c r="BC24" i="1"/>
  <c r="BC107" i="1" s="1"/>
  <c r="BE253" i="1"/>
  <c r="BE102" i="1"/>
  <c r="AV409" i="1"/>
  <c r="AV125" i="1"/>
  <c r="AU39" i="1"/>
  <c r="G94" i="1" l="1"/>
  <c r="AV407" i="1"/>
  <c r="D276" i="1"/>
  <c r="L101" i="1"/>
  <c r="K107" i="1"/>
  <c r="K76" i="1"/>
  <c r="I101" i="1"/>
  <c r="J232" i="1"/>
  <c r="J66" i="1" s="1"/>
  <c r="J231" i="1"/>
  <c r="J65" i="1" s="1"/>
  <c r="J270" i="1"/>
  <c r="H266" i="1"/>
  <c r="H276" i="1"/>
  <c r="H428" i="1"/>
  <c r="AU41" i="1"/>
  <c r="L108" i="1"/>
  <c r="L579" i="1"/>
  <c r="K232" i="1"/>
  <c r="K66" i="1" s="1"/>
  <c r="K108" i="1"/>
  <c r="K249" i="1"/>
  <c r="K71" i="1" s="1"/>
  <c r="K200" i="1"/>
  <c r="J264" i="1"/>
  <c r="I251" i="1"/>
  <c r="I73" i="1" s="1"/>
  <c r="J278" i="1"/>
  <c r="J101" i="1"/>
  <c r="J191" i="1"/>
  <c r="I579" i="1"/>
  <c r="I108" i="1"/>
  <c r="I179" i="1"/>
  <c r="I61" i="1" s="1"/>
  <c r="I232" i="1"/>
  <c r="I66" i="1" s="1"/>
  <c r="G101" i="1"/>
  <c r="F231" i="1"/>
  <c r="F65" i="1" s="1"/>
  <c r="H107" i="1"/>
  <c r="G278" i="1"/>
  <c r="G233" i="1"/>
  <c r="G67" i="1" s="1"/>
  <c r="G177" i="1"/>
  <c r="G59" i="1" s="1"/>
  <c r="G179" i="1"/>
  <c r="G61" i="1" s="1"/>
  <c r="F278" i="1"/>
  <c r="G266" i="1"/>
  <c r="C278" i="1"/>
  <c r="E264" i="1"/>
  <c r="C436" i="1"/>
  <c r="BJ72" i="1"/>
  <c r="BD200" i="1"/>
  <c r="L102" i="1"/>
  <c r="AY126" i="1"/>
  <c r="AY125" i="1" s="1"/>
  <c r="BC202" i="1"/>
  <c r="M102" i="1"/>
  <c r="L178" i="1"/>
  <c r="L60" i="1" s="1"/>
  <c r="K102" i="1"/>
  <c r="J107" i="1"/>
  <c r="J233" i="1"/>
  <c r="J67" i="1" s="1"/>
  <c r="J108" i="1"/>
  <c r="J179" i="1"/>
  <c r="J61" i="1" s="1"/>
  <c r="J102" i="1"/>
  <c r="I102" i="1"/>
  <c r="I202" i="1"/>
  <c r="G102" i="1"/>
  <c r="F250" i="1"/>
  <c r="F72" i="1" s="1"/>
  <c r="F191" i="1"/>
  <c r="J388" i="1"/>
  <c r="J386" i="1"/>
  <c r="J389" i="1" s="1"/>
  <c r="BE373" i="1"/>
  <c r="BD454" i="1"/>
  <c r="L217" i="1"/>
  <c r="L161" i="1"/>
  <c r="K422" i="1"/>
  <c r="K177" i="1"/>
  <c r="K59" i="1" s="1"/>
  <c r="J103" i="1"/>
  <c r="J80" i="1"/>
  <c r="J518" i="1"/>
  <c r="J246" i="1"/>
  <c r="J74" i="1" s="1"/>
  <c r="J70" i="1"/>
  <c r="J436" i="1"/>
  <c r="H191" i="1"/>
  <c r="H187" i="1"/>
  <c r="H149" i="1"/>
  <c r="H158" i="1" s="1"/>
  <c r="F422" i="1"/>
  <c r="F399" i="1"/>
  <c r="G518" i="1"/>
  <c r="G246" i="1"/>
  <c r="G74" i="1" s="1"/>
  <c r="G70" i="1"/>
  <c r="J402" i="1"/>
  <c r="J404" i="1"/>
  <c r="J363" i="1"/>
  <c r="J403" i="1"/>
  <c r="BD24" i="1"/>
  <c r="M516" i="1"/>
  <c r="M228" i="1"/>
  <c r="M68" i="1" s="1"/>
  <c r="M64" i="1"/>
  <c r="L150" i="1"/>
  <c r="L159" i="1" s="1"/>
  <c r="L188" i="1"/>
  <c r="J109" i="1"/>
  <c r="J81" i="1"/>
  <c r="J82" i="1"/>
  <c r="J100" i="1"/>
  <c r="J17" i="1"/>
  <c r="H518" i="1"/>
  <c r="H246" i="1"/>
  <c r="H74" i="1" s="1"/>
  <c r="H70" i="1"/>
  <c r="I100" i="1"/>
  <c r="I17" i="1"/>
  <c r="H334" i="1"/>
  <c r="H336" i="1" s="1"/>
  <c r="H346" i="1" s="1"/>
  <c r="H347" i="1" s="1"/>
  <c r="F103" i="1"/>
  <c r="F80" i="1"/>
  <c r="G216" i="1"/>
  <c r="G160" i="1"/>
  <c r="F161" i="1"/>
  <c r="F217" i="1"/>
  <c r="G217" i="1"/>
  <c r="G161" i="1"/>
  <c r="D150" i="1"/>
  <c r="D159" i="1" s="1"/>
  <c r="D188" i="1"/>
  <c r="F270" i="1"/>
  <c r="E270" i="1"/>
  <c r="C17" i="1"/>
  <c r="C20" i="1" s="1"/>
  <c r="C91" i="1" s="1"/>
  <c r="E266" i="1"/>
  <c r="E101" i="1"/>
  <c r="C518" i="1"/>
  <c r="C246" i="1"/>
  <c r="C74" i="1" s="1"/>
  <c r="C70" i="1"/>
  <c r="G428" i="1"/>
  <c r="BC172" i="1"/>
  <c r="BD86" i="1"/>
  <c r="AZ28" i="1"/>
  <c r="AZ31" i="1" s="1"/>
  <c r="AZ106" i="1"/>
  <c r="AY127" i="1"/>
  <c r="BF311" i="1"/>
  <c r="BF313" i="1" s="1"/>
  <c r="BF40" i="1" s="1"/>
  <c r="BF295" i="1"/>
  <c r="BF296" i="1" s="1"/>
  <c r="BF297" i="1" s="1"/>
  <c r="BF237" i="1"/>
  <c r="D229" i="1"/>
  <c r="D227" i="1" s="1"/>
  <c r="E229" i="1"/>
  <c r="E227" i="1" s="1"/>
  <c r="BF219" i="1"/>
  <c r="BF195" i="1"/>
  <c r="M195" i="1" s="1"/>
  <c r="BF194" i="1"/>
  <c r="E391" i="1"/>
  <c r="E390" i="1"/>
  <c r="G390" i="1"/>
  <c r="G391" i="1"/>
  <c r="AZ100" i="1"/>
  <c r="AZ17" i="1"/>
  <c r="AW331" i="1"/>
  <c r="AW369" i="1"/>
  <c r="H391" i="1"/>
  <c r="H390" i="1"/>
  <c r="AW407" i="1"/>
  <c r="E430" i="1"/>
  <c r="BE254" i="1"/>
  <c r="BE256" i="1"/>
  <c r="BE257" i="1" s="1"/>
  <c r="BF88" i="1"/>
  <c r="AV331" i="1"/>
  <c r="AV369" i="1"/>
  <c r="M579" i="1"/>
  <c r="M518" i="1"/>
  <c r="M246" i="1"/>
  <c r="M74" i="1" s="1"/>
  <c r="M70" i="1"/>
  <c r="L77" i="1"/>
  <c r="L78" i="1"/>
  <c r="M216" i="1"/>
  <c r="M160" i="1"/>
  <c r="L250" i="1"/>
  <c r="L72" i="1" s="1"/>
  <c r="K17" i="1"/>
  <c r="K100" i="1"/>
  <c r="M103" i="1"/>
  <c r="M80" i="1"/>
  <c r="L266" i="1"/>
  <c r="L232" i="1"/>
  <c r="L66" i="1" s="1"/>
  <c r="K518" i="1"/>
  <c r="K246" i="1"/>
  <c r="K74" i="1" s="1"/>
  <c r="K70" i="1"/>
  <c r="K251" i="1"/>
  <c r="K73" i="1" s="1"/>
  <c r="K149" i="1"/>
  <c r="K158" i="1" s="1"/>
  <c r="K187" i="1"/>
  <c r="L200" i="1"/>
  <c r="K77" i="1"/>
  <c r="K78" i="1"/>
  <c r="K231" i="1"/>
  <c r="K65" i="1" s="1"/>
  <c r="K106" i="1"/>
  <c r="K28" i="1"/>
  <c r="J422" i="1"/>
  <c r="J399" i="1"/>
  <c r="J249" i="1"/>
  <c r="J71" i="1" s="1"/>
  <c r="J156" i="1"/>
  <c r="J62" i="1" s="1"/>
  <c r="J58" i="1"/>
  <c r="J216" i="1"/>
  <c r="J160" i="1"/>
  <c r="I156" i="1"/>
  <c r="I62" i="1" s="1"/>
  <c r="I58" i="1"/>
  <c r="J516" i="1"/>
  <c r="J228" i="1"/>
  <c r="J68" i="1" s="1"/>
  <c r="J64" i="1"/>
  <c r="J177" i="1"/>
  <c r="J59" i="1" s="1"/>
  <c r="J334" i="1"/>
  <c r="J336" i="1" s="1"/>
  <c r="J346" i="1" s="1"/>
  <c r="J347" i="1" s="1"/>
  <c r="J250" i="1"/>
  <c r="J72" i="1" s="1"/>
  <c r="J178" i="1"/>
  <c r="J60" i="1" s="1"/>
  <c r="I436" i="1"/>
  <c r="I191" i="1"/>
  <c r="I178" i="1"/>
  <c r="I60" i="1" s="1"/>
  <c r="I107" i="1"/>
  <c r="I200" i="1"/>
  <c r="I233" i="1"/>
  <c r="I67" i="1" s="1"/>
  <c r="I103" i="1"/>
  <c r="I80" i="1"/>
  <c r="H422" i="1"/>
  <c r="H399" i="1"/>
  <c r="C334" i="1"/>
  <c r="C336" i="1" s="1"/>
  <c r="C346" i="1" s="1"/>
  <c r="I201" i="1"/>
  <c r="H217" i="1"/>
  <c r="H161" i="1"/>
  <c r="H514" i="1"/>
  <c r="H157" i="1"/>
  <c r="H82" i="1"/>
  <c r="H109" i="1"/>
  <c r="H81" i="1"/>
  <c r="G514" i="1"/>
  <c r="G157" i="1"/>
  <c r="F516" i="1"/>
  <c r="F228" i="1"/>
  <c r="F68" i="1" s="1"/>
  <c r="F64" i="1"/>
  <c r="F409" i="1"/>
  <c r="F407" i="1"/>
  <c r="H436" i="1"/>
  <c r="G264" i="1"/>
  <c r="H103" i="1"/>
  <c r="H80" i="1"/>
  <c r="C250" i="1"/>
  <c r="C72" i="1" s="1"/>
  <c r="F188" i="1"/>
  <c r="F150" i="1"/>
  <c r="F159" i="1" s="1"/>
  <c r="F233" i="1"/>
  <c r="F67" i="1" s="1"/>
  <c r="F149" i="1"/>
  <c r="F158" i="1" s="1"/>
  <c r="F187" i="1"/>
  <c r="H202" i="1"/>
  <c r="F266" i="1"/>
  <c r="G276" i="1"/>
  <c r="H516" i="1"/>
  <c r="H228" i="1"/>
  <c r="H68" i="1" s="1"/>
  <c r="H64" i="1"/>
  <c r="G103" i="1"/>
  <c r="G80" i="1"/>
  <c r="F334" i="1"/>
  <c r="F336" i="1" s="1"/>
  <c r="F346" i="1" s="1"/>
  <c r="F347" i="1" s="1"/>
  <c r="F514" i="1"/>
  <c r="F157" i="1"/>
  <c r="C107" i="1"/>
  <c r="E272" i="1"/>
  <c r="D103" i="1"/>
  <c r="D80" i="1"/>
  <c r="C106" i="1"/>
  <c r="C28" i="1"/>
  <c r="C31" i="1" s="1"/>
  <c r="E188" i="1"/>
  <c r="E150" i="1"/>
  <c r="E159" i="1" s="1"/>
  <c r="D100" i="1"/>
  <c r="D17" i="1"/>
  <c r="D20" i="1" s="1"/>
  <c r="E103" i="1"/>
  <c r="E80" i="1"/>
  <c r="E106" i="1"/>
  <c r="E28" i="1"/>
  <c r="E31" i="1" s="1"/>
  <c r="D187" i="1"/>
  <c r="D149" i="1"/>
  <c r="D158" i="1" s="1"/>
  <c r="D579" i="1"/>
  <c r="D91" i="1"/>
  <c r="D278" i="1"/>
  <c r="C422" i="1"/>
  <c r="C399" i="1"/>
  <c r="C108" i="1"/>
  <c r="D28" i="1"/>
  <c r="D31" i="1" s="1"/>
  <c r="D106" i="1"/>
  <c r="C216" i="1"/>
  <c r="C160" i="1"/>
  <c r="H430" i="1"/>
  <c r="AY105" i="1"/>
  <c r="BF163" i="1"/>
  <c r="D164" i="1"/>
  <c r="D148" i="1" s="1"/>
  <c r="D165" i="1"/>
  <c r="D151" i="1" s="1"/>
  <c r="E165" i="1"/>
  <c r="E151" i="1" s="1"/>
  <c r="BE196" i="1"/>
  <c r="BE200" i="1"/>
  <c r="BA179" i="1"/>
  <c r="BA61" i="1" s="1"/>
  <c r="BA59" i="1"/>
  <c r="BA12" i="1" s="1"/>
  <c r="L216" i="1"/>
  <c r="L218" i="1" s="1"/>
  <c r="L219" i="1" s="1"/>
  <c r="L160" i="1"/>
  <c r="L107" i="1"/>
  <c r="K179" i="1"/>
  <c r="K61" i="1" s="1"/>
  <c r="J78" i="1"/>
  <c r="J77" i="1"/>
  <c r="I514" i="1"/>
  <c r="I157" i="1"/>
  <c r="G17" i="1"/>
  <c r="G100" i="1"/>
  <c r="C514" i="1"/>
  <c r="C157" i="1"/>
  <c r="C81" i="1"/>
  <c r="C109" i="1"/>
  <c r="D101" i="1"/>
  <c r="D430" i="1"/>
  <c r="D429" i="1"/>
  <c r="D428" i="1"/>
  <c r="F402" i="1"/>
  <c r="F404" i="1"/>
  <c r="F363" i="1"/>
  <c r="F403" i="1"/>
  <c r="BD25" i="1"/>
  <c r="BD108" i="1" s="1"/>
  <c r="L264" i="1"/>
  <c r="K514" i="1"/>
  <c r="K157" i="1"/>
  <c r="L223" i="1"/>
  <c r="M514" i="1"/>
  <c r="M157" i="1"/>
  <c r="L518" i="1"/>
  <c r="L246" i="1"/>
  <c r="L74" i="1" s="1"/>
  <c r="L70" i="1"/>
  <c r="K516" i="1"/>
  <c r="K228" i="1"/>
  <c r="K68" i="1" s="1"/>
  <c r="K64" i="1"/>
  <c r="K178" i="1"/>
  <c r="K60" i="1" s="1"/>
  <c r="K101" i="1"/>
  <c r="K191" i="1"/>
  <c r="J106" i="1"/>
  <c r="J28" i="1"/>
  <c r="K202" i="1"/>
  <c r="K103" i="1"/>
  <c r="K80" i="1"/>
  <c r="J251" i="1"/>
  <c r="J73" i="1" s="1"/>
  <c r="I160" i="1"/>
  <c r="I216" i="1"/>
  <c r="J149" i="1"/>
  <c r="J158" i="1" s="1"/>
  <c r="J187" i="1"/>
  <c r="J409" i="1"/>
  <c r="J407" i="1"/>
  <c r="I518" i="1"/>
  <c r="I246" i="1"/>
  <c r="I74" i="1" s="1"/>
  <c r="I70" i="1"/>
  <c r="J161" i="1"/>
  <c r="J217" i="1"/>
  <c r="H579" i="1"/>
  <c r="I187" i="1"/>
  <c r="I149" i="1"/>
  <c r="I158" i="1" s="1"/>
  <c r="H250" i="1"/>
  <c r="H72" i="1" s="1"/>
  <c r="H407" i="1"/>
  <c r="H409" i="1"/>
  <c r="I161" i="1"/>
  <c r="I217" i="1"/>
  <c r="H100" i="1"/>
  <c r="H17" i="1"/>
  <c r="G106" i="1"/>
  <c r="G28" i="1"/>
  <c r="G31" i="1" s="1"/>
  <c r="G393" i="1" s="1"/>
  <c r="I422" i="1"/>
  <c r="I399" i="1"/>
  <c r="I516" i="1"/>
  <c r="I228" i="1"/>
  <c r="I68" i="1" s="1"/>
  <c r="I64" i="1"/>
  <c r="H251" i="1"/>
  <c r="H73" i="1" s="1"/>
  <c r="C178" i="1"/>
  <c r="C60" i="1" s="1"/>
  <c r="H249" i="1"/>
  <c r="H71" i="1" s="1"/>
  <c r="I334" i="1"/>
  <c r="I336" i="1" s="1"/>
  <c r="I346" i="1" s="1"/>
  <c r="I347" i="1" s="1"/>
  <c r="G249" i="1"/>
  <c r="G71" i="1" s="1"/>
  <c r="G108" i="1"/>
  <c r="G516" i="1"/>
  <c r="G228" i="1"/>
  <c r="G68" i="1" s="1"/>
  <c r="G64" i="1"/>
  <c r="F216" i="1"/>
  <c r="F218" i="1" s="1"/>
  <c r="F219" i="1" s="1"/>
  <c r="F221" i="1" s="1"/>
  <c r="F160" i="1"/>
  <c r="F156" i="1"/>
  <c r="F62" i="1" s="1"/>
  <c r="F58" i="1"/>
  <c r="G150" i="1"/>
  <c r="G159" i="1" s="1"/>
  <c r="G188" i="1"/>
  <c r="F223" i="1"/>
  <c r="F100" i="1"/>
  <c r="F17" i="1"/>
  <c r="F20" i="1" s="1"/>
  <c r="F249" i="1"/>
  <c r="F71" i="1" s="1"/>
  <c r="F109" i="1"/>
  <c r="F81" i="1"/>
  <c r="F82" i="1"/>
  <c r="F106" i="1"/>
  <c r="F28" i="1"/>
  <c r="F31" i="1" s="1"/>
  <c r="C177" i="1"/>
  <c r="C59" i="1" s="1"/>
  <c r="E109" i="1"/>
  <c r="E81" i="1"/>
  <c r="E82" i="1"/>
  <c r="E276" i="1"/>
  <c r="E278" i="1"/>
  <c r="D82" i="1"/>
  <c r="D109" i="1"/>
  <c r="D81" i="1"/>
  <c r="C579" i="1"/>
  <c r="E231" i="1"/>
  <c r="E65" i="1" s="1"/>
  <c r="E436" i="1"/>
  <c r="C407" i="1"/>
  <c r="C409" i="1"/>
  <c r="E233" i="1"/>
  <c r="E67" i="1" s="1"/>
  <c r="J429" i="1"/>
  <c r="I391" i="1"/>
  <c r="I390" i="1"/>
  <c r="BD204" i="1"/>
  <c r="BE422" i="1"/>
  <c r="AZ19" i="1"/>
  <c r="BF255" i="1"/>
  <c r="D247" i="1"/>
  <c r="D245" i="1" s="1"/>
  <c r="E247" i="1"/>
  <c r="E245" i="1" s="1"/>
  <c r="BF235" i="1"/>
  <c r="M235" i="1" s="1"/>
  <c r="M231" i="1" s="1"/>
  <c r="M65" i="1" s="1"/>
  <c r="BF101" i="1"/>
  <c r="F388" i="1"/>
  <c r="F386" i="1"/>
  <c r="F389" i="1" s="1"/>
  <c r="BB169" i="1"/>
  <c r="BB209" i="1"/>
  <c r="BA358" i="1"/>
  <c r="BA23" i="1"/>
  <c r="E404" i="1"/>
  <c r="E403" i="1"/>
  <c r="E363" i="1"/>
  <c r="E382" i="1" s="1"/>
  <c r="E402" i="1"/>
  <c r="I430" i="1"/>
  <c r="AU506" i="1"/>
  <c r="L516" i="1"/>
  <c r="L228" i="1"/>
  <c r="L68" i="1" s="1"/>
  <c r="L64" i="1"/>
  <c r="M109" i="1"/>
  <c r="M81" i="1"/>
  <c r="M82" i="1"/>
  <c r="K156" i="1"/>
  <c r="K62" i="1" s="1"/>
  <c r="K58" i="1"/>
  <c r="K216" i="1"/>
  <c r="K160" i="1"/>
  <c r="J188" i="1"/>
  <c r="J150" i="1"/>
  <c r="J159" i="1" s="1"/>
  <c r="H150" i="1"/>
  <c r="H159" i="1" s="1"/>
  <c r="H188" i="1"/>
  <c r="G251" i="1"/>
  <c r="G73" i="1" s="1"/>
  <c r="F107" i="1"/>
  <c r="D231" i="1"/>
  <c r="D65" i="1" s="1"/>
  <c r="C150" i="1"/>
  <c r="C159" i="1" s="1"/>
  <c r="C188" i="1"/>
  <c r="C156" i="1"/>
  <c r="C62" i="1" s="1"/>
  <c r="C58" i="1"/>
  <c r="AY423" i="1"/>
  <c r="AY425" i="1" s="1"/>
  <c r="AY353" i="1"/>
  <c r="AY116" i="1"/>
  <c r="AY413" i="1"/>
  <c r="AY415" i="1"/>
  <c r="AY416" i="1"/>
  <c r="AY91" i="1"/>
  <c r="AY414" i="1"/>
  <c r="L187" i="1"/>
  <c r="L149" i="1"/>
  <c r="L158" i="1" s="1"/>
  <c r="L103" i="1"/>
  <c r="L80" i="1"/>
  <c r="L191" i="1"/>
  <c r="L231" i="1"/>
  <c r="L65" i="1" s="1"/>
  <c r="AU439" i="1"/>
  <c r="AU49" i="1"/>
  <c r="AU112" i="1"/>
  <c r="E429" i="1"/>
  <c r="BC178" i="1"/>
  <c r="BC60" i="1" s="1"/>
  <c r="BC122" i="1"/>
  <c r="BC209" i="1"/>
  <c r="BC169" i="1"/>
  <c r="BE238" i="1"/>
  <c r="BE239" i="1" s="1"/>
  <c r="BF87" i="1"/>
  <c r="L514" i="1"/>
  <c r="L157" i="1"/>
  <c r="M76" i="1"/>
  <c r="M101" i="1"/>
  <c r="M264" i="1"/>
  <c r="L249" i="1"/>
  <c r="L71" i="1" s="1"/>
  <c r="K233" i="1"/>
  <c r="K67" i="1" s="1"/>
  <c r="L156" i="1"/>
  <c r="L62" i="1" s="1"/>
  <c r="L58" i="1"/>
  <c r="L422" i="1"/>
  <c r="L222" i="1"/>
  <c r="M78" i="1"/>
  <c r="M77" i="1"/>
  <c r="M217" i="1"/>
  <c r="M161" i="1"/>
  <c r="L221" i="1"/>
  <c r="L82" i="1"/>
  <c r="L109" i="1"/>
  <c r="L81" i="1"/>
  <c r="L201" i="1"/>
  <c r="K266" i="1"/>
  <c r="K82" i="1"/>
  <c r="K109" i="1"/>
  <c r="K81" i="1"/>
  <c r="K579" i="1"/>
  <c r="K150" i="1"/>
  <c r="K159" i="1" s="1"/>
  <c r="K188" i="1"/>
  <c r="K217" i="1"/>
  <c r="K161" i="1"/>
  <c r="I78" i="1"/>
  <c r="I77" i="1"/>
  <c r="J579" i="1"/>
  <c r="J514" i="1"/>
  <c r="J157" i="1"/>
  <c r="I188" i="1"/>
  <c r="I150" i="1"/>
  <c r="I159" i="1" s="1"/>
  <c r="H200" i="1"/>
  <c r="I177" i="1"/>
  <c r="I59" i="1" s="1"/>
  <c r="I266" i="1"/>
  <c r="I249" i="1"/>
  <c r="I71" i="1" s="1"/>
  <c r="H28" i="1"/>
  <c r="H31" i="1" s="1"/>
  <c r="H106" i="1"/>
  <c r="H77" i="1"/>
  <c r="H78" i="1"/>
  <c r="I76" i="1"/>
  <c r="I409" i="1"/>
  <c r="I407" i="1"/>
  <c r="G422" i="1"/>
  <c r="G399" i="1"/>
  <c r="I109" i="1"/>
  <c r="I81" i="1"/>
  <c r="I82" i="1"/>
  <c r="I106" i="1"/>
  <c r="I28" i="1"/>
  <c r="G334" i="1"/>
  <c r="G336" i="1" s="1"/>
  <c r="G346" i="1" s="1"/>
  <c r="G347" i="1" s="1"/>
  <c r="H102" i="1"/>
  <c r="I250" i="1"/>
  <c r="I72" i="1" s="1"/>
  <c r="H216" i="1"/>
  <c r="H218" i="1" s="1"/>
  <c r="H219" i="1" s="1"/>
  <c r="H221" i="1" s="1"/>
  <c r="H160" i="1"/>
  <c r="H101" i="1"/>
  <c r="G82" i="1"/>
  <c r="G109" i="1"/>
  <c r="G81" i="1"/>
  <c r="F518" i="1"/>
  <c r="F246" i="1"/>
  <c r="F74" i="1" s="1"/>
  <c r="F70" i="1"/>
  <c r="G250" i="1"/>
  <c r="G72" i="1" s="1"/>
  <c r="G191" i="1"/>
  <c r="H156" i="1"/>
  <c r="H62" i="1" s="1"/>
  <c r="H58" i="1"/>
  <c r="C179" i="1"/>
  <c r="C61" i="1" s="1"/>
  <c r="G156" i="1"/>
  <c r="G62" i="1" s="1"/>
  <c r="G58" i="1"/>
  <c r="G149" i="1"/>
  <c r="G158" i="1" s="1"/>
  <c r="G187" i="1"/>
  <c r="F222" i="1"/>
  <c r="G407" i="1"/>
  <c r="G409" i="1"/>
  <c r="G200" i="1"/>
  <c r="F102" i="1"/>
  <c r="G107" i="1"/>
  <c r="D107" i="1"/>
  <c r="E409" i="1"/>
  <c r="E407" i="1"/>
  <c r="F251" i="1"/>
  <c r="F73" i="1" s="1"/>
  <c r="E100" i="1"/>
  <c r="E17" i="1"/>
  <c r="E20" i="1" s="1"/>
  <c r="C429" i="1"/>
  <c r="C430" i="1"/>
  <c r="C428" i="1"/>
  <c r="E579" i="1"/>
  <c r="E422" i="1"/>
  <c r="E399" i="1"/>
  <c r="D407" i="1"/>
  <c r="D409" i="1"/>
  <c r="E108" i="1"/>
  <c r="E514" i="1"/>
  <c r="E157" i="1"/>
  <c r="E232" i="1"/>
  <c r="E66" i="1" s="1"/>
  <c r="D102" i="1"/>
  <c r="D399" i="1"/>
  <c r="D422" i="1"/>
  <c r="E249" i="1"/>
  <c r="E71" i="1" s="1"/>
  <c r="E187" i="1"/>
  <c r="E149" i="1"/>
  <c r="E158" i="1" s="1"/>
  <c r="E334" i="1"/>
  <c r="E336" i="1" s="1"/>
  <c r="E346" i="1" s="1"/>
  <c r="E347" i="1" s="1"/>
  <c r="E161" i="1"/>
  <c r="E217" i="1"/>
  <c r="C149" i="1"/>
  <c r="C158" i="1" s="1"/>
  <c r="C187" i="1"/>
  <c r="D334" i="1"/>
  <c r="D336" i="1" s="1"/>
  <c r="D346" i="1" s="1"/>
  <c r="D347" i="1" s="1"/>
  <c r="C516" i="1"/>
  <c r="C228" i="1"/>
  <c r="C68" i="1" s="1"/>
  <c r="C64" i="1"/>
  <c r="G402" i="1"/>
  <c r="G403" i="1"/>
  <c r="G404" i="1"/>
  <c r="G363" i="1"/>
  <c r="G382" i="1" s="1"/>
  <c r="I404" i="1"/>
  <c r="I403" i="1"/>
  <c r="I402" i="1"/>
  <c r="I363" i="1"/>
  <c r="I382" i="1" s="1"/>
  <c r="BD201" i="1"/>
  <c r="BD170" i="1"/>
  <c r="AV444" i="1"/>
  <c r="AV430" i="1"/>
  <c r="AW32" i="1"/>
  <c r="AV418" i="1"/>
  <c r="AX20" i="1"/>
  <c r="BF253" i="1"/>
  <c r="M253" i="1" s="1"/>
  <c r="M249" i="1" s="1"/>
  <c r="M71" i="1" s="1"/>
  <c r="BF102" i="1"/>
  <c r="C166" i="1"/>
  <c r="C152" i="1" s="1"/>
  <c r="D166" i="1"/>
  <c r="D152" i="1" s="1"/>
  <c r="F382" i="1"/>
  <c r="H403" i="1"/>
  <c r="H404" i="1"/>
  <c r="H402" i="1"/>
  <c r="H363" i="1"/>
  <c r="H382" i="1" s="1"/>
  <c r="BE214" i="1"/>
  <c r="BE213" i="1"/>
  <c r="BE212" i="1"/>
  <c r="AW330" i="1"/>
  <c r="F428" i="1"/>
  <c r="E428" i="1"/>
  <c r="J382" i="1"/>
  <c r="I428" i="1"/>
  <c r="D249" i="1" l="1"/>
  <c r="D71" i="1" s="1"/>
  <c r="D251" i="1"/>
  <c r="D73" i="1" s="1"/>
  <c r="J31" i="1"/>
  <c r="G20" i="1"/>
  <c r="G127" i="1" s="1"/>
  <c r="J20" i="1"/>
  <c r="I31" i="1"/>
  <c r="H20" i="1"/>
  <c r="H423" i="1" s="1"/>
  <c r="K31" i="1"/>
  <c r="BD202" i="1"/>
  <c r="K20" i="1"/>
  <c r="K423" i="1" s="1"/>
  <c r="K425" i="1" s="1"/>
  <c r="I20" i="1"/>
  <c r="BJ73" i="1"/>
  <c r="E426" i="1"/>
  <c r="E506" i="1"/>
  <c r="E423" i="1"/>
  <c r="E424" i="1" s="1"/>
  <c r="E405" i="1"/>
  <c r="E99" i="1"/>
  <c r="E413" i="1"/>
  <c r="E406" i="1"/>
  <c r="E416" i="1"/>
  <c r="E414" i="1"/>
  <c r="E417" i="1"/>
  <c r="E415" i="1"/>
  <c r="H223" i="1"/>
  <c r="BF238" i="1"/>
  <c r="BF239" i="1" s="1"/>
  <c r="M239" i="1" s="1"/>
  <c r="C87" i="1"/>
  <c r="E87" i="1"/>
  <c r="D87" i="1"/>
  <c r="AU575" i="1"/>
  <c r="AU438" i="1"/>
  <c r="AU436" i="1"/>
  <c r="AU434" i="1" s="1"/>
  <c r="AU376" i="1"/>
  <c r="AU323" i="1"/>
  <c r="AU96" i="1"/>
  <c r="K218" i="1"/>
  <c r="K219" i="1" s="1"/>
  <c r="BA106" i="1"/>
  <c r="BA28" i="1"/>
  <c r="BA31" i="1" s="1"/>
  <c r="E518" i="1"/>
  <c r="E246" i="1"/>
  <c r="E74" i="1" s="1"/>
  <c r="E70" i="1"/>
  <c r="E250" i="1"/>
  <c r="E72" i="1" s="1"/>
  <c r="H416" i="1"/>
  <c r="BA100" i="1"/>
  <c r="BA17" i="1"/>
  <c r="BF316" i="1"/>
  <c r="E163" i="1"/>
  <c r="D163" i="1"/>
  <c r="M163" i="1"/>
  <c r="M147" i="1" s="1"/>
  <c r="BF196" i="1"/>
  <c r="BF200" i="1" s="1"/>
  <c r="M194" i="1"/>
  <c r="D516" i="1"/>
  <c r="D228" i="1"/>
  <c r="D68" i="1" s="1"/>
  <c r="D64" i="1"/>
  <c r="AY354" i="1"/>
  <c r="AY367" i="1"/>
  <c r="C506" i="1"/>
  <c r="C423" i="1"/>
  <c r="C424" i="1" s="1"/>
  <c r="C405" i="1"/>
  <c r="C414" i="1"/>
  <c r="C416" i="1"/>
  <c r="C413" i="1"/>
  <c r="C406" i="1"/>
  <c r="C415" i="1"/>
  <c r="C417" i="1"/>
  <c r="G218" i="1"/>
  <c r="G219" i="1" s="1"/>
  <c r="H222" i="1"/>
  <c r="D250" i="1"/>
  <c r="D72" i="1" s="1"/>
  <c r="BF373" i="1"/>
  <c r="BE454" i="1"/>
  <c r="D217" i="1"/>
  <c r="D161" i="1"/>
  <c r="AX423" i="1"/>
  <c r="AX425" i="1" s="1"/>
  <c r="AX353" i="1"/>
  <c r="AX99" i="1"/>
  <c r="AX116" i="1"/>
  <c r="AX413" i="1"/>
  <c r="AX91" i="1"/>
  <c r="AX415" i="1"/>
  <c r="AX416" i="1"/>
  <c r="AX414" i="1"/>
  <c r="AX127" i="1"/>
  <c r="AX126" i="1"/>
  <c r="AX105" i="1"/>
  <c r="D426" i="1"/>
  <c r="H397" i="1"/>
  <c r="H396" i="1"/>
  <c r="H127" i="1"/>
  <c r="H33" i="1"/>
  <c r="H105" i="1"/>
  <c r="BE24" i="1"/>
  <c r="BE107" i="1" s="1"/>
  <c r="AY99" i="1"/>
  <c r="BB171" i="1"/>
  <c r="L209" i="1"/>
  <c r="L202" i="1" s="1"/>
  <c r="F393" i="1"/>
  <c r="F391" i="1"/>
  <c r="F390" i="1"/>
  <c r="D518" i="1"/>
  <c r="D246" i="1"/>
  <c r="D74" i="1" s="1"/>
  <c r="D70" i="1"/>
  <c r="F506" i="1"/>
  <c r="F423" i="1"/>
  <c r="F424" i="1" s="1"/>
  <c r="F405" i="1"/>
  <c r="F99" i="1"/>
  <c r="F413" i="1"/>
  <c r="F414" i="1"/>
  <c r="F406" i="1"/>
  <c r="F416" i="1"/>
  <c r="F417" i="1"/>
  <c r="F415" i="1"/>
  <c r="I426" i="1"/>
  <c r="J396" i="1"/>
  <c r="J397" i="1"/>
  <c r="J105" i="1"/>
  <c r="J127" i="1"/>
  <c r="J33" i="1"/>
  <c r="E160" i="1"/>
  <c r="E216" i="1"/>
  <c r="E218" i="1" s="1"/>
  <c r="E219" i="1" s="1"/>
  <c r="E397" i="1"/>
  <c r="E396" i="1"/>
  <c r="E33" i="1"/>
  <c r="E127" i="1"/>
  <c r="E105" i="1"/>
  <c r="J426" i="1"/>
  <c r="BF256" i="1"/>
  <c r="D88" i="1"/>
  <c r="M88" i="1"/>
  <c r="M188" i="1"/>
  <c r="M150" i="1"/>
  <c r="M159" i="1" s="1"/>
  <c r="BF236" i="1"/>
  <c r="D237" i="1"/>
  <c r="D233" i="1" s="1"/>
  <c r="D67" i="1" s="1"/>
  <c r="M237" i="1"/>
  <c r="M233" i="1" s="1"/>
  <c r="M67" i="1" s="1"/>
  <c r="E251" i="1"/>
  <c r="E73" i="1" s="1"/>
  <c r="C217" i="1"/>
  <c r="C218" i="1" s="1"/>
  <c r="C219" i="1" s="1"/>
  <c r="C161" i="1"/>
  <c r="BD178" i="1"/>
  <c r="BD60" i="1" s="1"/>
  <c r="BD122" i="1"/>
  <c r="G426" i="1"/>
  <c r="BC177" i="1"/>
  <c r="AY119" i="1"/>
  <c r="BB358" i="1"/>
  <c r="BB177" i="1"/>
  <c r="L169" i="1"/>
  <c r="L177" i="1" s="1"/>
  <c r="L59" i="1" s="1"/>
  <c r="BF254" i="1"/>
  <c r="BF124" i="1" s="1"/>
  <c r="M255" i="1"/>
  <c r="M251" i="1" s="1"/>
  <c r="M73" i="1" s="1"/>
  <c r="G396" i="1"/>
  <c r="G397" i="1"/>
  <c r="G33" i="1"/>
  <c r="G105" i="1"/>
  <c r="G506" i="1"/>
  <c r="G99" i="1"/>
  <c r="G406" i="1"/>
  <c r="G415" i="1"/>
  <c r="G416" i="1"/>
  <c r="BE204" i="1"/>
  <c r="D160" i="1"/>
  <c r="D216" i="1"/>
  <c r="D218" i="1" s="1"/>
  <c r="D219" i="1" s="1"/>
  <c r="D221" i="1" s="1"/>
  <c r="D397" i="1"/>
  <c r="D396" i="1"/>
  <c r="D127" i="1"/>
  <c r="D33" i="1"/>
  <c r="D105" i="1"/>
  <c r="D393" i="1"/>
  <c r="C426" i="1"/>
  <c r="D506" i="1"/>
  <c r="D423" i="1"/>
  <c r="D424" i="1" s="1"/>
  <c r="D405" i="1"/>
  <c r="D99" i="1"/>
  <c r="D417" i="1"/>
  <c r="D413" i="1"/>
  <c r="D416" i="1"/>
  <c r="D414" i="1"/>
  <c r="D415" i="1"/>
  <c r="D406" i="1"/>
  <c r="F91" i="1"/>
  <c r="H426" i="1"/>
  <c r="K413" i="1"/>
  <c r="M218" i="1"/>
  <c r="M219" i="1" s="1"/>
  <c r="BE25" i="1"/>
  <c r="H393" i="1"/>
  <c r="AZ20" i="1"/>
  <c r="AZ126" i="1" s="1"/>
  <c r="BF214" i="1"/>
  <c r="BF213" i="1"/>
  <c r="D213" i="1" s="1"/>
  <c r="BF212" i="1"/>
  <c r="I506" i="1"/>
  <c r="I405" i="1"/>
  <c r="I423" i="1"/>
  <c r="I424" i="1" s="1"/>
  <c r="I99" i="1"/>
  <c r="I417" i="1"/>
  <c r="I415" i="1"/>
  <c r="I414" i="1"/>
  <c r="I406" i="1"/>
  <c r="I416" i="1"/>
  <c r="I413" i="1"/>
  <c r="BD107" i="1"/>
  <c r="F426" i="1"/>
  <c r="M87" i="1"/>
  <c r="M212" i="1"/>
  <c r="AW324" i="1"/>
  <c r="AW134" i="1"/>
  <c r="AW33" i="1"/>
  <c r="I396" i="1"/>
  <c r="BC171" i="1"/>
  <c r="BA19" i="1"/>
  <c r="BD209" i="1"/>
  <c r="BD171" i="1" s="1"/>
  <c r="BD169" i="1"/>
  <c r="BD177" i="1" s="1"/>
  <c r="F396" i="1"/>
  <c r="F397" i="1"/>
  <c r="F127" i="1"/>
  <c r="F105" i="1"/>
  <c r="F33" i="1"/>
  <c r="I218" i="1"/>
  <c r="I219" i="1" s="1"/>
  <c r="BE205" i="1"/>
  <c r="M196" i="1"/>
  <c r="M189" i="1" s="1"/>
  <c r="M191" i="1" s="1"/>
  <c r="D514" i="1"/>
  <c r="D157" i="1"/>
  <c r="C396" i="1"/>
  <c r="C397" i="1"/>
  <c r="C127" i="1"/>
  <c r="C33" i="1"/>
  <c r="C105" i="1"/>
  <c r="C393" i="1"/>
  <c r="E91" i="1"/>
  <c r="J218" i="1"/>
  <c r="J219" i="1" s="1"/>
  <c r="BE124" i="1"/>
  <c r="M124" i="1" s="1"/>
  <c r="M254" i="1"/>
  <c r="M250" i="1" s="1"/>
  <c r="M72" i="1" s="1"/>
  <c r="E393" i="1"/>
  <c r="E516" i="1"/>
  <c r="E228" i="1"/>
  <c r="E68" i="1" s="1"/>
  <c r="E64" i="1"/>
  <c r="BF327" i="1"/>
  <c r="M327" i="1" s="1"/>
  <c r="M40" i="1"/>
  <c r="BD172" i="1"/>
  <c r="BE86" i="1"/>
  <c r="J506" i="1"/>
  <c r="J423" i="1"/>
  <c r="J424" i="1" s="1"/>
  <c r="J405" i="1"/>
  <c r="J99" i="1"/>
  <c r="J413" i="1"/>
  <c r="J417" i="1"/>
  <c r="J406" i="1"/>
  <c r="J416" i="1"/>
  <c r="J415" i="1"/>
  <c r="J414" i="1"/>
  <c r="J393" i="1"/>
  <c r="J391" i="1"/>
  <c r="J390" i="1"/>
  <c r="I33" i="1" l="1"/>
  <c r="I393" i="1"/>
  <c r="F425" i="1"/>
  <c r="K99" i="1"/>
  <c r="H506" i="1"/>
  <c r="K416" i="1"/>
  <c r="H414" i="1"/>
  <c r="K127" i="1"/>
  <c r="K105" i="1"/>
  <c r="AZ127" i="1"/>
  <c r="I105" i="1"/>
  <c r="K414" i="1"/>
  <c r="G413" i="1"/>
  <c r="G417" i="1"/>
  <c r="G423" i="1"/>
  <c r="G424" i="1" s="1"/>
  <c r="J394" i="1"/>
  <c r="I127" i="1"/>
  <c r="I397" i="1"/>
  <c r="K415" i="1"/>
  <c r="G414" i="1"/>
  <c r="G405" i="1"/>
  <c r="H424" i="1"/>
  <c r="H425" i="1"/>
  <c r="D222" i="1"/>
  <c r="H417" i="1"/>
  <c r="H99" i="1"/>
  <c r="BJ74" i="1"/>
  <c r="BJ75" i="1" s="1"/>
  <c r="BJ76" i="1" s="1"/>
  <c r="BJ77" i="1" s="1"/>
  <c r="BJ78" i="1" s="1"/>
  <c r="BJ79" i="1" s="1"/>
  <c r="I425" i="1"/>
  <c r="H406" i="1"/>
  <c r="H405" i="1"/>
  <c r="E425" i="1"/>
  <c r="K91" i="1"/>
  <c r="G91" i="1"/>
  <c r="AZ105" i="1"/>
  <c r="H413" i="1"/>
  <c r="H415" i="1"/>
  <c r="I91" i="1"/>
  <c r="H91" i="1"/>
  <c r="J91" i="1"/>
  <c r="C223" i="1"/>
  <c r="C222" i="1"/>
  <c r="C221" i="1"/>
  <c r="BF204" i="1"/>
  <c r="BB179" i="1"/>
  <c r="BB61" i="1" s="1"/>
  <c r="BB59" i="1"/>
  <c r="BB12" i="1" s="1"/>
  <c r="E256" i="1"/>
  <c r="M256" i="1"/>
  <c r="E408" i="1"/>
  <c r="E411" i="1" s="1"/>
  <c r="E410" i="1"/>
  <c r="E222" i="1"/>
  <c r="E221" i="1"/>
  <c r="H502" i="1"/>
  <c r="H503" i="1" s="1"/>
  <c r="H398" i="1"/>
  <c r="H37" i="1"/>
  <c r="H111" i="1"/>
  <c r="H394" i="1"/>
  <c r="AX367" i="1"/>
  <c r="AX409" i="1" s="1"/>
  <c r="AX354" i="1"/>
  <c r="AX407" i="1" s="1"/>
  <c r="AX329" i="1"/>
  <c r="K329" i="1" s="1"/>
  <c r="K353" i="1"/>
  <c r="AY405" i="1"/>
  <c r="G223" i="1"/>
  <c r="G222" i="1"/>
  <c r="G221" i="1"/>
  <c r="M187" i="1"/>
  <c r="M149" i="1"/>
  <c r="M158" i="1" s="1"/>
  <c r="D147" i="1"/>
  <c r="D177" i="1"/>
  <c r="D59" i="1" s="1"/>
  <c r="BE208" i="1"/>
  <c r="BE209" i="1" s="1"/>
  <c r="F408" i="1"/>
  <c r="F410" i="1"/>
  <c r="M221" i="1"/>
  <c r="E214" i="1"/>
  <c r="E223" i="1" s="1"/>
  <c r="D214" i="1"/>
  <c r="D223" i="1" s="1"/>
  <c r="C425" i="1"/>
  <c r="D502" i="1"/>
  <c r="D503" i="1" s="1"/>
  <c r="D398" i="1"/>
  <c r="D37" i="1"/>
  <c r="D111" i="1"/>
  <c r="D394" i="1"/>
  <c r="G502" i="1"/>
  <c r="G503" i="1" s="1"/>
  <c r="G398" i="1"/>
  <c r="G111" i="1"/>
  <c r="G37" i="1"/>
  <c r="G394" i="1"/>
  <c r="E124" i="1"/>
  <c r="D124" i="1"/>
  <c r="J425" i="1"/>
  <c r="E502" i="1"/>
  <c r="E503" i="1" s="1"/>
  <c r="E398" i="1"/>
  <c r="E37" i="1"/>
  <c r="E111" i="1"/>
  <c r="E394" i="1"/>
  <c r="BB173" i="1"/>
  <c r="L171" i="1"/>
  <c r="L179" i="1" s="1"/>
  <c r="L61" i="1" s="1"/>
  <c r="H410" i="1"/>
  <c r="H408" i="1"/>
  <c r="D425" i="1"/>
  <c r="AX405" i="1"/>
  <c r="E147" i="1"/>
  <c r="E179" i="1"/>
  <c r="E61" i="1" s="1"/>
  <c r="E177" i="1"/>
  <c r="E59" i="1" s="1"/>
  <c r="E178" i="1"/>
  <c r="E60" i="1" s="1"/>
  <c r="AU334" i="1"/>
  <c r="AU336" i="1" s="1"/>
  <c r="M213" i="1"/>
  <c r="M222" i="1" s="1"/>
  <c r="G410" i="1"/>
  <c r="G408" i="1"/>
  <c r="AY329" i="1"/>
  <c r="AX119" i="1"/>
  <c r="K119" i="1" s="1"/>
  <c r="K116" i="1"/>
  <c r="BF205" i="1"/>
  <c r="C196" i="1"/>
  <c r="E196" i="1"/>
  <c r="D196" i="1"/>
  <c r="D189" i="1" s="1"/>
  <c r="D191" i="1" s="1"/>
  <c r="BF319" i="1"/>
  <c r="E316" i="1"/>
  <c r="D316" i="1"/>
  <c r="M316" i="1"/>
  <c r="K222" i="1"/>
  <c r="K221" i="1"/>
  <c r="K223" i="1"/>
  <c r="AU379" i="1"/>
  <c r="I410" i="1"/>
  <c r="I408" i="1"/>
  <c r="AW421" i="1"/>
  <c r="AW399" i="1"/>
  <c r="AW359" i="1"/>
  <c r="AZ354" i="1"/>
  <c r="AZ330" i="1" s="1"/>
  <c r="AZ367" i="1"/>
  <c r="AZ409" i="1" s="1"/>
  <c r="BE108" i="1"/>
  <c r="J221" i="1"/>
  <c r="J222" i="1"/>
  <c r="J223" i="1"/>
  <c r="C502" i="1"/>
  <c r="C503" i="1" s="1"/>
  <c r="C398" i="1"/>
  <c r="C111" i="1"/>
  <c r="C37" i="1"/>
  <c r="C394" i="1"/>
  <c r="I221" i="1"/>
  <c r="I223" i="1"/>
  <c r="I222" i="1"/>
  <c r="BD179" i="1"/>
  <c r="BD61" i="1" s="1"/>
  <c r="BD59" i="1"/>
  <c r="BD12" i="1" s="1"/>
  <c r="BC173" i="1"/>
  <c r="I502" i="1"/>
  <c r="I503" i="1" s="1"/>
  <c r="I398" i="1"/>
  <c r="I37" i="1"/>
  <c r="I111" i="1"/>
  <c r="I394" i="1"/>
  <c r="AW502" i="1"/>
  <c r="AW503" i="1" s="1"/>
  <c r="AW111" i="1"/>
  <c r="AZ125" i="1"/>
  <c r="AZ423" i="1"/>
  <c r="AZ425" i="1" s="1"/>
  <c r="AZ353" i="1"/>
  <c r="AZ116" i="1"/>
  <c r="AZ99" i="1"/>
  <c r="AZ413" i="1"/>
  <c r="AZ91" i="1"/>
  <c r="AZ415" i="1"/>
  <c r="AZ416" i="1"/>
  <c r="AZ414" i="1"/>
  <c r="D410" i="1"/>
  <c r="D408" i="1"/>
  <c r="BF257" i="1"/>
  <c r="BC358" i="1"/>
  <c r="L358" i="1"/>
  <c r="BF123" i="1"/>
  <c r="D236" i="1"/>
  <c r="D232" i="1" s="1"/>
  <c r="D66" i="1" s="1"/>
  <c r="M236" i="1"/>
  <c r="M232" i="1" s="1"/>
  <c r="M66" i="1" s="1"/>
  <c r="J502" i="1"/>
  <c r="J503" i="1" s="1"/>
  <c r="J398" i="1"/>
  <c r="J111" i="1"/>
  <c r="J37" i="1"/>
  <c r="BE172" i="1"/>
  <c r="BF86" i="1"/>
  <c r="M86" i="1" s="1"/>
  <c r="C410" i="1"/>
  <c r="C408" i="1"/>
  <c r="F502" i="1"/>
  <c r="F503" i="1" s="1"/>
  <c r="F398" i="1"/>
  <c r="F111" i="1"/>
  <c r="F37" i="1"/>
  <c r="BD173" i="1"/>
  <c r="AW131" i="1"/>
  <c r="AW132" i="1"/>
  <c r="AW133" i="1"/>
  <c r="AW130" i="1"/>
  <c r="BE169" i="1"/>
  <c r="BE177" i="1" s="1"/>
  <c r="BC179" i="1"/>
  <c r="BC61" i="1" s="1"/>
  <c r="BC59" i="1"/>
  <c r="BC12" i="1" s="1"/>
  <c r="BF24" i="1"/>
  <c r="J410" i="1"/>
  <c r="J408" i="1"/>
  <c r="F394" i="1"/>
  <c r="AX125" i="1"/>
  <c r="K125" i="1" s="1"/>
  <c r="K126" i="1"/>
  <c r="BF454" i="1"/>
  <c r="M454" i="1" s="1"/>
  <c r="M373" i="1"/>
  <c r="AY331" i="1"/>
  <c r="AY369" i="1"/>
  <c r="M156" i="1"/>
  <c r="M62" i="1" s="1"/>
  <c r="M58" i="1"/>
  <c r="BA20" i="1"/>
  <c r="AU53" i="1"/>
  <c r="D238" i="1"/>
  <c r="E238" i="1"/>
  <c r="M238" i="1"/>
  <c r="M214" i="1"/>
  <c r="M223" i="1" s="1"/>
  <c r="G411" i="1" l="1"/>
  <c r="D411" i="1"/>
  <c r="I411" i="1"/>
  <c r="J411" i="1"/>
  <c r="C411" i="1"/>
  <c r="G425" i="1"/>
  <c r="H411" i="1"/>
  <c r="F411" i="1"/>
  <c r="AU51" i="1"/>
  <c r="BA105" i="1"/>
  <c r="BJ80" i="1"/>
  <c r="BC100" i="1"/>
  <c r="BC17" i="1"/>
  <c r="F39" i="1"/>
  <c r="F41" i="1" s="1"/>
  <c r="F95" i="1"/>
  <c r="J507" i="1"/>
  <c r="J504" i="1"/>
  <c r="AZ329" i="1"/>
  <c r="I507" i="1"/>
  <c r="I504" i="1"/>
  <c r="C504" i="1"/>
  <c r="C507" i="1"/>
  <c r="AW429" i="1"/>
  <c r="AW360" i="1"/>
  <c r="E189" i="1"/>
  <c r="E191" i="1" s="1"/>
  <c r="E200" i="1"/>
  <c r="E202" i="1"/>
  <c r="E201" i="1"/>
  <c r="E156" i="1"/>
  <c r="E62" i="1" s="1"/>
  <c r="E58" i="1"/>
  <c r="D39" i="1"/>
  <c r="D41" i="1" s="1"/>
  <c r="D95" i="1"/>
  <c r="BE201" i="1"/>
  <c r="BE170" i="1"/>
  <c r="BA127" i="1"/>
  <c r="AY330" i="1"/>
  <c r="AW174" i="1"/>
  <c r="AW240" i="1"/>
  <c r="J39" i="1"/>
  <c r="J41" i="1" s="1"/>
  <c r="J95" i="1"/>
  <c r="BF25" i="1"/>
  <c r="M257" i="1"/>
  <c r="C39" i="1"/>
  <c r="C41" i="1" s="1"/>
  <c r="C95" i="1"/>
  <c r="C189" i="1"/>
  <c r="C191" i="1" s="1"/>
  <c r="C201" i="1"/>
  <c r="C200" i="1"/>
  <c r="C202" i="1"/>
  <c r="E39" i="1"/>
  <c r="E41" i="1" s="1"/>
  <c r="E95" i="1"/>
  <c r="G504" i="1"/>
  <c r="G507" i="1"/>
  <c r="D156" i="1"/>
  <c r="D62" i="1" s="1"/>
  <c r="D58" i="1"/>
  <c r="K406" i="1"/>
  <c r="K405" i="1"/>
  <c r="AX330" i="1"/>
  <c r="K354" i="1"/>
  <c r="K408" i="1" s="1"/>
  <c r="AY407" i="1"/>
  <c r="H39" i="1"/>
  <c r="H41" i="1" s="1"/>
  <c r="H95" i="1"/>
  <c r="BF107" i="1"/>
  <c r="M24" i="1"/>
  <c r="M107" i="1" s="1"/>
  <c r="BE59" i="1"/>
  <c r="BE12" i="1" s="1"/>
  <c r="AZ405" i="1"/>
  <c r="AZ407" i="1"/>
  <c r="I39" i="1"/>
  <c r="I41" i="1" s="1"/>
  <c r="I95" i="1"/>
  <c r="BC23" i="1"/>
  <c r="AZ331" i="1"/>
  <c r="AZ369" i="1"/>
  <c r="AU453" i="1"/>
  <c r="AU456" i="1" s="1"/>
  <c r="AU471" i="1" s="1"/>
  <c r="AU443" i="1"/>
  <c r="AU442" i="1"/>
  <c r="AU441" i="1"/>
  <c r="AU508" i="1"/>
  <c r="AU509" i="1"/>
  <c r="BF335" i="1"/>
  <c r="M319" i="1"/>
  <c r="BF208" i="1"/>
  <c r="M208" i="1" s="1"/>
  <c r="M201" i="1" s="1"/>
  <c r="E205" i="1"/>
  <c r="D205" i="1"/>
  <c r="BB23" i="1"/>
  <c r="L173" i="1"/>
  <c r="G39" i="1"/>
  <c r="G41" i="1" s="1"/>
  <c r="G95" i="1"/>
  <c r="D504" i="1"/>
  <c r="D507" i="1"/>
  <c r="AX331" i="1"/>
  <c r="K331" i="1" s="1"/>
  <c r="AX369" i="1"/>
  <c r="K367" i="1"/>
  <c r="K409" i="1" s="1"/>
  <c r="AY409" i="1"/>
  <c r="BF169" i="1"/>
  <c r="D204" i="1"/>
  <c r="D200" i="1" s="1"/>
  <c r="M204" i="1"/>
  <c r="M200" i="1" s="1"/>
  <c r="AU52" i="1"/>
  <c r="BA423" i="1"/>
  <c r="BA425" i="1" s="1"/>
  <c r="BA353" i="1"/>
  <c r="BA405" i="1" s="1"/>
  <c r="BA116" i="1"/>
  <c r="BA119" i="1" s="1"/>
  <c r="BA99" i="1"/>
  <c r="BA413" i="1"/>
  <c r="BA415" i="1"/>
  <c r="BA416" i="1"/>
  <c r="BA91" i="1"/>
  <c r="BA414" i="1"/>
  <c r="BE171" i="1"/>
  <c r="AW258" i="1"/>
  <c r="BD23" i="1"/>
  <c r="F507" i="1"/>
  <c r="F504" i="1"/>
  <c r="BF172" i="1"/>
  <c r="D86" i="1"/>
  <c r="C123" i="1"/>
  <c r="E123" i="1"/>
  <c r="D123" i="1"/>
  <c r="M123" i="1"/>
  <c r="BD358" i="1"/>
  <c r="AZ119" i="1"/>
  <c r="AW504" i="1"/>
  <c r="BD100" i="1"/>
  <c r="BD17" i="1"/>
  <c r="AW424" i="1"/>
  <c r="AW426" i="1"/>
  <c r="AW428" i="1"/>
  <c r="E507" i="1"/>
  <c r="E504" i="1"/>
  <c r="M205" i="1"/>
  <c r="BA126" i="1"/>
  <c r="H504" i="1"/>
  <c r="H507" i="1"/>
  <c r="BB100" i="1"/>
  <c r="BB17" i="1"/>
  <c r="L12" i="1"/>
  <c r="BF209" i="1" l="1"/>
  <c r="M209" i="1" s="1"/>
  <c r="M202" i="1" s="1"/>
  <c r="K407" i="1"/>
  <c r="BE202" i="1"/>
  <c r="BJ81" i="1"/>
  <c r="AU1" i="1"/>
  <c r="BE358" i="1"/>
  <c r="BF177" i="1"/>
  <c r="M169" i="1"/>
  <c r="M177" i="1" s="1"/>
  <c r="M59" i="1" s="1"/>
  <c r="I508" i="1"/>
  <c r="I439" i="1"/>
  <c r="I112" i="1"/>
  <c r="I51" i="1"/>
  <c r="I49" i="1"/>
  <c r="L100" i="1"/>
  <c r="L17" i="1"/>
  <c r="BE173" i="1"/>
  <c r="D209" i="1"/>
  <c r="D202" i="1" s="1"/>
  <c r="G508" i="1"/>
  <c r="G439" i="1"/>
  <c r="G112" i="1"/>
  <c r="G51" i="1"/>
  <c r="G1" i="1" s="1"/>
  <c r="G49" i="1"/>
  <c r="BF422" i="1"/>
  <c r="M335" i="1"/>
  <c r="BC106" i="1"/>
  <c r="BC28" i="1"/>
  <c r="BC31" i="1" s="1"/>
  <c r="BE100" i="1"/>
  <c r="BE17" i="1"/>
  <c r="BF108" i="1"/>
  <c r="M25" i="1"/>
  <c r="M108" i="1" s="1"/>
  <c r="J508" i="1"/>
  <c r="J439" i="1"/>
  <c r="J112" i="1"/>
  <c r="J51" i="1"/>
  <c r="J49" i="1"/>
  <c r="BA367" i="1"/>
  <c r="BA354" i="1"/>
  <c r="BA330" i="1" s="1"/>
  <c r="AU493" i="1"/>
  <c r="AU475" i="1"/>
  <c r="AU472" i="1"/>
  <c r="AW241" i="1"/>
  <c r="BB19" i="1"/>
  <c r="BB20" i="1" s="1"/>
  <c r="C508" i="1"/>
  <c r="C439" i="1"/>
  <c r="C112" i="1"/>
  <c r="C51" i="1"/>
  <c r="C1" i="1" s="1"/>
  <c r="C49" i="1"/>
  <c r="AW175" i="1"/>
  <c r="D508" i="1"/>
  <c r="D439" i="1"/>
  <c r="D112" i="1"/>
  <c r="D51" i="1"/>
  <c r="D1" i="1" s="1"/>
  <c r="D49" i="1"/>
  <c r="AW444" i="1"/>
  <c r="AW430" i="1"/>
  <c r="AX32" i="1"/>
  <c r="AW418" i="1"/>
  <c r="E172" i="1"/>
  <c r="D172" i="1"/>
  <c r="M172" i="1"/>
  <c r="BA329" i="1"/>
  <c r="BA409" i="1"/>
  <c r="BA125" i="1"/>
  <c r="BD28" i="1"/>
  <c r="BD31" i="1" s="1"/>
  <c r="BD106" i="1"/>
  <c r="AW259" i="1"/>
  <c r="K410" i="1"/>
  <c r="K411" i="1" s="1"/>
  <c r="K369" i="1"/>
  <c r="BB106" i="1"/>
  <c r="BB28" i="1"/>
  <c r="BB31" i="1" s="1"/>
  <c r="L23" i="1"/>
  <c r="BF201" i="1"/>
  <c r="BF170" i="1"/>
  <c r="D208" i="1"/>
  <c r="D201" i="1" s="1"/>
  <c r="H508" i="1"/>
  <c r="H439" i="1"/>
  <c r="H112" i="1"/>
  <c r="H51" i="1"/>
  <c r="H1" i="1" s="1"/>
  <c r="H49" i="1"/>
  <c r="E508" i="1"/>
  <c r="E439" i="1"/>
  <c r="E112" i="1"/>
  <c r="E51" i="1"/>
  <c r="E1" i="1" s="1"/>
  <c r="E49" i="1"/>
  <c r="BE122" i="1"/>
  <c r="BE178" i="1"/>
  <c r="F508" i="1"/>
  <c r="F439" i="1"/>
  <c r="F112" i="1"/>
  <c r="F51" i="1"/>
  <c r="F1" i="1" s="1"/>
  <c r="F49" i="1"/>
  <c r="BF171" i="1" l="1"/>
  <c r="M171" i="1" s="1"/>
  <c r="M179" i="1" s="1"/>
  <c r="M61" i="1" s="1"/>
  <c r="BA407" i="1"/>
  <c r="J1" i="1"/>
  <c r="I1" i="1"/>
  <c r="BJ82" i="1"/>
  <c r="BJ83" i="1" s="1"/>
  <c r="BJ84" i="1" s="1"/>
  <c r="BJ85" i="1" s="1"/>
  <c r="BJ86" i="1" s="1"/>
  <c r="BJ87" i="1" s="1"/>
  <c r="BJ88" i="1" s="1"/>
  <c r="BJ89" i="1" s="1"/>
  <c r="BJ90" i="1" s="1"/>
  <c r="BJ91" i="1" s="1"/>
  <c r="BJ92" i="1" s="1"/>
  <c r="BJ93" i="1" s="1"/>
  <c r="BJ94" i="1" s="1"/>
  <c r="BJ95" i="1" s="1"/>
  <c r="BJ96" i="1" s="1"/>
  <c r="BJ97" i="1" s="1"/>
  <c r="BJ98" i="1" s="1"/>
  <c r="BJ99" i="1" s="1"/>
  <c r="BJ100" i="1" s="1"/>
  <c r="BJ101" i="1" s="1"/>
  <c r="BJ102" i="1" s="1"/>
  <c r="BJ103" i="1" s="1"/>
  <c r="BJ104" i="1" s="1"/>
  <c r="BJ105" i="1" s="1"/>
  <c r="BJ106" i="1" s="1"/>
  <c r="BJ107" i="1" s="1"/>
  <c r="BJ108" i="1" s="1"/>
  <c r="BJ109" i="1" s="1"/>
  <c r="BJ110" i="1" s="1"/>
  <c r="BJ111" i="1" s="1"/>
  <c r="BJ112" i="1" s="1"/>
  <c r="BJ113" i="1" s="1"/>
  <c r="BJ114" i="1" s="1"/>
  <c r="BJ115" i="1" s="1"/>
  <c r="BJ116" i="1" s="1"/>
  <c r="BJ117" i="1" s="1"/>
  <c r="BJ118" i="1" s="1"/>
  <c r="BJ119" i="1" s="1"/>
  <c r="BJ120" i="1" s="1"/>
  <c r="BJ121" i="1" s="1"/>
  <c r="BJ122" i="1" s="1"/>
  <c r="BJ123" i="1" s="1"/>
  <c r="BJ124" i="1" s="1"/>
  <c r="BJ125" i="1" s="1"/>
  <c r="BJ126" i="1" s="1"/>
  <c r="BJ127" i="1" s="1"/>
  <c r="BJ128" i="1" s="1"/>
  <c r="BJ129" i="1" s="1"/>
  <c r="BJ130" i="1" s="1"/>
  <c r="BJ131" i="1" s="1"/>
  <c r="BJ132" i="1" s="1"/>
  <c r="BJ133" i="1" s="1"/>
  <c r="BJ134" i="1" s="1"/>
  <c r="BJ135" i="1" s="1"/>
  <c r="BJ136" i="1" s="1"/>
  <c r="BJ137" i="1" s="1"/>
  <c r="BJ138" i="1" s="1"/>
  <c r="BJ139" i="1" s="1"/>
  <c r="BJ140" i="1" s="1"/>
  <c r="BJ141" i="1" s="1"/>
  <c r="BJ142" i="1" s="1"/>
  <c r="BJ143" i="1" s="1"/>
  <c r="BJ144" i="1" s="1"/>
  <c r="BJ145" i="1" s="1"/>
  <c r="BJ146" i="1" s="1"/>
  <c r="BJ147" i="1" s="1"/>
  <c r="BJ148" i="1" s="1"/>
  <c r="BJ149" i="1" s="1"/>
  <c r="BJ150" i="1" s="1"/>
  <c r="BJ151" i="1" s="1"/>
  <c r="BJ152" i="1" s="1"/>
  <c r="BJ153" i="1" s="1"/>
  <c r="BJ154" i="1" s="1"/>
  <c r="BJ155" i="1" s="1"/>
  <c r="BJ156" i="1" s="1"/>
  <c r="BJ157" i="1" s="1"/>
  <c r="BJ158" i="1" s="1"/>
  <c r="BJ159" i="1" s="1"/>
  <c r="BJ160" i="1" s="1"/>
  <c r="BJ161" i="1" s="1"/>
  <c r="BJ162" i="1" s="1"/>
  <c r="BJ163" i="1" s="1"/>
  <c r="BJ164" i="1" s="1"/>
  <c r="BJ165" i="1" s="1"/>
  <c r="BJ166" i="1" s="1"/>
  <c r="BJ167" i="1" s="1"/>
  <c r="BJ168" i="1" s="1"/>
  <c r="BJ169" i="1" s="1"/>
  <c r="BJ170" i="1" s="1"/>
  <c r="BJ171" i="1" s="1"/>
  <c r="BJ172" i="1" s="1"/>
  <c r="BJ173" i="1" s="1"/>
  <c r="BJ174" i="1" s="1"/>
  <c r="BJ175" i="1" s="1"/>
  <c r="BJ176" i="1" s="1"/>
  <c r="BJ177" i="1" s="1"/>
  <c r="BJ178" i="1" s="1"/>
  <c r="BJ179" i="1" s="1"/>
  <c r="BJ180" i="1" s="1"/>
  <c r="BJ181" i="1" s="1"/>
  <c r="BJ182" i="1" s="1"/>
  <c r="BJ183" i="1" s="1"/>
  <c r="BJ184" i="1" s="1"/>
  <c r="BJ185" i="1" s="1"/>
  <c r="BJ186" i="1" s="1"/>
  <c r="BJ187" i="1" s="1"/>
  <c r="BJ188" i="1" s="1"/>
  <c r="BJ189" i="1" s="1"/>
  <c r="BJ190" i="1" s="1"/>
  <c r="BJ191" i="1" s="1"/>
  <c r="BJ192" i="1" s="1"/>
  <c r="BJ193" i="1" s="1"/>
  <c r="BJ194" i="1" s="1"/>
  <c r="BJ195" i="1" s="1"/>
  <c r="BJ196" i="1" s="1"/>
  <c r="BJ197" i="1" s="1"/>
  <c r="BJ198" i="1" s="1"/>
  <c r="BJ199" i="1" s="1"/>
  <c r="BJ200" i="1" s="1"/>
  <c r="BJ201" i="1" s="1"/>
  <c r="BJ202" i="1" s="1"/>
  <c r="BJ203" i="1" s="1"/>
  <c r="BJ204" i="1" s="1"/>
  <c r="BJ205" i="1" s="1"/>
  <c r="BJ206" i="1" s="1"/>
  <c r="BJ207" i="1" s="1"/>
  <c r="BJ208" i="1" s="1"/>
  <c r="BJ209" i="1" s="1"/>
  <c r="BJ210" i="1" s="1"/>
  <c r="BJ211" i="1" s="1"/>
  <c r="BJ212" i="1" s="1"/>
  <c r="BJ213" i="1" s="1"/>
  <c r="BJ214" i="1" s="1"/>
  <c r="BJ215" i="1" s="1"/>
  <c r="BJ216" i="1" s="1"/>
  <c r="BJ217" i="1" s="1"/>
  <c r="BJ218" i="1" s="1"/>
  <c r="BJ219" i="1" s="1"/>
  <c r="BJ220" i="1" s="1"/>
  <c r="BJ221" i="1" s="1"/>
  <c r="BJ222" i="1" s="1"/>
  <c r="BJ223" i="1" s="1"/>
  <c r="BJ224" i="1" s="1"/>
  <c r="BJ225" i="1" s="1"/>
  <c r="BJ226" i="1" s="1"/>
  <c r="BJ227" i="1" s="1"/>
  <c r="BJ228" i="1" s="1"/>
  <c r="BJ229" i="1" s="1"/>
  <c r="BJ230" i="1" s="1"/>
  <c r="BJ231" i="1" s="1"/>
  <c r="BJ232" i="1" s="1"/>
  <c r="BJ233" i="1" s="1"/>
  <c r="BJ234" i="1" s="1"/>
  <c r="BJ235" i="1" s="1"/>
  <c r="BJ236" i="1" s="1"/>
  <c r="BJ237" i="1" s="1"/>
  <c r="BJ238" i="1" s="1"/>
  <c r="BJ239" i="1" s="1"/>
  <c r="BJ240" i="1" s="1"/>
  <c r="BJ241" i="1" s="1"/>
  <c r="BJ242" i="1" s="1"/>
  <c r="BJ243" i="1" s="1"/>
  <c r="BJ244" i="1" s="1"/>
  <c r="BJ245" i="1" s="1"/>
  <c r="BJ246" i="1" s="1"/>
  <c r="BJ247" i="1" s="1"/>
  <c r="BJ248" i="1" s="1"/>
  <c r="BJ249" i="1" s="1"/>
  <c r="BJ250" i="1" s="1"/>
  <c r="BJ251" i="1" s="1"/>
  <c r="BJ252" i="1" s="1"/>
  <c r="BJ253" i="1" s="1"/>
  <c r="BJ254" i="1" s="1"/>
  <c r="BJ255" i="1" s="1"/>
  <c r="BJ256" i="1" s="1"/>
  <c r="BJ257" i="1" s="1"/>
  <c r="BJ258" i="1" s="1"/>
  <c r="BJ259" i="1" s="1"/>
  <c r="BJ260" i="1" s="1"/>
  <c r="BJ261" i="1" s="1"/>
  <c r="BJ262" i="1" s="1"/>
  <c r="BJ263" i="1" s="1"/>
  <c r="BJ264" i="1" s="1"/>
  <c r="BJ265" i="1" s="1"/>
  <c r="BJ266" i="1" s="1"/>
  <c r="BJ267" i="1" s="1"/>
  <c r="BJ268" i="1" s="1"/>
  <c r="BJ269" i="1" s="1"/>
  <c r="BJ270" i="1" s="1"/>
  <c r="BJ271" i="1" s="1"/>
  <c r="BJ272" i="1" s="1"/>
  <c r="BJ273" i="1" s="1"/>
  <c r="BJ274" i="1" s="1"/>
  <c r="BJ275" i="1" s="1"/>
  <c r="BJ276" i="1" s="1"/>
  <c r="BJ277" i="1" s="1"/>
  <c r="BJ278" i="1" s="1"/>
  <c r="BJ279" i="1" s="1"/>
  <c r="BJ280" i="1" s="1"/>
  <c r="BJ281" i="1" s="1"/>
  <c r="BJ282" i="1" s="1"/>
  <c r="BJ283" i="1" s="1"/>
  <c r="BJ284" i="1" s="1"/>
  <c r="BJ285" i="1" s="1"/>
  <c r="BJ286" i="1" s="1"/>
  <c r="BJ287" i="1" s="1"/>
  <c r="BJ288" i="1" s="1"/>
  <c r="BJ289" i="1" s="1"/>
  <c r="BJ290" i="1" s="1"/>
  <c r="BJ291" i="1" s="1"/>
  <c r="BJ292" i="1" s="1"/>
  <c r="BJ293" i="1" s="1"/>
  <c r="BJ294" i="1" s="1"/>
  <c r="BJ295" i="1" s="1"/>
  <c r="BJ296" i="1" s="1"/>
  <c r="BJ297" i="1" s="1"/>
  <c r="BJ298" i="1" s="1"/>
  <c r="BJ299" i="1" s="1"/>
  <c r="BJ300" i="1" s="1"/>
  <c r="BJ301" i="1" s="1"/>
  <c r="BJ302" i="1" s="1"/>
  <c r="BJ303" i="1" s="1"/>
  <c r="BJ304" i="1" s="1"/>
  <c r="BJ305" i="1" s="1"/>
  <c r="BJ306" i="1" s="1"/>
  <c r="BJ307" i="1" s="1"/>
  <c r="BJ308" i="1" s="1"/>
  <c r="BJ309" i="1" s="1"/>
  <c r="BJ310" i="1" s="1"/>
  <c r="BJ311" i="1" s="1"/>
  <c r="BJ312" i="1" s="1"/>
  <c r="BJ313" i="1" s="1"/>
  <c r="BJ314" i="1" s="1"/>
  <c r="BJ315" i="1" s="1"/>
  <c r="BJ316" i="1" s="1"/>
  <c r="BJ317" i="1" s="1"/>
  <c r="BJ318" i="1" s="1"/>
  <c r="BJ319" i="1" s="1"/>
  <c r="BJ320" i="1" s="1"/>
  <c r="BJ321" i="1" s="1"/>
  <c r="BJ322" i="1" s="1"/>
  <c r="BJ323" i="1" s="1"/>
  <c r="BJ324" i="1" s="1"/>
  <c r="BJ325" i="1" s="1"/>
  <c r="BJ326" i="1" s="1"/>
  <c r="BJ327" i="1" s="1"/>
  <c r="BJ328" i="1" s="1"/>
  <c r="BJ329" i="1" s="1"/>
  <c r="BJ330" i="1" s="1"/>
  <c r="BJ331" i="1" s="1"/>
  <c r="BJ332" i="1" s="1"/>
  <c r="BJ333" i="1" s="1"/>
  <c r="BJ334" i="1" s="1"/>
  <c r="BJ335" i="1" s="1"/>
  <c r="BF202" i="1"/>
  <c r="BF178" i="1"/>
  <c r="BF60" i="1" s="1"/>
  <c r="BF122" i="1"/>
  <c r="D170" i="1"/>
  <c r="D178" i="1" s="1"/>
  <c r="D60" i="1" s="1"/>
  <c r="G575" i="1"/>
  <c r="G509" i="1"/>
  <c r="G438" i="1"/>
  <c r="G52" i="1"/>
  <c r="M170" i="1"/>
  <c r="M178" i="1" s="1"/>
  <c r="M60" i="1" s="1"/>
  <c r="H575" i="1"/>
  <c r="H509" i="1"/>
  <c r="H438" i="1"/>
  <c r="H52" i="1"/>
  <c r="L28" i="1"/>
  <c r="L106" i="1"/>
  <c r="BC19" i="1"/>
  <c r="L19" i="1"/>
  <c r="AU494" i="1"/>
  <c r="AU478" i="1"/>
  <c r="AU370" i="1" s="1"/>
  <c r="BF173" i="1"/>
  <c r="D171" i="1"/>
  <c r="D179" i="1" s="1"/>
  <c r="D61" i="1" s="1"/>
  <c r="BF179" i="1"/>
  <c r="BF61" i="1" s="1"/>
  <c r="BF59" i="1"/>
  <c r="BF12" i="1" s="1"/>
  <c r="D575" i="1"/>
  <c r="D509" i="1"/>
  <c r="D438" i="1"/>
  <c r="D52" i="1"/>
  <c r="BE23" i="1"/>
  <c r="M173" i="1"/>
  <c r="BE60" i="1"/>
  <c r="BE179" i="1"/>
  <c r="BE61" i="1" s="1"/>
  <c r="BB127" i="1"/>
  <c r="BB126" i="1"/>
  <c r="BB105" i="1"/>
  <c r="C575" i="1"/>
  <c r="C509" i="1"/>
  <c r="C438" i="1"/>
  <c r="C52" i="1"/>
  <c r="BB423" i="1"/>
  <c r="BB425" i="1" s="1"/>
  <c r="BB353" i="1"/>
  <c r="BB405" i="1" s="1"/>
  <c r="BB99" i="1"/>
  <c r="BB116" i="1"/>
  <c r="BB413" i="1"/>
  <c r="BB91" i="1"/>
  <c r="BB415" i="1"/>
  <c r="BB416" i="1"/>
  <c r="BB414" i="1"/>
  <c r="BA331" i="1"/>
  <c r="BA369" i="1"/>
  <c r="BF358" i="1"/>
  <c r="J575" i="1"/>
  <c r="J509" i="1"/>
  <c r="J438" i="1"/>
  <c r="J52" i="1"/>
  <c r="I575" i="1"/>
  <c r="I509" i="1"/>
  <c r="I438" i="1"/>
  <c r="I52" i="1"/>
  <c r="F575" i="1"/>
  <c r="F509" i="1"/>
  <c r="F438" i="1"/>
  <c r="F52" i="1"/>
  <c r="E575" i="1"/>
  <c r="E509" i="1"/>
  <c r="E438" i="1"/>
  <c r="E52" i="1"/>
  <c r="AX324" i="1"/>
  <c r="AX134" i="1"/>
  <c r="AX33" i="1"/>
  <c r="K32" i="1"/>
  <c r="M422" i="1"/>
  <c r="L31" i="1" l="1"/>
  <c r="BJ336" i="1"/>
  <c r="L20" i="1"/>
  <c r="L423" i="1" s="1"/>
  <c r="L425" i="1" s="1"/>
  <c r="AX421" i="1"/>
  <c r="AX399" i="1"/>
  <c r="K324" i="1"/>
  <c r="AX359" i="1"/>
  <c r="BE106" i="1"/>
  <c r="BE28" i="1"/>
  <c r="BE31" i="1" s="1"/>
  <c r="BF17" i="1"/>
  <c r="BF100" i="1"/>
  <c r="M12" i="1"/>
  <c r="AU387" i="1"/>
  <c r="AU381" i="1"/>
  <c r="BD19" i="1"/>
  <c r="BC20" i="1"/>
  <c r="L415" i="1"/>
  <c r="K93" i="1"/>
  <c r="K33" i="1"/>
  <c r="BB119" i="1"/>
  <c r="L116" i="1"/>
  <c r="BB125" i="1"/>
  <c r="L126" i="1"/>
  <c r="E122" i="1"/>
  <c r="D122" i="1"/>
  <c r="M122" i="1"/>
  <c r="AX502" i="1"/>
  <c r="AX503" i="1" s="1"/>
  <c r="AX111" i="1"/>
  <c r="BB367" i="1"/>
  <c r="BB409" i="1" s="1"/>
  <c r="BB354" i="1"/>
  <c r="K134" i="1"/>
  <c r="AX130" i="1"/>
  <c r="AX131" i="1"/>
  <c r="AX133" i="1"/>
  <c r="AX132" i="1"/>
  <c r="M358" i="1"/>
  <c r="BB329" i="1"/>
  <c r="L353" i="1"/>
  <c r="BF23" i="1"/>
  <c r="M23" i="1" s="1"/>
  <c r="L413" i="1" l="1"/>
  <c r="L105" i="1"/>
  <c r="L99" i="1"/>
  <c r="L91" i="1"/>
  <c r="L127" i="1"/>
  <c r="L416" i="1"/>
  <c r="L414" i="1"/>
  <c r="BJ337" i="1"/>
  <c r="BJ338" i="1" s="1"/>
  <c r="BJ339" i="1" s="1"/>
  <c r="BJ340" i="1" s="1"/>
  <c r="BJ341" i="1" s="1"/>
  <c r="BJ342" i="1" s="1"/>
  <c r="BJ343" i="1" s="1"/>
  <c r="BJ344" i="1" s="1"/>
  <c r="BJ345" i="1" s="1"/>
  <c r="BJ346" i="1" s="1"/>
  <c r="BJ347" i="1" s="1"/>
  <c r="BJ348" i="1" s="1"/>
  <c r="BJ349" i="1" s="1"/>
  <c r="BJ350" i="1" s="1"/>
  <c r="BJ351" i="1" s="1"/>
  <c r="BJ352" i="1" s="1"/>
  <c r="BJ353" i="1" s="1"/>
  <c r="BJ354" i="1" s="1"/>
  <c r="BJ355" i="1" s="1"/>
  <c r="BJ356" i="1" s="1"/>
  <c r="BJ357" i="1" s="1"/>
  <c r="BJ358" i="1" s="1"/>
  <c r="BJ359" i="1" s="1"/>
  <c r="BJ360" i="1" s="1"/>
  <c r="BJ361" i="1" s="1"/>
  <c r="BJ362" i="1" s="1"/>
  <c r="BJ363" i="1" s="1"/>
  <c r="BJ364" i="1" s="1"/>
  <c r="BJ365" i="1" s="1"/>
  <c r="BJ366" i="1" s="1"/>
  <c r="BJ367" i="1" s="1"/>
  <c r="BJ368" i="1" s="1"/>
  <c r="BJ369" i="1" s="1"/>
  <c r="BJ370" i="1" s="1"/>
  <c r="BJ371" i="1" s="1"/>
  <c r="BJ372" i="1" s="1"/>
  <c r="BJ373" i="1" s="1"/>
  <c r="BJ374" i="1" s="1"/>
  <c r="BJ375" i="1" s="1"/>
  <c r="BJ376" i="1" s="1"/>
  <c r="BJ377" i="1" s="1"/>
  <c r="BJ378" i="1" s="1"/>
  <c r="BJ379" i="1" s="1"/>
  <c r="BJ380" i="1" s="1"/>
  <c r="BJ381" i="1" s="1"/>
  <c r="BJ382" i="1" s="1"/>
  <c r="BJ383" i="1" s="1"/>
  <c r="BJ384" i="1" s="1"/>
  <c r="BJ385" i="1" s="1"/>
  <c r="BJ386" i="1" s="1"/>
  <c r="BJ387" i="1" s="1"/>
  <c r="BJ388" i="1" s="1"/>
  <c r="K502" i="1"/>
  <c r="K503" i="1" s="1"/>
  <c r="K111" i="1"/>
  <c r="M106" i="1"/>
  <c r="M28" i="1"/>
  <c r="M31" i="1" s="1"/>
  <c r="AX258" i="1"/>
  <c r="K132" i="1"/>
  <c r="BB330" i="1"/>
  <c r="L354" i="1"/>
  <c r="L408" i="1" s="1"/>
  <c r="BB407" i="1"/>
  <c r="BC423" i="1"/>
  <c r="BC425" i="1" s="1"/>
  <c r="BC353" i="1"/>
  <c r="BC116" i="1"/>
  <c r="BC99" i="1"/>
  <c r="BC413" i="1"/>
  <c r="BC91" i="1"/>
  <c r="BC415" i="1"/>
  <c r="BC416" i="1"/>
  <c r="BC414" i="1"/>
  <c r="BC127" i="1"/>
  <c r="BC126" i="1"/>
  <c r="BC105" i="1"/>
  <c r="AX429" i="1"/>
  <c r="AX360" i="1"/>
  <c r="K359" i="1"/>
  <c r="L406" i="1"/>
  <c r="K133" i="1"/>
  <c r="L405" i="1"/>
  <c r="AX240" i="1"/>
  <c r="K131" i="1"/>
  <c r="AX504" i="1"/>
  <c r="BE19" i="1"/>
  <c r="BD20" i="1"/>
  <c r="M100" i="1"/>
  <c r="M17" i="1"/>
  <c r="BB331" i="1"/>
  <c r="BB369" i="1"/>
  <c r="L367" i="1"/>
  <c r="L409" i="1" s="1"/>
  <c r="AU386" i="1"/>
  <c r="AU389" i="1" s="1"/>
  <c r="AU340" i="1"/>
  <c r="AV34" i="1"/>
  <c r="AU473" i="1"/>
  <c r="K421" i="1"/>
  <c r="K399" i="1"/>
  <c r="BF106" i="1"/>
  <c r="BF28" i="1"/>
  <c r="BF31" i="1" s="1"/>
  <c r="AX174" i="1"/>
  <c r="K130" i="1"/>
  <c r="AX424" i="1"/>
  <c r="AX426" i="1"/>
  <c r="AX428" i="1"/>
  <c r="L407" i="1" l="1"/>
  <c r="BJ389" i="1"/>
  <c r="BJ390" i="1" s="1"/>
  <c r="K424" i="1"/>
  <c r="K428" i="1"/>
  <c r="K426" i="1"/>
  <c r="BC354" i="1"/>
  <c r="BC330" i="1" s="1"/>
  <c r="BC367" i="1"/>
  <c r="BC329" i="1"/>
  <c r="K429" i="1"/>
  <c r="BC405" i="1"/>
  <c r="AX259" i="1"/>
  <c r="K259" i="1" s="1"/>
  <c r="K258" i="1"/>
  <c r="AX175" i="1"/>
  <c r="K175" i="1" s="1"/>
  <c r="K174" i="1"/>
  <c r="BF19" i="1"/>
  <c r="BF20" i="1" s="1"/>
  <c r="BF105" i="1" s="1"/>
  <c r="BE20" i="1"/>
  <c r="AV397" i="1"/>
  <c r="AV396" i="1"/>
  <c r="AV37" i="1"/>
  <c r="AV398" i="1"/>
  <c r="AX444" i="1"/>
  <c r="K444" i="1" s="1"/>
  <c r="AX430" i="1"/>
  <c r="AY32" i="1"/>
  <c r="AX418" i="1"/>
  <c r="K360" i="1"/>
  <c r="AU346" i="1"/>
  <c r="AU351" i="1" s="1"/>
  <c r="L410" i="1"/>
  <c r="L411" i="1" s="1"/>
  <c r="L369" i="1"/>
  <c r="BD423" i="1"/>
  <c r="BD425" i="1" s="1"/>
  <c r="BD353" i="1"/>
  <c r="BD405" i="1" s="1"/>
  <c r="BD116" i="1"/>
  <c r="BD119" i="1" s="1"/>
  <c r="BD99" i="1"/>
  <c r="BD413" i="1"/>
  <c r="BD415" i="1"/>
  <c r="BD91" i="1"/>
  <c r="BD416" i="1"/>
  <c r="BD414" i="1"/>
  <c r="BD105" i="1"/>
  <c r="BD127" i="1"/>
  <c r="BD126" i="1"/>
  <c r="AX241" i="1"/>
  <c r="K240" i="1"/>
  <c r="BC409" i="1"/>
  <c r="BC125" i="1"/>
  <c r="BC119" i="1"/>
  <c r="K504" i="1"/>
  <c r="BC407" i="1" l="1"/>
  <c r="BJ391" i="1"/>
  <c r="BJ392" i="1" s="1"/>
  <c r="BJ393" i="1" s="1"/>
  <c r="BD329" i="1"/>
  <c r="AV38" i="1"/>
  <c r="AV39" i="1" s="1"/>
  <c r="AV41" i="1" s="1"/>
  <c r="BE423" i="1"/>
  <c r="BE425" i="1" s="1"/>
  <c r="BE353" i="1"/>
  <c r="BE405" i="1" s="1"/>
  <c r="BE116" i="1"/>
  <c r="BE99" i="1"/>
  <c r="BE413" i="1"/>
  <c r="BE415" i="1"/>
  <c r="BE91" i="1"/>
  <c r="BE416" i="1"/>
  <c r="BE414" i="1"/>
  <c r="BE105" i="1"/>
  <c r="BE127" i="1"/>
  <c r="BE126" i="1"/>
  <c r="BF423" i="1"/>
  <c r="BF425" i="1" s="1"/>
  <c r="BF353" i="1"/>
  <c r="BF405" i="1" s="1"/>
  <c r="BF99" i="1"/>
  <c r="BF116" i="1"/>
  <c r="BF119" i="1" s="1"/>
  <c r="L119" i="1" s="1"/>
  <c r="BF413" i="1"/>
  <c r="BF91" i="1"/>
  <c r="BF415" i="1"/>
  <c r="BF416" i="1"/>
  <c r="BF414" i="1"/>
  <c r="BD125" i="1"/>
  <c r="AU357" i="1"/>
  <c r="AU347" i="1"/>
  <c r="AU2" i="1"/>
  <c r="AU496" i="1"/>
  <c r="AU501" i="1"/>
  <c r="AU388" i="1"/>
  <c r="K430" i="1"/>
  <c r="K418" i="1"/>
  <c r="BF127" i="1"/>
  <c r="BD354" i="1"/>
  <c r="BD330" i="1" s="1"/>
  <c r="BD367" i="1"/>
  <c r="BD409" i="1" s="1"/>
  <c r="AY324" i="1"/>
  <c r="AY134" i="1"/>
  <c r="AY33" i="1"/>
  <c r="M19" i="1"/>
  <c r="M20" i="1" s="1"/>
  <c r="BF126" i="1"/>
  <c r="BC331" i="1"/>
  <c r="BC369" i="1"/>
  <c r="M126" i="1" l="1"/>
  <c r="BJ394" i="1"/>
  <c r="BJ395" i="1" s="1"/>
  <c r="BJ396" i="1" s="1"/>
  <c r="BJ397" i="1" s="1"/>
  <c r="BJ398" i="1" s="1"/>
  <c r="BJ399" i="1" s="1"/>
  <c r="BJ400" i="1" s="1"/>
  <c r="BJ401" i="1" s="1"/>
  <c r="BJ402" i="1" s="1"/>
  <c r="BJ403" i="1" s="1"/>
  <c r="BJ404" i="1" s="1"/>
  <c r="BJ405" i="1" s="1"/>
  <c r="BJ406" i="1" s="1"/>
  <c r="BJ407" i="1" s="1"/>
  <c r="BJ408" i="1" s="1"/>
  <c r="BJ409" i="1" s="1"/>
  <c r="BJ410" i="1" s="1"/>
  <c r="BJ411" i="1" s="1"/>
  <c r="BJ412" i="1" s="1"/>
  <c r="BJ413" i="1" s="1"/>
  <c r="BJ414" i="1" s="1"/>
  <c r="BJ415" i="1" s="1"/>
  <c r="BJ416" i="1" s="1"/>
  <c r="BJ417" i="1" s="1"/>
  <c r="BJ418" i="1" s="1"/>
  <c r="BJ419" i="1" s="1"/>
  <c r="BJ420" i="1" s="1"/>
  <c r="BJ421" i="1" s="1"/>
  <c r="BJ422" i="1" s="1"/>
  <c r="BJ423" i="1" s="1"/>
  <c r="BJ424" i="1" s="1"/>
  <c r="BJ425" i="1" s="1"/>
  <c r="BJ426" i="1" s="1"/>
  <c r="BJ427" i="1" s="1"/>
  <c r="BJ428" i="1" s="1"/>
  <c r="BJ429" i="1" s="1"/>
  <c r="BJ430" i="1" s="1"/>
  <c r="BJ431" i="1" s="1"/>
  <c r="BJ432" i="1" s="1"/>
  <c r="BJ433" i="1" s="1"/>
  <c r="BJ434" i="1" s="1"/>
  <c r="BJ435" i="1" s="1"/>
  <c r="BJ436" i="1" s="1"/>
  <c r="BJ437" i="1" s="1"/>
  <c r="BJ438" i="1" s="1"/>
  <c r="BJ439" i="1" s="1"/>
  <c r="BJ440" i="1" s="1"/>
  <c r="BJ441" i="1" s="1"/>
  <c r="BJ442" i="1" s="1"/>
  <c r="BJ443" i="1" s="1"/>
  <c r="BJ444" i="1" s="1"/>
  <c r="BJ445" i="1" s="1"/>
  <c r="BJ446" i="1" s="1"/>
  <c r="BJ447" i="1" s="1"/>
  <c r="BJ448" i="1" s="1"/>
  <c r="BJ449" i="1" s="1"/>
  <c r="BJ450" i="1" s="1"/>
  <c r="BJ451" i="1" s="1"/>
  <c r="BJ452" i="1" s="1"/>
  <c r="BJ453" i="1" s="1"/>
  <c r="BJ454" i="1" s="1"/>
  <c r="BJ455" i="1" s="1"/>
  <c r="BJ456" i="1" s="1"/>
  <c r="BJ457" i="1" s="1"/>
  <c r="BJ458" i="1" s="1"/>
  <c r="BJ459" i="1" s="1"/>
  <c r="BJ460" i="1" s="1"/>
  <c r="BJ461" i="1" s="1"/>
  <c r="BJ462" i="1" s="1"/>
  <c r="BJ463" i="1" s="1"/>
  <c r="BJ464" i="1" s="1"/>
  <c r="BJ465" i="1" s="1"/>
  <c r="BJ466" i="1" s="1"/>
  <c r="BJ467" i="1" s="1"/>
  <c r="BJ468" i="1" s="1"/>
  <c r="BJ469" i="1" s="1"/>
  <c r="BJ470" i="1" s="1"/>
  <c r="BJ471" i="1" s="1"/>
  <c r="BJ472" i="1" s="1"/>
  <c r="BJ473" i="1" s="1"/>
  <c r="BJ474" i="1" s="1"/>
  <c r="BJ475" i="1" s="1"/>
  <c r="BJ476" i="1" s="1"/>
  <c r="BJ477" i="1" s="1"/>
  <c r="BJ478" i="1" s="1"/>
  <c r="BJ479" i="1" s="1"/>
  <c r="BJ480" i="1" s="1"/>
  <c r="BJ481" i="1" s="1"/>
  <c r="BJ482" i="1" s="1"/>
  <c r="BJ483" i="1" s="1"/>
  <c r="BJ484" i="1" s="1"/>
  <c r="BJ485" i="1" s="1"/>
  <c r="BJ486" i="1" s="1"/>
  <c r="BJ487" i="1" s="1"/>
  <c r="BJ488" i="1" s="1"/>
  <c r="BJ489" i="1" s="1"/>
  <c r="BJ490" i="1" s="1"/>
  <c r="BJ491" i="1" s="1"/>
  <c r="BJ492" i="1" s="1"/>
  <c r="BJ493" i="1" s="1"/>
  <c r="BJ494" i="1" s="1"/>
  <c r="BJ495" i="1" s="1"/>
  <c r="BJ496" i="1" s="1"/>
  <c r="BJ497" i="1" s="1"/>
  <c r="BJ498" i="1" s="1"/>
  <c r="BJ499" i="1" s="1"/>
  <c r="BJ500" i="1" s="1"/>
  <c r="BJ501" i="1" s="1"/>
  <c r="BJ502" i="1" s="1"/>
  <c r="BJ503" i="1" s="1"/>
  <c r="BJ504" i="1" s="1"/>
  <c r="BJ505" i="1" s="1"/>
  <c r="BJ506" i="1" s="1"/>
  <c r="BJ507" i="1" s="1"/>
  <c r="BJ508" i="1" s="1"/>
  <c r="BJ509" i="1" s="1"/>
  <c r="BJ510" i="1" s="1"/>
  <c r="BJ511" i="1" s="1"/>
  <c r="BJ512" i="1" s="1"/>
  <c r="BJ513" i="1" s="1"/>
  <c r="BJ514" i="1" s="1"/>
  <c r="BJ515" i="1" s="1"/>
  <c r="BJ516" i="1" s="1"/>
  <c r="BJ517" i="1" s="1"/>
  <c r="BJ518" i="1" s="1"/>
  <c r="BJ519" i="1" s="1"/>
  <c r="BJ520" i="1" s="1"/>
  <c r="BJ521" i="1" s="1"/>
  <c r="BJ522" i="1" s="1"/>
  <c r="BJ523" i="1" s="1"/>
  <c r="BJ524" i="1" s="1"/>
  <c r="BJ525" i="1" s="1"/>
  <c r="BJ526" i="1" s="1"/>
  <c r="BJ527" i="1" s="1"/>
  <c r="BJ528" i="1" s="1"/>
  <c r="BJ529" i="1" s="1"/>
  <c r="BJ530" i="1" s="1"/>
  <c r="BJ531" i="1" s="1"/>
  <c r="BJ532" i="1" s="1"/>
  <c r="BJ533" i="1" s="1"/>
  <c r="BJ534" i="1" s="1"/>
  <c r="BJ535" i="1" s="1"/>
  <c r="BJ536" i="1" s="1"/>
  <c r="BJ537" i="1" s="1"/>
  <c r="BJ538" i="1" s="1"/>
  <c r="BJ539" i="1" s="1"/>
  <c r="BJ540" i="1" s="1"/>
  <c r="BJ541" i="1" s="1"/>
  <c r="BJ542" i="1" s="1"/>
  <c r="BJ543" i="1" s="1"/>
  <c r="BJ544" i="1" s="1"/>
  <c r="BJ545" i="1" s="1"/>
  <c r="BJ546" i="1" s="1"/>
  <c r="BJ547" i="1" s="1"/>
  <c r="BJ548" i="1" s="1"/>
  <c r="BJ549" i="1" s="1"/>
  <c r="BJ550" i="1" s="1"/>
  <c r="BJ551" i="1" s="1"/>
  <c r="BJ552" i="1" s="1"/>
  <c r="BJ553" i="1" s="1"/>
  <c r="BJ554" i="1" s="1"/>
  <c r="BJ555" i="1" s="1"/>
  <c r="BJ556" i="1" s="1"/>
  <c r="BJ557" i="1" s="1"/>
  <c r="BJ558" i="1" s="1"/>
  <c r="BJ559" i="1" s="1"/>
  <c r="BJ560" i="1" s="1"/>
  <c r="BJ561" i="1" s="1"/>
  <c r="BJ562" i="1" s="1"/>
  <c r="BJ563" i="1" s="1"/>
  <c r="BJ564" i="1" s="1"/>
  <c r="BJ565" i="1" s="1"/>
  <c r="BJ566" i="1" s="1"/>
  <c r="BJ567" i="1" s="1"/>
  <c r="BJ568" i="1" s="1"/>
  <c r="BJ569" i="1" s="1"/>
  <c r="BJ570" i="1" s="1"/>
  <c r="BJ571" i="1" s="1"/>
  <c r="BJ572" i="1" s="1"/>
  <c r="BJ573" i="1" s="1"/>
  <c r="BJ574" i="1" s="1"/>
  <c r="BJ575" i="1" s="1"/>
  <c r="BJ576" i="1" s="1"/>
  <c r="BJ577" i="1" s="1"/>
  <c r="BJ578" i="1" s="1"/>
  <c r="BJ579" i="1" s="1"/>
  <c r="BJ580" i="1" s="1"/>
  <c r="BJ581" i="1" s="1"/>
  <c r="BJ582" i="1" s="1"/>
  <c r="BJ583" i="1" s="1"/>
  <c r="M423" i="1"/>
  <c r="M425" i="1" s="1"/>
  <c r="M99" i="1"/>
  <c r="M414" i="1"/>
  <c r="M413" i="1"/>
  <c r="M416" i="1"/>
  <c r="M415" i="1"/>
  <c r="M91" i="1"/>
  <c r="M105" i="1"/>
  <c r="M127" i="1"/>
  <c r="AY421" i="1"/>
  <c r="AY399" i="1"/>
  <c r="AY359" i="1"/>
  <c r="BF367" i="1"/>
  <c r="BF354" i="1"/>
  <c r="AU507" i="1"/>
  <c r="BD407" i="1"/>
  <c r="BE367" i="1"/>
  <c r="BE409" i="1" s="1"/>
  <c r="BE354" i="1"/>
  <c r="BE330" i="1" s="1"/>
  <c r="BE119" i="1"/>
  <c r="M119" i="1" s="1"/>
  <c r="M116" i="1"/>
  <c r="BD331" i="1"/>
  <c r="BD369" i="1"/>
  <c r="AU403" i="1"/>
  <c r="AU404" i="1"/>
  <c r="AU402" i="1"/>
  <c r="AU363" i="1"/>
  <c r="AU382" i="1" s="1"/>
  <c r="BF329" i="1"/>
  <c r="L329" i="1" s="1"/>
  <c r="M353" i="1"/>
  <c r="BE329" i="1"/>
  <c r="M329" i="1" s="1"/>
  <c r="AV355" i="1"/>
  <c r="AY502" i="1"/>
  <c r="AY503" i="1" s="1"/>
  <c r="AY111" i="1"/>
  <c r="AV439" i="1"/>
  <c r="AV49" i="1"/>
  <c r="AV112" i="1"/>
  <c r="BF125" i="1"/>
  <c r="AY130" i="1"/>
  <c r="AY133" i="1"/>
  <c r="AY131" i="1"/>
  <c r="AY132" i="1"/>
  <c r="AU394" i="1"/>
  <c r="AU393" i="1"/>
  <c r="AU390" i="1"/>
  <c r="AU497" i="1" s="1"/>
  <c r="AU391" i="1"/>
  <c r="BE407" i="1"/>
  <c r="BE125" i="1"/>
  <c r="BF407" i="1" l="1"/>
  <c r="AY258" i="1"/>
  <c r="AY504" i="1"/>
  <c r="M406" i="1"/>
  <c r="AY429" i="1"/>
  <c r="AY360" i="1"/>
  <c r="M405" i="1"/>
  <c r="AY240" i="1"/>
  <c r="D125" i="1"/>
  <c r="L125" i="1"/>
  <c r="AV575" i="1"/>
  <c r="AV438" i="1"/>
  <c r="AV436" i="1"/>
  <c r="AV434" i="1" s="1"/>
  <c r="AV323" i="1"/>
  <c r="AV376" i="1"/>
  <c r="AV96" i="1"/>
  <c r="BE331" i="1"/>
  <c r="BE369" i="1"/>
  <c r="BF330" i="1"/>
  <c r="M354" i="1"/>
  <c r="AY174" i="1"/>
  <c r="BF409" i="1"/>
  <c r="AV417" i="1"/>
  <c r="AV325" i="1"/>
  <c r="AV448" i="1"/>
  <c r="AV500" i="1"/>
  <c r="BF331" i="1"/>
  <c r="L331" i="1" s="1"/>
  <c r="BF369" i="1"/>
  <c r="M367" i="1"/>
  <c r="AY424" i="1"/>
  <c r="AY426" i="1"/>
  <c r="AY428" i="1"/>
  <c r="M125" i="1"/>
  <c r="AV450" i="1" l="1"/>
  <c r="M410" i="1"/>
  <c r="M369" i="1"/>
  <c r="M409" i="1"/>
  <c r="AV506" i="1"/>
  <c r="AY175" i="1"/>
  <c r="M331" i="1"/>
  <c r="AV334" i="1"/>
  <c r="AV336" i="1" s="1"/>
  <c r="M408" i="1"/>
  <c r="M407" i="1"/>
  <c r="AV53" i="1"/>
  <c r="AY241" i="1"/>
  <c r="AY259" i="1"/>
  <c r="K330" i="1"/>
  <c r="L330" i="1"/>
  <c r="M330" i="1"/>
  <c r="AV379" i="1"/>
  <c r="AY444" i="1"/>
  <c r="AY430" i="1"/>
  <c r="AZ32" i="1"/>
  <c r="AY418" i="1"/>
  <c r="M411" i="1" l="1"/>
  <c r="AV52" i="1"/>
  <c r="AZ324" i="1"/>
  <c r="AZ134" i="1"/>
  <c r="AZ33" i="1"/>
  <c r="AV51" i="1"/>
  <c r="AV453" i="1"/>
  <c r="AV456" i="1" s="1"/>
  <c r="AV471" i="1" s="1"/>
  <c r="AV443" i="1"/>
  <c r="AV442" i="1"/>
  <c r="AV441" i="1"/>
  <c r="AV508" i="1"/>
  <c r="AV509" i="1"/>
  <c r="AV1" i="1" l="1"/>
  <c r="AZ502" i="1"/>
  <c r="AZ503" i="1" s="1"/>
  <c r="AZ111" i="1"/>
  <c r="AZ133" i="1"/>
  <c r="AZ130" i="1"/>
  <c r="AZ132" i="1"/>
  <c r="AZ131" i="1"/>
  <c r="AZ421" i="1"/>
  <c r="AZ399" i="1"/>
  <c r="AZ359" i="1"/>
  <c r="AV475" i="1"/>
  <c r="AV493" i="1"/>
  <c r="AV472" i="1"/>
  <c r="AV478" i="1" l="1"/>
  <c r="AV370" i="1" s="1"/>
  <c r="AV494" i="1"/>
  <c r="AZ258" i="1"/>
  <c r="AZ174" i="1"/>
  <c r="AZ424" i="1"/>
  <c r="AZ426" i="1"/>
  <c r="AZ428" i="1"/>
  <c r="AZ429" i="1"/>
  <c r="AZ360" i="1"/>
  <c r="AZ240" i="1"/>
  <c r="AZ504" i="1"/>
  <c r="AZ259" i="1" l="1"/>
  <c r="AZ241" i="1"/>
  <c r="AZ175" i="1"/>
  <c r="AZ444" i="1"/>
  <c r="AZ430" i="1"/>
  <c r="BA32" i="1"/>
  <c r="AZ418" i="1"/>
  <c r="AV387" i="1"/>
  <c r="AV381" i="1"/>
  <c r="AV386" i="1" l="1"/>
  <c r="AV389" i="1" s="1"/>
  <c r="AV340" i="1"/>
  <c r="AW34" i="1"/>
  <c r="AV473" i="1"/>
  <c r="BA324" i="1"/>
  <c r="BA134" i="1"/>
  <c r="BA33" i="1"/>
  <c r="AV346" i="1" l="1"/>
  <c r="AV351" i="1" s="1"/>
  <c r="BA502" i="1"/>
  <c r="BA503" i="1" s="1"/>
  <c r="BA111" i="1"/>
  <c r="BA132" i="1"/>
  <c r="BA133" i="1"/>
  <c r="BA130" i="1"/>
  <c r="BA131" i="1"/>
  <c r="BA421" i="1"/>
  <c r="BA399" i="1"/>
  <c r="BA359" i="1"/>
  <c r="AW397" i="1"/>
  <c r="AW396" i="1"/>
  <c r="AW398" i="1"/>
  <c r="AW37" i="1"/>
  <c r="BA424" i="1" l="1"/>
  <c r="BA426" i="1"/>
  <c r="BA428" i="1"/>
  <c r="BA258" i="1"/>
  <c r="AW38" i="1"/>
  <c r="BA429" i="1"/>
  <c r="BA360" i="1"/>
  <c r="BA240" i="1"/>
  <c r="BA504" i="1"/>
  <c r="BA174" i="1"/>
  <c r="AV347" i="1"/>
  <c r="AV357" i="1"/>
  <c r="AV2" i="1"/>
  <c r="AV496" i="1"/>
  <c r="AV501" i="1"/>
  <c r="AV388" i="1"/>
  <c r="AW355" i="1" l="1"/>
  <c r="BA259" i="1"/>
  <c r="BA444" i="1"/>
  <c r="BA430" i="1"/>
  <c r="BB32" i="1"/>
  <c r="BA418" i="1"/>
  <c r="AW39" i="1"/>
  <c r="AW41" i="1" s="1"/>
  <c r="AV391" i="1"/>
  <c r="AV390" i="1"/>
  <c r="AV497" i="1" s="1"/>
  <c r="AV394" i="1"/>
  <c r="AV393" i="1"/>
  <c r="BA175" i="1"/>
  <c r="AV507" i="1"/>
  <c r="AV404" i="1"/>
  <c r="AV403" i="1"/>
  <c r="AV402" i="1"/>
  <c r="AV363" i="1"/>
  <c r="AV382" i="1" s="1"/>
  <c r="BA241" i="1"/>
  <c r="BB324" i="1" l="1"/>
  <c r="BB134" i="1"/>
  <c r="BB33" i="1"/>
  <c r="L32" i="1"/>
  <c r="AW417" i="1"/>
  <c r="AW325" i="1"/>
  <c r="AW500" i="1"/>
  <c r="AW448" i="1"/>
  <c r="AW450" i="1" s="1"/>
  <c r="AW439" i="1"/>
  <c r="AW112" i="1"/>
  <c r="AW49" i="1"/>
  <c r="L93" i="1" l="1"/>
  <c r="L33" i="1"/>
  <c r="AW506" i="1"/>
  <c r="BB502" i="1"/>
  <c r="BB503" i="1" s="1"/>
  <c r="BB111" i="1"/>
  <c r="AW575" i="1"/>
  <c r="AW436" i="1"/>
  <c r="AW434" i="1" s="1"/>
  <c r="AW438" i="1"/>
  <c r="AW323" i="1"/>
  <c r="AW96" i="1"/>
  <c r="AW376" i="1"/>
  <c r="L134" i="1"/>
  <c r="BB132" i="1"/>
  <c r="BB130" i="1"/>
  <c r="BB133" i="1"/>
  <c r="BB131" i="1"/>
  <c r="BB421" i="1"/>
  <c r="BB399" i="1"/>
  <c r="L324" i="1"/>
  <c r="BB359" i="1"/>
  <c r="L133" i="1" l="1"/>
  <c r="AW379" i="1"/>
  <c r="L421" i="1"/>
  <c r="L399" i="1"/>
  <c r="BB240" i="1"/>
  <c r="L131" i="1"/>
  <c r="BB424" i="1"/>
  <c r="BB426" i="1"/>
  <c r="BB428" i="1"/>
  <c r="BB174" i="1"/>
  <c r="L130" i="1"/>
  <c r="AW53" i="1"/>
  <c r="AW51" i="1" s="1"/>
  <c r="BB429" i="1"/>
  <c r="L359" i="1"/>
  <c r="L429" i="1" s="1"/>
  <c r="BB360" i="1"/>
  <c r="BB258" i="1"/>
  <c r="L132" i="1"/>
  <c r="L502" i="1"/>
  <c r="L503" i="1" s="1"/>
  <c r="L111" i="1"/>
  <c r="AW334" i="1"/>
  <c r="AW336" i="1" s="1"/>
  <c r="BB504" i="1"/>
  <c r="AW52" i="1" l="1"/>
  <c r="AW1" i="1"/>
  <c r="L504" i="1"/>
  <c r="BB259" i="1"/>
  <c r="L258" i="1"/>
  <c r="BB444" i="1"/>
  <c r="L444" i="1" s="1"/>
  <c r="BB430" i="1"/>
  <c r="BC32" i="1"/>
  <c r="BB418" i="1"/>
  <c r="L360" i="1"/>
  <c r="AW453" i="1"/>
  <c r="AW456" i="1" s="1"/>
  <c r="AW471" i="1" s="1"/>
  <c r="AW442" i="1"/>
  <c r="AW443" i="1"/>
  <c r="AW441" i="1"/>
  <c r="AW508" i="1"/>
  <c r="AW509" i="1"/>
  <c r="BB241" i="1"/>
  <c r="L240" i="1"/>
  <c r="BB175" i="1"/>
  <c r="L174" i="1"/>
  <c r="L424" i="1"/>
  <c r="L426" i="1"/>
  <c r="L428" i="1"/>
  <c r="AW493" i="1" l="1"/>
  <c r="AW475" i="1"/>
  <c r="AW472" i="1"/>
  <c r="BC324" i="1"/>
  <c r="BC134" i="1"/>
  <c r="BC33" i="1"/>
  <c r="L430" i="1"/>
  <c r="L418" i="1"/>
  <c r="BC421" i="1" l="1"/>
  <c r="BC399" i="1"/>
  <c r="BC359" i="1"/>
  <c r="BC502" i="1"/>
  <c r="BC503" i="1" s="1"/>
  <c r="BC111" i="1"/>
  <c r="AW494" i="1"/>
  <c r="AW478" i="1"/>
  <c r="AW370" i="1" s="1"/>
  <c r="BC133" i="1"/>
  <c r="BC130" i="1"/>
  <c r="BC132" i="1"/>
  <c r="BC131" i="1"/>
  <c r="BC429" i="1" l="1"/>
  <c r="BC360" i="1"/>
  <c r="BC258" i="1"/>
  <c r="BC174" i="1"/>
  <c r="AW387" i="1"/>
  <c r="AW381" i="1"/>
  <c r="BC240" i="1"/>
  <c r="BC504" i="1"/>
  <c r="BC424" i="1"/>
  <c r="BC426" i="1"/>
  <c r="BC428" i="1"/>
  <c r="AW386" i="1" l="1"/>
  <c r="AW389" i="1" s="1"/>
  <c r="AW340" i="1"/>
  <c r="AX34" i="1"/>
  <c r="AW473" i="1"/>
  <c r="BC259" i="1"/>
  <c r="BC241" i="1"/>
  <c r="BC175" i="1"/>
  <c r="BC444" i="1"/>
  <c r="BC430" i="1"/>
  <c r="BD32" i="1"/>
  <c r="BC418" i="1"/>
  <c r="AX397" i="1" l="1"/>
  <c r="AX396" i="1"/>
  <c r="AX37" i="1"/>
  <c r="AX398" i="1"/>
  <c r="K34" i="1"/>
  <c r="AW346" i="1"/>
  <c r="AW351" i="1" s="1"/>
  <c r="BD324" i="1"/>
  <c r="BD134" i="1"/>
  <c r="BD33" i="1"/>
  <c r="BD502" i="1" l="1"/>
  <c r="BD503" i="1" s="1"/>
  <c r="BD111" i="1"/>
  <c r="BD133" i="1"/>
  <c r="BD132" i="1"/>
  <c r="BD130" i="1"/>
  <c r="BD131" i="1"/>
  <c r="AW347" i="1"/>
  <c r="AW357" i="1"/>
  <c r="AW2" i="1"/>
  <c r="AW496" i="1"/>
  <c r="AW501" i="1"/>
  <c r="AW388" i="1"/>
  <c r="BD421" i="1"/>
  <c r="BD399" i="1"/>
  <c r="BD359" i="1"/>
  <c r="AX38" i="1"/>
  <c r="AX39" i="1" s="1"/>
  <c r="AX41" i="1" s="1"/>
  <c r="K94" i="1"/>
  <c r="K396" i="1"/>
  <c r="K397" i="1"/>
  <c r="K398" i="1"/>
  <c r="K37" i="1"/>
  <c r="BD240" i="1" l="1"/>
  <c r="BD429" i="1"/>
  <c r="BD360" i="1"/>
  <c r="AW391" i="1"/>
  <c r="AW390" i="1"/>
  <c r="AW497" i="1" s="1"/>
  <c r="AW394" i="1"/>
  <c r="AW393" i="1"/>
  <c r="AW404" i="1"/>
  <c r="AW403" i="1"/>
  <c r="AW402" i="1"/>
  <c r="AW363" i="1"/>
  <c r="AW382" i="1" s="1"/>
  <c r="BD174" i="1"/>
  <c r="AW507" i="1"/>
  <c r="BD258" i="1"/>
  <c r="K38" i="1"/>
  <c r="K95" i="1" s="1"/>
  <c r="AX355" i="1"/>
  <c r="AX439" i="1"/>
  <c r="AX49" i="1"/>
  <c r="AX112" i="1"/>
  <c r="BD424" i="1"/>
  <c r="BD426" i="1"/>
  <c r="BD428" i="1"/>
  <c r="BD504" i="1"/>
  <c r="AX575" i="1" l="1"/>
  <c r="AX436" i="1"/>
  <c r="AX434" i="1" s="1"/>
  <c r="AX438" i="1"/>
  <c r="AX323" i="1"/>
  <c r="AX376" i="1"/>
  <c r="AX96" i="1"/>
  <c r="BD175" i="1"/>
  <c r="K39" i="1"/>
  <c r="K41" i="1" s="1"/>
  <c r="BD444" i="1"/>
  <c r="BD430" i="1"/>
  <c r="BE32" i="1"/>
  <c r="BD418" i="1"/>
  <c r="AX417" i="1"/>
  <c r="AX325" i="1"/>
  <c r="K355" i="1"/>
  <c r="AX500" i="1"/>
  <c r="AX448" i="1"/>
  <c r="BD259" i="1"/>
  <c r="BD241" i="1"/>
  <c r="AX506" i="1" l="1"/>
  <c r="K96" i="1"/>
  <c r="K417" i="1"/>
  <c r="K500" i="1"/>
  <c r="K439" i="1"/>
  <c r="K112" i="1"/>
  <c r="K49" i="1"/>
  <c r="AX379" i="1"/>
  <c r="K376" i="1"/>
  <c r="AX53" i="1"/>
  <c r="AX51" i="1" s="1"/>
  <c r="K434" i="1"/>
  <c r="K436" i="1" s="1"/>
  <c r="BE324" i="1"/>
  <c r="BE134" i="1"/>
  <c r="BE33" i="1"/>
  <c r="AX450" i="1"/>
  <c r="K448" i="1"/>
  <c r="AX334" i="1"/>
  <c r="AX336" i="1" s="1"/>
  <c r="K323" i="1"/>
  <c r="AX1" i="1" l="1"/>
  <c r="K575" i="1"/>
  <c r="K438" i="1"/>
  <c r="AX52" i="1"/>
  <c r="BE421" i="1"/>
  <c r="BE399" i="1"/>
  <c r="BE359" i="1"/>
  <c r="K506" i="1"/>
  <c r="AX453" i="1"/>
  <c r="K453" i="1" s="1"/>
  <c r="AX443" i="1"/>
  <c r="K443" i="1" s="1"/>
  <c r="AX441" i="1"/>
  <c r="K441" i="1" s="1"/>
  <c r="AX442" i="1"/>
  <c r="K442" i="1" s="1"/>
  <c r="K379" i="1"/>
  <c r="AX508" i="1"/>
  <c r="AX509" i="1"/>
  <c r="BE502" i="1"/>
  <c r="BE503" i="1" s="1"/>
  <c r="BE111" i="1"/>
  <c r="K450" i="1"/>
  <c r="BE131" i="1"/>
  <c r="BE132" i="1"/>
  <c r="BE133" i="1"/>
  <c r="BE130" i="1"/>
  <c r="AX456" i="1" l="1"/>
  <c r="AX471" i="1" s="1"/>
  <c r="K508" i="1"/>
  <c r="BE429" i="1"/>
  <c r="BE360" i="1"/>
  <c r="K509" i="1"/>
  <c r="BE240" i="1"/>
  <c r="BE258" i="1"/>
  <c r="BE504" i="1"/>
  <c r="BE174" i="1"/>
  <c r="BE424" i="1"/>
  <c r="BE426" i="1"/>
  <c r="BE428" i="1"/>
  <c r="K456" i="1" l="1"/>
  <c r="AX493" i="1"/>
  <c r="K493" i="1" s="1"/>
  <c r="AX475" i="1"/>
  <c r="AX472" i="1"/>
  <c r="K471" i="1"/>
  <c r="BE241" i="1"/>
  <c r="BE444" i="1"/>
  <c r="BE430" i="1"/>
  <c r="BF32" i="1"/>
  <c r="BE418" i="1"/>
  <c r="BE175" i="1"/>
  <c r="BE259" i="1"/>
  <c r="AX494" i="1" l="1"/>
  <c r="K494" i="1" s="1"/>
  <c r="AX478" i="1"/>
  <c r="K472" i="1"/>
  <c r="K475" i="1"/>
  <c r="BF324" i="1"/>
  <c r="BF134" i="1"/>
  <c r="BF33" i="1"/>
  <c r="M32" i="1"/>
  <c r="M134" i="1" l="1"/>
  <c r="BF133" i="1"/>
  <c r="M133" i="1" s="1"/>
  <c r="BF132" i="1"/>
  <c r="BF130" i="1"/>
  <c r="BF131" i="1"/>
  <c r="BF421" i="1"/>
  <c r="BF399" i="1"/>
  <c r="M324" i="1"/>
  <c r="BF359" i="1"/>
  <c r="M93" i="1"/>
  <c r="M33" i="1"/>
  <c r="AX370" i="1"/>
  <c r="K478" i="1"/>
  <c r="BF502" i="1"/>
  <c r="BF503" i="1" s="1"/>
  <c r="BF111" i="1"/>
  <c r="M421" i="1" l="1"/>
  <c r="M399" i="1"/>
  <c r="BF174" i="1"/>
  <c r="M130" i="1"/>
  <c r="AX387" i="1"/>
  <c r="K370" i="1"/>
  <c r="AX381" i="1"/>
  <c r="M502" i="1"/>
  <c r="M503" i="1" s="1"/>
  <c r="M111" i="1"/>
  <c r="BF258" i="1"/>
  <c r="M132" i="1"/>
  <c r="BF504" i="1"/>
  <c r="BF424" i="1"/>
  <c r="BF426" i="1"/>
  <c r="BF428" i="1"/>
  <c r="BF429" i="1"/>
  <c r="M359" i="1"/>
  <c r="M429" i="1" s="1"/>
  <c r="BF360" i="1"/>
  <c r="BF240" i="1"/>
  <c r="M131" i="1"/>
  <c r="BF241" i="1" l="1"/>
  <c r="M240" i="1"/>
  <c r="BF175" i="1"/>
  <c r="M174" i="1"/>
  <c r="BF444" i="1"/>
  <c r="M444" i="1" s="1"/>
  <c r="BF430" i="1"/>
  <c r="BF418" i="1"/>
  <c r="M360" i="1"/>
  <c r="K387" i="1"/>
  <c r="K381" i="1"/>
  <c r="BF259" i="1"/>
  <c r="M258" i="1"/>
  <c r="M504" i="1"/>
  <c r="AX386" i="1"/>
  <c r="AX389" i="1" s="1"/>
  <c r="AX340" i="1"/>
  <c r="AY34" i="1"/>
  <c r="AX473" i="1"/>
  <c r="M424" i="1"/>
  <c r="M426" i="1"/>
  <c r="M428" i="1"/>
  <c r="K340" i="1" l="1"/>
  <c r="AX346" i="1"/>
  <c r="AX351" i="1" s="1"/>
  <c r="L175" i="1"/>
  <c r="M175" i="1"/>
  <c r="AY397" i="1"/>
  <c r="AY396" i="1"/>
  <c r="AY398" i="1"/>
  <c r="AY37" i="1"/>
  <c r="K386" i="1"/>
  <c r="K389" i="1" s="1"/>
  <c r="L259" i="1"/>
  <c r="M259" i="1"/>
  <c r="M430" i="1"/>
  <c r="M418" i="1"/>
  <c r="K241" i="1"/>
  <c r="L241" i="1"/>
  <c r="M241" i="1"/>
  <c r="AY38" i="1" l="1"/>
  <c r="AY39" i="1" s="1"/>
  <c r="AY41" i="1" s="1"/>
  <c r="AX357" i="1"/>
  <c r="AX347" i="1"/>
  <c r="AX2" i="1"/>
  <c r="K351" i="1"/>
  <c r="AX496" i="1"/>
  <c r="K496" i="1" s="1"/>
  <c r="AX501" i="1"/>
  <c r="AX388" i="1"/>
  <c r="AX404" i="1" l="1"/>
  <c r="AX403" i="1"/>
  <c r="AX402" i="1"/>
  <c r="AX363" i="1"/>
  <c r="AX382" i="1" s="1"/>
  <c r="K357" i="1"/>
  <c r="K2" i="1"/>
  <c r="K501" i="1"/>
  <c r="K388" i="1"/>
  <c r="AX394" i="1"/>
  <c r="AX393" i="1"/>
  <c r="AX391" i="1"/>
  <c r="AX390" i="1"/>
  <c r="AX497" i="1" s="1"/>
  <c r="K497" i="1" s="1"/>
  <c r="AY355" i="1"/>
  <c r="AX507" i="1"/>
  <c r="AY439" i="1"/>
  <c r="AY49" i="1"/>
  <c r="AY112" i="1"/>
  <c r="K507" i="1" l="1"/>
  <c r="AY417" i="1"/>
  <c r="AY325" i="1"/>
  <c r="AY500" i="1"/>
  <c r="AY448" i="1"/>
  <c r="AY450" i="1" s="1"/>
  <c r="AY575" i="1"/>
  <c r="AY438" i="1"/>
  <c r="AY436" i="1"/>
  <c r="AY434" i="1" s="1"/>
  <c r="AY323" i="1"/>
  <c r="AY376" i="1"/>
  <c r="AY96" i="1"/>
  <c r="K394" i="1"/>
  <c r="K391" i="1"/>
  <c r="K393" i="1"/>
  <c r="K390" i="1"/>
  <c r="K402" i="1"/>
  <c r="K403" i="1"/>
  <c r="K404" i="1"/>
  <c r="K363" i="1"/>
  <c r="K382" i="1" s="1"/>
  <c r="AY334" i="1" l="1"/>
  <c r="AY336" i="1" s="1"/>
  <c r="AY53" i="1"/>
  <c r="AY379" i="1"/>
  <c r="AY506" i="1"/>
  <c r="AY453" i="1" l="1"/>
  <c r="AY456" i="1" s="1"/>
  <c r="AY471" i="1" s="1"/>
  <c r="AY443" i="1"/>
  <c r="AY442" i="1"/>
  <c r="AY441" i="1"/>
  <c r="AY508" i="1"/>
  <c r="AY509" i="1"/>
  <c r="AY52" i="1"/>
  <c r="AY51" i="1"/>
  <c r="AY1" i="1" l="1"/>
  <c r="AY493" i="1"/>
  <c r="AY475" i="1"/>
  <c r="AY472" i="1"/>
  <c r="AY494" i="1" l="1"/>
  <c r="AY478" i="1"/>
  <c r="AY370" i="1" s="1"/>
  <c r="AY387" i="1" l="1"/>
  <c r="AY381" i="1"/>
  <c r="AY386" i="1" l="1"/>
  <c r="AY389" i="1" s="1"/>
  <c r="AY340" i="1"/>
  <c r="AZ34" i="1"/>
  <c r="AY473" i="1"/>
  <c r="AZ397" i="1" l="1"/>
  <c r="AZ396" i="1"/>
  <c r="AZ398" i="1"/>
  <c r="AZ37" i="1"/>
  <c r="AY346" i="1"/>
  <c r="AY351" i="1" s="1"/>
  <c r="AZ38" i="1" l="1"/>
  <c r="AY357" i="1"/>
  <c r="AY347" i="1"/>
  <c r="AY2" i="1"/>
  <c r="AY496" i="1"/>
  <c r="AY501" i="1"/>
  <c r="AY388" i="1"/>
  <c r="AY394" i="1" l="1"/>
  <c r="AY393" i="1"/>
  <c r="AY390" i="1"/>
  <c r="AY497" i="1" s="1"/>
  <c r="AY391" i="1"/>
  <c r="AY507" i="1"/>
  <c r="AZ355" i="1"/>
  <c r="AY404" i="1"/>
  <c r="AY403" i="1"/>
  <c r="AY402" i="1"/>
  <c r="AY363" i="1"/>
  <c r="AY382" i="1" s="1"/>
  <c r="AZ39" i="1"/>
  <c r="AZ41" i="1" s="1"/>
  <c r="AZ439" i="1" l="1"/>
  <c r="AZ49" i="1"/>
  <c r="AZ112" i="1"/>
  <c r="AZ417" i="1"/>
  <c r="AZ325" i="1"/>
  <c r="AZ500" i="1"/>
  <c r="AZ448" i="1"/>
  <c r="AZ450" i="1" s="1"/>
  <c r="AZ575" i="1" l="1"/>
  <c r="AZ438" i="1"/>
  <c r="AZ436" i="1"/>
  <c r="AZ434" i="1" s="1"/>
  <c r="AZ323" i="1"/>
  <c r="AZ376" i="1"/>
  <c r="AZ96" i="1"/>
  <c r="AZ506" i="1"/>
  <c r="AZ53" i="1" l="1"/>
  <c r="AZ52" i="1" s="1"/>
  <c r="AZ379" i="1"/>
  <c r="AZ334" i="1"/>
  <c r="AZ336" i="1" s="1"/>
  <c r="AZ453" i="1" l="1"/>
  <c r="AZ456" i="1" s="1"/>
  <c r="AZ471" i="1" s="1"/>
  <c r="AZ443" i="1"/>
  <c r="AZ442" i="1"/>
  <c r="AZ441" i="1"/>
  <c r="AZ508" i="1"/>
  <c r="AZ509" i="1"/>
  <c r="AZ51" i="1"/>
  <c r="AZ1" i="1" l="1"/>
  <c r="AZ475" i="1"/>
  <c r="AZ493" i="1"/>
  <c r="AZ472" i="1"/>
  <c r="AZ478" i="1" l="1"/>
  <c r="AZ370" i="1" s="1"/>
  <c r="AZ494" i="1"/>
  <c r="AZ387" i="1" l="1"/>
  <c r="AZ381" i="1"/>
  <c r="AZ386" i="1" l="1"/>
  <c r="AZ389" i="1" s="1"/>
  <c r="AZ340" i="1"/>
  <c r="BA34" i="1"/>
  <c r="AZ473" i="1"/>
  <c r="BA397" i="1" l="1"/>
  <c r="BA396" i="1"/>
  <c r="BA37" i="1"/>
  <c r="BA398" i="1"/>
  <c r="AZ346" i="1"/>
  <c r="AZ351" i="1" s="1"/>
  <c r="AZ347" i="1" l="1"/>
  <c r="AZ357" i="1"/>
  <c r="AZ2" i="1"/>
  <c r="AZ496" i="1"/>
  <c r="AZ501" i="1"/>
  <c r="AZ388" i="1"/>
  <c r="BA38" i="1"/>
  <c r="BA39" i="1" s="1"/>
  <c r="BA41" i="1" s="1"/>
  <c r="BA439" i="1" l="1"/>
  <c r="BA112" i="1"/>
  <c r="BA49" i="1"/>
  <c r="AZ507" i="1"/>
  <c r="AZ391" i="1"/>
  <c r="AZ390" i="1"/>
  <c r="AZ497" i="1" s="1"/>
  <c r="AZ394" i="1"/>
  <c r="AZ393" i="1"/>
  <c r="AZ404" i="1"/>
  <c r="AZ403" i="1"/>
  <c r="AZ402" i="1"/>
  <c r="AZ363" i="1"/>
  <c r="AZ382" i="1" s="1"/>
  <c r="BA355" i="1"/>
  <c r="BA417" i="1" l="1"/>
  <c r="BA325" i="1"/>
  <c r="BA500" i="1"/>
  <c r="BA448" i="1"/>
  <c r="BA450" i="1" s="1"/>
  <c r="BA575" i="1"/>
  <c r="BA436" i="1"/>
  <c r="BA434" i="1" s="1"/>
  <c r="BA438" i="1"/>
  <c r="BA323" i="1"/>
  <c r="BA96" i="1"/>
  <c r="BA376" i="1"/>
  <c r="BA53" i="1" l="1"/>
  <c r="BA51" i="1" s="1"/>
  <c r="BA506" i="1"/>
  <c r="BA334" i="1"/>
  <c r="BA336" i="1" s="1"/>
  <c r="BA379" i="1"/>
  <c r="BA52" i="1" l="1"/>
  <c r="BA1" i="1"/>
  <c r="BA453" i="1"/>
  <c r="BA456" i="1" s="1"/>
  <c r="BA471" i="1" s="1"/>
  <c r="BA443" i="1"/>
  <c r="BA441" i="1"/>
  <c r="BA442" i="1"/>
  <c r="BA508" i="1"/>
  <c r="BA509" i="1"/>
  <c r="BA493" i="1" l="1"/>
  <c r="BA475" i="1"/>
  <c r="BA472" i="1"/>
  <c r="BA494" i="1" l="1"/>
  <c r="BA478" i="1"/>
  <c r="BA370" i="1" s="1"/>
  <c r="BA387" i="1" l="1"/>
  <c r="BA381" i="1"/>
  <c r="BA386" i="1" l="1"/>
  <c r="BA389" i="1" s="1"/>
  <c r="BA340" i="1"/>
  <c r="BB34" i="1"/>
  <c r="BA473" i="1"/>
  <c r="BB396" i="1" l="1"/>
  <c r="BB397" i="1"/>
  <c r="BB398" i="1"/>
  <c r="BB37" i="1"/>
  <c r="L34" i="1"/>
  <c r="BA346" i="1"/>
  <c r="BA351" i="1" s="1"/>
  <c r="BB38" i="1" l="1"/>
  <c r="BB39" i="1" s="1"/>
  <c r="BB41" i="1" s="1"/>
  <c r="BA347" i="1"/>
  <c r="BA357" i="1"/>
  <c r="BA2" i="1"/>
  <c r="BA496" i="1"/>
  <c r="BA501" i="1"/>
  <c r="BA388" i="1"/>
  <c r="L94" i="1"/>
  <c r="L397" i="1"/>
  <c r="L396" i="1"/>
  <c r="L398" i="1"/>
  <c r="L37" i="1"/>
  <c r="BB439" i="1" l="1"/>
  <c r="BB49" i="1"/>
  <c r="BB112" i="1"/>
  <c r="BA404" i="1"/>
  <c r="BA403" i="1"/>
  <c r="BA402" i="1"/>
  <c r="BA363" i="1"/>
  <c r="BA382" i="1" s="1"/>
  <c r="BA507" i="1"/>
  <c r="L38" i="1"/>
  <c r="L95" i="1" s="1"/>
  <c r="BB355" i="1"/>
  <c r="BA391" i="1"/>
  <c r="BA390" i="1"/>
  <c r="BA497" i="1" s="1"/>
  <c r="BA393" i="1"/>
  <c r="BA394" i="1"/>
  <c r="BB575" i="1" l="1"/>
  <c r="BB436" i="1"/>
  <c r="BB434" i="1" s="1"/>
  <c r="BB438" i="1"/>
  <c r="BB323" i="1"/>
  <c r="BB376" i="1"/>
  <c r="BB96" i="1"/>
  <c r="BB417" i="1"/>
  <c r="BB325" i="1"/>
  <c r="L355" i="1"/>
  <c r="BB448" i="1"/>
  <c r="BB500" i="1"/>
  <c r="L39" i="1"/>
  <c r="L41" i="1" s="1"/>
  <c r="L417" i="1" l="1"/>
  <c r="L500" i="1"/>
  <c r="L96" i="1"/>
  <c r="L439" i="1"/>
  <c r="L112" i="1"/>
  <c r="L49" i="1"/>
  <c r="BB379" i="1"/>
  <c r="L376" i="1"/>
  <c r="BB53" i="1"/>
  <c r="BB51" i="1" s="1"/>
  <c r="L434" i="1"/>
  <c r="L436" i="1" s="1"/>
  <c r="BB506" i="1"/>
  <c r="BB450" i="1"/>
  <c r="L448" i="1"/>
  <c r="BB334" i="1"/>
  <c r="BB336" i="1" s="1"/>
  <c r="L323" i="1"/>
  <c r="BB52" i="1" l="1"/>
  <c r="BB1" i="1"/>
  <c r="BB453" i="1"/>
  <c r="L453" i="1" s="1"/>
  <c r="BB443" i="1"/>
  <c r="L443" i="1" s="1"/>
  <c r="BB442" i="1"/>
  <c r="L442" i="1" s="1"/>
  <c r="BB441" i="1"/>
  <c r="L441" i="1" s="1"/>
  <c r="L379" i="1"/>
  <c r="BB508" i="1"/>
  <c r="BB509" i="1"/>
  <c r="L575" i="1"/>
  <c r="L438" i="1"/>
  <c r="BB456" i="1"/>
  <c r="L450" i="1"/>
  <c r="L506" i="1"/>
  <c r="BB471" i="1" l="1"/>
  <c r="L456" i="1"/>
  <c r="L508" i="1"/>
  <c r="L509" i="1"/>
  <c r="BB493" i="1" l="1"/>
  <c r="L493" i="1" s="1"/>
  <c r="BB475" i="1"/>
  <c r="BB472" i="1"/>
  <c r="L471" i="1"/>
  <c r="BB494" i="1" l="1"/>
  <c r="L494" i="1" s="1"/>
  <c r="BB478" i="1"/>
  <c r="L472" i="1"/>
  <c r="L475" i="1"/>
  <c r="BB370" i="1" l="1"/>
  <c r="L478" i="1"/>
  <c r="BB387" i="1" l="1"/>
  <c r="L370" i="1"/>
  <c r="BB381" i="1"/>
  <c r="L387" i="1" l="1"/>
  <c r="L381" i="1"/>
  <c r="BB386" i="1"/>
  <c r="BB389" i="1" s="1"/>
  <c r="BB340" i="1"/>
  <c r="BC34" i="1"/>
  <c r="BB473" i="1"/>
  <c r="L340" i="1" l="1"/>
  <c r="BB346" i="1"/>
  <c r="BB351" i="1" s="1"/>
  <c r="BC396" i="1"/>
  <c r="BC397" i="1"/>
  <c r="BC398" i="1"/>
  <c r="BC37" i="1"/>
  <c r="L386" i="1"/>
  <c r="L389" i="1" s="1"/>
  <c r="BC38" i="1" l="1"/>
  <c r="BC39" i="1" s="1"/>
  <c r="BC41" i="1" s="1"/>
  <c r="BB357" i="1"/>
  <c r="BB347" i="1"/>
  <c r="BB2" i="1"/>
  <c r="L351" i="1"/>
  <c r="BB496" i="1"/>
  <c r="L496" i="1" s="1"/>
  <c r="BB501" i="1"/>
  <c r="BB388" i="1"/>
  <c r="BB404" i="1" l="1"/>
  <c r="BB403" i="1"/>
  <c r="BB402" i="1"/>
  <c r="BB363" i="1"/>
  <c r="BB382" i="1" s="1"/>
  <c r="L357" i="1"/>
  <c r="L2" i="1"/>
  <c r="L501" i="1"/>
  <c r="L388" i="1"/>
  <c r="BB394" i="1"/>
  <c r="BB393" i="1"/>
  <c r="BB391" i="1"/>
  <c r="BB390" i="1"/>
  <c r="BB497" i="1" s="1"/>
  <c r="L497" i="1" s="1"/>
  <c r="BC355" i="1"/>
  <c r="BB507" i="1"/>
  <c r="BC439" i="1"/>
  <c r="BC49" i="1"/>
  <c r="BC112" i="1"/>
  <c r="L507" i="1" l="1"/>
  <c r="BC575" i="1"/>
  <c r="BC438" i="1"/>
  <c r="BC436" i="1"/>
  <c r="BC434" i="1" s="1"/>
  <c r="BC323" i="1"/>
  <c r="BC96" i="1"/>
  <c r="BC376" i="1"/>
  <c r="BC417" i="1"/>
  <c r="BC325" i="1"/>
  <c r="BC500" i="1"/>
  <c r="BC448" i="1"/>
  <c r="BC450" i="1" s="1"/>
  <c r="L391" i="1"/>
  <c r="L393" i="1"/>
  <c r="L390" i="1"/>
  <c r="L394" i="1"/>
  <c r="L403" i="1"/>
  <c r="L404" i="1"/>
  <c r="L402" i="1"/>
  <c r="L363" i="1"/>
  <c r="L382" i="1" s="1"/>
  <c r="BC334" i="1" l="1"/>
  <c r="BC336" i="1" s="1"/>
  <c r="BC506" i="1"/>
  <c r="BC379" i="1"/>
  <c r="BC53" i="1"/>
  <c r="BC51" i="1" s="1"/>
  <c r="BC1" i="1" s="1"/>
  <c r="BC453" i="1" l="1"/>
  <c r="BC456" i="1" s="1"/>
  <c r="BC471" i="1" s="1"/>
  <c r="BC443" i="1"/>
  <c r="BC442" i="1"/>
  <c r="BC441" i="1"/>
  <c r="BC508" i="1"/>
  <c r="BC509" i="1"/>
  <c r="BC52" i="1"/>
  <c r="BC493" i="1" l="1"/>
  <c r="BC475" i="1"/>
  <c r="BC472" i="1"/>
  <c r="BC494" i="1" l="1"/>
  <c r="BC478" i="1"/>
  <c r="BC370" i="1" s="1"/>
  <c r="BC387" i="1" l="1"/>
  <c r="BC381" i="1"/>
  <c r="BC386" i="1" l="1"/>
  <c r="BC389" i="1" s="1"/>
  <c r="BC340" i="1"/>
  <c r="BD34" i="1"/>
  <c r="BC473" i="1"/>
  <c r="BC346" i="1" l="1"/>
  <c r="BC351" i="1" s="1"/>
  <c r="BD396" i="1"/>
  <c r="BD397" i="1"/>
  <c r="BD398" i="1"/>
  <c r="BD37" i="1"/>
  <c r="BD38" i="1" l="1"/>
  <c r="BD39" i="1" s="1"/>
  <c r="BD41" i="1" s="1"/>
  <c r="BC357" i="1"/>
  <c r="BC347" i="1"/>
  <c r="BC2" i="1"/>
  <c r="BC496" i="1"/>
  <c r="BC501" i="1"/>
  <c r="BC388" i="1"/>
  <c r="BC507" i="1" l="1"/>
  <c r="BC402" i="1"/>
  <c r="BC404" i="1"/>
  <c r="BC363" i="1"/>
  <c r="BC382" i="1" s="1"/>
  <c r="BC403" i="1"/>
  <c r="BC394" i="1"/>
  <c r="BC393" i="1"/>
  <c r="BC391" i="1"/>
  <c r="BC390" i="1"/>
  <c r="BC497" i="1" s="1"/>
  <c r="BD355" i="1"/>
  <c r="BD439" i="1"/>
  <c r="BD49" i="1"/>
  <c r="BD112" i="1"/>
  <c r="BD575" i="1" l="1"/>
  <c r="BD438" i="1"/>
  <c r="BD436" i="1"/>
  <c r="BD434" i="1" s="1"/>
  <c r="BD323" i="1"/>
  <c r="BD376" i="1"/>
  <c r="BD96" i="1"/>
  <c r="BD417" i="1"/>
  <c r="BD325" i="1"/>
  <c r="BD448" i="1"/>
  <c r="BD450" i="1" s="1"/>
  <c r="BD500" i="1"/>
  <c r="BD53" i="1" l="1"/>
  <c r="BD52" i="1" s="1"/>
  <c r="BD379" i="1"/>
  <c r="BD506" i="1"/>
  <c r="BD334" i="1"/>
  <c r="BD336" i="1" s="1"/>
  <c r="BD51" i="1" l="1"/>
  <c r="BD1" i="1" s="1"/>
  <c r="BD453" i="1"/>
  <c r="BD456" i="1" s="1"/>
  <c r="BD471" i="1" s="1"/>
  <c r="BD443" i="1"/>
  <c r="BD442" i="1"/>
  <c r="BD441" i="1"/>
  <c r="BD508" i="1"/>
  <c r="BD509" i="1"/>
  <c r="BD475" i="1" l="1"/>
  <c r="BD493" i="1"/>
  <c r="BD472" i="1"/>
  <c r="BD478" i="1" l="1"/>
  <c r="BD370" i="1" s="1"/>
  <c r="BD494" i="1"/>
  <c r="BD387" i="1" l="1"/>
  <c r="BD381" i="1"/>
  <c r="BD386" i="1" l="1"/>
  <c r="BD389" i="1" s="1"/>
  <c r="BD340" i="1"/>
  <c r="BE34" i="1"/>
  <c r="BD473" i="1"/>
  <c r="BE397" i="1" l="1"/>
  <c r="BE396" i="1"/>
  <c r="BE398" i="1"/>
  <c r="BE37" i="1"/>
  <c r="BD346" i="1"/>
  <c r="BD351" i="1" s="1"/>
  <c r="BE38" i="1" l="1"/>
  <c r="BE39" i="1" s="1"/>
  <c r="BE41" i="1" s="1"/>
  <c r="BD347" i="1"/>
  <c r="BD357" i="1"/>
  <c r="BD2" i="1"/>
  <c r="BD496" i="1"/>
  <c r="BD501" i="1"/>
  <c r="BD388" i="1"/>
  <c r="BD507" i="1" l="1"/>
  <c r="BD404" i="1"/>
  <c r="BD403" i="1"/>
  <c r="BD402" i="1"/>
  <c r="BD363" i="1"/>
  <c r="BD382" i="1" s="1"/>
  <c r="BE355" i="1"/>
  <c r="BD391" i="1"/>
  <c r="BD390" i="1"/>
  <c r="BD497" i="1" s="1"/>
  <c r="BD394" i="1"/>
  <c r="BD393" i="1"/>
  <c r="BE439" i="1"/>
  <c r="BE112" i="1"/>
  <c r="BE49" i="1"/>
  <c r="BE417" i="1" l="1"/>
  <c r="BE325" i="1"/>
  <c r="BE500" i="1"/>
  <c r="BE448" i="1"/>
  <c r="BE450" i="1" s="1"/>
  <c r="BE575" i="1"/>
  <c r="BE436" i="1"/>
  <c r="BE434" i="1" s="1"/>
  <c r="BE438" i="1"/>
  <c r="BE323" i="1"/>
  <c r="BE96" i="1"/>
  <c r="BE376" i="1"/>
  <c r="BE506" i="1" l="1"/>
  <c r="BE379" i="1"/>
  <c r="BE53" i="1"/>
  <c r="BE51" i="1" s="1"/>
  <c r="BE1" i="1" s="1"/>
  <c r="BE334" i="1"/>
  <c r="BE336" i="1" s="1"/>
  <c r="BE52" i="1" l="1"/>
  <c r="BE453" i="1"/>
  <c r="BE456" i="1" s="1"/>
  <c r="BE471" i="1" s="1"/>
  <c r="BE443" i="1"/>
  <c r="BE442" i="1"/>
  <c r="BE441" i="1"/>
  <c r="BE508" i="1"/>
  <c r="BE509" i="1"/>
  <c r="BE493" i="1" l="1"/>
  <c r="BE475" i="1"/>
  <c r="BE472" i="1"/>
  <c r="BE494" i="1" l="1"/>
  <c r="BE478" i="1"/>
  <c r="BE370" i="1" s="1"/>
  <c r="BE387" i="1" l="1"/>
  <c r="BE381" i="1"/>
  <c r="BE386" i="1" l="1"/>
  <c r="BE389" i="1" s="1"/>
  <c r="BE340" i="1"/>
  <c r="BF34" i="1"/>
  <c r="BE473" i="1"/>
  <c r="BF397" i="1" l="1"/>
  <c r="BF396" i="1"/>
  <c r="BF398" i="1"/>
  <c r="BF37" i="1"/>
  <c r="M34" i="1"/>
  <c r="BE346" i="1"/>
  <c r="BE351" i="1" s="1"/>
  <c r="BF38" i="1" l="1"/>
  <c r="BF39" i="1" s="1"/>
  <c r="BF41" i="1" s="1"/>
  <c r="BE347" i="1"/>
  <c r="BE357" i="1"/>
  <c r="BE2" i="1"/>
  <c r="BE496" i="1"/>
  <c r="BE501" i="1"/>
  <c r="BE388" i="1"/>
  <c r="M94" i="1"/>
  <c r="M396" i="1"/>
  <c r="M397" i="1"/>
  <c r="M398" i="1"/>
  <c r="M37" i="1"/>
  <c r="BE507" i="1" l="1"/>
  <c r="M38" i="1"/>
  <c r="M95" i="1" s="1"/>
  <c r="BF355" i="1"/>
  <c r="BE391" i="1"/>
  <c r="BE390" i="1"/>
  <c r="BE497" i="1" s="1"/>
  <c r="BE393" i="1"/>
  <c r="BE394" i="1"/>
  <c r="BE404" i="1"/>
  <c r="BE403" i="1"/>
  <c r="BE402" i="1"/>
  <c r="BE363" i="1"/>
  <c r="BE382" i="1" s="1"/>
  <c r="BF439" i="1"/>
  <c r="BF49" i="1"/>
  <c r="BF112" i="1"/>
  <c r="M39" i="1" l="1"/>
  <c r="M41" i="1" s="1"/>
  <c r="BF575" i="1"/>
  <c r="BF436" i="1"/>
  <c r="BF434" i="1" s="1"/>
  <c r="BF438" i="1"/>
  <c r="BF323" i="1"/>
  <c r="BF96" i="1"/>
  <c r="BF376" i="1"/>
  <c r="BF417" i="1"/>
  <c r="BF325" i="1"/>
  <c r="M355" i="1"/>
  <c r="BF448" i="1"/>
  <c r="BF500" i="1"/>
  <c r="BF506" i="1" s="1"/>
  <c r="K325" i="1" l="1"/>
  <c r="K334" i="1" s="1"/>
  <c r="K336" i="1" s="1"/>
  <c r="L325" i="1"/>
  <c r="L334" i="1" s="1"/>
  <c r="L336" i="1" s="1"/>
  <c r="M325" i="1"/>
  <c r="BF334" i="1"/>
  <c r="BF336" i="1" s="1"/>
  <c r="M323" i="1"/>
  <c r="BF450" i="1"/>
  <c r="M448" i="1"/>
  <c r="BF379" i="1"/>
  <c r="M376" i="1"/>
  <c r="M417" i="1"/>
  <c r="M500" i="1"/>
  <c r="M506" i="1" s="1"/>
  <c r="M96" i="1"/>
  <c r="BF53" i="1"/>
  <c r="BF51" i="1" s="1"/>
  <c r="BF1" i="1" s="1"/>
  <c r="M434" i="1"/>
  <c r="M436" i="1" s="1"/>
  <c r="M439" i="1"/>
  <c r="M112" i="1"/>
  <c r="M49" i="1"/>
  <c r="L346" i="1" l="1"/>
  <c r="L347" i="1" s="1"/>
  <c r="M334" i="1"/>
  <c r="M336" i="1" s="1"/>
  <c r="K346" i="1"/>
  <c r="K347" i="1" s="1"/>
  <c r="M575" i="1"/>
  <c r="M438" i="1"/>
  <c r="BF453" i="1"/>
  <c r="M453" i="1" s="1"/>
  <c r="BF443" i="1"/>
  <c r="M443" i="1" s="1"/>
  <c r="BF441" i="1"/>
  <c r="M441" i="1" s="1"/>
  <c r="BF442" i="1"/>
  <c r="M442" i="1" s="1"/>
  <c r="M379" i="1"/>
  <c r="BF508" i="1"/>
  <c r="BF509" i="1"/>
  <c r="K53" i="1"/>
  <c r="L53" i="1"/>
  <c r="M53" i="1"/>
  <c r="M51" i="1" s="1"/>
  <c r="BF52" i="1"/>
  <c r="M450" i="1"/>
  <c r="BF456" i="1" l="1"/>
  <c r="BF471" i="1" s="1"/>
  <c r="M1" i="1"/>
  <c r="K51" i="1"/>
  <c r="K52" i="1"/>
  <c r="M508" i="1"/>
  <c r="M509" i="1"/>
  <c r="L51" i="1"/>
  <c r="L52" i="1"/>
  <c r="M52" i="1"/>
  <c r="K1" i="1" l="1"/>
  <c r="M456" i="1"/>
  <c r="L1" i="1"/>
  <c r="BF493" i="1"/>
  <c r="M493" i="1" s="1"/>
  <c r="BF475" i="1"/>
  <c r="BF472" i="1"/>
  <c r="M471" i="1"/>
  <c r="BF494" i="1" l="1"/>
  <c r="M494" i="1" s="1"/>
  <c r="BF478" i="1"/>
  <c r="M472" i="1"/>
  <c r="M475" i="1"/>
  <c r="BF370" i="1" l="1"/>
  <c r="M478" i="1"/>
  <c r="BF387" i="1" l="1"/>
  <c r="M370" i="1"/>
  <c r="BF381" i="1"/>
  <c r="M387" i="1" l="1"/>
  <c r="M381" i="1"/>
  <c r="BF386" i="1"/>
  <c r="BF389" i="1" s="1"/>
  <c r="BF340" i="1"/>
  <c r="BF473" i="1"/>
  <c r="M340" i="1" l="1"/>
  <c r="M346" i="1" s="1"/>
  <c r="BF346" i="1"/>
  <c r="BF351" i="1" s="1"/>
  <c r="M386" i="1"/>
  <c r="M389" i="1" s="1"/>
  <c r="BF357" i="1" l="1"/>
  <c r="BF347" i="1"/>
  <c r="BF2" i="1"/>
  <c r="M351" i="1"/>
  <c r="BF496" i="1"/>
  <c r="M496" i="1" s="1"/>
  <c r="BF501" i="1"/>
  <c r="BF507" i="1" s="1"/>
  <c r="BF388" i="1"/>
  <c r="M357" i="1" l="1"/>
  <c r="M347" i="1"/>
  <c r="M2" i="1"/>
  <c r="M501" i="1"/>
  <c r="M507" i="1" s="1"/>
  <c r="M388" i="1"/>
  <c r="BF394" i="1"/>
  <c r="BF393" i="1"/>
  <c r="BF391" i="1"/>
  <c r="BF390" i="1"/>
  <c r="BF497" i="1" s="1"/>
  <c r="M497" i="1" s="1"/>
  <c r="BF404" i="1"/>
  <c r="BF403" i="1"/>
  <c r="BF402" i="1"/>
  <c r="BF363" i="1"/>
  <c r="BF382" i="1" s="1"/>
  <c r="M393" i="1" l="1"/>
  <c r="M394" i="1"/>
  <c r="M391" i="1"/>
  <c r="M390" i="1"/>
  <c r="M404" i="1"/>
  <c r="M403" i="1"/>
  <c r="M402" i="1"/>
  <c r="M363" i="1"/>
  <c r="M382" i="1" s="1"/>
</calcChain>
</file>

<file path=xl/comments1.xml><?xml version="1.0" encoding="utf-8"?>
<comments xmlns="http://schemas.openxmlformats.org/spreadsheetml/2006/main">
  <authors>
    <author>Lynagh, Connor J (Research)</author>
  </authors>
  <commentList>
    <comment ref="B1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previously 'Rig Services'</t>
        </r>
      </text>
    </comment>
    <comment ref="AC23" authorId="0">
      <text>
        <r>
          <rPr>
            <sz val="9"/>
            <color indexed="81"/>
            <rFont val="Tahoma"/>
            <family val="2"/>
          </rPr>
          <t>excludes early term.</t>
        </r>
      </text>
    </comment>
    <comment ref="AG23" authorId="0">
      <text>
        <r>
          <rPr>
            <sz val="9"/>
            <color indexed="81"/>
            <rFont val="Tahoma"/>
            <family val="2"/>
          </rPr>
          <t>excludes early term.</t>
        </r>
      </text>
    </comment>
    <comment ref="AI23" authorId="0">
      <text>
        <r>
          <rPr>
            <sz val="9"/>
            <color indexed="81"/>
            <rFont val="Tahoma"/>
            <family val="2"/>
          </rPr>
          <t>excludes early term.</t>
        </r>
      </text>
    </comment>
    <comment ref="AJ23" authorId="0">
      <text>
        <r>
          <rPr>
            <sz val="9"/>
            <color indexed="81"/>
            <rFont val="Tahoma"/>
            <family val="2"/>
          </rPr>
          <t>excludes early term.</t>
        </r>
      </text>
    </comment>
    <comment ref="AL23" authorId="0">
      <text>
        <r>
          <rPr>
            <sz val="9"/>
            <color indexed="81"/>
            <rFont val="Tahoma"/>
            <family val="2"/>
          </rPr>
          <t>excludes early term.</t>
        </r>
      </text>
    </comment>
    <comment ref="AM23" authorId="0">
      <text>
        <r>
          <rPr>
            <sz val="9"/>
            <color indexed="81"/>
            <rFont val="Tahoma"/>
            <family val="2"/>
          </rPr>
          <t>excludes early term.</t>
        </r>
      </text>
    </comment>
    <comment ref="AN23" authorId="0">
      <text>
        <r>
          <rPr>
            <sz val="9"/>
            <color indexed="81"/>
            <rFont val="Tahoma"/>
            <family val="2"/>
          </rPr>
          <t>$4.3mm in early term. plus $8.6 opinc. impact from MODS and ~$5.5mm in D&amp;A from MODS</t>
        </r>
      </text>
    </comment>
    <comment ref="AN25" authorId="0">
      <text>
        <r>
          <rPr>
            <sz val="9"/>
            <color indexed="81"/>
            <rFont val="Tahoma"/>
            <family val="2"/>
          </rPr>
          <t>exclude $9mm in Angola catch-up and $10mm in early term for Kazakhstan</t>
        </r>
      </text>
    </comment>
    <comment ref="AO2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price increase recovery in Mexico and business interruption insurance in Yemen</t>
        </r>
      </text>
    </comment>
    <comment ref="AP2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$4mm demob</t>
        </r>
      </text>
    </comment>
    <comment ref="AX2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+10mm reasonable base case</t>
        </r>
      </text>
    </comment>
    <comment ref="AU2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looks like 1Q</t>
        </r>
      </text>
    </comment>
    <comment ref="AT3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getting closer to $40mm run-rate by year-end
in 4Q, $4mm property tax settlement, $3mm sales tax exposure, $2mm of other</t>
        </r>
      </text>
    </comment>
    <comment ref="AU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$843 in '18, flattish</t>
        </r>
      </text>
    </comment>
    <comment ref="AQ3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debt repurchase components</t>
        </r>
      </text>
    </comment>
    <comment ref="AR3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debt repurchase components</t>
        </r>
      </text>
    </comment>
    <comment ref="AS3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"other" and income from unconsolidated affiliates</t>
        </r>
      </text>
    </comment>
    <comment ref="AT3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"other" and income from unconsolidated affiliates</t>
        </r>
      </text>
    </comment>
    <comment ref="O38" authorId="0">
      <text>
        <r>
          <rPr>
            <sz val="9"/>
            <color indexed="81"/>
            <rFont val="Tahoma"/>
            <family val="2"/>
          </rPr>
          <t xml:space="preserve"> $20.309mn
Source: 8K, 1Q10
 </t>
        </r>
      </text>
    </comment>
    <comment ref="P38" authorId="0">
      <text>
        <r>
          <rPr>
            <sz val="9"/>
            <color indexed="81"/>
            <rFont val="Tahoma"/>
            <family val="2"/>
          </rPr>
          <t xml:space="preserve"> $10.952mn
Other non-operational items: $0.724mn
Source: 8K, 2Q10
 </t>
        </r>
      </text>
    </comment>
    <comment ref="Q38" authorId="0">
      <text>
        <r>
          <rPr>
            <sz val="9"/>
            <color indexed="81"/>
            <rFont val="Tahoma"/>
            <family val="2"/>
          </rPr>
          <t xml:space="preserve"> $17,475mn
Source: 8K, 3Q10
 </t>
        </r>
      </text>
    </comment>
    <comment ref="R38" authorId="0">
      <text>
        <r>
          <rPr>
            <sz val="9"/>
            <color indexed="81"/>
            <rFont val="Tahoma"/>
            <family val="2"/>
          </rPr>
          <t xml:space="preserve"> 
Impairments of oil and gas assets: $137.832
Losses (gains) on sales and retirements of long-lived assets and other expense (income),net: $6.262mn
Source: 8K, 4Q10
 </t>
        </r>
      </text>
    </comment>
    <comment ref="S38" authorId="0">
      <text>
        <r>
          <rPr>
            <sz val="9"/>
            <color indexed="81"/>
            <rFont val="Tahoma"/>
            <family val="2"/>
          </rPr>
          <t xml:space="preserve"> 
Losses (gains) on sales and retirements of long-lived assets and other expense (income),net: $6.029mn
Source: 8K, 1Q11
 </t>
        </r>
      </text>
    </comment>
    <comment ref="T38" authorId="0">
      <text>
        <r>
          <rPr>
            <sz val="9"/>
            <color indexed="81"/>
            <rFont val="Tahoma"/>
            <family val="2"/>
          </rPr>
          <t xml:space="preserve"> 
Losses (gains) on sales and retirements of long-lived assets and other expense (income),net: $5.572mn
Source: 8K, 2Q11
 </t>
        </r>
      </text>
    </comment>
    <comment ref="U38" authorId="0">
      <text>
        <r>
          <rPr>
            <sz val="9"/>
            <color indexed="81"/>
            <rFont val="Tahoma"/>
            <family val="2"/>
          </rPr>
          <t xml:space="preserve"> $14.885mn
Source: 8K, 3Q11
 </t>
        </r>
      </text>
    </comment>
    <comment ref="V38" authorId="0">
      <text>
        <r>
          <rPr>
            <sz val="9"/>
            <color indexed="81"/>
            <rFont val="Tahoma"/>
            <family val="2"/>
          </rPr>
          <t xml:space="preserve"> $5.614mn
Impairments and other charges: $100.000mn
Source: 8K, 4Q11
 </t>
        </r>
      </text>
    </comment>
    <comment ref="W38" authorId="0">
      <text>
        <r>
          <rPr>
            <sz val="9"/>
            <color indexed="81"/>
            <rFont val="Tahoma"/>
            <family val="2"/>
          </rPr>
          <t xml:space="preserve">gain on sale, $1.840mn
Source: 8K, 1Q13
</t>
        </r>
      </text>
    </comment>
    <comment ref="X38" authorId="0">
      <text>
        <r>
          <rPr>
            <sz val="9"/>
            <color indexed="81"/>
            <rFont val="Tahoma"/>
            <family val="2"/>
          </rPr>
          <t xml:space="preserve"> $160,917mm loss on sale
Source: 8K, 2Q13
</t>
        </r>
      </text>
    </comment>
    <comment ref="Y38" authorId="0">
      <text>
        <r>
          <rPr>
            <sz val="9"/>
            <color indexed="81"/>
            <rFont val="Tahoma"/>
            <family val="2"/>
          </rPr>
          <t xml:space="preserve"> $98.805mn
Gains (losses) on sales and disposals of long-lived assets and other income (expense), net: $10.216mn
Source: 8K, 3Q13
</t>
        </r>
      </text>
    </comment>
    <comment ref="Z38" authorId="0">
      <text>
        <r>
          <rPr>
            <sz val="9"/>
            <color indexed="81"/>
            <rFont val="Tahoma"/>
            <family val="2"/>
          </rPr>
          <t xml:space="preserve"> $158.413mn
Impairment and other charges: $142.757mn
Source: 8K, 4Q13
</t>
        </r>
      </text>
    </comment>
    <comment ref="AA38" authorId="0">
      <text>
        <r>
          <rPr>
            <sz val="9"/>
            <color indexed="81"/>
            <rFont val="Tahoma"/>
            <family val="2"/>
          </rPr>
          <t xml:space="preserve"> $59.737mn
Source: 8K, 1Q14
</t>
        </r>
      </text>
    </comment>
    <comment ref="AB38" authorId="0">
      <text>
        <r>
          <rPr>
            <sz val="9"/>
            <color indexed="81"/>
            <rFont val="Tahoma"/>
            <family val="2"/>
          </rPr>
          <t xml:space="preserve"> $9.242mn
Source: 8K, 2Q14
</t>
        </r>
      </text>
    </comment>
    <comment ref="AC38" authorId="0">
      <text>
        <r>
          <rPr>
            <sz val="9"/>
            <color indexed="81"/>
            <rFont val="Tahoma"/>
            <family val="2"/>
          </rPr>
          <t xml:space="preserve"> $3.266mn
Impairment and other charges: $242.241mn
Source: 8K, 3Q14
</t>
        </r>
      </text>
    </comment>
    <comment ref="AD38" authorId="0">
      <text>
        <r>
          <rPr>
            <sz val="9"/>
            <color indexed="81"/>
            <rFont val="Tahoma"/>
            <family val="2"/>
          </rPr>
          <t xml:space="preserve"> $10.732mn
Source: 8K, 4Q13
</t>
        </r>
      </text>
    </comment>
    <comment ref="AE38" authorId="0">
      <text>
        <r>
          <rPr>
            <sz val="9"/>
            <color indexed="81"/>
            <rFont val="Tahoma"/>
            <family val="2"/>
          </rPr>
          <t xml:space="preserve"> $1.476mn
Source: 8K, 1Q14
</t>
        </r>
      </text>
    </comment>
    <comment ref="AF38" authorId="0">
      <text>
        <r>
          <rPr>
            <sz val="9"/>
            <color indexed="81"/>
            <rFont val="Tahoma"/>
            <family val="2"/>
          </rPr>
          <t xml:space="preserve"> $16.504mn
Source: 8K, 2Q14
</t>
        </r>
      </text>
    </comment>
    <comment ref="AG38" authorId="0">
      <text>
        <r>
          <rPr>
            <sz val="9"/>
            <color indexed="81"/>
            <rFont val="Tahoma"/>
            <family val="2"/>
          </rPr>
          <t xml:space="preserve"> $3.9mn
Sale of Alaska E&amp;P business: $5.1mn
Restructuring tax charge: $18.261mn
Losses (gains) on sales and disposals of long-lived assets and other expense (income), net: $1.513mn
Source: 8K, 3Q14
</t>
        </r>
      </text>
    </comment>
    <comment ref="AH38" authorId="0">
      <text>
        <r>
          <rPr>
            <sz val="9"/>
            <color indexed="81"/>
            <rFont val="Tahoma"/>
            <family val="2"/>
          </rPr>
          <t>tax effects of impairments, retirements, restructuring and other non-operating items</t>
        </r>
      </text>
    </comment>
    <comment ref="AI38" authorId="0">
      <text>
        <r>
          <rPr>
            <sz val="9"/>
            <color indexed="81"/>
            <rFont val="Tahoma"/>
            <family val="2"/>
          </rPr>
          <t>$0.20/sh. catch-up reported in 2Q, adjusting 1Q to compensate, assume ~50% of the tax was related to the gain on sale and thus included in non-recurring</t>
        </r>
      </text>
    </comment>
    <comment ref="AJ38" authorId="0">
      <text>
        <r>
          <rPr>
            <sz val="9"/>
            <color indexed="81"/>
            <rFont val="Tahoma"/>
            <family val="2"/>
          </rPr>
          <t>$0.20/sh. Catch-up in tax rate</t>
        </r>
      </text>
    </comment>
    <comment ref="AK38" authorId="0">
      <text>
        <r>
          <rPr>
            <sz val="9"/>
            <color indexed="81"/>
            <rFont val="Tahoma"/>
            <family val="2"/>
          </rPr>
          <t>excludes favorable tax adjustment of 19.1mm and tax impact of impairments</t>
        </r>
      </text>
    </comment>
    <comment ref="AN38" authorId="0">
      <text>
        <r>
          <rPr>
            <sz val="9"/>
            <color indexed="81"/>
            <rFont val="Tahoma"/>
            <family val="2"/>
          </rPr>
          <t>impairment and early termination impact</t>
        </r>
      </text>
    </comment>
    <comment ref="AO3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tax impact of price recovery &amp; insurance payment</t>
        </r>
      </text>
    </comment>
    <comment ref="AP3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tax impact of impairment</t>
        </r>
      </text>
    </comment>
    <comment ref="AQ3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impact of debt premium</t>
        </r>
      </text>
    </comment>
    <comment ref="AR3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$2mm of tax impact on debt repurchase</t>
        </r>
      </text>
    </comment>
    <comment ref="AT3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tax impacts of JV startup and Tesco acquisition</t>
        </r>
      </text>
    </comment>
    <comment ref="W47" authorId="0">
      <text>
        <r>
          <rPr>
            <sz val="9"/>
            <color indexed="81"/>
            <rFont val="Tahoma"/>
            <family val="2"/>
          </rPr>
          <t>MS adjustment reclassified Oil &amp; Gas earnings (eq. method) to discontinued ops, and other discontinued ops</t>
        </r>
      </text>
    </comment>
    <comment ref="X47" authorId="0">
      <text>
        <r>
          <rPr>
            <sz val="9"/>
            <color indexed="81"/>
            <rFont val="Tahoma"/>
            <family val="2"/>
          </rPr>
          <t>MS adjustment reclassified Oil &amp; Gas earnings (eq. method) to discontinued ops, and other discontinued ops</t>
        </r>
      </text>
    </comment>
    <comment ref="Y47" authorId="0">
      <text>
        <r>
          <rPr>
            <sz val="9"/>
            <color indexed="81"/>
            <rFont val="Tahoma"/>
            <family val="2"/>
          </rPr>
          <t>MS adjustment reclassified Oil &amp; Gas earnings (eq. method) to discontinued ops, and other discontinued ops</t>
        </r>
      </text>
    </comment>
    <comment ref="AK47" authorId="0">
      <text>
        <r>
          <rPr>
            <sz val="9"/>
            <color indexed="81"/>
            <rFont val="Tahoma"/>
            <family val="2"/>
          </rPr>
          <t>includes CJES</t>
        </r>
      </text>
    </comment>
    <comment ref="AL47" authorId="0">
      <text>
        <r>
          <rPr>
            <sz val="9"/>
            <color indexed="81"/>
            <rFont val="Tahoma"/>
            <family val="2"/>
          </rPr>
          <t>includes CJES</t>
        </r>
      </text>
    </comment>
    <comment ref="AM47" authorId="0">
      <text>
        <r>
          <rPr>
            <sz val="9"/>
            <color indexed="81"/>
            <rFont val="Tahoma"/>
            <family val="2"/>
          </rPr>
          <t>includes CJES</t>
        </r>
      </text>
    </comment>
    <comment ref="AN47" authorId="0">
      <text>
        <r>
          <rPr>
            <sz val="9"/>
            <color indexed="81"/>
            <rFont val="Tahoma"/>
            <family val="2"/>
          </rPr>
          <t>includes CJES</t>
        </r>
      </text>
    </comment>
    <comment ref="O48" authorId="0">
      <text>
        <r>
          <rPr>
            <sz val="9"/>
            <color indexed="81"/>
            <rFont val="Tahoma"/>
            <family val="2"/>
          </rPr>
          <t xml:space="preserve"> $20.309mn
Source: 8K, 1Q10</t>
        </r>
      </text>
    </comment>
    <comment ref="P48" authorId="0">
      <text>
        <r>
          <rPr>
            <sz val="9"/>
            <color indexed="81"/>
            <rFont val="Tahoma"/>
            <family val="2"/>
          </rPr>
          <t xml:space="preserve"> $10.592mn
Source: 8K, 2Q10</t>
        </r>
      </text>
    </comment>
    <comment ref="Q48" authorId="0">
      <text>
        <r>
          <rPr>
            <sz val="9"/>
            <color indexed="81"/>
            <rFont val="Tahoma"/>
            <family val="2"/>
          </rPr>
          <t xml:space="preserve"> $7.000mn
Impairments and other charges: $123.099mn
Tax adjustment: $17.475mn
Source: 8K, 3Q10</t>
        </r>
      </text>
    </comment>
    <comment ref="R48" authorId="0">
      <text>
        <r>
          <rPr>
            <sz val="9"/>
            <color indexed="81"/>
            <rFont val="Tahoma"/>
            <family val="2"/>
          </rPr>
          <t xml:space="preserve"> $6.262mn
Impairments and other charges: $137.832mn
Tax adjustment: $60.336mn
Source: 8K, 4Q10</t>
        </r>
      </text>
    </comment>
    <comment ref="S48" authorId="0">
      <text>
        <r>
          <rPr>
            <sz val="9"/>
            <color indexed="81"/>
            <rFont val="Tahoma"/>
            <family val="2"/>
          </rPr>
          <t xml:space="preserve"> $6.029mn
Source: 8K, 1Q11</t>
        </r>
      </text>
    </comment>
    <comment ref="T48" authorId="0">
      <text>
        <r>
          <rPr>
            <sz val="9"/>
            <color indexed="81"/>
            <rFont val="Tahoma"/>
            <family val="2"/>
          </rPr>
          <t xml:space="preserve"> $5.572mn
Source: 8K, 2Q11</t>
        </r>
      </text>
    </comment>
    <comment ref="U48" authorId="0">
      <text>
        <r>
          <rPr>
            <sz val="9"/>
            <color indexed="81"/>
            <rFont val="Tahoma"/>
            <family val="2"/>
          </rPr>
          <t xml:space="preserve"> $27.229mn
Rig asset retirements and impairments: $98.072mn
Dry-hole expenses: $3.617mn
Gain on acquisition of equity method investment: $12.178mn
Income Tax Effect of Adjustments: $14.885mn
Source: 8K, 3Q11</t>
        </r>
      </text>
    </comment>
    <comment ref="V48" authorId="0">
      <text>
        <r>
          <rPr>
            <sz val="9"/>
            <color indexed="81"/>
            <rFont val="Tahoma"/>
            <family val="2"/>
          </rPr>
          <t xml:space="preserve"> $5.614mn
Impairments and other charges: $100.000mn
Source: 8K, 3Q11</t>
        </r>
      </text>
    </comment>
    <comment ref="W48" authorId="0">
      <text>
        <r>
          <rPr>
            <sz val="9"/>
            <color indexed="81"/>
            <rFont val="Tahoma"/>
            <family val="2"/>
          </rPr>
          <t xml:space="preserve"> $1.840mn gain
</t>
        </r>
      </text>
    </comment>
    <comment ref="X48" authorId="0">
      <text>
        <r>
          <rPr>
            <sz val="9"/>
            <color indexed="81"/>
            <rFont val="Tahoma"/>
            <family val="2"/>
          </rPr>
          <t xml:space="preserve"> $160,917mn loss on disposal</t>
        </r>
      </text>
    </comment>
    <comment ref="Y48" authorId="0">
      <text>
        <r>
          <rPr>
            <sz val="9"/>
            <color indexed="81"/>
            <rFont val="Tahoma"/>
            <family val="2"/>
          </rPr>
          <t xml:space="preserve">Gains (losses) on sales and disposals of long-lived assets and other income (expense), net - $10.216mn
</t>
        </r>
      </text>
    </comment>
    <comment ref="Z48" authorId="0">
      <text>
        <r>
          <rPr>
            <sz val="9"/>
            <color indexed="81"/>
            <rFont val="Tahoma"/>
            <family val="2"/>
          </rPr>
          <t xml:space="preserve"> $158.413mn
Impairment and other charges: $142.757mn
Source: 8K, 4Q13
</t>
        </r>
      </text>
    </comment>
    <comment ref="AA48" authorId="0">
      <text>
        <r>
          <rPr>
            <sz val="9"/>
            <color indexed="81"/>
            <rFont val="Tahoma"/>
            <family val="2"/>
          </rPr>
          <t xml:space="preserve"> $59.737mn
Source: 8K,1Q14</t>
        </r>
      </text>
    </comment>
    <comment ref="AB48" authorId="0">
      <text>
        <r>
          <rPr>
            <sz val="9"/>
            <color indexed="81"/>
            <rFont val="Tahoma"/>
            <family val="2"/>
          </rPr>
          <t xml:space="preserve"> $9.242mn
Source: 8K,2Q14</t>
        </r>
      </text>
    </comment>
    <comment ref="AC48" authorId="0">
      <text>
        <r>
          <rPr>
            <sz val="9"/>
            <color indexed="81"/>
            <rFont val="Tahoma"/>
            <family val="2"/>
          </rPr>
          <t xml:space="preserve"> $3.266mn
Impairment and othercharges: $242.241mn
Source: 8K,3Q14</t>
        </r>
      </text>
    </comment>
    <comment ref="AD48" authorId="0">
      <text>
        <r>
          <rPr>
            <sz val="9"/>
            <color indexed="81"/>
            <rFont val="Tahoma"/>
            <family val="2"/>
          </rPr>
          <t xml:space="preserve"> $10.732mn
Source: 8K,4Q13</t>
        </r>
      </text>
    </comment>
    <comment ref="AE48" authorId="0">
      <text>
        <r>
          <rPr>
            <sz val="9"/>
            <color indexed="81"/>
            <rFont val="Tahoma"/>
            <family val="2"/>
          </rPr>
          <t xml:space="preserve"> $1.476mn
Source: 8K,1Q14</t>
        </r>
      </text>
    </comment>
    <comment ref="AF48" authorId="0">
      <text>
        <r>
          <rPr>
            <sz val="9"/>
            <color indexed="81"/>
            <rFont val="Tahoma"/>
            <family val="2"/>
          </rPr>
          <t xml:space="preserve"> $16.504mn
Source: 8K,2Q14</t>
        </r>
      </text>
    </comment>
    <comment ref="AG48" authorId="0">
      <text>
        <r>
          <rPr>
            <sz val="9"/>
            <color indexed="81"/>
            <rFont val="Tahoma"/>
            <family val="2"/>
          </rPr>
          <t xml:space="preserve">Transaction expenses
Sale of Alaska E&amp;P business
Restructuring tax charge
</t>
        </r>
      </text>
    </comment>
    <comment ref="AH48" authorId="0">
      <text>
        <r>
          <rPr>
            <sz val="9"/>
            <color indexed="81"/>
            <rFont val="Tahoma"/>
            <family val="2"/>
          </rPr>
          <t>impairment and other</t>
        </r>
      </text>
    </comment>
    <comment ref="AI48" authorId="0">
      <text>
        <r>
          <rPr>
            <sz val="9"/>
            <color indexed="81"/>
            <rFont val="Tahoma"/>
            <family val="2"/>
          </rPr>
          <t>gain on sale</t>
        </r>
      </text>
    </comment>
    <comment ref="AK48" authorId="0">
      <text>
        <r>
          <rPr>
            <sz val="9"/>
            <color indexed="81"/>
            <rFont val="Tahoma"/>
            <family val="2"/>
          </rPr>
          <t>impairment and tax adjustment</t>
        </r>
      </text>
    </comment>
    <comment ref="AL48" authorId="0">
      <text>
        <r>
          <rPr>
            <sz val="9"/>
            <color indexed="81"/>
            <rFont val="Tahoma"/>
            <family val="2"/>
          </rPr>
          <t>impairment, net of tax</t>
        </r>
      </text>
    </comment>
    <comment ref="AM48" authorId="0">
      <text>
        <r>
          <rPr>
            <sz val="9"/>
            <color indexed="81"/>
            <rFont val="Tahoma"/>
            <family val="2"/>
          </rPr>
          <t>impairment, net of tax of $27.8</t>
        </r>
      </text>
    </comment>
    <comment ref="AN48" authorId="0">
      <text>
        <r>
          <rPr>
            <sz val="9"/>
            <color indexed="81"/>
            <rFont val="Tahoma"/>
            <family val="2"/>
          </rPr>
          <t>impairments, including CJES, less CJES earnings which are counted in discontinued ops</t>
        </r>
      </text>
    </comment>
    <comment ref="AP4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primarily impairment</t>
        </r>
      </text>
    </comment>
    <comment ref="AR4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premium on debt repurchases</t>
        </r>
      </text>
    </comment>
    <comment ref="AT6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mid-high teens, mid $4kpd</t>
        </r>
      </text>
    </comment>
    <comment ref="AU6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$5kpd or above</t>
        </r>
      </text>
    </comment>
    <comment ref="AW7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should exit Q2 at ~101</t>
        </r>
      </text>
    </comment>
    <comment ref="AU7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negative blend and extends</t>
        </r>
      </text>
    </comment>
    <comment ref="AU8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acquisition of TESO, less some roll-off of CanRig shipments that were heavily skewed to 4Q</t>
        </r>
      </text>
    </comment>
    <comment ref="AU9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$74mm</t>
        </r>
      </text>
    </comment>
    <comment ref="B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Earnings allocated to unvested shareholders, preferred redemption</t>
        </r>
      </text>
    </comment>
    <comment ref="AR14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3 PACE-X, 1 PACE-R, 3 PACE-M1000</t>
        </r>
      </text>
    </comment>
    <comment ref="AS14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3 PACE-X, 1 PACE-R, 3 PACE-M1000</t>
        </r>
      </text>
    </comment>
    <comment ref="AT14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3 PACE-X, 1 PACE-R, 3 PACE-M1000</t>
        </r>
      </text>
    </comment>
    <comment ref="AP149" authorId="0">
      <text>
        <r>
          <rPr>
            <sz val="9"/>
            <color indexed="81"/>
            <rFont val="Tahoma"/>
            <family val="2"/>
          </rPr>
          <t>MS assumptions - not dynamic</t>
        </r>
      </text>
    </comment>
    <comment ref="AP150" authorId="0">
      <text>
        <r>
          <rPr>
            <sz val="9"/>
            <color indexed="81"/>
            <rFont val="Tahoma"/>
            <family val="2"/>
          </rPr>
          <t>MS assumptions - not dynamic</t>
        </r>
      </text>
    </comment>
    <comment ref="AP151" authorId="0">
      <text>
        <r>
          <rPr>
            <sz val="9"/>
            <color indexed="81"/>
            <rFont val="Tahoma"/>
            <family val="2"/>
          </rPr>
          <t>MS assumptions - not dynamic</t>
        </r>
      </text>
    </comment>
    <comment ref="AP152" authorId="0">
      <text>
        <r>
          <rPr>
            <sz val="9"/>
            <color indexed="81"/>
            <rFont val="Tahoma"/>
            <family val="2"/>
          </rPr>
          <t>MS assumptions - not dynamic</t>
        </r>
      </text>
    </comment>
    <comment ref="AI154" authorId="0">
      <text>
        <r>
          <rPr>
            <sz val="9"/>
            <color indexed="81"/>
            <rFont val="Tahoma"/>
            <family val="2"/>
          </rPr>
          <t>avg 75 for the year</t>
        </r>
      </text>
    </comment>
    <comment ref="AJ154" authorId="0">
      <text>
        <r>
          <rPr>
            <sz val="9"/>
            <color indexed="81"/>
            <rFont val="Tahoma"/>
            <family val="2"/>
          </rPr>
          <t>100 as of 1Q call, fairly linear roll-offs w/ 40 exit rate</t>
        </r>
      </text>
    </comment>
    <comment ref="AL154" authorId="0">
      <text>
        <r>
          <rPr>
            <sz val="9"/>
            <color indexed="81"/>
            <rFont val="Tahoma"/>
            <family val="2"/>
          </rPr>
          <t>exit rate for year is 40</t>
        </r>
      </text>
    </comment>
    <comment ref="AO15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halfway between entry 24 and exit 30</t>
        </r>
      </text>
    </comment>
    <comment ref="AR15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used</t>
        </r>
      </text>
    </comment>
    <comment ref="AG179" authorId="0">
      <text>
        <r>
          <rPr>
            <sz val="9"/>
            <color indexed="81"/>
            <rFont val="Tahoma"/>
            <family val="2"/>
          </rPr>
          <t>excludes early term</t>
        </r>
      </text>
    </comment>
    <comment ref="AI179" authorId="0">
      <text>
        <r>
          <rPr>
            <sz val="9"/>
            <color indexed="81"/>
            <rFont val="Tahoma"/>
            <family val="2"/>
          </rPr>
          <t>excludes early termination revenues</t>
        </r>
      </text>
    </comment>
    <comment ref="AL179" authorId="0">
      <text>
        <r>
          <rPr>
            <sz val="9"/>
            <color indexed="81"/>
            <rFont val="Tahoma"/>
            <family val="2"/>
          </rPr>
          <t>excludes early term. impact</t>
        </r>
      </text>
    </comment>
    <comment ref="AM179" authorId="0">
      <text>
        <r>
          <rPr>
            <sz val="9"/>
            <color indexed="81"/>
            <rFont val="Tahoma"/>
            <family val="2"/>
          </rPr>
          <t>excludes early term. impact</t>
        </r>
      </text>
    </comment>
    <comment ref="AN179" authorId="0">
      <text>
        <r>
          <rPr>
            <sz val="9"/>
            <color indexed="81"/>
            <rFont val="Tahoma"/>
            <family val="2"/>
          </rPr>
          <t>excludes early term. impact</t>
        </r>
      </text>
    </comment>
    <comment ref="AM189" authorId="0">
      <text>
        <r>
          <rPr>
            <sz val="9"/>
            <color indexed="81"/>
            <rFont val="Tahoma"/>
            <family val="2"/>
          </rPr>
          <t>mid-50s</t>
        </r>
      </text>
    </comment>
    <comment ref="AR18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expect 95 on average in 2Q</t>
        </r>
      </text>
    </comment>
    <comment ref="AS19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~$1,000/d increase</t>
        </r>
      </text>
    </comment>
    <comment ref="AT19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expect to continue to improve from newbuilds + rolling to higher rates</t>
        </r>
      </text>
    </comment>
    <comment ref="AU19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expect to continue to improve from newbuilds + rolling to higher rates</t>
        </r>
      </text>
    </comment>
    <comment ref="AV19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expect to continue to improve from newbuilds + rolling to higher rates</t>
        </r>
      </text>
    </comment>
    <comment ref="AR20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~$18300</t>
        </r>
      </text>
    </comment>
    <comment ref="AS20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18237 average dayrate 20,200 avg. revenue/day</t>
        </r>
      </text>
    </comment>
    <comment ref="AT20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$195.4mm total rev</t>
        </r>
      </text>
    </comment>
    <comment ref="Y202" authorId="0">
      <text>
        <r>
          <rPr>
            <sz val="9"/>
            <color indexed="81"/>
            <rFont val="Tahoma"/>
            <family val="2"/>
          </rPr>
          <t>excludes impact of early termination</t>
        </r>
      </text>
    </comment>
    <comment ref="Z202" authorId="0">
      <text>
        <r>
          <rPr>
            <sz val="9"/>
            <color indexed="81"/>
            <rFont val="Tahoma"/>
            <family val="2"/>
          </rPr>
          <t>excludes impact of early termination</t>
        </r>
      </text>
    </comment>
    <comment ref="AB202" authorId="0">
      <text>
        <r>
          <rPr>
            <sz val="9"/>
            <color indexed="81"/>
            <rFont val="Tahoma"/>
            <family val="2"/>
          </rPr>
          <t>down 800-1000/day</t>
        </r>
      </text>
    </comment>
    <comment ref="AC202" authorId="0">
      <text>
        <r>
          <rPr>
            <sz val="9"/>
            <color indexed="81"/>
            <rFont val="Tahoma"/>
            <family val="2"/>
          </rPr>
          <t>400-500 compression as contracts roll off
excludes $34m early term rev</t>
        </r>
      </text>
    </comment>
    <comment ref="AD202" authorId="0">
      <text>
        <r>
          <rPr>
            <sz val="9"/>
            <color indexed="81"/>
            <rFont val="Tahoma"/>
            <family val="2"/>
          </rPr>
          <t>excl 4.6mm early term rev, plus 490/d in workers comp benefit</t>
        </r>
      </text>
    </comment>
    <comment ref="AG202" authorId="0">
      <text>
        <r>
          <rPr>
            <sz val="9"/>
            <color indexed="81"/>
            <rFont val="Tahoma"/>
            <family val="2"/>
          </rPr>
          <t>excludes early term</t>
        </r>
      </text>
    </comment>
    <comment ref="AH202" authorId="0">
      <text>
        <r>
          <rPr>
            <sz val="9"/>
            <color indexed="81"/>
            <rFont val="Tahoma"/>
            <family val="2"/>
          </rPr>
          <t>1Q an improvement of 676 vs. 4Q</t>
        </r>
      </text>
    </comment>
    <comment ref="AI202" authorId="0">
      <text>
        <r>
          <rPr>
            <sz val="9"/>
            <color indexed="81"/>
            <rFont val="Tahoma"/>
            <family val="2"/>
          </rPr>
          <t>excludes early termination revenues</t>
        </r>
      </text>
    </comment>
    <comment ref="AJ202" authorId="0">
      <text>
        <r>
          <rPr>
            <sz val="9"/>
            <color indexed="81"/>
            <rFont val="Tahoma"/>
            <family val="2"/>
          </rPr>
          <t>normalized for lump sum</t>
        </r>
      </text>
    </comment>
    <comment ref="AL202" authorId="0">
      <text>
        <r>
          <rPr>
            <sz val="9"/>
            <color indexed="81"/>
            <rFont val="Tahoma"/>
            <family val="2"/>
          </rPr>
          <t>normalized for workers comp impact</t>
        </r>
      </text>
    </comment>
    <comment ref="AM202" authorId="0">
      <text>
        <r>
          <rPr>
            <sz val="9"/>
            <color indexed="81"/>
            <rFont val="Tahoma"/>
            <family val="2"/>
          </rPr>
          <t>excludes early term</t>
        </r>
      </text>
    </comment>
    <comment ref="AN202" authorId="0">
      <text>
        <r>
          <rPr>
            <sz val="9"/>
            <color indexed="81"/>
            <rFont val="Tahoma"/>
            <family val="2"/>
          </rPr>
          <t>excluding early term</t>
        </r>
      </text>
    </comment>
    <comment ref="AR20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should be close to $4kpd
press release: up 19%</t>
        </r>
      </text>
    </comment>
    <comment ref="AS20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press release: up 7%</t>
        </r>
      </text>
    </comment>
    <comment ref="AT20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$4500-4700</t>
        </r>
      </text>
    </comment>
    <comment ref="AX20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up to $8kpd by end of the year</t>
        </r>
      </text>
    </comment>
    <comment ref="AR20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moving lower</t>
        </r>
      </text>
    </comment>
    <comment ref="AU20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still 4-500/d of amortization</t>
        </r>
      </text>
    </comment>
    <comment ref="AT2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10.3 offshore, 6.5mm Alaska</t>
        </r>
      </text>
    </comment>
    <comment ref="AT21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some demob</t>
        </r>
      </text>
    </comment>
    <comment ref="AV21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bigfoot starts here</t>
        </r>
      </text>
    </comment>
    <comment ref="AR217" authorId="0">
      <text>
        <r>
          <rPr>
            <sz val="9"/>
            <color indexed="81"/>
            <rFont val="Tahoma"/>
            <family val="2"/>
          </rPr>
          <t>seasonality</t>
        </r>
      </text>
    </comment>
    <comment ref="AT2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bigfoot towed out, so 50% up</t>
        </r>
      </text>
    </comment>
    <comment ref="AU2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usually pick up a rig in1Q</t>
        </r>
      </text>
    </comment>
    <comment ref="AV22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bigfoot - no later than 4/1; currently $2mm/q moving to ~$10mm</t>
        </r>
      </text>
    </comment>
    <comment ref="AX22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incremental rigs at $50kpd</t>
        </r>
      </text>
    </comment>
    <comment ref="AN251" authorId="0">
      <text>
        <r>
          <rPr>
            <sz val="9"/>
            <color indexed="81"/>
            <rFont val="Tahoma"/>
            <family val="2"/>
          </rPr>
          <t>excluding early term and catch-up payment</t>
        </r>
      </text>
    </comment>
    <comment ref="AO25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impact of Mexico pricing catch-up payments and Yemen insurance plan</t>
        </r>
      </text>
    </comment>
    <comment ref="AP25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exlcudes $4mm demob</t>
        </r>
      </text>
    </comment>
    <comment ref="AT26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maybe a little below the $12.5mm goal but near it</t>
        </r>
      </text>
    </comment>
    <comment ref="AS26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cons.</t>
        </r>
      </text>
    </comment>
    <comment ref="AS27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cons.</t>
        </r>
      </text>
    </comment>
    <comment ref="AY28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next batch of rigs is higher spec, more like $30mm</t>
        </r>
      </text>
    </comment>
    <comment ref="AY29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Aramco contributing cash as well</t>
        </r>
      </text>
    </comment>
    <comment ref="AU30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assumed</t>
        </r>
      </text>
    </comment>
    <comment ref="AU30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for now use 7 year life and $20mm/rig per NBR guidance</t>
        </r>
      </text>
    </comment>
    <comment ref="AU31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maint capex $300-$350mm, $50mm NDS, $25mm deferred upgrades</t>
        </r>
      </text>
    </comment>
    <comment ref="AU31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plug to match guidance</t>
        </r>
      </text>
    </comment>
    <comment ref="AI335" authorId="0">
      <text>
        <r>
          <rPr>
            <sz val="9"/>
            <color indexed="81"/>
            <rFont val="Tahoma"/>
            <family val="2"/>
          </rPr>
          <t>maint 250-300 this year + 150-200 upgrade</t>
        </r>
      </text>
    </comment>
    <comment ref="AM335" authorId="0">
      <text>
        <r>
          <rPr>
            <sz val="9"/>
            <color indexed="81"/>
            <rFont val="Tahoma"/>
            <family val="2"/>
          </rPr>
          <t>&lt;$500mm</t>
        </r>
      </text>
    </comment>
    <comment ref="AP33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still around $450mm, expect to come in slightly lower</t>
        </r>
      </text>
    </comment>
    <comment ref="AQ33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~$0.5bn in 2017</t>
        </r>
      </text>
    </comment>
    <comment ref="AT33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acquired cash from Tesco and Sanad</t>
        </r>
      </text>
    </comment>
    <comment ref="AU33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cash component of jackup sale</t>
        </r>
      </text>
    </comment>
    <comment ref="AO34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plug</t>
        </r>
      </text>
    </comment>
    <comment ref="AP34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small plug amount</t>
        </r>
      </text>
    </comment>
    <comment ref="AR34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cash proceeds from equity component of exchangeable debt</t>
        </r>
      </text>
    </comment>
    <comment ref="AY37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half of $150mm contributed by Aramco</t>
        </r>
      </text>
    </comment>
    <comment ref="AY37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half of $150mm contributed by Aramco</t>
        </r>
      </text>
    </comment>
    <comment ref="AT37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plug</t>
        </r>
      </text>
    </comment>
    <comment ref="AT4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near end of quarter close for TESO</t>
        </r>
      </text>
    </comment>
    <comment ref="AT43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near end of quarter close for TESO</t>
        </r>
      </text>
    </comment>
    <comment ref="AN467" authorId="0">
      <text>
        <r>
          <rPr>
            <sz val="9"/>
            <color indexed="81"/>
            <rFont val="Tahoma"/>
            <family val="2"/>
          </rPr>
          <t>plug</t>
        </r>
      </text>
    </comment>
    <comment ref="AL469" authorId="0">
      <text>
        <r>
          <rPr>
            <sz val="9"/>
            <color indexed="81"/>
            <rFont val="Tahoma"/>
            <family val="2"/>
          </rPr>
          <t>now includes deferred financing costs</t>
        </r>
      </text>
    </comment>
    <comment ref="AT47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'18s as NBR paying off w/ revolver</t>
        </r>
      </text>
    </comment>
    <comment ref="AU47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'18s as NBR paying off w/ revolver</t>
        </r>
      </text>
    </comment>
    <comment ref="AI521" authorId="0">
      <text>
        <r>
          <rPr>
            <sz val="9"/>
            <color indexed="81"/>
            <rFont val="Tahoma"/>
            <family val="2"/>
          </rPr>
          <t>39 not pad capable</t>
        </r>
      </text>
    </comment>
    <comment ref="AI522" authorId="0">
      <text>
        <r>
          <rPr>
            <sz val="9"/>
            <color indexed="81"/>
            <rFont val="Tahoma"/>
            <family val="2"/>
          </rPr>
          <t>69 not pad capable</t>
        </r>
      </text>
    </comment>
    <comment ref="AH523" authorId="0">
      <text>
        <r>
          <rPr>
            <sz val="9"/>
            <color indexed="81"/>
            <rFont val="Tahoma"/>
            <family val="2"/>
          </rPr>
          <t>impaired</t>
        </r>
      </text>
    </comment>
    <comment ref="Z524" authorId="0">
      <text>
        <r>
          <rPr>
            <sz val="9"/>
            <color indexed="81"/>
            <rFont val="Tahoma"/>
            <family val="2"/>
          </rPr>
          <t>includes rigs to be delivered</t>
        </r>
      </text>
    </comment>
    <comment ref="AG525" authorId="0">
      <text>
        <r>
          <rPr>
            <sz val="9"/>
            <color indexed="81"/>
            <rFont val="Tahoma"/>
            <family val="2"/>
          </rPr>
          <t>103 AC</t>
        </r>
      </text>
    </comment>
    <comment ref="AH525" authorId="0">
      <text>
        <r>
          <rPr>
            <sz val="9"/>
            <color indexed="81"/>
            <rFont val="Tahoma"/>
            <family val="2"/>
          </rPr>
          <t>109 AC</t>
        </r>
      </text>
    </comment>
    <comment ref="AI525" authorId="0">
      <text>
        <r>
          <rPr>
            <sz val="9"/>
            <color indexed="81"/>
            <rFont val="Tahoma"/>
            <family val="2"/>
          </rPr>
          <t xml:space="preserve"> 114 AC, 5 legacy</t>
        </r>
      </text>
    </comment>
    <comment ref="AJ525" authorId="0">
      <text>
        <r>
          <rPr>
            <sz val="9"/>
            <color indexed="81"/>
            <rFont val="Tahoma"/>
            <family val="2"/>
          </rPr>
          <t>120AC, 7 legacy</t>
        </r>
      </text>
    </comment>
    <comment ref="AK525" authorId="0">
      <text>
        <r>
          <rPr>
            <sz val="9"/>
            <color indexed="81"/>
            <rFont val="Tahoma"/>
            <family val="2"/>
          </rPr>
          <t>120 AC, 7 Legacy</t>
        </r>
      </text>
    </comment>
    <comment ref="AL525" authorId="0">
      <text>
        <r>
          <rPr>
            <sz val="9"/>
            <color indexed="81"/>
            <rFont val="Tahoma"/>
            <family val="2"/>
          </rPr>
          <t>122 AC, 7 Legacy</t>
        </r>
      </text>
    </comment>
    <comment ref="AG526" authorId="0">
      <text>
        <r>
          <rPr>
            <sz val="9"/>
            <color indexed="81"/>
            <rFont val="Tahoma"/>
            <family val="2"/>
          </rPr>
          <t>18 AC</t>
        </r>
      </text>
    </comment>
    <comment ref="AH526" authorId="0">
      <text>
        <r>
          <rPr>
            <sz val="9"/>
            <color indexed="81"/>
            <rFont val="Tahoma"/>
            <family val="2"/>
          </rPr>
          <t>18 AC</t>
        </r>
      </text>
    </comment>
    <comment ref="AI526" authorId="0">
      <text>
        <r>
          <rPr>
            <sz val="9"/>
            <color indexed="81"/>
            <rFont val="Tahoma"/>
            <family val="2"/>
          </rPr>
          <t>18 AC, 11 legacy</t>
        </r>
      </text>
    </comment>
    <comment ref="AJ526" authorId="0">
      <text>
        <r>
          <rPr>
            <sz val="9"/>
            <color indexed="81"/>
            <rFont val="Tahoma"/>
            <family val="2"/>
          </rPr>
          <t>18 AC, 13 legacy</t>
        </r>
      </text>
    </comment>
    <comment ref="AK526" authorId="0">
      <text>
        <r>
          <rPr>
            <sz val="9"/>
            <color indexed="81"/>
            <rFont val="Tahoma"/>
            <family val="2"/>
          </rPr>
          <t>18 AC, 13 Legacy</t>
        </r>
      </text>
    </comment>
    <comment ref="AL526" authorId="0">
      <text>
        <r>
          <rPr>
            <sz val="9"/>
            <color indexed="81"/>
            <rFont val="Tahoma"/>
            <family val="2"/>
          </rPr>
          <t>18 AC, 13 Legacy</t>
        </r>
      </text>
    </comment>
    <comment ref="Y527" authorId="0">
      <text>
        <r>
          <rPr>
            <sz val="9"/>
            <color indexed="81"/>
            <rFont val="Tahoma"/>
            <family val="2"/>
          </rPr>
          <t>includes systems to be installed</t>
        </r>
      </text>
    </comment>
    <comment ref="Z527" authorId="0">
      <text>
        <r>
          <rPr>
            <sz val="9"/>
            <color indexed="81"/>
            <rFont val="Tahoma"/>
            <family val="2"/>
          </rPr>
          <t>actual</t>
        </r>
      </text>
    </comment>
    <comment ref="AB527" authorId="0">
      <text>
        <r>
          <rPr>
            <sz val="9"/>
            <color indexed="81"/>
            <rFont val="Tahoma"/>
            <family val="2"/>
          </rPr>
          <t>including potential upgrades</t>
        </r>
      </text>
    </comment>
    <comment ref="AH572" authorId="0">
      <text>
        <r>
          <rPr>
            <sz val="9"/>
            <color indexed="81"/>
            <rFont val="Tahoma"/>
            <family val="2"/>
          </rPr>
          <t>128 per NBR</t>
        </r>
      </text>
    </comment>
  </commentList>
</comments>
</file>

<file path=xl/sharedStrings.xml><?xml version="1.0" encoding="utf-8"?>
<sst xmlns="http://schemas.openxmlformats.org/spreadsheetml/2006/main" count="968" uniqueCount="790">
  <si>
    <t>Nabors Industries (NBR) Earnings Model</t>
  </si>
  <si>
    <t>Days in Period</t>
  </si>
  <si>
    <t>($ in Millions)</t>
  </si>
  <si>
    <t>Income Statement &amp; Key Drivers</t>
  </si>
  <si>
    <t>U.S.</t>
  </si>
  <si>
    <t>Canada</t>
  </si>
  <si>
    <t>International</t>
  </si>
  <si>
    <t>Rig Services</t>
  </si>
  <si>
    <t>Total Revenues</t>
  </si>
  <si>
    <t>Interest (Expense)</t>
  </si>
  <si>
    <t>Other Items</t>
  </si>
  <si>
    <t>EBT</t>
  </si>
  <si>
    <t>Noncontrolling Interest</t>
  </si>
  <si>
    <t>Diluted Shares Outstanding</t>
  </si>
  <si>
    <t>Key Drivers</t>
  </si>
  <si>
    <t>US</t>
  </si>
  <si>
    <t>Avg. Daily Revenue</t>
  </si>
  <si>
    <t>Avg. Daily Opex</t>
  </si>
  <si>
    <t>Avg. Daily Margin</t>
  </si>
  <si>
    <t>Revenue Growth</t>
  </si>
  <si>
    <t>EBITDA Margin</t>
  </si>
  <si>
    <t>Incremental EBITDA Margin</t>
  </si>
  <si>
    <t>D&amp;A</t>
  </si>
  <si>
    <t>EBIT Margin</t>
  </si>
  <si>
    <t>Summary Metrics</t>
  </si>
  <si>
    <t>Revenue % Growth</t>
  </si>
  <si>
    <t>Net Profit Margin</t>
  </si>
  <si>
    <t>ROE (Operating)</t>
  </si>
  <si>
    <t>Revenue &amp; Cost Details</t>
  </si>
  <si>
    <t>Revenues</t>
  </si>
  <si>
    <t>Operating Revenues</t>
  </si>
  <si>
    <t>Earnings (losses) from unconsolidated affiliates</t>
  </si>
  <si>
    <t>Investment income (loss)</t>
  </si>
  <si>
    <t>Reported Revenues &amp; Other Income</t>
  </si>
  <si>
    <t>Direct Costs</t>
  </si>
  <si>
    <t>Other</t>
  </si>
  <si>
    <t>Total Direct Costs, as Reported</t>
  </si>
  <si>
    <t>G&amp;A % of Revenues</t>
  </si>
  <si>
    <t>Total D&amp;A</t>
  </si>
  <si>
    <t>Segment Details &amp; Checks</t>
  </si>
  <si>
    <t>US Segment</t>
  </si>
  <si>
    <t>Rig Availability/Activity</t>
  </si>
  <si>
    <t>Total Rig Fleet</t>
  </si>
  <si>
    <t>L48</t>
  </si>
  <si>
    <t>AC</t>
  </si>
  <si>
    <t>Legacy</t>
  </si>
  <si>
    <t>Newbuilds</t>
  </si>
  <si>
    <t>Offshore</t>
  </si>
  <si>
    <t>Alaska</t>
  </si>
  <si>
    <t>Rigs Working (Rig Years)</t>
  </si>
  <si>
    <t>L48 Contracted</t>
  </si>
  <si>
    <t>Utilization</t>
  </si>
  <si>
    <t>Days Working</t>
  </si>
  <si>
    <t>Revenue ($mm)</t>
  </si>
  <si>
    <t>Cash Costs ($mm)</t>
  </si>
  <si>
    <t>Cash Margin ($mm)</t>
  </si>
  <si>
    <t>SG&amp;A ($mm)</t>
  </si>
  <si>
    <t>EBITDA ($mm)</t>
  </si>
  <si>
    <t>Depreciation ($mm)</t>
  </si>
  <si>
    <t>EBIT ($mm)</t>
  </si>
  <si>
    <t>Average Daily Revenue</t>
  </si>
  <si>
    <t>Average Daily Cash Costs</t>
  </si>
  <si>
    <t>Average Daily Cash Margin</t>
  </si>
  <si>
    <t>L48 Lump Sum Revenues</t>
  </si>
  <si>
    <t>Lump Sum: Amortized Monthly</t>
  </si>
  <si>
    <t>Standby: Monthly</t>
  </si>
  <si>
    <t>Detailed US Drivers</t>
  </si>
  <si>
    <t>Lower 48</t>
  </si>
  <si>
    <t>AC Rigs Working</t>
  </si>
  <si>
    <t>Legacy Rigs Working</t>
  </si>
  <si>
    <t xml:space="preserve"> Rigs Working</t>
  </si>
  <si>
    <t>Hz Rig Count</t>
  </si>
  <si>
    <t>Hz Rig Market Share</t>
  </si>
  <si>
    <t xml:space="preserve"> Days Working</t>
  </si>
  <si>
    <t>AC Dayrate (MSe)</t>
  </si>
  <si>
    <t>Legacy Dayrate (MSe)</t>
  </si>
  <si>
    <t xml:space="preserve"> Dayrate (MSe)</t>
  </si>
  <si>
    <t xml:space="preserve"> Cost/Day (MSe)</t>
  </si>
  <si>
    <t xml:space="preserve"> Daily Margin (NBR Reported)</t>
  </si>
  <si>
    <t>Total Revenues ($mm)</t>
  </si>
  <si>
    <t>Rig-Level Costs ($mm)</t>
  </si>
  <si>
    <t>Startup Costs ($mm)</t>
  </si>
  <si>
    <t>Other Overhead ($mm)</t>
  </si>
  <si>
    <t>Total Costs ($mm)</t>
  </si>
  <si>
    <t>Alaska &amp; Offshore</t>
  </si>
  <si>
    <t>Implied Revenues ($mm)</t>
  </si>
  <si>
    <t>Implied Costs ($mm)</t>
  </si>
  <si>
    <t>Implied Cash Margin ($mm)</t>
  </si>
  <si>
    <t>US Offshore Rigs Working</t>
  </si>
  <si>
    <t>Alaska Rigs Working</t>
  </si>
  <si>
    <t>Total Alaska &amp; Offshore Rigs</t>
  </si>
  <si>
    <t>Alaska &amp; Offshore Working Days</t>
  </si>
  <si>
    <t>Revenue/Day</t>
  </si>
  <si>
    <t>Cash Cost/Day</t>
  </si>
  <si>
    <t>Cash Margin/Day</t>
  </si>
  <si>
    <t>Canada Segment</t>
  </si>
  <si>
    <t>International Segment</t>
  </si>
  <si>
    <t>Rig Services Segment</t>
  </si>
  <si>
    <t>% Growth</t>
  </si>
  <si>
    <t>EBITDA</t>
  </si>
  <si>
    <t>% Margin</t>
  </si>
  <si>
    <t>Cash Flow Statement</t>
  </si>
  <si>
    <t>Net Income</t>
  </si>
  <si>
    <t>Deferred Taxes</t>
  </si>
  <si>
    <t>Share-Based Compensation</t>
  </si>
  <si>
    <t>Cash from Operations (CFO)</t>
  </si>
  <si>
    <t>Capital Expenditures</t>
  </si>
  <si>
    <t>Free Cash Flow (FCF)</t>
  </si>
  <si>
    <t>Other Investing Cash Flows</t>
  </si>
  <si>
    <t>Purchase of Treasury Shares</t>
  </si>
  <si>
    <t>Other Financing Cash Flows</t>
  </si>
  <si>
    <t>Increase (Decrease) in Cash</t>
  </si>
  <si>
    <t>Balance Sheet</t>
  </si>
  <si>
    <t>Cash &amp; Equivalents</t>
  </si>
  <si>
    <t>Short Term Investments</t>
  </si>
  <si>
    <t>Accounts Receivable</t>
  </si>
  <si>
    <t>Inventory &amp; Supplies</t>
  </si>
  <si>
    <t>Deferred Income Taxes</t>
  </si>
  <si>
    <t>Other Current Assets</t>
  </si>
  <si>
    <t>Total Current Assets</t>
  </si>
  <si>
    <t>Gross PP&amp;E</t>
  </si>
  <si>
    <t>Accumulated Depreciation</t>
  </si>
  <si>
    <t>Net PP&amp;E</t>
  </si>
  <si>
    <t>Goodwill, Net</t>
  </si>
  <si>
    <t>Total Assets</t>
  </si>
  <si>
    <t>ST Debt</t>
  </si>
  <si>
    <t>Accounts Payable</t>
  </si>
  <si>
    <t>Total Current Liabilities</t>
  </si>
  <si>
    <t>LT Debt</t>
  </si>
  <si>
    <t>Other LT Liabilities</t>
  </si>
  <si>
    <t>Common Stock</t>
  </si>
  <si>
    <t>Retained Earnings</t>
  </si>
  <si>
    <t>Treasury Stock</t>
  </si>
  <si>
    <t>Shareholders' Equity</t>
  </si>
  <si>
    <t>Total Liabilities &amp; Equity</t>
  </si>
  <si>
    <t>Supporting Schedules</t>
  </si>
  <si>
    <t>Leverage &amp; Credit Metrics:</t>
  </si>
  <si>
    <t>Total Capital</t>
  </si>
  <si>
    <t>Total Debt</t>
  </si>
  <si>
    <t>Net Debt</t>
  </si>
  <si>
    <t>Net Debt/Equity</t>
  </si>
  <si>
    <t>Net Debt/LTM EBITDA</t>
  </si>
  <si>
    <t>Net Debt/LTM EBIT</t>
  </si>
  <si>
    <t>EBITDA/Int. Expense</t>
  </si>
  <si>
    <t>(EBITDA-Capex)/Int. Expense</t>
  </si>
  <si>
    <t>EBIT/Int. Expense</t>
  </si>
  <si>
    <t>Capex/D&amp;A</t>
  </si>
  <si>
    <t>Current Ratio</t>
  </si>
  <si>
    <t>Receivables Days (DSO)</t>
  </si>
  <si>
    <t>Days of  Inventory on Hand</t>
  </si>
  <si>
    <t>Payables Days</t>
  </si>
  <si>
    <t>Cash Conversion Cycle</t>
  </si>
  <si>
    <t>Other Current Assets / Ann. Revenues</t>
  </si>
  <si>
    <t>Other Long-Term Assets / Revenues</t>
  </si>
  <si>
    <t>Accrued Liabilities % of Ann. Revenue</t>
  </si>
  <si>
    <t>Other Long-Term Liabilities / Ann. Revenues</t>
  </si>
  <si>
    <t>DTA % of Ann. Revenue</t>
  </si>
  <si>
    <t>DTL % of PP&amp;E</t>
  </si>
  <si>
    <t>Depreciation &amp; Capex</t>
  </si>
  <si>
    <t>Depreciation</t>
  </si>
  <si>
    <t>Depreciation / Revenues</t>
  </si>
  <si>
    <t>Capex / Revenues</t>
  </si>
  <si>
    <t>Capex / Depreciation</t>
  </si>
  <si>
    <t>Avg. Asset Life (Years)</t>
  </si>
  <si>
    <t>Average Asset Age (Years)</t>
  </si>
  <si>
    <t>Remaining Useful Life (Years)</t>
  </si>
  <si>
    <t>Shares Outstanding &amp; BV/Sh.</t>
  </si>
  <si>
    <t>Basic Shares Outstanding</t>
  </si>
  <si>
    <t>Common Shares at Period End</t>
  </si>
  <si>
    <t>Dilution Ratio</t>
  </si>
  <si>
    <t>Basic EPS (Incl. Extraordinary)</t>
  </si>
  <si>
    <t>Basic EPS (Ex-Extraordinary)</t>
  </si>
  <si>
    <t>Book Value/Share</t>
  </si>
  <si>
    <t>Tangible Book Value/Share</t>
  </si>
  <si>
    <t>Tangible Book Value/Rig</t>
  </si>
  <si>
    <t>PP&amp;E/Rig</t>
  </si>
  <si>
    <t>Funding</t>
  </si>
  <si>
    <t>Uses</t>
  </si>
  <si>
    <t>Net Operating Assets Req'd</t>
  </si>
  <si>
    <t>Operating Cash</t>
  </si>
  <si>
    <t>Funding Req'd</t>
  </si>
  <si>
    <t>Sources</t>
  </si>
  <si>
    <t>Non-Controlling Interest</t>
  </si>
  <si>
    <t>Debt Available ex. Revolver</t>
  </si>
  <si>
    <t>Revolver Required</t>
  </si>
  <si>
    <t>Debt Detail</t>
  </si>
  <si>
    <t>6.15% senior notes due February 2018</t>
  </si>
  <si>
    <t>9.25% senior notes due January 2019</t>
  </si>
  <si>
    <t>5.00% senior notes due September 2020</t>
  </si>
  <si>
    <t>4.625% senior notes due September 2021</t>
  </si>
  <si>
    <t>5.10% senior notes due September 2023</t>
  </si>
  <si>
    <t>5.50% senior notes due December 2023</t>
  </si>
  <si>
    <t>0.75% senior exchangeable notes due January 2024</t>
  </si>
  <si>
    <t>Commercial paper</t>
  </si>
  <si>
    <t>Total Notes &amp; Commercial Paper</t>
  </si>
  <si>
    <t>Revolver Drawn</t>
  </si>
  <si>
    <t>Revolver Capacity</t>
  </si>
  <si>
    <t>Revolver Availability</t>
  </si>
  <si>
    <t>Debt Drawn (Repaid)</t>
  </si>
  <si>
    <t>Total Liquidity</t>
  </si>
  <si>
    <t>Covenant: ND/Capital (max: 60%)</t>
  </si>
  <si>
    <t>Return Metrics</t>
  </si>
  <si>
    <t>Net Operating Assets</t>
  </si>
  <si>
    <t>Invested Capital</t>
  </si>
  <si>
    <t>EBIT</t>
  </si>
  <si>
    <t>NOPAT</t>
  </si>
  <si>
    <t>NOPAT % Margin</t>
  </si>
  <si>
    <t>Op. Asset Turnover</t>
  </si>
  <si>
    <t>RNOA (ROIC)</t>
  </si>
  <si>
    <t>ROE (GAAP)</t>
  </si>
  <si>
    <t>Supplemental Data: Rig Fleet Details &amp; Location</t>
  </si>
  <si>
    <t>Market Shares</t>
  </si>
  <si>
    <t>US Land Rig Count</t>
  </si>
  <si>
    <t>NBR Share</t>
  </si>
  <si>
    <t>Canadian Rig Count</t>
  </si>
  <si>
    <t>Int'l Rig Count</t>
  </si>
  <si>
    <t>US Fleet Detail (L48)</t>
  </si>
  <si>
    <t>SCR</t>
  </si>
  <si>
    <t>Mech</t>
  </si>
  <si>
    <t>Total</t>
  </si>
  <si>
    <t xml:space="preserve">Walking </t>
  </si>
  <si>
    <t>Skidding</t>
  </si>
  <si>
    <t>Moving</t>
  </si>
  <si>
    <t>% Moving</t>
  </si>
  <si>
    <t>Canada Fleet Detail:</t>
  </si>
  <si>
    <t>Int'l Fleet Detail (Onshore)</t>
  </si>
  <si>
    <t>Saudi Arabia</t>
  </si>
  <si>
    <t>Argentina</t>
  </si>
  <si>
    <t>Colombia</t>
  </si>
  <si>
    <t>Venezuela</t>
  </si>
  <si>
    <t>Oman</t>
  </si>
  <si>
    <t>Algeria</t>
  </si>
  <si>
    <t>Kazakhstan</t>
  </si>
  <si>
    <t>Ecuador</t>
  </si>
  <si>
    <t>Kuwait</t>
  </si>
  <si>
    <t>India</t>
  </si>
  <si>
    <t>Russia</t>
  </si>
  <si>
    <t>Italy</t>
  </si>
  <si>
    <t>Angola</t>
  </si>
  <si>
    <t>Bahrain</t>
  </si>
  <si>
    <t>Congo</t>
  </si>
  <si>
    <t>Iraq</t>
  </si>
  <si>
    <t>Jordan</t>
  </si>
  <si>
    <t>Kurdistan</t>
  </si>
  <si>
    <t>Malaysia</t>
  </si>
  <si>
    <t>Mexico</t>
  </si>
  <si>
    <t>Romania</t>
  </si>
  <si>
    <t>Yemen</t>
  </si>
  <si>
    <t>Australia</t>
  </si>
  <si>
    <t>Net Income for Validation</t>
  </si>
  <si>
    <t>Statutory Tax Rate</t>
  </si>
  <si>
    <t>Unrecorded Goodwill</t>
  </si>
  <si>
    <t>Completion &amp; Production</t>
  </si>
  <si>
    <t>Drilling and Rig Services</t>
  </si>
  <si>
    <t>Eliminations &amp; Corporate</t>
  </si>
  <si>
    <t>(D&amp;A)</t>
  </si>
  <si>
    <t>Financial Income (Loss)</t>
  </si>
  <si>
    <t>Other Non-Operating (Expense) Income</t>
  </si>
  <si>
    <t>Income Tax (Expense) Benefit</t>
  </si>
  <si>
    <t>Revenue Breakdown:</t>
  </si>
  <si>
    <t>(Non-Controlling Interest)</t>
  </si>
  <si>
    <t>Total Adj. EBITDA</t>
  </si>
  <si>
    <t>Adj. EBITDA</t>
  </si>
  <si>
    <t>Net Income from Continuing Operations</t>
  </si>
  <si>
    <t>2018E</t>
  </si>
  <si>
    <t>2019E</t>
  </si>
  <si>
    <t>2020E</t>
  </si>
  <si>
    <t>1Q10</t>
  </si>
  <si>
    <t>2Q10</t>
  </si>
  <si>
    <t>3Q10</t>
  </si>
  <si>
    <t>4Q10</t>
  </si>
  <si>
    <t>1Q11</t>
  </si>
  <si>
    <t>2Q11</t>
  </si>
  <si>
    <t>3Q11</t>
  </si>
  <si>
    <t>4Q11</t>
  </si>
  <si>
    <t>1Q12</t>
  </si>
  <si>
    <t>2Q12</t>
  </si>
  <si>
    <t>3Q12</t>
  </si>
  <si>
    <t>4Q12</t>
  </si>
  <si>
    <t>1Q13</t>
  </si>
  <si>
    <t>2Q13</t>
  </si>
  <si>
    <t>3Q13</t>
  </si>
  <si>
    <t>4Q13</t>
  </si>
  <si>
    <t>1Q14</t>
  </si>
  <si>
    <t>2Q14</t>
  </si>
  <si>
    <t>3Q14</t>
  </si>
  <si>
    <t>4Q14</t>
  </si>
  <si>
    <t>1Q15</t>
  </si>
  <si>
    <t>2Q15</t>
  </si>
  <si>
    <t>3Q15</t>
  </si>
  <si>
    <t>4Q15</t>
  </si>
  <si>
    <t>1Q16</t>
  </si>
  <si>
    <t>2Q16</t>
  </si>
  <si>
    <t>3Q16</t>
  </si>
  <si>
    <t>4Q16</t>
  </si>
  <si>
    <t>1Q17</t>
  </si>
  <si>
    <t>1Q18E</t>
  </si>
  <si>
    <t>2Q18E</t>
  </si>
  <si>
    <t>3Q18E</t>
  </si>
  <si>
    <t>4Q18E</t>
  </si>
  <si>
    <t>1Q19E</t>
  </si>
  <si>
    <t>2Q19E</t>
  </si>
  <si>
    <t>3Q19E</t>
  </si>
  <si>
    <t>4Q19E</t>
  </si>
  <si>
    <t>1Q20E</t>
  </si>
  <si>
    <t>2Q20E</t>
  </si>
  <si>
    <t>3Q20E</t>
  </si>
  <si>
    <t>4Q20E</t>
  </si>
  <si>
    <t>Net Income to NBR, Continuing Operations</t>
  </si>
  <si>
    <t>Reconciliation to GAAP Net Income:</t>
  </si>
  <si>
    <t>Gain (Loss) on Sale/Disposal</t>
  </si>
  <si>
    <t>Impairments and Asset Write-Downs</t>
  </si>
  <si>
    <t>Restructuring Charges</t>
  </si>
  <si>
    <t>Discontinued Operations</t>
  </si>
  <si>
    <t>Net Income to NBR (GAAP)</t>
  </si>
  <si>
    <t>Period End</t>
  </si>
  <si>
    <t>Year</t>
  </si>
  <si>
    <t>Morgan Stanley</t>
  </si>
  <si>
    <t>EPS Adjusting Items</t>
  </si>
  <si>
    <t>Diluted EPS (Operating)</t>
  </si>
  <si>
    <t>Diluted EPS (GAAP)</t>
  </si>
  <si>
    <t>Dividend Per Share</t>
  </si>
  <si>
    <t>x</t>
  </si>
  <si>
    <t>DD&amp;A</t>
  </si>
  <si>
    <t>Changes in Operating Assets/Liabilities</t>
  </si>
  <si>
    <t>Inventory</t>
  </si>
  <si>
    <t>Other Current Assets/Liabilities</t>
  </si>
  <si>
    <t>Non-Current Assets/Liabilities</t>
  </si>
  <si>
    <t>Acquisitions &amp; Investments</t>
  </si>
  <si>
    <t>Asset Disposals</t>
  </si>
  <si>
    <t>Issuance / (Paydown) of Debt</t>
  </si>
  <si>
    <t>Dividends</t>
  </si>
  <si>
    <t>Equity Issues / Options Activity</t>
  </si>
  <si>
    <t>Foreign Exchange Adjustments</t>
  </si>
  <si>
    <t>Other Non-Current Assets</t>
  </si>
  <si>
    <t>Assets:</t>
  </si>
  <si>
    <t>Liabilities &amp; Equity:</t>
  </si>
  <si>
    <t>Additional Paid-in Capital</t>
  </si>
  <si>
    <t>Accumulated &amp; Other Compr. Income</t>
  </si>
  <si>
    <t>Accrued Liabilities &amp; Other</t>
  </si>
  <si>
    <t>Net Debt/Net Capital</t>
  </si>
  <si>
    <t>Total Debt/Total Capital</t>
  </si>
  <si>
    <t>Total Working Capital</t>
  </si>
  <si>
    <t>Operating Working Capital</t>
  </si>
  <si>
    <t>US P&amp;L and Daily Economics</t>
  </si>
  <si>
    <t>Rigs Operating</t>
  </si>
  <si>
    <t>G&amp;A and R&amp;D</t>
  </si>
  <si>
    <t>Other Drivers</t>
  </si>
  <si>
    <t>Total G&amp;A &amp; R&amp;D</t>
  </si>
  <si>
    <t>Ann. D&amp;A % of Beg. Net PP&amp;E</t>
  </si>
  <si>
    <t>Effective Int. Rate</t>
  </si>
  <si>
    <t>Effective Tax Rate</t>
  </si>
  <si>
    <t>Direct Costs, For ModelWare</t>
  </si>
  <si>
    <t>Total Margin ($mm)</t>
  </si>
  <si>
    <t>Capex Schedule</t>
  </si>
  <si>
    <t>Assumed Maintenance Capex</t>
  </si>
  <si>
    <t>Newbuild Rigs</t>
  </si>
  <si>
    <t>Other Capex</t>
  </si>
  <si>
    <t>Total Capex</t>
  </si>
  <si>
    <t>Receivables Turnover (x)</t>
  </si>
  <si>
    <t>Inventory Turnover (x)</t>
  </si>
  <si>
    <t>Payables Turnover (x)</t>
  </si>
  <si>
    <t>Capex</t>
  </si>
  <si>
    <t>Working Capital Management</t>
  </si>
  <si>
    <t>Retired Debt</t>
  </si>
  <si>
    <t>U.A.E.</t>
  </si>
  <si>
    <t>Papua New Guinea</t>
  </si>
  <si>
    <t>MW Required Tags</t>
  </si>
  <si>
    <t>Q Index</t>
  </si>
  <si>
    <t>USD</t>
  </si>
  <si>
    <t>NBR.N</t>
  </si>
  <si>
    <t>Nabors Industries Inc.</t>
  </si>
  <si>
    <t>Common dividends, total</t>
  </si>
  <si>
    <t>Net issuance (repurchase) of common stock</t>
  </si>
  <si>
    <t>Currency</t>
  </si>
  <si>
    <t>Current Stock Price</t>
  </si>
  <si>
    <t>Count</t>
  </si>
  <si>
    <t>NBR.N,mscalc:targetPrice,,,,USD</t>
  </si>
  <si>
    <t>NBR.N,mscalc:closePriceCurrencyCalc</t>
  </si>
  <si>
    <t>NBR.N,mscalc:sedolCodeCalc</t>
  </si>
  <si>
    <t>$F$2</t>
  </si>
  <si>
    <t>2963372</t>
  </si>
  <si>
    <t>2Q17</t>
  </si>
  <si>
    <t>9</t>
  </si>
  <si>
    <t>3Q17</t>
  </si>
  <si>
    <t>Active Int'l Rigs by Country (EOP)</t>
  </si>
  <si>
    <t>Total Rig Services Revenues</t>
  </si>
  <si>
    <t>Total Rig Services EBITDA</t>
  </si>
  <si>
    <t>NDS Segment</t>
  </si>
  <si>
    <t>Tesco Segment</t>
  </si>
  <si>
    <t>Implied CanRig/2TD Segment</t>
  </si>
  <si>
    <t>SANAD JV</t>
  </si>
  <si>
    <t>Active Rigs</t>
  </si>
  <si>
    <t>Margin/Day</t>
  </si>
  <si>
    <t>Margin ($mm)</t>
  </si>
  <si>
    <t>G&amp;A ($mm)</t>
  </si>
  <si>
    <t>D&amp;A ($mm)</t>
  </si>
  <si>
    <t>Tax Rate</t>
  </si>
  <si>
    <t>Rigs Contributed by NBR in Period</t>
  </si>
  <si>
    <t>Rigs Contributed by Aramco in Period</t>
  </si>
  <si>
    <t>Total Cumulative Rigs Contributed</t>
  </si>
  <si>
    <t>Assumed Book Value / Rig ($mm)</t>
  </si>
  <si>
    <t>Rig Value Contributed in Period</t>
  </si>
  <si>
    <t>Net Income ($mm)</t>
  </si>
  <si>
    <t>Minority Interest - Income Statement ($mm)</t>
  </si>
  <si>
    <t>Other Minority Interest (Legacy, $mm)</t>
  </si>
  <si>
    <t>Total Minority Interest on IS ($mm)</t>
  </si>
  <si>
    <t>PP&amp;E ($mm)</t>
  </si>
  <si>
    <t>Other Assets Contributed in Period ($mm)</t>
  </si>
  <si>
    <t>Cumulative Gross Asset Value ($mm)</t>
  </si>
  <si>
    <t>Less: Accum. Depr. ($mm)</t>
  </si>
  <si>
    <t>Net Assets ($mm)</t>
  </si>
  <si>
    <t>Retained Earnings ($mm)</t>
  </si>
  <si>
    <t>Net Book Value ($mm)</t>
  </si>
  <si>
    <t>Minority Interest ($mm)</t>
  </si>
  <si>
    <t>5.75% senior notes due Jan. 2025</t>
  </si>
  <si>
    <t>4Q17</t>
  </si>
  <si>
    <t>Redeemable NCI in Subsidiary (SANAD)</t>
  </si>
  <si>
    <t>Drilling Solutions</t>
  </si>
  <si>
    <t>Rig Technologies</t>
  </si>
  <si>
    <t>Research</t>
  </si>
  <si>
    <t>MSA85HBK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</si>
  <si>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</si>
  <si>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</si>
  <si>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</si>
  <si>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</si>
  <si>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</si>
  <si>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</si>
  <si>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</si>
  <si>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Connor Lynagh</t>
  </si>
  <si>
    <t>Date: 11 Apr 2018</t>
  </si>
  <si>
    <t>Ticker: NBR.N</t>
  </si>
  <si>
    <t>Stock Rating: Equal-Weight</t>
  </si>
  <si>
    <t>Industry: Oil Services, Drilling &amp; Equipment</t>
  </si>
  <si>
    <t>Industry View: In-Line</t>
  </si>
  <si>
    <t>Price as of 11 Apr 2018: 7.59</t>
  </si>
  <si>
    <t>Target Price: 9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</si>
  <si>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</si>
  <si>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</si>
  <si>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</si>
  <si>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</si>
  <si>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Nabors Industries Inc..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</si>
  <si>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</si>
  <si>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</si>
  <si>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</si>
  <si>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</si>
  <si>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</si>
  <si>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</si>
  <si>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</si>
  <si>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</si>
  <si>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</si>
  <si>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</si>
  <si>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</si>
  <si>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</si>
  <si>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</si>
  <si>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</si>
  <si>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</si>
  <si>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</si>
  <si>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</si>
  <si>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</si>
  <si>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</si>
  <si>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</si>
  <si>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</si>
  <si>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</si>
  <si>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</si>
  <si>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</si>
  <si>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</si>
  <si>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</si>
  <si>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</si>
  <si>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</si>
  <si>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</si>
  <si>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</si>
  <si>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</si>
  <si>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</si>
  <si>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</si>
  <si>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</si>
  <si>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</si>
  <si>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</si>
  <si>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</si>
  <si>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</si>
  <si>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</si>
  <si>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</si>
  <si>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</si>
  <si>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</si>
  <si>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</si>
  <si>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</si>
  <si>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</si>
  <si>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</si>
  <si>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</si>
  <si>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</si>
  <si>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</si>
  <si>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</si>
  <si>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</si>
  <si>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</si>
  <si>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</si>
  <si>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</si>
  <si>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</si>
  <si>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</si>
  <si>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</si>
  <si>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</si>
  <si>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</si>
  <si>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</si>
  <si>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</si>
  <si>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</si>
  <si>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</si>
  <si>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</si>
  <si>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</si>
  <si>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</si>
  <si>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</si>
  <si>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</si>
  <si>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</si>
  <si>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</si>
  <si>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</si>
  <si>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</si>
  <si>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</si>
  <si>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</si>
  <si>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</si>
  <si>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</si>
  <si>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</si>
  <si>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</si>
  <si>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</si>
  <si>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</si>
  <si>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</si>
  <si>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</si>
  <si>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</si>
  <si>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</si>
  <si>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</si>
  <si>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</si>
  <si>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</si>
  <si>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</si>
  <si>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</si>
  <si>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</si>
  <si>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</si>
  <si>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</si>
  <si>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</si>
  <si>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</si>
  <si>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</si>
  <si>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</si>
  <si>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</si>
  <si>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</si>
  <si>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</si>
  <si>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</si>
  <si>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</si>
  <si>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</si>
  <si>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</si>
  <si>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</si>
  <si>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</si>
  <si>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</si>
  <si>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</si>
  <si>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</si>
  <si>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</si>
  <si>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</si>
  <si>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</si>
  <si>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</si>
  <si>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</si>
  <si>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</si>
  <si>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</si>
  <si>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</si>
  <si>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</si>
  <si>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</si>
  <si>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</si>
  <si>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</si>
  <si>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</si>
  <si>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</si>
  <si>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</si>
  <si>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</si>
  <si>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</si>
  <si>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</si>
  <si>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</si>
  <si>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</si>
  <si>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</si>
  <si>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</si>
  <si>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</si>
  <si>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</si>
  <si>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</si>
  <si>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</si>
  <si>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</si>
  <si>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</si>
  <si>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</si>
  <si>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</si>
  <si>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</si>
  <si>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</si>
  <si>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</si>
  <si>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</si>
  <si>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</si>
  <si>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</si>
  <si>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</si>
  <si>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</si>
  <si>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</si>
  <si>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</si>
  <si>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</si>
  <si>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</si>
  <si>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</si>
  <si>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</si>
  <si>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</si>
  <si>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</si>
  <si>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</si>
  <si>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</si>
  <si>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</si>
  <si>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</si>
  <si>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</si>
  <si>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</si>
  <si>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</si>
  <si>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</si>
  <si>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</si>
  <si>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</si>
  <si>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</si>
  <si>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</si>
  <si>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</si>
  <si>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</si>
  <si>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</si>
  <si>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</si>
  <si>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</si>
  <si>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</si>
  <si>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</si>
  <si>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</si>
  <si>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</si>
  <si>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</si>
  <si>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</si>
  <si>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</si>
  <si>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</si>
  <si>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</si>
  <si>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</si>
  <si>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</si>
  <si>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</si>
  <si>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</si>
  <si>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</si>
  <si>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</si>
  <si>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</si>
  <si>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</si>
  <si>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</si>
  <si>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</si>
  <si>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</si>
  <si>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</si>
  <si>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</si>
  <si>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</si>
  <si>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</si>
  <si>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</si>
  <si>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</si>
  <si>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</si>
  <si>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</si>
  <si>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</si>
  <si>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</si>
  <si>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</si>
  <si>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</si>
  <si>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</si>
  <si>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</si>
  <si>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</si>
  <si>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</si>
  <si>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</si>
  <si>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</si>
  <si>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</si>
  <si>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</si>
  <si>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</si>
  <si>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</si>
  <si>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</si>
  <si>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</si>
  <si>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</si>
  <si>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</si>
  <si>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</si>
  <si>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</si>
  <si>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</si>
  <si>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</si>
  <si>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</si>
  <si>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</si>
  <si>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</si>
  <si>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</si>
  <si>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</si>
  <si>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</si>
  <si>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</si>
  <si>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</si>
  <si>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</si>
  <si>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</si>
  <si>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</si>
  <si>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</si>
  <si>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</si>
  <si>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</si>
  <si>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</si>
  <si>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</si>
  <si>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</si>
  <si>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</si>
  <si>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</si>
  <si>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</si>
  <si>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</si>
  <si>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</si>
  <si>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Nabors Industries Inc..</t>
  </si>
  <si>
    <t>Within the last 12 months, Morgan Stanley has provided or is providing investment banking services to,</t>
  </si>
  <si>
    <t>or has an investment banking client relationship with, the following company: Nabors Industries Inc..</t>
  </si>
  <si>
    <t>In the next 3 months, Morgan Stanley expects to receive or intends to seek compensation for investment</t>
  </si>
  <si>
    <t>banking services from Nabors Industries Inc..</t>
  </si>
  <si>
    <t>Within the last 12 months, Morgan Stanley has received compensation for investment banking services from</t>
  </si>
  <si>
    <t>Nabors Industries Inc..</t>
  </si>
  <si>
    <t>Within the last 12 months, Morgan Stanley managed or co-managed a public offering (or 144A offering) of</t>
  </si>
  <si>
    <t>securities of Nabors Industries Inc..</t>
  </si>
  <si>
    <t>As of March 29, 2018, Morgan Stanley beneficially owned 1% or more of a class of common equity</t>
  </si>
  <si>
    <t>securities of the following companies covered in Morgan Stanley Research: Nabors Industries Inc..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</si>
  <si>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</si>
  <si>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</si>
  <si>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</si>
  <si>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</si>
  <si>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</si>
  <si>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Connor Lynagh.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</si>
  <si>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</si>
  <si>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</si>
  <si>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</si>
  <si>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</si>
  <si>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</si>
  <si>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</si>
  <si>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</si>
  <si>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</si>
  <si>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</si>
  <si>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</si>
  <si>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</si>
  <si>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</si>
  <si>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</si>
  <si>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</si>
  <si>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</si>
  <si>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</si>
  <si>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</si>
  <si>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</si>
  <si>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</si>
  <si>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</si>
  <si>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</si>
  <si>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</si>
  <si>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</si>
  <si>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</si>
  <si>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</si>
  <si>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</si>
  <si>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</si>
  <si>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</si>
  <si>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</si>
  <si>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</si>
  <si>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</si>
  <si>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</si>
  <si>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</si>
  <si>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</si>
  <si>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</si>
  <si>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</si>
  <si>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</si>
  <si>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</si>
  <si>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</si>
  <si>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</si>
  <si>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</si>
  <si>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</si>
  <si>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</si>
  <si>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</si>
  <si>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</si>
  <si>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</si>
  <si>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</si>
  <si>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</si>
  <si>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</si>
  <si>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</si>
  <si>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</si>
  <si>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</si>
  <si>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</si>
  <si>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</si>
  <si>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</si>
  <si>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</si>
  <si>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</si>
  <si>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</si>
  <si>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</si>
  <si>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</si>
  <si>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</si>
  <si>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</si>
  <si>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</si>
  <si>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</si>
  <si>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</si>
  <si>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</si>
  <si>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</si>
  <si>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</si>
  <si>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</si>
  <si>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</si>
  <si>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Regular Update</t>
  </si>
  <si>
    <t>NorthAmerica</t>
  </si>
  <si>
    <t>ozierale</t>
  </si>
  <si>
    <t>G6359F103</t>
  </si>
  <si>
    <t>L:\ENERGY\Lynagh\Models\NBR.xlsm</t>
  </si>
  <si>
    <t>[BRO MSA]</t>
  </si>
  <si>
    <t>[PRODUCT MODEL]</t>
  </si>
  <si>
    <t>[EMAIL_ALERT YES]</t>
  </si>
  <si>
    <t>[DISCIPLINE Company]</t>
  </si>
  <si>
    <t>[SUPPRESSED NO]</t>
  </si>
  <si>
    <t>[DOCDAT 2018-04-11]</t>
  </si>
  <si>
    <t>[DOCTIME 11:10]</t>
  </si>
  <si>
    <t>[PSYM NBR.N(S&amp;P) (None)]</t>
  </si>
  <si>
    <t>[COU 1]</t>
  </si>
  <si>
    <t>[ANA ]</t>
  </si>
  <si>
    <t>[HL NBR.N Model]</t>
  </si>
  <si>
    <t>[IND OILWEL]</t>
  </si>
  <si>
    <t>[PANA MSA85HBK]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</si>
</sst>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_);\(#,##0\);&quot;-&quot;_);@_)"/>
    <numFmt numFmtId="165" formatCode="#,##0.0_);\(#,##0.0\);\–_)"/>
    <numFmt numFmtId="166" formatCode="[$-409]mmm\-yy;@"/>
    <numFmt numFmtId="167" formatCode="####"/>
    <numFmt numFmtId="168" formatCode="_(* #,##0.0_);_(* \(#,##0.0\);_(* &quot;-&quot;??_);_(@_)"/>
    <numFmt numFmtId="169" formatCode="#,##0.00_);\(#,##0.00\);\–_)"/>
    <numFmt numFmtId="170" formatCode="0.0%_);\(0.0%\);&quot;–&quot;_)"/>
    <numFmt numFmtId="171" formatCode="0.0\x_);\(0.0\x\);&quot;–&quot;_)"/>
    <numFmt numFmtId="172" formatCode="_(* #,##0_);_(* \(#,##0\);_(* &quot;-&quot;??_);_(@_)"/>
    <numFmt numFmtId="173" formatCode="#,##0_);\(#,##0\);\–_)"/>
    <numFmt numFmtId="174" formatCode="0.0%"/>
    <numFmt numFmtId="175" formatCode="#,##0.0_);\(#,##0.0\);&quot;-&quot;_);@_)"/>
    <numFmt numFmtId="176" formatCode="#,##0.0_);\(#,##0.0\);\–_);&quot;–&quot;_)"/>
    <numFmt numFmtId="177" formatCode="0%_);\(0%\);&quot;–&quot;_)"/>
    <numFmt numFmtId="180" formatCode="#,##0.000_);\(#,##0.000\)"/>
    <numFmt numFmtId="193" formatCode="#,##0.0000000000000_);\(#,##0.0000000000000\)"/>
    <numFmt numFmtId="194" formatCode="#,##0.000_);\(#,##0.000\);\–_)"/>
    <numFmt numFmtId="195" formatCode="#,##0.0000_);\(#,##0.0000\)"/>
    <numFmt numFmtId="196" formatCode="0.0%_);\(0.0%\);&quot;-&quot;"/>
    <numFmt numFmtId="197" formatCode="#,##0.0_);\(#,##0.0\);&quot;-&quot;"/>
    <numFmt numFmtId="198" formatCode="_ * #,##0_ ;_ * \-#,##0_ ;_ * &quot;-&quot;_ ;_ @_ "/>
    <numFmt numFmtId="204" formatCode="mm/dd/yy\ hh:mm"/>
  </numFmts>
  <fonts count="48"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u/>
      <sz val="8"/>
      <name val="Arial"/>
      <family val="2"/>
    </font>
    <font>
      <b/>
      <u/>
      <sz val="8"/>
      <name val="Arial"/>
      <family val="2"/>
    </font>
    <font>
      <sz val="8"/>
      <color theme="0" tint="-0.499984740745262"/>
      <name val="Arial"/>
      <family val="2"/>
    </font>
    <font>
      <sz val="8"/>
      <color rgb="FF008000"/>
      <name val="Arial"/>
      <family val="2"/>
    </font>
    <font>
      <sz val="8"/>
      <color rgb="FF137CB1"/>
      <name val="Arial"/>
      <family val="2"/>
    </font>
    <font>
      <sz val="5"/>
      <name val="Arial"/>
      <family val="2"/>
    </font>
    <font>
      <b/>
      <sz val="8"/>
      <color indexed="53"/>
      <name val="Arial"/>
      <family val="2"/>
    </font>
    <font>
      <b/>
      <sz val="8"/>
      <color indexed="12"/>
      <name val="Arial"/>
      <family val="2"/>
    </font>
    <font>
      <sz val="8"/>
      <color indexed="24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5"/>
      <color theme="1"/>
      <name val="Arial"/>
      <family val="2"/>
    </font>
    <font>
      <sz val="8"/>
      <color rgb="FFFF0000"/>
      <name val="Arial"/>
      <family val="2"/>
    </font>
    <font>
      <sz val="5"/>
      <color rgb="FF008000"/>
      <name val="Arial"/>
      <family val="2"/>
    </font>
    <font>
      <b/>
      <sz val="8"/>
      <color rgb="FF000000"/>
      <name val="Arial"/>
      <family val="2"/>
    </font>
    <font>
      <sz val="8"/>
      <color indexed="12"/>
      <name val="Arial"/>
      <family val="2"/>
    </font>
    <font>
      <sz val="8"/>
      <color indexed="8"/>
      <name val="Arial"/>
      <family val="2"/>
    </font>
    <font>
      <b/>
      <sz val="8"/>
      <color rgb="FF008000"/>
      <name val="Arial"/>
      <family val="2"/>
    </font>
    <font>
      <sz val="8"/>
      <color rgb="FF0070C0"/>
      <name val="Arial"/>
      <family val="2"/>
    </font>
    <font>
      <b/>
      <sz val="8"/>
      <color rgb="FF137CB1"/>
      <name val="Arial"/>
      <family val="2"/>
    </font>
    <font>
      <b/>
      <sz val="8"/>
      <color indexed="24"/>
      <name val="Arial"/>
      <family val="2"/>
    </font>
    <font>
      <sz val="8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8"/>
      <name val="Times New Roman"/>
      <family val="1"/>
    </font>
    <font>
      <b/>
      <sz val="5"/>
      <color theme="1"/>
      <name val="Arial"/>
      <family val="2"/>
    </font>
    <font>
      <b/>
      <sz val="10"/>
      <name val="Beatles"/>
      <charset val="162"/>
    </font>
    <font>
      <sz val="12"/>
      <name val="바탕체"/>
      <family val="1"/>
      <charset val="129"/>
    </font>
    <font>
      <sz val="10"/>
      <name val="Courier"/>
      <family val="3"/>
    </font>
    <font>
      <sz val="11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35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43" fontId="3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33" fillId="0" borderId="0"/>
    <xf numFmtId="0" fontId="4" fillId="6" borderId="0" applyNumberFormat="0" applyFont="0" applyBorder="0" applyAlignment="0" applyProtection="0"/>
    <xf numFmtId="44" fontId="33" fillId="0" borderId="0" applyFont="0" applyFill="0" applyBorder="0" applyAlignment="0" applyProtection="0"/>
    <xf numFmtId="0" fontId="33" fillId="0" borderId="0"/>
    <xf numFmtId="0" fontId="34" fillId="0" borderId="0"/>
    <xf numFmtId="0" fontId="34" fillId="0" borderId="0"/>
    <xf numFmtId="0" fontId="35" fillId="0" borderId="0"/>
    <xf numFmtId="0" fontId="36" fillId="0" borderId="0">
      <alignment vertical="center"/>
    </xf>
    <xf numFmtId="0" fontId="37" fillId="0" borderId="0"/>
    <xf numFmtId="0" fontId="37" fillId="0" borderId="5">
      <alignment horizontal="centerContinuous"/>
    </xf>
    <xf numFmtId="0" fontId="38" fillId="0" borderId="5"/>
    <xf numFmtId="0" fontId="4" fillId="0" borderId="0"/>
    <xf numFmtId="44" fontId="4" fillId="0" borderId="0" applyFont="0" applyFill="0" applyBorder="0" applyAlignment="0" applyProtection="0"/>
    <xf numFmtId="0" fontId="41" fillId="0" borderId="0" applyNumberForma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 applyNumberFormat="0" applyFill="0" applyBorder="0" applyAlignment="0" applyProtection="0"/>
    <xf numFmtId="9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197" fontId="6" fillId="0" borderId="2"/>
    <xf numFmtId="198" fontId="42" fillId="0" borderId="0" applyFont="0" applyFill="0" applyBorder="0" applyAlignment="0" applyProtection="0"/>
    <xf numFmtId="0" fontId="4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3" fillId="0" borderId="0"/>
  </cellStyleXfs>
  <cellXfs count="314">
    <xf numFmtId="0" fontId="0" fillId="0" borderId="0" xfId="0"/>
    <xf numFmtId="49" fontId="5" fillId="0" borderId="0" xfId="1" applyNumberFormat="1" applyFont="1" applyFill="1" applyAlignment="1">
      <alignment horizontal="left"/>
    </xf>
    <xf numFmtId="49" fontId="6" fillId="0" borderId="0" xfId="1" applyNumberFormat="1" applyFont="1" applyFill="1" applyAlignment="1">
      <alignment horizontal="left"/>
    </xf>
    <xf numFmtId="0" fontId="7" fillId="0" borderId="0" xfId="1" applyNumberFormat="1" applyFont="1" applyFill="1" applyAlignment="1">
      <alignment horizontal="left"/>
    </xf>
    <xf numFmtId="49" fontId="8" fillId="0" borderId="1" xfId="1" applyNumberFormat="1" applyFont="1" applyFill="1" applyBorder="1" applyAlignment="1">
      <alignment horizontal="left"/>
    </xf>
    <xf numFmtId="49" fontId="8" fillId="0" borderId="0" xfId="3" applyNumberFormat="1" applyFont="1" applyFill="1" applyAlignment="1">
      <alignment horizontal="left" indent="2"/>
    </xf>
    <xf numFmtId="49" fontId="8" fillId="0" borderId="2" xfId="3" applyNumberFormat="1" applyFont="1" applyFill="1" applyBorder="1" applyAlignment="1">
      <alignment horizontal="left" indent="1"/>
    </xf>
    <xf numFmtId="49" fontId="8" fillId="0" borderId="0" xfId="3" applyNumberFormat="1" applyFont="1" applyFill="1" applyAlignment="1">
      <alignment horizontal="left" indent="1"/>
    </xf>
    <xf numFmtId="49" fontId="6" fillId="0" borderId="2" xfId="3" applyNumberFormat="1" applyFont="1" applyFill="1" applyBorder="1" applyAlignment="1"/>
    <xf numFmtId="49" fontId="6" fillId="0" borderId="0" xfId="3" applyNumberFormat="1" applyFont="1" applyFill="1" applyAlignment="1"/>
    <xf numFmtId="49" fontId="8" fillId="0" borderId="0" xfId="1" applyNumberFormat="1" applyFont="1" applyFill="1" applyAlignment="1">
      <alignment horizontal="left" indent="1"/>
    </xf>
    <xf numFmtId="49" fontId="8" fillId="0" borderId="0" xfId="1" applyNumberFormat="1" applyFont="1" applyFill="1" applyAlignment="1">
      <alignment horizontal="left"/>
    </xf>
    <xf numFmtId="49" fontId="8" fillId="0" borderId="0" xfId="1" applyNumberFormat="1" applyFont="1" applyFill="1" applyBorder="1" applyAlignment="1">
      <alignment horizontal="left" indent="1"/>
    </xf>
    <xf numFmtId="49" fontId="8" fillId="0" borderId="0" xfId="3" applyNumberFormat="1" applyFont="1" applyFill="1" applyBorder="1" applyAlignment="1">
      <alignment horizontal="left" indent="1"/>
    </xf>
    <xf numFmtId="49" fontId="6" fillId="0" borderId="0" xfId="3" applyNumberFormat="1" applyFont="1" applyFill="1" applyBorder="1" applyAlignment="1">
      <alignment horizontal="left"/>
    </xf>
    <xf numFmtId="49" fontId="8" fillId="0" borderId="0" xfId="3" applyNumberFormat="1" applyFont="1" applyFill="1" applyBorder="1" applyAlignment="1">
      <alignment horizontal="left"/>
    </xf>
    <xf numFmtId="49" fontId="6" fillId="0" borderId="1" xfId="1" applyNumberFormat="1" applyFont="1" applyFill="1" applyBorder="1" applyAlignment="1">
      <alignment horizontal="left"/>
    </xf>
    <xf numFmtId="49" fontId="8" fillId="0" borderId="0" xfId="4" applyNumberFormat="1" applyFont="1" applyFill="1" applyBorder="1" applyAlignment="1">
      <alignment horizontal="left" indent="1"/>
    </xf>
    <xf numFmtId="164" fontId="8" fillId="0" borderId="0" xfId="4" applyNumberFormat="1" applyFont="1" applyFill="1" applyBorder="1" applyAlignment="1">
      <alignment horizontal="left" indent="1"/>
    </xf>
    <xf numFmtId="49" fontId="6" fillId="0" borderId="0" xfId="3" applyNumberFormat="1" applyFont="1" applyFill="1" applyBorder="1"/>
    <xf numFmtId="49" fontId="10" fillId="0" borderId="0" xfId="3" applyNumberFormat="1" applyFont="1" applyFill="1" applyBorder="1"/>
    <xf numFmtId="49" fontId="6" fillId="0" borderId="0" xfId="3" applyNumberFormat="1" applyFont="1" applyFill="1" applyBorder="1" applyAlignment="1">
      <alignment horizontal="left" indent="1"/>
    </xf>
    <xf numFmtId="49" fontId="6" fillId="0" borderId="0" xfId="1" applyNumberFormat="1" applyFont="1" applyFill="1" applyBorder="1" applyAlignment="1">
      <alignment horizontal="left" indent="1"/>
    </xf>
    <xf numFmtId="49" fontId="8" fillId="0" borderId="0" xfId="1" applyNumberFormat="1" applyFont="1" applyFill="1" applyBorder="1" applyAlignment="1">
      <alignment horizontal="left" indent="2"/>
    </xf>
    <xf numFmtId="49" fontId="11" fillId="0" borderId="0" xfId="1" applyNumberFormat="1" applyFont="1" applyFill="1" applyAlignment="1">
      <alignment horizontal="left"/>
    </xf>
    <xf numFmtId="49" fontId="8" fillId="0" borderId="0" xfId="1" applyNumberFormat="1" applyFont="1" applyFill="1" applyAlignment="1">
      <alignment horizontal="left" indent="2"/>
    </xf>
    <xf numFmtId="49" fontId="8" fillId="0" borderId="0" xfId="1" applyNumberFormat="1" applyFont="1" applyFill="1" applyAlignment="1">
      <alignment horizontal="left" indent="3"/>
    </xf>
    <xf numFmtId="49" fontId="8" fillId="0" borderId="0" xfId="1" applyNumberFormat="1" applyFont="1" applyFill="1" applyAlignment="1"/>
    <xf numFmtId="0" fontId="4" fillId="0" borderId="0" xfId="3" applyFont="1" applyBorder="1" applyAlignment="1">
      <alignment horizontal="left" indent="1"/>
    </xf>
    <xf numFmtId="0" fontId="0" fillId="0" borderId="0" xfId="3" applyFont="1" applyBorder="1" applyAlignment="1">
      <alignment horizontal="left" indent="1"/>
    </xf>
    <xf numFmtId="0" fontId="10" fillId="0" borderId="0" xfId="5" applyFont="1" applyAlignment="1">
      <alignment horizontal="left" indent="1"/>
    </xf>
    <xf numFmtId="0" fontId="8" fillId="0" borderId="0" xfId="5" applyFont="1" applyAlignment="1">
      <alignment horizontal="left" indent="2"/>
    </xf>
    <xf numFmtId="0" fontId="6" fillId="0" borderId="2" xfId="5" applyFont="1" applyBorder="1" applyAlignment="1">
      <alignment horizontal="left" indent="1"/>
    </xf>
    <xf numFmtId="0" fontId="8" fillId="0" borderId="0" xfId="5" applyFont="1" applyBorder="1" applyAlignment="1">
      <alignment horizontal="left" indent="1"/>
    </xf>
    <xf numFmtId="0" fontId="9" fillId="0" borderId="0" xfId="5" applyFont="1" applyBorder="1" applyAlignment="1">
      <alignment horizontal="left" indent="1"/>
    </xf>
    <xf numFmtId="0" fontId="12" fillId="0" borderId="0" xfId="5" applyFont="1" applyAlignment="1">
      <alignment horizontal="left" indent="1"/>
    </xf>
    <xf numFmtId="0" fontId="6" fillId="0" borderId="0" xfId="5" applyFont="1" applyAlignment="1">
      <alignment horizontal="left" indent="1"/>
    </xf>
    <xf numFmtId="0" fontId="8" fillId="0" borderId="0" xfId="5" applyFont="1" applyAlignment="1">
      <alignment horizontal="left" indent="1"/>
    </xf>
    <xf numFmtId="0" fontId="6" fillId="0" borderId="2" xfId="5" applyFont="1" applyBorder="1" applyAlignment="1">
      <alignment horizontal="left" indent="2"/>
    </xf>
    <xf numFmtId="49" fontId="10" fillId="0" borderId="0" xfId="3" applyNumberFormat="1" applyFont="1" applyFill="1" applyBorder="1" applyAlignment="1">
      <alignment horizontal="left" indent="1"/>
    </xf>
    <xf numFmtId="49" fontId="8" fillId="0" borderId="0" xfId="3" applyNumberFormat="1" applyFont="1" applyFill="1" applyBorder="1" applyAlignment="1">
      <alignment horizontal="left" indent="2"/>
    </xf>
    <xf numFmtId="49" fontId="13" fillId="0" borderId="0" xfId="1" applyNumberFormat="1" applyFont="1" applyFill="1" applyAlignment="1">
      <alignment horizontal="left" indent="1"/>
    </xf>
    <xf numFmtId="49" fontId="13" fillId="0" borderId="0" xfId="1" applyNumberFormat="1" applyFont="1" applyFill="1" applyBorder="1" applyAlignment="1">
      <alignment horizontal="left" indent="1"/>
    </xf>
    <xf numFmtId="49" fontId="7" fillId="0" borderId="0" xfId="3" applyNumberFormat="1" applyFont="1" applyFill="1" applyBorder="1" applyAlignment="1">
      <alignment horizontal="left"/>
    </xf>
    <xf numFmtId="49" fontId="8" fillId="0" borderId="0" xfId="3" applyNumberFormat="1" applyFont="1" applyFill="1" applyBorder="1"/>
    <xf numFmtId="0" fontId="6" fillId="0" borderId="0" xfId="3" applyNumberFormat="1" applyFont="1" applyFill="1" applyBorder="1" applyAlignment="1">
      <alignment horizontal="left" vertical="center"/>
    </xf>
    <xf numFmtId="0" fontId="8" fillId="0" borderId="0" xfId="3" applyNumberFormat="1" applyFont="1" applyFill="1" applyBorder="1" applyAlignment="1">
      <alignment horizontal="left" vertical="center"/>
    </xf>
    <xf numFmtId="49" fontId="8" fillId="0" borderId="0" xfId="4" applyNumberFormat="1" applyFont="1" applyFill="1" applyBorder="1" applyAlignment="1">
      <alignment horizontal="left"/>
    </xf>
    <xf numFmtId="49" fontId="8" fillId="0" borderId="0" xfId="3" applyNumberFormat="1" applyFont="1" applyFill="1" applyAlignment="1"/>
    <xf numFmtId="0" fontId="0" fillId="0" borderId="0" xfId="0" applyFont="1"/>
    <xf numFmtId="165" fontId="0" fillId="0" borderId="0" xfId="0" applyNumberFormat="1"/>
    <xf numFmtId="165" fontId="14" fillId="0" borderId="0" xfId="0" applyNumberFormat="1" applyFont="1"/>
    <xf numFmtId="165" fontId="0" fillId="0" borderId="2" xfId="0" applyNumberFormat="1" applyBorder="1"/>
    <xf numFmtId="0" fontId="8" fillId="0" borderId="0" xfId="0" applyFont="1"/>
    <xf numFmtId="0" fontId="15" fillId="0" borderId="0" xfId="3" applyFont="1"/>
    <xf numFmtId="167" fontId="16" fillId="0" borderId="0" xfId="3" applyNumberFormat="1" applyFont="1" applyBorder="1" applyAlignment="1">
      <alignment horizontal="right"/>
    </xf>
    <xf numFmtId="0" fontId="17" fillId="0" borderId="1" xfId="3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49" fontId="8" fillId="2" borderId="0" xfId="3" applyNumberFormat="1" applyFont="1" applyFill="1" applyBorder="1" applyAlignment="1">
      <alignment vertical="center"/>
    </xf>
    <xf numFmtId="166" fontId="8" fillId="2" borderId="0" xfId="3" applyNumberFormat="1" applyFont="1" applyFill="1" applyBorder="1" applyAlignment="1">
      <alignment horizontal="right"/>
    </xf>
    <xf numFmtId="0" fontId="8" fillId="2" borderId="0" xfId="0" applyFont="1" applyFill="1"/>
    <xf numFmtId="0" fontId="8" fillId="2" borderId="0" xfId="0" applyNumberFormat="1" applyFont="1" applyFill="1"/>
    <xf numFmtId="0" fontId="8" fillId="2" borderId="0" xfId="3" applyFont="1" applyFill="1"/>
    <xf numFmtId="165" fontId="3" fillId="0" borderId="2" xfId="0" applyNumberFormat="1" applyFont="1" applyBorder="1"/>
    <xf numFmtId="168" fontId="18" fillId="0" borderId="0" xfId="4" applyNumberFormat="1" applyFont="1" applyFill="1"/>
    <xf numFmtId="168" fontId="18" fillId="0" borderId="0" xfId="4" applyNumberFormat="1" applyFont="1" applyFill="1" applyBorder="1"/>
    <xf numFmtId="165" fontId="14" fillId="3" borderId="0" xfId="0" applyNumberFormat="1" applyFont="1" applyFill="1"/>
    <xf numFmtId="49" fontId="8" fillId="0" borderId="2" xfId="3" applyNumberFormat="1" applyFont="1" applyFill="1" applyBorder="1" applyAlignment="1"/>
    <xf numFmtId="165" fontId="0" fillId="0" borderId="2" xfId="0" applyNumberFormat="1" applyFont="1" applyBorder="1"/>
    <xf numFmtId="169" fontId="0" fillId="0" borderId="0" xfId="0" applyNumberFormat="1"/>
    <xf numFmtId="169" fontId="3" fillId="0" borderId="0" xfId="0" applyNumberFormat="1" applyFont="1"/>
    <xf numFmtId="169" fontId="14" fillId="0" borderId="0" xfId="4" applyNumberFormat="1" applyFont="1" applyFill="1" applyBorder="1"/>
    <xf numFmtId="0" fontId="21" fillId="0" borderId="0" xfId="0" applyFont="1"/>
    <xf numFmtId="0" fontId="15" fillId="0" borderId="0" xfId="0" applyFont="1"/>
    <xf numFmtId="49" fontId="8" fillId="0" borderId="0" xfId="3" applyNumberFormat="1" applyFont="1" applyFill="1" applyBorder="1" applyAlignment="1">
      <alignment horizontal="left" vertical="center" indent="2"/>
    </xf>
    <xf numFmtId="49" fontId="10" fillId="0" borderId="0" xfId="1" applyNumberFormat="1" applyFont="1" applyFill="1" applyBorder="1" applyAlignment="1">
      <alignment horizontal="left" indent="1"/>
    </xf>
    <xf numFmtId="0" fontId="8" fillId="0" borderId="0" xfId="3" applyFont="1" applyFill="1" applyAlignment="1">
      <alignment horizontal="left" indent="1"/>
    </xf>
    <xf numFmtId="165" fontId="14" fillId="0" borderId="2" xfId="0" applyNumberFormat="1" applyFont="1" applyBorder="1"/>
    <xf numFmtId="49" fontId="8" fillId="0" borderId="2" xfId="3" applyNumberFormat="1" applyFont="1" applyFill="1" applyBorder="1" applyAlignment="1">
      <alignment horizontal="left" vertical="center"/>
    </xf>
    <xf numFmtId="49" fontId="6" fillId="0" borderId="2" xfId="1" applyNumberFormat="1" applyFont="1" applyFill="1" applyBorder="1"/>
    <xf numFmtId="0" fontId="3" fillId="0" borderId="0" xfId="0" applyFont="1"/>
    <xf numFmtId="49" fontId="8" fillId="0" borderId="2" xfId="1" applyNumberFormat="1" applyFont="1" applyFill="1" applyBorder="1"/>
    <xf numFmtId="168" fontId="18" fillId="0" borderId="3" xfId="4" applyNumberFormat="1" applyFont="1" applyFill="1" applyBorder="1"/>
    <xf numFmtId="49" fontId="13" fillId="0" borderId="0" xfId="1" applyNumberFormat="1" applyFont="1" applyFill="1" applyAlignment="1">
      <alignment horizontal="left" indent="2"/>
    </xf>
    <xf numFmtId="49" fontId="6" fillId="0" borderId="2" xfId="1" applyNumberFormat="1" applyFont="1" applyFill="1" applyBorder="1" applyAlignment="1">
      <alignment horizontal="left"/>
    </xf>
    <xf numFmtId="168" fontId="18" fillId="0" borderId="0" xfId="1" applyNumberFormat="1" applyFont="1" applyFill="1"/>
    <xf numFmtId="165" fontId="13" fillId="0" borderId="0" xfId="0" applyNumberFormat="1" applyFont="1"/>
    <xf numFmtId="0" fontId="23" fillId="0" borderId="0" xfId="0" applyFont="1"/>
    <xf numFmtId="0" fontId="13" fillId="0" borderId="0" xfId="0" applyFont="1"/>
    <xf numFmtId="168" fontId="13" fillId="0" borderId="0" xfId="1" applyNumberFormat="1" applyFont="1" applyFill="1"/>
    <xf numFmtId="165" fontId="24" fillId="0" borderId="2" xfId="0" applyNumberFormat="1" applyFont="1" applyBorder="1"/>
    <xf numFmtId="165" fontId="22" fillId="0" borderId="0" xfId="0" applyNumberFormat="1" applyFont="1"/>
    <xf numFmtId="170" fontId="0" fillId="0" borderId="0" xfId="0" applyNumberFormat="1"/>
    <xf numFmtId="170" fontId="0" fillId="0" borderId="0" xfId="0" applyNumberFormat="1" applyFont="1"/>
    <xf numFmtId="171" fontId="0" fillId="0" borderId="0" xfId="0" applyNumberFormat="1"/>
    <xf numFmtId="165" fontId="0" fillId="0" borderId="0" xfId="0" applyNumberFormat="1" applyFill="1"/>
    <xf numFmtId="165" fontId="14" fillId="0" borderId="0" xfId="0" applyNumberFormat="1" applyFont="1" applyFill="1"/>
    <xf numFmtId="49" fontId="8" fillId="0" borderId="0" xfId="2" applyNumberFormat="1" applyFont="1" applyFill="1" applyBorder="1" applyAlignment="1">
      <alignment horizontal="left" indent="1"/>
    </xf>
    <xf numFmtId="172" fontId="8" fillId="0" borderId="0" xfId="4" applyNumberFormat="1" applyFont="1" applyFill="1" applyBorder="1"/>
    <xf numFmtId="172" fontId="14" fillId="0" borderId="0" xfId="4" applyNumberFormat="1" applyFont="1" applyFill="1" applyBorder="1"/>
    <xf numFmtId="172" fontId="18" fillId="4" borderId="0" xfId="4" applyNumberFormat="1" applyFont="1" applyFill="1" applyBorder="1"/>
    <xf numFmtId="172" fontId="0" fillId="0" borderId="0" xfId="0" applyNumberFormat="1"/>
    <xf numFmtId="173" fontId="0" fillId="0" borderId="0" xfId="0" applyNumberFormat="1"/>
    <xf numFmtId="165" fontId="14" fillId="0" borderId="0" xfId="4" applyNumberFormat="1" applyFont="1" applyFill="1" applyBorder="1"/>
    <xf numFmtId="165" fontId="25" fillId="0" borderId="0" xfId="4" applyNumberFormat="1" applyFont="1" applyFill="1" applyBorder="1"/>
    <xf numFmtId="173" fontId="14" fillId="0" borderId="0" xfId="4" applyNumberFormat="1" applyFont="1" applyFill="1" applyBorder="1"/>
    <xf numFmtId="173" fontId="14" fillId="3" borderId="0" xfId="4" applyNumberFormat="1" applyFont="1" applyFill="1" applyBorder="1"/>
    <xf numFmtId="173" fontId="25" fillId="0" borderId="0" xfId="4" applyNumberFormat="1" applyFont="1" applyFill="1" applyBorder="1"/>
    <xf numFmtId="173" fontId="14" fillId="0" borderId="0" xfId="0" applyNumberFormat="1" applyFont="1"/>
    <xf numFmtId="168" fontId="25" fillId="0" borderId="0" xfId="4" applyNumberFormat="1" applyFont="1" applyFill="1" applyBorder="1"/>
    <xf numFmtId="168" fontId="8" fillId="0" borderId="0" xfId="4" applyNumberFormat="1" applyFont="1" applyFill="1" applyBorder="1"/>
    <xf numFmtId="168" fontId="13" fillId="0" borderId="0" xfId="4" applyNumberFormat="1" applyFont="1" applyFill="1" applyBorder="1"/>
    <xf numFmtId="165" fontId="8" fillId="0" borderId="0" xfId="4" applyNumberFormat="1" applyFont="1" applyFill="1" applyBorder="1"/>
    <xf numFmtId="165" fontId="25" fillId="0" borderId="0" xfId="4" applyNumberFormat="1" applyFont="1" applyFill="1"/>
    <xf numFmtId="165" fontId="26" fillId="0" borderId="0" xfId="4" applyNumberFormat="1" applyFont="1" applyFill="1"/>
    <xf numFmtId="165" fontId="14" fillId="0" borderId="0" xfId="4" applyNumberFormat="1" applyFont="1" applyFill="1"/>
    <xf numFmtId="0" fontId="0" fillId="3" borderId="0" xfId="0" applyFill="1"/>
    <xf numFmtId="168" fontId="13" fillId="0" borderId="2" xfId="0" applyNumberFormat="1" applyFont="1" applyBorder="1"/>
    <xf numFmtId="164" fontId="14" fillId="0" borderId="0" xfId="4" applyNumberFormat="1" applyFont="1" applyFill="1" applyBorder="1"/>
    <xf numFmtId="173" fontId="8" fillId="0" borderId="0" xfId="5" applyNumberFormat="1" applyFont="1"/>
    <xf numFmtId="173" fontId="13" fillId="0" borderId="0" xfId="5" applyNumberFormat="1" applyFont="1"/>
    <xf numFmtId="173" fontId="14" fillId="4" borderId="0" xfId="4" applyNumberFormat="1" applyFont="1" applyFill="1"/>
    <xf numFmtId="173" fontId="27" fillId="0" borderId="2" xfId="5" applyNumberFormat="1" applyFont="1" applyBorder="1"/>
    <xf numFmtId="173" fontId="6" fillId="0" borderId="2" xfId="5" applyNumberFormat="1" applyFont="1" applyBorder="1"/>
    <xf numFmtId="173" fontId="13" fillId="0" borderId="0" xfId="5" applyNumberFormat="1" applyFont="1" applyBorder="1"/>
    <xf numFmtId="170" fontId="8" fillId="0" borderId="0" xfId="5" applyNumberFormat="1" applyFont="1" applyBorder="1"/>
    <xf numFmtId="0" fontId="6" fillId="0" borderId="0" xfId="5" applyFont="1" applyBorder="1"/>
    <xf numFmtId="174" fontId="6" fillId="0" borderId="0" xfId="5" applyNumberFormat="1" applyFont="1" applyBorder="1"/>
    <xf numFmtId="1" fontId="6" fillId="0" borderId="0" xfId="5" applyNumberFormat="1" applyFont="1" applyBorder="1"/>
    <xf numFmtId="164" fontId="6" fillId="0" borderId="0" xfId="5" applyNumberFormat="1" applyFont="1" applyBorder="1"/>
    <xf numFmtId="172" fontId="12" fillId="0" borderId="0" xfId="4" applyNumberFormat="1" applyFont="1" applyFill="1"/>
    <xf numFmtId="172" fontId="8" fillId="0" borderId="0" xfId="5" applyNumberFormat="1" applyFont="1"/>
    <xf numFmtId="1" fontId="8" fillId="0" borderId="0" xfId="5" applyNumberFormat="1" applyFont="1"/>
    <xf numFmtId="1" fontId="28" fillId="0" borderId="0" xfId="5" applyNumberFormat="1" applyFont="1"/>
    <xf numFmtId="170" fontId="28" fillId="0" borderId="0" xfId="5" applyNumberFormat="1" applyFont="1"/>
    <xf numFmtId="1" fontId="28" fillId="0" borderId="0" xfId="5" applyNumberFormat="1" applyFont="1" applyFill="1"/>
    <xf numFmtId="37" fontId="14" fillId="0" borderId="0" xfId="5" applyNumberFormat="1" applyFont="1"/>
    <xf numFmtId="37" fontId="14" fillId="0" borderId="0" xfId="5" applyNumberFormat="1" applyFont="1" applyFill="1"/>
    <xf numFmtId="37" fontId="14" fillId="4" borderId="0" xfId="5" applyNumberFormat="1" applyFont="1" applyFill="1"/>
    <xf numFmtId="172" fontId="17" fillId="0" borderId="0" xfId="4" applyNumberFormat="1" applyFont="1" applyFill="1"/>
    <xf numFmtId="172" fontId="17" fillId="0" borderId="0" xfId="4" applyNumberFormat="1" applyFont="1" applyFill="1" applyBorder="1"/>
    <xf numFmtId="172" fontId="29" fillId="0" borderId="0" xfId="4" applyNumberFormat="1" applyFont="1" applyFill="1" applyBorder="1"/>
    <xf numFmtId="37" fontId="6" fillId="0" borderId="0" xfId="5" applyNumberFormat="1" applyFont="1"/>
    <xf numFmtId="165" fontId="6" fillId="0" borderId="0" xfId="5" applyNumberFormat="1" applyFont="1"/>
    <xf numFmtId="165" fontId="8" fillId="3" borderId="0" xfId="5" applyNumberFormat="1" applyFont="1" applyFill="1"/>
    <xf numFmtId="165" fontId="8" fillId="3" borderId="0" xfId="5" applyNumberFormat="1" applyFont="1" applyFill="1" applyBorder="1"/>
    <xf numFmtId="165" fontId="8" fillId="0" borderId="0" xfId="5" applyNumberFormat="1" applyFont="1" applyBorder="1"/>
    <xf numFmtId="165" fontId="8" fillId="0" borderId="0" xfId="5" applyNumberFormat="1" applyFont="1"/>
    <xf numFmtId="165" fontId="14" fillId="3" borderId="0" xfId="5" applyNumberFormat="1" applyFont="1" applyFill="1"/>
    <xf numFmtId="165" fontId="14" fillId="0" borderId="0" xfId="5" applyNumberFormat="1" applyFont="1"/>
    <xf numFmtId="165" fontId="14" fillId="4" borderId="0" xfId="5" applyNumberFormat="1" applyFont="1" applyFill="1"/>
    <xf numFmtId="165" fontId="6" fillId="0" borderId="2" xfId="5" applyNumberFormat="1" applyFont="1" applyBorder="1"/>
    <xf numFmtId="165" fontId="13" fillId="0" borderId="0" xfId="5" applyNumberFormat="1" applyFont="1"/>
    <xf numFmtId="165" fontId="8" fillId="0" borderId="0" xfId="5" applyNumberFormat="1" applyFont="1" applyFill="1"/>
    <xf numFmtId="1" fontId="13" fillId="0" borderId="0" xfId="5" applyNumberFormat="1" applyFont="1"/>
    <xf numFmtId="172" fontId="14" fillId="4" borderId="0" xfId="4" applyNumberFormat="1" applyFont="1" applyFill="1"/>
    <xf numFmtId="173" fontId="28" fillId="4" borderId="0" xfId="5" applyNumberFormat="1" applyFont="1" applyFill="1"/>
    <xf numFmtId="173" fontId="8" fillId="0" borderId="0" xfId="5" applyNumberFormat="1" applyFont="1" applyFill="1"/>
    <xf numFmtId="165" fontId="8" fillId="0" borderId="0" xfId="5" applyNumberFormat="1" applyFont="1" applyFill="1" applyBorder="1"/>
    <xf numFmtId="168" fontId="8" fillId="0" borderId="2" xfId="4" applyNumberFormat="1" applyFont="1" applyFill="1" applyBorder="1"/>
    <xf numFmtId="165" fontId="13" fillId="3" borderId="0" xfId="4" applyNumberFormat="1" applyFont="1" applyFill="1" applyBorder="1"/>
    <xf numFmtId="172" fontId="13" fillId="3" borderId="0" xfId="0" applyNumberFormat="1" applyFont="1" applyFill="1"/>
    <xf numFmtId="173" fontId="13" fillId="3" borderId="0" xfId="0" applyNumberFormat="1" applyFont="1" applyFill="1"/>
    <xf numFmtId="174" fontId="8" fillId="0" borderId="0" xfId="2" applyNumberFormat="1" applyFont="1" applyFill="1"/>
    <xf numFmtId="168" fontId="13" fillId="0" borderId="2" xfId="4" applyNumberFormat="1" applyFont="1" applyFill="1" applyBorder="1"/>
    <xf numFmtId="165" fontId="14" fillId="0" borderId="2" xfId="4" applyNumberFormat="1" applyFont="1" applyFill="1" applyBorder="1"/>
    <xf numFmtId="172" fontId="8" fillId="0" borderId="1" xfId="4" applyNumberFormat="1" applyFont="1" applyFill="1" applyBorder="1"/>
    <xf numFmtId="172" fontId="25" fillId="0" borderId="2" xfId="4" applyNumberFormat="1" applyFont="1" applyFill="1" applyBorder="1"/>
    <xf numFmtId="164" fontId="18" fillId="4" borderId="0" xfId="2" applyNumberFormat="1" applyFont="1" applyFill="1"/>
    <xf numFmtId="172" fontId="13" fillId="0" borderId="0" xfId="4" applyNumberFormat="1" applyFont="1" applyFill="1" applyBorder="1"/>
    <xf numFmtId="172" fontId="13" fillId="0" borderId="1" xfId="4" applyNumberFormat="1" applyFont="1" applyFill="1" applyBorder="1"/>
    <xf numFmtId="164" fontId="25" fillId="0" borderId="2" xfId="4" applyNumberFormat="1" applyFont="1" applyFill="1" applyBorder="1"/>
    <xf numFmtId="164" fontId="8" fillId="0" borderId="0" xfId="2" applyNumberFormat="1" applyFont="1" applyFill="1"/>
    <xf numFmtId="164" fontId="13" fillId="0" borderId="0" xfId="0" applyNumberFormat="1" applyFont="1"/>
    <xf numFmtId="164" fontId="8" fillId="0" borderId="2" xfId="4" applyNumberFormat="1" applyFont="1" applyFill="1" applyBorder="1"/>
    <xf numFmtId="170" fontId="25" fillId="4" borderId="0" xfId="2" applyNumberFormat="1" applyFont="1" applyFill="1"/>
    <xf numFmtId="168" fontId="0" fillId="0" borderId="0" xfId="0" applyNumberFormat="1"/>
    <xf numFmtId="168" fontId="30" fillId="0" borderId="0" xfId="4" applyNumberFormat="1" applyFont="1" applyFill="1"/>
    <xf numFmtId="168" fontId="14" fillId="0" borderId="0" xfId="4" applyNumberFormat="1" applyFont="1" applyFill="1"/>
    <xf numFmtId="168" fontId="29" fillId="0" borderId="0" xfId="4" applyNumberFormat="1" applyFont="1" applyFill="1"/>
    <xf numFmtId="170" fontId="0" fillId="0" borderId="0" xfId="0" applyNumberFormat="1" applyFont="1" applyAlignment="1">
      <alignment horizontal="right"/>
    </xf>
    <xf numFmtId="170" fontId="14" fillId="0" borderId="0" xfId="0" applyNumberFormat="1" applyFont="1"/>
    <xf numFmtId="169" fontId="14" fillId="0" borderId="0" xfId="0" applyNumberFormat="1" applyFont="1" applyFill="1"/>
    <xf numFmtId="168" fontId="8" fillId="0" borderId="0" xfId="4" applyNumberFormat="1" applyFont="1" applyFill="1"/>
    <xf numFmtId="168" fontId="0" fillId="0" borderId="0" xfId="0" applyNumberFormat="1" applyFill="1"/>
    <xf numFmtId="165" fontId="3" fillId="0" borderId="0" xfId="0" applyNumberFormat="1" applyFont="1"/>
    <xf numFmtId="165" fontId="3" fillId="0" borderId="0" xfId="0" applyNumberFormat="1" applyFont="1" applyFill="1"/>
    <xf numFmtId="0" fontId="8" fillId="0" borderId="2" xfId="5" applyFont="1" applyBorder="1" applyAlignment="1">
      <alignment horizontal="left" indent="1"/>
    </xf>
    <xf numFmtId="172" fontId="8" fillId="0" borderId="2" xfId="5" applyNumberFormat="1" applyFont="1" applyBorder="1"/>
    <xf numFmtId="49" fontId="8" fillId="0" borderId="2" xfId="1" applyNumberFormat="1" applyFont="1" applyFill="1" applyBorder="1" applyAlignment="1">
      <alignment horizontal="left" indent="1"/>
    </xf>
    <xf numFmtId="49" fontId="10" fillId="0" borderId="0" xfId="1" applyNumberFormat="1" applyFont="1" applyFill="1" applyAlignment="1">
      <alignment horizontal="left"/>
    </xf>
    <xf numFmtId="175" fontId="8" fillId="0" borderId="0" xfId="2" applyNumberFormat="1" applyFont="1" applyFill="1"/>
    <xf numFmtId="175" fontId="14" fillId="0" borderId="0" xfId="2" applyNumberFormat="1" applyFont="1" applyFill="1"/>
    <xf numFmtId="170" fontId="8" fillId="0" borderId="0" xfId="2" applyNumberFormat="1" applyFont="1" applyFill="1"/>
    <xf numFmtId="176" fontId="8" fillId="0" borderId="0" xfId="2" applyNumberFormat="1" applyFont="1" applyFill="1"/>
    <xf numFmtId="49" fontId="6" fillId="0" borderId="0" xfId="3" applyNumberFormat="1" applyFont="1" applyFill="1" applyBorder="1" applyAlignment="1"/>
    <xf numFmtId="165" fontId="8" fillId="0" borderId="0" xfId="2" applyNumberFormat="1" applyFont="1" applyFill="1"/>
    <xf numFmtId="0" fontId="8" fillId="3" borderId="0" xfId="5" applyFont="1" applyFill="1" applyAlignment="1">
      <alignment horizontal="left" indent="1"/>
    </xf>
    <xf numFmtId="0" fontId="8" fillId="3" borderId="0" xfId="5" applyFont="1" applyFill="1"/>
    <xf numFmtId="172" fontId="8" fillId="3" borderId="0" xfId="5" applyNumberFormat="1" applyFont="1" applyFill="1"/>
    <xf numFmtId="173" fontId="8" fillId="3" borderId="0" xfId="5" applyNumberFormat="1" applyFont="1" applyFill="1"/>
    <xf numFmtId="173" fontId="13" fillId="3" borderId="0" xfId="5" applyNumberFormat="1" applyFont="1" applyFill="1"/>
    <xf numFmtId="175" fontId="0" fillId="0" borderId="0" xfId="0" applyNumberFormat="1" applyBorder="1"/>
    <xf numFmtId="175" fontId="14" fillId="0" borderId="0" xfId="0" applyNumberFormat="1" applyFont="1" applyFill="1" applyBorder="1"/>
    <xf numFmtId="175" fontId="8" fillId="0" borderId="0" xfId="0" applyNumberFormat="1" applyFont="1" applyFill="1" applyBorder="1"/>
    <xf numFmtId="175" fontId="0" fillId="0" borderId="0" xfId="0" applyNumberFormat="1"/>
    <xf numFmtId="175" fontId="0" fillId="3" borderId="0" xfId="0" applyNumberFormat="1" applyFill="1"/>
    <xf numFmtId="165" fontId="0" fillId="3" borderId="0" xfId="0" applyNumberFormat="1" applyFill="1"/>
    <xf numFmtId="165" fontId="14" fillId="0" borderId="0" xfId="0" applyNumberFormat="1" applyFont="1" applyFill="1" applyBorder="1"/>
    <xf numFmtId="165" fontId="8" fillId="0" borderId="0" xfId="0" applyNumberFormat="1" applyFont="1" applyFill="1" applyBorder="1"/>
    <xf numFmtId="165" fontId="14" fillId="0" borderId="4" xfId="0" applyNumberFormat="1" applyFont="1" applyFill="1" applyBorder="1"/>
    <xf numFmtId="165" fontId="8" fillId="0" borderId="4" xfId="0" applyNumberFormat="1" applyFont="1" applyFill="1" applyBorder="1"/>
    <xf numFmtId="165" fontId="31" fillId="0" borderId="0" xfId="0" applyNumberFormat="1" applyFont="1" applyFill="1" applyBorder="1"/>
    <xf numFmtId="164" fontId="14" fillId="0" borderId="0" xfId="4" applyNumberFormat="1" applyFont="1" applyFill="1" applyBorder="1" applyAlignment="1">
      <alignment horizontal="right"/>
    </xf>
    <xf numFmtId="1" fontId="31" fillId="0" borderId="0" xfId="4" applyNumberFormat="1" applyFont="1" applyFill="1" applyBorder="1" applyAlignment="1">
      <alignment horizontal="right"/>
    </xf>
    <xf numFmtId="165" fontId="0" fillId="0" borderId="0" xfId="0" applyNumberFormat="1" applyFont="1" applyFill="1"/>
    <xf numFmtId="173" fontId="13" fillId="0" borderId="0" xfId="0" applyNumberFormat="1" applyFont="1"/>
    <xf numFmtId="172" fontId="14" fillId="2" borderId="0" xfId="4" applyNumberFormat="1" applyFont="1" applyFill="1" applyBorder="1"/>
    <xf numFmtId="172" fontId="8" fillId="2" borderId="0" xfId="4" applyNumberFormat="1" applyFont="1" applyFill="1" applyBorder="1"/>
    <xf numFmtId="177" fontId="31" fillId="0" borderId="0" xfId="4" applyNumberFormat="1" applyFont="1" applyFill="1" applyBorder="1"/>
    <xf numFmtId="177" fontId="31" fillId="2" borderId="0" xfId="4" applyNumberFormat="1" applyFont="1" applyFill="1" applyBorder="1"/>
    <xf numFmtId="170" fontId="31" fillId="0" borderId="0" xfId="4" applyNumberFormat="1" applyFont="1" applyFill="1" applyBorder="1"/>
    <xf numFmtId="173" fontId="0" fillId="0" borderId="2" xfId="0" applyNumberFormat="1" applyFont="1" applyBorder="1"/>
    <xf numFmtId="173" fontId="3" fillId="0" borderId="0" xfId="0" applyNumberFormat="1" applyFont="1"/>
    <xf numFmtId="170" fontId="0" fillId="3" borderId="0" xfId="0" applyNumberFormat="1" applyFont="1" applyFill="1"/>
    <xf numFmtId="173" fontId="0" fillId="3" borderId="0" xfId="0" applyNumberFormat="1" applyFill="1"/>
    <xf numFmtId="0" fontId="0" fillId="3" borderId="0" xfId="0" applyFill="1" applyAlignment="1">
      <alignment horizontal="right"/>
    </xf>
    <xf numFmtId="165" fontId="8" fillId="0" borderId="0" xfId="0" applyNumberFormat="1" applyFont="1" applyFill="1"/>
    <xf numFmtId="165" fontId="8" fillId="0" borderId="0" xfId="0" applyNumberFormat="1" applyFont="1"/>
    <xf numFmtId="49" fontId="9" fillId="0" borderId="0" xfId="1" applyNumberFormat="1" applyFont="1" applyFill="1" applyAlignment="1">
      <alignment horizontal="left"/>
    </xf>
    <xf numFmtId="172" fontId="14" fillId="5" borderId="0" xfId="4" applyNumberFormat="1" applyFont="1" applyFill="1" applyBorder="1"/>
    <xf numFmtId="0" fontId="0" fillId="0" borderId="0" xfId="0" applyFill="1"/>
    <xf numFmtId="0" fontId="13" fillId="0" borderId="0" xfId="0" applyFont="1" applyFill="1"/>
    <xf numFmtId="180" fontId="0" fillId="0" borderId="0" xfId="0" applyNumberFormat="1"/>
    <xf numFmtId="49" fontId="0" fillId="0" borderId="0" xfId="0" applyNumberFormat="1"/>
    <xf numFmtId="165" fontId="22" fillId="5" borderId="0" xfId="0" applyNumberFormat="1" applyFont="1" applyFill="1"/>
    <xf numFmtId="193" fontId="0" fillId="0" borderId="0" xfId="0" applyNumberFormat="1"/>
    <xf numFmtId="37" fontId="29" fillId="0" borderId="0" xfId="5" applyNumberFormat="1" applyFont="1" applyFill="1"/>
    <xf numFmtId="165" fontId="14" fillId="3" borderId="0" xfId="4" applyNumberFormat="1" applyFont="1" applyFill="1" applyBorder="1"/>
    <xf numFmtId="168" fontId="14" fillId="0" borderId="0" xfId="0" applyNumberFormat="1" applyFont="1"/>
    <xf numFmtId="165" fontId="18" fillId="0" borderId="0" xfId="4" applyNumberFormat="1" applyFont="1" applyFill="1" applyBorder="1"/>
    <xf numFmtId="165" fontId="3" fillId="0" borderId="2" xfId="0" applyNumberFormat="1" applyFont="1" applyFill="1" applyBorder="1"/>
    <xf numFmtId="165" fontId="0" fillId="0" borderId="2" xfId="0" applyNumberFormat="1" applyFont="1" applyFill="1" applyBorder="1"/>
    <xf numFmtId="0" fontId="4" fillId="0" borderId="0" xfId="20"/>
    <xf numFmtId="173" fontId="14" fillId="0" borderId="0" xfId="0" applyNumberFormat="1" applyFont="1" applyFill="1"/>
    <xf numFmtId="1" fontId="8" fillId="0" borderId="0" xfId="5" applyNumberFormat="1" applyFont="1" applyAlignment="1">
      <alignment horizontal="right"/>
    </xf>
    <xf numFmtId="172" fontId="8" fillId="0" borderId="2" xfId="4" applyNumberFormat="1" applyFont="1" applyFill="1" applyBorder="1"/>
    <xf numFmtId="0" fontId="40" fillId="0" borderId="0" xfId="0" applyFont="1"/>
    <xf numFmtId="165" fontId="14" fillId="0" borderId="0" xfId="2" applyNumberFormat="1" applyFont="1" applyFill="1"/>
    <xf numFmtId="165" fontId="14" fillId="3" borderId="0" xfId="2" applyNumberFormat="1" applyFont="1" applyFill="1"/>
    <xf numFmtId="0" fontId="21" fillId="0" borderId="0" xfId="0" applyFont="1" applyFill="1"/>
    <xf numFmtId="49" fontId="8" fillId="0" borderId="0" xfId="3" applyNumberFormat="1" applyFont="1" applyFill="1" applyBorder="1" applyAlignment="1"/>
    <xf numFmtId="170" fontId="0" fillId="0" borderId="0" xfId="0" applyNumberFormat="1" applyFont="1" applyFill="1"/>
    <xf numFmtId="173" fontId="14" fillId="0" borderId="2" xfId="5" applyNumberFormat="1" applyFont="1" applyBorder="1"/>
    <xf numFmtId="37" fontId="8" fillId="0" borderId="2" xfId="5" applyNumberFormat="1" applyFont="1" applyBorder="1"/>
    <xf numFmtId="173" fontId="0" fillId="0" borderId="0" xfId="0" applyNumberFormat="1" applyFont="1"/>
    <xf numFmtId="173" fontId="8" fillId="0" borderId="0" xfId="5" applyNumberFormat="1" applyFont="1" applyAlignment="1"/>
    <xf numFmtId="173" fontId="8" fillId="3" borderId="0" xfId="5" applyNumberFormat="1" applyFont="1" applyFill="1" applyAlignment="1"/>
    <xf numFmtId="0" fontId="6" fillId="0" borderId="0" xfId="5" applyFont="1" applyAlignment="1">
      <alignment horizontal="left" indent="2"/>
    </xf>
    <xf numFmtId="165" fontId="6" fillId="0" borderId="0" xfId="5" applyNumberFormat="1" applyFont="1" applyFill="1"/>
    <xf numFmtId="173" fontId="8" fillId="0" borderId="0" xfId="0" applyNumberFormat="1" applyFont="1"/>
    <xf numFmtId="1" fontId="0" fillId="0" borderId="0" xfId="0" applyNumberFormat="1"/>
    <xf numFmtId="194" fontId="0" fillId="0" borderId="0" xfId="0" applyNumberFormat="1"/>
    <xf numFmtId="173" fontId="14" fillId="3" borderId="0" xfId="0" applyNumberFormat="1" applyFont="1" applyFill="1"/>
    <xf numFmtId="177" fontId="14" fillId="0" borderId="0" xfId="0" applyNumberFormat="1" applyFont="1" applyFill="1"/>
    <xf numFmtId="165" fontId="13" fillId="0" borderId="4" xfId="0" applyNumberFormat="1" applyFont="1" applyFill="1" applyBorder="1"/>
    <xf numFmtId="165" fontId="13" fillId="0" borderId="0" xfId="0" applyNumberFormat="1" applyFont="1" applyFill="1"/>
    <xf numFmtId="165" fontId="0" fillId="0" borderId="4" xfId="0" applyNumberFormat="1" applyFill="1" applyBorder="1"/>
    <xf numFmtId="165" fontId="18" fillId="0" borderId="0" xfId="4" applyNumberFormat="1" applyFont="1" applyFill="1"/>
    <xf numFmtId="165" fontId="22" fillId="0" borderId="0" xfId="0" applyNumberFormat="1" applyFont="1" applyFill="1"/>
    <xf numFmtId="0" fontId="8" fillId="0" borderId="0" xfId="0" applyFont="1" applyFill="1"/>
    <xf numFmtId="0" fontId="17" fillId="0" borderId="1" xfId="3" applyFont="1" applyFill="1" applyBorder="1" applyAlignment="1">
      <alignment horizontal="right"/>
    </xf>
    <xf numFmtId="0" fontId="0" fillId="0" borderId="0" xfId="0" applyFont="1" applyFill="1"/>
    <xf numFmtId="0" fontId="3" fillId="0" borderId="0" xfId="0" applyFont="1" applyFill="1"/>
    <xf numFmtId="170" fontId="0" fillId="3" borderId="0" xfId="0" applyNumberFormat="1" applyFont="1" applyFill="1" applyAlignment="1">
      <alignment horizontal="right"/>
    </xf>
    <xf numFmtId="176" fontId="13" fillId="0" borderId="0" xfId="2" applyNumberFormat="1" applyFont="1" applyFill="1"/>
    <xf numFmtId="173" fontId="0" fillId="0" borderId="0" xfId="0" applyNumberFormat="1" applyFill="1"/>
    <xf numFmtId="173" fontId="14" fillId="2" borderId="0" xfId="4" applyNumberFormat="1" applyFont="1" applyFill="1" applyBorder="1"/>
    <xf numFmtId="173" fontId="8" fillId="0" borderId="0" xfId="4" applyNumberFormat="1" applyFont="1" applyFill="1" applyBorder="1"/>
    <xf numFmtId="173" fontId="8" fillId="2" borderId="0" xfId="4" applyNumberFormat="1" applyFont="1" applyFill="1" applyBorder="1"/>
    <xf numFmtId="173" fontId="31" fillId="0" borderId="0" xfId="4" applyNumberFormat="1" applyFont="1" applyFill="1" applyBorder="1"/>
    <xf numFmtId="195" fontId="0" fillId="0" borderId="0" xfId="0" applyNumberFormat="1"/>
    <xf numFmtId="165" fontId="14" fillId="0" borderId="1" xfId="0" applyNumberFormat="1" applyFont="1" applyFill="1" applyBorder="1"/>
    <xf numFmtId="168" fontId="18" fillId="0" borderId="1" xfId="4" applyNumberFormat="1" applyFont="1" applyFill="1" applyBorder="1"/>
    <xf numFmtId="165" fontId="0" fillId="0" borderId="0" xfId="0" applyNumberFormat="1" applyFill="1" applyBorder="1"/>
    <xf numFmtId="165" fontId="0" fillId="0" borderId="1" xfId="0" applyNumberFormat="1" applyFill="1" applyBorder="1"/>
    <xf numFmtId="173" fontId="8" fillId="3" borderId="0" xfId="0" applyNumberFormat="1" applyFont="1" applyFill="1"/>
    <xf numFmtId="165" fontId="8" fillId="3" borderId="0" xfId="0" applyNumberFormat="1" applyFont="1" applyFill="1"/>
    <xf numFmtId="0" fontId="4" fillId="7" borderId="0" xfId="34" applyFont="1" applyFill="1" applyAlignment="1">
      <alignment vertical="top"/>
    </xf>
    <xf numFmtId="0" fontId="4" fillId="7" borderId="0" xfId="20" applyFill="1" applyAlignment="1">
      <alignment vertical="top"/>
    </xf>
    <xf numFmtId="0" fontId="4" fillId="7" borderId="0" xfId="20" applyFill="1"/>
    <xf numFmtId="0" fontId="44" fillId="7" borderId="0" xfId="34" applyFont="1" applyFill="1" applyAlignment="1">
      <alignment horizontal="left" vertical="top"/>
    </xf>
    <xf numFmtId="0" fontId="4" fillId="7" borderId="0" xfId="20" applyFont="1" applyFill="1" applyAlignment="1">
      <alignment vertical="top"/>
    </xf>
    <xf numFmtId="0" fontId="45" fillId="7" borderId="0" xfId="34" applyFont="1" applyFill="1" applyAlignment="1">
      <alignment vertical="top"/>
    </xf>
    <xf numFmtId="0" fontId="0" fillId="7" borderId="0" xfId="0" applyFill="1" applyAlignment="1">
      <alignment vertical="top"/>
    </xf>
    <xf numFmtId="0" fontId="46" fillId="7" borderId="0" xfId="0" applyFont="1" applyFill="1" applyAlignment="1">
      <alignment vertical="top"/>
    </xf>
    <xf numFmtId="0" fontId="47" fillId="7" borderId="0" xfId="0" applyFont="1" applyFill="1" applyAlignment="1">
      <alignment vertical="top"/>
    </xf>
    <xf numFmtId="0" fontId="47" fillId="7" borderId="0" xfId="0" applyFont="1" applyFill="1" applyAlignment="1">
      <alignment vertical="top"/>
    </xf>
    <xf numFmtId="0" fontId="46" fillId="7" borderId="0" xfId="0" applyFont="1" applyFill="1" applyAlignment="1">
      <alignment vertical="top"/>
    </xf>
    <xf numFmtId="0" fontId="0" fillId="7" borderId="0" xfId="0" applyFill="1" applyAlignment="1">
      <alignment vertical="top"/>
    </xf>
    <xf numFmtId="0" fontId="0" fillId="7" borderId="10" xfId="0" applyFill="1" applyBorder="1" applyAlignment="1">
      <alignment vertical="top"/>
    </xf>
    <xf numFmtId="0" fontId="46" fillId="7" borderId="6" xfId="0" applyFont="1" applyFill="1" applyBorder="1" applyAlignment="1">
      <alignment vertical="top"/>
    </xf>
    <xf numFmtId="0" fontId="46" fillId="7" borderId="7" xfId="0" applyFont="1" applyFill="1" applyBorder="1" applyAlignment="1">
      <alignment vertical="top"/>
    </xf>
    <xf numFmtId="0" fontId="46" fillId="7" borderId="8" xfId="0" applyFont="1" applyFill="1" applyBorder="1" applyAlignment="1">
      <alignment vertical="top"/>
    </xf>
    <xf numFmtId="0" fontId="46" fillId="7" borderId="9" xfId="0" applyFont="1" applyFill="1" applyBorder="1" applyAlignment="1">
      <alignment vertical="top"/>
    </xf>
    <xf numFmtId="9" fontId="46" fillId="7" borderId="6" xfId="0" applyNumberFormat="1" applyFont="1" applyFill="1" applyBorder="1" applyAlignment="1">
      <alignment vertical="top"/>
    </xf>
    <xf numFmtId="3" fontId="46" fillId="7" borderId="6" xfId="0" applyNumberFormat="1" applyFont="1" applyFill="1" applyBorder="1" applyAlignment="1">
      <alignment vertical="top"/>
    </xf>
    <xf numFmtId="0" fontId="0" fillId="7" borderId="11" xfId="0" applyFill="1" applyBorder="1" applyAlignment="1">
      <alignment vertical="top"/>
    </xf>
    <xf numFmtId="2" fontId="4" fillId="0" borderId="0" xfId="20" applyNumberFormat="1" applyAlignment="1">
      <alignment horizontal="left"/>
    </xf>
    <xf numFmtId="0" fontId="4" fillId="0" borderId="0" xfId="20" applyNumberFormat="1" applyAlignment="1">
      <alignment horizontal="left"/>
    </xf>
    <xf numFmtId="1" fontId="4" fillId="0" borderId="0" xfId="20" applyNumberFormat="1" applyAlignment="1">
      <alignment horizontal="left"/>
    </xf>
    <xf numFmtId="0" fontId="4" fillId="0" borderId="0" xfId="20" applyFont="1"/>
    <xf numFmtId="204" fontId="4" fillId="0" borderId="0" xfId="20" applyNumberFormat="1" applyAlignment="1">
      <alignment horizontal="left"/>
    </xf>
    <xf numFmtId="49" fontId="4" fillId="0" borderId="0" xfId="20" applyNumberFormat="1"/>
  </cellXfs>
  <cellStyles count="35">
    <cellStyle name="          _x000d__x000a_network.drv=netware." xfId="22"/>
    <cellStyle name=" 1" xfId="23"/>
    <cellStyle name=" 1 2" xfId="24"/>
    <cellStyle name="_x000a_386grabber=M" xfId="3"/>
    <cellStyle name="_SUMMARY " xfId="12"/>
    <cellStyle name="0_Capex &amp; Depreciation " xfId="13"/>
    <cellStyle name="0_Valuing BP " xfId="14"/>
    <cellStyle name="c_HardInc " xfId="15"/>
    <cellStyle name="Comma" xfId="1" builtinId="3"/>
    <cellStyle name="Comma 2" xfId="4"/>
    <cellStyle name="Comma 2 2" xfId="25"/>
    <cellStyle name="Comma 2 3" xfId="6"/>
    <cellStyle name="Currency 2" xfId="11"/>
    <cellStyle name="Currency 3" xfId="21"/>
    <cellStyle name="Currency 6" xfId="26"/>
    <cellStyle name="Normal" xfId="0" builtinId="0"/>
    <cellStyle name="Normal 2" xfId="8"/>
    <cellStyle name="Normal 2 2" xfId="27"/>
    <cellStyle name="Normal 3" xfId="9"/>
    <cellStyle name="Normal 4" xfId="5"/>
    <cellStyle name="Normal 5" xfId="7"/>
    <cellStyle name="Normal 6" xfId="20"/>
    <cellStyle name="Normal_DisclaimerSheet Samples" xfId="34"/>
    <cellStyle name="p " xfId="16"/>
    <cellStyle name="Percent" xfId="2" builtinId="5"/>
    <cellStyle name="Percent 2" xfId="28"/>
    <cellStyle name="Percent 3" xfId="33"/>
    <cellStyle name="Percent 4" xfId="29"/>
    <cellStyle name="RRSInstruction" xfId="10"/>
    <cellStyle name="s_HardInc " xfId="17"/>
    <cellStyle name="s_Valuation " xfId="18"/>
    <cellStyle name="ssp " xfId="19"/>
    <cellStyle name="Subtotal 2" xfId="30"/>
    <cellStyle name="콤마 [0]_#3이설 견적_준공내역총괄표 " xfId="31"/>
    <cellStyle name="콤마_#3이설 견적_준공내역총괄표 " xfId="32"/>
  </cellStyles>
  <dxfs count="8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theme/theme1.xml" Type="http://schemas.openxmlformats.org/officeDocument/2006/relationships/theme"/>
<Relationship Id="rId7" Target="styles.xml" Type="http://schemas.openxmlformats.org/officeDocument/2006/relationships/styles"/>
<Relationship Id="rId8" Target="sharedStrings.xml" Type="http://schemas.openxmlformats.org/officeDocument/2006/relationships/sharedStrings"/>
<Relationship Id="rId9" Target="calcChain.xml" Type="http://schemas.openxmlformats.org/officeDocument/2006/relationships/calcChain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1</xdr:col>
      <xdr:colOff>104775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2</xdr:col>
      <xdr:colOff>228600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9</xdr:col>
      <xdr:colOff>114300</xdr:colOff>
      <xdr:row>203</xdr:row>
      <xdr:rowOff>104775</xdr:rowOff>
    </xdr:to>
    <xdr:pic>
      <xdr:nvPicPr>
        <xdr:cNvPr id="46081" name="Picture 1" descr="C:\Users\ozierale.MSAD\AppData\Local\Temp\MercuryPriceRatingHistoryChart\NBR.N_2018_04_11_00_10_40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09875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4"/>
  <sheetViews>
    <sheetView showGridLines="0" tabSelected="1" workbookViewId="0">
      <selection activeCell="Z1" sqref="Z1"/>
    </sheetView>
  </sheetViews>
  <sheetFormatPr defaultRowHeight="12.75"/>
  <cols>
    <col min="1" max="1" width="25.83203125" style="290" customWidth="1"/>
    <col min="2" max="5" width="9.33203125" style="290"/>
    <col min="6" max="6" width="18.83203125" style="290" customWidth="1"/>
    <col min="7" max="256" width="9.33203125" style="290"/>
    <col min="257" max="257" width="117.5" style="290" customWidth="1"/>
    <col min="258" max="512" width="9.33203125" style="290"/>
    <col min="513" max="513" width="117.5" style="290" customWidth="1"/>
    <col min="514" max="768" width="9.33203125" style="290"/>
    <col min="769" max="769" width="117.5" style="290" customWidth="1"/>
    <col min="770" max="1024" width="9.33203125" style="290"/>
    <col min="1025" max="1025" width="117.5" style="290" customWidth="1"/>
    <col min="1026" max="1280" width="9.33203125" style="290"/>
    <col min="1281" max="1281" width="117.5" style="290" customWidth="1"/>
    <col min="1282" max="1536" width="9.33203125" style="290"/>
    <col min="1537" max="1537" width="117.5" style="290" customWidth="1"/>
    <col min="1538" max="1792" width="9.33203125" style="290"/>
    <col min="1793" max="1793" width="117.5" style="290" customWidth="1"/>
    <col min="1794" max="2048" width="9.33203125" style="290"/>
    <col min="2049" max="2049" width="117.5" style="290" customWidth="1"/>
    <col min="2050" max="2304" width="9.33203125" style="290"/>
    <col min="2305" max="2305" width="117.5" style="290" customWidth="1"/>
    <col min="2306" max="2560" width="9.33203125" style="290"/>
    <col min="2561" max="2561" width="117.5" style="290" customWidth="1"/>
    <col min="2562" max="2816" width="9.33203125" style="290"/>
    <col min="2817" max="2817" width="117.5" style="290" customWidth="1"/>
    <col min="2818" max="3072" width="9.33203125" style="290"/>
    <col min="3073" max="3073" width="117.5" style="290" customWidth="1"/>
    <col min="3074" max="3328" width="9.33203125" style="290"/>
    <col min="3329" max="3329" width="117.5" style="290" customWidth="1"/>
    <col min="3330" max="3584" width="9.33203125" style="290"/>
    <col min="3585" max="3585" width="117.5" style="290" customWidth="1"/>
    <col min="3586" max="3840" width="9.33203125" style="290"/>
    <col min="3841" max="3841" width="117.5" style="290" customWidth="1"/>
    <col min="3842" max="4096" width="9.33203125" style="290"/>
    <col min="4097" max="4097" width="117.5" style="290" customWidth="1"/>
    <col min="4098" max="4352" width="9.33203125" style="290"/>
    <col min="4353" max="4353" width="117.5" style="290" customWidth="1"/>
    <col min="4354" max="4608" width="9.33203125" style="290"/>
    <col min="4609" max="4609" width="117.5" style="290" customWidth="1"/>
    <col min="4610" max="4864" width="9.33203125" style="290"/>
    <col min="4865" max="4865" width="117.5" style="290" customWidth="1"/>
    <col min="4866" max="5120" width="9.33203125" style="290"/>
    <col min="5121" max="5121" width="117.5" style="290" customWidth="1"/>
    <col min="5122" max="5376" width="9.33203125" style="290"/>
    <col min="5377" max="5377" width="117.5" style="290" customWidth="1"/>
    <col min="5378" max="5632" width="9.33203125" style="290"/>
    <col min="5633" max="5633" width="117.5" style="290" customWidth="1"/>
    <col min="5634" max="5888" width="9.33203125" style="290"/>
    <col min="5889" max="5889" width="117.5" style="290" customWidth="1"/>
    <col min="5890" max="6144" width="9.33203125" style="290"/>
    <col min="6145" max="6145" width="117.5" style="290" customWidth="1"/>
    <col min="6146" max="6400" width="9.33203125" style="290"/>
    <col min="6401" max="6401" width="117.5" style="290" customWidth="1"/>
    <col min="6402" max="6656" width="9.33203125" style="290"/>
    <col min="6657" max="6657" width="117.5" style="290" customWidth="1"/>
    <col min="6658" max="6912" width="9.33203125" style="290"/>
    <col min="6913" max="6913" width="117.5" style="290" customWidth="1"/>
    <col min="6914" max="7168" width="9.33203125" style="290"/>
    <col min="7169" max="7169" width="117.5" style="290" customWidth="1"/>
    <col min="7170" max="7424" width="9.33203125" style="290"/>
    <col min="7425" max="7425" width="117.5" style="290" customWidth="1"/>
    <col min="7426" max="7680" width="9.33203125" style="290"/>
    <col min="7681" max="7681" width="117.5" style="290" customWidth="1"/>
    <col min="7682" max="7936" width="9.33203125" style="290"/>
    <col min="7937" max="7937" width="117.5" style="290" customWidth="1"/>
    <col min="7938" max="8192" width="9.33203125" style="290"/>
    <col min="8193" max="8193" width="117.5" style="290" customWidth="1"/>
    <col min="8194" max="8448" width="9.33203125" style="290"/>
    <col min="8449" max="8449" width="117.5" style="290" customWidth="1"/>
    <col min="8450" max="8704" width="9.33203125" style="290"/>
    <col min="8705" max="8705" width="117.5" style="290" customWidth="1"/>
    <col min="8706" max="8960" width="9.33203125" style="290"/>
    <col min="8961" max="8961" width="117.5" style="290" customWidth="1"/>
    <col min="8962" max="9216" width="9.33203125" style="290"/>
    <col min="9217" max="9217" width="117.5" style="290" customWidth="1"/>
    <col min="9218" max="9472" width="9.33203125" style="290"/>
    <col min="9473" max="9473" width="117.5" style="290" customWidth="1"/>
    <col min="9474" max="9728" width="9.33203125" style="290"/>
    <col min="9729" max="9729" width="117.5" style="290" customWidth="1"/>
    <col min="9730" max="9984" width="9.33203125" style="290"/>
    <col min="9985" max="9985" width="117.5" style="290" customWidth="1"/>
    <col min="9986" max="10240" width="9.33203125" style="290"/>
    <col min="10241" max="10241" width="117.5" style="290" customWidth="1"/>
    <col min="10242" max="10496" width="9.33203125" style="290"/>
    <col min="10497" max="10497" width="117.5" style="290" customWidth="1"/>
    <col min="10498" max="10752" width="9.33203125" style="290"/>
    <col min="10753" max="10753" width="117.5" style="290" customWidth="1"/>
    <col min="10754" max="11008" width="9.33203125" style="290"/>
    <col min="11009" max="11009" width="117.5" style="290" customWidth="1"/>
    <col min="11010" max="11264" width="9.33203125" style="290"/>
    <col min="11265" max="11265" width="117.5" style="290" customWidth="1"/>
    <col min="11266" max="11520" width="9.33203125" style="290"/>
    <col min="11521" max="11521" width="117.5" style="290" customWidth="1"/>
    <col min="11522" max="11776" width="9.33203125" style="290"/>
    <col min="11777" max="11777" width="117.5" style="290" customWidth="1"/>
    <col min="11778" max="12032" width="9.33203125" style="290"/>
    <col min="12033" max="12033" width="117.5" style="290" customWidth="1"/>
    <col min="12034" max="12288" width="9.33203125" style="290"/>
    <col min="12289" max="12289" width="117.5" style="290" customWidth="1"/>
    <col min="12290" max="12544" width="9.33203125" style="290"/>
    <col min="12545" max="12545" width="117.5" style="290" customWidth="1"/>
    <col min="12546" max="12800" width="9.33203125" style="290"/>
    <col min="12801" max="12801" width="117.5" style="290" customWidth="1"/>
    <col min="12802" max="13056" width="9.33203125" style="290"/>
    <col min="13057" max="13057" width="117.5" style="290" customWidth="1"/>
    <col min="13058" max="13312" width="9.33203125" style="290"/>
    <col min="13313" max="13313" width="117.5" style="290" customWidth="1"/>
    <col min="13314" max="13568" width="9.33203125" style="290"/>
    <col min="13569" max="13569" width="117.5" style="290" customWidth="1"/>
    <col min="13570" max="13824" width="9.33203125" style="290"/>
    <col min="13825" max="13825" width="117.5" style="290" customWidth="1"/>
    <col min="13826" max="14080" width="9.33203125" style="290"/>
    <col min="14081" max="14081" width="117.5" style="290" customWidth="1"/>
    <col min="14082" max="14336" width="9.33203125" style="290"/>
    <col min="14337" max="14337" width="117.5" style="290" customWidth="1"/>
    <col min="14338" max="14592" width="9.33203125" style="290"/>
    <col min="14593" max="14593" width="117.5" style="290" customWidth="1"/>
    <col min="14594" max="14848" width="9.33203125" style="290"/>
    <col min="14849" max="14849" width="117.5" style="290" customWidth="1"/>
    <col min="14850" max="15104" width="9.33203125" style="290"/>
    <col min="15105" max="15105" width="117.5" style="290" customWidth="1"/>
    <col min="15106" max="15360" width="9.33203125" style="290"/>
    <col min="15361" max="15361" width="117.5" style="290" customWidth="1"/>
    <col min="15362" max="15616" width="9.33203125" style="290"/>
    <col min="15617" max="15617" width="117.5" style="290" customWidth="1"/>
    <col min="15618" max="15872" width="9.33203125" style="290"/>
    <col min="15873" max="15873" width="117.5" style="290" customWidth="1"/>
    <col min="15874" max="16128" width="9.33203125" style="290"/>
    <col min="16129" max="16129" width="117.5" style="290" customWidth="1"/>
    <col min="16130" max="16384" width="9.33203125" style="290"/>
  </cols>
  <sheetData>
    <row r="1" spans="1:8" ht="30" customHeight="1">
      <c r="A1" s="288"/>
      <c r="B1" s="289"/>
      <c r="C1" s="289"/>
      <c r="D1" s="289"/>
      <c r="E1" s="289"/>
      <c r="F1" s="289"/>
      <c r="G1" s="289"/>
      <c r="H1" s="289"/>
    </row>
    <row r="2" spans="1:8" ht="14.25">
      <c r="A2" s="291" t="s">
        <v>425</v>
      </c>
      <c r="B2" s="289"/>
      <c r="C2" s="289"/>
      <c r="D2" s="289"/>
      <c r="E2" s="289"/>
      <c r="F2" s="289"/>
      <c r="G2" s="289"/>
      <c r="H2" s="289"/>
    </row>
    <row r="3" spans="1:8" ht="14.25">
      <c r="A3" s="291" t="s">
        <v>426</v>
      </c>
      <c r="B3" s="289"/>
      <c r="C3" s="289"/>
      <c r="D3" s="289"/>
      <c r="E3" s="289"/>
      <c r="F3" s="289"/>
      <c r="G3" s="289"/>
      <c r="H3" s="289"/>
    </row>
    <row r="4" spans="1:8" ht="14.25">
      <c r="A4" s="291" t="s">
        <v>427</v>
      </c>
      <c r="B4" s="289"/>
      <c r="C4" s="289"/>
      <c r="D4" s="289"/>
      <c r="E4" s="289"/>
      <c r="F4" s="289"/>
      <c r="G4" s="289"/>
      <c r="H4" s="289"/>
    </row>
    <row r="5" spans="1:8" ht="14.25">
      <c r="A5" s="291" t="s">
        <v>428</v>
      </c>
      <c r="B5" s="289"/>
      <c r="C5" s="289"/>
      <c r="D5" s="289"/>
      <c r="E5" s="289"/>
      <c r="F5" s="289"/>
      <c r="G5" s="289"/>
      <c r="H5" s="289"/>
    </row>
    <row r="6" spans="1:8" ht="14.25">
      <c r="A6" s="291"/>
      <c r="B6" s="289"/>
      <c r="C6" s="289"/>
      <c r="D6" s="289"/>
      <c r="E6" s="289"/>
      <c r="F6" s="289"/>
      <c r="G6" s="289"/>
      <c r="H6" s="289"/>
    </row>
    <row r="7" spans="1:8">
      <c r="A7" s="288" t="s">
        <v>429</v>
      </c>
      <c r="B7" s="289"/>
      <c r="C7" s="289"/>
      <c r="D7" s="289"/>
      <c r="E7" s="289"/>
      <c r="F7" s="289"/>
      <c r="G7" s="289"/>
      <c r="H7" s="289"/>
    </row>
    <row r="8" spans="1:8">
      <c r="A8" s="288" t="s">
        <v>430</v>
      </c>
      <c r="B8" s="289"/>
      <c r="C8" s="289"/>
      <c r="D8" s="289"/>
      <c r="E8" s="289"/>
      <c r="F8" s="289"/>
      <c r="G8" s="289"/>
      <c r="H8" s="289"/>
    </row>
    <row r="9" spans="1:8">
      <c r="A9" s="288"/>
      <c r="B9" s="289"/>
      <c r="C9" s="289"/>
      <c r="D9" s="289"/>
      <c r="E9" s="289"/>
      <c r="F9" s="289"/>
      <c r="G9" s="289"/>
      <c r="H9" s="289"/>
    </row>
    <row r="10" spans="1:8">
      <c r="A10" s="292" t="s">
        <v>431</v>
      </c>
      <c r="B10" s="289"/>
      <c r="C10" s="289"/>
      <c r="D10" s="289"/>
      <c r="E10" s="289"/>
      <c r="F10" s="289"/>
      <c r="G10" s="289"/>
      <c r="H10" s="289"/>
    </row>
    <row r="11" spans="1:8">
      <c r="A11" s="292" t="s">
        <v>432</v>
      </c>
      <c r="B11" s="289"/>
      <c r="C11" s="289"/>
      <c r="D11" s="289"/>
      <c r="E11" s="289"/>
      <c r="F11" s="289"/>
      <c r="G11" s="289"/>
      <c r="H11" s="289"/>
    </row>
    <row r="12" spans="1:8">
      <c r="A12" s="292" t="s">
        <v>433</v>
      </c>
      <c r="B12" s="289"/>
      <c r="C12" s="289"/>
      <c r="D12" s="289"/>
      <c r="E12" s="289"/>
      <c r="F12" s="289"/>
      <c r="G12" s="289"/>
      <c r="H12" s="289"/>
    </row>
    <row r="13" spans="1:8">
      <c r="A13" s="292" t="s">
        <v>434</v>
      </c>
      <c r="B13" s="289"/>
      <c r="C13" s="289"/>
      <c r="D13" s="289"/>
      <c r="E13" s="289"/>
      <c r="F13" s="289"/>
      <c r="G13" s="289"/>
      <c r="H13" s="289"/>
    </row>
    <row r="14" spans="1:8">
      <c r="A14" s="292" t="s">
        <v>435</v>
      </c>
      <c r="B14" s="289"/>
      <c r="C14" s="289"/>
      <c r="D14" s="289"/>
      <c r="E14" s="289"/>
      <c r="F14" s="289"/>
      <c r="G14" s="289"/>
      <c r="H14" s="289"/>
    </row>
    <row r="15" spans="1:8">
      <c r="A15" s="292" t="s">
        <v>436</v>
      </c>
      <c r="B15" s="289"/>
      <c r="C15" s="289"/>
      <c r="D15" s="289"/>
      <c r="E15" s="289"/>
      <c r="F15" s="289"/>
      <c r="G15" s="289"/>
      <c r="H15" s="289"/>
    </row>
    <row r="16" spans="1:8">
      <c r="A16" s="292"/>
      <c r="B16" s="289"/>
      <c r="C16" s="289"/>
      <c r="D16" s="289"/>
      <c r="E16" s="289"/>
      <c r="F16" s="289"/>
      <c r="G16" s="289"/>
      <c r="H16" s="289"/>
    </row>
    <row r="17" spans="1:8">
      <c r="A17" s="292" t="s">
        <v>422</v>
      </c>
      <c r="B17" s="289"/>
      <c r="C17" s="289"/>
      <c r="D17" s="289"/>
      <c r="E17" s="289"/>
      <c r="F17" s="289"/>
      <c r="G17" s="289"/>
      <c r="H17" s="289"/>
    </row>
    <row r="18" spans="1:8">
      <c r="A18" s="292"/>
      <c r="B18" s="289"/>
      <c r="C18" s="289"/>
      <c r="D18" s="289"/>
      <c r="E18" s="289"/>
      <c r="F18" s="289"/>
      <c r="G18" s="289"/>
      <c r="H18" s="289"/>
    </row>
    <row r="19" spans="1:8">
      <c r="A19" s="292" t="s">
        <v>423</v>
      </c>
      <c r="B19" s="289"/>
      <c r="C19" s="289"/>
      <c r="D19" s="289"/>
      <c r="E19" s="289"/>
      <c r="F19" s="289"/>
      <c r="G19" s="289"/>
      <c r="H19" s="289"/>
    </row>
    <row r="20" spans="1:8">
      <c r="A20" s="288"/>
      <c r="B20" s="289"/>
      <c r="C20" s="289"/>
      <c r="D20" s="289"/>
      <c r="E20" s="289"/>
      <c r="F20" s="289"/>
      <c r="G20" s="289"/>
      <c r="H20" s="289"/>
    </row>
    <row r="21" spans="1:8">
      <c r="A21" s="293" t="s">
        <v>424</v>
      </c>
      <c r="B21" s="289"/>
      <c r="C21" s="289"/>
      <c r="D21" s="289"/>
      <c r="E21" s="289"/>
      <c r="F21" s="289"/>
      <c r="G21" s="289"/>
      <c r="H21" s="289"/>
    </row>
    <row r="22" spans="1:8">
      <c r="A22" s="294"/>
      <c r="B22" s="294"/>
      <c r="C22" s="294"/>
      <c r="D22" s="294"/>
      <c r="E22" s="294"/>
      <c r="F22" s="294"/>
      <c r="G22" s="294"/>
      <c r="H22" s="294"/>
    </row>
    <row r="23" spans="1:8">
      <c r="A23" s="295" t="s">
        <v>717</v>
      </c>
      <c r="B23" s="294"/>
      <c r="C23" s="294"/>
      <c r="D23" s="294"/>
      <c r="E23" s="294"/>
      <c r="F23" s="294"/>
      <c r="G23" s="294"/>
      <c r="H23" s="294"/>
    </row>
    <row r="24" spans="1:8">
      <c r="A24" s="295" t="s">
        <v>718</v>
      </c>
      <c r="B24" s="294"/>
      <c r="C24" s="294"/>
      <c r="D24" s="294"/>
      <c r="E24" s="294"/>
      <c r="F24" s="294"/>
      <c r="G24" s="294"/>
      <c r="H24" s="294"/>
    </row>
    <row r="25" spans="1:8">
      <c r="A25" s="295" t="s">
        <v>719</v>
      </c>
      <c r="B25" s="294"/>
      <c r="C25" s="294"/>
      <c r="D25" s="294"/>
      <c r="E25" s="294"/>
      <c r="F25" s="294"/>
      <c r="G25" s="294"/>
      <c r="H25" s="294"/>
    </row>
    <row r="26" spans="1:8">
      <c r="A26" s="295" t="s">
        <v>720</v>
      </c>
      <c r="B26" s="294"/>
      <c r="C26" s="294"/>
      <c r="D26" s="294"/>
      <c r="E26" s="294"/>
      <c r="F26" s="294"/>
      <c r="G26" s="294"/>
      <c r="H26" s="294"/>
    </row>
    <row r="27" spans="1:8">
      <c r="A27" s="294"/>
      <c r="B27" s="294"/>
      <c r="C27" s="294"/>
      <c r="D27" s="294"/>
      <c r="E27" s="294"/>
      <c r="F27" s="294"/>
      <c r="G27" s="294"/>
      <c r="H27" s="294"/>
    </row>
    <row r="28" spans="1:8">
      <c r="A28" s="294"/>
      <c r="B28" s="294"/>
      <c r="C28" s="294"/>
      <c r="D28" s="294"/>
      <c r="E28" s="294"/>
      <c r="F28" s="294"/>
      <c r="G28" s="294"/>
      <c r="H28" s="294"/>
    </row>
    <row r="29" spans="1:8">
      <c r="A29" s="295" t="s">
        <v>712</v>
      </c>
      <c r="B29" s="294"/>
      <c r="C29" s="294"/>
      <c r="D29" s="294"/>
      <c r="E29" s="294"/>
      <c r="F29" s="294"/>
      <c r="G29" s="294"/>
      <c r="H29" s="294"/>
    </row>
    <row r="30" spans="1:8">
      <c r="A30" s="295" t="s">
        <v>713</v>
      </c>
      <c r="B30" s="294"/>
      <c r="C30" s="294"/>
      <c r="D30" s="294"/>
      <c r="E30" s="294"/>
      <c r="F30" s="294"/>
      <c r="G30" s="294"/>
      <c r="H30" s="294"/>
    </row>
    <row r="31" spans="1:8">
      <c r="A31" s="295" t="s">
        <v>714</v>
      </c>
      <c r="B31" s="294"/>
      <c r="C31" s="294"/>
      <c r="D31" s="294"/>
      <c r="E31" s="294"/>
      <c r="F31" s="294"/>
      <c r="G31" s="294"/>
      <c r="H31" s="294"/>
    </row>
    <row r="32" spans="1:8">
      <c r="A32" s="295" t="s">
        <v>715</v>
      </c>
      <c r="B32" s="294"/>
      <c r="C32" s="294"/>
      <c r="D32" s="294"/>
      <c r="E32" s="294"/>
      <c r="F32" s="294"/>
      <c r="G32" s="294"/>
      <c r="H32" s="294"/>
    </row>
    <row r="33" spans="1:8">
      <c r="A33" s="295" t="s">
        <v>716</v>
      </c>
      <c r="B33" s="294"/>
      <c r="C33" s="294"/>
      <c r="D33" s="294"/>
      <c r="E33" s="294"/>
      <c r="F33" s="294"/>
      <c r="G33" s="294"/>
      <c r="H33" s="294"/>
    </row>
    <row r="34" spans="1:8">
      <c r="A34" s="294"/>
      <c r="B34" s="294"/>
      <c r="C34" s="294"/>
      <c r="D34" s="294"/>
      <c r="E34" s="294"/>
      <c r="F34" s="294"/>
      <c r="G34" s="294"/>
      <c r="H34" s="294"/>
    </row>
    <row r="35" spans="1:8">
      <c r="A35" s="295" t="s">
        <v>708</v>
      </c>
      <c r="B35" s="294"/>
      <c r="C35" s="294"/>
      <c r="D35" s="294"/>
      <c r="E35" s="294"/>
      <c r="F35" s="294"/>
      <c r="G35" s="294"/>
      <c r="H35" s="294"/>
    </row>
    <row r="36" spans="1:8">
      <c r="A36" s="295" t="s">
        <v>709</v>
      </c>
      <c r="B36" s="294"/>
      <c r="C36" s="294"/>
      <c r="D36" s="294"/>
      <c r="E36" s="294"/>
      <c r="F36" s="294"/>
      <c r="G36" s="294"/>
      <c r="H36" s="294"/>
    </row>
    <row r="37" spans="1:8">
      <c r="A37" s="295" t="s">
        <v>710</v>
      </c>
      <c r="B37" s="294"/>
      <c r="C37" s="294"/>
      <c r="D37" s="294"/>
      <c r="E37" s="294"/>
      <c r="F37" s="294"/>
      <c r="G37" s="294"/>
      <c r="H37" s="294"/>
    </row>
    <row r="38" spans="1:8">
      <c r="A38" s="295" t="s">
        <v>711</v>
      </c>
      <c r="B38" s="294"/>
      <c r="C38" s="294"/>
      <c r="D38" s="294"/>
      <c r="E38" s="294"/>
      <c r="F38" s="294"/>
      <c r="G38" s="294"/>
      <c r="H38" s="294"/>
    </row>
    <row r="39" spans="1:8">
      <c r="A39" s="294"/>
      <c r="B39" s="294"/>
      <c r="C39" s="294"/>
      <c r="D39" s="294"/>
      <c r="E39" s="294"/>
      <c r="F39" s="294"/>
      <c r="G39" s="294"/>
      <c r="H39" s="294"/>
    </row>
    <row r="40" spans="1:8">
      <c r="A40" s="295" t="s">
        <v>702</v>
      </c>
      <c r="B40" s="294"/>
      <c r="C40" s="294"/>
      <c r="D40" s="294"/>
      <c r="E40" s="294"/>
      <c r="F40" s="294"/>
      <c r="G40" s="294"/>
      <c r="H40" s="294"/>
    </row>
    <row r="41" spans="1:8">
      <c r="A41" s="295" t="s">
        <v>703</v>
      </c>
      <c r="B41" s="294"/>
      <c r="C41" s="294"/>
      <c r="D41" s="294"/>
      <c r="E41" s="294"/>
      <c r="F41" s="294"/>
      <c r="G41" s="294"/>
      <c r="H41" s="294"/>
    </row>
    <row r="42" spans="1:8">
      <c r="A42" s="295" t="s">
        <v>704</v>
      </c>
      <c r="B42" s="294"/>
      <c r="C42" s="294"/>
      <c r="D42" s="294"/>
      <c r="E42" s="294"/>
      <c r="F42" s="294"/>
      <c r="G42" s="294"/>
      <c r="H42" s="294"/>
    </row>
    <row r="43" spans="1:8">
      <c r="A43" s="295" t="s">
        <v>705</v>
      </c>
      <c r="B43" s="294"/>
      <c r="C43" s="294"/>
      <c r="D43" s="294"/>
      <c r="E43" s="294"/>
      <c r="F43" s="294"/>
      <c r="G43" s="294"/>
      <c r="H43" s="294"/>
    </row>
    <row r="44" spans="1:8">
      <c r="A44" s="295" t="s">
        <v>706</v>
      </c>
      <c r="B44" s="294"/>
      <c r="C44" s="294"/>
      <c r="D44" s="294"/>
      <c r="E44" s="294"/>
      <c r="F44" s="294"/>
      <c r="G44" s="294"/>
      <c r="H44" s="294"/>
    </row>
    <row r="45" spans="1:8">
      <c r="A45" s="295" t="s">
        <v>707</v>
      </c>
      <c r="B45" s="294"/>
      <c r="C45" s="294"/>
      <c r="D45" s="294"/>
      <c r="E45" s="294"/>
      <c r="F45" s="294"/>
      <c r="G45" s="294"/>
      <c r="H45" s="294"/>
    </row>
    <row r="46" spans="1:8">
      <c r="A46" s="294"/>
      <c r="B46" s="294"/>
      <c r="C46" s="294"/>
      <c r="D46" s="294"/>
      <c r="E46" s="294"/>
      <c r="F46" s="294"/>
      <c r="G46" s="294"/>
      <c r="H46" s="294"/>
    </row>
    <row r="47" spans="1:8" ht="15.75">
      <c r="A47" s="296" t="s">
        <v>437</v>
      </c>
      <c r="B47" s="294"/>
      <c r="C47" s="294"/>
      <c r="D47" s="294"/>
      <c r="E47" s="294"/>
      <c r="F47" s="294"/>
      <c r="G47" s="294"/>
      <c r="H47" s="294"/>
    </row>
    <row r="48" spans="1:8">
      <c r="A48" s="294"/>
      <c r="B48" s="294"/>
      <c r="C48" s="294"/>
      <c r="D48" s="294"/>
      <c r="E48" s="294"/>
      <c r="F48" s="294"/>
      <c r="G48" s="294"/>
      <c r="H48" s="294"/>
    </row>
    <row r="49" spans="1:8">
      <c r="A49" s="295" t="s">
        <v>698</v>
      </c>
      <c r="B49" s="294"/>
      <c r="C49" s="294"/>
      <c r="D49" s="294"/>
      <c r="E49" s="294"/>
      <c r="F49" s="294"/>
      <c r="G49" s="294"/>
      <c r="H49" s="294"/>
    </row>
    <row r="50" spans="1:8">
      <c r="A50" s="295" t="s">
        <v>699</v>
      </c>
      <c r="B50" s="294"/>
      <c r="C50" s="294"/>
      <c r="D50" s="294"/>
      <c r="E50" s="294"/>
      <c r="F50" s="294"/>
      <c r="G50" s="294"/>
      <c r="H50" s="294"/>
    </row>
    <row r="51" spans="1:8">
      <c r="A51" s="295" t="s">
        <v>700</v>
      </c>
      <c r="B51" s="294"/>
      <c r="C51" s="294"/>
      <c r="D51" s="294"/>
      <c r="E51" s="294"/>
      <c r="F51" s="294"/>
      <c r="G51" s="294"/>
      <c r="H51" s="294"/>
    </row>
    <row r="52" spans="1:8">
      <c r="A52" s="295" t="s">
        <v>701</v>
      </c>
      <c r="B52" s="294"/>
      <c r="C52" s="294"/>
      <c r="D52" s="294"/>
      <c r="E52" s="294"/>
      <c r="F52" s="294"/>
      <c r="G52" s="294"/>
      <c r="H52" s="294"/>
    </row>
    <row r="53" spans="1:8">
      <c r="A53" s="294"/>
      <c r="B53" s="294"/>
      <c r="C53" s="294"/>
      <c r="D53" s="294"/>
      <c r="E53" s="294"/>
      <c r="F53" s="294"/>
      <c r="G53" s="294"/>
      <c r="H53" s="294"/>
    </row>
    <row r="54" spans="1:8">
      <c r="A54" s="295" t="s">
        <v>438</v>
      </c>
      <c r="B54" s="294"/>
      <c r="C54" s="294"/>
      <c r="D54" s="294"/>
      <c r="E54" s="294"/>
      <c r="F54" s="294"/>
      <c r="G54" s="294"/>
      <c r="H54" s="294"/>
    </row>
    <row r="55" spans="1:8">
      <c r="A55" s="294"/>
      <c r="B55" s="294"/>
      <c r="C55" s="294"/>
      <c r="D55" s="294"/>
      <c r="E55" s="294"/>
      <c r="F55" s="294"/>
      <c r="G55" s="294"/>
      <c r="H55" s="294"/>
    </row>
    <row r="56" spans="1:8" ht="15.75">
      <c r="A56" s="296" t="s">
        <v>439</v>
      </c>
      <c r="B56" s="294"/>
      <c r="C56" s="294"/>
      <c r="D56" s="294"/>
      <c r="E56" s="294"/>
      <c r="F56" s="294"/>
      <c r="G56" s="294"/>
      <c r="H56" s="294"/>
    </row>
    <row r="57" spans="1:8">
      <c r="A57" s="294"/>
      <c r="B57" s="294"/>
      <c r="C57" s="294"/>
      <c r="D57" s="294"/>
      <c r="E57" s="294"/>
      <c r="F57" s="294"/>
      <c r="G57" s="294"/>
      <c r="H57" s="294"/>
    </row>
    <row r="58" spans="1:8">
      <c r="A58" s="295" t="s">
        <v>696</v>
      </c>
      <c r="B58" s="294"/>
      <c r="C58" s="294"/>
      <c r="D58" s="294"/>
      <c r="E58" s="294"/>
      <c r="F58" s="294"/>
      <c r="G58" s="294"/>
      <c r="H58" s="294"/>
    </row>
    <row r="59" spans="1:8">
      <c r="A59" s="295" t="s">
        <v>697</v>
      </c>
      <c r="B59" s="294"/>
      <c r="C59" s="294"/>
      <c r="D59" s="294"/>
      <c r="E59" s="294"/>
      <c r="F59" s="294"/>
      <c r="G59" s="294"/>
      <c r="H59" s="294"/>
    </row>
    <row r="60" spans="1:8">
      <c r="A60" s="294"/>
      <c r="B60" s="294"/>
      <c r="C60" s="294"/>
      <c r="D60" s="294"/>
      <c r="E60" s="294"/>
      <c r="F60" s="294"/>
      <c r="G60" s="294"/>
      <c r="H60" s="294"/>
    </row>
    <row r="61" spans="1:8" ht="15.75">
      <c r="A61" s="296" t="s">
        <v>440</v>
      </c>
      <c r="B61" s="294"/>
      <c r="C61" s="294"/>
      <c r="D61" s="294"/>
      <c r="E61" s="294"/>
      <c r="F61" s="294"/>
      <c r="G61" s="294"/>
      <c r="H61" s="294"/>
    </row>
    <row r="62" spans="1:8">
      <c r="A62" s="294"/>
      <c r="B62" s="294"/>
      <c r="C62" s="294"/>
      <c r="D62" s="294"/>
      <c r="E62" s="294"/>
      <c r="F62" s="294"/>
      <c r="G62" s="294"/>
      <c r="H62" s="294"/>
    </row>
    <row r="63" spans="1:8">
      <c r="A63" s="295" t="s">
        <v>694</v>
      </c>
      <c r="B63" s="294"/>
      <c r="C63" s="294"/>
      <c r="D63" s="294"/>
      <c r="E63" s="294"/>
      <c r="F63" s="294"/>
      <c r="G63" s="294"/>
      <c r="H63" s="294"/>
    </row>
    <row r="64" spans="1:8">
      <c r="A64" s="295" t="s">
        <v>695</v>
      </c>
      <c r="B64" s="294"/>
      <c r="C64" s="294"/>
      <c r="D64" s="294"/>
      <c r="E64" s="294"/>
      <c r="F64" s="294"/>
      <c r="G64" s="294"/>
      <c r="H64" s="294"/>
    </row>
    <row r="65" spans="1:8">
      <c r="A65" s="294"/>
      <c r="B65" s="294"/>
      <c r="C65" s="294"/>
      <c r="D65" s="294"/>
      <c r="E65" s="294"/>
      <c r="F65" s="294"/>
      <c r="G65" s="294"/>
      <c r="H65" s="294"/>
    </row>
    <row r="66" spans="1:8">
      <c r="A66" s="295" t="s">
        <v>692</v>
      </c>
      <c r="B66" s="294"/>
      <c r="C66" s="294"/>
      <c r="D66" s="294"/>
      <c r="E66" s="294"/>
      <c r="F66" s="294"/>
      <c r="G66" s="294"/>
      <c r="H66" s="294"/>
    </row>
    <row r="67" spans="1:8">
      <c r="A67" s="295" t="s">
        <v>693</v>
      </c>
      <c r="B67" s="294"/>
      <c r="C67" s="294"/>
      <c r="D67" s="294"/>
      <c r="E67" s="294"/>
      <c r="F67" s="294"/>
      <c r="G67" s="294"/>
      <c r="H67" s="294"/>
    </row>
    <row r="68" spans="1:8">
      <c r="A68" s="294"/>
      <c r="B68" s="294"/>
      <c r="C68" s="294"/>
      <c r="D68" s="294"/>
      <c r="E68" s="294"/>
      <c r="F68" s="294"/>
      <c r="G68" s="294"/>
      <c r="H68" s="294"/>
    </row>
    <row r="69" spans="1:8">
      <c r="A69" s="295" t="s">
        <v>690</v>
      </c>
      <c r="B69" s="294"/>
      <c r="C69" s="294"/>
      <c r="D69" s="294"/>
      <c r="E69" s="294"/>
      <c r="F69" s="294"/>
      <c r="G69" s="294"/>
      <c r="H69" s="294"/>
    </row>
    <row r="70" spans="1:8">
      <c r="A70" s="295" t="s">
        <v>691</v>
      </c>
      <c r="B70" s="294"/>
      <c r="C70" s="294"/>
      <c r="D70" s="294"/>
      <c r="E70" s="294"/>
      <c r="F70" s="294"/>
      <c r="G70" s="294"/>
      <c r="H70" s="294"/>
    </row>
    <row r="71" spans="1:8">
      <c r="A71" s="294"/>
      <c r="B71" s="294"/>
      <c r="C71" s="294"/>
      <c r="D71" s="294"/>
      <c r="E71" s="294"/>
      <c r="F71" s="294"/>
      <c r="G71" s="294"/>
      <c r="H71" s="294"/>
    </row>
    <row r="72" spans="1:8">
      <c r="A72" s="295" t="s">
        <v>688</v>
      </c>
      <c r="B72" s="294"/>
      <c r="C72" s="294"/>
      <c r="D72" s="294"/>
      <c r="E72" s="294"/>
      <c r="F72" s="294"/>
      <c r="G72" s="294"/>
      <c r="H72" s="294"/>
    </row>
    <row r="73" spans="1:8">
      <c r="A73" s="295" t="s">
        <v>689</v>
      </c>
      <c r="B73" s="294"/>
      <c r="C73" s="294"/>
      <c r="D73" s="294"/>
      <c r="E73" s="294"/>
      <c r="F73" s="294"/>
      <c r="G73" s="294"/>
      <c r="H73" s="294"/>
    </row>
    <row r="74" spans="1:8">
      <c r="A74" s="294"/>
      <c r="B74" s="294"/>
      <c r="C74" s="294"/>
      <c r="D74" s="294"/>
      <c r="E74" s="294"/>
      <c r="F74" s="294"/>
      <c r="G74" s="294"/>
      <c r="H74" s="294"/>
    </row>
    <row r="75" spans="1:8">
      <c r="A75" s="295" t="s">
        <v>686</v>
      </c>
      <c r="B75" s="294"/>
      <c r="C75" s="294"/>
      <c r="D75" s="294"/>
      <c r="E75" s="294"/>
      <c r="F75" s="294"/>
      <c r="G75" s="294"/>
      <c r="H75" s="294"/>
    </row>
    <row r="76" spans="1:8">
      <c r="A76" s="295" t="s">
        <v>687</v>
      </c>
      <c r="B76" s="294"/>
      <c r="C76" s="294"/>
      <c r="D76" s="294"/>
      <c r="E76" s="294"/>
      <c r="F76" s="294"/>
      <c r="G76" s="294"/>
      <c r="H76" s="294"/>
    </row>
    <row r="77" spans="1:8">
      <c r="A77" s="294"/>
      <c r="B77" s="294"/>
      <c r="C77" s="294"/>
      <c r="D77" s="294"/>
      <c r="E77" s="294"/>
      <c r="F77" s="294"/>
      <c r="G77" s="294"/>
      <c r="H77" s="294"/>
    </row>
    <row r="78" spans="1:8">
      <c r="A78" s="295" t="s">
        <v>683</v>
      </c>
      <c r="B78" s="294"/>
      <c r="C78" s="294"/>
      <c r="D78" s="294"/>
      <c r="E78" s="294"/>
      <c r="F78" s="294"/>
      <c r="G78" s="294"/>
      <c r="H78" s="294"/>
    </row>
    <row r="79" spans="1:8">
      <c r="A79" s="295" t="s">
        <v>684</v>
      </c>
      <c r="B79" s="294"/>
      <c r="C79" s="294"/>
      <c r="D79" s="294"/>
      <c r="E79" s="294"/>
      <c r="F79" s="294"/>
      <c r="G79" s="294"/>
      <c r="H79" s="294"/>
    </row>
    <row r="80" spans="1:8">
      <c r="A80" s="295" t="s">
        <v>685</v>
      </c>
      <c r="B80" s="294"/>
      <c r="C80" s="294"/>
      <c r="D80" s="294"/>
      <c r="E80" s="294"/>
      <c r="F80" s="294"/>
      <c r="G80" s="294"/>
      <c r="H80" s="294"/>
    </row>
    <row r="81" spans="1:8">
      <c r="A81" s="294"/>
      <c r="B81" s="294"/>
      <c r="C81" s="294"/>
      <c r="D81" s="294"/>
      <c r="E81" s="294"/>
      <c r="F81" s="294"/>
      <c r="G81" s="294"/>
      <c r="H81" s="294"/>
    </row>
    <row r="82" spans="1:8">
      <c r="A82" s="295" t="s">
        <v>441</v>
      </c>
      <c r="B82" s="294"/>
      <c r="C82" s="294"/>
      <c r="D82" s="294"/>
      <c r="E82" s="294"/>
      <c r="F82" s="294"/>
      <c r="G82" s="294"/>
      <c r="H82" s="294"/>
    </row>
    <row r="83" spans="1:8">
      <c r="A83" s="294"/>
      <c r="B83" s="294"/>
      <c r="C83" s="294"/>
      <c r="D83" s="294"/>
      <c r="E83" s="294"/>
      <c r="F83" s="294"/>
      <c r="G83" s="294"/>
      <c r="H83" s="294"/>
    </row>
    <row r="84" spans="1:8">
      <c r="A84" s="295" t="s">
        <v>678</v>
      </c>
      <c r="B84" s="294"/>
      <c r="C84" s="294"/>
      <c r="D84" s="294"/>
      <c r="E84" s="294"/>
      <c r="F84" s="294"/>
      <c r="G84" s="294"/>
      <c r="H84" s="294"/>
    </row>
    <row r="85" spans="1:8">
      <c r="A85" s="295" t="s">
        <v>679</v>
      </c>
      <c r="B85" s="294"/>
      <c r="C85" s="294"/>
      <c r="D85" s="294"/>
      <c r="E85" s="294"/>
      <c r="F85" s="294"/>
      <c r="G85" s="294"/>
      <c r="H85" s="294"/>
    </row>
    <row r="86" spans="1:8">
      <c r="A86" s="295" t="s">
        <v>680</v>
      </c>
      <c r="B86" s="294"/>
      <c r="C86" s="294"/>
      <c r="D86" s="294"/>
      <c r="E86" s="294"/>
      <c r="F86" s="294"/>
      <c r="G86" s="294"/>
      <c r="H86" s="294"/>
    </row>
    <row r="87" spans="1:8">
      <c r="A87" s="295" t="s">
        <v>681</v>
      </c>
      <c r="B87" s="294"/>
      <c r="C87" s="294"/>
      <c r="D87" s="294"/>
      <c r="E87" s="294"/>
      <c r="F87" s="294"/>
      <c r="G87" s="294"/>
      <c r="H87" s="294"/>
    </row>
    <row r="88" spans="1:8">
      <c r="A88" s="295" t="s">
        <v>682</v>
      </c>
      <c r="B88" s="294"/>
      <c r="C88" s="294"/>
      <c r="D88" s="294"/>
      <c r="E88" s="294"/>
      <c r="F88" s="294"/>
      <c r="G88" s="294"/>
      <c r="H88" s="294"/>
    </row>
    <row r="89" spans="1:8">
      <c r="A89" s="295" t="s">
        <v>567</v>
      </c>
      <c r="B89" s="294"/>
      <c r="C89" s="294"/>
      <c r="D89" s="294"/>
      <c r="E89" s="294"/>
      <c r="F89" s="294"/>
      <c r="G89" s="294"/>
      <c r="H89" s="294"/>
    </row>
    <row r="90" spans="1:8">
      <c r="A90" s="294"/>
      <c r="B90" s="294"/>
      <c r="C90" s="294"/>
      <c r="D90" s="294"/>
      <c r="E90" s="294"/>
      <c r="F90" s="294"/>
      <c r="G90" s="294"/>
      <c r="H90" s="294"/>
    </row>
    <row r="91" spans="1:8">
      <c r="A91" s="295" t="s">
        <v>671</v>
      </c>
      <c r="B91" s="294"/>
      <c r="C91" s="294"/>
      <c r="D91" s="294"/>
      <c r="E91" s="294"/>
      <c r="F91" s="294"/>
      <c r="G91" s="294"/>
      <c r="H91" s="294"/>
    </row>
    <row r="92" spans="1:8">
      <c r="A92" s="295" t="s">
        <v>672</v>
      </c>
      <c r="B92" s="294"/>
      <c r="C92" s="294"/>
      <c r="D92" s="294"/>
      <c r="E92" s="294"/>
      <c r="F92" s="294"/>
      <c r="G92" s="294"/>
      <c r="H92" s="294"/>
    </row>
    <row r="93" spans="1:8">
      <c r="A93" s="295" t="s">
        <v>673</v>
      </c>
      <c r="B93" s="294"/>
      <c r="C93" s="294"/>
      <c r="D93" s="294"/>
      <c r="E93" s="294"/>
      <c r="F93" s="294"/>
      <c r="G93" s="294"/>
      <c r="H93" s="294"/>
    </row>
    <row r="94" spans="1:8">
      <c r="A94" s="295" t="s">
        <v>674</v>
      </c>
      <c r="B94" s="294"/>
      <c r="C94" s="294"/>
      <c r="D94" s="294"/>
      <c r="E94" s="294"/>
      <c r="F94" s="294"/>
      <c r="G94" s="294"/>
      <c r="H94" s="294"/>
    </row>
    <row r="95" spans="1:8">
      <c r="A95" s="295" t="s">
        <v>675</v>
      </c>
      <c r="B95" s="294"/>
      <c r="C95" s="294"/>
      <c r="D95" s="294"/>
      <c r="E95" s="294"/>
      <c r="F95" s="294"/>
      <c r="G95" s="294"/>
      <c r="H95" s="294"/>
    </row>
    <row r="96" spans="1:8">
      <c r="A96" s="295" t="s">
        <v>676</v>
      </c>
      <c r="B96" s="294"/>
      <c r="C96" s="294"/>
      <c r="D96" s="294"/>
      <c r="E96" s="294"/>
      <c r="F96" s="294"/>
      <c r="G96" s="294"/>
      <c r="H96" s="294"/>
    </row>
    <row r="97" spans="1:8">
      <c r="A97" s="295" t="s">
        <v>677</v>
      </c>
      <c r="B97" s="294"/>
      <c r="C97" s="294"/>
      <c r="D97" s="294"/>
      <c r="E97" s="294"/>
      <c r="F97" s="294"/>
      <c r="G97" s="294"/>
      <c r="H97" s="294"/>
    </row>
    <row r="98" spans="1:8">
      <c r="A98" s="294"/>
      <c r="B98" s="294"/>
      <c r="C98" s="294"/>
      <c r="D98" s="294"/>
      <c r="E98" s="294"/>
      <c r="F98" s="294"/>
      <c r="G98" s="294"/>
      <c r="H98" s="294"/>
    </row>
    <row r="99" spans="1:8">
      <c r="A99" s="295" t="s">
        <v>669</v>
      </c>
      <c r="B99" s="294"/>
      <c r="C99" s="294"/>
      <c r="D99" s="294"/>
      <c r="E99" s="294"/>
      <c r="F99" s="294"/>
      <c r="G99" s="294"/>
      <c r="H99" s="294"/>
    </row>
    <row r="100" spans="1:8">
      <c r="A100" s="295" t="s">
        <v>670</v>
      </c>
      <c r="B100" s="294"/>
      <c r="C100" s="294"/>
      <c r="D100" s="294"/>
      <c r="E100" s="294"/>
      <c r="F100" s="294"/>
      <c r="G100" s="294"/>
      <c r="H100" s="294"/>
    </row>
    <row r="101" spans="1:8">
      <c r="A101" s="294"/>
      <c r="B101" s="294"/>
      <c r="C101" s="294"/>
      <c r="D101" s="294"/>
      <c r="E101" s="294"/>
      <c r="F101" s="294"/>
      <c r="G101" s="294"/>
      <c r="H101" s="294"/>
    </row>
    <row r="102" spans="1:8" ht="15.75">
      <c r="A102" s="296" t="s">
        <v>442</v>
      </c>
      <c r="B102" s="294"/>
      <c r="C102" s="294"/>
      <c r="D102" s="294"/>
      <c r="E102" s="294"/>
      <c r="F102" s="294"/>
      <c r="G102" s="294"/>
      <c r="H102" s="294"/>
    </row>
    <row r="103" spans="1:8">
      <c r="A103" s="294"/>
      <c r="B103" s="294"/>
      <c r="C103" s="294"/>
      <c r="D103" s="294"/>
      <c r="E103" s="294"/>
      <c r="F103" s="294"/>
      <c r="G103" s="294"/>
      <c r="H103" s="294"/>
    </row>
    <row r="104" spans="1:8">
      <c r="A104" s="295" t="s">
        <v>660</v>
      </c>
      <c r="B104" s="294"/>
      <c r="C104" s="294"/>
      <c r="D104" s="294"/>
      <c r="E104" s="294"/>
      <c r="F104" s="294"/>
      <c r="G104" s="294"/>
      <c r="H104" s="294"/>
    </row>
    <row r="105" spans="1:8">
      <c r="A105" s="295" t="s">
        <v>661</v>
      </c>
      <c r="B105" s="294"/>
      <c r="C105" s="294"/>
      <c r="D105" s="294"/>
      <c r="E105" s="294"/>
      <c r="F105" s="294"/>
      <c r="G105" s="294"/>
      <c r="H105" s="294"/>
    </row>
    <row r="106" spans="1:8">
      <c r="A106" s="295" t="s">
        <v>662</v>
      </c>
      <c r="B106" s="294"/>
      <c r="C106" s="294"/>
      <c r="D106" s="294"/>
      <c r="E106" s="294"/>
      <c r="F106" s="294"/>
      <c r="G106" s="294"/>
      <c r="H106" s="294"/>
    </row>
    <row r="107" spans="1:8">
      <c r="A107" s="295" t="s">
        <v>663</v>
      </c>
      <c r="B107" s="294"/>
      <c r="C107" s="294"/>
      <c r="D107" s="294"/>
      <c r="E107" s="294"/>
      <c r="F107" s="294"/>
      <c r="G107" s="294"/>
      <c r="H107" s="294"/>
    </row>
    <row r="108" spans="1:8">
      <c r="A108" s="295" t="s">
        <v>664</v>
      </c>
      <c r="B108" s="294"/>
      <c r="C108" s="294"/>
      <c r="D108" s="294"/>
      <c r="E108" s="294"/>
      <c r="F108" s="294"/>
      <c r="G108" s="294"/>
      <c r="H108" s="294"/>
    </row>
    <row r="109" spans="1:8">
      <c r="A109" s="295" t="s">
        <v>665</v>
      </c>
      <c r="B109" s="294"/>
      <c r="C109" s="294"/>
      <c r="D109" s="294"/>
      <c r="E109" s="294"/>
      <c r="F109" s="294"/>
      <c r="G109" s="294"/>
      <c r="H109" s="294"/>
    </row>
    <row r="110" spans="1:8">
      <c r="A110" s="295" t="s">
        <v>666</v>
      </c>
      <c r="B110" s="294"/>
      <c r="C110" s="294"/>
      <c r="D110" s="294"/>
      <c r="E110" s="294"/>
      <c r="F110" s="294"/>
      <c r="G110" s="294"/>
      <c r="H110" s="294"/>
    </row>
    <row r="111" spans="1:8">
      <c r="A111" s="295" t="s">
        <v>667</v>
      </c>
      <c r="B111" s="294"/>
      <c r="C111" s="294"/>
      <c r="D111" s="294"/>
      <c r="E111" s="294"/>
      <c r="F111" s="294"/>
      <c r="G111" s="294"/>
      <c r="H111" s="294"/>
    </row>
    <row r="112" spans="1:8">
      <c r="A112" s="295" t="s">
        <v>668</v>
      </c>
      <c r="B112" s="294"/>
      <c r="C112" s="294"/>
      <c r="D112" s="294"/>
      <c r="E112" s="294"/>
      <c r="F112" s="294"/>
      <c r="G112" s="294"/>
      <c r="H112" s="294"/>
    </row>
    <row r="113" spans="1:8">
      <c r="A113" s="294"/>
      <c r="B113" s="294"/>
      <c r="C113" s="294"/>
      <c r="D113" s="294"/>
      <c r="E113" s="294"/>
      <c r="F113" s="294"/>
      <c r="G113" s="294"/>
      <c r="H113" s="294"/>
    </row>
    <row r="114" spans="1:8" ht="15.75">
      <c r="A114" s="297" t="s">
        <v>443</v>
      </c>
      <c r="B114" s="297"/>
      <c r="C114" s="297"/>
      <c r="D114" s="297"/>
      <c r="E114" s="297"/>
      <c r="F114" s="297"/>
      <c r="G114" s="297"/>
      <c r="H114" s="297"/>
    </row>
    <row r="115" spans="1:8">
      <c r="A115" s="298" t="s">
        <v>444</v>
      </c>
      <c r="B115" s="298"/>
      <c r="C115" s="298"/>
      <c r="D115" s="298"/>
      <c r="E115" s="298"/>
      <c r="F115" s="298"/>
      <c r="G115" s="298"/>
      <c r="H115" s="298"/>
    </row>
    <row r="116" spans="1:8">
      <c r="A116" s="299"/>
      <c r="B116" s="299"/>
      <c r="C116" s="299"/>
      <c r="D116" s="299"/>
      <c r="E116" s="299"/>
      <c r="F116" s="299"/>
      <c r="G116" s="299"/>
      <c r="H116" s="299"/>
    </row>
    <row r="117" spans="1:8">
      <c r="A117" s="298" t="s">
        <v>658</v>
      </c>
      <c r="B117" s="298"/>
      <c r="C117" s="298"/>
      <c r="D117" s="298"/>
      <c r="E117" s="298"/>
      <c r="F117" s="298"/>
      <c r="G117" s="298"/>
      <c r="H117" s="298"/>
    </row>
    <row r="118" spans="1:8">
      <c r="A118" s="295" t="s">
        <v>659</v>
      </c>
      <c r="B118" s="295"/>
      <c r="C118" s="295"/>
      <c r="D118" s="295"/>
      <c r="E118" s="295"/>
      <c r="F118" s="295"/>
      <c r="G118" s="295"/>
      <c r="H118" s="295"/>
    </row>
    <row r="119" spans="1:8">
      <c r="A119" s="299"/>
      <c r="B119" s="299"/>
      <c r="C119" s="299"/>
      <c r="D119" s="299"/>
      <c r="E119" s="299"/>
      <c r="F119" s="299"/>
      <c r="G119" s="299"/>
      <c r="H119" s="299"/>
    </row>
    <row r="120" spans="1:8">
      <c r="A120" s="298" t="s">
        <v>651</v>
      </c>
      <c r="B120" s="298"/>
      <c r="C120" s="298"/>
      <c r="D120" s="298"/>
      <c r="E120" s="298"/>
      <c r="F120" s="298"/>
      <c r="G120" s="298"/>
      <c r="H120" s="298"/>
    </row>
    <row r="121" spans="1:8">
      <c r="A121" s="295" t="s">
        <v>652</v>
      </c>
      <c r="B121" s="295"/>
      <c r="C121" s="295"/>
      <c r="D121" s="295"/>
      <c r="E121" s="295"/>
      <c r="F121" s="295"/>
      <c r="G121" s="295"/>
      <c r="H121" s="295"/>
    </row>
    <row r="122" spans="1:8">
      <c r="A122" s="295" t="s">
        <v>653</v>
      </c>
      <c r="B122" s="295"/>
      <c r="C122" s="295"/>
      <c r="D122" s="295"/>
      <c r="E122" s="295"/>
      <c r="F122" s="295"/>
      <c r="G122" s="295"/>
      <c r="H122" s="295"/>
    </row>
    <row r="123" spans="1:8">
      <c r="A123" s="295" t="s">
        <v>654</v>
      </c>
      <c r="B123" s="295"/>
      <c r="C123" s="295"/>
      <c r="D123" s="295"/>
      <c r="E123" s="295"/>
      <c r="F123" s="295"/>
      <c r="G123" s="295"/>
      <c r="H123" s="295"/>
    </row>
    <row r="124" spans="1:8">
      <c r="A124" s="295" t="s">
        <v>655</v>
      </c>
      <c r="B124" s="295"/>
      <c r="C124" s="295"/>
      <c r="D124" s="295"/>
      <c r="E124" s="295"/>
      <c r="F124" s="295"/>
      <c r="G124" s="295"/>
      <c r="H124" s="295"/>
    </row>
    <row r="125" spans="1:8">
      <c r="A125" s="295" t="s">
        <v>656</v>
      </c>
      <c r="B125" s="295"/>
      <c r="C125" s="295"/>
      <c r="D125" s="295"/>
      <c r="E125" s="295"/>
      <c r="F125" s="295"/>
      <c r="G125" s="295"/>
      <c r="H125" s="295"/>
    </row>
    <row r="126" spans="1:8">
      <c r="A126" s="295" t="s">
        <v>657</v>
      </c>
      <c r="B126" s="295"/>
      <c r="C126" s="295"/>
      <c r="D126" s="295"/>
      <c r="E126" s="295"/>
      <c r="F126" s="295"/>
      <c r="G126" s="295"/>
      <c r="H126" s="295"/>
    </row>
    <row r="127" spans="1:8">
      <c r="A127" s="300"/>
      <c r="B127" s="300"/>
      <c r="C127" s="300"/>
      <c r="D127" s="300"/>
      <c r="E127" s="300"/>
      <c r="F127" s="300"/>
      <c r="G127" s="300"/>
      <c r="H127" s="300"/>
    </row>
    <row r="128" spans="1:8">
      <c r="A128" s="301"/>
      <c r="B128" s="302" t="s">
        <v>445</v>
      </c>
      <c r="C128" s="303"/>
      <c r="D128" s="302" t="s">
        <v>446</v>
      </c>
      <c r="E128" s="304"/>
      <c r="F128" s="303"/>
      <c r="G128" s="302" t="s">
        <v>447</v>
      </c>
      <c r="H128" s="303"/>
    </row>
    <row r="129" spans="1:8">
      <c r="A129" s="301" t="s">
        <v>448</v>
      </c>
      <c r="B129" s="301" t="s">
        <v>376</v>
      </c>
      <c r="C129" s="301" t="s">
        <v>449</v>
      </c>
      <c r="D129" s="301" t="s">
        <v>376</v>
      </c>
      <c r="E129" s="301" t="s">
        <v>450</v>
      </c>
      <c r="F129" s="301" t="s">
        <v>451</v>
      </c>
      <c r="G129" s="301" t="s">
        <v>376</v>
      </c>
      <c r="H129" s="301" t="s">
        <v>452</v>
      </c>
    </row>
    <row r="130" spans="1:8">
      <c r="A130" s="301" t="s">
        <v>453</v>
      </c>
      <c r="B130" s="301">
        <v>1189</v>
      </c>
      <c r="C130" s="305">
        <v>0.38</v>
      </c>
      <c r="D130" s="301">
        <v>315</v>
      </c>
      <c r="E130" s="305">
        <v>0.41</v>
      </c>
      <c r="F130" s="305">
        <v>0.26</v>
      </c>
      <c r="G130" s="301">
        <v>555</v>
      </c>
      <c r="H130" s="305">
        <v>0.39</v>
      </c>
    </row>
    <row r="131" spans="1:8">
      <c r="A131" s="301" t="s">
        <v>454</v>
      </c>
      <c r="B131" s="301">
        <v>1355</v>
      </c>
      <c r="C131" s="305">
        <v>0.43</v>
      </c>
      <c r="D131" s="301">
        <v>364</v>
      </c>
      <c r="E131" s="305">
        <v>0.47</v>
      </c>
      <c r="F131" s="305">
        <v>0.27</v>
      </c>
      <c r="G131" s="301">
        <v>644</v>
      </c>
      <c r="H131" s="305">
        <v>0.45</v>
      </c>
    </row>
    <row r="132" spans="1:8">
      <c r="A132" s="301" t="s">
        <v>455</v>
      </c>
      <c r="B132" s="301">
        <v>53</v>
      </c>
      <c r="C132" s="305">
        <v>0.02</v>
      </c>
      <c r="D132" s="301">
        <v>4</v>
      </c>
      <c r="E132" s="305">
        <v>0.01</v>
      </c>
      <c r="F132" s="305">
        <v>0.08</v>
      </c>
      <c r="G132" s="301">
        <v>7</v>
      </c>
      <c r="H132" s="305">
        <v>0</v>
      </c>
    </row>
    <row r="133" spans="1:8">
      <c r="A133" s="301" t="s">
        <v>456</v>
      </c>
      <c r="B133" s="301">
        <v>545</v>
      </c>
      <c r="C133" s="305">
        <v>0.17</v>
      </c>
      <c r="D133" s="301">
        <v>84</v>
      </c>
      <c r="E133" s="305">
        <v>0.11</v>
      </c>
      <c r="F133" s="305">
        <v>0.15</v>
      </c>
      <c r="G133" s="301">
        <v>214</v>
      </c>
      <c r="H133" s="305">
        <v>0.15</v>
      </c>
    </row>
    <row r="134" spans="1:8">
      <c r="A134" s="301" t="s">
        <v>219</v>
      </c>
      <c r="B134" s="306">
        <v>3142</v>
      </c>
      <c r="C134" s="301"/>
      <c r="D134" s="301">
        <v>767</v>
      </c>
      <c r="E134" s="301"/>
      <c r="F134" s="301"/>
      <c r="G134" s="301">
        <v>1420</v>
      </c>
      <c r="H134" s="301"/>
    </row>
    <row r="135" spans="1:8">
      <c r="A135" s="307"/>
      <c r="B135" s="307"/>
      <c r="C135" s="307"/>
      <c r="D135" s="307"/>
      <c r="E135" s="307"/>
      <c r="F135" s="307"/>
      <c r="G135" s="307"/>
      <c r="H135" s="307"/>
    </row>
    <row r="136" spans="1:8">
      <c r="A136" s="298" t="s">
        <v>647</v>
      </c>
      <c r="B136" s="298"/>
      <c r="C136" s="298"/>
      <c r="D136" s="298"/>
      <c r="E136" s="298"/>
      <c r="F136" s="298"/>
      <c r="G136" s="298"/>
      <c r="H136" s="298"/>
    </row>
    <row r="137" spans="1:8">
      <c r="A137" s="295" t="s">
        <v>648</v>
      </c>
      <c r="B137" s="295"/>
      <c r="C137" s="295"/>
      <c r="D137" s="295"/>
      <c r="E137" s="295"/>
      <c r="F137" s="295"/>
      <c r="G137" s="295"/>
      <c r="H137" s="295"/>
    </row>
    <row r="138" spans="1:8">
      <c r="A138" s="295" t="s">
        <v>649</v>
      </c>
      <c r="B138" s="295"/>
      <c r="C138" s="295"/>
      <c r="D138" s="295"/>
      <c r="E138" s="295"/>
      <c r="F138" s="295"/>
      <c r="G138" s="295"/>
      <c r="H138" s="295"/>
    </row>
    <row r="139" spans="1:8">
      <c r="A139" s="295" t="s">
        <v>650</v>
      </c>
      <c r="B139" s="295"/>
      <c r="C139" s="295"/>
      <c r="D139" s="295"/>
      <c r="E139" s="295"/>
      <c r="F139" s="295"/>
      <c r="G139" s="295"/>
      <c r="H139" s="295"/>
    </row>
    <row r="140" spans="1:8">
      <c r="A140" s="294"/>
      <c r="B140" s="294"/>
      <c r="C140" s="294"/>
      <c r="D140" s="294"/>
      <c r="E140" s="294"/>
      <c r="F140" s="294"/>
      <c r="G140" s="294"/>
      <c r="H140" s="294"/>
    </row>
    <row r="141" spans="1:8" ht="15.75">
      <c r="A141" s="296" t="s">
        <v>457</v>
      </c>
      <c r="B141" s="294"/>
      <c r="C141" s="294"/>
      <c r="D141" s="294"/>
      <c r="E141" s="294"/>
      <c r="F141" s="294"/>
      <c r="G141" s="294"/>
      <c r="H141" s="294"/>
    </row>
    <row r="142" spans="1:8">
      <c r="A142" s="294"/>
      <c r="B142" s="294"/>
      <c r="C142" s="294"/>
      <c r="D142" s="294"/>
      <c r="E142" s="294"/>
      <c r="F142" s="294"/>
      <c r="G142" s="294"/>
      <c r="H142" s="294"/>
    </row>
    <row r="143" spans="1:8">
      <c r="A143" s="295" t="s">
        <v>645</v>
      </c>
      <c r="B143" s="294"/>
      <c r="C143" s="294"/>
      <c r="D143" s="294"/>
      <c r="E143" s="294"/>
      <c r="F143" s="294"/>
      <c r="G143" s="294"/>
      <c r="H143" s="294"/>
    </row>
    <row r="144" spans="1:8">
      <c r="A144" s="295" t="s">
        <v>646</v>
      </c>
      <c r="B144" s="294"/>
      <c r="C144" s="294"/>
      <c r="D144" s="294"/>
      <c r="E144" s="294"/>
      <c r="F144" s="294"/>
      <c r="G144" s="294"/>
      <c r="H144" s="294"/>
    </row>
    <row r="145" spans="1:8">
      <c r="A145" s="294"/>
      <c r="B145" s="294"/>
      <c r="C145" s="294"/>
      <c r="D145" s="294"/>
      <c r="E145" s="294"/>
      <c r="F145" s="294"/>
      <c r="G145" s="294"/>
      <c r="H145" s="294"/>
    </row>
    <row r="146" spans="1:8">
      <c r="A146" s="295" t="s">
        <v>642</v>
      </c>
      <c r="B146" s="294"/>
      <c r="C146" s="294"/>
      <c r="D146" s="294"/>
      <c r="E146" s="294"/>
      <c r="F146" s="294"/>
      <c r="G146" s="294"/>
      <c r="H146" s="294"/>
    </row>
    <row r="147" spans="1:8">
      <c r="A147" s="295" t="s">
        <v>643</v>
      </c>
      <c r="B147" s="294"/>
      <c r="C147" s="294"/>
      <c r="D147" s="294"/>
      <c r="E147" s="294"/>
      <c r="F147" s="294"/>
      <c r="G147" s="294"/>
      <c r="H147" s="294"/>
    </row>
    <row r="148" spans="1:8">
      <c r="A148" s="295" t="s">
        <v>644</v>
      </c>
      <c r="B148" s="294"/>
      <c r="C148" s="294"/>
      <c r="D148" s="294"/>
      <c r="E148" s="294"/>
      <c r="F148" s="294"/>
      <c r="G148" s="294"/>
      <c r="H148" s="294"/>
    </row>
    <row r="149" spans="1:8">
      <c r="A149" s="294"/>
      <c r="B149" s="294"/>
      <c r="C149" s="294"/>
      <c r="D149" s="294"/>
      <c r="E149" s="294"/>
      <c r="F149" s="294"/>
      <c r="G149" s="294"/>
      <c r="H149" s="294"/>
    </row>
    <row r="150" spans="1:8">
      <c r="A150" s="295" t="s">
        <v>639</v>
      </c>
      <c r="B150" s="294"/>
      <c r="C150" s="294"/>
      <c r="D150" s="294"/>
      <c r="E150" s="294"/>
      <c r="F150" s="294"/>
      <c r="G150" s="294"/>
      <c r="H150" s="294"/>
    </row>
    <row r="151" spans="1:8">
      <c r="A151" s="295" t="s">
        <v>640</v>
      </c>
      <c r="B151" s="294"/>
      <c r="C151" s="294"/>
      <c r="D151" s="294"/>
      <c r="E151" s="294"/>
      <c r="F151" s="294"/>
      <c r="G151" s="294"/>
      <c r="H151" s="294"/>
    </row>
    <row r="152" spans="1:8">
      <c r="A152" s="295" t="s">
        <v>641</v>
      </c>
      <c r="B152" s="294"/>
      <c r="C152" s="294"/>
      <c r="D152" s="294"/>
      <c r="E152" s="294"/>
      <c r="F152" s="294"/>
      <c r="G152" s="294"/>
      <c r="H152" s="294"/>
    </row>
    <row r="153" spans="1:8">
      <c r="A153" s="294"/>
      <c r="B153" s="294"/>
      <c r="C153" s="294"/>
      <c r="D153" s="294"/>
      <c r="E153" s="294"/>
      <c r="F153" s="294"/>
      <c r="G153" s="294"/>
      <c r="H153" s="294"/>
    </row>
    <row r="154" spans="1:8">
      <c r="A154" s="295" t="s">
        <v>636</v>
      </c>
      <c r="B154" s="294"/>
      <c r="C154" s="294"/>
      <c r="D154" s="294"/>
      <c r="E154" s="294"/>
      <c r="F154" s="294"/>
      <c r="G154" s="294"/>
      <c r="H154" s="294"/>
    </row>
    <row r="155" spans="1:8">
      <c r="A155" s="295" t="s">
        <v>637</v>
      </c>
      <c r="B155" s="294"/>
      <c r="C155" s="294"/>
      <c r="D155" s="294"/>
      <c r="E155" s="294"/>
      <c r="F155" s="294"/>
      <c r="G155" s="294"/>
      <c r="H155" s="294"/>
    </row>
    <row r="156" spans="1:8">
      <c r="A156" s="295" t="s">
        <v>638</v>
      </c>
      <c r="B156" s="294"/>
      <c r="C156" s="294"/>
      <c r="D156" s="294"/>
      <c r="E156" s="294"/>
      <c r="F156" s="294"/>
      <c r="G156" s="294"/>
      <c r="H156" s="294"/>
    </row>
    <row r="157" spans="1:8">
      <c r="A157" s="294"/>
      <c r="B157" s="294"/>
      <c r="C157" s="294"/>
      <c r="D157" s="294"/>
      <c r="E157" s="294"/>
      <c r="F157" s="294"/>
      <c r="G157" s="294"/>
      <c r="H157" s="294"/>
    </row>
    <row r="158" spans="1:8">
      <c r="A158" s="295" t="s">
        <v>634</v>
      </c>
      <c r="B158" s="294"/>
      <c r="C158" s="294"/>
      <c r="D158" s="294"/>
      <c r="E158" s="294"/>
      <c r="F158" s="294"/>
      <c r="G158" s="294"/>
      <c r="H158" s="294"/>
    </row>
    <row r="159" spans="1:8">
      <c r="A159" s="295" t="s">
        <v>635</v>
      </c>
      <c r="B159" s="294"/>
      <c r="C159" s="294"/>
      <c r="D159" s="294"/>
      <c r="E159" s="294"/>
      <c r="F159" s="294"/>
      <c r="G159" s="294"/>
      <c r="H159" s="294"/>
    </row>
    <row r="160" spans="1:8">
      <c r="A160" s="294"/>
      <c r="B160" s="294"/>
      <c r="C160" s="294"/>
      <c r="D160" s="294"/>
      <c r="E160" s="294"/>
      <c r="F160" s="294"/>
      <c r="G160" s="294"/>
      <c r="H160" s="294"/>
    </row>
    <row r="161" spans="1:8" ht="15.75">
      <c r="A161" s="296" t="s">
        <v>458</v>
      </c>
      <c r="B161" s="294"/>
      <c r="C161" s="294"/>
      <c r="D161" s="294"/>
      <c r="E161" s="294"/>
      <c r="F161" s="294"/>
      <c r="G161" s="294"/>
      <c r="H161" s="294"/>
    </row>
    <row r="162" spans="1:8">
      <c r="A162" s="294"/>
      <c r="B162" s="294"/>
      <c r="C162" s="294"/>
      <c r="D162" s="294"/>
      <c r="E162" s="294"/>
      <c r="F162" s="294"/>
      <c r="G162" s="294"/>
      <c r="H162" s="294"/>
    </row>
    <row r="163" spans="1:8">
      <c r="A163" s="295" t="s">
        <v>632</v>
      </c>
      <c r="B163" s="294"/>
      <c r="C163" s="294"/>
      <c r="D163" s="294"/>
      <c r="E163" s="294"/>
      <c r="F163" s="294"/>
      <c r="G163" s="294"/>
      <c r="H163" s="294"/>
    </row>
    <row r="164" spans="1:8">
      <c r="A164" s="295" t="s">
        <v>633</v>
      </c>
      <c r="B164" s="294"/>
      <c r="C164" s="294"/>
      <c r="D164" s="294"/>
      <c r="E164" s="294"/>
      <c r="F164" s="294"/>
      <c r="G164" s="294"/>
      <c r="H164" s="294"/>
    </row>
    <row r="165" spans="1:8">
      <c r="A165" s="294"/>
      <c r="B165" s="294"/>
      <c r="C165" s="294"/>
      <c r="D165" s="294"/>
      <c r="E165" s="294"/>
      <c r="F165" s="294"/>
      <c r="G165" s="294"/>
      <c r="H165" s="294"/>
    </row>
    <row r="166" spans="1:8">
      <c r="A166" s="295" t="s">
        <v>630</v>
      </c>
      <c r="B166" s="294"/>
      <c r="C166" s="294"/>
      <c r="D166" s="294"/>
      <c r="E166" s="294"/>
      <c r="F166" s="294"/>
      <c r="G166" s="294"/>
      <c r="H166" s="294"/>
    </row>
    <row r="167" spans="1:8">
      <c r="A167" s="295" t="s">
        <v>631</v>
      </c>
      <c r="B167" s="294"/>
      <c r="C167" s="294"/>
      <c r="D167" s="294"/>
      <c r="E167" s="294"/>
      <c r="F167" s="294"/>
      <c r="G167" s="294"/>
      <c r="H167" s="294"/>
    </row>
    <row r="168" spans="1:8">
      <c r="A168" s="294"/>
      <c r="B168" s="294"/>
      <c r="C168" s="294"/>
      <c r="D168" s="294"/>
      <c r="E168" s="294"/>
      <c r="F168" s="294"/>
      <c r="G168" s="294"/>
      <c r="H168" s="294"/>
    </row>
    <row r="169" spans="1:8">
      <c r="A169" s="295" t="s">
        <v>628</v>
      </c>
      <c r="B169" s="294"/>
      <c r="C169" s="294"/>
      <c r="D169" s="294"/>
      <c r="E169" s="294"/>
      <c r="F169" s="294"/>
      <c r="G169" s="294"/>
      <c r="H169" s="294"/>
    </row>
    <row r="170" spans="1:8">
      <c r="A170" s="295" t="s">
        <v>629</v>
      </c>
      <c r="B170" s="294"/>
      <c r="C170" s="294"/>
      <c r="D170" s="294"/>
      <c r="E170" s="294"/>
      <c r="F170" s="294"/>
      <c r="G170" s="294"/>
      <c r="H170" s="294"/>
    </row>
    <row r="171" spans="1:8">
      <c r="A171" s="294"/>
      <c r="B171" s="294"/>
      <c r="C171" s="294"/>
      <c r="D171" s="294"/>
      <c r="E171" s="294"/>
      <c r="F171" s="294"/>
      <c r="G171" s="294"/>
      <c r="H171" s="294"/>
    </row>
    <row r="172" spans="1:8">
      <c r="A172" s="295" t="s">
        <v>625</v>
      </c>
      <c r="B172" s="294"/>
      <c r="C172" s="294"/>
      <c r="D172" s="294"/>
      <c r="E172" s="294"/>
      <c r="F172" s="294"/>
      <c r="G172" s="294"/>
      <c r="H172" s="294"/>
    </row>
    <row r="173" spans="1:8">
      <c r="A173" s="295" t="s">
        <v>626</v>
      </c>
      <c r="B173" s="294"/>
      <c r="C173" s="294"/>
      <c r="D173" s="294"/>
      <c r="E173" s="294"/>
      <c r="F173" s="294"/>
      <c r="G173" s="294"/>
      <c r="H173" s="294"/>
    </row>
    <row r="174" spans="1:8">
      <c r="A174" s="295" t="s">
        <v>627</v>
      </c>
      <c r="B174" s="294"/>
      <c r="C174" s="294"/>
      <c r="D174" s="294"/>
      <c r="E174" s="294"/>
      <c r="F174" s="294"/>
      <c r="G174" s="294"/>
      <c r="H174" s="294"/>
    </row>
    <row r="175" spans="1:8">
      <c r="A175" s="294"/>
      <c r="B175" s="294"/>
      <c r="C175" s="294"/>
      <c r="D175" s="294"/>
      <c r="E175" s="294"/>
      <c r="F175" s="294"/>
      <c r="G175" s="294"/>
      <c r="H175" s="294"/>
    </row>
    <row r="176" spans="1:8">
      <c r="A176" s="294"/>
      <c r="B176" s="294"/>
      <c r="C176" s="294"/>
      <c r="D176" s="294"/>
      <c r="E176" s="294"/>
      <c r="F176" s="294"/>
      <c r="G176" s="294"/>
      <c r="H176" s="294"/>
    </row>
    <row r="177" spans="1:8">
      <c r="A177" s="295" t="s">
        <v>459</v>
      </c>
      <c r="B177" s="294"/>
      <c r="C177" s="294"/>
      <c r="D177" s="294"/>
      <c r="E177" s="294"/>
      <c r="F177" s="294"/>
      <c r="G177" s="294"/>
      <c r="H177" s="294"/>
    </row>
    <row r="178" spans="1:8">
      <c r="A178" s="294"/>
      <c r="B178" s="294"/>
      <c r="C178" s="294"/>
      <c r="D178" s="294"/>
      <c r="E178" s="294"/>
      <c r="F178" s="294"/>
      <c r="G178" s="294"/>
      <c r="H178" s="294"/>
    </row>
    <row r="179" spans="1:8" ht="15.75">
      <c r="A179" s="296" t="s">
        <v>460</v>
      </c>
      <c r="B179" s="294"/>
      <c r="C179" s="294"/>
      <c r="D179" s="294"/>
      <c r="E179" s="294"/>
      <c r="F179" s="294"/>
      <c r="G179" s="294"/>
      <c r="H179" s="294"/>
    </row>
    <row r="180" spans="1:8">
      <c r="A180" s="294"/>
      <c r="B180" s="294"/>
      <c r="C180" s="294"/>
      <c r="D180" s="294"/>
      <c r="E180" s="294"/>
      <c r="F180" s="294"/>
      <c r="G180" s="294"/>
      <c r="H180" s="294"/>
    </row>
    <row r="181" spans="1:8">
      <c r="A181" s="294"/>
      <c r="B181" s="294"/>
      <c r="C181" s="294"/>
      <c r="D181" s="294"/>
      <c r="E181" s="294"/>
      <c r="F181" s="294"/>
      <c r="G181" s="294"/>
      <c r="H181" s="294"/>
    </row>
    <row r="182" spans="1:8">
      <c r="A182" s="294"/>
      <c r="B182" s="294"/>
      <c r="C182" s="294"/>
      <c r="D182" s="294"/>
      <c r="E182" s="294"/>
      <c r="F182" s="294"/>
      <c r="G182" s="294"/>
      <c r="H182" s="294"/>
    </row>
    <row r="183" spans="1:8">
      <c r="A183" s="294"/>
      <c r="B183" s="294"/>
      <c r="C183" s="294"/>
      <c r="D183" s="294"/>
      <c r="E183" s="294"/>
      <c r="F183" s="294"/>
      <c r="G183" s="294"/>
      <c r="H183" s="294"/>
    </row>
    <row r="184" spans="1:8">
      <c r="A184" s="294"/>
      <c r="B184" s="294"/>
      <c r="C184" s="294"/>
      <c r="D184" s="294"/>
      <c r="E184" s="294"/>
      <c r="F184" s="294"/>
      <c r="G184" s="294"/>
      <c r="H184" s="294"/>
    </row>
    <row r="185" spans="1:8">
      <c r="A185" s="294"/>
      <c r="B185" s="294"/>
      <c r="C185" s="294"/>
      <c r="D185" s="294"/>
      <c r="E185" s="294"/>
      <c r="F185" s="294"/>
      <c r="G185" s="294"/>
      <c r="H185" s="294"/>
    </row>
    <row r="186" spans="1:8">
      <c r="A186" s="294"/>
      <c r="B186" s="294"/>
      <c r="C186" s="294"/>
      <c r="D186" s="294"/>
      <c r="E186" s="294"/>
      <c r="F186" s="294"/>
      <c r="G186" s="294"/>
      <c r="H186" s="294"/>
    </row>
    <row r="187" spans="1:8">
      <c r="A187" s="294"/>
      <c r="B187" s="294"/>
      <c r="C187" s="294"/>
      <c r="D187" s="294"/>
      <c r="E187" s="294"/>
      <c r="F187" s="294"/>
      <c r="G187" s="294"/>
      <c r="H187" s="294"/>
    </row>
    <row r="188" spans="1:8">
      <c r="A188" s="294"/>
      <c r="B188" s="294"/>
      <c r="C188" s="294"/>
      <c r="D188" s="294"/>
      <c r="E188" s="294"/>
      <c r="F188" s="294"/>
      <c r="G188" s="294"/>
      <c r="H188" s="294"/>
    </row>
    <row r="189" spans="1:8">
      <c r="A189" s="294"/>
      <c r="B189" s="294"/>
      <c r="C189" s="294"/>
      <c r="D189" s="294"/>
      <c r="E189" s="294"/>
      <c r="F189" s="294"/>
      <c r="G189" s="294"/>
      <c r="H189" s="294"/>
    </row>
    <row r="190" spans="1:8">
      <c r="A190" s="294"/>
      <c r="B190" s="294"/>
      <c r="C190" s="294"/>
      <c r="D190" s="294"/>
      <c r="E190" s="294"/>
      <c r="F190" s="294"/>
      <c r="G190" s="294"/>
      <c r="H190" s="294"/>
    </row>
    <row r="191" spans="1:8">
      <c r="A191" s="294"/>
      <c r="B191" s="294"/>
      <c r="C191" s="294"/>
      <c r="D191" s="294"/>
      <c r="E191" s="294"/>
      <c r="F191" s="294"/>
      <c r="G191" s="294"/>
      <c r="H191" s="294"/>
    </row>
    <row r="192" spans="1:8">
      <c r="A192" s="294"/>
      <c r="B192" s="294"/>
      <c r="C192" s="294"/>
      <c r="D192" s="294"/>
      <c r="E192" s="294"/>
      <c r="F192" s="294"/>
      <c r="G192" s="294"/>
      <c r="H192" s="294"/>
    </row>
    <row r="193" spans="1:8">
      <c r="A193" s="294"/>
      <c r="B193" s="294"/>
      <c r="C193" s="294"/>
      <c r="D193" s="294"/>
      <c r="E193" s="294"/>
      <c r="F193" s="294"/>
      <c r="G193" s="294"/>
      <c r="H193" s="294"/>
    </row>
    <row r="194" spans="1:8">
      <c r="A194" s="294"/>
      <c r="B194" s="294"/>
      <c r="C194" s="294"/>
      <c r="D194" s="294"/>
      <c r="E194" s="294"/>
      <c r="F194" s="294"/>
      <c r="G194" s="294"/>
      <c r="H194" s="294"/>
    </row>
    <row r="195" spans="1:8">
      <c r="A195" s="294"/>
      <c r="B195" s="294"/>
      <c r="C195" s="294"/>
      <c r="D195" s="294"/>
      <c r="E195" s="294"/>
      <c r="F195" s="294"/>
      <c r="G195" s="294"/>
      <c r="H195" s="294"/>
    </row>
    <row r="196" spans="1:8">
      <c r="A196" s="294"/>
      <c r="B196" s="294"/>
      <c r="C196" s="294"/>
      <c r="D196" s="294"/>
      <c r="E196" s="294"/>
      <c r="F196" s="294"/>
      <c r="G196" s="294"/>
      <c r="H196" s="294"/>
    </row>
    <row r="197" spans="1:8">
      <c r="A197" s="294"/>
      <c r="B197" s="294"/>
      <c r="C197" s="294"/>
      <c r="D197" s="294"/>
      <c r="E197" s="294"/>
      <c r="F197" s="294"/>
      <c r="G197" s="294"/>
      <c r="H197" s="294"/>
    </row>
    <row r="198" spans="1:8">
      <c r="A198" s="294"/>
      <c r="B198" s="294"/>
      <c r="C198" s="294"/>
      <c r="D198" s="294"/>
      <c r="E198" s="294"/>
      <c r="F198" s="294"/>
      <c r="G198" s="294"/>
      <c r="H198" s="294"/>
    </row>
    <row r="199" spans="1:8">
      <c r="A199" s="294"/>
      <c r="B199" s="294"/>
      <c r="C199" s="294"/>
      <c r="D199" s="294"/>
      <c r="E199" s="294"/>
      <c r="F199" s="294"/>
      <c r="G199" s="294"/>
      <c r="H199" s="294"/>
    </row>
    <row r="200" spans="1:8">
      <c r="A200" s="294"/>
      <c r="B200" s="294"/>
      <c r="C200" s="294"/>
      <c r="D200" s="294"/>
      <c r="E200" s="294"/>
      <c r="F200" s="294"/>
      <c r="G200" s="294"/>
      <c r="H200" s="294"/>
    </row>
    <row r="201" spans="1:8">
      <c r="A201" s="294"/>
      <c r="B201" s="294"/>
      <c r="C201" s="294"/>
      <c r="D201" s="294"/>
      <c r="E201" s="294"/>
      <c r="F201" s="294"/>
      <c r="G201" s="294"/>
      <c r="H201" s="294"/>
    </row>
    <row r="202" spans="1:8">
      <c r="A202" s="294"/>
      <c r="B202" s="294"/>
      <c r="C202" s="294"/>
      <c r="D202" s="294"/>
      <c r="E202" s="294"/>
      <c r="F202" s="294"/>
      <c r="G202" s="294"/>
      <c r="H202" s="294"/>
    </row>
    <row r="203" spans="1:8">
      <c r="A203" s="294"/>
      <c r="B203" s="294"/>
      <c r="C203" s="294"/>
      <c r="D203" s="294"/>
      <c r="E203" s="294"/>
      <c r="F203" s="294"/>
      <c r="G203" s="294"/>
      <c r="H203" s="294"/>
    </row>
    <row r="204" spans="1:8">
      <c r="A204" s="294"/>
      <c r="B204" s="294"/>
      <c r="C204" s="294"/>
      <c r="D204" s="294"/>
      <c r="E204" s="294"/>
      <c r="F204" s="294"/>
      <c r="G204" s="294"/>
      <c r="H204" s="294"/>
    </row>
    <row r="205" spans="1:8">
      <c r="A205" s="294"/>
      <c r="B205" s="294"/>
      <c r="C205" s="294"/>
      <c r="D205" s="294"/>
      <c r="E205" s="294"/>
      <c r="F205" s="294"/>
      <c r="G205" s="294"/>
      <c r="H205" s="294"/>
    </row>
    <row r="206" spans="1:8" ht="15.75">
      <c r="A206" s="296" t="s">
        <v>461</v>
      </c>
      <c r="B206" s="294"/>
      <c r="C206" s="294"/>
      <c r="D206" s="294"/>
      <c r="E206" s="294"/>
      <c r="F206" s="294"/>
      <c r="G206" s="294"/>
      <c r="H206" s="294"/>
    </row>
    <row r="207" spans="1:8">
      <c r="A207" s="294"/>
      <c r="B207" s="294"/>
      <c r="C207" s="294"/>
      <c r="D207" s="294"/>
      <c r="E207" s="294"/>
      <c r="F207" s="294"/>
      <c r="G207" s="294"/>
      <c r="H207" s="294"/>
    </row>
    <row r="208" spans="1:8">
      <c r="A208" s="295" t="s">
        <v>620</v>
      </c>
      <c r="B208" s="294"/>
      <c r="C208" s="294"/>
      <c r="D208" s="294"/>
      <c r="E208" s="294"/>
      <c r="F208" s="294"/>
      <c r="G208" s="294"/>
      <c r="H208" s="294"/>
    </row>
    <row r="209" spans="1:8">
      <c r="A209" s="295" t="s">
        <v>621</v>
      </c>
      <c r="B209" s="294"/>
      <c r="C209" s="294"/>
      <c r="D209" s="294"/>
      <c r="E209" s="294"/>
      <c r="F209" s="294"/>
      <c r="G209" s="294"/>
      <c r="H209" s="294"/>
    </row>
    <row r="210" spans="1:8">
      <c r="A210" s="295" t="s">
        <v>622</v>
      </c>
      <c r="B210" s="294"/>
      <c r="C210" s="294"/>
      <c r="D210" s="294"/>
      <c r="E210" s="294"/>
      <c r="F210" s="294"/>
      <c r="G210" s="294"/>
      <c r="H210" s="294"/>
    </row>
    <row r="211" spans="1:8">
      <c r="A211" s="295" t="s">
        <v>623</v>
      </c>
      <c r="B211" s="294"/>
      <c r="C211" s="294"/>
      <c r="D211" s="294"/>
      <c r="E211" s="294"/>
      <c r="F211" s="294"/>
      <c r="G211" s="294"/>
      <c r="H211" s="294"/>
    </row>
    <row r="212" spans="1:8">
      <c r="A212" s="295" t="s">
        <v>624</v>
      </c>
      <c r="B212" s="294"/>
      <c r="C212" s="294"/>
      <c r="D212" s="294"/>
      <c r="E212" s="294"/>
      <c r="F212" s="294"/>
      <c r="G212" s="294"/>
      <c r="H212" s="294"/>
    </row>
    <row r="213" spans="1:8">
      <c r="A213" s="294"/>
      <c r="B213" s="294"/>
      <c r="C213" s="294"/>
      <c r="D213" s="294"/>
      <c r="E213" s="294"/>
      <c r="F213" s="294"/>
      <c r="G213" s="294"/>
      <c r="H213" s="294"/>
    </row>
    <row r="214" spans="1:8">
      <c r="A214" s="295" t="s">
        <v>617</v>
      </c>
      <c r="B214" s="294"/>
      <c r="C214" s="294"/>
      <c r="D214" s="294"/>
      <c r="E214" s="294"/>
      <c r="F214" s="294"/>
      <c r="G214" s="294"/>
      <c r="H214" s="294"/>
    </row>
    <row r="215" spans="1:8">
      <c r="A215" s="295" t="s">
        <v>618</v>
      </c>
      <c r="B215" s="294"/>
      <c r="C215" s="294"/>
      <c r="D215" s="294"/>
      <c r="E215" s="294"/>
      <c r="F215" s="294"/>
      <c r="G215" s="294"/>
      <c r="H215" s="294"/>
    </row>
    <row r="216" spans="1:8">
      <c r="A216" s="295" t="s">
        <v>619</v>
      </c>
      <c r="B216" s="294"/>
      <c r="C216" s="294"/>
      <c r="D216" s="294"/>
      <c r="E216" s="294"/>
      <c r="F216" s="294"/>
      <c r="G216" s="294"/>
      <c r="H216" s="294"/>
    </row>
    <row r="217" spans="1:8" ht="15.75">
      <c r="A217" s="296" t="s">
        <v>462</v>
      </c>
      <c r="B217" s="294"/>
      <c r="C217" s="294"/>
      <c r="D217" s="294"/>
      <c r="E217" s="294"/>
      <c r="F217" s="294"/>
      <c r="G217" s="294"/>
      <c r="H217" s="294"/>
    </row>
    <row r="218" spans="1:8">
      <c r="A218" s="294"/>
      <c r="B218" s="294"/>
      <c r="C218" s="294"/>
      <c r="D218" s="294"/>
      <c r="E218" s="294"/>
      <c r="F218" s="294"/>
      <c r="G218" s="294"/>
      <c r="H218" s="294"/>
    </row>
    <row r="219" spans="1:8">
      <c r="A219" s="295" t="s">
        <v>610</v>
      </c>
      <c r="B219" s="294"/>
      <c r="C219" s="294"/>
      <c r="D219" s="294"/>
      <c r="E219" s="294"/>
      <c r="F219" s="294"/>
      <c r="G219" s="294"/>
      <c r="H219" s="294"/>
    </row>
    <row r="220" spans="1:8">
      <c r="A220" s="295" t="s">
        <v>611</v>
      </c>
      <c r="B220" s="294"/>
      <c r="C220" s="294"/>
      <c r="D220" s="294"/>
      <c r="E220" s="294"/>
      <c r="F220" s="294"/>
      <c r="G220" s="294"/>
      <c r="H220" s="294"/>
    </row>
    <row r="221" spans="1:8">
      <c r="A221" s="295" t="s">
        <v>612</v>
      </c>
      <c r="B221" s="294"/>
      <c r="C221" s="294"/>
      <c r="D221" s="294"/>
      <c r="E221" s="294"/>
      <c r="F221" s="294"/>
      <c r="G221" s="294"/>
      <c r="H221" s="294"/>
    </row>
    <row r="222" spans="1:8">
      <c r="A222" s="295" t="s">
        <v>613</v>
      </c>
      <c r="B222" s="294"/>
      <c r="C222" s="294"/>
      <c r="D222" s="294"/>
      <c r="E222" s="294"/>
      <c r="F222" s="294"/>
      <c r="G222" s="294"/>
      <c r="H222" s="294"/>
    </row>
    <row r="223" spans="1:8">
      <c r="A223" s="295" t="s">
        <v>614</v>
      </c>
      <c r="B223" s="294"/>
      <c r="C223" s="294"/>
      <c r="D223" s="294"/>
      <c r="E223" s="294"/>
      <c r="F223" s="294"/>
      <c r="G223" s="294"/>
      <c r="H223" s="294"/>
    </row>
    <row r="224" spans="1:8">
      <c r="A224" s="295" t="s">
        <v>615</v>
      </c>
      <c r="B224" s="294"/>
      <c r="C224" s="294"/>
      <c r="D224" s="294"/>
      <c r="E224" s="294"/>
      <c r="F224" s="294"/>
      <c r="G224" s="294"/>
      <c r="H224" s="294"/>
    </row>
    <row r="225" spans="1:8">
      <c r="A225" s="295" t="s">
        <v>616</v>
      </c>
      <c r="B225" s="294"/>
      <c r="C225" s="294"/>
      <c r="D225" s="294"/>
      <c r="E225" s="294"/>
      <c r="F225" s="294"/>
      <c r="G225" s="294"/>
      <c r="H225" s="294"/>
    </row>
    <row r="226" spans="1:8">
      <c r="A226" s="294"/>
      <c r="B226" s="294"/>
      <c r="C226" s="294"/>
      <c r="D226" s="294"/>
      <c r="E226" s="294"/>
      <c r="F226" s="294"/>
      <c r="G226" s="294"/>
      <c r="H226" s="294"/>
    </row>
    <row r="227" spans="1:8">
      <c r="A227" s="295" t="s">
        <v>607</v>
      </c>
      <c r="B227" s="294"/>
      <c r="C227" s="294"/>
      <c r="D227" s="294"/>
      <c r="E227" s="294"/>
      <c r="F227" s="294"/>
      <c r="G227" s="294"/>
      <c r="H227" s="294"/>
    </row>
    <row r="228" spans="1:8">
      <c r="A228" s="295" t="s">
        <v>608</v>
      </c>
      <c r="B228" s="294"/>
      <c r="C228" s="294"/>
      <c r="D228" s="294"/>
      <c r="E228" s="294"/>
      <c r="F228" s="294"/>
      <c r="G228" s="294"/>
      <c r="H228" s="294"/>
    </row>
    <row r="229" spans="1:8">
      <c r="A229" s="295" t="s">
        <v>609</v>
      </c>
      <c r="B229" s="294"/>
      <c r="C229" s="294"/>
      <c r="D229" s="294"/>
      <c r="E229" s="294"/>
      <c r="F229" s="294"/>
      <c r="G229" s="294"/>
      <c r="H229" s="294"/>
    </row>
    <row r="230" spans="1:8">
      <c r="A230" s="294"/>
      <c r="B230" s="294"/>
      <c r="C230" s="294"/>
      <c r="D230" s="294"/>
      <c r="E230" s="294"/>
      <c r="F230" s="294"/>
      <c r="G230" s="294"/>
      <c r="H230" s="294"/>
    </row>
    <row r="231" spans="1:8">
      <c r="A231" s="295" t="s">
        <v>602</v>
      </c>
      <c r="B231" s="294"/>
      <c r="C231" s="294"/>
      <c r="D231" s="294"/>
      <c r="E231" s="294"/>
      <c r="F231" s="294"/>
      <c r="G231" s="294"/>
      <c r="H231" s="294"/>
    </row>
    <row r="232" spans="1:8">
      <c r="A232" s="295" t="s">
        <v>603</v>
      </c>
      <c r="B232" s="294"/>
      <c r="C232" s="294"/>
      <c r="D232" s="294"/>
      <c r="E232" s="294"/>
      <c r="F232" s="294"/>
      <c r="G232" s="294"/>
      <c r="H232" s="294"/>
    </row>
    <row r="233" spans="1:8">
      <c r="A233" s="295" t="s">
        <v>604</v>
      </c>
      <c r="B233" s="294"/>
      <c r="C233" s="294"/>
      <c r="D233" s="294"/>
      <c r="E233" s="294"/>
      <c r="F233" s="294"/>
      <c r="G233" s="294"/>
      <c r="H233" s="294"/>
    </row>
    <row r="234" spans="1:8">
      <c r="A234" s="295" t="s">
        <v>605</v>
      </c>
      <c r="B234" s="294"/>
      <c r="C234" s="294"/>
      <c r="D234" s="294"/>
      <c r="E234" s="294"/>
      <c r="F234" s="294"/>
      <c r="G234" s="294"/>
      <c r="H234" s="294"/>
    </row>
    <row r="235" spans="1:8">
      <c r="A235" s="295" t="s">
        <v>606</v>
      </c>
      <c r="B235" s="294"/>
      <c r="C235" s="294"/>
      <c r="D235" s="294"/>
      <c r="E235" s="294"/>
      <c r="F235" s="294"/>
      <c r="G235" s="294"/>
      <c r="H235" s="294"/>
    </row>
    <row r="236" spans="1:8">
      <c r="A236" s="294"/>
      <c r="B236" s="294"/>
      <c r="C236" s="294"/>
      <c r="D236" s="294"/>
      <c r="E236" s="294"/>
      <c r="F236" s="294"/>
      <c r="G236" s="294"/>
      <c r="H236" s="294"/>
    </row>
    <row r="237" spans="1:8">
      <c r="A237" s="295" t="s">
        <v>596</v>
      </c>
      <c r="B237" s="294"/>
      <c r="C237" s="294"/>
      <c r="D237" s="294"/>
      <c r="E237" s="294"/>
      <c r="F237" s="294"/>
      <c r="G237" s="294"/>
      <c r="H237" s="294"/>
    </row>
    <row r="238" spans="1:8">
      <c r="A238" s="295" t="s">
        <v>597</v>
      </c>
      <c r="B238" s="294"/>
      <c r="C238" s="294"/>
      <c r="D238" s="294"/>
      <c r="E238" s="294"/>
      <c r="F238" s="294"/>
      <c r="G238" s="294"/>
      <c r="H238" s="294"/>
    </row>
    <row r="239" spans="1:8">
      <c r="A239" s="295" t="s">
        <v>598</v>
      </c>
      <c r="B239" s="294"/>
      <c r="C239" s="294"/>
      <c r="D239" s="294"/>
      <c r="E239" s="294"/>
      <c r="F239" s="294"/>
      <c r="G239" s="294"/>
      <c r="H239" s="294"/>
    </row>
    <row r="240" spans="1:8">
      <c r="A240" s="295" t="s">
        <v>599</v>
      </c>
      <c r="B240" s="294"/>
      <c r="C240" s="294"/>
      <c r="D240" s="294"/>
      <c r="E240" s="294"/>
      <c r="F240" s="294"/>
      <c r="G240" s="294"/>
      <c r="H240" s="294"/>
    </row>
    <row r="241" spans="1:8">
      <c r="A241" s="295" t="s">
        <v>600</v>
      </c>
      <c r="B241" s="294"/>
      <c r="C241" s="294"/>
      <c r="D241" s="294"/>
      <c r="E241" s="294"/>
      <c r="F241" s="294"/>
      <c r="G241" s="294"/>
      <c r="H241" s="294"/>
    </row>
    <row r="242" spans="1:8">
      <c r="A242" s="295" t="s">
        <v>601</v>
      </c>
      <c r="B242" s="294"/>
      <c r="C242" s="294"/>
      <c r="D242" s="294"/>
      <c r="E242" s="294"/>
      <c r="F242" s="294"/>
      <c r="G242" s="294"/>
      <c r="H242" s="294"/>
    </row>
    <row r="243" spans="1:8">
      <c r="A243" s="294"/>
      <c r="B243" s="294"/>
      <c r="C243" s="294"/>
      <c r="D243" s="294"/>
      <c r="E243" s="294"/>
      <c r="F243" s="294"/>
      <c r="G243" s="294"/>
      <c r="H243" s="294"/>
    </row>
    <row r="244" spans="1:8">
      <c r="A244" s="295" t="s">
        <v>586</v>
      </c>
      <c r="B244" s="294"/>
      <c r="C244" s="294"/>
      <c r="D244" s="294"/>
      <c r="E244" s="294"/>
      <c r="F244" s="294"/>
      <c r="G244" s="294"/>
      <c r="H244" s="294"/>
    </row>
    <row r="245" spans="1:8">
      <c r="A245" s="295" t="s">
        <v>587</v>
      </c>
      <c r="B245" s="294"/>
      <c r="C245" s="294"/>
      <c r="D245" s="294"/>
      <c r="E245" s="294"/>
      <c r="F245" s="294"/>
      <c r="G245" s="294"/>
      <c r="H245" s="294"/>
    </row>
    <row r="246" spans="1:8">
      <c r="A246" s="295" t="s">
        <v>588</v>
      </c>
      <c r="B246" s="294"/>
      <c r="C246" s="294"/>
      <c r="D246" s="294"/>
      <c r="E246" s="294"/>
      <c r="F246" s="294"/>
      <c r="G246" s="294"/>
      <c r="H246" s="294"/>
    </row>
    <row r="247" spans="1:8">
      <c r="A247" s="295" t="s">
        <v>589</v>
      </c>
      <c r="B247" s="294"/>
      <c r="C247" s="294"/>
      <c r="D247" s="294"/>
      <c r="E247" s="294"/>
      <c r="F247" s="294"/>
      <c r="G247" s="294"/>
      <c r="H247" s="294"/>
    </row>
    <row r="248" spans="1:8">
      <c r="A248" s="295" t="s">
        <v>590</v>
      </c>
      <c r="B248" s="294"/>
      <c r="C248" s="294"/>
      <c r="D248" s="294"/>
      <c r="E248" s="294"/>
      <c r="F248" s="294"/>
      <c r="G248" s="294"/>
      <c r="H248" s="294"/>
    </row>
    <row r="249" spans="1:8">
      <c r="A249" s="295" t="s">
        <v>591</v>
      </c>
      <c r="B249" s="294"/>
      <c r="C249" s="294"/>
      <c r="D249" s="294"/>
      <c r="E249" s="294"/>
      <c r="F249" s="294"/>
      <c r="G249" s="294"/>
      <c r="H249" s="294"/>
    </row>
    <row r="250" spans="1:8">
      <c r="A250" s="295" t="s">
        <v>592</v>
      </c>
      <c r="B250" s="294"/>
      <c r="C250" s="294"/>
      <c r="D250" s="294"/>
      <c r="E250" s="294"/>
      <c r="F250" s="294"/>
      <c r="G250" s="294"/>
      <c r="H250" s="294"/>
    </row>
    <row r="251" spans="1:8">
      <c r="A251" s="295" t="s">
        <v>593</v>
      </c>
      <c r="B251" s="294"/>
      <c r="C251" s="294"/>
      <c r="D251" s="294"/>
      <c r="E251" s="294"/>
      <c r="F251" s="294"/>
      <c r="G251" s="294"/>
      <c r="H251" s="294"/>
    </row>
    <row r="252" spans="1:8">
      <c r="A252" s="295" t="s">
        <v>594</v>
      </c>
      <c r="B252" s="294"/>
      <c r="C252" s="294"/>
      <c r="D252" s="294"/>
      <c r="E252" s="294"/>
      <c r="F252" s="294"/>
      <c r="G252" s="294"/>
      <c r="H252" s="294"/>
    </row>
    <row r="253" spans="1:8">
      <c r="A253" s="295" t="s">
        <v>595</v>
      </c>
      <c r="B253" s="294"/>
      <c r="C253" s="294"/>
      <c r="D253" s="294"/>
      <c r="E253" s="294"/>
      <c r="F253" s="294"/>
      <c r="G253" s="294"/>
      <c r="H253" s="294"/>
    </row>
    <row r="254" spans="1:8">
      <c r="A254" s="294"/>
      <c r="B254" s="294"/>
      <c r="C254" s="294"/>
      <c r="D254" s="294"/>
      <c r="E254" s="294"/>
      <c r="F254" s="294"/>
      <c r="G254" s="294"/>
      <c r="H254" s="294"/>
    </row>
    <row r="255" spans="1:8">
      <c r="A255" s="295" t="s">
        <v>584</v>
      </c>
      <c r="B255" s="294"/>
      <c r="C255" s="294"/>
      <c r="D255" s="294"/>
      <c r="E255" s="294"/>
      <c r="F255" s="294"/>
      <c r="G255" s="294"/>
      <c r="H255" s="294"/>
    </row>
    <row r="256" spans="1:8">
      <c r="A256" s="295" t="s">
        <v>585</v>
      </c>
      <c r="B256" s="294"/>
      <c r="C256" s="294"/>
      <c r="D256" s="294"/>
      <c r="E256" s="294"/>
      <c r="F256" s="294"/>
      <c r="G256" s="294"/>
      <c r="H256" s="294"/>
    </row>
    <row r="257" spans="1:8">
      <c r="A257" s="294"/>
      <c r="B257" s="294"/>
      <c r="C257" s="294"/>
      <c r="D257" s="294"/>
      <c r="E257" s="294"/>
      <c r="F257" s="294"/>
      <c r="G257" s="294"/>
      <c r="H257" s="294"/>
    </row>
    <row r="258" spans="1:8">
      <c r="A258" s="295" t="s">
        <v>568</v>
      </c>
      <c r="B258" s="294"/>
      <c r="C258" s="294"/>
      <c r="D258" s="294"/>
      <c r="E258" s="294"/>
      <c r="F258" s="294"/>
      <c r="G258" s="294"/>
      <c r="H258" s="294"/>
    </row>
    <row r="259" spans="1:8">
      <c r="A259" s="295" t="s">
        <v>569</v>
      </c>
      <c r="B259" s="294"/>
      <c r="C259" s="294"/>
      <c r="D259" s="294"/>
      <c r="E259" s="294"/>
      <c r="F259" s="294"/>
      <c r="G259" s="294"/>
      <c r="H259" s="294"/>
    </row>
    <row r="260" spans="1:8">
      <c r="A260" s="295" t="s">
        <v>570</v>
      </c>
      <c r="B260" s="294"/>
      <c r="C260" s="294"/>
      <c r="D260" s="294"/>
      <c r="E260" s="294"/>
      <c r="F260" s="294"/>
      <c r="G260" s="294"/>
      <c r="H260" s="294"/>
    </row>
    <row r="261" spans="1:8">
      <c r="A261" s="295" t="s">
        <v>571</v>
      </c>
      <c r="B261" s="294"/>
      <c r="C261" s="294"/>
      <c r="D261" s="294"/>
      <c r="E261" s="294"/>
      <c r="F261" s="294"/>
      <c r="G261" s="294"/>
      <c r="H261" s="294"/>
    </row>
    <row r="262" spans="1:8">
      <c r="A262" s="295" t="s">
        <v>572</v>
      </c>
      <c r="B262" s="294"/>
      <c r="C262" s="294"/>
      <c r="D262" s="294"/>
      <c r="E262" s="294"/>
      <c r="F262" s="294"/>
      <c r="G262" s="294"/>
      <c r="H262" s="294"/>
    </row>
    <row r="263" spans="1:8">
      <c r="A263" s="295" t="s">
        <v>573</v>
      </c>
      <c r="B263" s="294"/>
      <c r="C263" s="294"/>
      <c r="D263" s="294"/>
      <c r="E263" s="294"/>
      <c r="F263" s="294"/>
      <c r="G263" s="294"/>
      <c r="H263" s="294"/>
    </row>
    <row r="264" spans="1:8">
      <c r="A264" s="295" t="s">
        <v>574</v>
      </c>
      <c r="B264" s="294"/>
      <c r="C264" s="294"/>
      <c r="D264" s="294"/>
      <c r="E264" s="294"/>
      <c r="F264" s="294"/>
      <c r="G264" s="294"/>
      <c r="H264" s="294"/>
    </row>
    <row r="265" spans="1:8">
      <c r="A265" s="295" t="s">
        <v>575</v>
      </c>
      <c r="B265" s="294"/>
      <c r="C265" s="294"/>
      <c r="D265" s="294"/>
      <c r="E265" s="294"/>
      <c r="F265" s="294"/>
      <c r="G265" s="294"/>
      <c r="H265" s="294"/>
    </row>
    <row r="266" spans="1:8">
      <c r="A266" s="295" t="s">
        <v>576</v>
      </c>
      <c r="B266" s="294"/>
      <c r="C266" s="294"/>
      <c r="D266" s="294"/>
      <c r="E266" s="294"/>
      <c r="F266" s="294"/>
      <c r="G266" s="294"/>
      <c r="H266" s="294"/>
    </row>
    <row r="267" spans="1:8">
      <c r="A267" s="295" t="s">
        <v>577</v>
      </c>
      <c r="B267" s="294"/>
      <c r="C267" s="294"/>
      <c r="D267" s="294"/>
      <c r="E267" s="294"/>
      <c r="F267" s="294"/>
      <c r="G267" s="294"/>
      <c r="H267" s="294"/>
    </row>
    <row r="268" spans="1:8">
      <c r="A268" s="295" t="s">
        <v>578</v>
      </c>
      <c r="B268" s="294"/>
      <c r="C268" s="294"/>
      <c r="D268" s="294"/>
      <c r="E268" s="294"/>
      <c r="F268" s="294"/>
      <c r="G268" s="294"/>
      <c r="H268" s="294"/>
    </row>
    <row r="269" spans="1:8">
      <c r="A269" s="295" t="s">
        <v>579</v>
      </c>
      <c r="B269" s="294"/>
      <c r="C269" s="294"/>
      <c r="D269" s="294"/>
      <c r="E269" s="294"/>
      <c r="F269" s="294"/>
      <c r="G269" s="294"/>
      <c r="H269" s="294"/>
    </row>
    <row r="270" spans="1:8">
      <c r="A270" s="295" t="s">
        <v>580</v>
      </c>
      <c r="B270" s="294"/>
      <c r="C270" s="294"/>
      <c r="D270" s="294"/>
      <c r="E270" s="294"/>
      <c r="F270" s="294"/>
      <c r="G270" s="294"/>
      <c r="H270" s="294"/>
    </row>
    <row r="271" spans="1:8">
      <c r="A271" s="295" t="s">
        <v>581</v>
      </c>
      <c r="B271" s="294"/>
      <c r="C271" s="294"/>
      <c r="D271" s="294"/>
      <c r="E271" s="294"/>
      <c r="F271" s="294"/>
      <c r="G271" s="294"/>
      <c r="H271" s="294"/>
    </row>
    <row r="272" spans="1:8">
      <c r="A272" s="295" t="s">
        <v>582</v>
      </c>
      <c r="B272" s="294"/>
      <c r="C272" s="294"/>
      <c r="D272" s="294"/>
      <c r="E272" s="294"/>
      <c r="F272" s="294"/>
      <c r="G272" s="294"/>
      <c r="H272" s="294"/>
    </row>
    <row r="273" spans="1:8">
      <c r="A273" s="295" t="s">
        <v>583</v>
      </c>
      <c r="B273" s="294"/>
      <c r="C273" s="294"/>
      <c r="D273" s="294"/>
      <c r="E273" s="294"/>
      <c r="F273" s="294"/>
      <c r="G273" s="294"/>
      <c r="H273" s="294"/>
    </row>
    <row r="274" spans="1:8">
      <c r="A274" s="294"/>
      <c r="B274" s="294"/>
      <c r="C274" s="294"/>
      <c r="D274" s="294"/>
      <c r="E274" s="294"/>
      <c r="F274" s="294"/>
      <c r="G274" s="294"/>
      <c r="H274" s="294"/>
    </row>
    <row r="275" spans="1:8">
      <c r="A275" s="295" t="s">
        <v>561</v>
      </c>
      <c r="B275" s="294"/>
      <c r="C275" s="294"/>
      <c r="D275" s="294"/>
      <c r="E275" s="294"/>
      <c r="F275" s="294"/>
      <c r="G275" s="294"/>
      <c r="H275" s="294"/>
    </row>
    <row r="276" spans="1:8">
      <c r="A276" s="295" t="s">
        <v>562</v>
      </c>
      <c r="B276" s="294"/>
      <c r="C276" s="294"/>
      <c r="D276" s="294"/>
      <c r="E276" s="294"/>
      <c r="F276" s="294"/>
      <c r="G276" s="294"/>
      <c r="H276" s="294"/>
    </row>
    <row r="277" spans="1:8">
      <c r="A277" s="295" t="s">
        <v>563</v>
      </c>
      <c r="B277" s="294"/>
      <c r="C277" s="294"/>
      <c r="D277" s="294"/>
      <c r="E277" s="294"/>
      <c r="F277" s="294"/>
      <c r="G277" s="294"/>
      <c r="H277" s="294"/>
    </row>
    <row r="278" spans="1:8">
      <c r="A278" s="295" t="s">
        <v>564</v>
      </c>
      <c r="B278" s="294"/>
      <c r="C278" s="294"/>
      <c r="D278" s="294"/>
      <c r="E278" s="294"/>
      <c r="F278" s="294"/>
      <c r="G278" s="294"/>
      <c r="H278" s="294"/>
    </row>
    <row r="279" spans="1:8">
      <c r="A279" s="295" t="s">
        <v>565</v>
      </c>
      <c r="B279" s="294"/>
      <c r="C279" s="294"/>
      <c r="D279" s="294"/>
      <c r="E279" s="294"/>
      <c r="F279" s="294"/>
      <c r="G279" s="294"/>
      <c r="H279" s="294"/>
    </row>
    <row r="280" spans="1:8">
      <c r="A280" s="295" t="s">
        <v>566</v>
      </c>
      <c r="B280" s="294"/>
      <c r="C280" s="294"/>
      <c r="D280" s="294"/>
      <c r="E280" s="294"/>
      <c r="F280" s="294"/>
      <c r="G280" s="294"/>
      <c r="H280" s="294"/>
    </row>
    <row r="281" spans="1:8">
      <c r="A281" s="295" t="s">
        <v>567</v>
      </c>
      <c r="B281" s="294"/>
      <c r="C281" s="294"/>
      <c r="D281" s="294"/>
      <c r="E281" s="294"/>
      <c r="F281" s="294"/>
      <c r="G281" s="294"/>
      <c r="H281" s="294"/>
    </row>
    <row r="282" spans="1:8">
      <c r="A282" s="294"/>
      <c r="B282" s="294"/>
      <c r="C282" s="294"/>
      <c r="D282" s="294"/>
      <c r="E282" s="294"/>
      <c r="F282" s="294"/>
      <c r="G282" s="294"/>
      <c r="H282" s="294"/>
    </row>
    <row r="283" spans="1:8">
      <c r="A283" s="295" t="s">
        <v>552</v>
      </c>
      <c r="B283" s="294"/>
      <c r="C283" s="294"/>
      <c r="D283" s="294"/>
      <c r="E283" s="294"/>
      <c r="F283" s="294"/>
      <c r="G283" s="294"/>
      <c r="H283" s="294"/>
    </row>
    <row r="284" spans="1:8">
      <c r="A284" s="295" t="s">
        <v>553</v>
      </c>
      <c r="B284" s="294"/>
      <c r="C284" s="294"/>
      <c r="D284" s="294"/>
      <c r="E284" s="294"/>
      <c r="F284" s="294"/>
      <c r="G284" s="294"/>
      <c r="H284" s="294"/>
    </row>
    <row r="285" spans="1:8">
      <c r="A285" s="295" t="s">
        <v>554</v>
      </c>
      <c r="B285" s="294"/>
      <c r="C285" s="294"/>
      <c r="D285" s="294"/>
      <c r="E285" s="294"/>
      <c r="F285" s="294"/>
      <c r="G285" s="294"/>
      <c r="H285" s="294"/>
    </row>
    <row r="286" spans="1:8">
      <c r="A286" s="295" t="s">
        <v>555</v>
      </c>
      <c r="B286" s="294"/>
      <c r="C286" s="294"/>
      <c r="D286" s="294"/>
      <c r="E286" s="294"/>
      <c r="F286" s="294"/>
      <c r="G286" s="294"/>
      <c r="H286" s="294"/>
    </row>
    <row r="287" spans="1:8">
      <c r="A287" s="295" t="s">
        <v>556</v>
      </c>
      <c r="B287" s="294"/>
      <c r="C287" s="294"/>
      <c r="D287" s="294"/>
      <c r="E287" s="294"/>
      <c r="F287" s="294"/>
      <c r="G287" s="294"/>
      <c r="H287" s="294"/>
    </row>
    <row r="288" spans="1:8">
      <c r="A288" s="295" t="s">
        <v>557</v>
      </c>
      <c r="B288" s="294"/>
      <c r="C288" s="294"/>
      <c r="D288" s="294"/>
      <c r="E288" s="294"/>
      <c r="F288" s="294"/>
      <c r="G288" s="294"/>
      <c r="H288" s="294"/>
    </row>
    <row r="289" spans="1:8">
      <c r="A289" s="295" t="s">
        <v>558</v>
      </c>
      <c r="B289" s="294"/>
      <c r="C289" s="294"/>
      <c r="D289" s="294"/>
      <c r="E289" s="294"/>
      <c r="F289" s="294"/>
      <c r="G289" s="294"/>
      <c r="H289" s="294"/>
    </row>
    <row r="290" spans="1:8">
      <c r="A290" s="295" t="s">
        <v>559</v>
      </c>
      <c r="B290" s="294"/>
      <c r="C290" s="294"/>
      <c r="D290" s="294"/>
      <c r="E290" s="294"/>
      <c r="F290" s="294"/>
      <c r="G290" s="294"/>
      <c r="H290" s="294"/>
    </row>
    <row r="291" spans="1:8">
      <c r="A291" s="295" t="s">
        <v>560</v>
      </c>
      <c r="B291" s="294"/>
      <c r="C291" s="294"/>
      <c r="D291" s="294"/>
      <c r="E291" s="294"/>
      <c r="F291" s="294"/>
      <c r="G291" s="294"/>
      <c r="H291" s="294"/>
    </row>
    <row r="292" spans="1:8">
      <c r="A292" s="294"/>
      <c r="B292" s="294"/>
      <c r="C292" s="294"/>
      <c r="D292" s="294"/>
      <c r="E292" s="294"/>
      <c r="F292" s="294"/>
      <c r="G292" s="294"/>
      <c r="H292" s="294"/>
    </row>
    <row r="293" spans="1:8">
      <c r="A293" s="295" t="s">
        <v>545</v>
      </c>
      <c r="B293" s="294"/>
      <c r="C293" s="294"/>
      <c r="D293" s="294"/>
      <c r="E293" s="294"/>
      <c r="F293" s="294"/>
      <c r="G293" s="294"/>
      <c r="H293" s="294"/>
    </row>
    <row r="294" spans="1:8">
      <c r="A294" s="295" t="s">
        <v>546</v>
      </c>
      <c r="B294" s="294"/>
      <c r="C294" s="294"/>
      <c r="D294" s="294"/>
      <c r="E294" s="294"/>
      <c r="F294" s="294"/>
      <c r="G294" s="294"/>
      <c r="H294" s="294"/>
    </row>
    <row r="295" spans="1:8">
      <c r="A295" s="295" t="s">
        <v>547</v>
      </c>
      <c r="B295" s="294"/>
      <c r="C295" s="294"/>
      <c r="D295" s="294"/>
      <c r="E295" s="294"/>
      <c r="F295" s="294"/>
      <c r="G295" s="294"/>
      <c r="H295" s="294"/>
    </row>
    <row r="296" spans="1:8">
      <c r="A296" s="295" t="s">
        <v>548</v>
      </c>
      <c r="B296" s="294"/>
      <c r="C296" s="294"/>
      <c r="D296" s="294"/>
      <c r="E296" s="294"/>
      <c r="F296" s="294"/>
      <c r="G296" s="294"/>
      <c r="H296" s="294"/>
    </row>
    <row r="297" spans="1:8">
      <c r="A297" s="295" t="s">
        <v>549</v>
      </c>
      <c r="B297" s="294"/>
      <c r="C297" s="294"/>
      <c r="D297" s="294"/>
      <c r="E297" s="294"/>
      <c r="F297" s="294"/>
      <c r="G297" s="294"/>
      <c r="H297" s="294"/>
    </row>
    <row r="298" spans="1:8">
      <c r="A298" s="295" t="s">
        <v>550</v>
      </c>
      <c r="B298" s="294"/>
      <c r="C298" s="294"/>
      <c r="D298" s="294"/>
      <c r="E298" s="294"/>
      <c r="F298" s="294"/>
      <c r="G298" s="294"/>
      <c r="H298" s="294"/>
    </row>
    <row r="299" spans="1:8">
      <c r="A299" s="295" t="s">
        <v>551</v>
      </c>
      <c r="B299" s="294"/>
      <c r="C299" s="294"/>
      <c r="D299" s="294"/>
      <c r="E299" s="294"/>
      <c r="F299" s="294"/>
      <c r="G299" s="294"/>
      <c r="H299" s="294"/>
    </row>
    <row r="300" spans="1:8">
      <c r="A300" s="294"/>
      <c r="B300" s="294"/>
      <c r="C300" s="294"/>
      <c r="D300" s="294"/>
      <c r="E300" s="294"/>
      <c r="F300" s="294"/>
      <c r="G300" s="294"/>
      <c r="H300" s="294"/>
    </row>
    <row r="301" spans="1:8">
      <c r="A301" s="295" t="s">
        <v>542</v>
      </c>
      <c r="B301" s="294"/>
      <c r="C301" s="294"/>
      <c r="D301" s="294"/>
      <c r="E301" s="294"/>
      <c r="F301" s="294"/>
      <c r="G301" s="294"/>
      <c r="H301" s="294"/>
    </row>
    <row r="302" spans="1:8">
      <c r="A302" s="295" t="s">
        <v>543</v>
      </c>
      <c r="B302" s="294"/>
      <c r="C302" s="294"/>
      <c r="D302" s="294"/>
      <c r="E302" s="294"/>
      <c r="F302" s="294"/>
      <c r="G302" s="294"/>
      <c r="H302" s="294"/>
    </row>
    <row r="303" spans="1:8">
      <c r="A303" s="295" t="s">
        <v>544</v>
      </c>
      <c r="B303" s="294"/>
      <c r="C303" s="294"/>
      <c r="D303" s="294"/>
      <c r="E303" s="294"/>
      <c r="F303" s="294"/>
      <c r="G303" s="294"/>
      <c r="H303" s="294"/>
    </row>
    <row r="304" spans="1:8">
      <c r="A304" s="294"/>
      <c r="B304" s="294"/>
      <c r="C304" s="294"/>
      <c r="D304" s="294"/>
      <c r="E304" s="294"/>
      <c r="F304" s="294"/>
      <c r="G304" s="294"/>
      <c r="H304" s="294"/>
    </row>
    <row r="305" spans="1:8">
      <c r="A305" s="295" t="s">
        <v>540</v>
      </c>
      <c r="B305" s="294"/>
      <c r="C305" s="294"/>
      <c r="D305" s="294"/>
      <c r="E305" s="294"/>
      <c r="F305" s="294"/>
      <c r="G305" s="294"/>
      <c r="H305" s="294"/>
    </row>
    <row r="306" spans="1:8">
      <c r="A306" s="295" t="s">
        <v>541</v>
      </c>
      <c r="B306" s="294"/>
      <c r="C306" s="294"/>
      <c r="D306" s="294"/>
      <c r="E306" s="294"/>
      <c r="F306" s="294"/>
      <c r="G306" s="294"/>
      <c r="H306" s="294"/>
    </row>
    <row r="307" spans="1:8">
      <c r="A307" s="294"/>
      <c r="B307" s="294"/>
      <c r="C307" s="294"/>
      <c r="D307" s="294"/>
      <c r="E307" s="294"/>
      <c r="F307" s="294"/>
      <c r="G307" s="294"/>
      <c r="H307" s="294"/>
    </row>
    <row r="308" spans="1:8">
      <c r="A308" s="295" t="s">
        <v>527</v>
      </c>
      <c r="B308" s="294"/>
      <c r="C308" s="294"/>
      <c r="D308" s="294"/>
      <c r="E308" s="294"/>
      <c r="F308" s="294"/>
      <c r="G308" s="294"/>
      <c r="H308" s="294"/>
    </row>
    <row r="309" spans="1:8">
      <c r="A309" s="295" t="s">
        <v>528</v>
      </c>
      <c r="B309" s="294"/>
      <c r="C309" s="294"/>
      <c r="D309" s="294"/>
      <c r="E309" s="294"/>
      <c r="F309" s="294"/>
      <c r="G309" s="294"/>
      <c r="H309" s="294"/>
    </row>
    <row r="310" spans="1:8">
      <c r="A310" s="295" t="s">
        <v>529</v>
      </c>
      <c r="B310" s="294"/>
      <c r="C310" s="294"/>
      <c r="D310" s="294"/>
      <c r="E310" s="294"/>
      <c r="F310" s="294"/>
      <c r="G310" s="294"/>
      <c r="H310" s="294"/>
    </row>
    <row r="311" spans="1:8">
      <c r="A311" s="295" t="s">
        <v>530</v>
      </c>
      <c r="B311" s="294"/>
      <c r="C311" s="294"/>
      <c r="D311" s="294"/>
      <c r="E311" s="294"/>
      <c r="F311" s="294"/>
      <c r="G311" s="294"/>
      <c r="H311" s="294"/>
    </row>
    <row r="312" spans="1:8">
      <c r="A312" s="295" t="s">
        <v>531</v>
      </c>
      <c r="B312" s="294"/>
      <c r="C312" s="294"/>
      <c r="D312" s="294"/>
      <c r="E312" s="294"/>
      <c r="F312" s="294"/>
      <c r="G312" s="294"/>
      <c r="H312" s="294"/>
    </row>
    <row r="313" spans="1:8">
      <c r="A313" s="295" t="s">
        <v>532</v>
      </c>
      <c r="B313" s="294"/>
      <c r="C313" s="294"/>
      <c r="D313" s="294"/>
      <c r="E313" s="294"/>
      <c r="F313" s="294"/>
      <c r="G313" s="294"/>
      <c r="H313" s="294"/>
    </row>
    <row r="314" spans="1:8">
      <c r="A314" s="295" t="s">
        <v>533</v>
      </c>
      <c r="B314" s="294"/>
      <c r="C314" s="294"/>
      <c r="D314" s="294"/>
      <c r="E314" s="294"/>
      <c r="F314" s="294"/>
      <c r="G314" s="294"/>
      <c r="H314" s="294"/>
    </row>
    <row r="315" spans="1:8">
      <c r="A315" s="295" t="s">
        <v>534</v>
      </c>
      <c r="B315" s="294"/>
      <c r="C315" s="294"/>
      <c r="D315" s="294"/>
      <c r="E315" s="294"/>
      <c r="F315" s="294"/>
      <c r="G315" s="294"/>
      <c r="H315" s="294"/>
    </row>
    <row r="316" spans="1:8">
      <c r="A316" s="295" t="s">
        <v>535</v>
      </c>
      <c r="B316" s="294"/>
      <c r="C316" s="294"/>
      <c r="D316" s="294"/>
      <c r="E316" s="294"/>
      <c r="F316" s="294"/>
      <c r="G316" s="294"/>
      <c r="H316" s="294"/>
    </row>
    <row r="317" spans="1:8">
      <c r="A317" s="295" t="s">
        <v>536</v>
      </c>
      <c r="B317" s="294"/>
      <c r="C317" s="294"/>
      <c r="D317" s="294"/>
      <c r="E317" s="294"/>
      <c r="F317" s="294"/>
      <c r="G317" s="294"/>
      <c r="H317" s="294"/>
    </row>
    <row r="318" spans="1:8">
      <c r="A318" s="295" t="s">
        <v>537</v>
      </c>
      <c r="B318" s="294"/>
      <c r="C318" s="294"/>
      <c r="D318" s="294"/>
      <c r="E318" s="294"/>
      <c r="F318" s="294"/>
      <c r="G318" s="294"/>
      <c r="H318" s="294"/>
    </row>
    <row r="319" spans="1:8">
      <c r="A319" s="295" t="s">
        <v>538</v>
      </c>
      <c r="B319" s="294"/>
      <c r="C319" s="294"/>
      <c r="D319" s="294"/>
      <c r="E319" s="294"/>
      <c r="F319" s="294"/>
      <c r="G319" s="294"/>
      <c r="H319" s="294"/>
    </row>
    <row r="320" spans="1:8">
      <c r="A320" s="295" t="s">
        <v>539</v>
      </c>
      <c r="B320" s="294"/>
      <c r="C320" s="294"/>
      <c r="D320" s="294"/>
      <c r="E320" s="294"/>
      <c r="F320" s="294"/>
      <c r="G320" s="294"/>
      <c r="H320" s="294"/>
    </row>
    <row r="321" spans="1:8">
      <c r="A321" s="294"/>
      <c r="B321" s="294"/>
      <c r="C321" s="294"/>
      <c r="D321" s="294"/>
      <c r="E321" s="294"/>
      <c r="F321" s="294"/>
      <c r="G321" s="294"/>
      <c r="H321" s="294"/>
    </row>
    <row r="322" spans="1:8">
      <c r="A322" s="295" t="s">
        <v>519</v>
      </c>
      <c r="B322" s="294"/>
      <c r="C322" s="294"/>
      <c r="D322" s="294"/>
      <c r="E322" s="294"/>
      <c r="F322" s="294"/>
      <c r="G322" s="294"/>
      <c r="H322" s="294"/>
    </row>
    <row r="323" spans="1:8">
      <c r="A323" s="295" t="s">
        <v>520</v>
      </c>
      <c r="B323" s="294"/>
      <c r="C323" s="294"/>
      <c r="D323" s="294"/>
      <c r="E323" s="294"/>
      <c r="F323" s="294"/>
      <c r="G323" s="294"/>
      <c r="H323" s="294"/>
    </row>
    <row r="324" spans="1:8">
      <c r="A324" s="295" t="s">
        <v>521</v>
      </c>
      <c r="B324" s="294"/>
      <c r="C324" s="294"/>
      <c r="D324" s="294"/>
      <c r="E324" s="294"/>
      <c r="F324" s="294"/>
      <c r="G324" s="294"/>
      <c r="H324" s="294"/>
    </row>
    <row r="325" spans="1:8">
      <c r="A325" s="295" t="s">
        <v>522</v>
      </c>
      <c r="B325" s="294"/>
      <c r="C325" s="294"/>
      <c r="D325" s="294"/>
      <c r="E325" s="294"/>
      <c r="F325" s="294"/>
      <c r="G325" s="294"/>
      <c r="H325" s="294"/>
    </row>
    <row r="326" spans="1:8">
      <c r="A326" s="295" t="s">
        <v>523</v>
      </c>
      <c r="B326" s="294"/>
      <c r="C326" s="294"/>
      <c r="D326" s="294"/>
      <c r="E326" s="294"/>
      <c r="F326" s="294"/>
      <c r="G326" s="294"/>
      <c r="H326" s="294"/>
    </row>
    <row r="327" spans="1:8">
      <c r="A327" s="295" t="s">
        <v>524</v>
      </c>
      <c r="B327" s="294"/>
      <c r="C327" s="294"/>
      <c r="D327" s="294"/>
      <c r="E327" s="294"/>
      <c r="F327" s="294"/>
      <c r="G327" s="294"/>
      <c r="H327" s="294"/>
    </row>
    <row r="328" spans="1:8">
      <c r="A328" s="295" t="s">
        <v>525</v>
      </c>
      <c r="B328" s="294"/>
      <c r="C328" s="294"/>
      <c r="D328" s="294"/>
      <c r="E328" s="294"/>
      <c r="F328" s="294"/>
      <c r="G328" s="294"/>
      <c r="H328" s="294"/>
    </row>
    <row r="329" spans="1:8">
      <c r="A329" s="295" t="s">
        <v>526</v>
      </c>
      <c r="B329" s="294"/>
      <c r="C329" s="294"/>
      <c r="D329" s="294"/>
      <c r="E329" s="294"/>
      <c r="F329" s="294"/>
      <c r="G329" s="294"/>
      <c r="H329" s="294"/>
    </row>
    <row r="330" spans="1:8">
      <c r="A330" s="294"/>
      <c r="B330" s="294"/>
      <c r="C330" s="294"/>
      <c r="D330" s="294"/>
      <c r="E330" s="294"/>
      <c r="F330" s="294"/>
      <c r="G330" s="294"/>
      <c r="H330" s="294"/>
    </row>
    <row r="331" spans="1:8">
      <c r="A331" s="295" t="s">
        <v>484</v>
      </c>
      <c r="B331" s="294"/>
      <c r="C331" s="294"/>
      <c r="D331" s="294"/>
      <c r="E331" s="294"/>
      <c r="F331" s="294"/>
      <c r="G331" s="294"/>
      <c r="H331" s="294"/>
    </row>
    <row r="332" spans="1:8">
      <c r="A332" s="295" t="s">
        <v>485</v>
      </c>
      <c r="B332" s="294"/>
      <c r="C332" s="294"/>
      <c r="D332" s="294"/>
      <c r="E332" s="294"/>
      <c r="F332" s="294"/>
      <c r="G332" s="294"/>
      <c r="H332" s="294"/>
    </row>
    <row r="333" spans="1:8">
      <c r="A333" s="295" t="s">
        <v>486</v>
      </c>
      <c r="B333" s="294"/>
      <c r="C333" s="294"/>
      <c r="D333" s="294"/>
      <c r="E333" s="294"/>
      <c r="F333" s="294"/>
      <c r="G333" s="294"/>
      <c r="H333" s="294"/>
    </row>
    <row r="334" spans="1:8">
      <c r="A334" s="295" t="s">
        <v>487</v>
      </c>
      <c r="B334" s="294"/>
      <c r="C334" s="294"/>
      <c r="D334" s="294"/>
      <c r="E334" s="294"/>
      <c r="F334" s="294"/>
      <c r="G334" s="294"/>
      <c r="H334" s="294"/>
    </row>
    <row r="335" spans="1:8">
      <c r="A335" s="295" t="s">
        <v>488</v>
      </c>
      <c r="B335" s="294"/>
      <c r="C335" s="294"/>
      <c r="D335" s="294"/>
      <c r="E335" s="294"/>
      <c r="F335" s="294"/>
      <c r="G335" s="294"/>
      <c r="H335" s="294"/>
    </row>
    <row r="336" spans="1:8">
      <c r="A336" s="295" t="s">
        <v>489</v>
      </c>
      <c r="B336" s="294"/>
      <c r="C336" s="294"/>
      <c r="D336" s="294"/>
      <c r="E336" s="294"/>
      <c r="F336" s="294"/>
      <c r="G336" s="294"/>
      <c r="H336" s="294"/>
    </row>
    <row r="337" spans="1:8">
      <c r="A337" s="295" t="s">
        <v>490</v>
      </c>
      <c r="B337" s="294"/>
      <c r="C337" s="294"/>
      <c r="D337" s="294"/>
      <c r="E337" s="294"/>
      <c r="F337" s="294"/>
      <c r="G337" s="294"/>
      <c r="H337" s="294"/>
    </row>
    <row r="338" spans="1:8">
      <c r="A338" s="295" t="s">
        <v>491</v>
      </c>
      <c r="B338" s="294"/>
      <c r="C338" s="294"/>
      <c r="D338" s="294"/>
      <c r="E338" s="294"/>
      <c r="F338" s="294"/>
      <c r="G338" s="294"/>
      <c r="H338" s="294"/>
    </row>
    <row r="339" spans="1:8">
      <c r="A339" s="295" t="s">
        <v>492</v>
      </c>
      <c r="B339" s="294"/>
      <c r="C339" s="294"/>
      <c r="D339" s="294"/>
      <c r="E339" s="294"/>
      <c r="F339" s="294"/>
      <c r="G339" s="294"/>
      <c r="H339" s="294"/>
    </row>
    <row r="340" spans="1:8">
      <c r="A340" s="295" t="s">
        <v>493</v>
      </c>
      <c r="B340" s="294"/>
      <c r="C340" s="294"/>
      <c r="D340" s="294"/>
      <c r="E340" s="294"/>
      <c r="F340" s="294"/>
      <c r="G340" s="294"/>
      <c r="H340" s="294"/>
    </row>
    <row r="341" spans="1:8">
      <c r="A341" s="295" t="s">
        <v>494</v>
      </c>
      <c r="B341" s="294"/>
      <c r="C341" s="294"/>
      <c r="D341" s="294"/>
      <c r="E341" s="294"/>
      <c r="F341" s="294"/>
      <c r="G341" s="294"/>
      <c r="H341" s="294"/>
    </row>
    <row r="342" spans="1:8">
      <c r="A342" s="295" t="s">
        <v>495</v>
      </c>
      <c r="B342" s="294"/>
      <c r="C342" s="294"/>
      <c r="D342" s="294"/>
      <c r="E342" s="294"/>
      <c r="F342" s="294"/>
      <c r="G342" s="294"/>
      <c r="H342" s="294"/>
    </row>
    <row r="343" spans="1:8">
      <c r="A343" s="295" t="s">
        <v>496</v>
      </c>
      <c r="B343" s="294"/>
      <c r="C343" s="294"/>
      <c r="D343" s="294"/>
      <c r="E343" s="294"/>
      <c r="F343" s="294"/>
      <c r="G343" s="294"/>
      <c r="H343" s="294"/>
    </row>
    <row r="344" spans="1:8">
      <c r="A344" s="295" t="s">
        <v>497</v>
      </c>
      <c r="B344" s="294"/>
      <c r="C344" s="294"/>
      <c r="D344" s="294"/>
      <c r="E344" s="294"/>
      <c r="F344" s="294"/>
      <c r="G344" s="294"/>
      <c r="H344" s="294"/>
    </row>
    <row r="345" spans="1:8">
      <c r="A345" s="295" t="s">
        <v>498</v>
      </c>
      <c r="B345" s="294"/>
      <c r="C345" s="294"/>
      <c r="D345" s="294"/>
      <c r="E345" s="294"/>
      <c r="F345" s="294"/>
      <c r="G345" s="294"/>
      <c r="H345" s="294"/>
    </row>
    <row r="346" spans="1:8">
      <c r="A346" s="295" t="s">
        <v>499</v>
      </c>
      <c r="B346" s="294"/>
      <c r="C346" s="294"/>
      <c r="D346" s="294"/>
      <c r="E346" s="294"/>
      <c r="F346" s="294"/>
      <c r="G346" s="294"/>
      <c r="H346" s="294"/>
    </row>
    <row r="347" spans="1:8">
      <c r="A347" s="295" t="s">
        <v>500</v>
      </c>
      <c r="B347" s="294"/>
      <c r="C347" s="294"/>
      <c r="D347" s="294"/>
      <c r="E347" s="294"/>
      <c r="F347" s="294"/>
      <c r="G347" s="294"/>
      <c r="H347" s="294"/>
    </row>
    <row r="348" spans="1:8">
      <c r="A348" s="295" t="s">
        <v>501</v>
      </c>
      <c r="B348" s="294"/>
      <c r="C348" s="294"/>
      <c r="D348" s="294"/>
      <c r="E348" s="294"/>
      <c r="F348" s="294"/>
      <c r="G348" s="294"/>
      <c r="H348" s="294"/>
    </row>
    <row r="349" spans="1:8">
      <c r="A349" s="295" t="s">
        <v>502</v>
      </c>
      <c r="B349" s="294"/>
      <c r="C349" s="294"/>
      <c r="D349" s="294"/>
      <c r="E349" s="294"/>
      <c r="F349" s="294"/>
      <c r="G349" s="294"/>
      <c r="H349" s="294"/>
    </row>
    <row r="350" spans="1:8">
      <c r="A350" s="295" t="s">
        <v>503</v>
      </c>
      <c r="B350" s="294"/>
      <c r="C350" s="294"/>
      <c r="D350" s="294"/>
      <c r="E350" s="294"/>
      <c r="F350" s="294"/>
      <c r="G350" s="294"/>
      <c r="H350" s="294"/>
    </row>
    <row r="351" spans="1:8">
      <c r="A351" s="295" t="s">
        <v>504</v>
      </c>
      <c r="B351" s="294"/>
      <c r="C351" s="294"/>
      <c r="D351" s="294"/>
      <c r="E351" s="294"/>
      <c r="F351" s="294"/>
      <c r="G351" s="294"/>
      <c r="H351" s="294"/>
    </row>
    <row r="352" spans="1:8">
      <c r="A352" s="295" t="s">
        <v>505</v>
      </c>
      <c r="B352" s="294"/>
      <c r="C352" s="294"/>
      <c r="D352" s="294"/>
      <c r="E352" s="294"/>
      <c r="F352" s="294"/>
      <c r="G352" s="294"/>
      <c r="H352" s="294"/>
    </row>
    <row r="353" spans="1:8">
      <c r="A353" s="295" t="s">
        <v>506</v>
      </c>
      <c r="B353" s="294"/>
      <c r="C353" s="294"/>
      <c r="D353" s="294"/>
      <c r="E353" s="294"/>
      <c r="F353" s="294"/>
      <c r="G353" s="294"/>
      <c r="H353" s="294"/>
    </row>
    <row r="354" spans="1:8">
      <c r="A354" s="295" t="s">
        <v>507</v>
      </c>
      <c r="B354" s="294"/>
      <c r="C354" s="294"/>
      <c r="D354" s="294"/>
      <c r="E354" s="294"/>
      <c r="F354" s="294"/>
      <c r="G354" s="294"/>
      <c r="H354" s="294"/>
    </row>
    <row r="355" spans="1:8">
      <c r="A355" s="295" t="s">
        <v>508</v>
      </c>
      <c r="B355" s="294"/>
      <c r="C355" s="294"/>
      <c r="D355" s="294"/>
      <c r="E355" s="294"/>
      <c r="F355" s="294"/>
      <c r="G355" s="294"/>
      <c r="H355" s="294"/>
    </row>
    <row r="356" spans="1:8">
      <c r="A356" s="295" t="s">
        <v>509</v>
      </c>
      <c r="B356" s="294"/>
      <c r="C356" s="294"/>
      <c r="D356" s="294"/>
      <c r="E356" s="294"/>
      <c r="F356" s="294"/>
      <c r="G356" s="294"/>
      <c r="H356" s="294"/>
    </row>
    <row r="357" spans="1:8">
      <c r="A357" s="295" t="s">
        <v>510</v>
      </c>
      <c r="B357" s="294"/>
      <c r="C357" s="294"/>
      <c r="D357" s="294"/>
      <c r="E357" s="294"/>
      <c r="F357" s="294"/>
      <c r="G357" s="294"/>
      <c r="H357" s="294"/>
    </row>
    <row r="358" spans="1:8">
      <c r="A358" s="295" t="s">
        <v>511</v>
      </c>
      <c r="B358" s="294"/>
      <c r="C358" s="294"/>
      <c r="D358" s="294"/>
      <c r="E358" s="294"/>
      <c r="F358" s="294"/>
      <c r="G358" s="294"/>
      <c r="H358" s="294"/>
    </row>
    <row r="359" spans="1:8">
      <c r="A359" s="295" t="s">
        <v>512</v>
      </c>
      <c r="B359" s="294"/>
      <c r="C359" s="294"/>
      <c r="D359" s="294"/>
      <c r="E359" s="294"/>
      <c r="F359" s="294"/>
      <c r="G359" s="294"/>
      <c r="H359" s="294"/>
    </row>
    <row r="360" spans="1:8">
      <c r="A360" s="295" t="s">
        <v>513</v>
      </c>
      <c r="B360" s="294"/>
      <c r="C360" s="294"/>
      <c r="D360" s="294"/>
      <c r="E360" s="294"/>
      <c r="F360" s="294"/>
      <c r="G360" s="294"/>
      <c r="H360" s="294"/>
    </row>
    <row r="361" spans="1:8">
      <c r="A361" s="295" t="s">
        <v>514</v>
      </c>
      <c r="B361" s="294"/>
      <c r="C361" s="294"/>
      <c r="D361" s="294"/>
      <c r="E361" s="294"/>
      <c r="F361" s="294"/>
      <c r="G361" s="294"/>
      <c r="H361" s="294"/>
    </row>
    <row r="362" spans="1:8">
      <c r="A362" s="295" t="s">
        <v>515</v>
      </c>
      <c r="B362" s="294"/>
      <c r="C362" s="294"/>
      <c r="D362" s="294"/>
      <c r="E362" s="294"/>
      <c r="F362" s="294"/>
      <c r="G362" s="294"/>
      <c r="H362" s="294"/>
    </row>
    <row r="363" spans="1:8">
      <c r="A363" s="295" t="s">
        <v>516</v>
      </c>
      <c r="B363" s="294"/>
      <c r="C363" s="294"/>
      <c r="D363" s="294"/>
      <c r="E363" s="294"/>
      <c r="F363" s="294"/>
      <c r="G363" s="294"/>
      <c r="H363" s="294"/>
    </row>
    <row r="364" spans="1:8">
      <c r="A364" s="295" t="s">
        <v>517</v>
      </c>
      <c r="B364" s="294"/>
      <c r="C364" s="294"/>
      <c r="D364" s="294"/>
      <c r="E364" s="294"/>
      <c r="F364" s="294"/>
      <c r="G364" s="294"/>
      <c r="H364" s="294"/>
    </row>
    <row r="365" spans="1:8">
      <c r="A365" s="295" t="s">
        <v>518</v>
      </c>
      <c r="B365" s="294"/>
      <c r="C365" s="294"/>
      <c r="D365" s="294"/>
      <c r="E365" s="294"/>
      <c r="F365" s="294"/>
      <c r="G365" s="294"/>
      <c r="H365" s="294"/>
    </row>
    <row r="366" spans="1:8">
      <c r="A366" s="294"/>
      <c r="B366" s="294"/>
      <c r="C366" s="294"/>
      <c r="D366" s="294"/>
      <c r="E366" s="294"/>
      <c r="F366" s="294"/>
      <c r="G366" s="294"/>
      <c r="H366" s="294"/>
    </row>
    <row r="367" spans="1:8">
      <c r="A367" s="295" t="s">
        <v>476</v>
      </c>
      <c r="B367" s="294"/>
      <c r="C367" s="294"/>
      <c r="D367" s="294"/>
      <c r="E367" s="294"/>
      <c r="F367" s="294"/>
      <c r="G367" s="294"/>
      <c r="H367" s="294"/>
    </row>
    <row r="368" spans="1:8">
      <c r="A368" s="295" t="s">
        <v>480</v>
      </c>
      <c r="B368" s="294"/>
      <c r="C368" s="294"/>
      <c r="D368" s="294"/>
      <c r="E368" s="294"/>
      <c r="F368" s="294"/>
      <c r="G368" s="294"/>
      <c r="H368" s="294"/>
    </row>
    <row r="369" spans="1:8">
      <c r="A369" s="295" t="s">
        <v>481</v>
      </c>
      <c r="B369" s="294"/>
      <c r="C369" s="294"/>
      <c r="D369" s="294"/>
      <c r="E369" s="294"/>
      <c r="F369" s="294"/>
      <c r="G369" s="294"/>
      <c r="H369" s="294"/>
    </row>
    <row r="370" spans="1:8">
      <c r="A370" s="295" t="s">
        <v>482</v>
      </c>
      <c r="B370" s="294"/>
      <c r="C370" s="294"/>
      <c r="D370" s="294"/>
      <c r="E370" s="294"/>
      <c r="F370" s="294"/>
      <c r="G370" s="294"/>
      <c r="H370" s="294"/>
    </row>
    <row r="371" spans="1:8">
      <c r="A371" s="295" t="s">
        <v>483</v>
      </c>
      <c r="B371" s="294"/>
      <c r="C371" s="294"/>
      <c r="D371" s="294"/>
      <c r="E371" s="294"/>
      <c r="F371" s="294"/>
      <c r="G371" s="294"/>
      <c r="H371" s="294"/>
    </row>
    <row r="372" spans="1:8">
      <c r="A372" s="294"/>
      <c r="B372" s="294"/>
      <c r="C372" s="294"/>
      <c r="D372" s="294"/>
      <c r="E372" s="294"/>
      <c r="F372" s="294"/>
      <c r="G372" s="294"/>
      <c r="H372" s="294"/>
    </row>
    <row r="373" spans="1:8">
      <c r="A373" s="295" t="s">
        <v>476</v>
      </c>
      <c r="B373" s="294"/>
      <c r="C373" s="294"/>
      <c r="D373" s="294"/>
      <c r="E373" s="294"/>
      <c r="F373" s="294"/>
      <c r="G373" s="294"/>
      <c r="H373" s="294"/>
    </row>
    <row r="374" spans="1:8">
      <c r="A374" s="295" t="s">
        <v>477</v>
      </c>
      <c r="B374" s="294"/>
      <c r="C374" s="294"/>
      <c r="D374" s="294"/>
      <c r="E374" s="294"/>
      <c r="F374" s="294"/>
      <c r="G374" s="294"/>
      <c r="H374" s="294"/>
    </row>
    <row r="375" spans="1:8">
      <c r="A375" s="295" t="s">
        <v>478</v>
      </c>
      <c r="B375" s="294"/>
      <c r="C375" s="294"/>
      <c r="D375" s="294"/>
      <c r="E375" s="294"/>
      <c r="F375" s="294"/>
      <c r="G375" s="294"/>
      <c r="H375" s="294"/>
    </row>
    <row r="376" spans="1:8">
      <c r="A376" s="295" t="s">
        <v>479</v>
      </c>
      <c r="B376" s="294"/>
      <c r="C376" s="294"/>
      <c r="D376" s="294"/>
      <c r="E376" s="294"/>
      <c r="F376" s="294"/>
      <c r="G376" s="294"/>
      <c r="H376" s="294"/>
    </row>
    <row r="377" spans="1:8">
      <c r="A377" s="294"/>
      <c r="B377" s="294"/>
      <c r="C377" s="294"/>
      <c r="D377" s="294"/>
      <c r="E377" s="294"/>
      <c r="F377" s="294"/>
      <c r="G377" s="294"/>
      <c r="H377" s="294"/>
    </row>
    <row r="378" spans="1:8">
      <c r="A378" s="295" t="s">
        <v>470</v>
      </c>
      <c r="B378" s="294"/>
      <c r="C378" s="294"/>
      <c r="D378" s="294"/>
      <c r="E378" s="294"/>
      <c r="F378" s="294"/>
      <c r="G378" s="294"/>
      <c r="H378" s="294"/>
    </row>
    <row r="379" spans="1:8">
      <c r="A379" s="295" t="s">
        <v>471</v>
      </c>
      <c r="B379" s="294"/>
      <c r="C379" s="294"/>
      <c r="D379" s="294"/>
      <c r="E379" s="294"/>
      <c r="F379" s="294"/>
      <c r="G379" s="294"/>
      <c r="H379" s="294"/>
    </row>
    <row r="380" spans="1:8">
      <c r="A380" s="295" t="s">
        <v>472</v>
      </c>
      <c r="B380" s="294"/>
      <c r="C380" s="294"/>
      <c r="D380" s="294"/>
      <c r="E380" s="294"/>
      <c r="F380" s="294"/>
      <c r="G380" s="294"/>
      <c r="H380" s="294"/>
    </row>
    <row r="381" spans="1:8">
      <c r="A381" s="295" t="s">
        <v>473</v>
      </c>
      <c r="B381" s="294"/>
      <c r="C381" s="294"/>
      <c r="D381" s="294"/>
      <c r="E381" s="294"/>
      <c r="F381" s="294"/>
      <c r="G381" s="294"/>
      <c r="H381" s="294"/>
    </row>
    <row r="382" spans="1:8">
      <c r="A382" s="295" t="s">
        <v>474</v>
      </c>
      <c r="B382" s="294"/>
      <c r="C382" s="294"/>
      <c r="D382" s="294"/>
      <c r="E382" s="294"/>
      <c r="F382" s="294"/>
      <c r="G382" s="294"/>
      <c r="H382" s="294"/>
    </row>
    <row r="383" spans="1:8">
      <c r="A383" s="295" t="s">
        <v>475</v>
      </c>
      <c r="B383" s="294"/>
      <c r="C383" s="294"/>
      <c r="D383" s="294"/>
      <c r="E383" s="294"/>
      <c r="F383" s="294"/>
      <c r="G383" s="294"/>
      <c r="H383" s="294"/>
    </row>
    <row r="384" spans="1:8">
      <c r="A384" s="294"/>
      <c r="B384" s="294"/>
      <c r="C384" s="294"/>
      <c r="D384" s="294"/>
      <c r="E384" s="294"/>
      <c r="F384" s="294"/>
      <c r="G384" s="294"/>
      <c r="H384" s="294"/>
    </row>
    <row r="385" spans="1:8">
      <c r="A385" s="295" t="s">
        <v>465</v>
      </c>
      <c r="B385" s="294"/>
      <c r="C385" s="294"/>
      <c r="D385" s="294"/>
      <c r="E385" s="294"/>
      <c r="F385" s="294"/>
      <c r="G385" s="294"/>
      <c r="H385" s="294"/>
    </row>
    <row r="386" spans="1:8">
      <c r="A386" s="295" t="s">
        <v>466</v>
      </c>
      <c r="B386" s="294"/>
      <c r="C386" s="294"/>
      <c r="D386" s="294"/>
      <c r="E386" s="294"/>
      <c r="F386" s="294"/>
      <c r="G386" s="294"/>
      <c r="H386" s="294"/>
    </row>
    <row r="387" spans="1:8">
      <c r="A387" s="295" t="s">
        <v>467</v>
      </c>
      <c r="B387" s="294"/>
      <c r="C387" s="294"/>
      <c r="D387" s="294"/>
      <c r="E387" s="294"/>
      <c r="F387" s="294"/>
      <c r="G387" s="294"/>
      <c r="H387" s="294"/>
    </row>
    <row r="388" spans="1:8">
      <c r="A388" s="295" t="s">
        <v>468</v>
      </c>
      <c r="B388" s="294"/>
      <c r="C388" s="294"/>
      <c r="D388" s="294"/>
      <c r="E388" s="294"/>
      <c r="F388" s="294"/>
      <c r="G388" s="294"/>
      <c r="H388" s="294"/>
    </row>
    <row r="389" spans="1:8">
      <c r="A389" s="295" t="s">
        <v>469</v>
      </c>
      <c r="B389" s="294"/>
      <c r="C389" s="294"/>
      <c r="D389" s="294"/>
      <c r="E389" s="294"/>
      <c r="F389" s="294"/>
      <c r="G389" s="294"/>
      <c r="H389" s="294"/>
    </row>
    <row r="390" spans="1:8">
      <c r="A390" s="294"/>
      <c r="B390" s="294"/>
      <c r="C390" s="294"/>
      <c r="D390" s="294"/>
      <c r="E390" s="294"/>
      <c r="F390" s="294"/>
      <c r="G390" s="294"/>
      <c r="H390" s="294"/>
    </row>
    <row r="391" spans="1:8">
      <c r="A391" s="295" t="s">
        <v>463</v>
      </c>
      <c r="B391" s="294"/>
      <c r="C391" s="294"/>
      <c r="D391" s="294"/>
      <c r="E391" s="294"/>
      <c r="F391" s="294"/>
      <c r="G391" s="294"/>
      <c r="H391" s="294"/>
    </row>
    <row r="392" spans="1:8">
      <c r="A392" s="295" t="s">
        <v>464</v>
      </c>
      <c r="B392" s="294"/>
      <c r="C392" s="294"/>
      <c r="D392" s="294"/>
      <c r="E392" s="294"/>
      <c r="F392" s="294"/>
      <c r="G392" s="294"/>
      <c r="H392" s="294"/>
    </row>
    <row r="394" spans="1:8">
      <c r="A394" s="290" t="s">
        <v>721</v>
      </c>
    </row>
  </sheetData>
  <mergeCells count="12">
    <mergeCell ref="A135:H135"/>
    <mergeCell ref="A136:H136"/>
    <mergeCell ref="B128:C128"/>
    <mergeCell ref="D128:F128"/>
    <mergeCell ref="G128:H128"/>
    <mergeCell ref="A114:H114"/>
    <mergeCell ref="A115:H115"/>
    <mergeCell ref="A116:H116"/>
    <mergeCell ref="A117:H117"/>
    <mergeCell ref="A119:H119"/>
    <mergeCell ref="A120:H120"/>
    <mergeCell ref="A127:H127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Q584"/>
  <sheetViews>
    <sheetView showGridLines="0" zoomScale="115" zoomScaleNormal="115" workbookViewId="0">
      <pane xSplit="2" ySplit="8" topLeftCell="F9" activePane="bottomRight" state="frozen"/>
      <selection pane="topRight" activeCell="C1" sqref="C1"/>
      <selection pane="bottomLeft" activeCell="A9" sqref="A9"/>
      <selection pane="bottomRight" activeCell="F9" sqref="F9"/>
    </sheetView>
  </sheetViews>
  <sheetFormatPr defaultRowHeight="11.25" outlineLevelRow="2" outlineLevelCol="1"/>
  <cols>
    <col min="1" max="1" width="1.5" style="72" bestFit="1" customWidth="1"/>
    <col min="2" max="2" width="44.6640625" customWidth="1"/>
    <col min="3" max="4" width="9.33203125" hidden="1" customWidth="1" outlineLevel="1"/>
    <col min="5" max="5" width="9.33203125" hidden="1" customWidth="1" outlineLevel="1" collapsed="1"/>
    <col min="6" max="6" width="9.33203125" customWidth="1" collapsed="1"/>
    <col min="7" max="13" width="9.33203125" customWidth="1"/>
    <col min="14" max="14" width="9.33203125" style="231" customWidth="1"/>
    <col min="15" max="33" width="9.33203125" hidden="1" customWidth="1" outlineLevel="1"/>
    <col min="34" max="34" width="9.83203125" hidden="1" customWidth="1" outlineLevel="1"/>
    <col min="35" max="38" width="9.33203125" hidden="1" customWidth="1" outlineLevel="1"/>
    <col min="39" max="39" width="9.33203125" hidden="1" customWidth="1" outlineLevel="1" collapsed="1"/>
    <col min="40" max="42" width="9.33203125" hidden="1" customWidth="1" outlineLevel="1"/>
    <col min="43" max="43" width="9.33203125" customWidth="1" collapsed="1"/>
    <col min="44" max="61" width="9.33203125" customWidth="1"/>
    <col min="62" max="62" width="9.33203125" hidden="1" customWidth="1" outlineLevel="1"/>
    <col min="63" max="63" width="42" hidden="1" customWidth="1" outlineLevel="1"/>
    <col min="64" max="64" width="12.6640625" hidden="1" customWidth="1" outlineLevel="1"/>
    <col min="65" max="65" width="12" hidden="1" customWidth="1" outlineLevel="1"/>
    <col min="66" max="66" width="11.5" hidden="1" customWidth="1" outlineLevel="1"/>
    <col min="67" max="68" width="9.33203125" hidden="1" customWidth="1" outlineLevel="1"/>
    <col min="69" max="69" width="9.33203125" collapsed="1"/>
    <col min="70" max="70" width="40.1640625" customWidth="1"/>
  </cols>
  <sheetData>
    <row r="1" spans="1:62" ht="15.75">
      <c r="B1" s="1" t="s">
        <v>317</v>
      </c>
      <c r="C1" s="70">
        <f>C51</f>
        <v>1.140380503971439</v>
      </c>
      <c r="D1" s="70">
        <f t="shared" ref="D1:BF1" si="0">D51</f>
        <v>1.5027159582097154</v>
      </c>
      <c r="E1" s="70">
        <f t="shared" si="0"/>
        <v>2.197034814069593</v>
      </c>
      <c r="F1" s="70">
        <f t="shared" si="0"/>
        <v>1.1174272344400147</v>
      </c>
      <c r="G1" s="70">
        <f t="shared" si="0"/>
        <v>1.0401371826836869</v>
      </c>
      <c r="H1" s="70">
        <f t="shared" si="0"/>
        <v>-2.3678916892741146E-2</v>
      </c>
      <c r="I1" s="70">
        <f t="shared" si="0"/>
        <v>-1.2812575447531009</v>
      </c>
      <c r="J1" s="70">
        <f t="shared" si="0"/>
        <v>-1.6405224596543957</v>
      </c>
      <c r="K1" s="70">
        <f t="shared" si="0"/>
        <v>-0.86158477837613856</v>
      </c>
      <c r="L1" s="70">
        <f t="shared" si="0"/>
        <v>6.3509002266210285E-2</v>
      </c>
      <c r="M1" s="70">
        <f t="shared" si="0"/>
        <v>0.60099749147131443</v>
      </c>
      <c r="O1" s="70">
        <f t="shared" si="0"/>
        <v>0.1836747083264543</v>
      </c>
      <c r="P1" s="70">
        <f t="shared" si="0"/>
        <v>0.21229347541028865</v>
      </c>
      <c r="Q1" s="70">
        <f t="shared" si="0"/>
        <v>0.29537089616589907</v>
      </c>
      <c r="R1" s="70">
        <f t="shared" si="0"/>
        <v>0.44916472135572677</v>
      </c>
      <c r="S1" s="70">
        <f t="shared" si="0"/>
        <v>0.30378268400930691</v>
      </c>
      <c r="T1" s="70">
        <f t="shared" si="0"/>
        <v>0.24520655933781399</v>
      </c>
      <c r="U1" s="70">
        <f t="shared" si="0"/>
        <v>0.41666038782681392</v>
      </c>
      <c r="V1" s="70">
        <f t="shared" si="0"/>
        <v>0.53884363701351334</v>
      </c>
      <c r="W1" s="70">
        <f t="shared" si="0"/>
        <v>0.70018751564058734</v>
      </c>
      <c r="X1" s="70">
        <f t="shared" si="0"/>
        <v>0.50825166803875854</v>
      </c>
      <c r="Y1" s="70">
        <f t="shared" si="0"/>
        <v>0.57759255523912711</v>
      </c>
      <c r="Z1" s="70">
        <f t="shared" si="0"/>
        <v>0.41106692063839451</v>
      </c>
      <c r="AA1" s="70">
        <f t="shared" si="0"/>
        <v>0.44234643233504428</v>
      </c>
      <c r="AB1" s="70">
        <f t="shared" si="0"/>
        <v>9.3246477000797579E-2</v>
      </c>
      <c r="AC1" s="70">
        <f t="shared" si="0"/>
        <v>0.13717591400181653</v>
      </c>
      <c r="AD1" s="70">
        <f t="shared" si="0"/>
        <v>0.44494905053300454</v>
      </c>
      <c r="AE1" s="70">
        <f t="shared" si="0"/>
        <v>0.16261628490219027</v>
      </c>
      <c r="AF1" s="70">
        <f t="shared" si="0"/>
        <v>0.23622089101969887</v>
      </c>
      <c r="AG1" s="70">
        <f t="shared" si="0"/>
        <v>0.31279130862188781</v>
      </c>
      <c r="AH1" s="70">
        <f t="shared" si="0"/>
        <v>0.33281032364935564</v>
      </c>
      <c r="AI1" s="70">
        <f t="shared" si="0"/>
        <v>0.19309997798534442</v>
      </c>
      <c r="AJ1" s="70">
        <f t="shared" si="0"/>
        <v>-0.15563905832182762</v>
      </c>
      <c r="AK1" s="70">
        <f t="shared" si="0"/>
        <v>-1.5052232922227782E-2</v>
      </c>
      <c r="AL1" s="70">
        <f t="shared" si="0"/>
        <v>-4.7628007280069211E-2</v>
      </c>
      <c r="AM1" s="70">
        <f t="shared" si="0"/>
        <v>-0.27276319462318421</v>
      </c>
      <c r="AN1" s="70">
        <f t="shared" si="0"/>
        <v>-0.33355270294702583</v>
      </c>
      <c r="AO1" s="70">
        <f t="shared" si="0"/>
        <v>-0.38118298416736834</v>
      </c>
      <c r="AP1" s="70">
        <f t="shared" si="0"/>
        <v>-0.2936273677441264</v>
      </c>
      <c r="AQ1" s="70">
        <f t="shared" si="0"/>
        <v>-0.49295668170249213</v>
      </c>
      <c r="AR1" s="70">
        <f t="shared" si="0"/>
        <v>-0.3899989961135254</v>
      </c>
      <c r="AS1" s="70">
        <f t="shared" si="0"/>
        <v>-0.42223240593885714</v>
      </c>
      <c r="AT1" s="70">
        <f t="shared" si="0"/>
        <v>-0.33765173428052048</v>
      </c>
      <c r="AU1" s="70">
        <f t="shared" si="0"/>
        <v>-0.32647877619758953</v>
      </c>
      <c r="AV1" s="70">
        <f t="shared" si="0"/>
        <v>-0.25145820057728246</v>
      </c>
      <c r="AW1" s="70">
        <f t="shared" si="0"/>
        <v>-0.1706676986500695</v>
      </c>
      <c r="AX1" s="70">
        <f t="shared" si="0"/>
        <v>-0.11298010295119704</v>
      </c>
      <c r="AY1" s="70">
        <f t="shared" si="0"/>
        <v>-8.3308651457477956E-2</v>
      </c>
      <c r="AZ1" s="70">
        <f t="shared" si="0"/>
        <v>-2.1090108601571903E-2</v>
      </c>
      <c r="BA1" s="70">
        <f t="shared" si="0"/>
        <v>6.2655098690430427E-2</v>
      </c>
      <c r="BB1" s="70">
        <f t="shared" si="0"/>
        <v>0.10258299184674778</v>
      </c>
      <c r="BC1" s="70">
        <f t="shared" si="0"/>
        <v>0.12991710749055455</v>
      </c>
      <c r="BD1" s="70">
        <f t="shared" si="0"/>
        <v>0.12245383356094756</v>
      </c>
      <c r="BE1" s="70">
        <f t="shared" si="0"/>
        <v>0.16225289832917733</v>
      </c>
      <c r="BF1" s="70">
        <f t="shared" si="0"/>
        <v>0.18637365209063611</v>
      </c>
    </row>
    <row r="2" spans="1:62">
      <c r="B2" s="2" t="s">
        <v>0</v>
      </c>
      <c r="C2" s="91">
        <f t="shared" ref="C2:M2" si="1">MIN(C351,0)</f>
        <v>0</v>
      </c>
      <c r="D2" s="91">
        <f t="shared" si="1"/>
        <v>0</v>
      </c>
      <c r="E2" s="91">
        <f t="shared" si="1"/>
        <v>0</v>
      </c>
      <c r="F2" s="91">
        <f t="shared" si="1"/>
        <v>0</v>
      </c>
      <c r="G2" s="91">
        <f t="shared" si="1"/>
        <v>0</v>
      </c>
      <c r="H2" s="91">
        <f t="shared" si="1"/>
        <v>0</v>
      </c>
      <c r="I2" s="91">
        <f t="shared" si="1"/>
        <v>0</v>
      </c>
      <c r="J2" s="91">
        <f t="shared" si="1"/>
        <v>0</v>
      </c>
      <c r="K2" s="91">
        <f t="shared" si="1"/>
        <v>0</v>
      </c>
      <c r="L2" s="91">
        <f t="shared" si="1"/>
        <v>0</v>
      </c>
      <c r="M2" s="91">
        <f t="shared" si="1"/>
        <v>0</v>
      </c>
      <c r="N2" s="269"/>
      <c r="O2" s="91">
        <f t="shared" ref="O2:BF2" si="2">MIN(O351,0)</f>
        <v>0</v>
      </c>
      <c r="P2" s="91">
        <f t="shared" si="2"/>
        <v>0</v>
      </c>
      <c r="Q2" s="91">
        <f t="shared" si="2"/>
        <v>0</v>
      </c>
      <c r="R2" s="91">
        <f t="shared" si="2"/>
        <v>0</v>
      </c>
      <c r="S2" s="91">
        <f t="shared" si="2"/>
        <v>0</v>
      </c>
      <c r="T2" s="91">
        <f t="shared" si="2"/>
        <v>0</v>
      </c>
      <c r="U2" s="91">
        <f t="shared" si="2"/>
        <v>0</v>
      </c>
      <c r="V2" s="91">
        <f t="shared" si="2"/>
        <v>0</v>
      </c>
      <c r="W2" s="91">
        <f t="shared" si="2"/>
        <v>0</v>
      </c>
      <c r="X2" s="91">
        <f t="shared" si="2"/>
        <v>0</v>
      </c>
      <c r="Y2" s="91">
        <f t="shared" si="2"/>
        <v>0</v>
      </c>
      <c r="Z2" s="91">
        <f t="shared" si="2"/>
        <v>0</v>
      </c>
      <c r="AA2" s="91">
        <f t="shared" si="2"/>
        <v>0</v>
      </c>
      <c r="AB2" s="91">
        <f t="shared" si="2"/>
        <v>0</v>
      </c>
      <c r="AC2" s="91">
        <f t="shared" si="2"/>
        <v>0</v>
      </c>
      <c r="AD2" s="91">
        <f t="shared" si="2"/>
        <v>0</v>
      </c>
      <c r="AE2" s="91">
        <f t="shared" si="2"/>
        <v>0</v>
      </c>
      <c r="AF2" s="91">
        <f t="shared" si="2"/>
        <v>0</v>
      </c>
      <c r="AG2" s="91">
        <f t="shared" si="2"/>
        <v>0</v>
      </c>
      <c r="AH2" s="91">
        <f t="shared" si="2"/>
        <v>0</v>
      </c>
      <c r="AI2" s="91">
        <f t="shared" si="2"/>
        <v>0</v>
      </c>
      <c r="AJ2" s="91">
        <f t="shared" si="2"/>
        <v>0</v>
      </c>
      <c r="AK2" s="91">
        <f t="shared" si="2"/>
        <v>0</v>
      </c>
      <c r="AL2" s="91">
        <f t="shared" si="2"/>
        <v>0</v>
      </c>
      <c r="AM2" s="91">
        <f t="shared" si="2"/>
        <v>0</v>
      </c>
      <c r="AN2" s="91">
        <f t="shared" si="2"/>
        <v>0</v>
      </c>
      <c r="AO2" s="91">
        <f t="shared" si="2"/>
        <v>0</v>
      </c>
      <c r="AP2" s="91">
        <f t="shared" si="2"/>
        <v>0</v>
      </c>
      <c r="AQ2" s="91">
        <f t="shared" si="2"/>
        <v>0</v>
      </c>
      <c r="AR2" s="91">
        <f t="shared" si="2"/>
        <v>0</v>
      </c>
      <c r="AS2" s="91">
        <f t="shared" si="2"/>
        <v>0</v>
      </c>
      <c r="AT2" s="91">
        <f t="shared" si="2"/>
        <v>0</v>
      </c>
      <c r="AU2" s="91">
        <f t="shared" si="2"/>
        <v>0</v>
      </c>
      <c r="AV2" s="91">
        <f t="shared" si="2"/>
        <v>0</v>
      </c>
      <c r="AW2" s="91">
        <f t="shared" si="2"/>
        <v>0</v>
      </c>
      <c r="AX2" s="91">
        <f t="shared" si="2"/>
        <v>0</v>
      </c>
      <c r="AY2" s="91">
        <f t="shared" si="2"/>
        <v>0</v>
      </c>
      <c r="AZ2" s="91">
        <f t="shared" si="2"/>
        <v>0</v>
      </c>
      <c r="BA2" s="91">
        <f t="shared" si="2"/>
        <v>0</v>
      </c>
      <c r="BB2" s="91">
        <f t="shared" si="2"/>
        <v>0</v>
      </c>
      <c r="BC2" s="91">
        <f t="shared" si="2"/>
        <v>0</v>
      </c>
      <c r="BD2" s="91">
        <f t="shared" si="2"/>
        <v>0</v>
      </c>
      <c r="BE2" s="91">
        <f t="shared" si="2"/>
        <v>0</v>
      </c>
      <c r="BF2" s="91">
        <f t="shared" si="2"/>
        <v>0</v>
      </c>
    </row>
    <row r="3" spans="1:62">
      <c r="B3" s="3"/>
      <c r="AS3" s="231"/>
    </row>
    <row r="4" spans="1:62" hidden="1">
      <c r="A4" s="73"/>
      <c r="B4" s="58" t="s">
        <v>315</v>
      </c>
      <c r="C4" s="59">
        <v>40543</v>
      </c>
      <c r="D4" s="59">
        <f>EOMONTH(C4,12)</f>
        <v>40908</v>
      </c>
      <c r="E4" s="59">
        <f t="shared" ref="E4:F4" si="3">EOMONTH(D4,12)</f>
        <v>41274</v>
      </c>
      <c r="F4" s="59">
        <f t="shared" si="3"/>
        <v>41639</v>
      </c>
      <c r="G4" s="59">
        <f t="shared" ref="G4:M4" si="4">EOMONTH(F4,12)</f>
        <v>42004</v>
      </c>
      <c r="H4" s="59">
        <f t="shared" si="4"/>
        <v>42369</v>
      </c>
      <c r="I4" s="59">
        <f t="shared" si="4"/>
        <v>42735</v>
      </c>
      <c r="J4" s="59">
        <f t="shared" si="4"/>
        <v>43100</v>
      </c>
      <c r="K4" s="59">
        <f t="shared" si="4"/>
        <v>43465</v>
      </c>
      <c r="L4" s="59">
        <f t="shared" si="4"/>
        <v>43830</v>
      </c>
      <c r="M4" s="59">
        <f t="shared" si="4"/>
        <v>44196</v>
      </c>
      <c r="N4" s="270"/>
      <c r="O4" s="59">
        <v>40268</v>
      </c>
      <c r="P4" s="59">
        <f>EOMONTH(O4,3)</f>
        <v>40359</v>
      </c>
      <c r="Q4" s="59">
        <f>EOMONTH(P4,3)</f>
        <v>40451</v>
      </c>
      <c r="R4" s="59">
        <f t="shared" ref="R4:BF4" si="5">EOMONTH(Q4,3)</f>
        <v>40543</v>
      </c>
      <c r="S4" s="59">
        <f t="shared" si="5"/>
        <v>40633</v>
      </c>
      <c r="T4" s="59">
        <f t="shared" si="5"/>
        <v>40724</v>
      </c>
      <c r="U4" s="59">
        <f t="shared" si="5"/>
        <v>40816</v>
      </c>
      <c r="V4" s="59">
        <f t="shared" si="5"/>
        <v>40908</v>
      </c>
      <c r="W4" s="59">
        <f t="shared" si="5"/>
        <v>40999</v>
      </c>
      <c r="X4" s="59">
        <f t="shared" si="5"/>
        <v>41090</v>
      </c>
      <c r="Y4" s="59">
        <f t="shared" si="5"/>
        <v>41182</v>
      </c>
      <c r="Z4" s="59">
        <f t="shared" si="5"/>
        <v>41274</v>
      </c>
      <c r="AA4" s="59">
        <f t="shared" si="5"/>
        <v>41364</v>
      </c>
      <c r="AB4" s="59">
        <f t="shared" si="5"/>
        <v>41455</v>
      </c>
      <c r="AC4" s="59">
        <f t="shared" si="5"/>
        <v>41547</v>
      </c>
      <c r="AD4" s="59">
        <f t="shared" si="5"/>
        <v>41639</v>
      </c>
      <c r="AE4" s="59">
        <f t="shared" si="5"/>
        <v>41729</v>
      </c>
      <c r="AF4" s="59">
        <f t="shared" si="5"/>
        <v>41820</v>
      </c>
      <c r="AG4" s="59">
        <f t="shared" si="5"/>
        <v>41912</v>
      </c>
      <c r="AH4" s="59">
        <f t="shared" si="5"/>
        <v>42004</v>
      </c>
      <c r="AI4" s="59">
        <f t="shared" si="5"/>
        <v>42094</v>
      </c>
      <c r="AJ4" s="59">
        <f t="shared" si="5"/>
        <v>42185</v>
      </c>
      <c r="AK4" s="59">
        <f t="shared" si="5"/>
        <v>42277</v>
      </c>
      <c r="AL4" s="59">
        <f t="shared" si="5"/>
        <v>42369</v>
      </c>
      <c r="AM4" s="59">
        <f t="shared" si="5"/>
        <v>42460</v>
      </c>
      <c r="AN4" s="59">
        <f t="shared" si="5"/>
        <v>42551</v>
      </c>
      <c r="AO4" s="59">
        <f t="shared" si="5"/>
        <v>42643</v>
      </c>
      <c r="AP4" s="59">
        <f t="shared" si="5"/>
        <v>42735</v>
      </c>
      <c r="AQ4" s="59">
        <f t="shared" si="5"/>
        <v>42825</v>
      </c>
      <c r="AR4" s="59">
        <f t="shared" si="5"/>
        <v>42916</v>
      </c>
      <c r="AS4" s="59">
        <f t="shared" si="5"/>
        <v>43008</v>
      </c>
      <c r="AT4" s="59">
        <f t="shared" si="5"/>
        <v>43100</v>
      </c>
      <c r="AU4" s="59">
        <f t="shared" si="5"/>
        <v>43190</v>
      </c>
      <c r="AV4" s="59">
        <f t="shared" si="5"/>
        <v>43281</v>
      </c>
      <c r="AW4" s="59">
        <f t="shared" si="5"/>
        <v>43373</v>
      </c>
      <c r="AX4" s="59">
        <f t="shared" si="5"/>
        <v>43465</v>
      </c>
      <c r="AY4" s="59">
        <f t="shared" si="5"/>
        <v>43555</v>
      </c>
      <c r="AZ4" s="59">
        <f t="shared" si="5"/>
        <v>43646</v>
      </c>
      <c r="BA4" s="59">
        <f t="shared" si="5"/>
        <v>43738</v>
      </c>
      <c r="BB4" s="59">
        <f t="shared" si="5"/>
        <v>43830</v>
      </c>
      <c r="BC4" s="59">
        <f t="shared" si="5"/>
        <v>43921</v>
      </c>
      <c r="BD4" s="59">
        <f t="shared" si="5"/>
        <v>44012</v>
      </c>
      <c r="BE4" s="59">
        <f t="shared" si="5"/>
        <v>44104</v>
      </c>
      <c r="BF4" s="59">
        <f t="shared" si="5"/>
        <v>44196</v>
      </c>
      <c r="BG4" s="53"/>
      <c r="BH4" s="53"/>
      <c r="BI4" s="53"/>
      <c r="BJ4" s="53"/>
    </row>
    <row r="5" spans="1:62" hidden="1">
      <c r="A5" s="73"/>
      <c r="B5" s="58" t="s">
        <v>316</v>
      </c>
      <c r="C5" s="60">
        <f>YEAR(C4)</f>
        <v>2010</v>
      </c>
      <c r="D5" s="60">
        <f>YEAR(D4)</f>
        <v>2011</v>
      </c>
      <c r="E5" s="60">
        <f t="shared" ref="E5:F5" si="6">YEAR(E4)</f>
        <v>2012</v>
      </c>
      <c r="F5" s="60">
        <f t="shared" si="6"/>
        <v>2013</v>
      </c>
      <c r="G5" s="60">
        <f t="shared" ref="G5" si="7">YEAR(G4)</f>
        <v>2014</v>
      </c>
      <c r="H5" s="60">
        <f t="shared" ref="H5" si="8">YEAR(H4)</f>
        <v>2015</v>
      </c>
      <c r="I5" s="60">
        <f t="shared" ref="I5" si="9">YEAR(I4)</f>
        <v>2016</v>
      </c>
      <c r="J5" s="60">
        <f t="shared" ref="J5" si="10">YEAR(J4)</f>
        <v>2017</v>
      </c>
      <c r="K5" s="60">
        <f t="shared" ref="K5" si="11">YEAR(K4)</f>
        <v>2018</v>
      </c>
      <c r="L5" s="60">
        <f t="shared" ref="L5" si="12">YEAR(L4)</f>
        <v>2019</v>
      </c>
      <c r="M5" s="60">
        <f t="shared" ref="M5:Q5" si="13">YEAR(M4)</f>
        <v>2020</v>
      </c>
      <c r="N5" s="270"/>
      <c r="O5" s="60">
        <f t="shared" si="13"/>
        <v>2010</v>
      </c>
      <c r="P5" s="60">
        <f t="shared" si="13"/>
        <v>2010</v>
      </c>
      <c r="Q5" s="60">
        <f t="shared" si="13"/>
        <v>2010</v>
      </c>
      <c r="R5" s="60">
        <f t="shared" ref="R5" si="14">YEAR(R4)</f>
        <v>2010</v>
      </c>
      <c r="S5" s="60">
        <f t="shared" ref="S5" si="15">YEAR(S4)</f>
        <v>2011</v>
      </c>
      <c r="T5" s="60">
        <f t="shared" ref="T5" si="16">YEAR(T4)</f>
        <v>2011</v>
      </c>
      <c r="U5" s="60">
        <f t="shared" ref="U5" si="17">YEAR(U4)</f>
        <v>2011</v>
      </c>
      <c r="V5" s="60">
        <f t="shared" ref="V5" si="18">YEAR(V4)</f>
        <v>2011</v>
      </c>
      <c r="W5" s="60">
        <f t="shared" ref="W5" si="19">YEAR(W4)</f>
        <v>2012</v>
      </c>
      <c r="X5" s="60">
        <f t="shared" ref="X5" si="20">YEAR(X4)</f>
        <v>2012</v>
      </c>
      <c r="Y5" s="60">
        <f t="shared" ref="Y5" si="21">YEAR(Y4)</f>
        <v>2012</v>
      </c>
      <c r="Z5" s="60">
        <f t="shared" ref="Z5" si="22">YEAR(Z4)</f>
        <v>2012</v>
      </c>
      <c r="AA5" s="60">
        <f t="shared" ref="AA5" si="23">YEAR(AA4)</f>
        <v>2013</v>
      </c>
      <c r="AB5" s="60">
        <f t="shared" ref="AB5" si="24">YEAR(AB4)</f>
        <v>2013</v>
      </c>
      <c r="AC5" s="60">
        <f t="shared" ref="AC5" si="25">YEAR(AC4)</f>
        <v>2013</v>
      </c>
      <c r="AD5" s="60">
        <f t="shared" ref="AD5" si="26">YEAR(AD4)</f>
        <v>2013</v>
      </c>
      <c r="AE5" s="60">
        <f t="shared" ref="AE5" si="27">YEAR(AE4)</f>
        <v>2014</v>
      </c>
      <c r="AF5" s="60">
        <f t="shared" ref="AF5" si="28">YEAR(AF4)</f>
        <v>2014</v>
      </c>
      <c r="AG5" s="60">
        <f t="shared" ref="AG5" si="29">YEAR(AG4)</f>
        <v>2014</v>
      </c>
      <c r="AH5" s="60">
        <f t="shared" ref="AH5" si="30">YEAR(AH4)</f>
        <v>2014</v>
      </c>
      <c r="AI5" s="60">
        <f t="shared" ref="AI5" si="31">YEAR(AI4)</f>
        <v>2015</v>
      </c>
      <c r="AJ5" s="60">
        <f t="shared" ref="AJ5" si="32">YEAR(AJ4)</f>
        <v>2015</v>
      </c>
      <c r="AK5" s="60">
        <f t="shared" ref="AK5" si="33">YEAR(AK4)</f>
        <v>2015</v>
      </c>
      <c r="AL5" s="60">
        <f t="shared" ref="AL5" si="34">YEAR(AL4)</f>
        <v>2015</v>
      </c>
      <c r="AM5" s="60">
        <f t="shared" ref="AM5" si="35">YEAR(AM4)</f>
        <v>2016</v>
      </c>
      <c r="AN5" s="60">
        <f t="shared" ref="AN5" si="36">YEAR(AN4)</f>
        <v>2016</v>
      </c>
      <c r="AO5" s="60">
        <f t="shared" ref="AO5" si="37">YEAR(AO4)</f>
        <v>2016</v>
      </c>
      <c r="AP5" s="60">
        <f t="shared" ref="AP5" si="38">YEAR(AP4)</f>
        <v>2016</v>
      </c>
      <c r="AQ5" s="60">
        <f t="shared" ref="AQ5" si="39">YEAR(AQ4)</f>
        <v>2017</v>
      </c>
      <c r="AR5" s="60">
        <f t="shared" ref="AR5" si="40">YEAR(AR4)</f>
        <v>2017</v>
      </c>
      <c r="AS5" s="60">
        <f t="shared" ref="AS5" si="41">YEAR(AS4)</f>
        <v>2017</v>
      </c>
      <c r="AT5" s="60">
        <f t="shared" ref="AT5" si="42">YEAR(AT4)</f>
        <v>2017</v>
      </c>
      <c r="AU5" s="60">
        <f t="shared" ref="AU5" si="43">YEAR(AU4)</f>
        <v>2018</v>
      </c>
      <c r="AV5" s="60">
        <f t="shared" ref="AV5" si="44">YEAR(AV4)</f>
        <v>2018</v>
      </c>
      <c r="AW5" s="60">
        <f t="shared" ref="AW5" si="45">YEAR(AW4)</f>
        <v>2018</v>
      </c>
      <c r="AX5" s="60">
        <f t="shared" ref="AX5" si="46">YEAR(AX4)</f>
        <v>2018</v>
      </c>
      <c r="AY5" s="60">
        <f t="shared" ref="AY5" si="47">YEAR(AY4)</f>
        <v>2019</v>
      </c>
      <c r="AZ5" s="60">
        <f t="shared" ref="AZ5" si="48">YEAR(AZ4)</f>
        <v>2019</v>
      </c>
      <c r="BA5" s="60">
        <f t="shared" ref="BA5" si="49">YEAR(BA4)</f>
        <v>2019</v>
      </c>
      <c r="BB5" s="60">
        <f t="shared" ref="BB5" si="50">YEAR(BB4)</f>
        <v>2019</v>
      </c>
      <c r="BC5" s="60">
        <f t="shared" ref="BC5" si="51">YEAR(BC4)</f>
        <v>2020</v>
      </c>
      <c r="BD5" s="60">
        <f t="shared" ref="BD5" si="52">YEAR(BD4)</f>
        <v>2020</v>
      </c>
      <c r="BE5" s="60">
        <f t="shared" ref="BE5" si="53">YEAR(BE4)</f>
        <v>2020</v>
      </c>
      <c r="BF5" s="60">
        <f t="shared" ref="BF5" si="54">YEAR(BF4)</f>
        <v>2020</v>
      </c>
      <c r="BG5" s="53"/>
      <c r="BH5" s="53"/>
      <c r="BI5" s="53"/>
      <c r="BJ5" s="53"/>
    </row>
    <row r="6" spans="1:62" hidden="1">
      <c r="A6" s="73"/>
      <c r="B6" s="58" t="s">
        <v>1</v>
      </c>
      <c r="C6" s="61">
        <v>365</v>
      </c>
      <c r="D6" s="61">
        <f>D4-C4</f>
        <v>365</v>
      </c>
      <c r="E6" s="61">
        <f t="shared" ref="E6:F6" si="55">E4-D4</f>
        <v>366</v>
      </c>
      <c r="F6" s="61">
        <f t="shared" si="55"/>
        <v>365</v>
      </c>
      <c r="G6" s="61">
        <f t="shared" ref="G6:M6" si="56">G4-F4</f>
        <v>365</v>
      </c>
      <c r="H6" s="61">
        <f t="shared" si="56"/>
        <v>365</v>
      </c>
      <c r="I6" s="61">
        <f t="shared" si="56"/>
        <v>366</v>
      </c>
      <c r="J6" s="61">
        <f t="shared" si="56"/>
        <v>365</v>
      </c>
      <c r="K6" s="61">
        <f t="shared" si="56"/>
        <v>365</v>
      </c>
      <c r="L6" s="61">
        <f t="shared" si="56"/>
        <v>365</v>
      </c>
      <c r="M6" s="61">
        <f t="shared" si="56"/>
        <v>366</v>
      </c>
      <c r="N6" s="270"/>
      <c r="O6" s="61">
        <v>90</v>
      </c>
      <c r="P6" s="61">
        <f t="shared" ref="P6" si="57">P4-O4</f>
        <v>91</v>
      </c>
      <c r="Q6" s="61">
        <f t="shared" ref="Q6:BF6" si="58">Q4-P4</f>
        <v>92</v>
      </c>
      <c r="R6" s="61">
        <f t="shared" si="58"/>
        <v>92</v>
      </c>
      <c r="S6" s="61">
        <f t="shared" si="58"/>
        <v>90</v>
      </c>
      <c r="T6" s="61">
        <f t="shared" si="58"/>
        <v>91</v>
      </c>
      <c r="U6" s="61">
        <f t="shared" si="58"/>
        <v>92</v>
      </c>
      <c r="V6" s="61">
        <f t="shared" si="58"/>
        <v>92</v>
      </c>
      <c r="W6" s="61">
        <f t="shared" si="58"/>
        <v>91</v>
      </c>
      <c r="X6" s="61">
        <f t="shared" si="58"/>
        <v>91</v>
      </c>
      <c r="Y6" s="61">
        <f t="shared" si="58"/>
        <v>92</v>
      </c>
      <c r="Z6" s="61">
        <f t="shared" si="58"/>
        <v>92</v>
      </c>
      <c r="AA6" s="61">
        <f t="shared" si="58"/>
        <v>90</v>
      </c>
      <c r="AB6" s="61">
        <f t="shared" si="58"/>
        <v>91</v>
      </c>
      <c r="AC6" s="61">
        <f t="shared" si="58"/>
        <v>92</v>
      </c>
      <c r="AD6" s="61">
        <f t="shared" si="58"/>
        <v>92</v>
      </c>
      <c r="AE6" s="61">
        <f t="shared" si="58"/>
        <v>90</v>
      </c>
      <c r="AF6" s="61">
        <f t="shared" si="58"/>
        <v>91</v>
      </c>
      <c r="AG6" s="61">
        <f t="shared" si="58"/>
        <v>92</v>
      </c>
      <c r="AH6" s="61">
        <f t="shared" si="58"/>
        <v>92</v>
      </c>
      <c r="AI6" s="61">
        <f t="shared" si="58"/>
        <v>90</v>
      </c>
      <c r="AJ6" s="61">
        <f t="shared" si="58"/>
        <v>91</v>
      </c>
      <c r="AK6" s="61">
        <f t="shared" si="58"/>
        <v>92</v>
      </c>
      <c r="AL6" s="61">
        <f t="shared" si="58"/>
        <v>92</v>
      </c>
      <c r="AM6" s="61">
        <f t="shared" si="58"/>
        <v>91</v>
      </c>
      <c r="AN6" s="61">
        <f t="shared" si="58"/>
        <v>91</v>
      </c>
      <c r="AO6" s="61">
        <f t="shared" si="58"/>
        <v>92</v>
      </c>
      <c r="AP6" s="61">
        <f t="shared" si="58"/>
        <v>92</v>
      </c>
      <c r="AQ6" s="61">
        <f t="shared" si="58"/>
        <v>90</v>
      </c>
      <c r="AR6" s="61">
        <f t="shared" si="58"/>
        <v>91</v>
      </c>
      <c r="AS6" s="61">
        <f t="shared" si="58"/>
        <v>92</v>
      </c>
      <c r="AT6" s="61">
        <f t="shared" si="58"/>
        <v>92</v>
      </c>
      <c r="AU6" s="61">
        <f t="shared" si="58"/>
        <v>90</v>
      </c>
      <c r="AV6" s="61">
        <f t="shared" si="58"/>
        <v>91</v>
      </c>
      <c r="AW6" s="61">
        <f t="shared" si="58"/>
        <v>92</v>
      </c>
      <c r="AX6" s="61">
        <f t="shared" si="58"/>
        <v>92</v>
      </c>
      <c r="AY6" s="61">
        <f t="shared" si="58"/>
        <v>90</v>
      </c>
      <c r="AZ6" s="61">
        <f t="shared" si="58"/>
        <v>91</v>
      </c>
      <c r="BA6" s="61">
        <f t="shared" si="58"/>
        <v>92</v>
      </c>
      <c r="BB6" s="61">
        <f t="shared" si="58"/>
        <v>92</v>
      </c>
      <c r="BC6" s="61">
        <f t="shared" si="58"/>
        <v>91</v>
      </c>
      <c r="BD6" s="61">
        <f t="shared" si="58"/>
        <v>91</v>
      </c>
      <c r="BE6" s="61">
        <f t="shared" si="58"/>
        <v>92</v>
      </c>
      <c r="BF6" s="61">
        <f t="shared" si="58"/>
        <v>92</v>
      </c>
      <c r="BG6" s="53"/>
      <c r="BH6" s="53"/>
      <c r="BI6" s="53"/>
      <c r="BJ6" s="53"/>
    </row>
    <row r="7" spans="1:62" hidden="1">
      <c r="A7" s="73"/>
      <c r="B7" s="62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27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53"/>
      <c r="BH7" s="53"/>
      <c r="BI7" s="53"/>
      <c r="BJ7" s="53"/>
    </row>
    <row r="8" spans="1:62" ht="12.75" customHeight="1">
      <c r="A8" s="54"/>
      <c r="B8" s="55"/>
      <c r="C8" s="56">
        <v>2010</v>
      </c>
      <c r="D8" s="56">
        <v>2011</v>
      </c>
      <c r="E8" s="56">
        <v>2012</v>
      </c>
      <c r="F8" s="56">
        <v>2013</v>
      </c>
      <c r="G8" s="56">
        <v>2014</v>
      </c>
      <c r="H8" s="56">
        <v>2015</v>
      </c>
      <c r="I8" s="56">
        <v>2016</v>
      </c>
      <c r="J8" s="56">
        <v>2017</v>
      </c>
      <c r="K8" s="56" t="s">
        <v>264</v>
      </c>
      <c r="L8" s="56" t="s">
        <v>265</v>
      </c>
      <c r="M8" s="56" t="s">
        <v>266</v>
      </c>
      <c r="N8" s="271"/>
      <c r="O8" s="56" t="s">
        <v>267</v>
      </c>
      <c r="P8" s="56" t="s">
        <v>268</v>
      </c>
      <c r="Q8" s="56" t="s">
        <v>269</v>
      </c>
      <c r="R8" s="56" t="s">
        <v>270</v>
      </c>
      <c r="S8" s="56" t="s">
        <v>271</v>
      </c>
      <c r="T8" s="56" t="s">
        <v>272</v>
      </c>
      <c r="U8" s="56" t="s">
        <v>273</v>
      </c>
      <c r="V8" s="56" t="s">
        <v>274</v>
      </c>
      <c r="W8" s="56" t="s">
        <v>275</v>
      </c>
      <c r="X8" s="56" t="s">
        <v>276</v>
      </c>
      <c r="Y8" s="56" t="s">
        <v>277</v>
      </c>
      <c r="Z8" s="56" t="s">
        <v>278</v>
      </c>
      <c r="AA8" s="56" t="s">
        <v>279</v>
      </c>
      <c r="AB8" s="56" t="s">
        <v>280</v>
      </c>
      <c r="AC8" s="56" t="s">
        <v>281</v>
      </c>
      <c r="AD8" s="56" t="s">
        <v>282</v>
      </c>
      <c r="AE8" s="56" t="s">
        <v>283</v>
      </c>
      <c r="AF8" s="56" t="s">
        <v>284</v>
      </c>
      <c r="AG8" s="56" t="s">
        <v>285</v>
      </c>
      <c r="AH8" s="56" t="s">
        <v>286</v>
      </c>
      <c r="AI8" s="56" t="s">
        <v>287</v>
      </c>
      <c r="AJ8" s="56" t="s">
        <v>288</v>
      </c>
      <c r="AK8" s="56" t="s">
        <v>289</v>
      </c>
      <c r="AL8" s="56" t="s">
        <v>290</v>
      </c>
      <c r="AM8" s="56" t="s">
        <v>291</v>
      </c>
      <c r="AN8" s="56" t="s">
        <v>292</v>
      </c>
      <c r="AO8" s="56" t="s">
        <v>293</v>
      </c>
      <c r="AP8" s="56" t="s">
        <v>294</v>
      </c>
      <c r="AQ8" s="56" t="s">
        <v>295</v>
      </c>
      <c r="AR8" s="56" t="s">
        <v>382</v>
      </c>
      <c r="AS8" s="56" t="s">
        <v>384</v>
      </c>
      <c r="AT8" s="56" t="s">
        <v>416</v>
      </c>
      <c r="AU8" s="56" t="s">
        <v>296</v>
      </c>
      <c r="AV8" s="56" t="s">
        <v>297</v>
      </c>
      <c r="AW8" s="56" t="s">
        <v>298</v>
      </c>
      <c r="AX8" s="56" t="s">
        <v>299</v>
      </c>
      <c r="AY8" s="56" t="s">
        <v>300</v>
      </c>
      <c r="AZ8" s="56" t="s">
        <v>301</v>
      </c>
      <c r="BA8" s="56" t="s">
        <v>302</v>
      </c>
      <c r="BB8" s="56" t="s">
        <v>303</v>
      </c>
      <c r="BC8" s="56" t="s">
        <v>304</v>
      </c>
      <c r="BD8" s="56" t="s">
        <v>305</v>
      </c>
      <c r="BE8" s="56" t="s">
        <v>306</v>
      </c>
      <c r="BF8" s="56" t="s">
        <v>307</v>
      </c>
      <c r="BJ8" s="226" t="s">
        <v>368</v>
      </c>
    </row>
    <row r="9" spans="1:62">
      <c r="A9" s="72" t="s">
        <v>322</v>
      </c>
      <c r="B9" s="2" t="s">
        <v>3</v>
      </c>
      <c r="AT9" s="231"/>
      <c r="BJ9" s="116"/>
    </row>
    <row r="10" spans="1:62" outlineLevel="1">
      <c r="B10" s="4" t="s">
        <v>2</v>
      </c>
      <c r="C10" s="57">
        <f>C$8</f>
        <v>2010</v>
      </c>
      <c r="D10" s="57">
        <f t="shared" ref="D10:BF10" si="59">D$8</f>
        <v>2011</v>
      </c>
      <c r="E10" s="57">
        <f t="shared" si="59"/>
        <v>2012</v>
      </c>
      <c r="F10" s="57">
        <f t="shared" si="59"/>
        <v>2013</v>
      </c>
      <c r="G10" s="57">
        <f t="shared" si="59"/>
        <v>2014</v>
      </c>
      <c r="H10" s="57">
        <f t="shared" si="59"/>
        <v>2015</v>
      </c>
      <c r="I10" s="57">
        <f t="shared" si="59"/>
        <v>2016</v>
      </c>
      <c r="J10" s="57">
        <f t="shared" si="59"/>
        <v>2017</v>
      </c>
      <c r="K10" s="57" t="str">
        <f t="shared" si="59"/>
        <v>2018E</v>
      </c>
      <c r="L10" s="57" t="str">
        <f t="shared" si="59"/>
        <v>2019E</v>
      </c>
      <c r="M10" s="57" t="str">
        <f t="shared" si="59"/>
        <v>2020E</v>
      </c>
      <c r="O10" s="57" t="str">
        <f t="shared" si="59"/>
        <v>1Q10</v>
      </c>
      <c r="P10" s="57" t="str">
        <f t="shared" si="59"/>
        <v>2Q10</v>
      </c>
      <c r="Q10" s="57" t="str">
        <f t="shared" si="59"/>
        <v>3Q10</v>
      </c>
      <c r="R10" s="57" t="str">
        <f t="shared" si="59"/>
        <v>4Q10</v>
      </c>
      <c r="S10" s="57" t="str">
        <f t="shared" si="59"/>
        <v>1Q11</v>
      </c>
      <c r="T10" s="57" t="str">
        <f t="shared" si="59"/>
        <v>2Q11</v>
      </c>
      <c r="U10" s="57" t="str">
        <f t="shared" si="59"/>
        <v>3Q11</v>
      </c>
      <c r="V10" s="57" t="str">
        <f t="shared" si="59"/>
        <v>4Q11</v>
      </c>
      <c r="W10" s="57" t="str">
        <f t="shared" si="59"/>
        <v>1Q12</v>
      </c>
      <c r="X10" s="57" t="str">
        <f t="shared" si="59"/>
        <v>2Q12</v>
      </c>
      <c r="Y10" s="57" t="str">
        <f t="shared" si="59"/>
        <v>3Q12</v>
      </c>
      <c r="Z10" s="57" t="str">
        <f t="shared" si="59"/>
        <v>4Q12</v>
      </c>
      <c r="AA10" s="57" t="str">
        <f t="shared" si="59"/>
        <v>1Q13</v>
      </c>
      <c r="AB10" s="57" t="str">
        <f t="shared" si="59"/>
        <v>2Q13</v>
      </c>
      <c r="AC10" s="57" t="str">
        <f t="shared" si="59"/>
        <v>3Q13</v>
      </c>
      <c r="AD10" s="57" t="str">
        <f t="shared" si="59"/>
        <v>4Q13</v>
      </c>
      <c r="AE10" s="57" t="str">
        <f t="shared" si="59"/>
        <v>1Q14</v>
      </c>
      <c r="AF10" s="57" t="str">
        <f t="shared" si="59"/>
        <v>2Q14</v>
      </c>
      <c r="AG10" s="57" t="str">
        <f t="shared" si="59"/>
        <v>3Q14</v>
      </c>
      <c r="AH10" s="57" t="str">
        <f t="shared" si="59"/>
        <v>4Q14</v>
      </c>
      <c r="AI10" s="57" t="str">
        <f t="shared" si="59"/>
        <v>1Q15</v>
      </c>
      <c r="AJ10" s="57" t="str">
        <f t="shared" si="59"/>
        <v>2Q15</v>
      </c>
      <c r="AK10" s="57" t="str">
        <f t="shared" si="59"/>
        <v>3Q15</v>
      </c>
      <c r="AL10" s="57" t="str">
        <f t="shared" si="59"/>
        <v>4Q15</v>
      </c>
      <c r="AM10" s="57" t="str">
        <f t="shared" si="59"/>
        <v>1Q16</v>
      </c>
      <c r="AN10" s="57" t="str">
        <f t="shared" si="59"/>
        <v>2Q16</v>
      </c>
      <c r="AO10" s="57" t="str">
        <f t="shared" si="59"/>
        <v>3Q16</v>
      </c>
      <c r="AP10" s="57" t="str">
        <f t="shared" si="59"/>
        <v>4Q16</v>
      </c>
      <c r="AQ10" s="57" t="str">
        <f t="shared" si="59"/>
        <v>1Q17</v>
      </c>
      <c r="AR10" s="57" t="str">
        <f t="shared" si="59"/>
        <v>2Q17</v>
      </c>
      <c r="AS10" s="57" t="str">
        <f t="shared" si="59"/>
        <v>3Q17</v>
      </c>
      <c r="AT10" s="57" t="str">
        <f t="shared" si="59"/>
        <v>4Q17</v>
      </c>
      <c r="AU10" s="57" t="str">
        <f t="shared" si="59"/>
        <v>1Q18E</v>
      </c>
      <c r="AV10" s="57" t="str">
        <f t="shared" si="59"/>
        <v>2Q18E</v>
      </c>
      <c r="AW10" s="57" t="str">
        <f t="shared" si="59"/>
        <v>3Q18E</v>
      </c>
      <c r="AX10" s="57" t="str">
        <f t="shared" si="59"/>
        <v>4Q18E</v>
      </c>
      <c r="AY10" s="57" t="str">
        <f t="shared" si="59"/>
        <v>1Q19E</v>
      </c>
      <c r="AZ10" s="57" t="str">
        <f t="shared" si="59"/>
        <v>2Q19E</v>
      </c>
      <c r="BA10" s="57" t="str">
        <f t="shared" si="59"/>
        <v>3Q19E</v>
      </c>
      <c r="BB10" s="57" t="str">
        <f t="shared" si="59"/>
        <v>4Q19E</v>
      </c>
      <c r="BC10" s="57" t="str">
        <f t="shared" si="59"/>
        <v>1Q20E</v>
      </c>
      <c r="BD10" s="57" t="str">
        <f t="shared" si="59"/>
        <v>2Q20E</v>
      </c>
      <c r="BE10" s="57" t="str">
        <f t="shared" si="59"/>
        <v>3Q20E</v>
      </c>
      <c r="BF10" s="57" t="str">
        <f t="shared" si="59"/>
        <v>4Q20E</v>
      </c>
      <c r="BJ10" s="116">
        <v>1</v>
      </c>
    </row>
    <row r="11" spans="1:62" outlineLevel="1">
      <c r="B11" s="2" t="s">
        <v>259</v>
      </c>
      <c r="AU11" s="281"/>
      <c r="BJ11" s="116">
        <f>BJ10+1</f>
        <v>2</v>
      </c>
    </row>
    <row r="12" spans="1:62" outlineLevel="1">
      <c r="B12" s="5" t="s">
        <v>4</v>
      </c>
      <c r="C12" s="50">
        <f>SUMIFS($O12:$BG12,$O$5:$BG$5,C$5)</f>
        <v>1597.8319999999999</v>
      </c>
      <c r="D12" s="50">
        <f t="shared" ref="D12:M19" si="60">SUMIFS($O12:$BG12,$O$5:$BG$5,D$5)</f>
        <v>1999.241</v>
      </c>
      <c r="E12" s="50">
        <f t="shared" si="60"/>
        <v>2276.808</v>
      </c>
      <c r="F12" s="50">
        <f t="shared" si="60"/>
        <v>1880.4860000000001</v>
      </c>
      <c r="G12" s="50">
        <f t="shared" si="60"/>
        <v>2129.9679999999998</v>
      </c>
      <c r="H12" s="50">
        <f t="shared" si="60"/>
        <v>1248.5890000000002</v>
      </c>
      <c r="I12" s="50">
        <f t="shared" si="60"/>
        <v>525.37200000000007</v>
      </c>
      <c r="J12" s="50">
        <f t="shared" si="60"/>
        <v>805.22300000000007</v>
      </c>
      <c r="K12" s="50">
        <f t="shared" si="60"/>
        <v>1078.3002499999998</v>
      </c>
      <c r="L12" s="50">
        <f t="shared" si="60"/>
        <v>1274.3320000000001</v>
      </c>
      <c r="M12" s="50">
        <f t="shared" si="60"/>
        <v>1367.06</v>
      </c>
      <c r="O12" s="51">
        <v>359.48899999999998</v>
      </c>
      <c r="P12" s="51">
        <v>385.78</v>
      </c>
      <c r="Q12" s="51">
        <v>422.77199999999999</v>
      </c>
      <c r="R12" s="51">
        <v>429.791</v>
      </c>
      <c r="S12" s="51">
        <v>450.33699999999999</v>
      </c>
      <c r="T12" s="51">
        <v>477.60399999999998</v>
      </c>
      <c r="U12" s="51">
        <v>503.99099999999999</v>
      </c>
      <c r="V12" s="51">
        <v>567.30899999999997</v>
      </c>
      <c r="W12" s="51">
        <v>627.10500000000002</v>
      </c>
      <c r="X12" s="51">
        <v>598.76499999999999</v>
      </c>
      <c r="Y12" s="51">
        <v>555.78399999999999</v>
      </c>
      <c r="Z12" s="51">
        <v>495.154</v>
      </c>
      <c r="AA12" s="51">
        <v>484.77300000000002</v>
      </c>
      <c r="AB12" s="51">
        <v>467.12900000000002</v>
      </c>
      <c r="AC12" s="51">
        <v>457.55700000000002</v>
      </c>
      <c r="AD12" s="51">
        <v>471.02699999999999</v>
      </c>
      <c r="AE12" s="51">
        <v>510.476</v>
      </c>
      <c r="AF12" s="51">
        <v>532.89400000000001</v>
      </c>
      <c r="AG12" s="51">
        <v>541.73599999999999</v>
      </c>
      <c r="AH12" s="51">
        <v>544.86199999999997</v>
      </c>
      <c r="AI12" s="51">
        <v>452.42100000000005</v>
      </c>
      <c r="AJ12" s="51">
        <v>315.56899999999996</v>
      </c>
      <c r="AK12" s="51">
        <v>259.93900000000002</v>
      </c>
      <c r="AL12" s="51">
        <v>220.66</v>
      </c>
      <c r="AM12" s="51">
        <v>145.17599999999999</v>
      </c>
      <c r="AN12" s="51">
        <v>115.14200000000001</v>
      </c>
      <c r="AO12" s="51">
        <v>116.095</v>
      </c>
      <c r="AP12" s="51">
        <v>148.959</v>
      </c>
      <c r="AQ12" s="51">
        <v>161.934</v>
      </c>
      <c r="AR12" s="51">
        <v>187.34399999999999</v>
      </c>
      <c r="AS12" s="51">
        <v>222.74700000000001</v>
      </c>
      <c r="AT12" s="51">
        <v>233.19800000000001</v>
      </c>
      <c r="AU12" s="95">
        <f t="shared" ref="AU12:BF12" si="61">+AU58*AU59*AU$6/1000000</f>
        <v>244.35000000000002</v>
      </c>
      <c r="AV12" s="95">
        <f t="shared" si="61"/>
        <v>264.33225000000004</v>
      </c>
      <c r="AW12" s="95">
        <f t="shared" si="61"/>
        <v>278.20799999999991</v>
      </c>
      <c r="AX12" s="95">
        <f t="shared" si="61"/>
        <v>291.40999999999997</v>
      </c>
      <c r="AY12" s="95">
        <f t="shared" si="61"/>
        <v>298.125</v>
      </c>
      <c r="AZ12" s="95">
        <f t="shared" si="61"/>
        <v>310.21899999999999</v>
      </c>
      <c r="BA12" s="95">
        <f t="shared" si="61"/>
        <v>328.99200000000008</v>
      </c>
      <c r="BB12" s="95">
        <f t="shared" si="61"/>
        <v>336.99600000000004</v>
      </c>
      <c r="BC12" s="95">
        <f t="shared" si="61"/>
        <v>337.61</v>
      </c>
      <c r="BD12" s="95">
        <f t="shared" si="61"/>
        <v>337.61</v>
      </c>
      <c r="BE12" s="95">
        <f t="shared" si="61"/>
        <v>345.91999999999996</v>
      </c>
      <c r="BF12" s="95">
        <f t="shared" si="61"/>
        <v>345.91999999999996</v>
      </c>
      <c r="BJ12" s="116">
        <f t="shared" ref="BJ12:BJ75" si="62">BJ11+1</f>
        <v>3</v>
      </c>
    </row>
    <row r="13" spans="1:62" outlineLevel="1">
      <c r="B13" s="5" t="s">
        <v>5</v>
      </c>
      <c r="C13" s="50">
        <f t="shared" ref="C13:C19" si="63">SUMIFS($O13:$BG13,$O$5:$BG$5,C$5)</f>
        <v>271.17499999999995</v>
      </c>
      <c r="D13" s="50">
        <f t="shared" si="60"/>
        <v>426.45499999999998</v>
      </c>
      <c r="E13" s="50">
        <f t="shared" si="60"/>
        <v>429.411</v>
      </c>
      <c r="F13" s="50">
        <f t="shared" si="60"/>
        <v>361.67599999999999</v>
      </c>
      <c r="G13" s="50">
        <f t="shared" si="60"/>
        <v>335.19200000000001</v>
      </c>
      <c r="H13" s="50">
        <f t="shared" si="60"/>
        <v>137.494</v>
      </c>
      <c r="I13" s="50">
        <f t="shared" si="60"/>
        <v>51.472000000000001</v>
      </c>
      <c r="J13" s="50">
        <f t="shared" si="60"/>
        <v>82.929000000000002</v>
      </c>
      <c r="K13" s="50">
        <f t="shared" si="60"/>
        <v>123.26599999999999</v>
      </c>
      <c r="L13" s="50">
        <f t="shared" si="60"/>
        <v>134.33599999999998</v>
      </c>
      <c r="M13" s="50">
        <f t="shared" si="60"/>
        <v>134.78399999999999</v>
      </c>
      <c r="O13" s="51">
        <v>82.034999999999997</v>
      </c>
      <c r="P13" s="51">
        <v>40.427</v>
      </c>
      <c r="Q13" s="51">
        <v>57.295999999999999</v>
      </c>
      <c r="R13" s="51">
        <v>91.417000000000002</v>
      </c>
      <c r="S13" s="51">
        <v>127.607</v>
      </c>
      <c r="T13" s="51">
        <v>66.257999999999996</v>
      </c>
      <c r="U13" s="51">
        <v>106.41</v>
      </c>
      <c r="V13" s="51">
        <v>126.18</v>
      </c>
      <c r="W13" s="51">
        <v>144.73500000000001</v>
      </c>
      <c r="X13" s="51">
        <v>66.015000000000001</v>
      </c>
      <c r="Y13" s="51">
        <v>102.99299999999999</v>
      </c>
      <c r="Z13" s="51">
        <v>115.66800000000001</v>
      </c>
      <c r="AA13" s="51">
        <v>126.867</v>
      </c>
      <c r="AB13" s="51">
        <v>64.789000000000001</v>
      </c>
      <c r="AC13" s="51">
        <v>81.397000000000006</v>
      </c>
      <c r="AD13" s="51">
        <v>88.623000000000005</v>
      </c>
      <c r="AE13" s="51">
        <v>111.621</v>
      </c>
      <c r="AF13" s="51">
        <v>54.860999999999997</v>
      </c>
      <c r="AG13" s="51">
        <v>80.491</v>
      </c>
      <c r="AH13" s="51">
        <v>88.218999999999994</v>
      </c>
      <c r="AI13" s="51">
        <v>57.84</v>
      </c>
      <c r="AJ13" s="51">
        <v>21.413</v>
      </c>
      <c r="AK13" s="51">
        <v>29.928999999999998</v>
      </c>
      <c r="AL13" s="51">
        <v>28.312000000000001</v>
      </c>
      <c r="AM13" s="51">
        <v>17.494</v>
      </c>
      <c r="AN13" s="51">
        <v>6.617</v>
      </c>
      <c r="AO13" s="51">
        <v>10.444000000000001</v>
      </c>
      <c r="AP13" s="51">
        <v>16.917000000000002</v>
      </c>
      <c r="AQ13" s="51">
        <v>27.808</v>
      </c>
      <c r="AR13" s="51">
        <v>17.120999999999999</v>
      </c>
      <c r="AS13" s="51">
        <v>18.073</v>
      </c>
      <c r="AT13" s="51">
        <v>19.927</v>
      </c>
      <c r="AU13" s="95">
        <f t="shared" ref="AU13:BF13" si="64">+AU64*AU65*AU$6/1000000</f>
        <v>29.25</v>
      </c>
      <c r="AV13" s="95">
        <f t="shared" si="64"/>
        <v>17.472000000000001</v>
      </c>
      <c r="AW13" s="95">
        <f t="shared" si="64"/>
        <v>38.271999999999998</v>
      </c>
      <c r="AX13" s="95">
        <f t="shared" si="64"/>
        <v>38.271999999999998</v>
      </c>
      <c r="AY13" s="95">
        <f t="shared" si="64"/>
        <v>40.32</v>
      </c>
      <c r="AZ13" s="95">
        <f t="shared" si="64"/>
        <v>17.472000000000001</v>
      </c>
      <c r="BA13" s="95">
        <f t="shared" si="64"/>
        <v>38.271999999999998</v>
      </c>
      <c r="BB13" s="95">
        <f t="shared" si="64"/>
        <v>38.271999999999998</v>
      </c>
      <c r="BC13" s="95">
        <f t="shared" si="64"/>
        <v>40.768000000000001</v>
      </c>
      <c r="BD13" s="95">
        <f t="shared" si="64"/>
        <v>17.472000000000001</v>
      </c>
      <c r="BE13" s="95">
        <f t="shared" si="64"/>
        <v>38.271999999999998</v>
      </c>
      <c r="BF13" s="95">
        <f t="shared" si="64"/>
        <v>38.271999999999998</v>
      </c>
      <c r="BJ13" s="116">
        <f t="shared" si="62"/>
        <v>4</v>
      </c>
    </row>
    <row r="14" spans="1:62" outlineLevel="1">
      <c r="B14" s="5" t="s">
        <v>6</v>
      </c>
      <c r="C14" s="50">
        <f t="shared" si="63"/>
        <v>1093.6079999999999</v>
      </c>
      <c r="D14" s="50">
        <f t="shared" si="60"/>
        <v>1104.461</v>
      </c>
      <c r="E14" s="50">
        <f t="shared" si="60"/>
        <v>1265.06</v>
      </c>
      <c r="F14" s="50">
        <f t="shared" si="60"/>
        <v>1464.2639999999999</v>
      </c>
      <c r="G14" s="50">
        <f t="shared" si="60"/>
        <v>1623.1020000000001</v>
      </c>
      <c r="H14" s="50">
        <f t="shared" si="60"/>
        <v>1868.3159999999998</v>
      </c>
      <c r="I14" s="50">
        <f t="shared" si="60"/>
        <v>1470.69</v>
      </c>
      <c r="J14" s="50">
        <f t="shared" si="60"/>
        <v>1474.06</v>
      </c>
      <c r="K14" s="50">
        <f t="shared" si="60"/>
        <v>1554.2225000000001</v>
      </c>
      <c r="L14" s="50">
        <f t="shared" si="60"/>
        <v>1745.0125</v>
      </c>
      <c r="M14" s="50">
        <f t="shared" si="60"/>
        <v>1704.645</v>
      </c>
      <c r="O14" s="51">
        <v>245.34399999999999</v>
      </c>
      <c r="P14" s="51">
        <v>267.00700000000001</v>
      </c>
      <c r="Q14" s="51">
        <v>288.53500000000003</v>
      </c>
      <c r="R14" s="51">
        <v>292.72199999999998</v>
      </c>
      <c r="S14" s="51">
        <v>262.47699999999998</v>
      </c>
      <c r="T14" s="51">
        <v>265.23099999999999</v>
      </c>
      <c r="U14" s="51">
        <v>281.68599999999998</v>
      </c>
      <c r="V14" s="51">
        <v>295.06700000000001</v>
      </c>
      <c r="W14" s="51">
        <v>306.46499999999997</v>
      </c>
      <c r="X14" s="51">
        <v>304.62200000000001</v>
      </c>
      <c r="Y14" s="51">
        <v>329.245</v>
      </c>
      <c r="Z14" s="51">
        <v>324.72800000000001</v>
      </c>
      <c r="AA14" s="51">
        <v>321.51600000000002</v>
      </c>
      <c r="AB14" s="51">
        <v>351.42099999999999</v>
      </c>
      <c r="AC14" s="51">
        <v>383.71199999999999</v>
      </c>
      <c r="AD14" s="51">
        <v>407.61500000000001</v>
      </c>
      <c r="AE14" s="51">
        <v>375.06900000000002</v>
      </c>
      <c r="AF14" s="51">
        <v>391.25099999999998</v>
      </c>
      <c r="AG14" s="51">
        <v>424.69799999999998</v>
      </c>
      <c r="AH14" s="51">
        <v>432.084</v>
      </c>
      <c r="AI14" s="51">
        <v>445.4</v>
      </c>
      <c r="AJ14" s="51">
        <v>458.22899999999998</v>
      </c>
      <c r="AK14" s="51">
        <v>516.17999999999995</v>
      </c>
      <c r="AL14" s="51">
        <v>448.50700000000001</v>
      </c>
      <c r="AM14" s="51">
        <v>401.05500000000001</v>
      </c>
      <c r="AN14" s="51">
        <v>382.024</v>
      </c>
      <c r="AO14" s="51">
        <v>351.35200000000003</v>
      </c>
      <c r="AP14" s="51">
        <v>336.25900000000001</v>
      </c>
      <c r="AQ14" s="51">
        <v>338.22300000000001</v>
      </c>
      <c r="AR14" s="51">
        <v>380.33800000000002</v>
      </c>
      <c r="AS14" s="51">
        <v>374.10599999999999</v>
      </c>
      <c r="AT14" s="51">
        <v>381.39299999999997</v>
      </c>
      <c r="AU14" s="95">
        <f t="shared" ref="AU14:BF14" si="65">+AU70*AU71*AU$6/1000000</f>
        <v>371.52</v>
      </c>
      <c r="AV14" s="95">
        <f t="shared" si="65"/>
        <v>381.24450000000002</v>
      </c>
      <c r="AW14" s="95">
        <f t="shared" si="65"/>
        <v>395.6</v>
      </c>
      <c r="AX14" s="95">
        <f t="shared" si="65"/>
        <v>405.858</v>
      </c>
      <c r="AY14" s="95">
        <f t="shared" si="65"/>
        <v>413.4375</v>
      </c>
      <c r="AZ14" s="95">
        <f t="shared" si="65"/>
        <v>429.97500000000002</v>
      </c>
      <c r="BA14" s="95">
        <f t="shared" si="65"/>
        <v>446.77499999999998</v>
      </c>
      <c r="BB14" s="95">
        <f t="shared" si="65"/>
        <v>454.82499999999999</v>
      </c>
      <c r="BC14" s="95">
        <f t="shared" si="65"/>
        <v>423.83249999999998</v>
      </c>
      <c r="BD14" s="95">
        <f t="shared" si="65"/>
        <v>423.83249999999998</v>
      </c>
      <c r="BE14" s="95">
        <f t="shared" si="65"/>
        <v>428.49</v>
      </c>
      <c r="BF14" s="95">
        <f t="shared" si="65"/>
        <v>428.49</v>
      </c>
      <c r="BJ14" s="116">
        <f t="shared" si="62"/>
        <v>5</v>
      </c>
    </row>
    <row r="15" spans="1:62" outlineLevel="1">
      <c r="A15" s="250"/>
      <c r="B15" s="5" t="s">
        <v>418</v>
      </c>
      <c r="C15" s="95">
        <f t="shared" si="63"/>
        <v>0</v>
      </c>
      <c r="D15" s="95">
        <f t="shared" si="60"/>
        <v>0</v>
      </c>
      <c r="E15" s="95">
        <f t="shared" si="60"/>
        <v>0</v>
      </c>
      <c r="F15" s="95">
        <f t="shared" si="60"/>
        <v>0</v>
      </c>
      <c r="G15" s="95">
        <f t="shared" si="60"/>
        <v>0</v>
      </c>
      <c r="H15" s="95">
        <f t="shared" si="60"/>
        <v>69.828000000000003</v>
      </c>
      <c r="I15" s="95">
        <f t="shared" si="60"/>
        <v>63.759000000000007</v>
      </c>
      <c r="J15" s="284">
        <f t="shared" si="60"/>
        <v>140.70099999999999</v>
      </c>
      <c r="K15" s="95">
        <f t="shared" si="60"/>
        <v>253.78896779999997</v>
      </c>
      <c r="L15" s="95">
        <f t="shared" si="60"/>
        <v>375.08634761598006</v>
      </c>
      <c r="M15" s="95">
        <f t="shared" si="60"/>
        <v>486.82952434126514</v>
      </c>
      <c r="O15" s="96">
        <v>0</v>
      </c>
      <c r="P15" s="96">
        <v>0</v>
      </c>
      <c r="Q15" s="96">
        <v>0</v>
      </c>
      <c r="R15" s="96">
        <v>0</v>
      </c>
      <c r="S15" s="96">
        <v>0</v>
      </c>
      <c r="T15" s="96">
        <v>0</v>
      </c>
      <c r="U15" s="96">
        <v>0</v>
      </c>
      <c r="V15" s="96">
        <v>0</v>
      </c>
      <c r="W15" s="96">
        <v>0</v>
      </c>
      <c r="X15" s="96">
        <v>0</v>
      </c>
      <c r="Y15" s="96">
        <v>0</v>
      </c>
      <c r="Z15" s="96">
        <v>0</v>
      </c>
      <c r="AA15" s="96">
        <v>0</v>
      </c>
      <c r="AB15" s="96">
        <v>0</v>
      </c>
      <c r="AC15" s="96">
        <v>0</v>
      </c>
      <c r="AD15" s="96">
        <v>0</v>
      </c>
      <c r="AE15" s="96">
        <v>0</v>
      </c>
      <c r="AF15" s="96">
        <v>0</v>
      </c>
      <c r="AG15" s="96">
        <v>0</v>
      </c>
      <c r="AH15" s="96">
        <v>0</v>
      </c>
      <c r="AI15" s="96">
        <v>22.164999999999999</v>
      </c>
      <c r="AJ15" s="96">
        <v>17.722000000000001</v>
      </c>
      <c r="AK15" s="96">
        <v>14.667999999999999</v>
      </c>
      <c r="AL15" s="96">
        <v>15.273</v>
      </c>
      <c r="AM15" s="96">
        <v>18.577000000000002</v>
      </c>
      <c r="AN15" s="96">
        <v>13.513</v>
      </c>
      <c r="AO15" s="96">
        <v>14.102</v>
      </c>
      <c r="AP15" s="96">
        <v>17.567</v>
      </c>
      <c r="AQ15" s="208">
        <v>27.364999999999998</v>
      </c>
      <c r="AR15" s="96">
        <v>31.829000000000001</v>
      </c>
      <c r="AS15" s="96">
        <v>37.506</v>
      </c>
      <c r="AT15" s="96">
        <v>44.000999999999998</v>
      </c>
      <c r="AU15" s="95">
        <f>+AT15*(1+AU76)</f>
        <v>52.801199999999994</v>
      </c>
      <c r="AV15" s="95">
        <f t="shared" ref="AV15:BF15" si="66">+AU15*(1+AV76)</f>
        <v>60.721379999999989</v>
      </c>
      <c r="AW15" s="95">
        <f t="shared" si="66"/>
        <v>66.793517999999992</v>
      </c>
      <c r="AX15" s="95">
        <f t="shared" si="66"/>
        <v>73.472869799999998</v>
      </c>
      <c r="AY15" s="95">
        <f t="shared" si="66"/>
        <v>80.820156780000005</v>
      </c>
      <c r="AZ15" s="95">
        <f t="shared" si="66"/>
        <v>88.90217245800001</v>
      </c>
      <c r="BA15" s="95">
        <f t="shared" si="66"/>
        <v>97.792389703800012</v>
      </c>
      <c r="BB15" s="95">
        <f t="shared" si="66"/>
        <v>107.57162867418002</v>
      </c>
      <c r="BC15" s="95">
        <f t="shared" si="66"/>
        <v>112.95021010788902</v>
      </c>
      <c r="BD15" s="95">
        <f t="shared" si="66"/>
        <v>118.59772061328347</v>
      </c>
      <c r="BE15" s="95">
        <f t="shared" si="66"/>
        <v>124.52760664394765</v>
      </c>
      <c r="BF15" s="95">
        <f t="shared" si="66"/>
        <v>130.75398697614503</v>
      </c>
      <c r="BG15" s="231"/>
      <c r="BH15" s="231"/>
      <c r="BI15" s="231"/>
      <c r="BJ15" s="116">
        <f t="shared" si="62"/>
        <v>6</v>
      </c>
    </row>
    <row r="16" spans="1:62" outlineLevel="1">
      <c r="A16" s="250"/>
      <c r="B16" s="5" t="s">
        <v>419</v>
      </c>
      <c r="C16" s="95">
        <f t="shared" si="63"/>
        <v>427.154</v>
      </c>
      <c r="D16" s="95">
        <f t="shared" si="60"/>
        <v>674.20600000000002</v>
      </c>
      <c r="E16" s="95">
        <f t="shared" si="60"/>
        <v>776.37300000000005</v>
      </c>
      <c r="F16" s="95">
        <f t="shared" si="60"/>
        <v>516.00400000000002</v>
      </c>
      <c r="G16" s="95">
        <f t="shared" si="60"/>
        <v>687.30200000000002</v>
      </c>
      <c r="H16" s="95">
        <f t="shared" si="60"/>
        <v>321.238</v>
      </c>
      <c r="I16" s="95">
        <f t="shared" si="60"/>
        <v>151.95100000000002</v>
      </c>
      <c r="J16" s="285">
        <f t="shared" si="60"/>
        <v>234.542</v>
      </c>
      <c r="K16" s="95">
        <f t="shared" si="60"/>
        <v>478.20233457499995</v>
      </c>
      <c r="L16" s="95">
        <f t="shared" si="60"/>
        <v>581.25792644050375</v>
      </c>
      <c r="M16" s="95">
        <f t="shared" si="60"/>
        <v>656.31718510232304</v>
      </c>
      <c r="O16" s="96">
        <v>89.849000000000004</v>
      </c>
      <c r="P16" s="96">
        <v>100.17700000000001</v>
      </c>
      <c r="Q16" s="96">
        <v>122.298</v>
      </c>
      <c r="R16" s="96">
        <v>114.83</v>
      </c>
      <c r="S16" s="96">
        <v>116.789</v>
      </c>
      <c r="T16" s="96">
        <v>155.24600000000001</v>
      </c>
      <c r="U16" s="96">
        <v>190.744</v>
      </c>
      <c r="V16" s="96">
        <v>211.42699999999999</v>
      </c>
      <c r="W16" s="96">
        <v>241.75800000000001</v>
      </c>
      <c r="X16" s="96">
        <v>228.614</v>
      </c>
      <c r="Y16" s="96">
        <v>151.625</v>
      </c>
      <c r="Z16" s="96">
        <v>154.376</v>
      </c>
      <c r="AA16" s="96">
        <v>134.23099999999999</v>
      </c>
      <c r="AB16" s="96">
        <v>118.12</v>
      </c>
      <c r="AC16" s="96">
        <v>131.15100000000001</v>
      </c>
      <c r="AD16" s="96">
        <v>132.50200000000001</v>
      </c>
      <c r="AE16" s="96">
        <v>143.726</v>
      </c>
      <c r="AF16" s="96">
        <v>161.74</v>
      </c>
      <c r="AG16" s="96">
        <v>191.43700000000001</v>
      </c>
      <c r="AH16" s="96">
        <v>190.399</v>
      </c>
      <c r="AI16" s="96">
        <v>121.919</v>
      </c>
      <c r="AJ16" s="96">
        <v>82.876999999999995</v>
      </c>
      <c r="AK16" s="96">
        <v>58.853000000000002</v>
      </c>
      <c r="AL16" s="96">
        <v>57.588999999999999</v>
      </c>
      <c r="AM16" s="96">
        <v>35.276000000000003</v>
      </c>
      <c r="AN16" s="96">
        <v>25.734999999999999</v>
      </c>
      <c r="AO16" s="96">
        <v>44.847999999999999</v>
      </c>
      <c r="AP16" s="96">
        <v>46.091999999999999</v>
      </c>
      <c r="AQ16" s="282">
        <v>44.076000000000001</v>
      </c>
      <c r="AR16" s="96">
        <v>61.185000000000002</v>
      </c>
      <c r="AS16" s="96">
        <v>50.031999999999996</v>
      </c>
      <c r="AT16" s="96">
        <v>79.248999999999995</v>
      </c>
      <c r="AU16" s="95">
        <f t="shared" ref="AU16:BF16" si="67">+AT16*(1+AU80)</f>
        <v>110.94859999999998</v>
      </c>
      <c r="AV16" s="95">
        <f t="shared" si="67"/>
        <v>116.49602999999999</v>
      </c>
      <c r="AW16" s="95">
        <f t="shared" si="67"/>
        <v>122.3208315</v>
      </c>
      <c r="AX16" s="95">
        <f t="shared" si="67"/>
        <v>128.43687307499999</v>
      </c>
      <c r="AY16" s="95">
        <f t="shared" si="67"/>
        <v>134.85871672875001</v>
      </c>
      <c r="AZ16" s="95">
        <f t="shared" si="67"/>
        <v>141.60165256518752</v>
      </c>
      <c r="BA16" s="95">
        <f t="shared" si="67"/>
        <v>148.68173519344691</v>
      </c>
      <c r="BB16" s="95">
        <f t="shared" si="67"/>
        <v>156.11582195311925</v>
      </c>
      <c r="BC16" s="95">
        <f t="shared" si="67"/>
        <v>159.23813839218164</v>
      </c>
      <c r="BD16" s="95">
        <f t="shared" si="67"/>
        <v>162.42290116002528</v>
      </c>
      <c r="BE16" s="95">
        <f t="shared" si="67"/>
        <v>165.67135918322577</v>
      </c>
      <c r="BF16" s="95">
        <f t="shared" si="67"/>
        <v>168.98478636689029</v>
      </c>
      <c r="BG16" s="231"/>
      <c r="BH16" s="231"/>
      <c r="BI16" s="231"/>
      <c r="BJ16" s="116">
        <f t="shared" si="62"/>
        <v>7</v>
      </c>
    </row>
    <row r="17" spans="1:62" outlineLevel="1">
      <c r="B17" s="6" t="s">
        <v>253</v>
      </c>
      <c r="C17" s="52">
        <f t="shared" ref="C17:M17" si="68">SUM(C12:C16)</f>
        <v>3389.7689999999998</v>
      </c>
      <c r="D17" s="52">
        <f t="shared" si="68"/>
        <v>4204.3630000000003</v>
      </c>
      <c r="E17" s="52">
        <f t="shared" si="68"/>
        <v>4747.652</v>
      </c>
      <c r="F17" s="52">
        <f t="shared" si="68"/>
        <v>4222.43</v>
      </c>
      <c r="G17" s="52">
        <f t="shared" si="68"/>
        <v>4775.5639999999994</v>
      </c>
      <c r="H17" s="52">
        <f t="shared" si="68"/>
        <v>3645.4649999999997</v>
      </c>
      <c r="I17" s="52">
        <f t="shared" si="68"/>
        <v>2263.2440000000001</v>
      </c>
      <c r="J17" s="52">
        <f t="shared" si="68"/>
        <v>2737.4549999999999</v>
      </c>
      <c r="K17" s="52">
        <f t="shared" si="68"/>
        <v>3487.7800523749997</v>
      </c>
      <c r="L17" s="52">
        <f t="shared" si="68"/>
        <v>4110.0247740564846</v>
      </c>
      <c r="M17" s="52">
        <f t="shared" si="68"/>
        <v>4349.635709443588</v>
      </c>
      <c r="O17" s="52">
        <f t="shared" ref="O17:BF17" si="69">SUM(O12:O16)</f>
        <v>776.71699999999998</v>
      </c>
      <c r="P17" s="52">
        <f t="shared" si="69"/>
        <v>793.39099999999996</v>
      </c>
      <c r="Q17" s="52">
        <f t="shared" si="69"/>
        <v>890.90100000000007</v>
      </c>
      <c r="R17" s="52">
        <f t="shared" si="69"/>
        <v>928.76</v>
      </c>
      <c r="S17" s="52">
        <f t="shared" si="69"/>
        <v>957.20999999999992</v>
      </c>
      <c r="T17" s="52">
        <f t="shared" si="69"/>
        <v>964.33899999999994</v>
      </c>
      <c r="U17" s="52">
        <f t="shared" si="69"/>
        <v>1082.8309999999999</v>
      </c>
      <c r="V17" s="52">
        <f t="shared" si="69"/>
        <v>1199.9829999999999</v>
      </c>
      <c r="W17" s="52">
        <f t="shared" si="69"/>
        <v>1320.0630000000001</v>
      </c>
      <c r="X17" s="52">
        <f t="shared" si="69"/>
        <v>1198.0160000000001</v>
      </c>
      <c r="Y17" s="52">
        <f t="shared" si="69"/>
        <v>1139.6469999999999</v>
      </c>
      <c r="Z17" s="52">
        <f t="shared" si="69"/>
        <v>1089.9259999999999</v>
      </c>
      <c r="AA17" s="52">
        <f t="shared" si="69"/>
        <v>1067.3869999999999</v>
      </c>
      <c r="AB17" s="52">
        <f t="shared" si="69"/>
        <v>1001.4589999999999</v>
      </c>
      <c r="AC17" s="52">
        <f t="shared" si="69"/>
        <v>1053.817</v>
      </c>
      <c r="AD17" s="52">
        <f t="shared" si="69"/>
        <v>1099.7670000000001</v>
      </c>
      <c r="AE17" s="52">
        <f t="shared" si="69"/>
        <v>1140.8919999999998</v>
      </c>
      <c r="AF17" s="52">
        <f t="shared" si="69"/>
        <v>1140.7460000000001</v>
      </c>
      <c r="AG17" s="52">
        <f t="shared" si="69"/>
        <v>1238.3620000000001</v>
      </c>
      <c r="AH17" s="52">
        <f t="shared" si="69"/>
        <v>1255.5639999999999</v>
      </c>
      <c r="AI17" s="52">
        <f t="shared" si="69"/>
        <v>1099.7450000000001</v>
      </c>
      <c r="AJ17" s="52">
        <f t="shared" si="69"/>
        <v>895.81</v>
      </c>
      <c r="AK17" s="52">
        <f t="shared" si="69"/>
        <v>879.56899999999996</v>
      </c>
      <c r="AL17" s="52">
        <f t="shared" si="69"/>
        <v>770.34100000000012</v>
      </c>
      <c r="AM17" s="52">
        <f t="shared" si="69"/>
        <v>617.57799999999997</v>
      </c>
      <c r="AN17" s="52">
        <f t="shared" si="69"/>
        <v>543.03100000000006</v>
      </c>
      <c r="AO17" s="52">
        <f t="shared" si="69"/>
        <v>536.84100000000001</v>
      </c>
      <c r="AP17" s="52">
        <f t="shared" si="69"/>
        <v>565.79399999999998</v>
      </c>
      <c r="AQ17" s="52">
        <f t="shared" si="69"/>
        <v>599.40600000000006</v>
      </c>
      <c r="AR17" s="52">
        <f t="shared" si="69"/>
        <v>677.81700000000001</v>
      </c>
      <c r="AS17" s="52">
        <f t="shared" si="69"/>
        <v>702.46400000000006</v>
      </c>
      <c r="AT17" s="52">
        <f t="shared" si="69"/>
        <v>757.76800000000003</v>
      </c>
      <c r="AU17" s="52">
        <f t="shared" si="69"/>
        <v>808.86979999999994</v>
      </c>
      <c r="AV17" s="52">
        <f t="shared" si="69"/>
        <v>840.26616000000001</v>
      </c>
      <c r="AW17" s="52">
        <f t="shared" si="69"/>
        <v>901.19434949999982</v>
      </c>
      <c r="AX17" s="52">
        <f t="shared" si="69"/>
        <v>937.44974287499997</v>
      </c>
      <c r="AY17" s="52">
        <f t="shared" si="69"/>
        <v>967.56137350874997</v>
      </c>
      <c r="AZ17" s="52">
        <f t="shared" si="69"/>
        <v>988.16982502318751</v>
      </c>
      <c r="BA17" s="52">
        <f t="shared" si="69"/>
        <v>1060.5131248972471</v>
      </c>
      <c r="BB17" s="52">
        <f t="shared" si="69"/>
        <v>1093.7804506272994</v>
      </c>
      <c r="BC17" s="52">
        <f t="shared" si="69"/>
        <v>1074.3988485000707</v>
      </c>
      <c r="BD17" s="52">
        <f t="shared" si="69"/>
        <v>1059.9351217733088</v>
      </c>
      <c r="BE17" s="52">
        <f t="shared" si="69"/>
        <v>1102.8809658271734</v>
      </c>
      <c r="BF17" s="52">
        <f t="shared" si="69"/>
        <v>1112.4207733430353</v>
      </c>
      <c r="BJ17" s="116">
        <f t="shared" si="62"/>
        <v>8</v>
      </c>
    </row>
    <row r="18" spans="1:62" outlineLevel="1">
      <c r="B18" s="7" t="s">
        <v>252</v>
      </c>
      <c r="C18" s="50">
        <f t="shared" si="63"/>
        <v>884.01400000000001</v>
      </c>
      <c r="D18" s="50">
        <f t="shared" si="60"/>
        <v>2086.828</v>
      </c>
      <c r="E18" s="50">
        <f t="shared" si="60"/>
        <v>2463.6400000000003</v>
      </c>
      <c r="F18" s="50">
        <f t="shared" si="60"/>
        <v>2083.9270000000001</v>
      </c>
      <c r="G18" s="50">
        <f t="shared" si="60"/>
        <v>2251.8990000000003</v>
      </c>
      <c r="H18" s="50">
        <f t="shared" si="60"/>
        <v>366.63499999999999</v>
      </c>
      <c r="I18" s="50">
        <f t="shared" si="60"/>
        <v>0</v>
      </c>
      <c r="J18" s="50">
        <f t="shared" si="60"/>
        <v>0</v>
      </c>
      <c r="K18" s="50">
        <f t="shared" si="60"/>
        <v>0</v>
      </c>
      <c r="L18" s="50">
        <f t="shared" si="60"/>
        <v>0</v>
      </c>
      <c r="M18" s="50">
        <f t="shared" si="60"/>
        <v>0</v>
      </c>
      <c r="O18" s="51">
        <v>131.512</v>
      </c>
      <c r="P18" s="51">
        <v>125.19199999999999</v>
      </c>
      <c r="Q18" s="51">
        <v>209.17</v>
      </c>
      <c r="R18" s="51">
        <v>418.14</v>
      </c>
      <c r="S18" s="51">
        <v>452.95100000000002</v>
      </c>
      <c r="T18" s="51">
        <v>451.786</v>
      </c>
      <c r="U18" s="51">
        <v>572.25599999999997</v>
      </c>
      <c r="V18" s="51">
        <v>609.83500000000004</v>
      </c>
      <c r="W18" s="51">
        <v>655.29500000000007</v>
      </c>
      <c r="X18" s="51">
        <v>628.04300000000001</v>
      </c>
      <c r="Y18" s="51">
        <v>636.06799999999998</v>
      </c>
      <c r="Z18" s="51">
        <v>544.23400000000004</v>
      </c>
      <c r="AA18" s="51">
        <v>513.70899999999995</v>
      </c>
      <c r="AB18" s="51">
        <v>498.61799999999999</v>
      </c>
      <c r="AC18" s="51">
        <v>513.32600000000002</v>
      </c>
      <c r="AD18" s="51">
        <v>558.274</v>
      </c>
      <c r="AE18" s="51">
        <v>503.29899999999998</v>
      </c>
      <c r="AF18" s="51">
        <v>535.01700000000005</v>
      </c>
      <c r="AG18" s="51">
        <v>611.89</v>
      </c>
      <c r="AH18" s="51">
        <v>601.69299999999998</v>
      </c>
      <c r="AI18" s="51">
        <v>366.63499999999999</v>
      </c>
      <c r="AJ18" s="51">
        <v>0</v>
      </c>
      <c r="AK18" s="51">
        <v>0</v>
      </c>
      <c r="AL18" s="51">
        <v>0</v>
      </c>
      <c r="AM18" s="51">
        <v>0</v>
      </c>
      <c r="AN18" s="51">
        <v>0</v>
      </c>
      <c r="AO18" s="51">
        <v>0</v>
      </c>
      <c r="AP18" s="51">
        <v>0</v>
      </c>
      <c r="AQ18" s="51">
        <v>0</v>
      </c>
      <c r="AR18" s="51">
        <v>0</v>
      </c>
      <c r="AS18" s="51">
        <v>0</v>
      </c>
      <c r="AT18" s="51">
        <v>0</v>
      </c>
      <c r="AU18" s="51">
        <v>0</v>
      </c>
      <c r="AV18" s="51">
        <v>0</v>
      </c>
      <c r="AW18" s="51">
        <v>0</v>
      </c>
      <c r="AX18" s="51">
        <v>0</v>
      </c>
      <c r="AY18" s="51">
        <v>0</v>
      </c>
      <c r="AZ18" s="51">
        <v>0</v>
      </c>
      <c r="BA18" s="51">
        <v>0</v>
      </c>
      <c r="BB18" s="51">
        <v>0</v>
      </c>
      <c r="BC18" s="51">
        <v>0</v>
      </c>
      <c r="BD18" s="51">
        <v>0</v>
      </c>
      <c r="BE18" s="51">
        <v>0</v>
      </c>
      <c r="BF18" s="51">
        <v>0</v>
      </c>
      <c r="BJ18" s="116">
        <f t="shared" si="62"/>
        <v>9</v>
      </c>
    </row>
    <row r="19" spans="1:62" outlineLevel="1">
      <c r="B19" s="7" t="s">
        <v>254</v>
      </c>
      <c r="C19" s="50">
        <f t="shared" si="63"/>
        <v>-48.766999999999712</v>
      </c>
      <c r="D19" s="50">
        <f t="shared" si="60"/>
        <v>-166.16199999999992</v>
      </c>
      <c r="E19" s="50">
        <f t="shared" si="60"/>
        <v>-277.89799999999991</v>
      </c>
      <c r="F19" s="50">
        <f t="shared" si="60"/>
        <v>-189.416</v>
      </c>
      <c r="G19" s="50">
        <f t="shared" si="60"/>
        <v>-253.26599999999996</v>
      </c>
      <c r="H19" s="50">
        <f t="shared" si="60"/>
        <v>-155.57900000000001</v>
      </c>
      <c r="I19" s="50">
        <f t="shared" si="60"/>
        <v>-102.30500000000001</v>
      </c>
      <c r="J19" s="50">
        <f t="shared" si="60"/>
        <v>-173.17000000000002</v>
      </c>
      <c r="K19" s="50">
        <f t="shared" si="60"/>
        <v>-227.79230921877291</v>
      </c>
      <c r="L19" s="50">
        <f t="shared" si="60"/>
        <v>-268.43207431935559</v>
      </c>
      <c r="M19" s="50">
        <f t="shared" si="60"/>
        <v>-284.08143507785047</v>
      </c>
      <c r="O19" s="51">
        <v>-2.5189999999998918</v>
      </c>
      <c r="P19" s="51">
        <v>-3.3070000000000164</v>
      </c>
      <c r="Q19" s="51">
        <v>-18.967999999999961</v>
      </c>
      <c r="R19" s="51">
        <v>-23.972999999999843</v>
      </c>
      <c r="S19" s="51">
        <v>-12.608000000000061</v>
      </c>
      <c r="T19" s="51">
        <v>-51.912999999999784</v>
      </c>
      <c r="U19" s="51">
        <v>-23.801999999999907</v>
      </c>
      <c r="V19" s="51">
        <v>-77.839000000000169</v>
      </c>
      <c r="W19" s="51">
        <v>-84.932000000000016</v>
      </c>
      <c r="X19" s="51">
        <v>-82.827999999999975</v>
      </c>
      <c r="Y19" s="51">
        <v>-46.529999999999745</v>
      </c>
      <c r="Z19" s="51">
        <v>-63.608000000000175</v>
      </c>
      <c r="AA19" s="51">
        <v>-45.618000000000002</v>
      </c>
      <c r="AB19" s="51">
        <v>-42.110999999999997</v>
      </c>
      <c r="AC19" s="51">
        <v>-50.624000000000002</v>
      </c>
      <c r="AD19" s="51">
        <v>-51.063000000000002</v>
      </c>
      <c r="AE19" s="51">
        <v>-54.573</v>
      </c>
      <c r="AF19" s="51">
        <v>-58.781999999999996</v>
      </c>
      <c r="AG19" s="51">
        <v>-66.489999999999995</v>
      </c>
      <c r="AH19" s="51">
        <v>-73.420999999999992</v>
      </c>
      <c r="AI19" s="51">
        <v>-53.073</v>
      </c>
      <c r="AJ19" s="51">
        <v>-37.621000000000002</v>
      </c>
      <c r="AK19" s="51">
        <v>-32.015999999999998</v>
      </c>
      <c r="AL19" s="51">
        <v>-32.869</v>
      </c>
      <c r="AM19" s="51">
        <v>-23.507000000000001</v>
      </c>
      <c r="AN19" s="51">
        <v>-15.64</v>
      </c>
      <c r="AO19" s="51">
        <v>-29.312000000000001</v>
      </c>
      <c r="AP19" s="51">
        <v>-33.845999999999997</v>
      </c>
      <c r="AQ19" s="51">
        <v>-36.856000000000002</v>
      </c>
      <c r="AR19" s="51">
        <v>-46.462000000000003</v>
      </c>
      <c r="AS19" s="51">
        <v>-40.360999999999997</v>
      </c>
      <c r="AT19" s="51">
        <v>-49.491</v>
      </c>
      <c r="AU19" s="96">
        <f t="shared" ref="AU19:BF19" si="70">+AT19/AT17*AU17</f>
        <v>-52.828537589077392</v>
      </c>
      <c r="AV19" s="96">
        <f t="shared" si="70"/>
        <v>-54.879082416465195</v>
      </c>
      <c r="AW19" s="96">
        <f t="shared" si="70"/>
        <v>-58.858396700711154</v>
      </c>
      <c r="AX19" s="96">
        <f t="shared" si="70"/>
        <v>-61.226292512519166</v>
      </c>
      <c r="AY19" s="96">
        <f t="shared" si="70"/>
        <v>-63.192929678109316</v>
      </c>
      <c r="AZ19" s="96">
        <f t="shared" si="70"/>
        <v>-64.538899518352011</v>
      </c>
      <c r="BA19" s="96">
        <f t="shared" si="70"/>
        <v>-69.263752315074868</v>
      </c>
      <c r="BB19" s="96">
        <f t="shared" si="70"/>
        <v>-71.436492807819377</v>
      </c>
      <c r="BC19" s="96">
        <f t="shared" si="70"/>
        <v>-70.170650398429331</v>
      </c>
      <c r="BD19" s="96">
        <f t="shared" si="70"/>
        <v>-69.226002037144383</v>
      </c>
      <c r="BE19" s="96">
        <f t="shared" si="70"/>
        <v>-72.030861529851663</v>
      </c>
      <c r="BF19" s="96">
        <f t="shared" si="70"/>
        <v>-72.653921112425124</v>
      </c>
      <c r="BJ19" s="116">
        <f t="shared" si="62"/>
        <v>10</v>
      </c>
    </row>
    <row r="20" spans="1:62" outlineLevel="1">
      <c r="B20" s="8" t="s">
        <v>8</v>
      </c>
      <c r="C20" s="63">
        <f>SUM(C17:C19)</f>
        <v>4225.0159999999996</v>
      </c>
      <c r="D20" s="63">
        <f t="shared" ref="D20:O20" si="71">SUM(D17:D19)</f>
        <v>6125.0290000000005</v>
      </c>
      <c r="E20" s="63">
        <f t="shared" si="71"/>
        <v>6933.3940000000002</v>
      </c>
      <c r="F20" s="63">
        <f t="shared" si="71"/>
        <v>6116.9409999999998</v>
      </c>
      <c r="G20" s="63">
        <f t="shared" si="71"/>
        <v>6774.1970000000001</v>
      </c>
      <c r="H20" s="63">
        <f t="shared" si="71"/>
        <v>3856.5209999999993</v>
      </c>
      <c r="I20" s="63">
        <f t="shared" si="71"/>
        <v>2160.9390000000003</v>
      </c>
      <c r="J20" s="63">
        <f t="shared" si="71"/>
        <v>2564.2849999999999</v>
      </c>
      <c r="K20" s="63">
        <f t="shared" si="71"/>
        <v>3259.9877431562268</v>
      </c>
      <c r="L20" s="63">
        <f t="shared" si="71"/>
        <v>3841.5926997371289</v>
      </c>
      <c r="M20" s="63">
        <f t="shared" si="71"/>
        <v>4065.5542743657375</v>
      </c>
      <c r="O20" s="63">
        <f t="shared" si="71"/>
        <v>905.71000000000015</v>
      </c>
      <c r="P20" s="63">
        <f t="shared" ref="P20" si="72">SUM(P17:P19)</f>
        <v>915.27599999999995</v>
      </c>
      <c r="Q20" s="63">
        <f t="shared" ref="Q20" si="73">SUM(Q17:Q19)</f>
        <v>1081.1030000000001</v>
      </c>
      <c r="R20" s="63">
        <f t="shared" ref="R20" si="74">SUM(R17:R19)</f>
        <v>1322.9270000000001</v>
      </c>
      <c r="S20" s="63">
        <f t="shared" ref="S20" si="75">SUM(S17:S19)</f>
        <v>1397.5529999999999</v>
      </c>
      <c r="T20" s="63">
        <f t="shared" ref="T20" si="76">SUM(T17:T19)</f>
        <v>1364.2120000000002</v>
      </c>
      <c r="U20" s="63">
        <f t="shared" ref="U20" si="77">SUM(U17:U19)</f>
        <v>1631.2850000000001</v>
      </c>
      <c r="V20" s="63">
        <f t="shared" ref="V20" si="78">SUM(V17:V19)</f>
        <v>1731.9789999999998</v>
      </c>
      <c r="W20" s="63">
        <f t="shared" ref="W20" si="79">SUM(W17:W19)</f>
        <v>1890.4260000000002</v>
      </c>
      <c r="X20" s="63">
        <f t="shared" ref="X20" si="80">SUM(X17:X19)</f>
        <v>1743.2310000000002</v>
      </c>
      <c r="Y20" s="63">
        <f t="shared" ref="Y20" si="81">SUM(Y17:Y19)</f>
        <v>1729.1850000000002</v>
      </c>
      <c r="Z20" s="63">
        <f t="shared" ref="Z20" si="82">SUM(Z17:Z19)</f>
        <v>1570.5519999999997</v>
      </c>
      <c r="AA20" s="63">
        <f t="shared" ref="AA20" si="83">SUM(AA17:AA19)</f>
        <v>1535.4780000000001</v>
      </c>
      <c r="AB20" s="63">
        <f t="shared" ref="AB20" si="84">SUM(AB17:AB19)</f>
        <v>1457.9659999999999</v>
      </c>
      <c r="AC20" s="63">
        <f t="shared" ref="AC20" si="85">SUM(AC17:AC19)</f>
        <v>1516.519</v>
      </c>
      <c r="AD20" s="63">
        <f t="shared" ref="AD20" si="86">SUM(AD17:AD19)</f>
        <v>1606.9780000000001</v>
      </c>
      <c r="AE20" s="63">
        <f t="shared" ref="AE20" si="87">SUM(AE17:AE19)</f>
        <v>1589.6179999999997</v>
      </c>
      <c r="AF20" s="63">
        <f t="shared" ref="AF20" si="88">SUM(AF17:AF19)</f>
        <v>1616.9810000000002</v>
      </c>
      <c r="AG20" s="63">
        <f t="shared" ref="AG20" si="89">SUM(AG17:AG19)</f>
        <v>1783.7619999999999</v>
      </c>
      <c r="AH20" s="63">
        <f t="shared" ref="AH20" si="90">SUM(AH17:AH19)</f>
        <v>1783.8359999999998</v>
      </c>
      <c r="AI20" s="63">
        <f t="shared" ref="AI20" si="91">SUM(AI17:AI19)</f>
        <v>1413.307</v>
      </c>
      <c r="AJ20" s="63">
        <f t="shared" ref="AJ20" si="92">SUM(AJ17:AJ19)</f>
        <v>858.18899999999996</v>
      </c>
      <c r="AK20" s="63">
        <f t="shared" ref="AK20" si="93">SUM(AK17:AK19)</f>
        <v>847.553</v>
      </c>
      <c r="AL20" s="63">
        <f t="shared" ref="AL20" si="94">SUM(AL17:AL19)</f>
        <v>737.47200000000009</v>
      </c>
      <c r="AM20" s="63">
        <f t="shared" ref="AM20" si="95">SUM(AM17:AM19)</f>
        <v>594.07100000000003</v>
      </c>
      <c r="AN20" s="63">
        <f t="shared" ref="AN20" si="96">SUM(AN17:AN19)</f>
        <v>527.39100000000008</v>
      </c>
      <c r="AO20" s="63">
        <f t="shared" ref="AO20" si="97">SUM(AO17:AO19)</f>
        <v>507.529</v>
      </c>
      <c r="AP20" s="63">
        <f t="shared" ref="AP20" si="98">SUM(AP17:AP19)</f>
        <v>531.94799999999998</v>
      </c>
      <c r="AQ20" s="63">
        <f t="shared" ref="AQ20" si="99">SUM(AQ17:AQ19)</f>
        <v>562.55000000000007</v>
      </c>
      <c r="AR20" s="63">
        <f t="shared" ref="AR20" si="100">SUM(AR17:AR19)</f>
        <v>631.35500000000002</v>
      </c>
      <c r="AS20" s="63">
        <f t="shared" ref="AS20" si="101">SUM(AS17:AS19)</f>
        <v>662.10300000000007</v>
      </c>
      <c r="AT20" s="63">
        <f t="shared" ref="AT20" si="102">SUM(AT17:AT19)</f>
        <v>708.27700000000004</v>
      </c>
      <c r="AU20" s="63">
        <f t="shared" ref="AU20" si="103">SUM(AU17:AU19)</f>
        <v>756.04126241092251</v>
      </c>
      <c r="AV20" s="63">
        <f t="shared" ref="AV20" si="104">SUM(AV17:AV19)</f>
        <v>785.38707758353485</v>
      </c>
      <c r="AW20" s="63">
        <f t="shared" ref="AW20" si="105">SUM(AW17:AW19)</f>
        <v>842.33595279928863</v>
      </c>
      <c r="AX20" s="63">
        <f t="shared" ref="AX20" si="106">SUM(AX17:AX19)</f>
        <v>876.22345036248078</v>
      </c>
      <c r="AY20" s="63">
        <f t="shared" ref="AY20" si="107">SUM(AY17:AY19)</f>
        <v>904.36844383064067</v>
      </c>
      <c r="AZ20" s="63">
        <f t="shared" ref="AZ20" si="108">SUM(AZ17:AZ19)</f>
        <v>923.63092550483555</v>
      </c>
      <c r="BA20" s="63">
        <f t="shared" ref="BA20" si="109">SUM(BA17:BA19)</f>
        <v>991.24937258217221</v>
      </c>
      <c r="BB20" s="63">
        <f t="shared" ref="BB20" si="110">SUM(BB17:BB19)</f>
        <v>1022.34395781948</v>
      </c>
      <c r="BC20" s="63">
        <f t="shared" ref="BC20" si="111">SUM(BC17:BC19)</f>
        <v>1004.2281981016414</v>
      </c>
      <c r="BD20" s="63">
        <f t="shared" ref="BD20" si="112">SUM(BD17:BD19)</f>
        <v>990.70911973616444</v>
      </c>
      <c r="BE20" s="63">
        <f t="shared" ref="BE20" si="113">SUM(BE17:BE19)</f>
        <v>1030.8501042973219</v>
      </c>
      <c r="BF20" s="63">
        <f t="shared" ref="BF20" si="114">SUM(BF17:BF19)</f>
        <v>1039.7668522306101</v>
      </c>
      <c r="BJ20" s="116">
        <f t="shared" si="62"/>
        <v>11</v>
      </c>
    </row>
    <row r="21" spans="1:62" outlineLevel="1">
      <c r="B21" s="9"/>
      <c r="I21" s="233"/>
      <c r="O21" s="93"/>
      <c r="BJ21" s="116">
        <f t="shared" si="62"/>
        <v>12</v>
      </c>
    </row>
    <row r="22" spans="1:62" outlineLevel="1">
      <c r="B22" s="2" t="s">
        <v>262</v>
      </c>
      <c r="AX22" s="236"/>
      <c r="BJ22" s="116">
        <f t="shared" si="62"/>
        <v>13</v>
      </c>
    </row>
    <row r="23" spans="1:62" outlineLevel="1">
      <c r="B23" s="5" t="s">
        <v>4</v>
      </c>
      <c r="C23" s="50">
        <f t="shared" ref="C23:M27" si="115">SUMIFS($O23:$BG23,$O$5:$BG$5,C$5)</f>
        <v>650.87699999999995</v>
      </c>
      <c r="D23" s="50">
        <f t="shared" si="115"/>
        <v>803.44</v>
      </c>
      <c r="E23" s="50">
        <f t="shared" si="115"/>
        <v>916.63499999999999</v>
      </c>
      <c r="F23" s="50">
        <f t="shared" si="115"/>
        <v>721.40599999999995</v>
      </c>
      <c r="G23" s="50">
        <f t="shared" si="115"/>
        <v>805.67899999999997</v>
      </c>
      <c r="H23" s="50">
        <f t="shared" si="115"/>
        <v>504.60300000000001</v>
      </c>
      <c r="I23" s="50">
        <f t="shared" si="115"/>
        <v>168.75700000000001</v>
      </c>
      <c r="J23" s="50">
        <f t="shared" si="115"/>
        <v>161.29400000000001</v>
      </c>
      <c r="K23" s="50">
        <f t="shared" si="115"/>
        <v>351.47114461973433</v>
      </c>
      <c r="L23" s="50">
        <f t="shared" si="115"/>
        <v>458.89378439653149</v>
      </c>
      <c r="M23" s="50">
        <f t="shared" si="115"/>
        <v>503.20164569299163</v>
      </c>
      <c r="O23" s="64">
        <v>151.90199999999999</v>
      </c>
      <c r="P23" s="64">
        <v>152.20400000000001</v>
      </c>
      <c r="Q23" s="64">
        <v>168.89099999999999</v>
      </c>
      <c r="R23" s="64">
        <v>177.88</v>
      </c>
      <c r="S23" s="64">
        <v>176.232</v>
      </c>
      <c r="T23" s="64">
        <v>194.91200000000001</v>
      </c>
      <c r="U23" s="64">
        <v>200.499</v>
      </c>
      <c r="V23" s="64">
        <v>231.797</v>
      </c>
      <c r="W23" s="64">
        <v>257.964</v>
      </c>
      <c r="X23" s="64">
        <v>246.74799999999999</v>
      </c>
      <c r="Y23" s="64">
        <v>221.04599999999999</v>
      </c>
      <c r="Z23" s="64">
        <v>190.87700000000001</v>
      </c>
      <c r="AA23" s="64">
        <v>184.85900000000001</v>
      </c>
      <c r="AB23" s="64">
        <v>178.79900000000001</v>
      </c>
      <c r="AC23" s="64">
        <f>204.622-34.3</f>
        <v>170.322</v>
      </c>
      <c r="AD23" s="64">
        <v>187.42599999999999</v>
      </c>
      <c r="AE23" s="64">
        <v>187.637</v>
      </c>
      <c r="AF23" s="64">
        <v>206.06100000000001</v>
      </c>
      <c r="AG23" s="64">
        <f>234.98-30</f>
        <v>204.98</v>
      </c>
      <c r="AH23" s="64">
        <v>207.001</v>
      </c>
      <c r="AI23" s="64">
        <f>187.745-1.4</f>
        <v>186.345</v>
      </c>
      <c r="AJ23" s="64">
        <f>136.499-5.6</f>
        <v>130.899</v>
      </c>
      <c r="AK23" s="64">
        <v>94.504999999999995</v>
      </c>
      <c r="AL23" s="64">
        <f>94.254-1.4</f>
        <v>92.853999999999999</v>
      </c>
      <c r="AM23" s="64">
        <f>51.235-3.5</f>
        <v>47.734999999999999</v>
      </c>
      <c r="AN23" s="64">
        <f>52.878-(8.6+5.5)-4.3</f>
        <v>34.478000000000002</v>
      </c>
      <c r="AO23" s="64">
        <v>37.298999999999999</v>
      </c>
      <c r="AP23" s="64">
        <v>49.244999999999997</v>
      </c>
      <c r="AQ23" s="64">
        <v>26.629000000000001</v>
      </c>
      <c r="AR23" s="64">
        <v>37.790999999999997</v>
      </c>
      <c r="AS23" s="64">
        <v>43.256</v>
      </c>
      <c r="AT23" s="64">
        <v>53.618000000000002</v>
      </c>
      <c r="AU23" s="95">
        <f t="shared" ref="AU23:BF23" si="116">AU173</f>
        <v>68.256920206806257</v>
      </c>
      <c r="AV23" s="95">
        <f t="shared" si="116"/>
        <v>86.191908610942406</v>
      </c>
      <c r="AW23" s="95">
        <f t="shared" si="116"/>
        <v>95.04461178316123</v>
      </c>
      <c r="AX23" s="95">
        <f t="shared" si="116"/>
        <v>101.9777040188244</v>
      </c>
      <c r="AY23" s="95">
        <f t="shared" si="116"/>
        <v>104.79185809920097</v>
      </c>
      <c r="AZ23" s="95">
        <f t="shared" si="116"/>
        <v>111.71899526118496</v>
      </c>
      <c r="BA23" s="95">
        <f t="shared" si="116"/>
        <v>119.72903516640874</v>
      </c>
      <c r="BB23" s="95">
        <f t="shared" si="116"/>
        <v>122.65389586973683</v>
      </c>
      <c r="BC23" s="95">
        <f t="shared" si="116"/>
        <v>123.63249378713154</v>
      </c>
      <c r="BD23" s="95">
        <f t="shared" si="116"/>
        <v>124.31074366287417</v>
      </c>
      <c r="BE23" s="95">
        <f t="shared" si="116"/>
        <v>127.74455853613165</v>
      </c>
      <c r="BF23" s="95">
        <f t="shared" si="116"/>
        <v>127.51384970685429</v>
      </c>
      <c r="BJ23" s="116">
        <f t="shared" si="62"/>
        <v>14</v>
      </c>
    </row>
    <row r="24" spans="1:62" outlineLevel="1">
      <c r="B24" s="5" t="s">
        <v>5</v>
      </c>
      <c r="C24" s="50">
        <f t="shared" si="115"/>
        <v>74.200999999999993</v>
      </c>
      <c r="D24" s="50">
        <f t="shared" si="115"/>
        <v>146.726</v>
      </c>
      <c r="E24" s="50">
        <f t="shared" si="115"/>
        <v>150.55099999999999</v>
      </c>
      <c r="F24" s="50">
        <f t="shared" si="115"/>
        <v>118.989</v>
      </c>
      <c r="G24" s="50">
        <f t="shared" si="115"/>
        <v>108.45399999999999</v>
      </c>
      <c r="H24" s="50">
        <f t="shared" si="115"/>
        <v>39.757000000000005</v>
      </c>
      <c r="I24" s="50">
        <f t="shared" si="115"/>
        <v>5.3249999999999993</v>
      </c>
      <c r="J24" s="50">
        <f t="shared" si="115"/>
        <v>17.335000000000001</v>
      </c>
      <c r="K24" s="50">
        <f t="shared" si="115"/>
        <v>29.2004980692288</v>
      </c>
      <c r="L24" s="50">
        <f t="shared" si="115"/>
        <v>29.835322207431155</v>
      </c>
      <c r="M24" s="50">
        <f t="shared" si="115"/>
        <v>29.306260392165676</v>
      </c>
      <c r="O24" s="64">
        <v>25.382000000000001</v>
      </c>
      <c r="P24" s="64">
        <v>7.1689999999999996</v>
      </c>
      <c r="Q24" s="64">
        <v>13.025</v>
      </c>
      <c r="R24" s="64">
        <v>28.625</v>
      </c>
      <c r="S24" s="64">
        <v>48.542999999999999</v>
      </c>
      <c r="T24" s="64">
        <v>18.789000000000001</v>
      </c>
      <c r="U24" s="64">
        <v>34.798999999999999</v>
      </c>
      <c r="V24" s="64">
        <v>44.594999999999999</v>
      </c>
      <c r="W24" s="64">
        <v>58.183999999999997</v>
      </c>
      <c r="X24" s="64">
        <v>13.178000000000001</v>
      </c>
      <c r="Y24" s="64">
        <v>36.829000000000001</v>
      </c>
      <c r="Z24" s="64">
        <v>42.36</v>
      </c>
      <c r="AA24" s="64">
        <v>45.530999999999999</v>
      </c>
      <c r="AB24" s="64">
        <v>18.067</v>
      </c>
      <c r="AC24" s="64">
        <v>26.231999999999999</v>
      </c>
      <c r="AD24" s="64">
        <v>29.158999999999999</v>
      </c>
      <c r="AE24" s="64">
        <v>40.119</v>
      </c>
      <c r="AF24" s="64">
        <v>14.215999999999999</v>
      </c>
      <c r="AG24" s="64">
        <v>25.803999999999998</v>
      </c>
      <c r="AH24" s="64">
        <v>28.315000000000001</v>
      </c>
      <c r="AI24" s="64">
        <v>18.468</v>
      </c>
      <c r="AJ24" s="64">
        <v>3.7320000000000002</v>
      </c>
      <c r="AK24" s="64">
        <v>7.516</v>
      </c>
      <c r="AL24" s="64">
        <v>10.041</v>
      </c>
      <c r="AM24" s="64">
        <v>2.1219999999999999</v>
      </c>
      <c r="AN24" s="64">
        <v>0.36</v>
      </c>
      <c r="AO24" s="64">
        <v>0.19600000000000001</v>
      </c>
      <c r="AP24" s="64">
        <v>2.6469999999999998</v>
      </c>
      <c r="AQ24" s="64">
        <v>6.335</v>
      </c>
      <c r="AR24" s="64">
        <v>4.1769999999999996</v>
      </c>
      <c r="AS24" s="64">
        <v>2.57</v>
      </c>
      <c r="AT24" s="64">
        <v>4.2530000000000001</v>
      </c>
      <c r="AU24" s="95">
        <f t="shared" ref="AU24:BF24" si="117">AU239</f>
        <v>7.668777251312787</v>
      </c>
      <c r="AV24" s="95">
        <f t="shared" si="117"/>
        <v>2.5511527963390437</v>
      </c>
      <c r="AW24" s="95">
        <f t="shared" si="117"/>
        <v>8.9108158522658236</v>
      </c>
      <c r="AX24" s="95">
        <f t="shared" si="117"/>
        <v>10.069752169311142</v>
      </c>
      <c r="AY24" s="95">
        <f t="shared" si="117"/>
        <v>9.4119472126973633</v>
      </c>
      <c r="AZ24" s="95">
        <f t="shared" si="117"/>
        <v>2.9473861569513105</v>
      </c>
      <c r="BA24" s="95">
        <f t="shared" si="117"/>
        <v>8.7580538800903369</v>
      </c>
      <c r="BB24" s="95">
        <f t="shared" si="117"/>
        <v>8.7179349576921439</v>
      </c>
      <c r="BC24" s="95">
        <f t="shared" si="117"/>
        <v>9.3790136568459861</v>
      </c>
      <c r="BD24" s="95">
        <f t="shared" si="117"/>
        <v>2.7852739299829068</v>
      </c>
      <c r="BE24" s="95">
        <f t="shared" si="117"/>
        <v>8.5926994085825648</v>
      </c>
      <c r="BF24" s="95">
        <f t="shared" si="117"/>
        <v>8.5492733967542165</v>
      </c>
      <c r="BJ24" s="116">
        <f t="shared" si="62"/>
        <v>15</v>
      </c>
    </row>
    <row r="25" spans="1:62" outlineLevel="1">
      <c r="B25" s="5" t="s">
        <v>6</v>
      </c>
      <c r="C25" s="50">
        <f t="shared" si="115"/>
        <v>501.87799999999999</v>
      </c>
      <c r="D25" s="50">
        <f t="shared" si="115"/>
        <v>397.13799999999992</v>
      </c>
      <c r="E25" s="50">
        <f t="shared" si="115"/>
        <v>421.61399999999998</v>
      </c>
      <c r="F25" s="50">
        <f t="shared" si="115"/>
        <v>524.49199999999996</v>
      </c>
      <c r="G25" s="50">
        <f t="shared" si="115"/>
        <v>610.16300000000001</v>
      </c>
      <c r="H25" s="50">
        <f t="shared" si="115"/>
        <v>725.18899999999996</v>
      </c>
      <c r="I25" s="50">
        <f t="shared" si="115"/>
        <v>540.84899999999993</v>
      </c>
      <c r="J25" s="50">
        <f t="shared" si="115"/>
        <v>509.18099999999998</v>
      </c>
      <c r="K25" s="50">
        <f t="shared" si="115"/>
        <v>534.17319800462883</v>
      </c>
      <c r="L25" s="50">
        <f t="shared" si="115"/>
        <v>620.61280359273815</v>
      </c>
      <c r="M25" s="50">
        <f t="shared" si="115"/>
        <v>663.59666995918326</v>
      </c>
      <c r="O25" s="64">
        <v>112.05800000000001</v>
      </c>
      <c r="P25" s="64">
        <v>124.416</v>
      </c>
      <c r="Q25" s="64">
        <v>128.55500000000001</v>
      </c>
      <c r="R25" s="64">
        <v>136.84899999999999</v>
      </c>
      <c r="S25" s="64">
        <v>100.39100000000001</v>
      </c>
      <c r="T25" s="64">
        <v>103.571</v>
      </c>
      <c r="U25" s="64">
        <v>97.611999999999995</v>
      </c>
      <c r="V25" s="64">
        <v>95.563999999999993</v>
      </c>
      <c r="W25" s="64">
        <v>97.25</v>
      </c>
      <c r="X25" s="64">
        <v>100.241</v>
      </c>
      <c r="Y25" s="64">
        <v>113.462</v>
      </c>
      <c r="Z25" s="64">
        <v>110.661</v>
      </c>
      <c r="AA25" s="64">
        <v>106.514</v>
      </c>
      <c r="AB25" s="64">
        <v>117.491</v>
      </c>
      <c r="AC25" s="64">
        <v>142.767</v>
      </c>
      <c r="AD25" s="64">
        <v>157.72</v>
      </c>
      <c r="AE25" s="64">
        <v>137.99100000000001</v>
      </c>
      <c r="AF25" s="64">
        <v>139.33600000000001</v>
      </c>
      <c r="AG25" s="64">
        <v>159.58799999999999</v>
      </c>
      <c r="AH25" s="64">
        <v>173.24799999999999</v>
      </c>
      <c r="AI25" s="64">
        <v>201.02799999999999</v>
      </c>
      <c r="AJ25" s="64">
        <v>176.994</v>
      </c>
      <c r="AK25" s="64">
        <v>186.45099999999999</v>
      </c>
      <c r="AL25" s="64">
        <v>160.71600000000001</v>
      </c>
      <c r="AM25" s="64">
        <v>148.309</v>
      </c>
      <c r="AN25" s="64">
        <f>150.618-19</f>
        <v>131.61799999999999</v>
      </c>
      <c r="AO25" s="64">
        <f>148.833-8.4-3.8</f>
        <v>136.63299999999998</v>
      </c>
      <c r="AP25" s="64">
        <f>128.289-4</f>
        <v>124.28899999999999</v>
      </c>
      <c r="AQ25" s="64">
        <v>108.65600000000001</v>
      </c>
      <c r="AR25" s="64">
        <v>134.78399999999999</v>
      </c>
      <c r="AS25" s="64">
        <v>136.839</v>
      </c>
      <c r="AT25" s="64">
        <v>128.90199999999999</v>
      </c>
      <c r="AU25" s="95">
        <f t="shared" ref="AU25:BF25" si="118">AU257</f>
        <v>127.44786366986595</v>
      </c>
      <c r="AV25" s="95">
        <f t="shared" si="118"/>
        <v>129.50312094326327</v>
      </c>
      <c r="AW25" s="95">
        <f t="shared" si="118"/>
        <v>136.07733336212854</v>
      </c>
      <c r="AX25" s="95">
        <f t="shared" si="118"/>
        <v>141.14488002937111</v>
      </c>
      <c r="AY25" s="95">
        <f t="shared" si="118"/>
        <v>146.65463762995853</v>
      </c>
      <c r="AZ25" s="95">
        <f t="shared" si="118"/>
        <v>152.84798038255769</v>
      </c>
      <c r="BA25" s="95">
        <f t="shared" si="118"/>
        <v>159.13827999020887</v>
      </c>
      <c r="BB25" s="95">
        <f t="shared" si="118"/>
        <v>161.97190559001302</v>
      </c>
      <c r="BC25" s="95">
        <f t="shared" si="118"/>
        <v>165.43122370181328</v>
      </c>
      <c r="BD25" s="95">
        <f t="shared" si="118"/>
        <v>165.07709817584953</v>
      </c>
      <c r="BE25" s="95">
        <f t="shared" si="118"/>
        <v>166.72839013936655</v>
      </c>
      <c r="BF25" s="95">
        <f t="shared" si="118"/>
        <v>166.35995794215387</v>
      </c>
      <c r="BJ25" s="116">
        <f t="shared" si="62"/>
        <v>16</v>
      </c>
    </row>
    <row r="26" spans="1:62" outlineLevel="1">
      <c r="A26" s="250"/>
      <c r="B26" s="5" t="s">
        <v>418</v>
      </c>
      <c r="C26" s="95">
        <f t="shared" si="115"/>
        <v>0</v>
      </c>
      <c r="D26" s="95">
        <f t="shared" si="115"/>
        <v>0</v>
      </c>
      <c r="E26" s="95">
        <f t="shared" si="115"/>
        <v>0</v>
      </c>
      <c r="F26" s="95">
        <f t="shared" si="115"/>
        <v>0</v>
      </c>
      <c r="G26" s="95">
        <f t="shared" si="115"/>
        <v>0</v>
      </c>
      <c r="H26" s="95">
        <f t="shared" si="115"/>
        <v>0.34199999999999997</v>
      </c>
      <c r="I26" s="95">
        <f t="shared" si="115"/>
        <v>2.0950000000000002</v>
      </c>
      <c r="J26" s="284">
        <f t="shared" si="115"/>
        <v>32.926000000000002</v>
      </c>
      <c r="K26" s="95">
        <f t="shared" si="115"/>
        <v>80.283960593999993</v>
      </c>
      <c r="L26" s="95">
        <f t="shared" si="115"/>
        <v>130.47202009779301</v>
      </c>
      <c r="M26" s="95">
        <f t="shared" si="115"/>
        <v>170.39033351944278</v>
      </c>
      <c r="O26" s="268">
        <v>0</v>
      </c>
      <c r="P26" s="268">
        <v>0</v>
      </c>
      <c r="Q26" s="268">
        <v>0</v>
      </c>
      <c r="R26" s="268">
        <v>0</v>
      </c>
      <c r="S26" s="268">
        <v>0</v>
      </c>
      <c r="T26" s="268">
        <v>0</v>
      </c>
      <c r="U26" s="268">
        <v>0</v>
      </c>
      <c r="V26" s="268">
        <v>0</v>
      </c>
      <c r="W26" s="268">
        <v>0</v>
      </c>
      <c r="X26" s="268">
        <v>0</v>
      </c>
      <c r="Y26" s="268">
        <v>0</v>
      </c>
      <c r="Z26" s="268">
        <v>0</v>
      </c>
      <c r="AA26" s="268">
        <v>0</v>
      </c>
      <c r="AB26" s="268">
        <v>0</v>
      </c>
      <c r="AC26" s="268">
        <v>0</v>
      </c>
      <c r="AD26" s="268">
        <v>0</v>
      </c>
      <c r="AE26" s="268">
        <v>0</v>
      </c>
      <c r="AF26" s="268">
        <v>0</v>
      </c>
      <c r="AG26" s="268">
        <v>0</v>
      </c>
      <c r="AH26" s="268">
        <v>0</v>
      </c>
      <c r="AI26" s="268">
        <v>0.51700000000000002</v>
      </c>
      <c r="AJ26" s="268">
        <v>-0.11899999999999999</v>
      </c>
      <c r="AK26" s="268">
        <v>-0.26800000000000002</v>
      </c>
      <c r="AL26" s="268">
        <v>0.21199999999999999</v>
      </c>
      <c r="AM26" s="268">
        <v>2.931</v>
      </c>
      <c r="AN26" s="268">
        <v>-1.946</v>
      </c>
      <c r="AO26" s="268">
        <v>-1.155</v>
      </c>
      <c r="AP26" s="268">
        <v>2.2650000000000001</v>
      </c>
      <c r="AQ26" s="65">
        <v>2.9460000000000002</v>
      </c>
      <c r="AR26" s="64">
        <v>7.6230000000000002</v>
      </c>
      <c r="AS26" s="64">
        <v>9.7609999999999992</v>
      </c>
      <c r="AT26" s="64">
        <v>12.596</v>
      </c>
      <c r="AU26" s="95">
        <f>+AU15*AU77</f>
        <v>15.840359999999997</v>
      </c>
      <c r="AV26" s="95">
        <f t="shared" ref="AV26:BF26" si="119">+AV15*AV77</f>
        <v>18.823627799999997</v>
      </c>
      <c r="AW26" s="95">
        <f t="shared" si="119"/>
        <v>21.373925759999999</v>
      </c>
      <c r="AX26" s="95">
        <f t="shared" si="119"/>
        <v>24.246047034</v>
      </c>
      <c r="AY26" s="95">
        <f t="shared" si="119"/>
        <v>27.478853305200005</v>
      </c>
      <c r="AZ26" s="95">
        <f t="shared" si="119"/>
        <v>31.115760360300001</v>
      </c>
      <c r="BA26" s="95">
        <f t="shared" si="119"/>
        <v>34.227336396330003</v>
      </c>
      <c r="BB26" s="95">
        <f t="shared" si="119"/>
        <v>37.650070035963004</v>
      </c>
      <c r="BC26" s="95">
        <f t="shared" si="119"/>
        <v>39.532573537761152</v>
      </c>
      <c r="BD26" s="95">
        <f t="shared" si="119"/>
        <v>41.509202214649214</v>
      </c>
      <c r="BE26" s="95">
        <f t="shared" si="119"/>
        <v>43.584662325381672</v>
      </c>
      <c r="BF26" s="95">
        <f t="shared" si="119"/>
        <v>45.76389544165076</v>
      </c>
      <c r="BG26" s="231"/>
      <c r="BH26" s="231"/>
      <c r="BI26" s="231"/>
      <c r="BJ26" s="116">
        <f t="shared" si="62"/>
        <v>17</v>
      </c>
    </row>
    <row r="27" spans="1:62" outlineLevel="1">
      <c r="A27" s="250"/>
      <c r="B27" s="5" t="s">
        <v>419</v>
      </c>
      <c r="C27" s="95">
        <f t="shared" si="115"/>
        <v>70.859000000000009</v>
      </c>
      <c r="D27" s="95">
        <f t="shared" si="115"/>
        <v>89.780999999999992</v>
      </c>
      <c r="E27" s="95">
        <f t="shared" si="115"/>
        <v>118.13199999999999</v>
      </c>
      <c r="F27" s="95">
        <f t="shared" si="115"/>
        <v>28.111000000000001</v>
      </c>
      <c r="G27" s="95">
        <f t="shared" si="115"/>
        <v>81.326999999999998</v>
      </c>
      <c r="H27" s="95">
        <f t="shared" si="115"/>
        <v>20.635999999999999</v>
      </c>
      <c r="I27" s="95">
        <f t="shared" si="115"/>
        <v>-17.428999999999998</v>
      </c>
      <c r="J27" s="285">
        <f t="shared" si="115"/>
        <v>-19.433999999999997</v>
      </c>
      <c r="K27" s="95">
        <f t="shared" si="115"/>
        <v>2.8153207250000367E-2</v>
      </c>
      <c r="L27" s="95">
        <f t="shared" si="115"/>
        <v>45.647989878722775</v>
      </c>
      <c r="M27" s="95">
        <f t="shared" si="115"/>
        <v>65.631718510232304</v>
      </c>
      <c r="O27" s="268">
        <v>14.772</v>
      </c>
      <c r="P27" s="268">
        <v>15.991</v>
      </c>
      <c r="Q27" s="268">
        <v>23.91</v>
      </c>
      <c r="R27" s="268">
        <v>16.186</v>
      </c>
      <c r="S27" s="268">
        <v>15.22</v>
      </c>
      <c r="T27" s="268">
        <v>20.975999999999999</v>
      </c>
      <c r="U27" s="268">
        <v>29.216999999999999</v>
      </c>
      <c r="V27" s="268">
        <v>24.367999999999999</v>
      </c>
      <c r="W27" s="268">
        <v>41.826999999999998</v>
      </c>
      <c r="X27" s="268">
        <v>39.049999999999997</v>
      </c>
      <c r="Y27" s="268">
        <v>21.263999999999999</v>
      </c>
      <c r="Z27" s="268">
        <v>15.991</v>
      </c>
      <c r="AA27" s="268">
        <v>9.3339999999999996</v>
      </c>
      <c r="AB27" s="268">
        <v>2.2730000000000001</v>
      </c>
      <c r="AC27" s="268">
        <v>10.567</v>
      </c>
      <c r="AD27" s="268">
        <v>5.9370000000000003</v>
      </c>
      <c r="AE27" s="268">
        <v>16.491</v>
      </c>
      <c r="AF27" s="268">
        <v>17.175999999999998</v>
      </c>
      <c r="AG27" s="268">
        <v>30.152999999999999</v>
      </c>
      <c r="AH27" s="268">
        <v>17.507000000000001</v>
      </c>
      <c r="AI27" s="268">
        <v>21.065999999999999</v>
      </c>
      <c r="AJ27" s="268">
        <v>6.46</v>
      </c>
      <c r="AK27" s="268">
        <v>-2.1869999999999998</v>
      </c>
      <c r="AL27" s="268">
        <v>-4.7030000000000003</v>
      </c>
      <c r="AM27" s="268">
        <v>-4.4119999999999999</v>
      </c>
      <c r="AN27" s="268">
        <v>-8.4870000000000001</v>
      </c>
      <c r="AO27" s="268">
        <v>-3.1789999999999998</v>
      </c>
      <c r="AP27" s="268">
        <v>-1.351</v>
      </c>
      <c r="AQ27" s="283">
        <v>-5.0529999999999999</v>
      </c>
      <c r="AR27" s="64">
        <v>-2.1509999999999998</v>
      </c>
      <c r="AS27" s="64">
        <v>-7.9379999999999997</v>
      </c>
      <c r="AT27" s="64">
        <v>-4.2919999999999998</v>
      </c>
      <c r="AU27" s="95">
        <f t="shared" ref="AU27:BF27" si="120">+AU16*AU81</f>
        <v>-3.8832009999999997</v>
      </c>
      <c r="AV27" s="95">
        <f t="shared" si="120"/>
        <v>-1.1649602999999999</v>
      </c>
      <c r="AW27" s="95">
        <f t="shared" si="120"/>
        <v>1.2232083149999999</v>
      </c>
      <c r="AX27" s="95">
        <f t="shared" si="120"/>
        <v>3.8531061922499998</v>
      </c>
      <c r="AY27" s="95">
        <f t="shared" si="120"/>
        <v>6.7429358364375007</v>
      </c>
      <c r="AZ27" s="95">
        <f t="shared" si="120"/>
        <v>9.9121156795631276</v>
      </c>
      <c r="BA27" s="95">
        <f t="shared" si="120"/>
        <v>13.381356167410221</v>
      </c>
      <c r="BB27" s="95">
        <f t="shared" si="120"/>
        <v>15.611582195311925</v>
      </c>
      <c r="BC27" s="95">
        <f t="shared" si="120"/>
        <v>15.923813839218164</v>
      </c>
      <c r="BD27" s="95">
        <f t="shared" si="120"/>
        <v>16.242290116002529</v>
      </c>
      <c r="BE27" s="95">
        <f t="shared" si="120"/>
        <v>16.567135918322577</v>
      </c>
      <c r="BF27" s="95">
        <f t="shared" si="120"/>
        <v>16.898478636689031</v>
      </c>
      <c r="BG27" s="231"/>
      <c r="BH27" s="231"/>
      <c r="BI27" s="231"/>
      <c r="BJ27" s="116">
        <f t="shared" si="62"/>
        <v>18</v>
      </c>
    </row>
    <row r="28" spans="1:62" outlineLevel="1">
      <c r="B28" s="6" t="s">
        <v>253</v>
      </c>
      <c r="C28" s="52">
        <f t="shared" ref="C28" si="121">SUM(C23:C27)</f>
        <v>1297.8149999999998</v>
      </c>
      <c r="D28" s="52">
        <f t="shared" ref="D28" si="122">SUM(D23:D27)</f>
        <v>1437.085</v>
      </c>
      <c r="E28" s="52">
        <f t="shared" ref="E28" si="123">SUM(E23:E27)</f>
        <v>1606.932</v>
      </c>
      <c r="F28" s="52">
        <f t="shared" ref="F28" si="124">SUM(F23:F27)</f>
        <v>1392.998</v>
      </c>
      <c r="G28" s="52">
        <f t="shared" ref="G28" si="125">SUM(G23:G27)</f>
        <v>1605.6229999999998</v>
      </c>
      <c r="H28" s="52">
        <f t="shared" ref="H28" si="126">SUM(H23:H27)</f>
        <v>1290.527</v>
      </c>
      <c r="I28" s="52">
        <f>SUM(I23:I27)</f>
        <v>699.59699999999998</v>
      </c>
      <c r="J28" s="52">
        <f t="shared" ref="J28" si="127">SUM(J23:J27)</f>
        <v>701.30200000000002</v>
      </c>
      <c r="K28" s="52">
        <f t="shared" ref="K28" si="128">SUM(K23:K27)</f>
        <v>995.15695449484201</v>
      </c>
      <c r="L28" s="52">
        <f t="shared" ref="L28" si="129">SUM(L23:L27)</f>
        <v>1285.4619201732164</v>
      </c>
      <c r="M28" s="52">
        <f t="shared" ref="M28:O28" si="130">SUM(M23:M27)</f>
        <v>1432.1266280740156</v>
      </c>
      <c r="O28" s="52">
        <f t="shared" si="130"/>
        <v>304.11399999999998</v>
      </c>
      <c r="P28" s="52">
        <f t="shared" ref="P28" si="131">SUM(P23:P27)</f>
        <v>299.77999999999997</v>
      </c>
      <c r="Q28" s="52">
        <f t="shared" ref="Q28" si="132">SUM(Q23:Q27)</f>
        <v>334.38100000000003</v>
      </c>
      <c r="R28" s="52">
        <f t="shared" ref="R28" si="133">SUM(R23:R27)</f>
        <v>359.53999999999996</v>
      </c>
      <c r="S28" s="52">
        <f t="shared" ref="S28" si="134">SUM(S23:S27)</f>
        <v>340.38600000000002</v>
      </c>
      <c r="T28" s="52">
        <f t="shared" ref="T28" si="135">SUM(T23:T27)</f>
        <v>338.24800000000005</v>
      </c>
      <c r="U28" s="52">
        <f t="shared" ref="U28" si="136">SUM(U23:U27)</f>
        <v>362.12699999999995</v>
      </c>
      <c r="V28" s="52">
        <f t="shared" ref="V28" si="137">SUM(V23:V27)</f>
        <v>396.32400000000001</v>
      </c>
      <c r="W28" s="52">
        <f t="shared" ref="W28" si="138">SUM(W23:W27)</f>
        <v>455.22500000000002</v>
      </c>
      <c r="X28" s="52">
        <f t="shared" ref="X28" si="139">SUM(X23:X27)</f>
        <v>399.21699999999998</v>
      </c>
      <c r="Y28" s="52">
        <f t="shared" ref="Y28" si="140">SUM(Y23:Y27)</f>
        <v>392.601</v>
      </c>
      <c r="Z28" s="52">
        <f t="shared" ref="Z28" si="141">SUM(Z23:Z27)</f>
        <v>359.88900000000001</v>
      </c>
      <c r="AA28" s="52">
        <f t="shared" ref="AA28" si="142">SUM(AA23:AA27)</f>
        <v>346.238</v>
      </c>
      <c r="AB28" s="52">
        <f t="shared" ref="AB28" si="143">SUM(AB23:AB27)</f>
        <v>316.63000000000005</v>
      </c>
      <c r="AC28" s="52">
        <f t="shared" ref="AC28" si="144">SUM(AC23:AC27)</f>
        <v>349.88800000000003</v>
      </c>
      <c r="AD28" s="52">
        <f t="shared" ref="AD28" si="145">SUM(AD23:AD27)</f>
        <v>380.24199999999996</v>
      </c>
      <c r="AE28" s="52">
        <f t="shared" ref="AE28" si="146">SUM(AE23:AE27)</f>
        <v>382.238</v>
      </c>
      <c r="AF28" s="52">
        <f t="shared" ref="AF28" si="147">SUM(AF23:AF27)</f>
        <v>376.78900000000004</v>
      </c>
      <c r="AG28" s="52">
        <f t="shared" ref="AG28" si="148">SUM(AG23:AG27)</f>
        <v>420.52499999999998</v>
      </c>
      <c r="AH28" s="52">
        <f t="shared" ref="AH28" si="149">SUM(AH23:AH27)</f>
        <v>426.07099999999997</v>
      </c>
      <c r="AI28" s="52">
        <f t="shared" ref="AI28" si="150">SUM(AI23:AI27)</f>
        <v>427.42399999999998</v>
      </c>
      <c r="AJ28" s="52">
        <f t="shared" ref="AJ28" si="151">SUM(AJ23:AJ27)</f>
        <v>317.96599999999995</v>
      </c>
      <c r="AK28" s="52">
        <f t="shared" ref="AK28" si="152">SUM(AK23:AK27)</f>
        <v>286.017</v>
      </c>
      <c r="AL28" s="52">
        <f t="shared" ref="AL28" si="153">SUM(AL23:AL27)</f>
        <v>259.12</v>
      </c>
      <c r="AM28" s="52">
        <f t="shared" ref="AM28" si="154">SUM(AM23:AM27)</f>
        <v>196.685</v>
      </c>
      <c r="AN28" s="52">
        <f t="shared" ref="AN28" si="155">SUM(AN23:AN27)</f>
        <v>156.023</v>
      </c>
      <c r="AO28" s="52">
        <f t="shared" ref="AO28" si="156">SUM(AO23:AO27)</f>
        <v>169.79399999999998</v>
      </c>
      <c r="AP28" s="52">
        <f t="shared" ref="AP28" si="157">SUM(AP23:AP27)</f>
        <v>177.09499999999997</v>
      </c>
      <c r="AQ28" s="52">
        <f t="shared" ref="AQ28" si="158">SUM(AQ23:AQ27)</f>
        <v>139.51300000000001</v>
      </c>
      <c r="AR28" s="52">
        <f t="shared" ref="AR28" si="159">SUM(AR23:AR27)</f>
        <v>182.22399999999996</v>
      </c>
      <c r="AS28" s="52">
        <f t="shared" ref="AS28:AT28" si="160">SUM(AS23:AS27)</f>
        <v>184.488</v>
      </c>
      <c r="AT28" s="52">
        <f t="shared" si="160"/>
        <v>195.077</v>
      </c>
      <c r="AU28" s="52">
        <f t="shared" ref="AU28" si="161">SUM(AU23:AU27)</f>
        <v>215.33072012798499</v>
      </c>
      <c r="AV28" s="52">
        <f t="shared" ref="AV28" si="162">SUM(AV23:AV27)</f>
        <v>235.90484985054471</v>
      </c>
      <c r="AW28" s="52">
        <f t="shared" ref="AW28" si="163">SUM(AW23:AW27)</f>
        <v>262.62989507255566</v>
      </c>
      <c r="AX28" s="52">
        <f t="shared" ref="AX28" si="164">SUM(AX23:AX27)</f>
        <v>281.29148944375663</v>
      </c>
      <c r="AY28" s="52">
        <f t="shared" ref="AY28" si="165">SUM(AY23:AY27)</f>
        <v>295.08023208349437</v>
      </c>
      <c r="AZ28" s="52">
        <f t="shared" ref="AZ28" si="166">SUM(AZ23:AZ27)</f>
        <v>308.54223784055705</v>
      </c>
      <c r="BA28" s="52">
        <f t="shared" ref="BA28" si="167">SUM(BA23:BA27)</f>
        <v>335.23406160044817</v>
      </c>
      <c r="BB28" s="52">
        <f t="shared" ref="BB28" si="168">SUM(BB23:BB27)</f>
        <v>346.60538864871688</v>
      </c>
      <c r="BC28" s="52">
        <f t="shared" ref="BC28" si="169">SUM(BC23:BC27)</f>
        <v>353.89911852277015</v>
      </c>
      <c r="BD28" s="52">
        <f t="shared" ref="BD28" si="170">SUM(BD23:BD27)</f>
        <v>349.92460809935841</v>
      </c>
      <c r="BE28" s="52">
        <f t="shared" ref="BE28" si="171">SUM(BE23:BE27)</f>
        <v>363.21744632778496</v>
      </c>
      <c r="BF28" s="52">
        <f t="shared" ref="BF28" si="172">SUM(BF23:BF27)</f>
        <v>365.08545512410222</v>
      </c>
      <c r="BJ28" s="116">
        <f t="shared" si="62"/>
        <v>19</v>
      </c>
    </row>
    <row r="29" spans="1:62" outlineLevel="1">
      <c r="B29" s="7" t="s">
        <v>252</v>
      </c>
      <c r="C29" s="50">
        <f t="shared" ref="C29:M30" si="173">SUMIFS($O29:$BG29,$O$5:$BG$5,C$5)</f>
        <v>219.51600000000002</v>
      </c>
      <c r="D29" s="50">
        <f t="shared" si="173"/>
        <v>508.03800000000001</v>
      </c>
      <c r="E29" s="50">
        <f t="shared" si="173"/>
        <v>513.95600000000002</v>
      </c>
      <c r="F29" s="50">
        <f t="shared" si="173"/>
        <v>366.596</v>
      </c>
      <c r="G29" s="50">
        <f t="shared" si="173"/>
        <v>302.75800000000004</v>
      </c>
      <c r="H29" s="50">
        <f t="shared" si="173"/>
        <v>-4.804000000000002</v>
      </c>
      <c r="I29" s="50">
        <f t="shared" si="173"/>
        <v>0</v>
      </c>
      <c r="J29" s="50">
        <f t="shared" si="173"/>
        <v>0</v>
      </c>
      <c r="K29" s="50">
        <f t="shared" si="173"/>
        <v>0</v>
      </c>
      <c r="L29" s="50">
        <f t="shared" si="173"/>
        <v>0</v>
      </c>
      <c r="M29" s="50">
        <f t="shared" si="173"/>
        <v>0</v>
      </c>
      <c r="O29" s="51">
        <v>32.259</v>
      </c>
      <c r="P29" s="51">
        <v>21.462</v>
      </c>
      <c r="Q29" s="51">
        <v>50.67</v>
      </c>
      <c r="R29" s="51">
        <v>115.125</v>
      </c>
      <c r="S29" s="51">
        <v>109.36</v>
      </c>
      <c r="T29" s="51">
        <v>100.97300000000001</v>
      </c>
      <c r="U29" s="51">
        <v>141.148</v>
      </c>
      <c r="V29" s="51">
        <v>156.55700000000002</v>
      </c>
      <c r="W29" s="51">
        <v>146.56</v>
      </c>
      <c r="X29" s="51">
        <v>123.176</v>
      </c>
      <c r="Y29" s="51">
        <v>136.488</v>
      </c>
      <c r="Z29" s="51">
        <v>107.732</v>
      </c>
      <c r="AA29" s="51">
        <v>97.841999999999999</v>
      </c>
      <c r="AB29" s="51">
        <v>81.515000000000001</v>
      </c>
      <c r="AC29" s="51">
        <v>90.813999999999993</v>
      </c>
      <c r="AD29" s="51">
        <v>96.424999999999997</v>
      </c>
      <c r="AE29" s="51">
        <v>53.402000000000001</v>
      </c>
      <c r="AF29" s="51">
        <v>85.881</v>
      </c>
      <c r="AG29" s="51">
        <v>89.818999999999988</v>
      </c>
      <c r="AH29" s="51">
        <v>73.656000000000006</v>
      </c>
      <c r="AI29" s="51">
        <v>-4.804000000000002</v>
      </c>
      <c r="AJ29" s="51">
        <v>0</v>
      </c>
      <c r="AK29" s="51">
        <v>0</v>
      </c>
      <c r="AL29" s="51">
        <v>0</v>
      </c>
      <c r="AM29" s="51">
        <v>0</v>
      </c>
      <c r="AN29" s="51">
        <v>0</v>
      </c>
      <c r="AO29" s="51">
        <v>0</v>
      </c>
      <c r="AP29" s="51">
        <v>0</v>
      </c>
      <c r="AQ29" s="51">
        <v>0</v>
      </c>
      <c r="AR29" s="51">
        <v>0</v>
      </c>
      <c r="AS29" s="51">
        <v>0</v>
      </c>
      <c r="AT29" s="51">
        <v>0</v>
      </c>
      <c r="AU29" s="51">
        <v>0</v>
      </c>
      <c r="AV29" s="51">
        <v>0</v>
      </c>
      <c r="AW29" s="51">
        <v>0</v>
      </c>
      <c r="AX29" s="51">
        <v>0</v>
      </c>
      <c r="AY29" s="51">
        <v>0</v>
      </c>
      <c r="AZ29" s="51">
        <v>0</v>
      </c>
      <c r="BA29" s="51">
        <v>0</v>
      </c>
      <c r="BB29" s="51">
        <v>0</v>
      </c>
      <c r="BC29" s="51">
        <v>0</v>
      </c>
      <c r="BD29" s="51">
        <v>0</v>
      </c>
      <c r="BE29" s="51">
        <v>0</v>
      </c>
      <c r="BF29" s="51">
        <v>0</v>
      </c>
      <c r="BJ29" s="116">
        <f t="shared" si="62"/>
        <v>20</v>
      </c>
    </row>
    <row r="30" spans="1:62" outlineLevel="1">
      <c r="B30" s="7" t="s">
        <v>254</v>
      </c>
      <c r="C30" s="50">
        <f t="shared" si="173"/>
        <v>-93.224999999999909</v>
      </c>
      <c r="D30" s="50">
        <f t="shared" si="173"/>
        <v>-133.43700000000007</v>
      </c>
      <c r="E30" s="50">
        <f t="shared" si="173"/>
        <v>-152.86200000000002</v>
      </c>
      <c r="F30" s="50">
        <f t="shared" si="173"/>
        <v>-148.99799999999999</v>
      </c>
      <c r="G30" s="50">
        <f t="shared" si="173"/>
        <v>-195.28299999999999</v>
      </c>
      <c r="H30" s="50">
        <f t="shared" si="173"/>
        <v>-160.517</v>
      </c>
      <c r="I30" s="50">
        <f t="shared" si="173"/>
        <v>-134.37700000000001</v>
      </c>
      <c r="J30" s="50">
        <f t="shared" si="173"/>
        <v>-157.339</v>
      </c>
      <c r="K30" s="50">
        <f t="shared" si="173"/>
        <v>-166.037054181652</v>
      </c>
      <c r="L30" s="50">
        <f t="shared" si="173"/>
        <v>-182.90360549336998</v>
      </c>
      <c r="M30" s="50">
        <f t="shared" si="173"/>
        <v>-201.16050306146366</v>
      </c>
      <c r="O30" s="51">
        <v>-25.642999999999972</v>
      </c>
      <c r="P30" s="51">
        <v>-20.123999999999967</v>
      </c>
      <c r="Q30" s="51">
        <v>-16.703000000000031</v>
      </c>
      <c r="R30" s="51">
        <v>-30.754999999999939</v>
      </c>
      <c r="S30" s="51">
        <v>-29.021999999999991</v>
      </c>
      <c r="T30" s="51">
        <v>-35.769000000000062</v>
      </c>
      <c r="U30" s="51">
        <v>-28.209999999999923</v>
      </c>
      <c r="V30" s="51">
        <v>-40.436000000000092</v>
      </c>
      <c r="W30" s="51">
        <v>-38.628</v>
      </c>
      <c r="X30" s="51">
        <v>-36.03</v>
      </c>
      <c r="Y30" s="51">
        <v>-37.616999999999997</v>
      </c>
      <c r="Z30" s="51">
        <v>-40.587000000000003</v>
      </c>
      <c r="AA30" s="51">
        <v>-31.577000000000002</v>
      </c>
      <c r="AB30" s="51">
        <v>-42.331000000000003</v>
      </c>
      <c r="AC30" s="51">
        <v>-35.664999999999999</v>
      </c>
      <c r="AD30" s="51">
        <v>-39.424999999999997</v>
      </c>
      <c r="AE30" s="51">
        <v>-44.472000000000001</v>
      </c>
      <c r="AF30" s="51">
        <v>-46.39</v>
      </c>
      <c r="AG30" s="51">
        <v>-50.386000000000003</v>
      </c>
      <c r="AH30" s="51">
        <v>-54.034999999999997</v>
      </c>
      <c r="AI30" s="51">
        <v>-49.554000000000002</v>
      </c>
      <c r="AJ30" s="51">
        <v>-35.389000000000003</v>
      </c>
      <c r="AK30" s="51">
        <v>-38.386000000000003</v>
      </c>
      <c r="AL30" s="51">
        <v>-37.188000000000002</v>
      </c>
      <c r="AM30" s="51">
        <v>-38.133000000000003</v>
      </c>
      <c r="AN30" s="51">
        <v>-27.914999999999999</v>
      </c>
      <c r="AO30" s="51">
        <v>-33.255000000000003</v>
      </c>
      <c r="AP30" s="51">
        <v>-35.073999999999998</v>
      </c>
      <c r="AQ30" s="51">
        <v>-39.773000000000003</v>
      </c>
      <c r="AR30" s="51">
        <v>-43.427999999999997</v>
      </c>
      <c r="AS30" s="51">
        <v>-41.618000000000002</v>
      </c>
      <c r="AT30" s="51">
        <v>-32.520000000000003</v>
      </c>
      <c r="AU30" s="96">
        <v>-40</v>
      </c>
      <c r="AV30" s="95">
        <f t="shared" ref="AV30:BF30" si="174">+AU30+(AV89-AU89)</f>
        <v>-40.9928712225597</v>
      </c>
      <c r="AW30" s="95">
        <f t="shared" si="174"/>
        <v>-42.005599869570588</v>
      </c>
      <c r="AX30" s="95">
        <f t="shared" si="174"/>
        <v>-43.038583089521701</v>
      </c>
      <c r="AY30" s="95">
        <f t="shared" si="174"/>
        <v>-44.092225973871841</v>
      </c>
      <c r="AZ30" s="95">
        <f t="shared" si="174"/>
        <v>-45.166941715908976</v>
      </c>
      <c r="BA30" s="95">
        <f t="shared" si="174"/>
        <v>-46.263151772786856</v>
      </c>
      <c r="BB30" s="95">
        <f t="shared" si="174"/>
        <v>-47.381286030802293</v>
      </c>
      <c r="BC30" s="95">
        <f t="shared" si="174"/>
        <v>-48.521782973978034</v>
      </c>
      <c r="BD30" s="95">
        <f t="shared" si="174"/>
        <v>-49.685089856017292</v>
      </c>
      <c r="BE30" s="95">
        <f t="shared" si="174"/>
        <v>-50.871662875697339</v>
      </c>
      <c r="BF30" s="95">
        <f t="shared" si="174"/>
        <v>-52.081967355770985</v>
      </c>
      <c r="BJ30" s="116">
        <f t="shared" si="62"/>
        <v>21</v>
      </c>
    </row>
    <row r="31" spans="1:62" outlineLevel="1">
      <c r="B31" s="8" t="s">
        <v>261</v>
      </c>
      <c r="C31" s="63">
        <f>SUM(C28:C30)</f>
        <v>1424.106</v>
      </c>
      <c r="D31" s="63">
        <f t="shared" ref="D31" si="175">SUM(D28:D30)</f>
        <v>1811.6859999999999</v>
      </c>
      <c r="E31" s="63">
        <f t="shared" ref="E31" si="176">SUM(E28:E30)</f>
        <v>1968.0259999999998</v>
      </c>
      <c r="F31" s="63">
        <f t="shared" ref="F31" si="177">SUM(F28:F30)</f>
        <v>1610.596</v>
      </c>
      <c r="G31" s="63">
        <f t="shared" ref="G31" si="178">SUM(G28:G30)</f>
        <v>1713.098</v>
      </c>
      <c r="H31" s="63">
        <f t="shared" ref="H31" si="179">SUM(H28:H30)</f>
        <v>1125.2059999999999</v>
      </c>
      <c r="I31" s="63">
        <f t="shared" ref="I31" si="180">SUM(I28:I30)</f>
        <v>565.22</v>
      </c>
      <c r="J31" s="63">
        <f t="shared" ref="J31" si="181">SUM(J28:J30)</f>
        <v>543.96299999999997</v>
      </c>
      <c r="K31" s="63">
        <f t="shared" ref="K31" si="182">SUM(K28:K30)</f>
        <v>829.11990031318999</v>
      </c>
      <c r="L31" s="63">
        <f t="shared" ref="L31" si="183">SUM(L28:L30)</f>
        <v>1102.5583146798465</v>
      </c>
      <c r="M31" s="63">
        <f t="shared" ref="M31:O31" si="184">SUM(M28:M30)</f>
        <v>1230.9661250125519</v>
      </c>
      <c r="O31" s="63">
        <f t="shared" si="184"/>
        <v>310.73</v>
      </c>
      <c r="P31" s="63">
        <f t="shared" ref="P31" si="185">SUM(P28:P30)</f>
        <v>301.11799999999999</v>
      </c>
      <c r="Q31" s="63">
        <f t="shared" ref="Q31" si="186">SUM(Q28:Q30)</f>
        <v>368.34800000000001</v>
      </c>
      <c r="R31" s="63">
        <f t="shared" ref="R31" si="187">SUM(R28:R30)</f>
        <v>443.91</v>
      </c>
      <c r="S31" s="63">
        <f t="shared" ref="S31" si="188">SUM(S28:S30)</f>
        <v>420.72400000000005</v>
      </c>
      <c r="T31" s="63">
        <f t="shared" ref="T31" si="189">SUM(T28:T30)</f>
        <v>403.452</v>
      </c>
      <c r="U31" s="63">
        <f t="shared" ref="U31" si="190">SUM(U28:U30)</f>
        <v>475.06500000000005</v>
      </c>
      <c r="V31" s="63">
        <f t="shared" ref="V31" si="191">SUM(V28:V30)</f>
        <v>512.44499999999994</v>
      </c>
      <c r="W31" s="63">
        <f t="shared" ref="W31" si="192">SUM(W28:W30)</f>
        <v>563.15700000000004</v>
      </c>
      <c r="X31" s="63">
        <f t="shared" ref="X31" si="193">SUM(X28:X30)</f>
        <v>486.36300000000006</v>
      </c>
      <c r="Y31" s="63">
        <f t="shared" ref="Y31" si="194">SUM(Y28:Y30)</f>
        <v>491.47199999999992</v>
      </c>
      <c r="Z31" s="63">
        <f t="shared" ref="Z31" si="195">SUM(Z28:Z30)</f>
        <v>427.03399999999999</v>
      </c>
      <c r="AA31" s="63">
        <f t="shared" ref="AA31" si="196">SUM(AA28:AA30)</f>
        <v>412.50299999999999</v>
      </c>
      <c r="AB31" s="63">
        <f t="shared" ref="AB31" si="197">SUM(AB28:AB30)</f>
        <v>355.81400000000002</v>
      </c>
      <c r="AC31" s="63">
        <f t="shared" ref="AC31" si="198">SUM(AC28:AC30)</f>
        <v>405.03699999999998</v>
      </c>
      <c r="AD31" s="63">
        <f t="shared" ref="AD31" si="199">SUM(AD28:AD30)</f>
        <v>437.24199999999996</v>
      </c>
      <c r="AE31" s="63">
        <f t="shared" ref="AE31" si="200">SUM(AE28:AE30)</f>
        <v>391.16800000000001</v>
      </c>
      <c r="AF31" s="63">
        <f t="shared" ref="AF31" si="201">SUM(AF28:AF30)</f>
        <v>416.28000000000009</v>
      </c>
      <c r="AG31" s="63">
        <f t="shared" ref="AG31" si="202">SUM(AG28:AG30)</f>
        <v>459.95799999999991</v>
      </c>
      <c r="AH31" s="63">
        <f t="shared" ref="AH31" si="203">SUM(AH28:AH30)</f>
        <v>445.69200000000001</v>
      </c>
      <c r="AI31" s="63">
        <f t="shared" ref="AI31" si="204">SUM(AI28:AI30)</f>
        <v>373.06600000000003</v>
      </c>
      <c r="AJ31" s="63">
        <f t="shared" ref="AJ31" si="205">SUM(AJ28:AJ30)</f>
        <v>282.57699999999994</v>
      </c>
      <c r="AK31" s="63">
        <f t="shared" ref="AK31" si="206">SUM(AK28:AK30)</f>
        <v>247.631</v>
      </c>
      <c r="AL31" s="63">
        <f t="shared" ref="AL31" si="207">SUM(AL28:AL30)</f>
        <v>221.93200000000002</v>
      </c>
      <c r="AM31" s="63">
        <f t="shared" ref="AM31" si="208">SUM(AM28:AM30)</f>
        <v>158.55199999999999</v>
      </c>
      <c r="AN31" s="63">
        <f t="shared" ref="AN31" si="209">SUM(AN28:AN30)</f>
        <v>128.108</v>
      </c>
      <c r="AO31" s="63">
        <f t="shared" ref="AO31" si="210">SUM(AO28:AO30)</f>
        <v>136.53899999999999</v>
      </c>
      <c r="AP31" s="63">
        <f t="shared" ref="AP31" si="211">SUM(AP28:AP30)</f>
        <v>142.02099999999996</v>
      </c>
      <c r="AQ31" s="63">
        <f t="shared" ref="AQ31" si="212">SUM(AQ28:AQ30)</f>
        <v>99.740000000000009</v>
      </c>
      <c r="AR31" s="63">
        <f t="shared" ref="AR31:AS31" si="213">SUM(AR28:AR30)</f>
        <v>138.79599999999996</v>
      </c>
      <c r="AS31" s="63">
        <f t="shared" si="213"/>
        <v>142.87</v>
      </c>
      <c r="AT31" s="63">
        <f t="shared" ref="AT31" si="214">SUM(AT28:AT30)</f>
        <v>162.55699999999999</v>
      </c>
      <c r="AU31" s="63">
        <f t="shared" ref="AU31" si="215">SUM(AU28:AU30)</f>
        <v>175.33072012798499</v>
      </c>
      <c r="AV31" s="63">
        <f t="shared" ref="AV31" si="216">SUM(AV28:AV30)</f>
        <v>194.91197862798501</v>
      </c>
      <c r="AW31" s="63">
        <f t="shared" ref="AW31" si="217">SUM(AW28:AW30)</f>
        <v>220.62429520298508</v>
      </c>
      <c r="AX31" s="63">
        <f t="shared" ref="AX31" si="218">SUM(AX28:AX30)</f>
        <v>238.25290635423494</v>
      </c>
      <c r="AY31" s="63">
        <f t="shared" ref="AY31" si="219">SUM(AY28:AY30)</f>
        <v>250.98800610962252</v>
      </c>
      <c r="AZ31" s="63">
        <f t="shared" ref="AZ31" si="220">SUM(AZ28:AZ30)</f>
        <v>263.37529612464806</v>
      </c>
      <c r="BA31" s="63">
        <f t="shared" ref="BA31" si="221">SUM(BA28:BA30)</f>
        <v>288.97090982766133</v>
      </c>
      <c r="BB31" s="63">
        <f t="shared" ref="BB31" si="222">SUM(BB28:BB30)</f>
        <v>299.22410261791458</v>
      </c>
      <c r="BC31" s="63">
        <f t="shared" ref="BC31" si="223">SUM(BC28:BC30)</f>
        <v>305.37733554879213</v>
      </c>
      <c r="BD31" s="63">
        <f t="shared" ref="BD31" si="224">SUM(BD28:BD30)</f>
        <v>300.23951824334114</v>
      </c>
      <c r="BE31" s="63">
        <f t="shared" ref="BE31" si="225">SUM(BE28:BE30)</f>
        <v>312.34578345208763</v>
      </c>
      <c r="BF31" s="63">
        <f t="shared" ref="BF31" si="226">SUM(BF28:BF30)</f>
        <v>313.00348776833124</v>
      </c>
      <c r="BJ31" s="116">
        <f t="shared" si="62"/>
        <v>22</v>
      </c>
    </row>
    <row r="32" spans="1:62" outlineLevel="1">
      <c r="B32" s="7" t="s">
        <v>255</v>
      </c>
      <c r="C32" s="50">
        <f t="shared" ref="C32:M32" si="227">SUMIFS($O32:$BG32,$O$5:$BG$5,C$5)</f>
        <v>-773.87</v>
      </c>
      <c r="D32" s="50">
        <f t="shared" si="227"/>
        <v>-944.66499999999996</v>
      </c>
      <c r="E32" s="50">
        <f t="shared" si="227"/>
        <v>-1047.7560000000001</v>
      </c>
      <c r="F32" s="50">
        <f t="shared" si="227"/>
        <v>-1086.6769999999999</v>
      </c>
      <c r="G32" s="50">
        <f t="shared" si="227"/>
        <v>-1145.0999999999999</v>
      </c>
      <c r="H32" s="50">
        <f t="shared" si="227"/>
        <v>-970.45900000000006</v>
      </c>
      <c r="I32" s="50">
        <f t="shared" si="227"/>
        <v>-866.13099999999986</v>
      </c>
      <c r="J32" s="50">
        <f t="shared" si="227"/>
        <v>-842.94299999999998</v>
      </c>
      <c r="K32" s="50">
        <f t="shared" si="227"/>
        <v>-844.3846984786619</v>
      </c>
      <c r="L32" s="50">
        <f t="shared" si="227"/>
        <v>-787.74233390563859</v>
      </c>
      <c r="M32" s="50">
        <f t="shared" si="227"/>
        <v>-737.84662232095684</v>
      </c>
      <c r="N32" s="272"/>
      <c r="O32" s="51">
        <v>-172.274</v>
      </c>
      <c r="P32" s="51">
        <v>-176.20099999999999</v>
      </c>
      <c r="Q32" s="51">
        <v>-203.929</v>
      </c>
      <c r="R32" s="51">
        <v>-221.46600000000001</v>
      </c>
      <c r="S32" s="51">
        <v>-229.67500000000001</v>
      </c>
      <c r="T32" s="51">
        <v>-228.61</v>
      </c>
      <c r="U32" s="51">
        <v>-246.62299999999999</v>
      </c>
      <c r="V32" s="51">
        <v>-239.75700000000001</v>
      </c>
      <c r="W32" s="51">
        <v>-247.62100000000001</v>
      </c>
      <c r="X32" s="51">
        <v>-261.01600000000002</v>
      </c>
      <c r="Y32" s="51">
        <v>-265.637</v>
      </c>
      <c r="Z32" s="51">
        <v>-273.48200000000003</v>
      </c>
      <c r="AA32" s="51">
        <v>-269.36500000000001</v>
      </c>
      <c r="AB32" s="51">
        <v>-266.21000000000004</v>
      </c>
      <c r="AC32" s="51">
        <v>-273.44399999999996</v>
      </c>
      <c r="AD32" s="51">
        <v>-277.65799999999996</v>
      </c>
      <c r="AE32" s="51">
        <v>-282.12700000000001</v>
      </c>
      <c r="AF32" s="51">
        <v>-282.82000000000011</v>
      </c>
      <c r="AG32" s="51">
        <v>-286.5809999999999</v>
      </c>
      <c r="AH32" s="51">
        <v>-293.572</v>
      </c>
      <c r="AI32" s="51">
        <v>-281.01900000000006</v>
      </c>
      <c r="AJ32" s="51">
        <v>-218.196</v>
      </c>
      <c r="AK32" s="51">
        <v>-240.107</v>
      </c>
      <c r="AL32" s="51">
        <v>-231.13700000000003</v>
      </c>
      <c r="AM32" s="51">
        <v>-215.81799999999998</v>
      </c>
      <c r="AN32" s="51">
        <v>-213.41300000000001</v>
      </c>
      <c r="AO32" s="51">
        <v>-220.71299999999999</v>
      </c>
      <c r="AP32" s="51">
        <v>-216.18699999999995</v>
      </c>
      <c r="AQ32" s="51">
        <v>-203.672</v>
      </c>
      <c r="AR32" s="51">
        <v>-208.09</v>
      </c>
      <c r="AS32" s="51">
        <v>-217.07499999999999</v>
      </c>
      <c r="AT32" s="51">
        <v>-214.10599999999999</v>
      </c>
      <c r="AU32" s="95">
        <f t="shared" ref="AU32:BF32" si="228">-AU93/4*AT360</f>
        <v>-216.88955749999997</v>
      </c>
      <c r="AV32" s="95">
        <f t="shared" si="228"/>
        <v>-212.75240320875</v>
      </c>
      <c r="AW32" s="95">
        <f t="shared" si="228"/>
        <v>-209.0680568948394</v>
      </c>
      <c r="AX32" s="95">
        <f t="shared" si="228"/>
        <v>-205.6746808750726</v>
      </c>
      <c r="AY32" s="95">
        <f t="shared" si="228"/>
        <v>-202.45402570400751</v>
      </c>
      <c r="AZ32" s="95">
        <f t="shared" si="228"/>
        <v>-198.66425779151527</v>
      </c>
      <c r="BA32" s="95">
        <f t="shared" si="228"/>
        <v>-194.98971463991649</v>
      </c>
      <c r="BB32" s="95">
        <f t="shared" si="228"/>
        <v>-191.63433577019947</v>
      </c>
      <c r="BC32" s="95">
        <f t="shared" si="228"/>
        <v>-188.45032885035738</v>
      </c>
      <c r="BD32" s="95">
        <f t="shared" si="228"/>
        <v>-185.75828117616973</v>
      </c>
      <c r="BE32" s="95">
        <f t="shared" si="228"/>
        <v>-183.05842519441572</v>
      </c>
      <c r="BF32" s="95">
        <f t="shared" si="228"/>
        <v>-180.57958710001395</v>
      </c>
      <c r="BG32" s="49"/>
      <c r="BH32" s="49"/>
      <c r="BI32" s="49"/>
      <c r="BJ32" s="116">
        <f t="shared" si="62"/>
        <v>23</v>
      </c>
    </row>
    <row r="33" spans="2:62" outlineLevel="1">
      <c r="B33" s="8" t="s">
        <v>204</v>
      </c>
      <c r="C33" s="63">
        <f>+C31+C32</f>
        <v>650.23599999999999</v>
      </c>
      <c r="D33" s="63">
        <f t="shared" ref="D33:O33" si="229">+D31+D32</f>
        <v>867.02099999999996</v>
      </c>
      <c r="E33" s="63">
        <f t="shared" si="229"/>
        <v>920.26999999999975</v>
      </c>
      <c r="F33" s="63">
        <f t="shared" si="229"/>
        <v>523.9190000000001</v>
      </c>
      <c r="G33" s="63">
        <f t="shared" si="229"/>
        <v>567.99800000000005</v>
      </c>
      <c r="H33" s="63">
        <f t="shared" si="229"/>
        <v>154.74699999999984</v>
      </c>
      <c r="I33" s="63">
        <f>+I31+I32</f>
        <v>-300.91099999999983</v>
      </c>
      <c r="J33" s="63">
        <f t="shared" si="229"/>
        <v>-298.98</v>
      </c>
      <c r="K33" s="63">
        <f t="shared" si="229"/>
        <v>-15.264798165471916</v>
      </c>
      <c r="L33" s="63">
        <f t="shared" si="229"/>
        <v>314.8159807742079</v>
      </c>
      <c r="M33" s="63">
        <f t="shared" si="229"/>
        <v>493.11950269159502</v>
      </c>
      <c r="O33" s="63">
        <f t="shared" si="229"/>
        <v>138.45600000000002</v>
      </c>
      <c r="P33" s="63">
        <f t="shared" ref="P33" si="230">+P31+P32</f>
        <v>124.917</v>
      </c>
      <c r="Q33" s="63">
        <f t="shared" ref="Q33" si="231">+Q31+Q32</f>
        <v>164.41900000000001</v>
      </c>
      <c r="R33" s="63">
        <f t="shared" ref="R33" si="232">+R31+R32</f>
        <v>222.44400000000002</v>
      </c>
      <c r="S33" s="63">
        <f t="shared" ref="S33" si="233">+S31+S32</f>
        <v>191.04900000000004</v>
      </c>
      <c r="T33" s="63">
        <f t="shared" ref="T33" si="234">+T31+T32</f>
        <v>174.84199999999998</v>
      </c>
      <c r="U33" s="63">
        <f t="shared" ref="U33" si="235">+U31+U32</f>
        <v>228.44200000000006</v>
      </c>
      <c r="V33" s="63">
        <f t="shared" ref="V33" si="236">+V31+V32</f>
        <v>272.68799999999993</v>
      </c>
      <c r="W33" s="63">
        <f t="shared" ref="W33" si="237">+W31+W32</f>
        <v>315.53600000000006</v>
      </c>
      <c r="X33" s="63">
        <f t="shared" ref="X33" si="238">+X31+X32</f>
        <v>225.34700000000004</v>
      </c>
      <c r="Y33" s="63">
        <f t="shared" ref="Y33" si="239">+Y31+Y32</f>
        <v>225.83499999999992</v>
      </c>
      <c r="Z33" s="63">
        <f t="shared" ref="Z33" si="240">+Z31+Z32</f>
        <v>153.55199999999996</v>
      </c>
      <c r="AA33" s="63">
        <f t="shared" ref="AA33" si="241">+AA31+AA32</f>
        <v>143.13799999999998</v>
      </c>
      <c r="AB33" s="63">
        <f t="shared" ref="AB33" si="242">+AB31+AB32</f>
        <v>89.603999999999985</v>
      </c>
      <c r="AC33" s="63">
        <f t="shared" ref="AC33" si="243">+AC31+AC32</f>
        <v>131.59300000000002</v>
      </c>
      <c r="AD33" s="63">
        <f t="shared" ref="AD33" si="244">+AD31+AD32</f>
        <v>159.584</v>
      </c>
      <c r="AE33" s="63">
        <f t="shared" ref="AE33" si="245">+AE31+AE32</f>
        <v>109.041</v>
      </c>
      <c r="AF33" s="63">
        <f t="shared" ref="AF33" si="246">+AF31+AF32</f>
        <v>133.45999999999998</v>
      </c>
      <c r="AG33" s="63">
        <f t="shared" ref="AG33" si="247">+AG31+AG32</f>
        <v>173.37700000000001</v>
      </c>
      <c r="AH33" s="63">
        <f t="shared" ref="AH33" si="248">+AH31+AH32</f>
        <v>152.12</v>
      </c>
      <c r="AI33" s="63">
        <f t="shared" ref="AI33" si="249">+AI31+AI32</f>
        <v>92.046999999999969</v>
      </c>
      <c r="AJ33" s="63">
        <f t="shared" ref="AJ33" si="250">+AJ31+AJ32</f>
        <v>64.380999999999943</v>
      </c>
      <c r="AK33" s="63">
        <f t="shared" ref="AK33" si="251">+AK31+AK32</f>
        <v>7.5240000000000009</v>
      </c>
      <c r="AL33" s="63">
        <f t="shared" ref="AL33" si="252">+AL31+AL32</f>
        <v>-9.2050000000000125</v>
      </c>
      <c r="AM33" s="63">
        <f t="shared" ref="AM33" si="253">+AM31+AM32</f>
        <v>-57.265999999999991</v>
      </c>
      <c r="AN33" s="63">
        <f t="shared" ref="AN33" si="254">+AN31+AN32</f>
        <v>-85.305000000000007</v>
      </c>
      <c r="AO33" s="63">
        <f t="shared" ref="AO33" si="255">+AO31+AO32</f>
        <v>-84.174000000000007</v>
      </c>
      <c r="AP33" s="63">
        <f t="shared" ref="AP33" si="256">+AP31+AP32</f>
        <v>-74.165999999999997</v>
      </c>
      <c r="AQ33" s="63">
        <f t="shared" ref="AQ33" si="257">+AQ31+AQ32</f>
        <v>-103.93199999999999</v>
      </c>
      <c r="AR33" s="63">
        <f t="shared" ref="AR33:AS33" si="258">+AR31+AR32</f>
        <v>-69.29400000000004</v>
      </c>
      <c r="AS33" s="63">
        <f t="shared" si="258"/>
        <v>-74.204999999999984</v>
      </c>
      <c r="AT33" s="63">
        <f t="shared" ref="AT33" si="259">+AT31+AT32</f>
        <v>-51.549000000000007</v>
      </c>
      <c r="AU33" s="63">
        <f t="shared" ref="AU33" si="260">+AU31+AU32</f>
        <v>-41.558837372014978</v>
      </c>
      <c r="AV33" s="63">
        <f t="shared" ref="AV33" si="261">+AV31+AV32</f>
        <v>-17.840424580764989</v>
      </c>
      <c r="AW33" s="63">
        <f t="shared" ref="AW33" si="262">+AW31+AW32</f>
        <v>11.55623830814568</v>
      </c>
      <c r="AX33" s="63">
        <f t="shared" ref="AX33" si="263">+AX31+AX32</f>
        <v>32.578225479162342</v>
      </c>
      <c r="AY33" s="63">
        <f t="shared" ref="AY33" si="264">+AY31+AY32</f>
        <v>48.533980405615011</v>
      </c>
      <c r="AZ33" s="63">
        <f t="shared" ref="AZ33" si="265">+AZ31+AZ32</f>
        <v>64.711038333132791</v>
      </c>
      <c r="BA33" s="63">
        <f t="shared" ref="BA33" si="266">+BA31+BA32</f>
        <v>93.981195187744845</v>
      </c>
      <c r="BB33" s="63">
        <f t="shared" ref="BB33" si="267">+BB31+BB32</f>
        <v>107.58976684771511</v>
      </c>
      <c r="BC33" s="63">
        <f t="shared" ref="BC33" si="268">+BC31+BC32</f>
        <v>116.92700669843475</v>
      </c>
      <c r="BD33" s="63">
        <f t="shared" ref="BD33" si="269">+BD31+BD32</f>
        <v>114.48123706717141</v>
      </c>
      <c r="BE33" s="63">
        <f t="shared" ref="BE33" si="270">+BE31+BE32</f>
        <v>129.28735825767191</v>
      </c>
      <c r="BF33" s="63">
        <f t="shared" ref="BF33" si="271">+BF31+BF32</f>
        <v>132.42390066831729</v>
      </c>
      <c r="BJ33" s="116">
        <f t="shared" si="62"/>
        <v>24</v>
      </c>
    </row>
    <row r="34" spans="2:62" outlineLevel="1">
      <c r="B34" s="7" t="s">
        <v>9</v>
      </c>
      <c r="C34" s="50">
        <f t="shared" ref="C34:M36" si="272">SUMIFS($O34:$BG34,$O$5:$BG$5,C$5)</f>
        <v>-272.95300000000003</v>
      </c>
      <c r="D34" s="50">
        <f t="shared" si="272"/>
        <v>-256.42199999999997</v>
      </c>
      <c r="E34" s="50">
        <f t="shared" si="272"/>
        <v>-251.72500000000002</v>
      </c>
      <c r="F34" s="50">
        <f t="shared" si="272"/>
        <v>-223.41800000000001</v>
      </c>
      <c r="G34" s="50">
        <f t="shared" si="272"/>
        <v>-177.94800000000001</v>
      </c>
      <c r="H34" s="50">
        <f t="shared" si="272"/>
        <v>-181.928</v>
      </c>
      <c r="I34" s="50">
        <f t="shared" si="272"/>
        <v>-185.36</v>
      </c>
      <c r="J34" s="50">
        <f t="shared" si="272"/>
        <v>-222.88899999999998</v>
      </c>
      <c r="K34" s="50">
        <f t="shared" si="272"/>
        <v>-236.86998048020294</v>
      </c>
      <c r="L34" s="50">
        <f t="shared" si="272"/>
        <v>-224.515930594145</v>
      </c>
      <c r="M34" s="50">
        <f t="shared" si="272"/>
        <v>-207.40900603010456</v>
      </c>
      <c r="O34" s="51">
        <v>-66.745000000000005</v>
      </c>
      <c r="P34" s="51">
        <v>-65.225999999999999</v>
      </c>
      <c r="Q34" s="51">
        <v>-66.972999999999999</v>
      </c>
      <c r="R34" s="51">
        <v>-74.009</v>
      </c>
      <c r="S34" s="51">
        <v>-73.924000000000007</v>
      </c>
      <c r="T34" s="51">
        <v>-63.738999999999997</v>
      </c>
      <c r="U34" s="51">
        <v>-57.906999999999996</v>
      </c>
      <c r="V34" s="51">
        <v>-60.851999999999997</v>
      </c>
      <c r="W34" s="51">
        <v>-62.654000000000003</v>
      </c>
      <c r="X34" s="51">
        <v>-63.459000000000003</v>
      </c>
      <c r="Y34" s="51">
        <v>-63.776000000000003</v>
      </c>
      <c r="Z34" s="51">
        <v>-61.835999999999999</v>
      </c>
      <c r="AA34" s="51">
        <v>-60.011000000000003</v>
      </c>
      <c r="AB34" s="51">
        <v>-60.273000000000003</v>
      </c>
      <c r="AC34" s="51">
        <v>-56.058999999999997</v>
      </c>
      <c r="AD34" s="51">
        <v>-47.075000000000003</v>
      </c>
      <c r="AE34" s="51">
        <v>-44.81</v>
      </c>
      <c r="AF34" s="51">
        <v>-46.302999999999997</v>
      </c>
      <c r="AG34" s="51">
        <v>-43.137999999999998</v>
      </c>
      <c r="AH34" s="51">
        <v>-43.697000000000003</v>
      </c>
      <c r="AI34" s="51">
        <v>-46.600999999999999</v>
      </c>
      <c r="AJ34" s="51">
        <v>-44.469000000000001</v>
      </c>
      <c r="AK34" s="51">
        <v>-44.448</v>
      </c>
      <c r="AL34" s="51">
        <v>-46.41</v>
      </c>
      <c r="AM34" s="51">
        <v>-45.73</v>
      </c>
      <c r="AN34" s="51">
        <v>-45.237000000000002</v>
      </c>
      <c r="AO34" s="51">
        <v>-46.835999999999999</v>
      </c>
      <c r="AP34" s="51">
        <v>-47.557000000000002</v>
      </c>
      <c r="AQ34" s="51">
        <v>-56.518000000000001</v>
      </c>
      <c r="AR34" s="96">
        <f>-54.688</f>
        <v>-54.688000000000002</v>
      </c>
      <c r="AS34" s="96">
        <v>-54.606999999999999</v>
      </c>
      <c r="AT34" s="96">
        <v>-57.076000000000001</v>
      </c>
      <c r="AU34" s="95">
        <f t="shared" ref="AU34:BF34" si="273">-AU94/4*AT387</f>
        <v>-60.419204999999998</v>
      </c>
      <c r="AV34" s="95">
        <f t="shared" si="273"/>
        <v>-58.372317227144499</v>
      </c>
      <c r="AW34" s="95">
        <f t="shared" si="273"/>
        <v>-58.837453874817548</v>
      </c>
      <c r="AX34" s="95">
        <f t="shared" si="273"/>
        <v>-59.241004378240881</v>
      </c>
      <c r="AY34" s="95">
        <f t="shared" si="273"/>
        <v>-59.265872172410283</v>
      </c>
      <c r="AZ34" s="95">
        <f t="shared" si="273"/>
        <v>-56.315769643383796</v>
      </c>
      <c r="BA34" s="95">
        <f t="shared" si="273"/>
        <v>-55.011683882725087</v>
      </c>
      <c r="BB34" s="95">
        <f t="shared" si="273"/>
        <v>-53.922604895625824</v>
      </c>
      <c r="BC34" s="95">
        <f t="shared" si="273"/>
        <v>-53.305439999999997</v>
      </c>
      <c r="BD34" s="95">
        <f t="shared" si="273"/>
        <v>-53.305439999999997</v>
      </c>
      <c r="BE34" s="95">
        <f t="shared" si="273"/>
        <v>-53.305439999999997</v>
      </c>
      <c r="BF34" s="95">
        <f t="shared" si="273"/>
        <v>-47.492686030104579</v>
      </c>
      <c r="BJ34" s="116">
        <f t="shared" si="62"/>
        <v>25</v>
      </c>
    </row>
    <row r="35" spans="2:62" outlineLevel="1">
      <c r="B35" s="7" t="s">
        <v>256</v>
      </c>
      <c r="C35" s="50">
        <f t="shared" si="272"/>
        <v>23.218000000000004</v>
      </c>
      <c r="D35" s="50">
        <f t="shared" si="272"/>
        <v>19.964000000000002</v>
      </c>
      <c r="E35" s="50">
        <f t="shared" si="272"/>
        <v>63.136999999999993</v>
      </c>
      <c r="F35" s="50">
        <f t="shared" si="272"/>
        <v>96.576999999999998</v>
      </c>
      <c r="G35" s="50">
        <f t="shared" si="272"/>
        <v>11.831</v>
      </c>
      <c r="H35" s="50">
        <f t="shared" si="272"/>
        <v>2.3080000000000003</v>
      </c>
      <c r="I35" s="50">
        <f t="shared" si="272"/>
        <v>1.1870000000000001</v>
      </c>
      <c r="J35" s="50">
        <f t="shared" si="272"/>
        <v>1.194</v>
      </c>
      <c r="K35" s="50">
        <f t="shared" si="272"/>
        <v>3.944</v>
      </c>
      <c r="L35" s="50">
        <f t="shared" si="272"/>
        <v>3.944</v>
      </c>
      <c r="M35" s="50">
        <f t="shared" si="272"/>
        <v>3.944</v>
      </c>
      <c r="O35" s="51">
        <v>-2.36</v>
      </c>
      <c r="P35" s="51">
        <v>14.031000000000001</v>
      </c>
      <c r="Q35" s="51">
        <v>2.923</v>
      </c>
      <c r="R35" s="51">
        <v>8.6240000000000006</v>
      </c>
      <c r="S35" s="51">
        <v>12.287000000000001</v>
      </c>
      <c r="T35" s="51">
        <v>-0.96899999999999997</v>
      </c>
      <c r="U35" s="51">
        <v>0.73799999999999999</v>
      </c>
      <c r="V35" s="51">
        <v>7.9080000000000004</v>
      </c>
      <c r="W35" s="51">
        <v>20.251999999999999</v>
      </c>
      <c r="X35" s="51">
        <v>5.3680000000000003</v>
      </c>
      <c r="Y35" s="51">
        <v>7.2240000000000002</v>
      </c>
      <c r="Z35" s="51">
        <v>30.292999999999999</v>
      </c>
      <c r="AA35" s="51">
        <v>79.421000000000006</v>
      </c>
      <c r="AB35" s="51">
        <v>14.821</v>
      </c>
      <c r="AC35" s="51">
        <v>1.2290000000000001</v>
      </c>
      <c r="AD35" s="51">
        <v>1.1060000000000001</v>
      </c>
      <c r="AE35" s="51">
        <v>0.98</v>
      </c>
      <c r="AF35" s="51">
        <v>7.0659999999999998</v>
      </c>
      <c r="AG35" s="51">
        <v>2.1890000000000001</v>
      </c>
      <c r="AH35" s="51">
        <v>1.5960000000000001</v>
      </c>
      <c r="AI35" s="51">
        <v>0.96899999999999997</v>
      </c>
      <c r="AJ35" s="51">
        <v>1.181</v>
      </c>
      <c r="AK35" s="51">
        <v>-2.1999999999999999E-2</v>
      </c>
      <c r="AL35" s="51">
        <v>0.18</v>
      </c>
      <c r="AM35" s="51">
        <v>0.34300000000000003</v>
      </c>
      <c r="AN35" s="51">
        <v>0.27</v>
      </c>
      <c r="AO35" s="51">
        <v>0.31</v>
      </c>
      <c r="AP35" s="51">
        <v>0.26400000000000001</v>
      </c>
      <c r="AQ35" s="51">
        <v>0.72099999999999997</v>
      </c>
      <c r="AR35" s="96">
        <v>-0.88600000000000001</v>
      </c>
      <c r="AS35" s="96">
        <v>0.373</v>
      </c>
      <c r="AT35" s="96">
        <v>0.98599999999999999</v>
      </c>
      <c r="AU35" s="96">
        <f t="shared" ref="AU35:BF36" si="274">AT35</f>
        <v>0.98599999999999999</v>
      </c>
      <c r="AV35" s="96">
        <f t="shared" si="274"/>
        <v>0.98599999999999999</v>
      </c>
      <c r="AW35" s="96">
        <f t="shared" si="274"/>
        <v>0.98599999999999999</v>
      </c>
      <c r="AX35" s="96">
        <f t="shared" si="274"/>
        <v>0.98599999999999999</v>
      </c>
      <c r="AY35" s="96">
        <f t="shared" si="274"/>
        <v>0.98599999999999999</v>
      </c>
      <c r="AZ35" s="96">
        <f t="shared" si="274"/>
        <v>0.98599999999999999</v>
      </c>
      <c r="BA35" s="96">
        <f t="shared" si="274"/>
        <v>0.98599999999999999</v>
      </c>
      <c r="BB35" s="96">
        <f t="shared" si="274"/>
        <v>0.98599999999999999</v>
      </c>
      <c r="BC35" s="96">
        <f t="shared" si="274"/>
        <v>0.98599999999999999</v>
      </c>
      <c r="BD35" s="96">
        <f t="shared" si="274"/>
        <v>0.98599999999999999</v>
      </c>
      <c r="BE35" s="96">
        <f t="shared" si="274"/>
        <v>0.98599999999999999</v>
      </c>
      <c r="BF35" s="96">
        <f t="shared" si="274"/>
        <v>0.98599999999999999</v>
      </c>
      <c r="BJ35" s="116">
        <f t="shared" si="62"/>
        <v>26</v>
      </c>
    </row>
    <row r="36" spans="2:62" outlineLevel="1">
      <c r="B36" s="7" t="s">
        <v>257</v>
      </c>
      <c r="C36" s="50">
        <f t="shared" si="272"/>
        <v>-3.1569999999999965</v>
      </c>
      <c r="D36" s="50">
        <f t="shared" si="272"/>
        <v>-3.0210000000000043</v>
      </c>
      <c r="E36" s="50">
        <f t="shared" si="272"/>
        <v>-3</v>
      </c>
      <c r="F36" s="50">
        <f t="shared" si="272"/>
        <v>-3</v>
      </c>
      <c r="G36" s="50">
        <f t="shared" si="272"/>
        <v>-19.768999999999913</v>
      </c>
      <c r="H36" s="50">
        <f t="shared" si="272"/>
        <v>-5.3999999999984949E-2</v>
      </c>
      <c r="I36" s="50">
        <f t="shared" si="272"/>
        <v>-23.808</v>
      </c>
      <c r="J36" s="50">
        <f t="shared" si="272"/>
        <v>-20.048999999999999</v>
      </c>
      <c r="K36" s="50">
        <f t="shared" si="272"/>
        <v>-27.303999999999998</v>
      </c>
      <c r="L36" s="50">
        <f t="shared" si="272"/>
        <v>-27.303999999999998</v>
      </c>
      <c r="M36" s="50">
        <f t="shared" si="272"/>
        <v>-27.303999999999998</v>
      </c>
      <c r="O36" s="51">
        <v>0</v>
      </c>
      <c r="P36" s="51">
        <v>0</v>
      </c>
      <c r="Q36" s="51">
        <v>-2.4069999999999965</v>
      </c>
      <c r="R36" s="51">
        <v>-0.75</v>
      </c>
      <c r="S36" s="51">
        <v>-0.75</v>
      </c>
      <c r="T36" s="51">
        <v>-0.75</v>
      </c>
      <c r="U36" s="51">
        <v>-0.77100000000000435</v>
      </c>
      <c r="V36" s="51">
        <v>-0.75</v>
      </c>
      <c r="W36" s="51">
        <v>-0.75</v>
      </c>
      <c r="X36" s="51">
        <v>-0.75</v>
      </c>
      <c r="Y36" s="51">
        <v>-0.75</v>
      </c>
      <c r="Z36" s="51">
        <v>-0.75</v>
      </c>
      <c r="AA36" s="51">
        <v>-0.75</v>
      </c>
      <c r="AB36" s="51">
        <v>-0.75</v>
      </c>
      <c r="AC36" s="51">
        <v>-0.75</v>
      </c>
      <c r="AD36" s="51">
        <v>-0.75</v>
      </c>
      <c r="AE36" s="51">
        <v>-0.75</v>
      </c>
      <c r="AF36" s="51">
        <v>-8.1539999999999999</v>
      </c>
      <c r="AG36" s="51">
        <v>-3.6479999999999961</v>
      </c>
      <c r="AH36" s="51">
        <v>-7.2169999999999188</v>
      </c>
      <c r="AI36" s="51">
        <v>11.126000000000005</v>
      </c>
      <c r="AJ36" s="51">
        <v>-1.3380000000000001</v>
      </c>
      <c r="AK36" s="51">
        <v>-8.8309999999999889</v>
      </c>
      <c r="AL36" s="51">
        <v>-1.0109999999999999</v>
      </c>
      <c r="AM36" s="51">
        <v>-5.2030000000000003</v>
      </c>
      <c r="AN36" s="51">
        <v>-8.2150000000000034</v>
      </c>
      <c r="AO36" s="51">
        <v>-10.389999999999999</v>
      </c>
      <c r="AP36" s="51">
        <v>0</v>
      </c>
      <c r="AQ36" s="51">
        <f>-13.51+0.002+8.596</f>
        <v>-4.911999999999999</v>
      </c>
      <c r="AR36" s="96">
        <f>-10.104+7.348</f>
        <v>-2.7559999999999993</v>
      </c>
      <c r="AS36" s="66">
        <f>0.004-5.559</f>
        <v>-5.5550000000000006</v>
      </c>
      <c r="AT36" s="96">
        <f>-6.827+0.001</f>
        <v>-6.8259999999999996</v>
      </c>
      <c r="AU36" s="96">
        <f t="shared" si="274"/>
        <v>-6.8259999999999996</v>
      </c>
      <c r="AV36" s="96">
        <f t="shared" si="274"/>
        <v>-6.8259999999999996</v>
      </c>
      <c r="AW36" s="96">
        <f t="shared" si="274"/>
        <v>-6.8259999999999996</v>
      </c>
      <c r="AX36" s="96">
        <f t="shared" si="274"/>
        <v>-6.8259999999999996</v>
      </c>
      <c r="AY36" s="96">
        <f t="shared" si="274"/>
        <v>-6.8259999999999996</v>
      </c>
      <c r="AZ36" s="96">
        <f t="shared" si="274"/>
        <v>-6.8259999999999996</v>
      </c>
      <c r="BA36" s="96">
        <f t="shared" si="274"/>
        <v>-6.8259999999999996</v>
      </c>
      <c r="BB36" s="96">
        <f t="shared" si="274"/>
        <v>-6.8259999999999996</v>
      </c>
      <c r="BC36" s="96">
        <f t="shared" si="274"/>
        <v>-6.8259999999999996</v>
      </c>
      <c r="BD36" s="96">
        <f t="shared" si="274"/>
        <v>-6.8259999999999996</v>
      </c>
      <c r="BE36" s="96">
        <f t="shared" si="274"/>
        <v>-6.8259999999999996</v>
      </c>
      <c r="BF36" s="96">
        <f t="shared" si="274"/>
        <v>-6.8259999999999996</v>
      </c>
      <c r="BJ36" s="116">
        <f t="shared" si="62"/>
        <v>27</v>
      </c>
    </row>
    <row r="37" spans="2:62" outlineLevel="1">
      <c r="B37" s="8" t="s">
        <v>11</v>
      </c>
      <c r="C37" s="63">
        <f>SUM(C33:C36)</f>
        <v>397.34399999999999</v>
      </c>
      <c r="D37" s="63">
        <f t="shared" ref="D37:O37" si="275">SUM(D33:D36)</f>
        <v>627.54200000000003</v>
      </c>
      <c r="E37" s="63">
        <f t="shared" si="275"/>
        <v>728.68199999999968</v>
      </c>
      <c r="F37" s="63">
        <f t="shared" si="275"/>
        <v>394.07800000000009</v>
      </c>
      <c r="G37" s="63">
        <f t="shared" si="275"/>
        <v>382.11200000000019</v>
      </c>
      <c r="H37" s="63">
        <f t="shared" si="275"/>
        <v>-24.927000000000138</v>
      </c>
      <c r="I37" s="63">
        <f t="shared" si="275"/>
        <v>-508.89199999999983</v>
      </c>
      <c r="J37" s="63">
        <f t="shared" si="275"/>
        <v>-540.72400000000005</v>
      </c>
      <c r="K37" s="63">
        <f t="shared" si="275"/>
        <v>-275.49477864567484</v>
      </c>
      <c r="L37" s="63">
        <f t="shared" si="275"/>
        <v>66.940050180062897</v>
      </c>
      <c r="M37" s="63">
        <f t="shared" si="275"/>
        <v>262.35049666149047</v>
      </c>
      <c r="O37" s="63">
        <f t="shared" si="275"/>
        <v>69.351000000000013</v>
      </c>
      <c r="P37" s="63">
        <f t="shared" ref="P37" si="276">SUM(P33:P36)</f>
        <v>73.722000000000008</v>
      </c>
      <c r="Q37" s="63">
        <f t="shared" ref="Q37" si="277">SUM(Q33:Q36)</f>
        <v>97.962000000000018</v>
      </c>
      <c r="R37" s="63">
        <f t="shared" ref="R37" si="278">SUM(R33:R36)</f>
        <v>156.309</v>
      </c>
      <c r="S37" s="63">
        <f t="shared" ref="S37" si="279">SUM(S33:S36)</f>
        <v>128.66200000000003</v>
      </c>
      <c r="T37" s="63">
        <f t="shared" ref="T37" si="280">SUM(T33:T36)</f>
        <v>109.38399999999999</v>
      </c>
      <c r="U37" s="63">
        <f t="shared" ref="U37" si="281">SUM(U33:U36)</f>
        <v>170.50200000000007</v>
      </c>
      <c r="V37" s="63">
        <f t="shared" ref="V37" si="282">SUM(V33:V36)</f>
        <v>218.99399999999991</v>
      </c>
      <c r="W37" s="63">
        <f t="shared" ref="W37" si="283">SUM(W33:W36)</f>
        <v>272.38400000000007</v>
      </c>
      <c r="X37" s="63">
        <f t="shared" ref="X37" si="284">SUM(X33:X36)</f>
        <v>166.50600000000003</v>
      </c>
      <c r="Y37" s="63">
        <f t="shared" ref="Y37" si="285">SUM(Y33:Y36)</f>
        <v>168.5329999999999</v>
      </c>
      <c r="Z37" s="63">
        <f t="shared" ref="Z37" si="286">SUM(Z33:Z36)</f>
        <v>121.25899999999996</v>
      </c>
      <c r="AA37" s="63">
        <f t="shared" ref="AA37" si="287">SUM(AA33:AA36)</f>
        <v>161.798</v>
      </c>
      <c r="AB37" s="63">
        <f t="shared" ref="AB37" si="288">SUM(AB33:AB36)</f>
        <v>43.40199999999998</v>
      </c>
      <c r="AC37" s="63">
        <f t="shared" ref="AC37" si="289">SUM(AC33:AC36)</f>
        <v>76.013000000000019</v>
      </c>
      <c r="AD37" s="63">
        <f t="shared" ref="AD37" si="290">SUM(AD33:AD36)</f>
        <v>112.86499999999999</v>
      </c>
      <c r="AE37" s="63">
        <f t="shared" ref="AE37" si="291">SUM(AE33:AE36)</f>
        <v>64.460999999999999</v>
      </c>
      <c r="AF37" s="63">
        <f t="shared" ref="AF37" si="292">SUM(AF33:AF36)</f>
        <v>86.068999999999988</v>
      </c>
      <c r="AG37" s="63">
        <f t="shared" ref="AG37" si="293">SUM(AG33:AG36)</f>
        <v>128.78</v>
      </c>
      <c r="AH37" s="63">
        <f t="shared" ref="AH37" si="294">SUM(AH33:AH36)</f>
        <v>102.80200000000009</v>
      </c>
      <c r="AI37" s="63">
        <f t="shared" ref="AI37" si="295">SUM(AI33:AI36)</f>
        <v>57.540999999999976</v>
      </c>
      <c r="AJ37" s="63">
        <f t="shared" ref="AJ37" si="296">SUM(AJ33:AJ36)</f>
        <v>19.754999999999942</v>
      </c>
      <c r="AK37" s="63">
        <f t="shared" ref="AK37" si="297">SUM(AK33:AK36)</f>
        <v>-45.776999999999987</v>
      </c>
      <c r="AL37" s="63">
        <f t="shared" ref="AL37" si="298">SUM(AL33:AL36)</f>
        <v>-56.446000000000012</v>
      </c>
      <c r="AM37" s="63">
        <f t="shared" ref="AM37" si="299">SUM(AM33:AM36)</f>
        <v>-107.85599999999998</v>
      </c>
      <c r="AN37" s="63">
        <f t="shared" ref="AN37" si="300">SUM(AN33:AN36)</f>
        <v>-138.48699999999999</v>
      </c>
      <c r="AO37" s="63">
        <f t="shared" ref="AO37" si="301">SUM(AO33:AO36)</f>
        <v>-141.08999999999997</v>
      </c>
      <c r="AP37" s="63">
        <f t="shared" ref="AP37" si="302">SUM(AP33:AP36)</f>
        <v>-121.459</v>
      </c>
      <c r="AQ37" s="63">
        <f t="shared" ref="AQ37" si="303">SUM(AQ33:AQ36)</f>
        <v>-164.64099999999999</v>
      </c>
      <c r="AR37" s="241">
        <f t="shared" ref="AR37" si="304">SUM(AR33:AR36)</f>
        <v>-127.62400000000004</v>
      </c>
      <c r="AS37" s="241">
        <f t="shared" ref="AS37:AT37" si="305">SUM(AS33:AS36)</f>
        <v>-133.994</v>
      </c>
      <c r="AT37" s="241">
        <f t="shared" si="305"/>
        <v>-114.46499999999999</v>
      </c>
      <c r="AU37" s="63">
        <f t="shared" ref="AU37" si="306">SUM(AU33:AU36)</f>
        <v>-107.81804237201497</v>
      </c>
      <c r="AV37" s="63">
        <f t="shared" ref="AV37" si="307">SUM(AV33:AV36)</f>
        <v>-82.05274180790947</v>
      </c>
      <c r="AW37" s="63">
        <f t="shared" ref="AW37" si="308">SUM(AW33:AW36)</f>
        <v>-53.121215566671871</v>
      </c>
      <c r="AX37" s="63">
        <f t="shared" ref="AX37" si="309">SUM(AX33:AX36)</f>
        <v>-32.502778899078535</v>
      </c>
      <c r="AY37" s="63">
        <f t="shared" ref="AY37" si="310">SUM(AY33:AY36)</f>
        <v>-16.571891766795272</v>
      </c>
      <c r="AZ37" s="63">
        <f t="shared" ref="AZ37" si="311">SUM(AZ33:AZ36)</f>
        <v>2.5552686897489965</v>
      </c>
      <c r="BA37" s="63">
        <f t="shared" ref="BA37" si="312">SUM(BA33:BA36)</f>
        <v>33.129511305019754</v>
      </c>
      <c r="BB37" s="63">
        <f t="shared" ref="BB37" si="313">SUM(BB33:BB36)</f>
        <v>47.827161952089284</v>
      </c>
      <c r="BC37" s="63">
        <f t="shared" ref="BC37" si="314">SUM(BC33:BC36)</f>
        <v>57.781566698434752</v>
      </c>
      <c r="BD37" s="63">
        <f t="shared" ref="BD37" si="315">SUM(BD33:BD36)</f>
        <v>55.335797067171406</v>
      </c>
      <c r="BE37" s="63">
        <f t="shared" ref="BE37" si="316">SUM(BE33:BE36)</f>
        <v>70.141918257671918</v>
      </c>
      <c r="BF37" s="63">
        <f t="shared" ref="BF37" si="317">SUM(BF33:BF36)</f>
        <v>79.091214638212719</v>
      </c>
      <c r="BJ37" s="116">
        <f t="shared" si="62"/>
        <v>28</v>
      </c>
    </row>
    <row r="38" spans="2:62" outlineLevel="1">
      <c r="B38" s="7" t="s">
        <v>258</v>
      </c>
      <c r="C38" s="50">
        <f t="shared" ref="C38:M38" si="318">SUMIFS($O38:$BG38,$O$5:$BG$5,C$5)</f>
        <v>-67.616050000000001</v>
      </c>
      <c r="D38" s="50">
        <f t="shared" si="318"/>
        <v>-186.97624999999999</v>
      </c>
      <c r="E38" s="50">
        <f t="shared" si="318"/>
        <v>-87.107949999999988</v>
      </c>
      <c r="F38" s="50">
        <f t="shared" si="318"/>
        <v>-53.907529999999994</v>
      </c>
      <c r="G38" s="50">
        <f t="shared" si="318"/>
        <v>-67.648600000000002</v>
      </c>
      <c r="H38" s="50">
        <f t="shared" si="318"/>
        <v>10.782480000000014</v>
      </c>
      <c r="I38" s="50">
        <f t="shared" si="318"/>
        <v>132.06100000000004</v>
      </c>
      <c r="J38" s="50">
        <f t="shared" si="318"/>
        <v>73.274039999999999</v>
      </c>
      <c r="K38" s="50">
        <f t="shared" si="318"/>
        <v>49.589060156221471</v>
      </c>
      <c r="L38" s="50">
        <f t="shared" si="318"/>
        <v>-12.049209032411296</v>
      </c>
      <c r="M38" s="50">
        <f t="shared" si="318"/>
        <v>-47.223089399068343</v>
      </c>
      <c r="O38" s="65">
        <v>-17.052150000000001</v>
      </c>
      <c r="P38" s="65">
        <v>-12.7592</v>
      </c>
      <c r="Q38" s="65">
        <v>-13.245000000000001</v>
      </c>
      <c r="R38" s="65">
        <v>-24.559699999999996</v>
      </c>
      <c r="S38" s="65">
        <v>-40.417149999999999</v>
      </c>
      <c r="T38" s="65">
        <v>-37.614200000000004</v>
      </c>
      <c r="U38" s="65">
        <v>-48.134999999999998</v>
      </c>
      <c r="V38" s="65">
        <v>-60.809899999999999</v>
      </c>
      <c r="W38" s="65">
        <v>-68.399999999999991</v>
      </c>
      <c r="X38" s="65">
        <v>-20.128949999999996</v>
      </c>
      <c r="Y38" s="65">
        <v>1.4014000000000006</v>
      </c>
      <c r="Z38" s="65">
        <v>1.9600000000001394E-2</v>
      </c>
      <c r="AA38" s="65">
        <v>-30.761949999999999</v>
      </c>
      <c r="AB38" s="65">
        <v>-9.2667000000000002</v>
      </c>
      <c r="AC38" s="65">
        <v>-36.505679999999998</v>
      </c>
      <c r="AD38" s="65">
        <v>22.626799999999999</v>
      </c>
      <c r="AE38" s="65">
        <v>-14.5246</v>
      </c>
      <c r="AF38" s="65">
        <v>-12.056000000000001</v>
      </c>
      <c r="AG38" s="65">
        <v>-34.549999999999997</v>
      </c>
      <c r="AH38" s="65">
        <v>-6.5180000000000007</v>
      </c>
      <c r="AI38" s="65">
        <v>-0.34400000000000308</v>
      </c>
      <c r="AJ38" s="65">
        <v>-65.044999999999987</v>
      </c>
      <c r="AK38" s="65">
        <v>35.346480000000007</v>
      </c>
      <c r="AL38" s="65">
        <v>40.825000000000003</v>
      </c>
      <c r="AM38" s="65">
        <v>25.138999999999999</v>
      </c>
      <c r="AN38" s="65">
        <v>39.558</v>
      </c>
      <c r="AO38" s="65">
        <v>34.100999999999999</v>
      </c>
      <c r="AP38" s="65">
        <v>33.263000000000019</v>
      </c>
      <c r="AQ38" s="240">
        <f>25.609-(8.596-7.8)</f>
        <v>24.813000000000002</v>
      </c>
      <c r="AR38" s="240">
        <f>19.496-7.348*0.27</f>
        <v>17.512039999999999</v>
      </c>
      <c r="AS38" s="96">
        <v>14.709</v>
      </c>
      <c r="AT38" s="96">
        <f>23.156-(23.416-16.5)</f>
        <v>16.239999999999998</v>
      </c>
      <c r="AU38" s="95">
        <f t="shared" ref="AU38:BF38" si="319">-AU95*AU37</f>
        <v>19.407247626962693</v>
      </c>
      <c r="AV38" s="95">
        <f t="shared" si="319"/>
        <v>14.769493525423703</v>
      </c>
      <c r="AW38" s="95">
        <f t="shared" si="319"/>
        <v>9.5618188020009374</v>
      </c>
      <c r="AX38" s="95">
        <f t="shared" si="319"/>
        <v>5.8505002018341363</v>
      </c>
      <c r="AY38" s="95">
        <f t="shared" si="319"/>
        <v>2.982940518023149</v>
      </c>
      <c r="AZ38" s="95">
        <f t="shared" si="319"/>
        <v>-0.45994836415481932</v>
      </c>
      <c r="BA38" s="95">
        <f t="shared" si="319"/>
        <v>-5.9633120349035558</v>
      </c>
      <c r="BB38" s="95">
        <f t="shared" si="319"/>
        <v>-8.6088891513760704</v>
      </c>
      <c r="BC38" s="95">
        <f t="shared" si="319"/>
        <v>-10.400682005718254</v>
      </c>
      <c r="BD38" s="95">
        <f t="shared" si="319"/>
        <v>-9.9604434720908532</v>
      </c>
      <c r="BE38" s="95">
        <f t="shared" si="319"/>
        <v>-12.625545286380945</v>
      </c>
      <c r="BF38" s="95">
        <f t="shared" si="319"/>
        <v>-14.236418634878289</v>
      </c>
      <c r="BJ38" s="116">
        <f t="shared" si="62"/>
        <v>29</v>
      </c>
    </row>
    <row r="39" spans="2:62" outlineLevel="1">
      <c r="B39" s="67" t="s">
        <v>263</v>
      </c>
      <c r="C39" s="68">
        <f>+C37+C38</f>
        <v>329.72794999999996</v>
      </c>
      <c r="D39" s="68">
        <f t="shared" ref="D39:O39" si="320">+D37+D38</f>
        <v>440.56575000000004</v>
      </c>
      <c r="E39" s="68">
        <f t="shared" si="320"/>
        <v>641.57404999999972</v>
      </c>
      <c r="F39" s="68">
        <f t="shared" si="320"/>
        <v>340.17047000000008</v>
      </c>
      <c r="G39" s="68">
        <f t="shared" si="320"/>
        <v>314.46340000000021</v>
      </c>
      <c r="H39" s="68">
        <f t="shared" si="320"/>
        <v>-14.144520000000124</v>
      </c>
      <c r="I39" s="68">
        <f t="shared" si="320"/>
        <v>-376.83099999999979</v>
      </c>
      <c r="J39" s="68">
        <f t="shared" si="320"/>
        <v>-467.44996000000003</v>
      </c>
      <c r="K39" s="68">
        <f t="shared" si="320"/>
        <v>-225.90571848945336</v>
      </c>
      <c r="L39" s="68">
        <f t="shared" si="320"/>
        <v>54.890841147651599</v>
      </c>
      <c r="M39" s="68">
        <f t="shared" si="320"/>
        <v>215.12740726242214</v>
      </c>
      <c r="N39" s="272"/>
      <c r="O39" s="68">
        <f t="shared" si="320"/>
        <v>52.298850000000016</v>
      </c>
      <c r="P39" s="68">
        <f t="shared" ref="P39" si="321">+P37+P38</f>
        <v>60.962800000000009</v>
      </c>
      <c r="Q39" s="68">
        <f t="shared" ref="Q39" si="322">+Q37+Q38</f>
        <v>84.717000000000013</v>
      </c>
      <c r="R39" s="68">
        <f t="shared" ref="R39" si="323">+R37+R38</f>
        <v>131.74930000000001</v>
      </c>
      <c r="S39" s="68">
        <f t="shared" ref="S39" si="324">+S37+S38</f>
        <v>88.244850000000042</v>
      </c>
      <c r="T39" s="68">
        <f t="shared" ref="T39" si="325">+T37+T38</f>
        <v>71.769799999999975</v>
      </c>
      <c r="U39" s="68">
        <f t="shared" ref="U39" si="326">+U37+U38</f>
        <v>122.36700000000008</v>
      </c>
      <c r="V39" s="68">
        <f t="shared" ref="V39" si="327">+V37+V38</f>
        <v>158.18409999999992</v>
      </c>
      <c r="W39" s="68">
        <f t="shared" ref="W39" si="328">+W37+W38</f>
        <v>203.98400000000009</v>
      </c>
      <c r="X39" s="68">
        <f t="shared" ref="X39" si="329">+X37+X38</f>
        <v>146.37705000000003</v>
      </c>
      <c r="Y39" s="68">
        <f t="shared" ref="Y39" si="330">+Y37+Y38</f>
        <v>169.9343999999999</v>
      </c>
      <c r="Z39" s="68">
        <f t="shared" ref="Z39" si="331">+Z37+Z38</f>
        <v>121.27859999999995</v>
      </c>
      <c r="AA39" s="68">
        <f t="shared" ref="AA39" si="332">+AA37+AA38</f>
        <v>131.03604999999999</v>
      </c>
      <c r="AB39" s="68">
        <f t="shared" ref="AB39" si="333">+AB37+AB38</f>
        <v>34.13529999999998</v>
      </c>
      <c r="AC39" s="68">
        <f t="shared" ref="AC39" si="334">+AC37+AC38</f>
        <v>39.507320000000021</v>
      </c>
      <c r="AD39" s="68">
        <f t="shared" ref="AD39" si="335">+AD37+AD38</f>
        <v>135.49179999999998</v>
      </c>
      <c r="AE39" s="68">
        <f t="shared" ref="AE39" si="336">+AE37+AE38</f>
        <v>49.936399999999999</v>
      </c>
      <c r="AF39" s="68">
        <f t="shared" ref="AF39" si="337">+AF37+AF38</f>
        <v>74.012999999999991</v>
      </c>
      <c r="AG39" s="68">
        <f t="shared" ref="AG39" si="338">+AG37+AG38</f>
        <v>94.23</v>
      </c>
      <c r="AH39" s="68">
        <f t="shared" ref="AH39" si="339">+AH37+AH38</f>
        <v>96.284000000000091</v>
      </c>
      <c r="AI39" s="68">
        <f t="shared" ref="AI39" si="340">+AI37+AI38</f>
        <v>57.196999999999974</v>
      </c>
      <c r="AJ39" s="68">
        <f t="shared" ref="AJ39" si="341">+AJ37+AJ38</f>
        <v>-45.290000000000049</v>
      </c>
      <c r="AK39" s="68">
        <f t="shared" ref="AK39" si="342">+AK37+AK38</f>
        <v>-10.43051999999998</v>
      </c>
      <c r="AL39" s="68">
        <f t="shared" ref="AL39" si="343">+AL37+AL38</f>
        <v>-15.621000000000009</v>
      </c>
      <c r="AM39" s="68">
        <f t="shared" ref="AM39" si="344">+AM37+AM38</f>
        <v>-82.716999999999985</v>
      </c>
      <c r="AN39" s="68">
        <f t="shared" ref="AN39" si="345">+AN37+AN38</f>
        <v>-98.929000000000002</v>
      </c>
      <c r="AO39" s="68">
        <f t="shared" ref="AO39" si="346">+AO37+AO38</f>
        <v>-106.98899999999998</v>
      </c>
      <c r="AP39" s="68">
        <f t="shared" ref="AP39" si="347">+AP37+AP38</f>
        <v>-88.195999999999984</v>
      </c>
      <c r="AQ39" s="68">
        <f t="shared" ref="AQ39" si="348">+AQ37+AQ38</f>
        <v>-139.82799999999997</v>
      </c>
      <c r="AR39" s="242">
        <f t="shared" ref="AR39:AT39" si="349">+AR37+AR38</f>
        <v>-110.11196000000004</v>
      </c>
      <c r="AS39" s="242">
        <f t="shared" si="349"/>
        <v>-119.285</v>
      </c>
      <c r="AT39" s="242">
        <f t="shared" si="349"/>
        <v>-98.224999999999994</v>
      </c>
      <c r="AU39" s="68">
        <f t="shared" ref="AU39" si="350">+AU37+AU38</f>
        <v>-88.410794745052272</v>
      </c>
      <c r="AV39" s="68">
        <f t="shared" ref="AV39" si="351">+AV37+AV38</f>
        <v>-67.283248282485772</v>
      </c>
      <c r="AW39" s="68">
        <f t="shared" ref="AW39" si="352">+AW37+AW38</f>
        <v>-43.559396764670936</v>
      </c>
      <c r="AX39" s="68">
        <f t="shared" ref="AX39" si="353">+AX37+AX38</f>
        <v>-26.652278697244398</v>
      </c>
      <c r="AY39" s="68">
        <f t="shared" ref="AY39" si="354">+AY37+AY38</f>
        <v>-13.588951248772123</v>
      </c>
      <c r="AZ39" s="68">
        <f t="shared" ref="AZ39" si="355">+AZ37+AZ38</f>
        <v>2.095320325594177</v>
      </c>
      <c r="BA39" s="68">
        <f t="shared" ref="BA39" si="356">+BA37+BA38</f>
        <v>27.166199270116199</v>
      </c>
      <c r="BB39" s="68">
        <f t="shared" ref="BB39" si="357">+BB37+BB38</f>
        <v>39.218272800713216</v>
      </c>
      <c r="BC39" s="68">
        <f t="shared" ref="BC39" si="358">+BC37+BC38</f>
        <v>47.380884692716499</v>
      </c>
      <c r="BD39" s="68">
        <f t="shared" ref="BD39" si="359">+BD37+BD38</f>
        <v>45.375353595080554</v>
      </c>
      <c r="BE39" s="68">
        <f t="shared" ref="BE39" si="360">+BE37+BE38</f>
        <v>57.516372971290977</v>
      </c>
      <c r="BF39" s="68">
        <f t="shared" ref="BF39" si="361">+BF37+BF38</f>
        <v>64.854796003334428</v>
      </c>
      <c r="BG39" s="49"/>
      <c r="BH39" s="49"/>
      <c r="BI39" s="49"/>
      <c r="BJ39" s="116">
        <f t="shared" si="62"/>
        <v>30</v>
      </c>
    </row>
    <row r="40" spans="2:62" outlineLevel="1">
      <c r="B40" s="7" t="s">
        <v>260</v>
      </c>
      <c r="C40" s="50">
        <f t="shared" ref="C40:M40" si="362">SUMIFS($O40:$BG40,$O$5:$BG$5,C$5)</f>
        <v>-8.4999999999999964E-2</v>
      </c>
      <c r="D40" s="50">
        <f t="shared" si="362"/>
        <v>-1.0449999999999997</v>
      </c>
      <c r="E40" s="50">
        <f t="shared" si="362"/>
        <v>-0.62100000000000022</v>
      </c>
      <c r="F40" s="50">
        <f t="shared" si="362"/>
        <v>-7.18</v>
      </c>
      <c r="G40" s="50">
        <f t="shared" si="362"/>
        <v>-1.415</v>
      </c>
      <c r="H40" s="50">
        <f t="shared" si="362"/>
        <v>-0.38099999999999995</v>
      </c>
      <c r="I40" s="50">
        <f t="shared" si="362"/>
        <v>-0.13500000000000023</v>
      </c>
      <c r="J40" s="50">
        <f t="shared" si="362"/>
        <v>-6.177999999999999</v>
      </c>
      <c r="K40" s="50">
        <f t="shared" si="362"/>
        <v>-24.37748594335693</v>
      </c>
      <c r="L40" s="50">
        <f t="shared" si="362"/>
        <v>-36.2575164111691</v>
      </c>
      <c r="M40" s="50">
        <f t="shared" si="362"/>
        <v>-37.050944640690275</v>
      </c>
      <c r="O40" s="65">
        <v>1.1020000000000001</v>
      </c>
      <c r="P40" s="65">
        <v>0.55900000000000005</v>
      </c>
      <c r="Q40" s="65">
        <v>-0.45300000000000001</v>
      </c>
      <c r="R40" s="65">
        <v>-1.2929999999999999</v>
      </c>
      <c r="S40" s="65">
        <v>0.66900000000000004</v>
      </c>
      <c r="T40" s="65">
        <v>0.39400000000000002</v>
      </c>
      <c r="U40" s="65">
        <v>-0.70799999999999996</v>
      </c>
      <c r="V40" s="65">
        <v>-1.4</v>
      </c>
      <c r="W40" s="65">
        <v>0.26700000000000002</v>
      </c>
      <c r="X40" s="65">
        <v>1.1739999999999999</v>
      </c>
      <c r="Y40" s="65">
        <v>-0.98799999999999999</v>
      </c>
      <c r="Z40" s="65">
        <v>-1.0740000000000001</v>
      </c>
      <c r="AA40" s="65">
        <v>-9.7000000000000003E-2</v>
      </c>
      <c r="AB40" s="65">
        <v>-5.6159999999999997</v>
      </c>
      <c r="AC40" s="65">
        <v>-0.441</v>
      </c>
      <c r="AD40" s="65">
        <v>-1.026</v>
      </c>
      <c r="AE40" s="65">
        <v>-0.57299999999999995</v>
      </c>
      <c r="AF40" s="65">
        <v>-0.253</v>
      </c>
      <c r="AG40" s="65">
        <v>-0.38700000000000001</v>
      </c>
      <c r="AH40" s="65">
        <f>-0.202</f>
        <v>-0.20200000000000001</v>
      </c>
      <c r="AI40" s="65">
        <v>8.8999999999999996E-2</v>
      </c>
      <c r="AJ40" s="65">
        <f>0.044</f>
        <v>4.3999999999999997E-2</v>
      </c>
      <c r="AK40" s="65">
        <v>0.32</v>
      </c>
      <c r="AL40" s="65">
        <v>-0.83399999999999996</v>
      </c>
      <c r="AM40" s="65">
        <v>-0.72399999999999998</v>
      </c>
      <c r="AN40" s="65">
        <v>2.899</v>
      </c>
      <c r="AO40" s="65">
        <v>-1.1850000000000001</v>
      </c>
      <c r="AP40" s="65">
        <v>-1.125</v>
      </c>
      <c r="AQ40" s="240">
        <v>-0.91700000000000004</v>
      </c>
      <c r="AR40" s="240">
        <v>-1.9710000000000001</v>
      </c>
      <c r="AS40" s="240">
        <v>-2.113</v>
      </c>
      <c r="AT40" s="240">
        <v>-1.177</v>
      </c>
      <c r="AU40" s="95">
        <f t="shared" ref="AU40:BF40" si="363">-AU313</f>
        <v>-6.4285714285714288</v>
      </c>
      <c r="AV40" s="95">
        <f t="shared" si="363"/>
        <v>-5.7632653061224488</v>
      </c>
      <c r="AW40" s="95">
        <f t="shared" si="363"/>
        <v>-6.0181486880466464</v>
      </c>
      <c r="AX40" s="95">
        <f t="shared" si="363"/>
        <v>-6.1675005206164091</v>
      </c>
      <c r="AY40" s="95">
        <f t="shared" si="363"/>
        <v>-10.611518359165824</v>
      </c>
      <c r="AZ40" s="95">
        <f t="shared" si="363"/>
        <v>-8.2218212749099013</v>
      </c>
      <c r="BA40" s="95">
        <f t="shared" si="363"/>
        <v>-8.6013990865202636</v>
      </c>
      <c r="BB40" s="95">
        <f t="shared" si="363"/>
        <v>-8.8227776905731101</v>
      </c>
      <c r="BC40" s="95">
        <f t="shared" si="363"/>
        <v>-8.8862499159097865</v>
      </c>
      <c r="BD40" s="95">
        <f t="shared" si="363"/>
        <v>-9.0920981331987214</v>
      </c>
      <c r="BE40" s="95">
        <f t="shared" si="363"/>
        <v>-9.4405946284416249</v>
      </c>
      <c r="BF40" s="95">
        <f t="shared" si="363"/>
        <v>-9.6320019631401372</v>
      </c>
      <c r="BJ40" s="116">
        <f t="shared" si="62"/>
        <v>31</v>
      </c>
    </row>
    <row r="41" spans="2:62" outlineLevel="1">
      <c r="B41" s="8" t="s">
        <v>308</v>
      </c>
      <c r="C41" s="63">
        <f>+C39+C40</f>
        <v>329.64294999999998</v>
      </c>
      <c r="D41" s="63">
        <f t="shared" ref="D41:O41" si="364">+D39+D40</f>
        <v>439.52075000000002</v>
      </c>
      <c r="E41" s="63">
        <f t="shared" si="364"/>
        <v>640.95304999999973</v>
      </c>
      <c r="F41" s="63">
        <f t="shared" si="364"/>
        <v>332.99047000000007</v>
      </c>
      <c r="G41" s="63">
        <f t="shared" si="364"/>
        <v>313.04840000000019</v>
      </c>
      <c r="H41" s="63">
        <f t="shared" si="364"/>
        <v>-14.525520000000125</v>
      </c>
      <c r="I41" s="63">
        <f t="shared" si="364"/>
        <v>-376.96599999999978</v>
      </c>
      <c r="J41" s="63">
        <f t="shared" si="364"/>
        <v>-473.62796000000003</v>
      </c>
      <c r="K41" s="63">
        <f t="shared" si="364"/>
        <v>-250.28320443281029</v>
      </c>
      <c r="L41" s="63">
        <f t="shared" si="364"/>
        <v>18.6333247364825</v>
      </c>
      <c r="M41" s="63">
        <f t="shared" si="364"/>
        <v>178.07646262173188</v>
      </c>
      <c r="O41" s="63">
        <f t="shared" si="364"/>
        <v>53.400850000000013</v>
      </c>
      <c r="P41" s="63">
        <f t="shared" ref="P41" si="365">+P39+P40</f>
        <v>61.521800000000006</v>
      </c>
      <c r="Q41" s="63">
        <f t="shared" ref="Q41" si="366">+Q39+Q40</f>
        <v>84.26400000000001</v>
      </c>
      <c r="R41" s="63">
        <f t="shared" ref="R41" si="367">+R39+R40</f>
        <v>130.4563</v>
      </c>
      <c r="S41" s="63">
        <f t="shared" ref="S41" si="368">+S39+S40</f>
        <v>88.913850000000039</v>
      </c>
      <c r="T41" s="63">
        <f t="shared" ref="T41" si="369">+T39+T40</f>
        <v>72.163799999999981</v>
      </c>
      <c r="U41" s="63">
        <f t="shared" ref="U41" si="370">+U39+U40</f>
        <v>121.65900000000008</v>
      </c>
      <c r="V41" s="63">
        <f t="shared" ref="V41" si="371">+V39+V40</f>
        <v>156.78409999999991</v>
      </c>
      <c r="W41" s="63">
        <f t="shared" ref="W41" si="372">+W39+W40</f>
        <v>204.25100000000009</v>
      </c>
      <c r="X41" s="63">
        <f t="shared" ref="X41" si="373">+X39+X40</f>
        <v>147.55105000000003</v>
      </c>
      <c r="Y41" s="63">
        <f t="shared" ref="Y41" si="374">+Y39+Y40</f>
        <v>168.9463999999999</v>
      </c>
      <c r="Z41" s="63">
        <f t="shared" ref="Z41" si="375">+Z39+Z40</f>
        <v>120.20459999999996</v>
      </c>
      <c r="AA41" s="63">
        <f t="shared" ref="AA41" si="376">+AA39+AA40</f>
        <v>130.93904999999998</v>
      </c>
      <c r="AB41" s="63">
        <f t="shared" ref="AB41" si="377">+AB39+AB40</f>
        <v>28.51929999999998</v>
      </c>
      <c r="AC41" s="63">
        <f t="shared" ref="AC41" si="378">+AC39+AC40</f>
        <v>39.066320000000019</v>
      </c>
      <c r="AD41" s="63">
        <f t="shared" ref="AD41" si="379">+AD39+AD40</f>
        <v>134.46579999999997</v>
      </c>
      <c r="AE41" s="63">
        <f t="shared" ref="AE41" si="380">+AE39+AE40</f>
        <v>49.363399999999999</v>
      </c>
      <c r="AF41" s="63">
        <f t="shared" ref="AF41" si="381">+AF39+AF40</f>
        <v>73.759999999999991</v>
      </c>
      <c r="AG41" s="63">
        <f t="shared" ref="AG41" si="382">+AG39+AG40</f>
        <v>93.843000000000004</v>
      </c>
      <c r="AH41" s="63">
        <f t="shared" ref="AH41" si="383">+AH39+AH40</f>
        <v>96.082000000000093</v>
      </c>
      <c r="AI41" s="63">
        <f t="shared" ref="AI41" si="384">+AI39+AI40</f>
        <v>57.285999999999973</v>
      </c>
      <c r="AJ41" s="63">
        <f t="shared" ref="AJ41" si="385">+AJ39+AJ40</f>
        <v>-45.246000000000052</v>
      </c>
      <c r="AK41" s="63">
        <f t="shared" ref="AK41" si="386">+AK39+AK40</f>
        <v>-10.11051999999998</v>
      </c>
      <c r="AL41" s="63">
        <f t="shared" ref="AL41" si="387">+AL39+AL40</f>
        <v>-16.455000000000009</v>
      </c>
      <c r="AM41" s="63">
        <f t="shared" ref="AM41" si="388">+AM39+AM40</f>
        <v>-83.440999999999988</v>
      </c>
      <c r="AN41" s="63">
        <f t="shared" ref="AN41" si="389">+AN39+AN40</f>
        <v>-96.03</v>
      </c>
      <c r="AO41" s="63">
        <f t="shared" ref="AO41" si="390">+AO39+AO40</f>
        <v>-108.17399999999998</v>
      </c>
      <c r="AP41" s="63">
        <f t="shared" ref="AP41" si="391">+AP39+AP40</f>
        <v>-89.320999999999984</v>
      </c>
      <c r="AQ41" s="63">
        <f t="shared" ref="AQ41" si="392">+AQ39+AQ40</f>
        <v>-140.74499999999998</v>
      </c>
      <c r="AR41" s="241">
        <f t="shared" ref="AR41:AS41" si="393">+AR39+AR40</f>
        <v>-112.08296000000004</v>
      </c>
      <c r="AS41" s="241">
        <f t="shared" si="393"/>
        <v>-121.398</v>
      </c>
      <c r="AT41" s="241">
        <f t="shared" ref="AT41" si="394">+AT39+AT40</f>
        <v>-99.402000000000001</v>
      </c>
      <c r="AU41" s="63">
        <f t="shared" ref="AU41" si="395">+AU39+AU40</f>
        <v>-94.839366173623702</v>
      </c>
      <c r="AV41" s="63">
        <f t="shared" ref="AV41" si="396">+AV39+AV40</f>
        <v>-73.046513588608221</v>
      </c>
      <c r="AW41" s="63">
        <f t="shared" ref="AW41" si="397">+AW39+AW40</f>
        <v>-49.57754545271758</v>
      </c>
      <c r="AX41" s="63">
        <f t="shared" ref="AX41" si="398">+AX39+AX40</f>
        <v>-32.819779217860805</v>
      </c>
      <c r="AY41" s="63">
        <f t="shared" ref="AY41" si="399">+AY39+AY40</f>
        <v>-24.200469607937947</v>
      </c>
      <c r="AZ41" s="63">
        <f t="shared" ref="AZ41" si="400">+AZ39+AZ40</f>
        <v>-6.1265009493157248</v>
      </c>
      <c r="BA41" s="63">
        <f t="shared" ref="BA41" si="401">+BA39+BA40</f>
        <v>18.564800183595935</v>
      </c>
      <c r="BB41" s="63">
        <f t="shared" ref="BB41" si="402">+BB39+BB40</f>
        <v>30.395495110140104</v>
      </c>
      <c r="BC41" s="63">
        <f t="shared" ref="BC41" si="403">+BC39+BC40</f>
        <v>38.494634776806713</v>
      </c>
      <c r="BD41" s="63">
        <f t="shared" ref="BD41" si="404">+BD39+BD40</f>
        <v>36.283255461881836</v>
      </c>
      <c r="BE41" s="63">
        <f t="shared" ref="BE41" si="405">+BE39+BE40</f>
        <v>48.075778342849354</v>
      </c>
      <c r="BF41" s="63">
        <f t="shared" ref="BF41" si="406">+BF39+BF40</f>
        <v>55.222794040194287</v>
      </c>
      <c r="BJ41" s="116">
        <f t="shared" si="62"/>
        <v>32</v>
      </c>
    </row>
    <row r="42" spans="2:62" hidden="1" outlineLevel="2">
      <c r="AQ42" s="50"/>
      <c r="AR42" s="95"/>
      <c r="AS42" s="95"/>
      <c r="AT42" s="95"/>
      <c r="BJ42" s="116">
        <f t="shared" si="62"/>
        <v>33</v>
      </c>
    </row>
    <row r="43" spans="2:62" hidden="1" outlineLevel="2">
      <c r="B43" s="48" t="s">
        <v>309</v>
      </c>
      <c r="AQ43" s="50"/>
      <c r="AR43" s="95"/>
      <c r="AS43" s="95"/>
      <c r="AT43" s="95"/>
      <c r="BJ43" s="116">
        <f t="shared" si="62"/>
        <v>34</v>
      </c>
    </row>
    <row r="44" spans="2:62" hidden="1" outlineLevel="2">
      <c r="B44" s="7" t="s">
        <v>310</v>
      </c>
      <c r="C44" s="50">
        <f t="shared" ref="C44:M48" si="407">SUMIFS($O44:$BG44,$O$5:$BG$5,C$5)</f>
        <v>0</v>
      </c>
      <c r="D44" s="50">
        <f t="shared" si="407"/>
        <v>0</v>
      </c>
      <c r="E44" s="50">
        <f t="shared" si="407"/>
        <v>0</v>
      </c>
      <c r="F44" s="50">
        <f t="shared" si="407"/>
        <v>0</v>
      </c>
      <c r="G44" s="50">
        <f t="shared" si="407"/>
        <v>0</v>
      </c>
      <c r="H44" s="50">
        <f t="shared" si="407"/>
        <v>0</v>
      </c>
      <c r="I44" s="50">
        <f t="shared" si="407"/>
        <v>0</v>
      </c>
      <c r="J44" s="50">
        <f t="shared" si="407"/>
        <v>0</v>
      </c>
      <c r="K44" s="50">
        <f t="shared" si="407"/>
        <v>0</v>
      </c>
      <c r="L44" s="50">
        <f t="shared" si="407"/>
        <v>0</v>
      </c>
      <c r="M44" s="50">
        <f t="shared" si="407"/>
        <v>0</v>
      </c>
      <c r="O44" s="66">
        <v>0</v>
      </c>
      <c r="P44" s="66">
        <v>0</v>
      </c>
      <c r="Q44" s="66">
        <v>0</v>
      </c>
      <c r="R44" s="66">
        <v>0</v>
      </c>
      <c r="S44" s="66">
        <v>0</v>
      </c>
      <c r="T44" s="66">
        <v>0</v>
      </c>
      <c r="U44" s="66">
        <v>0</v>
      </c>
      <c r="V44" s="66">
        <v>0</v>
      </c>
      <c r="W44" s="66">
        <v>0</v>
      </c>
      <c r="X44" s="66">
        <v>0</v>
      </c>
      <c r="Y44" s="66">
        <v>0</v>
      </c>
      <c r="Z44" s="66">
        <v>0</v>
      </c>
      <c r="AA44" s="66">
        <v>0</v>
      </c>
      <c r="AB44" s="66">
        <v>0</v>
      </c>
      <c r="AC44" s="66">
        <v>0</v>
      </c>
      <c r="AD44" s="66">
        <v>0</v>
      </c>
      <c r="AE44" s="66">
        <v>0</v>
      </c>
      <c r="AF44" s="66">
        <v>0</v>
      </c>
      <c r="AG44" s="66">
        <v>0</v>
      </c>
      <c r="AH44" s="66">
        <v>0</v>
      </c>
      <c r="AI44" s="66">
        <v>0</v>
      </c>
      <c r="AJ44" s="66">
        <v>0</v>
      </c>
      <c r="AK44" s="66">
        <v>0</v>
      </c>
      <c r="AL44" s="66">
        <v>0</v>
      </c>
      <c r="AM44" s="66">
        <v>0</v>
      </c>
      <c r="AN44" s="66">
        <v>0</v>
      </c>
      <c r="AO44" s="66">
        <v>0</v>
      </c>
      <c r="AP44" s="66">
        <v>0</v>
      </c>
      <c r="AQ44" s="66">
        <v>0</v>
      </c>
      <c r="AR44" s="96">
        <v>0</v>
      </c>
      <c r="AS44" s="96">
        <v>0</v>
      </c>
      <c r="AT44" s="96">
        <v>0</v>
      </c>
      <c r="AU44" s="51">
        <v>0</v>
      </c>
      <c r="AV44" s="51">
        <v>0</v>
      </c>
      <c r="AW44" s="51">
        <v>0</v>
      </c>
      <c r="AX44" s="51">
        <v>0</v>
      </c>
      <c r="AY44" s="51">
        <v>0</v>
      </c>
      <c r="AZ44" s="51">
        <v>0</v>
      </c>
      <c r="BA44" s="51">
        <v>0</v>
      </c>
      <c r="BB44" s="51">
        <v>0</v>
      </c>
      <c r="BC44" s="51">
        <v>0</v>
      </c>
      <c r="BD44" s="51">
        <v>0</v>
      </c>
      <c r="BE44" s="51">
        <v>0</v>
      </c>
      <c r="BF44" s="51">
        <v>0</v>
      </c>
      <c r="BJ44" s="116">
        <f t="shared" si="62"/>
        <v>35</v>
      </c>
    </row>
    <row r="45" spans="2:62" hidden="1" outlineLevel="2">
      <c r="B45" s="7" t="s">
        <v>311</v>
      </c>
      <c r="C45" s="50">
        <f t="shared" si="407"/>
        <v>0</v>
      </c>
      <c r="D45" s="50">
        <f t="shared" si="407"/>
        <v>0</v>
      </c>
      <c r="E45" s="50">
        <f t="shared" si="407"/>
        <v>0</v>
      </c>
      <c r="F45" s="50">
        <f t="shared" si="407"/>
        <v>0</v>
      </c>
      <c r="G45" s="50">
        <f t="shared" si="407"/>
        <v>0</v>
      </c>
      <c r="H45" s="50">
        <f t="shared" si="407"/>
        <v>0</v>
      </c>
      <c r="I45" s="50">
        <f t="shared" si="407"/>
        <v>0</v>
      </c>
      <c r="J45" s="50">
        <f t="shared" si="407"/>
        <v>0</v>
      </c>
      <c r="K45" s="50">
        <f t="shared" si="407"/>
        <v>0</v>
      </c>
      <c r="L45" s="50">
        <f t="shared" si="407"/>
        <v>0</v>
      </c>
      <c r="M45" s="50">
        <f t="shared" si="407"/>
        <v>0</v>
      </c>
      <c r="O45" s="66">
        <v>0</v>
      </c>
      <c r="P45" s="66">
        <v>0</v>
      </c>
      <c r="Q45" s="66">
        <v>0</v>
      </c>
      <c r="R45" s="66">
        <v>0</v>
      </c>
      <c r="S45" s="66">
        <v>0</v>
      </c>
      <c r="T45" s="66">
        <v>0</v>
      </c>
      <c r="U45" s="66">
        <v>0</v>
      </c>
      <c r="V45" s="66">
        <v>0</v>
      </c>
      <c r="W45" s="66">
        <v>0</v>
      </c>
      <c r="X45" s="66">
        <v>0</v>
      </c>
      <c r="Y45" s="66">
        <v>0</v>
      </c>
      <c r="Z45" s="66">
        <v>0</v>
      </c>
      <c r="AA45" s="66">
        <v>0</v>
      </c>
      <c r="AB45" s="66">
        <v>0</v>
      </c>
      <c r="AC45" s="66">
        <v>0</v>
      </c>
      <c r="AD45" s="66">
        <v>0</v>
      </c>
      <c r="AE45" s="66">
        <v>0</v>
      </c>
      <c r="AF45" s="66">
        <v>0</v>
      </c>
      <c r="AG45" s="66">
        <v>0</v>
      </c>
      <c r="AH45" s="66">
        <v>0</v>
      </c>
      <c r="AI45" s="66">
        <v>0</v>
      </c>
      <c r="AJ45" s="66">
        <v>0</v>
      </c>
      <c r="AK45" s="66">
        <v>0</v>
      </c>
      <c r="AL45" s="66">
        <v>0</v>
      </c>
      <c r="AM45" s="66">
        <v>0</v>
      </c>
      <c r="AN45" s="66">
        <v>0</v>
      </c>
      <c r="AO45" s="66">
        <v>0</v>
      </c>
      <c r="AP45" s="66">
        <v>0</v>
      </c>
      <c r="AQ45" s="66">
        <v>0</v>
      </c>
      <c r="AR45" s="96">
        <v>0</v>
      </c>
      <c r="AS45" s="96">
        <v>0</v>
      </c>
      <c r="AT45" s="96">
        <v>0</v>
      </c>
      <c r="AU45" s="51">
        <v>0</v>
      </c>
      <c r="AV45" s="51">
        <v>0</v>
      </c>
      <c r="AW45" s="51">
        <v>0</v>
      </c>
      <c r="AX45" s="51">
        <v>0</v>
      </c>
      <c r="AY45" s="51">
        <v>0</v>
      </c>
      <c r="AZ45" s="51">
        <v>0</v>
      </c>
      <c r="BA45" s="51">
        <v>0</v>
      </c>
      <c r="BB45" s="51">
        <v>0</v>
      </c>
      <c r="BC45" s="51">
        <v>0</v>
      </c>
      <c r="BD45" s="51">
        <v>0</v>
      </c>
      <c r="BE45" s="51">
        <v>0</v>
      </c>
      <c r="BF45" s="51">
        <v>0</v>
      </c>
      <c r="BJ45" s="116">
        <f t="shared" si="62"/>
        <v>36</v>
      </c>
    </row>
    <row r="46" spans="2:62" hidden="1" outlineLevel="2">
      <c r="B46" s="7" t="s">
        <v>312</v>
      </c>
      <c r="C46" s="50">
        <f t="shared" si="407"/>
        <v>0</v>
      </c>
      <c r="D46" s="50">
        <f t="shared" si="407"/>
        <v>0</v>
      </c>
      <c r="E46" s="50">
        <f t="shared" si="407"/>
        <v>0</v>
      </c>
      <c r="F46" s="50">
        <f t="shared" si="407"/>
        <v>0</v>
      </c>
      <c r="G46" s="50">
        <f t="shared" si="407"/>
        <v>0</v>
      </c>
      <c r="H46" s="50">
        <f t="shared" si="407"/>
        <v>0</v>
      </c>
      <c r="I46" s="50">
        <f t="shared" si="407"/>
        <v>0</v>
      </c>
      <c r="J46" s="50">
        <f t="shared" si="407"/>
        <v>0</v>
      </c>
      <c r="K46" s="50">
        <f t="shared" si="407"/>
        <v>0</v>
      </c>
      <c r="L46" s="50">
        <f t="shared" si="407"/>
        <v>0</v>
      </c>
      <c r="M46" s="50">
        <f t="shared" si="407"/>
        <v>0</v>
      </c>
      <c r="O46" s="66">
        <v>0</v>
      </c>
      <c r="P46" s="66">
        <v>0</v>
      </c>
      <c r="Q46" s="66">
        <v>0</v>
      </c>
      <c r="R46" s="66">
        <v>0</v>
      </c>
      <c r="S46" s="66">
        <v>0</v>
      </c>
      <c r="T46" s="66">
        <v>0</v>
      </c>
      <c r="U46" s="66">
        <v>0</v>
      </c>
      <c r="V46" s="66">
        <v>0</v>
      </c>
      <c r="W46" s="66">
        <v>0</v>
      </c>
      <c r="X46" s="66">
        <v>0</v>
      </c>
      <c r="Y46" s="66">
        <v>0</v>
      </c>
      <c r="Z46" s="66">
        <v>0</v>
      </c>
      <c r="AA46" s="66">
        <v>0</v>
      </c>
      <c r="AB46" s="66">
        <v>0</v>
      </c>
      <c r="AC46" s="66">
        <v>0</v>
      </c>
      <c r="AD46" s="66">
        <v>0</v>
      </c>
      <c r="AE46" s="66">
        <v>0</v>
      </c>
      <c r="AF46" s="66">
        <v>0</v>
      </c>
      <c r="AG46" s="66">
        <v>0</v>
      </c>
      <c r="AH46" s="66">
        <v>0</v>
      </c>
      <c r="AI46" s="66">
        <v>0</v>
      </c>
      <c r="AJ46" s="66">
        <v>0</v>
      </c>
      <c r="AK46" s="66">
        <v>0</v>
      </c>
      <c r="AL46" s="66">
        <v>0</v>
      </c>
      <c r="AM46" s="66">
        <v>0</v>
      </c>
      <c r="AN46" s="66">
        <v>0</v>
      </c>
      <c r="AO46" s="66">
        <v>0</v>
      </c>
      <c r="AP46" s="66">
        <v>0</v>
      </c>
      <c r="AQ46" s="66">
        <v>0</v>
      </c>
      <c r="AR46" s="96">
        <v>0</v>
      </c>
      <c r="AS46" s="96">
        <v>0</v>
      </c>
      <c r="AT46" s="96">
        <v>0</v>
      </c>
      <c r="AU46" s="51">
        <v>0</v>
      </c>
      <c r="AV46" s="51">
        <v>0</v>
      </c>
      <c r="AW46" s="51">
        <v>0</v>
      </c>
      <c r="AX46" s="51">
        <v>0</v>
      </c>
      <c r="AY46" s="51">
        <v>0</v>
      </c>
      <c r="AZ46" s="51">
        <v>0</v>
      </c>
      <c r="BA46" s="51">
        <v>0</v>
      </c>
      <c r="BB46" s="51">
        <v>0</v>
      </c>
      <c r="BC46" s="51">
        <v>0</v>
      </c>
      <c r="BD46" s="51">
        <v>0</v>
      </c>
      <c r="BE46" s="51">
        <v>0</v>
      </c>
      <c r="BF46" s="51">
        <v>0</v>
      </c>
      <c r="BJ46" s="116">
        <f t="shared" si="62"/>
        <v>37</v>
      </c>
    </row>
    <row r="47" spans="2:62" hidden="1" outlineLevel="2">
      <c r="B47" s="7" t="s">
        <v>313</v>
      </c>
      <c r="C47" s="50">
        <f t="shared" si="407"/>
        <v>-6</v>
      </c>
      <c r="D47" s="50">
        <f t="shared" si="407"/>
        <v>-79.489000000000004</v>
      </c>
      <c r="E47" s="50">
        <f t="shared" si="407"/>
        <v>-377.16499999999996</v>
      </c>
      <c r="F47" s="50">
        <f t="shared" si="407"/>
        <v>-11.179000000000002</v>
      </c>
      <c r="G47" s="50">
        <f t="shared" si="407"/>
        <v>2.0999999999999908E-2</v>
      </c>
      <c r="H47" s="50">
        <f t="shared" si="407"/>
        <v>-124.06399999999999</v>
      </c>
      <c r="I47" s="50">
        <f t="shared" si="407"/>
        <v>-240.28299999999999</v>
      </c>
      <c r="J47" s="50">
        <f t="shared" si="407"/>
        <v>-43.518999999999998</v>
      </c>
      <c r="K47" s="50">
        <f t="shared" si="407"/>
        <v>0</v>
      </c>
      <c r="L47" s="50">
        <f t="shared" si="407"/>
        <v>0</v>
      </c>
      <c r="M47" s="50">
        <f t="shared" si="407"/>
        <v>0</v>
      </c>
      <c r="O47" s="65">
        <v>0</v>
      </c>
      <c r="P47" s="65">
        <v>0</v>
      </c>
      <c r="Q47" s="65">
        <v>-7.5910000000000002</v>
      </c>
      <c r="R47" s="65">
        <v>1.591</v>
      </c>
      <c r="S47" s="65">
        <v>-2.17</v>
      </c>
      <c r="T47" s="65">
        <v>123.90600000000001</v>
      </c>
      <c r="U47" s="65">
        <v>-7.24</v>
      </c>
      <c r="V47" s="65">
        <v>-193.98500000000001</v>
      </c>
      <c r="W47" s="65">
        <f>-8.795-62.562</f>
        <v>-71.356999999999999</v>
      </c>
      <c r="X47" s="65">
        <f>24.69-140.434</f>
        <v>-115.744</v>
      </c>
      <c r="Y47" s="65">
        <f>12.155-98.805</f>
        <v>-86.65</v>
      </c>
      <c r="Z47" s="65">
        <v>-103.414</v>
      </c>
      <c r="AA47" s="65">
        <v>7.0110000000000001</v>
      </c>
      <c r="AB47" s="65">
        <v>-26.873000000000001</v>
      </c>
      <c r="AC47" s="65">
        <v>-14.43</v>
      </c>
      <c r="AD47" s="65">
        <v>23.113</v>
      </c>
      <c r="AE47" s="65">
        <v>1.5149999999999999</v>
      </c>
      <c r="AF47" s="65">
        <v>-1.032</v>
      </c>
      <c r="AG47" s="65">
        <v>4.0049999999999999</v>
      </c>
      <c r="AH47" s="65">
        <v>-4.4669999999999996</v>
      </c>
      <c r="AI47" s="65">
        <v>-0.81699999999999995</v>
      </c>
      <c r="AJ47" s="65">
        <f>5.025-0.8</f>
        <v>4.2250000000000005</v>
      </c>
      <c r="AK47" s="65">
        <f>-45.275-35.1</f>
        <v>-80.375</v>
      </c>
      <c r="AL47" s="65">
        <f>-1.73-45.367</f>
        <v>-47.096999999999994</v>
      </c>
      <c r="AM47" s="65">
        <f>-0.926-167.151</f>
        <v>-168.077</v>
      </c>
      <c r="AN47" s="65">
        <f>-0.984-54.769</f>
        <v>-55.753</v>
      </c>
      <c r="AO47" s="65">
        <v>-12.186999999999999</v>
      </c>
      <c r="AP47" s="65">
        <v>-4.266</v>
      </c>
      <c r="AQ47" s="240">
        <v>-0.439</v>
      </c>
      <c r="AR47" s="96">
        <v>-15.504</v>
      </c>
      <c r="AS47" s="96">
        <v>-27.134</v>
      </c>
      <c r="AT47" s="96">
        <v>-0.442</v>
      </c>
      <c r="AU47" s="51">
        <v>0</v>
      </c>
      <c r="AV47" s="51">
        <v>0</v>
      </c>
      <c r="AW47" s="51">
        <v>0</v>
      </c>
      <c r="AX47" s="51">
        <v>0</v>
      </c>
      <c r="AY47" s="51">
        <v>0</v>
      </c>
      <c r="AZ47" s="51">
        <v>0</v>
      </c>
      <c r="BA47" s="51">
        <v>0</v>
      </c>
      <c r="BB47" s="51">
        <v>0</v>
      </c>
      <c r="BC47" s="51">
        <v>0</v>
      </c>
      <c r="BD47" s="51">
        <v>0</v>
      </c>
      <c r="BE47" s="51">
        <v>0</v>
      </c>
      <c r="BF47" s="51">
        <v>0</v>
      </c>
      <c r="BJ47" s="116">
        <f t="shared" si="62"/>
        <v>38</v>
      </c>
    </row>
    <row r="48" spans="2:62" hidden="1" outlineLevel="2">
      <c r="B48" s="7" t="s">
        <v>35</v>
      </c>
      <c r="C48" s="50">
        <f t="shared" si="407"/>
        <v>-228.94794999999999</v>
      </c>
      <c r="D48" s="50">
        <f t="shared" si="407"/>
        <v>-116.35275000000001</v>
      </c>
      <c r="E48" s="50">
        <f t="shared" si="407"/>
        <v>-99.864050000000006</v>
      </c>
      <c r="F48" s="50">
        <f t="shared" si="407"/>
        <v>-181.82947000000001</v>
      </c>
      <c r="G48" s="50">
        <f t="shared" si="407"/>
        <v>-983.72840000000008</v>
      </c>
      <c r="H48" s="50">
        <f t="shared" si="407"/>
        <v>-236.88548000000003</v>
      </c>
      <c r="I48" s="50">
        <f t="shared" si="407"/>
        <v>-584.89400000000001</v>
      </c>
      <c r="J48" s="50">
        <f t="shared" si="407"/>
        <v>-29.66404</v>
      </c>
      <c r="K48" s="50">
        <f t="shared" si="407"/>
        <v>0</v>
      </c>
      <c r="L48" s="50">
        <f t="shared" si="407"/>
        <v>0</v>
      </c>
      <c r="M48" s="50">
        <f t="shared" si="407"/>
        <v>0</v>
      </c>
      <c r="O48" s="65">
        <v>-13.200850000000001</v>
      </c>
      <c r="P48" s="65">
        <v>-17.9008</v>
      </c>
      <c r="Q48" s="65">
        <v>-116.28</v>
      </c>
      <c r="R48" s="65">
        <v>-81.566299999999998</v>
      </c>
      <c r="S48" s="65">
        <v>-3.9188499999999999</v>
      </c>
      <c r="T48" s="65">
        <v>-3.6218000000000004</v>
      </c>
      <c r="U48" s="65">
        <v>-40.163000000000004</v>
      </c>
      <c r="V48" s="65">
        <v>-68.649100000000004</v>
      </c>
      <c r="W48" s="65">
        <v>1.1960000000000002</v>
      </c>
      <c r="X48" s="65">
        <v>-104.59605000000001</v>
      </c>
      <c r="Y48" s="65">
        <v>-6.6403999999999996</v>
      </c>
      <c r="Z48" s="65">
        <v>10.176400000000005</v>
      </c>
      <c r="AA48" s="65">
        <v>-38.829050000000002</v>
      </c>
      <c r="AB48" s="65">
        <v>-6.0073000000000008</v>
      </c>
      <c r="AC48" s="65">
        <v>-130.01732000000001</v>
      </c>
      <c r="AD48" s="65">
        <v>-6.9757999999999996</v>
      </c>
      <c r="AE48" s="65">
        <v>-0.95940000000000003</v>
      </c>
      <c r="AF48" s="65">
        <v>-8.2840000000000007</v>
      </c>
      <c r="AG48" s="65">
        <v>8.2000000000000011</v>
      </c>
      <c r="AH48" s="65">
        <v>-982.68500000000006</v>
      </c>
      <c r="AI48" s="65">
        <v>67.164999999999992</v>
      </c>
      <c r="AJ48" s="65">
        <v>1.4</v>
      </c>
      <c r="AK48" s="65">
        <v>-205.34848000000002</v>
      </c>
      <c r="AL48" s="65">
        <v>-100.102</v>
      </c>
      <c r="AM48" s="65">
        <v>-319.17700000000002</v>
      </c>
      <c r="AN48" s="65">
        <v>-32.867000000000012</v>
      </c>
      <c r="AO48" s="65">
        <v>9.1499999999999986</v>
      </c>
      <c r="AP48" s="65">
        <v>-242</v>
      </c>
      <c r="AQ48" s="240">
        <v>-7.8</v>
      </c>
      <c r="AR48" s="240">
        <f>-7.348*(1-0.27)</f>
        <v>-5.3640400000000001</v>
      </c>
      <c r="AS48" s="240">
        <v>0</v>
      </c>
      <c r="AT48" s="240">
        <v>-16.5</v>
      </c>
      <c r="AU48" s="51">
        <v>0</v>
      </c>
      <c r="AV48" s="51">
        <v>0</v>
      </c>
      <c r="AW48" s="51">
        <v>0</v>
      </c>
      <c r="AX48" s="51">
        <v>0</v>
      </c>
      <c r="AY48" s="51">
        <v>0</v>
      </c>
      <c r="AZ48" s="51">
        <v>0</v>
      </c>
      <c r="BA48" s="51">
        <v>0</v>
      </c>
      <c r="BB48" s="51">
        <v>0</v>
      </c>
      <c r="BC48" s="51">
        <v>0</v>
      </c>
      <c r="BD48" s="51">
        <v>0</v>
      </c>
      <c r="BE48" s="51">
        <v>0</v>
      </c>
      <c r="BF48" s="51">
        <v>0</v>
      </c>
      <c r="BJ48" s="116">
        <f t="shared" si="62"/>
        <v>39</v>
      </c>
    </row>
    <row r="49" spans="1:62" outlineLevel="1" collapsed="1">
      <c r="B49" s="8" t="s">
        <v>314</v>
      </c>
      <c r="C49" s="63">
        <f>C41+SUM(C44:C48)</f>
        <v>94.694999999999993</v>
      </c>
      <c r="D49" s="63">
        <f t="shared" ref="D49:O49" si="408">D41+SUM(D44:D48)</f>
        <v>243.679</v>
      </c>
      <c r="E49" s="63">
        <f t="shared" si="408"/>
        <v>163.92399999999975</v>
      </c>
      <c r="F49" s="63">
        <f t="shared" si="408"/>
        <v>139.98200000000006</v>
      </c>
      <c r="G49" s="63">
        <f t="shared" si="408"/>
        <v>-670.65899999999988</v>
      </c>
      <c r="H49" s="63">
        <f t="shared" si="408"/>
        <v>-375.47500000000014</v>
      </c>
      <c r="I49" s="63">
        <f>I41+SUM(I44:I48)</f>
        <v>-1202.1429999999998</v>
      </c>
      <c r="J49" s="63">
        <f t="shared" si="408"/>
        <v>-546.81100000000004</v>
      </c>
      <c r="K49" s="63">
        <f t="shared" si="408"/>
        <v>-250.28320443281029</v>
      </c>
      <c r="L49" s="63">
        <f t="shared" si="408"/>
        <v>18.6333247364825</v>
      </c>
      <c r="M49" s="63">
        <f t="shared" si="408"/>
        <v>178.07646262173188</v>
      </c>
      <c r="O49" s="63">
        <f t="shared" si="408"/>
        <v>40.20000000000001</v>
      </c>
      <c r="P49" s="63">
        <f t="shared" ref="P49" si="409">P41+SUM(P44:P48)</f>
        <v>43.621000000000009</v>
      </c>
      <c r="Q49" s="63">
        <f t="shared" ref="Q49" si="410">Q41+SUM(Q44:Q48)</f>
        <v>-39.606999999999985</v>
      </c>
      <c r="R49" s="63">
        <f t="shared" ref="R49" si="411">R41+SUM(R44:R48)</f>
        <v>50.480999999999995</v>
      </c>
      <c r="S49" s="63">
        <f t="shared" ref="S49" si="412">S41+SUM(S44:S48)</f>
        <v>82.825000000000045</v>
      </c>
      <c r="T49" s="63">
        <f t="shared" ref="T49" si="413">T41+SUM(T44:T48)</f>
        <v>192.44799999999998</v>
      </c>
      <c r="U49" s="63">
        <f t="shared" ref="U49" si="414">U41+SUM(U44:U48)</f>
        <v>74.256000000000071</v>
      </c>
      <c r="V49" s="63">
        <f t="shared" ref="V49" si="415">V41+SUM(V44:V48)</f>
        <v>-105.85000000000008</v>
      </c>
      <c r="W49" s="63">
        <f t="shared" ref="W49" si="416">W41+SUM(W44:W48)</f>
        <v>134.09000000000009</v>
      </c>
      <c r="X49" s="63">
        <f t="shared" ref="X49" si="417">X41+SUM(X44:X48)</f>
        <v>-72.788999999999987</v>
      </c>
      <c r="Y49" s="63">
        <f t="shared" ref="Y49" si="418">Y41+SUM(Y44:Y48)</f>
        <v>75.655999999999892</v>
      </c>
      <c r="Z49" s="63">
        <f t="shared" ref="Z49" si="419">Z41+SUM(Z44:Z48)</f>
        <v>26.966999999999956</v>
      </c>
      <c r="AA49" s="63">
        <f t="shared" ref="AA49" si="420">AA41+SUM(AA44:AA48)</f>
        <v>99.120999999999981</v>
      </c>
      <c r="AB49" s="63">
        <f t="shared" ref="AB49" si="421">AB41+SUM(AB44:AB48)</f>
        <v>-4.3610000000000255</v>
      </c>
      <c r="AC49" s="63">
        <f t="shared" ref="AC49" si="422">AC41+SUM(AC44:AC48)</f>
        <v>-105.381</v>
      </c>
      <c r="AD49" s="63">
        <f t="shared" ref="AD49" si="423">AD41+SUM(AD44:AD48)</f>
        <v>150.60299999999998</v>
      </c>
      <c r="AE49" s="63">
        <f t="shared" ref="AE49" si="424">AE41+SUM(AE44:AE48)</f>
        <v>49.918999999999997</v>
      </c>
      <c r="AF49" s="63">
        <f t="shared" ref="AF49" si="425">AF41+SUM(AF44:AF48)</f>
        <v>64.443999999999988</v>
      </c>
      <c r="AG49" s="63">
        <f t="shared" ref="AG49" si="426">AG41+SUM(AG44:AG48)</f>
        <v>106.048</v>
      </c>
      <c r="AH49" s="63">
        <f t="shared" ref="AH49" si="427">AH41+SUM(AH44:AH48)</f>
        <v>-891.06999999999994</v>
      </c>
      <c r="AI49" s="63">
        <f t="shared" ref="AI49" si="428">AI41+SUM(AI44:AI48)</f>
        <v>123.63399999999997</v>
      </c>
      <c r="AJ49" s="63">
        <f t="shared" ref="AJ49" si="429">AJ41+SUM(AJ44:AJ48)</f>
        <v>-39.621000000000052</v>
      </c>
      <c r="AK49" s="63">
        <f t="shared" ref="AK49" si="430">AK41+SUM(AK44:AK48)</f>
        <v>-295.83399999999995</v>
      </c>
      <c r="AL49" s="63">
        <f t="shared" ref="AL49" si="431">AL41+SUM(AL44:AL48)</f>
        <v>-163.65400000000002</v>
      </c>
      <c r="AM49" s="63">
        <f t="shared" ref="AM49" si="432">AM41+SUM(AM44:AM48)</f>
        <v>-570.69500000000005</v>
      </c>
      <c r="AN49" s="63">
        <f t="shared" ref="AN49" si="433">AN41+SUM(AN44:AN48)</f>
        <v>-184.65</v>
      </c>
      <c r="AO49" s="63">
        <f t="shared" ref="AO49" si="434">AO41+SUM(AO44:AO48)</f>
        <v>-111.21099999999998</v>
      </c>
      <c r="AP49" s="63">
        <f t="shared" ref="AP49" si="435">AP41+SUM(AP44:AP48)</f>
        <v>-335.58699999999999</v>
      </c>
      <c r="AQ49" s="63">
        <f t="shared" ref="AQ49:AR49" si="436">AQ41+SUM(AQ44:AQ48)</f>
        <v>-148.98399999999998</v>
      </c>
      <c r="AR49" s="241">
        <f t="shared" si="436"/>
        <v>-132.95100000000005</v>
      </c>
      <c r="AS49" s="241">
        <f t="shared" ref="AS49" si="437">AS41+SUM(AS44:AS48)</f>
        <v>-148.53199999999998</v>
      </c>
      <c r="AT49" s="241">
        <f t="shared" ref="AT49" si="438">AT41+SUM(AT44:AT48)</f>
        <v>-116.34399999999999</v>
      </c>
      <c r="AU49" s="63">
        <f t="shared" ref="AU49" si="439">AU41+SUM(AU44:AU48)</f>
        <v>-94.839366173623702</v>
      </c>
      <c r="AV49" s="63">
        <f t="shared" ref="AV49" si="440">AV41+SUM(AV44:AV48)</f>
        <v>-73.046513588608221</v>
      </c>
      <c r="AW49" s="63">
        <f t="shared" ref="AW49" si="441">AW41+SUM(AW44:AW48)</f>
        <v>-49.57754545271758</v>
      </c>
      <c r="AX49" s="63">
        <f t="shared" ref="AX49" si="442">AX41+SUM(AX44:AX48)</f>
        <v>-32.819779217860805</v>
      </c>
      <c r="AY49" s="63">
        <f t="shared" ref="AY49" si="443">AY41+SUM(AY44:AY48)</f>
        <v>-24.200469607937947</v>
      </c>
      <c r="AZ49" s="63">
        <f t="shared" ref="AZ49" si="444">AZ41+SUM(AZ44:AZ48)</f>
        <v>-6.1265009493157248</v>
      </c>
      <c r="BA49" s="63">
        <f t="shared" ref="BA49" si="445">BA41+SUM(BA44:BA48)</f>
        <v>18.564800183595935</v>
      </c>
      <c r="BB49" s="63">
        <f t="shared" ref="BB49" si="446">BB41+SUM(BB44:BB48)</f>
        <v>30.395495110140104</v>
      </c>
      <c r="BC49" s="63">
        <f t="shared" ref="BC49" si="447">BC41+SUM(BC44:BC48)</f>
        <v>38.494634776806713</v>
      </c>
      <c r="BD49" s="63">
        <f t="shared" ref="BD49" si="448">BD41+SUM(BD44:BD48)</f>
        <v>36.283255461881836</v>
      </c>
      <c r="BE49" s="63">
        <f t="shared" ref="BE49" si="449">BE41+SUM(BE44:BE48)</f>
        <v>48.075778342849354</v>
      </c>
      <c r="BF49" s="63">
        <f t="shared" ref="BF49" si="450">BF41+SUM(BF44:BF48)</f>
        <v>55.222794040194287</v>
      </c>
      <c r="BJ49" s="116">
        <f t="shared" si="62"/>
        <v>40</v>
      </c>
    </row>
    <row r="50" spans="1:62" outlineLevel="1">
      <c r="B50" s="9"/>
      <c r="BJ50" s="116">
        <f t="shared" si="62"/>
        <v>41</v>
      </c>
    </row>
    <row r="51" spans="1:62" outlineLevel="1">
      <c r="B51" s="14" t="s">
        <v>319</v>
      </c>
      <c r="C51" s="70">
        <f t="shared" ref="C51:M51" si="451">(C41+C96)/C53</f>
        <v>1.140380503971439</v>
      </c>
      <c r="D51" s="70">
        <f t="shared" si="451"/>
        <v>1.5027159582097154</v>
      </c>
      <c r="E51" s="70">
        <f t="shared" si="451"/>
        <v>2.197034814069593</v>
      </c>
      <c r="F51" s="70">
        <f t="shared" si="451"/>
        <v>1.1174272344400147</v>
      </c>
      <c r="G51" s="70">
        <f t="shared" si="451"/>
        <v>1.0401371826836869</v>
      </c>
      <c r="H51" s="70">
        <f t="shared" si="451"/>
        <v>-2.3678916892741146E-2</v>
      </c>
      <c r="I51" s="70">
        <f t="shared" si="451"/>
        <v>-1.2812575447531009</v>
      </c>
      <c r="J51" s="70">
        <f t="shared" si="451"/>
        <v>-1.6405224596543957</v>
      </c>
      <c r="K51" s="70">
        <f t="shared" si="451"/>
        <v>-0.86158477837613856</v>
      </c>
      <c r="L51" s="70">
        <f t="shared" si="451"/>
        <v>6.3509002266210285E-2</v>
      </c>
      <c r="M51" s="70">
        <f t="shared" si="451"/>
        <v>0.60099749147131443</v>
      </c>
      <c r="O51" s="70">
        <f t="shared" ref="O51:BF51" si="452">(O41+O96)/O53</f>
        <v>0.1836747083264543</v>
      </c>
      <c r="P51" s="70">
        <f t="shared" si="452"/>
        <v>0.21229347541028865</v>
      </c>
      <c r="Q51" s="70">
        <f t="shared" si="452"/>
        <v>0.29537089616589907</v>
      </c>
      <c r="R51" s="70">
        <f t="shared" si="452"/>
        <v>0.44916472135572677</v>
      </c>
      <c r="S51" s="70">
        <f t="shared" si="452"/>
        <v>0.30378268400930691</v>
      </c>
      <c r="T51" s="70">
        <f t="shared" si="452"/>
        <v>0.24520655933781399</v>
      </c>
      <c r="U51" s="70">
        <f t="shared" si="452"/>
        <v>0.41666038782681392</v>
      </c>
      <c r="V51" s="70">
        <f t="shared" si="452"/>
        <v>0.53884363701351334</v>
      </c>
      <c r="W51" s="70">
        <f t="shared" si="452"/>
        <v>0.70018751564058734</v>
      </c>
      <c r="X51" s="70">
        <f t="shared" si="452"/>
        <v>0.50825166803875854</v>
      </c>
      <c r="Y51" s="70">
        <f t="shared" si="452"/>
        <v>0.57759255523912711</v>
      </c>
      <c r="Z51" s="70">
        <f t="shared" si="452"/>
        <v>0.41106692063839451</v>
      </c>
      <c r="AA51" s="70">
        <f t="shared" si="452"/>
        <v>0.44234643233504428</v>
      </c>
      <c r="AB51" s="70">
        <f t="shared" si="452"/>
        <v>9.3246477000797579E-2</v>
      </c>
      <c r="AC51" s="70">
        <f t="shared" si="452"/>
        <v>0.13717591400181653</v>
      </c>
      <c r="AD51" s="70">
        <f t="shared" si="452"/>
        <v>0.44494905053300454</v>
      </c>
      <c r="AE51" s="70">
        <f t="shared" si="452"/>
        <v>0.16261628490219027</v>
      </c>
      <c r="AF51" s="70">
        <f t="shared" si="452"/>
        <v>0.23622089101969887</v>
      </c>
      <c r="AG51" s="70">
        <f t="shared" si="452"/>
        <v>0.31279130862188781</v>
      </c>
      <c r="AH51" s="70">
        <f t="shared" si="452"/>
        <v>0.33281032364935564</v>
      </c>
      <c r="AI51" s="70">
        <f t="shared" si="452"/>
        <v>0.19309997798534442</v>
      </c>
      <c r="AJ51" s="70">
        <f t="shared" si="452"/>
        <v>-0.15563905832182762</v>
      </c>
      <c r="AK51" s="70">
        <f t="shared" si="452"/>
        <v>-1.5052232922227782E-2</v>
      </c>
      <c r="AL51" s="70">
        <f t="shared" si="452"/>
        <v>-4.7628007280069211E-2</v>
      </c>
      <c r="AM51" s="70">
        <f t="shared" si="452"/>
        <v>-0.27276319462318421</v>
      </c>
      <c r="AN51" s="70">
        <f t="shared" si="452"/>
        <v>-0.33355270294702583</v>
      </c>
      <c r="AO51" s="70">
        <f t="shared" si="452"/>
        <v>-0.38118298416736834</v>
      </c>
      <c r="AP51" s="70">
        <f t="shared" si="452"/>
        <v>-0.2936273677441264</v>
      </c>
      <c r="AQ51" s="70">
        <f t="shared" si="452"/>
        <v>-0.49295668170249213</v>
      </c>
      <c r="AR51" s="70">
        <f t="shared" si="452"/>
        <v>-0.3899989961135254</v>
      </c>
      <c r="AS51" s="70">
        <f t="shared" si="452"/>
        <v>-0.42223240593885714</v>
      </c>
      <c r="AT51" s="70">
        <f t="shared" si="452"/>
        <v>-0.33765173428052048</v>
      </c>
      <c r="AU51" s="70">
        <f t="shared" si="452"/>
        <v>-0.32647877619758953</v>
      </c>
      <c r="AV51" s="70">
        <f t="shared" si="452"/>
        <v>-0.25145820057728246</v>
      </c>
      <c r="AW51" s="70">
        <f t="shared" si="452"/>
        <v>-0.1706676986500695</v>
      </c>
      <c r="AX51" s="70">
        <f t="shared" si="452"/>
        <v>-0.11298010295119704</v>
      </c>
      <c r="AY51" s="70">
        <f t="shared" si="452"/>
        <v>-8.3308651457477956E-2</v>
      </c>
      <c r="AZ51" s="70">
        <f t="shared" si="452"/>
        <v>-2.1090108601571903E-2</v>
      </c>
      <c r="BA51" s="70">
        <f t="shared" si="452"/>
        <v>6.2655098690430427E-2</v>
      </c>
      <c r="BB51" s="70">
        <f t="shared" si="452"/>
        <v>0.10258299184674778</v>
      </c>
      <c r="BC51" s="70">
        <f t="shared" si="452"/>
        <v>0.12991710749055455</v>
      </c>
      <c r="BD51" s="70">
        <f t="shared" si="452"/>
        <v>0.12245383356094756</v>
      </c>
      <c r="BE51" s="70">
        <f t="shared" si="452"/>
        <v>0.16225289832917733</v>
      </c>
      <c r="BF51" s="70">
        <f t="shared" si="452"/>
        <v>0.18637365209063611</v>
      </c>
      <c r="BJ51" s="116">
        <f t="shared" si="62"/>
        <v>42</v>
      </c>
    </row>
    <row r="52" spans="1:62" outlineLevel="1">
      <c r="B52" s="15" t="s">
        <v>320</v>
      </c>
      <c r="C52" s="69">
        <f t="shared" ref="C52:M52" si="453">(C49+C96)/C53</f>
        <v>0.32759181357761602</v>
      </c>
      <c r="D52" s="69">
        <f t="shared" si="453"/>
        <v>0.83313545943072143</v>
      </c>
      <c r="E52" s="69">
        <f t="shared" si="453"/>
        <v>0.56189253621859436</v>
      </c>
      <c r="F52" s="69">
        <f t="shared" si="453"/>
        <v>0.46543271703412964</v>
      </c>
      <c r="G52" s="69">
        <f t="shared" si="453"/>
        <v>-2.2945376491346416</v>
      </c>
      <c r="H52" s="69">
        <f t="shared" si="453"/>
        <v>-1.2982844268901723</v>
      </c>
      <c r="I52" s="69">
        <f t="shared" si="453"/>
        <v>-4.2658899847273846</v>
      </c>
      <c r="J52" s="69">
        <f t="shared" si="453"/>
        <v>-1.901282098105046</v>
      </c>
      <c r="K52" s="69">
        <f t="shared" si="453"/>
        <v>-0.86158477837613856</v>
      </c>
      <c r="L52" s="69">
        <f t="shared" si="453"/>
        <v>6.3509002266210285E-2</v>
      </c>
      <c r="M52" s="69">
        <f t="shared" si="453"/>
        <v>0.60099749147131443</v>
      </c>
      <c r="O52" s="69">
        <f t="shared" ref="O52:BF52" si="454">(O49+O96)/O53</f>
        <v>0.13826977051345554</v>
      </c>
      <c r="P52" s="69">
        <f t="shared" si="454"/>
        <v>0.1505231266132038</v>
      </c>
      <c r="Q52" s="69">
        <f t="shared" si="454"/>
        <v>-0.13883455668426326</v>
      </c>
      <c r="R52" s="69">
        <f t="shared" si="454"/>
        <v>0.17380750717871379</v>
      </c>
      <c r="S52" s="69">
        <f t="shared" si="454"/>
        <v>0.28297954484111137</v>
      </c>
      <c r="T52" s="69">
        <f t="shared" si="454"/>
        <v>0.65392221489782454</v>
      </c>
      <c r="U52" s="69">
        <f t="shared" si="454"/>
        <v>0.25431356297904717</v>
      </c>
      <c r="V52" s="69">
        <f t="shared" si="454"/>
        <v>-0.3637907095035815</v>
      </c>
      <c r="W52" s="69">
        <f t="shared" si="454"/>
        <v>0.45967042497831773</v>
      </c>
      <c r="X52" s="69">
        <f t="shared" si="454"/>
        <v>-0.25072766791475348</v>
      </c>
      <c r="Y52" s="69">
        <f t="shared" si="454"/>
        <v>0.25865210717228282</v>
      </c>
      <c r="Z52" s="69">
        <f t="shared" si="454"/>
        <v>9.2219779017238698E-2</v>
      </c>
      <c r="AA52" s="69">
        <f t="shared" si="454"/>
        <v>0.33418431519189579</v>
      </c>
      <c r="AB52" s="69">
        <f t="shared" si="454"/>
        <v>-1.7417263789929371E-2</v>
      </c>
      <c r="AC52" s="69">
        <f t="shared" si="454"/>
        <v>-0.35234990307581771</v>
      </c>
      <c r="AD52" s="69">
        <f t="shared" si="454"/>
        <v>0.49914692388814619</v>
      </c>
      <c r="AE52" s="69">
        <f t="shared" si="454"/>
        <v>0.16447416819929778</v>
      </c>
      <c r="AF52" s="69">
        <f t="shared" si="454"/>
        <v>0.20526877111844266</v>
      </c>
      <c r="AG52" s="69">
        <f t="shared" si="454"/>
        <v>0.35416348875442794</v>
      </c>
      <c r="AH52" s="69">
        <f t="shared" si="454"/>
        <v>-3.1316345731352087</v>
      </c>
      <c r="AI52" s="69">
        <f t="shared" si="454"/>
        <v>0.42494574959901871</v>
      </c>
      <c r="AJ52" s="69">
        <f t="shared" si="454"/>
        <v>-0.13597706975199697</v>
      </c>
      <c r="AK52" s="69">
        <f t="shared" si="454"/>
        <v>-1.0207242214338004</v>
      </c>
      <c r="AL52" s="69">
        <f t="shared" si="454"/>
        <v>-0.58024177645266706</v>
      </c>
      <c r="AM52" s="69">
        <f t="shared" si="454"/>
        <v>-2.0391298200840313</v>
      </c>
      <c r="AN52" s="69">
        <f t="shared" si="454"/>
        <v>-0.65400108479479302</v>
      </c>
      <c r="AO52" s="69">
        <f t="shared" si="454"/>
        <v>-0.39215849255710911</v>
      </c>
      <c r="AP52" s="69">
        <f t="shared" si="454"/>
        <v>-1.1833391740398058</v>
      </c>
      <c r="AQ52" s="69">
        <f t="shared" si="454"/>
        <v>-0.52261673764584315</v>
      </c>
      <c r="AR52" s="69">
        <f t="shared" si="454"/>
        <v>-0.46481736436776677</v>
      </c>
      <c r="AS52" s="69">
        <f t="shared" si="454"/>
        <v>-0.51937790221006541</v>
      </c>
      <c r="AT52" s="69">
        <f t="shared" si="454"/>
        <v>-0.39676486289396828</v>
      </c>
      <c r="AU52" s="69">
        <f t="shared" si="454"/>
        <v>-0.32647877619758953</v>
      </c>
      <c r="AV52" s="69">
        <f t="shared" si="454"/>
        <v>-0.25145820057728246</v>
      </c>
      <c r="AW52" s="69">
        <f t="shared" si="454"/>
        <v>-0.1706676986500695</v>
      </c>
      <c r="AX52" s="69">
        <f t="shared" si="454"/>
        <v>-0.11298010295119704</v>
      </c>
      <c r="AY52" s="69">
        <f t="shared" si="454"/>
        <v>-8.3308651457477956E-2</v>
      </c>
      <c r="AZ52" s="69">
        <f t="shared" si="454"/>
        <v>-2.1090108601571903E-2</v>
      </c>
      <c r="BA52" s="69">
        <f t="shared" si="454"/>
        <v>6.2655098690430427E-2</v>
      </c>
      <c r="BB52" s="69">
        <f t="shared" si="454"/>
        <v>0.10258299184674778</v>
      </c>
      <c r="BC52" s="69">
        <f t="shared" si="454"/>
        <v>0.12991710749055455</v>
      </c>
      <c r="BD52" s="69">
        <f t="shared" si="454"/>
        <v>0.12245383356094756</v>
      </c>
      <c r="BE52" s="69">
        <f t="shared" si="454"/>
        <v>0.16225289832917733</v>
      </c>
      <c r="BF52" s="69">
        <f t="shared" si="454"/>
        <v>0.18637365209063611</v>
      </c>
      <c r="BJ52" s="116">
        <f t="shared" si="62"/>
        <v>43</v>
      </c>
    </row>
    <row r="53" spans="1:62" outlineLevel="1">
      <c r="B53" s="48" t="s">
        <v>13</v>
      </c>
      <c r="C53" s="50">
        <f>AVERAGEIFS($O53:$BG53,$O$5:$BG$5,C$5)</f>
        <v>289.06399999999996</v>
      </c>
      <c r="D53" s="50">
        <f t="shared" ref="D53:M53" si="455">AVERAGEIFS($O53:$BG53,$O$5:$BG$5,D$5)</f>
        <v>292.48425000000003</v>
      </c>
      <c r="E53" s="50">
        <f t="shared" si="455"/>
        <v>291.7355</v>
      </c>
      <c r="F53" s="50">
        <f t="shared" si="455"/>
        <v>296.02774999999997</v>
      </c>
      <c r="G53" s="50">
        <f t="shared" si="455"/>
        <v>294.99349999999998</v>
      </c>
      <c r="H53" s="50">
        <f t="shared" si="455"/>
        <v>283.18525</v>
      </c>
      <c r="I53" s="50">
        <f t="shared" si="455"/>
        <v>276.47525000000002</v>
      </c>
      <c r="J53" s="50">
        <f t="shared" si="455"/>
        <v>280.65325000000001</v>
      </c>
      <c r="K53" s="50">
        <f t="shared" si="455"/>
        <v>283.92500000000001</v>
      </c>
      <c r="L53" s="50">
        <f t="shared" si="455"/>
        <v>286.76425</v>
      </c>
      <c r="M53" s="50">
        <f t="shared" si="455"/>
        <v>289.6035</v>
      </c>
      <c r="N53" s="272"/>
      <c r="O53" s="51">
        <v>290.73599999999999</v>
      </c>
      <c r="P53" s="51">
        <v>289.79599999999999</v>
      </c>
      <c r="Q53" s="51">
        <v>285.28199999999998</v>
      </c>
      <c r="R53" s="51">
        <v>290.44200000000001</v>
      </c>
      <c r="S53" s="51">
        <v>292.68900000000002</v>
      </c>
      <c r="T53" s="51">
        <v>294.298</v>
      </c>
      <c r="U53" s="51">
        <v>291.98599999999999</v>
      </c>
      <c r="V53" s="51">
        <v>290.964</v>
      </c>
      <c r="W53" s="51">
        <v>291.709</v>
      </c>
      <c r="X53" s="51">
        <v>290.31099999999998</v>
      </c>
      <c r="Y53" s="51">
        <v>292.50099999999998</v>
      </c>
      <c r="Z53" s="51">
        <v>292.42099999999999</v>
      </c>
      <c r="AA53" s="51">
        <v>294.17</v>
      </c>
      <c r="AB53" s="51">
        <v>297.11900000000003</v>
      </c>
      <c r="AC53" s="51">
        <v>295.07600000000002</v>
      </c>
      <c r="AD53" s="51">
        <v>297.74599999999998</v>
      </c>
      <c r="AE53" s="51">
        <v>299.05</v>
      </c>
      <c r="AF53" s="51">
        <v>300.98099999999999</v>
      </c>
      <c r="AG53" s="51">
        <v>295.005</v>
      </c>
      <c r="AH53" s="51">
        <v>284.93799999999999</v>
      </c>
      <c r="AI53" s="51">
        <v>286.173</v>
      </c>
      <c r="AJ53" s="51">
        <v>286.08499999999998</v>
      </c>
      <c r="AK53" s="51">
        <v>284.11200000000002</v>
      </c>
      <c r="AL53" s="51">
        <v>276.37099999999998</v>
      </c>
      <c r="AM53" s="51">
        <v>275.851</v>
      </c>
      <c r="AN53" s="51">
        <v>276.55</v>
      </c>
      <c r="AO53" s="51">
        <v>276.70699999999999</v>
      </c>
      <c r="AP53" s="51">
        <v>276.79300000000001</v>
      </c>
      <c r="AQ53" s="51">
        <v>277.78100000000001</v>
      </c>
      <c r="AR53" s="51">
        <v>278.916</v>
      </c>
      <c r="AS53" s="51">
        <v>279.31299999999999</v>
      </c>
      <c r="AT53" s="51">
        <v>286.60300000000001</v>
      </c>
      <c r="AU53" s="215">
        <f t="shared" ref="AU53:BF53" si="456">AU434</f>
        <v>283.92500000000001</v>
      </c>
      <c r="AV53" s="215">
        <f t="shared" si="456"/>
        <v>283.92500000000001</v>
      </c>
      <c r="AW53" s="215">
        <f t="shared" si="456"/>
        <v>283.92500000000001</v>
      </c>
      <c r="AX53" s="215">
        <f t="shared" si="456"/>
        <v>283.92500000000001</v>
      </c>
      <c r="AY53" s="215">
        <f t="shared" si="456"/>
        <v>283.92500000000001</v>
      </c>
      <c r="AZ53" s="215">
        <f t="shared" si="456"/>
        <v>283.92500000000001</v>
      </c>
      <c r="BA53" s="215">
        <f t="shared" si="456"/>
        <v>289.6035</v>
      </c>
      <c r="BB53" s="215">
        <f t="shared" si="456"/>
        <v>289.6035</v>
      </c>
      <c r="BC53" s="215">
        <f t="shared" si="456"/>
        <v>289.6035</v>
      </c>
      <c r="BD53" s="215">
        <f t="shared" si="456"/>
        <v>289.6035</v>
      </c>
      <c r="BE53" s="215">
        <f t="shared" si="456"/>
        <v>289.6035</v>
      </c>
      <c r="BF53" s="215">
        <f t="shared" si="456"/>
        <v>289.6035</v>
      </c>
      <c r="BG53" s="49"/>
      <c r="BH53" s="49"/>
      <c r="BI53" s="49"/>
      <c r="BJ53" s="116">
        <f t="shared" si="62"/>
        <v>44</v>
      </c>
    </row>
    <row r="54" spans="1:62" outlineLevel="1">
      <c r="B54" s="48" t="s">
        <v>321</v>
      </c>
      <c r="C54" s="69">
        <f t="shared" ref="C54:M54" si="457">SUMIFS($O54:$BG54,$O$5:$BG$5,C$5)</f>
        <v>0</v>
      </c>
      <c r="D54" s="69">
        <f t="shared" si="457"/>
        <v>0</v>
      </c>
      <c r="E54" s="69">
        <f t="shared" si="457"/>
        <v>0</v>
      </c>
      <c r="F54" s="69">
        <f t="shared" si="457"/>
        <v>0.12</v>
      </c>
      <c r="G54" s="69">
        <f t="shared" si="457"/>
        <v>0.2</v>
      </c>
      <c r="H54" s="69">
        <f t="shared" si="457"/>
        <v>0.24</v>
      </c>
      <c r="I54" s="69">
        <f t="shared" si="457"/>
        <v>0.24</v>
      </c>
      <c r="J54" s="69">
        <f t="shared" si="457"/>
        <v>0.24</v>
      </c>
      <c r="K54" s="69">
        <f t="shared" si="457"/>
        <v>0.24</v>
      </c>
      <c r="L54" s="69">
        <f t="shared" si="457"/>
        <v>0.24</v>
      </c>
      <c r="M54" s="69">
        <f t="shared" si="457"/>
        <v>0.24</v>
      </c>
      <c r="N54" s="272"/>
      <c r="O54" s="71">
        <v>0</v>
      </c>
      <c r="P54" s="71">
        <v>0</v>
      </c>
      <c r="Q54" s="71">
        <v>0</v>
      </c>
      <c r="R54" s="71">
        <v>0</v>
      </c>
      <c r="S54" s="71">
        <v>0</v>
      </c>
      <c r="T54" s="71">
        <v>0</v>
      </c>
      <c r="U54" s="71">
        <v>0</v>
      </c>
      <c r="V54" s="71">
        <v>0</v>
      </c>
      <c r="W54" s="71">
        <v>0</v>
      </c>
      <c r="X54" s="71">
        <v>0</v>
      </c>
      <c r="Y54" s="71">
        <v>0</v>
      </c>
      <c r="Z54" s="71">
        <v>0</v>
      </c>
      <c r="AA54" s="71">
        <v>0</v>
      </c>
      <c r="AB54" s="71">
        <v>0.04</v>
      </c>
      <c r="AC54" s="71">
        <v>0.04</v>
      </c>
      <c r="AD54" s="71">
        <v>0.04</v>
      </c>
      <c r="AE54" s="71">
        <v>0.04</v>
      </c>
      <c r="AF54" s="71">
        <v>0.04</v>
      </c>
      <c r="AG54" s="71">
        <v>0.06</v>
      </c>
      <c r="AH54" s="71">
        <v>0.06</v>
      </c>
      <c r="AI54" s="71">
        <v>0.06</v>
      </c>
      <c r="AJ54" s="71">
        <v>0.06</v>
      </c>
      <c r="AK54" s="71">
        <v>0.06</v>
      </c>
      <c r="AL54" s="71">
        <v>0.06</v>
      </c>
      <c r="AM54" s="71">
        <v>0.06</v>
      </c>
      <c r="AN54" s="71">
        <v>0.06</v>
      </c>
      <c r="AO54" s="71">
        <v>0.06</v>
      </c>
      <c r="AP54" s="71">
        <v>0.06</v>
      </c>
      <c r="AQ54" s="71">
        <v>0.06</v>
      </c>
      <c r="AR54" s="71">
        <v>0.06</v>
      </c>
      <c r="AS54" s="71">
        <v>0.06</v>
      </c>
      <c r="AT54" s="71">
        <v>0.06</v>
      </c>
      <c r="AU54" s="182">
        <f t="shared" ref="AU54:BF54" si="458">AT54</f>
        <v>0.06</v>
      </c>
      <c r="AV54" s="182">
        <f t="shared" si="458"/>
        <v>0.06</v>
      </c>
      <c r="AW54" s="182">
        <f t="shared" si="458"/>
        <v>0.06</v>
      </c>
      <c r="AX54" s="182">
        <f t="shared" si="458"/>
        <v>0.06</v>
      </c>
      <c r="AY54" s="182">
        <f t="shared" si="458"/>
        <v>0.06</v>
      </c>
      <c r="AZ54" s="182">
        <f t="shared" si="458"/>
        <v>0.06</v>
      </c>
      <c r="BA54" s="182">
        <f t="shared" si="458"/>
        <v>0.06</v>
      </c>
      <c r="BB54" s="182">
        <f t="shared" si="458"/>
        <v>0.06</v>
      </c>
      <c r="BC54" s="182">
        <f t="shared" si="458"/>
        <v>0.06</v>
      </c>
      <c r="BD54" s="182">
        <f t="shared" si="458"/>
        <v>0.06</v>
      </c>
      <c r="BE54" s="182">
        <f t="shared" si="458"/>
        <v>0.06</v>
      </c>
      <c r="BF54" s="182">
        <f t="shared" si="458"/>
        <v>0.06</v>
      </c>
      <c r="BG54" s="49"/>
      <c r="BH54" s="49"/>
      <c r="BI54" s="49"/>
      <c r="BJ54" s="116">
        <f t="shared" si="62"/>
        <v>45</v>
      </c>
    </row>
    <row r="55" spans="1:62" outlineLevel="1">
      <c r="B55" s="9"/>
      <c r="BJ55" s="116">
        <f t="shared" si="62"/>
        <v>46</v>
      </c>
    </row>
    <row r="56" spans="1:62">
      <c r="A56" s="72" t="s">
        <v>322</v>
      </c>
      <c r="B56" s="16" t="s">
        <v>14</v>
      </c>
      <c r="C56" s="57">
        <f>C$8</f>
        <v>2010</v>
      </c>
      <c r="D56" s="57">
        <f t="shared" ref="D56:BF56" si="459">D$8</f>
        <v>2011</v>
      </c>
      <c r="E56" s="57">
        <f t="shared" si="459"/>
        <v>2012</v>
      </c>
      <c r="F56" s="57">
        <f t="shared" si="459"/>
        <v>2013</v>
      </c>
      <c r="G56" s="57">
        <f t="shared" si="459"/>
        <v>2014</v>
      </c>
      <c r="H56" s="57">
        <f t="shared" si="459"/>
        <v>2015</v>
      </c>
      <c r="I56" s="57">
        <f t="shared" si="459"/>
        <v>2016</v>
      </c>
      <c r="J56" s="57">
        <f t="shared" si="459"/>
        <v>2017</v>
      </c>
      <c r="K56" s="57" t="str">
        <f t="shared" si="459"/>
        <v>2018E</v>
      </c>
      <c r="L56" s="57" t="str">
        <f t="shared" si="459"/>
        <v>2019E</v>
      </c>
      <c r="M56" s="57" t="str">
        <f t="shared" si="459"/>
        <v>2020E</v>
      </c>
      <c r="O56" s="57" t="str">
        <f t="shared" si="459"/>
        <v>1Q10</v>
      </c>
      <c r="P56" s="57" t="str">
        <f t="shared" si="459"/>
        <v>2Q10</v>
      </c>
      <c r="Q56" s="57" t="str">
        <f t="shared" si="459"/>
        <v>3Q10</v>
      </c>
      <c r="R56" s="57" t="str">
        <f t="shared" si="459"/>
        <v>4Q10</v>
      </c>
      <c r="S56" s="57" t="str">
        <f t="shared" si="459"/>
        <v>1Q11</v>
      </c>
      <c r="T56" s="57" t="str">
        <f t="shared" si="459"/>
        <v>2Q11</v>
      </c>
      <c r="U56" s="57" t="str">
        <f t="shared" si="459"/>
        <v>3Q11</v>
      </c>
      <c r="V56" s="57" t="str">
        <f t="shared" si="459"/>
        <v>4Q11</v>
      </c>
      <c r="W56" s="57" t="str">
        <f t="shared" si="459"/>
        <v>1Q12</v>
      </c>
      <c r="X56" s="57" t="str">
        <f t="shared" si="459"/>
        <v>2Q12</v>
      </c>
      <c r="Y56" s="57" t="str">
        <f t="shared" si="459"/>
        <v>3Q12</v>
      </c>
      <c r="Z56" s="57" t="str">
        <f t="shared" si="459"/>
        <v>4Q12</v>
      </c>
      <c r="AA56" s="57" t="str">
        <f t="shared" si="459"/>
        <v>1Q13</v>
      </c>
      <c r="AB56" s="57" t="str">
        <f t="shared" si="459"/>
        <v>2Q13</v>
      </c>
      <c r="AC56" s="57" t="str">
        <f t="shared" si="459"/>
        <v>3Q13</v>
      </c>
      <c r="AD56" s="57" t="str">
        <f t="shared" si="459"/>
        <v>4Q13</v>
      </c>
      <c r="AE56" s="57" t="str">
        <f t="shared" si="459"/>
        <v>1Q14</v>
      </c>
      <c r="AF56" s="57" t="str">
        <f t="shared" si="459"/>
        <v>2Q14</v>
      </c>
      <c r="AG56" s="57" t="str">
        <f t="shared" si="459"/>
        <v>3Q14</v>
      </c>
      <c r="AH56" s="57" t="str">
        <f t="shared" si="459"/>
        <v>4Q14</v>
      </c>
      <c r="AI56" s="57" t="str">
        <f t="shared" si="459"/>
        <v>1Q15</v>
      </c>
      <c r="AJ56" s="57" t="str">
        <f t="shared" si="459"/>
        <v>2Q15</v>
      </c>
      <c r="AK56" s="57" t="str">
        <f t="shared" si="459"/>
        <v>3Q15</v>
      </c>
      <c r="AL56" s="57" t="str">
        <f t="shared" si="459"/>
        <v>4Q15</v>
      </c>
      <c r="AM56" s="57" t="str">
        <f t="shared" si="459"/>
        <v>1Q16</v>
      </c>
      <c r="AN56" s="57" t="str">
        <f t="shared" si="459"/>
        <v>2Q16</v>
      </c>
      <c r="AO56" s="57" t="str">
        <f t="shared" si="459"/>
        <v>3Q16</v>
      </c>
      <c r="AP56" s="57" t="str">
        <f t="shared" si="459"/>
        <v>4Q16</v>
      </c>
      <c r="AQ56" s="57" t="str">
        <f t="shared" si="459"/>
        <v>1Q17</v>
      </c>
      <c r="AR56" s="57" t="str">
        <f t="shared" si="459"/>
        <v>2Q17</v>
      </c>
      <c r="AS56" s="57" t="str">
        <f t="shared" si="459"/>
        <v>3Q17</v>
      </c>
      <c r="AT56" s="57" t="str">
        <f t="shared" si="459"/>
        <v>4Q17</v>
      </c>
      <c r="AU56" s="57" t="str">
        <f t="shared" si="459"/>
        <v>1Q18E</v>
      </c>
      <c r="AV56" s="57" t="str">
        <f t="shared" si="459"/>
        <v>2Q18E</v>
      </c>
      <c r="AW56" s="57" t="str">
        <f t="shared" si="459"/>
        <v>3Q18E</v>
      </c>
      <c r="AX56" s="57" t="str">
        <f t="shared" si="459"/>
        <v>4Q18E</v>
      </c>
      <c r="AY56" s="57" t="str">
        <f t="shared" si="459"/>
        <v>1Q19E</v>
      </c>
      <c r="AZ56" s="57" t="str">
        <f t="shared" si="459"/>
        <v>2Q19E</v>
      </c>
      <c r="BA56" s="57" t="str">
        <f t="shared" si="459"/>
        <v>3Q19E</v>
      </c>
      <c r="BB56" s="57" t="str">
        <f t="shared" si="459"/>
        <v>4Q19E</v>
      </c>
      <c r="BC56" s="57" t="str">
        <f t="shared" si="459"/>
        <v>1Q20E</v>
      </c>
      <c r="BD56" s="57" t="str">
        <f t="shared" si="459"/>
        <v>2Q20E</v>
      </c>
      <c r="BE56" s="57" t="str">
        <f t="shared" si="459"/>
        <v>3Q20E</v>
      </c>
      <c r="BF56" s="57" t="str">
        <f t="shared" si="459"/>
        <v>4Q20E</v>
      </c>
      <c r="BJ56" s="116">
        <f t="shared" si="62"/>
        <v>47</v>
      </c>
    </row>
    <row r="57" spans="1:62" outlineLevel="1">
      <c r="B57" s="2" t="s">
        <v>15</v>
      </c>
      <c r="BJ57" s="116">
        <f t="shared" si="62"/>
        <v>48</v>
      </c>
    </row>
    <row r="58" spans="1:62" outlineLevel="1">
      <c r="B58" s="17" t="s">
        <v>345</v>
      </c>
      <c r="C58" s="102">
        <f t="shared" ref="C58:M58" si="460">C147</f>
        <v>191.28794520547947</v>
      </c>
      <c r="D58" s="102">
        <f t="shared" si="460"/>
        <v>214.66602739726028</v>
      </c>
      <c r="E58" s="102">
        <f t="shared" si="460"/>
        <v>219.12404371584702</v>
      </c>
      <c r="F58" s="102">
        <f t="shared" si="460"/>
        <v>195.27616438356165</v>
      </c>
      <c r="G58" s="102">
        <f t="shared" si="460"/>
        <v>212.67397260273972</v>
      </c>
      <c r="H58" s="102">
        <f t="shared" si="460"/>
        <v>120.24657534246575</v>
      </c>
      <c r="I58" s="102">
        <f t="shared" si="460"/>
        <v>61.840437158469939</v>
      </c>
      <c r="J58" s="102">
        <f t="shared" si="460"/>
        <v>101.06575342465753</v>
      </c>
      <c r="K58" s="102">
        <f t="shared" si="460"/>
        <v>117.78082191780823</v>
      </c>
      <c r="L58" s="102">
        <f t="shared" si="460"/>
        <v>132.78904109589041</v>
      </c>
      <c r="M58" s="102">
        <f t="shared" si="460"/>
        <v>141.50273224043715</v>
      </c>
      <c r="O58" s="102">
        <f t="shared" ref="O58:AP58" si="461">O147</f>
        <v>179.7</v>
      </c>
      <c r="P58" s="102">
        <f t="shared" si="461"/>
        <v>191.3</v>
      </c>
      <c r="Q58" s="102">
        <f t="shared" si="461"/>
        <v>197.09999999999997</v>
      </c>
      <c r="R58" s="102">
        <f t="shared" si="461"/>
        <v>196.8</v>
      </c>
      <c r="S58" s="102">
        <f t="shared" si="461"/>
        <v>201.20000000000002</v>
      </c>
      <c r="T58" s="102">
        <f t="shared" si="461"/>
        <v>208.1</v>
      </c>
      <c r="U58" s="102">
        <f t="shared" si="461"/>
        <v>217.3</v>
      </c>
      <c r="V58" s="102">
        <f t="shared" si="461"/>
        <v>231.7</v>
      </c>
      <c r="W58" s="102">
        <f t="shared" si="461"/>
        <v>239.1</v>
      </c>
      <c r="X58" s="102">
        <f t="shared" si="461"/>
        <v>236.3</v>
      </c>
      <c r="Y58" s="102">
        <f t="shared" si="461"/>
        <v>211.20000000000002</v>
      </c>
      <c r="Z58" s="102">
        <f t="shared" si="461"/>
        <v>190.29999999999998</v>
      </c>
      <c r="AA58" s="102">
        <f t="shared" si="461"/>
        <v>189.6</v>
      </c>
      <c r="AB58" s="102">
        <f t="shared" si="461"/>
        <v>197</v>
      </c>
      <c r="AC58" s="102">
        <f t="shared" si="461"/>
        <v>196</v>
      </c>
      <c r="AD58" s="102">
        <f t="shared" si="461"/>
        <v>198.39999999999998</v>
      </c>
      <c r="AE58" s="102">
        <f t="shared" si="461"/>
        <v>206.6</v>
      </c>
      <c r="AF58" s="102">
        <f t="shared" si="461"/>
        <v>216</v>
      </c>
      <c r="AG58" s="102">
        <f t="shared" si="461"/>
        <v>216</v>
      </c>
      <c r="AH58" s="102">
        <f t="shared" si="461"/>
        <v>212.2</v>
      </c>
      <c r="AI58" s="102">
        <f t="shared" si="461"/>
        <v>167.6</v>
      </c>
      <c r="AJ58" s="102">
        <f t="shared" si="461"/>
        <v>119.5</v>
      </c>
      <c r="AK58" s="102">
        <f t="shared" si="461"/>
        <v>103</v>
      </c>
      <c r="AL58" s="102">
        <f t="shared" si="461"/>
        <v>91</v>
      </c>
      <c r="AM58" s="102">
        <f t="shared" si="461"/>
        <v>64.900000000000006</v>
      </c>
      <c r="AN58" s="102">
        <f t="shared" si="461"/>
        <v>53.7</v>
      </c>
      <c r="AO58" s="102">
        <f t="shared" si="461"/>
        <v>57.3</v>
      </c>
      <c r="AP58" s="102">
        <f t="shared" si="461"/>
        <v>72.099999999999994</v>
      </c>
      <c r="AQ58" s="102">
        <f>AQ147</f>
        <v>88.8</v>
      </c>
      <c r="AR58" s="102">
        <f>AR147</f>
        <v>100.6</v>
      </c>
      <c r="AS58" s="102">
        <f>AS147</f>
        <v>107.2</v>
      </c>
      <c r="AT58" s="102">
        <f>AT147</f>
        <v>106.3</v>
      </c>
      <c r="AU58" s="162">
        <f t="shared" ref="AU58:BF58" si="462">AU147</f>
        <v>113</v>
      </c>
      <c r="AV58" s="162">
        <f t="shared" si="462"/>
        <v>116</v>
      </c>
      <c r="AW58" s="162">
        <f t="shared" si="462"/>
        <v>119</v>
      </c>
      <c r="AX58" s="162">
        <f t="shared" si="462"/>
        <v>123</v>
      </c>
      <c r="AY58" s="162">
        <f t="shared" si="462"/>
        <v>127</v>
      </c>
      <c r="AZ58" s="162">
        <f t="shared" si="462"/>
        <v>130</v>
      </c>
      <c r="BA58" s="162">
        <f t="shared" si="462"/>
        <v>135</v>
      </c>
      <c r="BB58" s="162">
        <f t="shared" si="462"/>
        <v>139</v>
      </c>
      <c r="BC58" s="162">
        <f t="shared" si="462"/>
        <v>141</v>
      </c>
      <c r="BD58" s="162">
        <f t="shared" si="462"/>
        <v>141</v>
      </c>
      <c r="BE58" s="162">
        <f t="shared" si="462"/>
        <v>142</v>
      </c>
      <c r="BF58" s="162">
        <f t="shared" si="462"/>
        <v>142</v>
      </c>
      <c r="BJ58" s="116">
        <f t="shared" si="62"/>
        <v>49</v>
      </c>
    </row>
    <row r="59" spans="1:62" outlineLevel="1">
      <c r="B59" s="18" t="s">
        <v>16</v>
      </c>
      <c r="C59" s="101">
        <f t="shared" ref="C59:M59" si="463">C177</f>
        <v>22884.985842185841</v>
      </c>
      <c r="D59" s="101">
        <f t="shared" si="463"/>
        <v>25515.786867398991</v>
      </c>
      <c r="E59" s="101">
        <f t="shared" si="463"/>
        <v>28389.339571118984</v>
      </c>
      <c r="F59" s="101">
        <f t="shared" si="463"/>
        <v>26383.23245758027</v>
      </c>
      <c r="G59" s="101">
        <f t="shared" si="463"/>
        <v>27438.847808723876</v>
      </c>
      <c r="H59" s="101">
        <f t="shared" si="463"/>
        <v>28448.143084985197</v>
      </c>
      <c r="I59" s="101">
        <f t="shared" si="463"/>
        <v>23212.038738866115</v>
      </c>
      <c r="J59" s="101">
        <f t="shared" si="463"/>
        <v>21828.268589552445</v>
      </c>
      <c r="K59" s="101">
        <f t="shared" si="463"/>
        <v>25082.583158874157</v>
      </c>
      <c r="L59" s="101">
        <f t="shared" si="463"/>
        <v>26292.234051332838</v>
      </c>
      <c r="M59" s="101">
        <f t="shared" si="463"/>
        <v>26396.215485614983</v>
      </c>
      <c r="O59" s="101">
        <f t="shared" ref="O59:AP59" si="464">O177</f>
        <v>22227.725221047425</v>
      </c>
      <c r="P59" s="101">
        <f t="shared" si="464"/>
        <v>22160.69346231395</v>
      </c>
      <c r="Q59" s="101">
        <f t="shared" si="464"/>
        <v>23314.80378532195</v>
      </c>
      <c r="R59" s="101">
        <f t="shared" si="464"/>
        <v>23738.014757864967</v>
      </c>
      <c r="S59" s="101">
        <f t="shared" si="464"/>
        <v>24869.505191075768</v>
      </c>
      <c r="T59" s="101">
        <f t="shared" si="464"/>
        <v>25220.54591252092</v>
      </c>
      <c r="U59" s="101">
        <f t="shared" si="464"/>
        <v>25210.138258068386</v>
      </c>
      <c r="V59" s="101">
        <f t="shared" si="464"/>
        <v>26613.734026383445</v>
      </c>
      <c r="W59" s="101">
        <f t="shared" si="464"/>
        <v>28821.680201855859</v>
      </c>
      <c r="X59" s="101">
        <f t="shared" si="464"/>
        <v>27845.260959945677</v>
      </c>
      <c r="Y59" s="101">
        <f t="shared" si="464"/>
        <v>28603.8372859025</v>
      </c>
      <c r="Z59" s="101">
        <f t="shared" si="464"/>
        <v>28282.231716511684</v>
      </c>
      <c r="AA59" s="101">
        <f t="shared" si="464"/>
        <v>28409.106891701827</v>
      </c>
      <c r="AB59" s="101">
        <f t="shared" si="464"/>
        <v>26057.287889775198</v>
      </c>
      <c r="AC59" s="101">
        <f t="shared" si="464"/>
        <v>25374.722715173026</v>
      </c>
      <c r="AD59" s="101">
        <f t="shared" si="464"/>
        <v>25805.73939340813</v>
      </c>
      <c r="AE59" s="101">
        <f t="shared" si="464"/>
        <v>27453.802301817792</v>
      </c>
      <c r="AF59" s="101">
        <f t="shared" si="464"/>
        <v>27111.009361009361</v>
      </c>
      <c r="AG59" s="101">
        <f t="shared" si="464"/>
        <v>27261.272141706926</v>
      </c>
      <c r="AH59" s="101">
        <f t="shared" si="464"/>
        <v>27935.910582444627</v>
      </c>
      <c r="AI59" s="101">
        <f t="shared" si="464"/>
        <v>30101.197604790425</v>
      </c>
      <c r="AJ59" s="101">
        <f t="shared" si="464"/>
        <v>28898.260073260069</v>
      </c>
      <c r="AK59" s="101">
        <f t="shared" si="464"/>
        <v>27431.300126635713</v>
      </c>
      <c r="AL59" s="101">
        <f t="shared" si="464"/>
        <v>26070.415879017015</v>
      </c>
      <c r="AM59" s="101">
        <f t="shared" si="464"/>
        <v>24543.702451394758</v>
      </c>
      <c r="AN59" s="101">
        <f t="shared" si="464"/>
        <v>23873.522703711387</v>
      </c>
      <c r="AO59" s="101">
        <f t="shared" si="464"/>
        <v>22022.725548220653</v>
      </c>
      <c r="AP59" s="101">
        <f t="shared" si="464"/>
        <v>22487.771739130436</v>
      </c>
      <c r="AQ59" s="101">
        <f t="shared" ref="AQ59:AR61" si="465">AQ177</f>
        <v>20216.479400749064</v>
      </c>
      <c r="AR59" s="101">
        <f t="shared" si="465"/>
        <v>20383.418561636383</v>
      </c>
      <c r="AS59" s="101">
        <f t="shared" ref="AS59:AT59" si="466">AS177</f>
        <v>22418.176328502417</v>
      </c>
      <c r="AT59" s="101">
        <f t="shared" si="466"/>
        <v>23912.838392124693</v>
      </c>
      <c r="AU59" s="161">
        <f t="shared" ref="AU59:BF59" si="467">AU177</f>
        <v>24026.548672566376</v>
      </c>
      <c r="AV59" s="161">
        <f t="shared" si="467"/>
        <v>25040.948275862072</v>
      </c>
      <c r="AW59" s="161">
        <f t="shared" si="467"/>
        <v>25411.764705882346</v>
      </c>
      <c r="AX59" s="161">
        <f t="shared" si="467"/>
        <v>25752.0325203252</v>
      </c>
      <c r="AY59" s="161">
        <f t="shared" si="467"/>
        <v>26082.677165354329</v>
      </c>
      <c r="AZ59" s="161">
        <f t="shared" si="467"/>
        <v>26223.076923076922</v>
      </c>
      <c r="BA59" s="161">
        <f t="shared" si="467"/>
        <v>26488.888888888894</v>
      </c>
      <c r="BB59" s="161">
        <f t="shared" si="467"/>
        <v>26352.517985611514</v>
      </c>
      <c r="BC59" s="161">
        <f t="shared" si="467"/>
        <v>26312.056737588653</v>
      </c>
      <c r="BD59" s="161">
        <f t="shared" si="467"/>
        <v>26312.056737588653</v>
      </c>
      <c r="BE59" s="161">
        <f t="shared" si="467"/>
        <v>26478.873239436616</v>
      </c>
      <c r="BF59" s="161">
        <f t="shared" si="467"/>
        <v>26478.873239436616</v>
      </c>
      <c r="BJ59" s="116">
        <f t="shared" si="62"/>
        <v>50</v>
      </c>
    </row>
    <row r="60" spans="1:62" outlineLevel="1">
      <c r="B60" s="18" t="s">
        <v>17</v>
      </c>
      <c r="C60" s="101">
        <f t="shared" ref="C60:M60" si="468">C178</f>
        <v>12847.302917068291</v>
      </c>
      <c r="D60" s="101">
        <f t="shared" si="468"/>
        <v>14508.514148131979</v>
      </c>
      <c r="E60" s="101">
        <f t="shared" si="468"/>
        <v>16130.300431175296</v>
      </c>
      <c r="F60" s="101">
        <f t="shared" si="468"/>
        <v>15272.168924094853</v>
      </c>
      <c r="G60" s="101">
        <f t="shared" si="468"/>
        <v>16156.954292644112</v>
      </c>
      <c r="H60" s="101">
        <f t="shared" si="468"/>
        <v>15767.519252677148</v>
      </c>
      <c r="I60" s="101">
        <f t="shared" si="468"/>
        <v>14471.637256114804</v>
      </c>
      <c r="J60" s="101">
        <f t="shared" si="468"/>
        <v>16461.157933259237</v>
      </c>
      <c r="K60" s="101">
        <f t="shared" si="468"/>
        <v>15999.674342870436</v>
      </c>
      <c r="L60" s="101">
        <f t="shared" si="468"/>
        <v>15953.20623916811</v>
      </c>
      <c r="M60" s="101">
        <f t="shared" si="468"/>
        <v>15797.644332882795</v>
      </c>
      <c r="O60" s="101">
        <f t="shared" ref="O60:AP60" si="469">O178</f>
        <v>12194.785321214364</v>
      </c>
      <c r="P60" s="101">
        <f t="shared" si="469"/>
        <v>12732.520958393405</v>
      </c>
      <c r="Q60" s="101">
        <f t="shared" si="469"/>
        <v>13201.63931352436</v>
      </c>
      <c r="R60" s="101">
        <f t="shared" si="469"/>
        <v>13185.655311063978</v>
      </c>
      <c r="S60" s="101">
        <f t="shared" si="469"/>
        <v>14316.994256682128</v>
      </c>
      <c r="T60" s="101">
        <f t="shared" si="469"/>
        <v>14196.95388945509</v>
      </c>
      <c r="U60" s="101">
        <f t="shared" si="469"/>
        <v>14433.916905100137</v>
      </c>
      <c r="V60" s="101">
        <f t="shared" si="469"/>
        <v>15017.953275412359</v>
      </c>
      <c r="W60" s="101">
        <f t="shared" si="469"/>
        <v>16172.111820425494</v>
      </c>
      <c r="X60" s="101">
        <f t="shared" si="469"/>
        <v>15627.909288341785</v>
      </c>
      <c r="Y60" s="101">
        <f t="shared" si="469"/>
        <v>16396.365694993412</v>
      </c>
      <c r="Z60" s="101">
        <f t="shared" si="469"/>
        <v>16400.101921451256</v>
      </c>
      <c r="AA60" s="101">
        <f t="shared" si="469"/>
        <v>16549.84106891702</v>
      </c>
      <c r="AB60" s="101">
        <f t="shared" si="469"/>
        <v>15052.054387237129</v>
      </c>
      <c r="AC60" s="101">
        <f t="shared" si="469"/>
        <v>14171.544143744455</v>
      </c>
      <c r="AD60" s="101">
        <f t="shared" si="469"/>
        <v>15381.207639375871</v>
      </c>
      <c r="AE60" s="101">
        <f t="shared" si="469"/>
        <v>16380.802301817794</v>
      </c>
      <c r="AF60" s="101">
        <f t="shared" si="469"/>
        <v>15731.009361009361</v>
      </c>
      <c r="AG60" s="101">
        <f t="shared" si="469"/>
        <v>16119.564005675928</v>
      </c>
      <c r="AH60" s="101">
        <f t="shared" si="469"/>
        <v>16410.910582444627</v>
      </c>
      <c r="AI60" s="101">
        <f t="shared" si="469"/>
        <v>16707.88023952096</v>
      </c>
      <c r="AJ60" s="101">
        <f t="shared" si="469"/>
        <v>15448.726739926737</v>
      </c>
      <c r="AK60" s="101">
        <f t="shared" si="469"/>
        <v>16254.300126635715</v>
      </c>
      <c r="AL60" s="101">
        <f t="shared" si="469"/>
        <v>13963.981096408317</v>
      </c>
      <c r="AM60" s="101">
        <f t="shared" si="469"/>
        <v>15082.240912933217</v>
      </c>
      <c r="AN60" s="101">
        <f t="shared" si="469"/>
        <v>15353.202985693551</v>
      </c>
      <c r="AO60" s="101">
        <f t="shared" si="469"/>
        <v>13542.725548220653</v>
      </c>
      <c r="AP60" s="101">
        <f t="shared" si="469"/>
        <v>14023.771739130434</v>
      </c>
      <c r="AQ60" s="101">
        <f t="shared" si="465"/>
        <v>15732.479400749062</v>
      </c>
      <c r="AR60" s="101">
        <f t="shared" si="465"/>
        <v>15312.418561636383</v>
      </c>
      <c r="AS60" s="101">
        <f t="shared" ref="AS60:AT60" si="470">AS178</f>
        <v>17122.176328502417</v>
      </c>
      <c r="AT60" s="101">
        <f t="shared" si="470"/>
        <v>17468.838392124693</v>
      </c>
      <c r="AU60" s="161">
        <f t="shared" ref="AU60:BF60" si="471">AU178</f>
        <v>16384.464110127828</v>
      </c>
      <c r="AV60" s="161">
        <f t="shared" si="471"/>
        <v>15961.348995831755</v>
      </c>
      <c r="AW60" s="161">
        <f t="shared" si="471"/>
        <v>15831.019364267444</v>
      </c>
      <c r="AX60" s="161">
        <f t="shared" si="471"/>
        <v>15852.774832096147</v>
      </c>
      <c r="AY60" s="161">
        <f t="shared" si="471"/>
        <v>16018.372703412073</v>
      </c>
      <c r="AZ60" s="161">
        <f t="shared" si="471"/>
        <v>15896.196111580726</v>
      </c>
      <c r="BA60" s="161">
        <f t="shared" si="471"/>
        <v>15990.821256038647</v>
      </c>
      <c r="BB60" s="161">
        <f t="shared" si="471"/>
        <v>15911.166718798877</v>
      </c>
      <c r="BC60" s="161">
        <f t="shared" si="471"/>
        <v>15812.485386953473</v>
      </c>
      <c r="BD60" s="161">
        <f t="shared" si="471"/>
        <v>15742.342763619359</v>
      </c>
      <c r="BE60" s="161">
        <f t="shared" si="471"/>
        <v>15817.513778322107</v>
      </c>
      <c r="BF60" s="161">
        <f t="shared" si="471"/>
        <v>15817.513778322107</v>
      </c>
      <c r="BJ60" s="116">
        <f t="shared" si="62"/>
        <v>51</v>
      </c>
    </row>
    <row r="61" spans="1:62" outlineLevel="1">
      <c r="B61" s="18" t="s">
        <v>18</v>
      </c>
      <c r="C61" s="101">
        <f t="shared" ref="C61:M61" si="472">C179</f>
        <v>10037.682925117553</v>
      </c>
      <c r="D61" s="101">
        <f t="shared" si="472"/>
        <v>11007.272719267012</v>
      </c>
      <c r="E61" s="101">
        <f t="shared" si="472"/>
        <v>12259.039139943688</v>
      </c>
      <c r="F61" s="101">
        <f t="shared" si="472"/>
        <v>11111.06353348542</v>
      </c>
      <c r="G61" s="101">
        <f t="shared" si="472"/>
        <v>11281.893516079766</v>
      </c>
      <c r="H61" s="101">
        <f t="shared" si="472"/>
        <v>12680.623832308043</v>
      </c>
      <c r="I61" s="101">
        <f t="shared" si="472"/>
        <v>8740.4014827513092</v>
      </c>
      <c r="J61" s="101">
        <f t="shared" si="472"/>
        <v>5367.1106562932036</v>
      </c>
      <c r="K61" s="101">
        <f t="shared" si="472"/>
        <v>9082.9088160037227</v>
      </c>
      <c r="L61" s="101">
        <f t="shared" si="472"/>
        <v>10339.027812164728</v>
      </c>
      <c r="M61" s="101">
        <f t="shared" si="472"/>
        <v>10598.571152732186</v>
      </c>
      <c r="O61" s="101">
        <f t="shared" ref="O61:AP61" si="473">O179</f>
        <v>10032.939899833058</v>
      </c>
      <c r="P61" s="101">
        <f t="shared" si="473"/>
        <v>9428.1725039205448</v>
      </c>
      <c r="Q61" s="101">
        <f t="shared" si="473"/>
        <v>10113.164471797589</v>
      </c>
      <c r="R61" s="101">
        <f t="shared" si="473"/>
        <v>10552.359446800989</v>
      </c>
      <c r="S61" s="101">
        <f t="shared" si="473"/>
        <v>10552.51093439364</v>
      </c>
      <c r="T61" s="101">
        <f t="shared" si="473"/>
        <v>11023.592023065834</v>
      </c>
      <c r="U61" s="101">
        <f t="shared" si="473"/>
        <v>10776.221352968247</v>
      </c>
      <c r="V61" s="101">
        <f t="shared" si="473"/>
        <v>11595.780750971086</v>
      </c>
      <c r="W61" s="101">
        <f t="shared" si="473"/>
        <v>12649.568381430365</v>
      </c>
      <c r="X61" s="101">
        <f t="shared" si="473"/>
        <v>12217.351671603894</v>
      </c>
      <c r="Y61" s="101">
        <f t="shared" si="473"/>
        <v>12207.471590909092</v>
      </c>
      <c r="Z61" s="101">
        <f t="shared" si="473"/>
        <v>11882.129795060429</v>
      </c>
      <c r="AA61" s="101">
        <f t="shared" si="473"/>
        <v>11859.26582278481</v>
      </c>
      <c r="AB61" s="101">
        <f t="shared" si="473"/>
        <v>11005.233502538071</v>
      </c>
      <c r="AC61" s="101">
        <f t="shared" si="473"/>
        <v>11203.178571428571</v>
      </c>
      <c r="AD61" s="101">
        <f t="shared" si="473"/>
        <v>10424.531754032258</v>
      </c>
      <c r="AE61" s="101">
        <f t="shared" si="473"/>
        <v>11073</v>
      </c>
      <c r="AF61" s="101">
        <f t="shared" si="473"/>
        <v>11380</v>
      </c>
      <c r="AG61" s="101">
        <f t="shared" si="473"/>
        <v>11141.708136030995</v>
      </c>
      <c r="AH61" s="101">
        <f t="shared" si="473"/>
        <v>11525</v>
      </c>
      <c r="AI61" s="101">
        <f t="shared" si="473"/>
        <v>13393.31736526946</v>
      </c>
      <c r="AJ61" s="101">
        <f t="shared" si="473"/>
        <v>13449.533333333333</v>
      </c>
      <c r="AK61" s="101">
        <f t="shared" si="473"/>
        <v>11177</v>
      </c>
      <c r="AL61" s="101">
        <f t="shared" si="473"/>
        <v>12106.434782608696</v>
      </c>
      <c r="AM61" s="101">
        <f t="shared" si="473"/>
        <v>9461.461538461539</v>
      </c>
      <c r="AN61" s="101">
        <f t="shared" si="473"/>
        <v>8520.3197180178322</v>
      </c>
      <c r="AO61" s="101">
        <f t="shared" si="473"/>
        <v>8480</v>
      </c>
      <c r="AP61" s="101">
        <f t="shared" si="473"/>
        <v>8464</v>
      </c>
      <c r="AQ61" s="101">
        <f t="shared" si="465"/>
        <v>4484</v>
      </c>
      <c r="AR61" s="101">
        <f t="shared" si="465"/>
        <v>5071</v>
      </c>
      <c r="AS61" s="101">
        <f t="shared" ref="AS61:AT61" si="474">AS179</f>
        <v>5296</v>
      </c>
      <c r="AT61" s="101">
        <f t="shared" si="474"/>
        <v>6444</v>
      </c>
      <c r="AU61" s="161">
        <f t="shared" ref="AU61:BF61" si="475">AU179</f>
        <v>7642.0845624385474</v>
      </c>
      <c r="AV61" s="161">
        <f t="shared" si="475"/>
        <v>9079.5992800303175</v>
      </c>
      <c r="AW61" s="161">
        <f t="shared" si="475"/>
        <v>9580.7453416149019</v>
      </c>
      <c r="AX61" s="161">
        <f t="shared" si="475"/>
        <v>9899.2576882290523</v>
      </c>
      <c r="AY61" s="161">
        <f t="shared" si="475"/>
        <v>10064.304461942256</v>
      </c>
      <c r="AZ61" s="161">
        <f t="shared" si="475"/>
        <v>10326.880811496196</v>
      </c>
      <c r="BA61" s="161">
        <f t="shared" si="475"/>
        <v>10498.067632850247</v>
      </c>
      <c r="BB61" s="161">
        <f t="shared" si="475"/>
        <v>10441.351266812637</v>
      </c>
      <c r="BC61" s="161">
        <f t="shared" si="475"/>
        <v>10499.57135063518</v>
      </c>
      <c r="BD61" s="161">
        <f t="shared" si="475"/>
        <v>10569.713973969294</v>
      </c>
      <c r="BE61" s="161">
        <f t="shared" si="475"/>
        <v>10661.359461114509</v>
      </c>
      <c r="BF61" s="161">
        <f t="shared" si="475"/>
        <v>10661.359461114509</v>
      </c>
      <c r="BJ61" s="116">
        <f t="shared" si="62"/>
        <v>52</v>
      </c>
    </row>
    <row r="62" spans="1:62" outlineLevel="1">
      <c r="B62" s="17" t="s">
        <v>51</v>
      </c>
      <c r="C62" s="92">
        <f t="shared" ref="C62:M62" si="476">C156</f>
        <v>0.52122055914299581</v>
      </c>
      <c r="D62" s="92">
        <f t="shared" si="476"/>
        <v>0.61028010631772645</v>
      </c>
      <c r="E62" s="92">
        <f t="shared" si="476"/>
        <v>0.64071357811651175</v>
      </c>
      <c r="F62" s="92">
        <f t="shared" si="476"/>
        <v>0.63920184740936714</v>
      </c>
      <c r="G62" s="92">
        <f t="shared" si="476"/>
        <v>0.69901059195641646</v>
      </c>
      <c r="H62" s="92">
        <f t="shared" si="476"/>
        <v>0.42602861060218156</v>
      </c>
      <c r="I62" s="92">
        <f t="shared" si="476"/>
        <v>0.24637624365924279</v>
      </c>
      <c r="J62" s="92">
        <f t="shared" si="476"/>
        <v>0.42198644436182686</v>
      </c>
      <c r="K62" s="92">
        <f t="shared" si="476"/>
        <v>0.48469474040250299</v>
      </c>
      <c r="L62" s="92">
        <f t="shared" si="476"/>
        <v>0.54645695924234738</v>
      </c>
      <c r="M62" s="92">
        <f t="shared" si="476"/>
        <v>0.58231577053677841</v>
      </c>
      <c r="O62" s="92">
        <f t="shared" ref="O62:AP62" si="477">O156</f>
        <v>0.48964577656675745</v>
      </c>
      <c r="P62" s="92">
        <f t="shared" si="477"/>
        <v>0.52125340599455039</v>
      </c>
      <c r="Q62" s="92">
        <f t="shared" si="477"/>
        <v>0.53705722070844675</v>
      </c>
      <c r="R62" s="92">
        <f t="shared" si="477"/>
        <v>0.53623978201634881</v>
      </c>
      <c r="S62" s="92">
        <f t="shared" si="477"/>
        <v>0.54378378378378378</v>
      </c>
      <c r="T62" s="92">
        <f t="shared" si="477"/>
        <v>0.55641711229946522</v>
      </c>
      <c r="U62" s="92">
        <f t="shared" si="477"/>
        <v>0.66250000000000009</v>
      </c>
      <c r="V62" s="92">
        <f t="shared" si="477"/>
        <v>0.69164179104477608</v>
      </c>
      <c r="W62" s="92">
        <f t="shared" si="477"/>
        <v>0.68904899135446684</v>
      </c>
      <c r="X62" s="92">
        <f t="shared" si="477"/>
        <v>0.66005586592178778</v>
      </c>
      <c r="Y62" s="92">
        <f t="shared" si="477"/>
        <v>0.59492957746478881</v>
      </c>
      <c r="Z62" s="92">
        <f t="shared" si="477"/>
        <v>0.61785714285714277</v>
      </c>
      <c r="AA62" s="92">
        <f t="shared" si="477"/>
        <v>0.62368421052631573</v>
      </c>
      <c r="AB62" s="92">
        <f t="shared" si="477"/>
        <v>0.64379084967320266</v>
      </c>
      <c r="AC62" s="92">
        <f t="shared" si="477"/>
        <v>0.6384364820846905</v>
      </c>
      <c r="AD62" s="92">
        <f t="shared" si="477"/>
        <v>0.6504918032786885</v>
      </c>
      <c r="AE62" s="92">
        <f t="shared" si="477"/>
        <v>0.66860841423948214</v>
      </c>
      <c r="AF62" s="92">
        <f t="shared" si="477"/>
        <v>0.69902912621359226</v>
      </c>
      <c r="AG62" s="92">
        <f t="shared" si="477"/>
        <v>0.69453376205787787</v>
      </c>
      <c r="AH62" s="92">
        <f t="shared" si="477"/>
        <v>0.73680555555555549</v>
      </c>
      <c r="AI62" s="92">
        <f t="shared" si="477"/>
        <v>0.57594501718213054</v>
      </c>
      <c r="AJ62" s="92">
        <f t="shared" si="477"/>
        <v>0.40784982935153585</v>
      </c>
      <c r="AK62" s="92">
        <f t="shared" si="477"/>
        <v>0.35153583617747441</v>
      </c>
      <c r="AL62" s="92">
        <f t="shared" si="477"/>
        <v>0.3611111111111111</v>
      </c>
      <c r="AM62" s="92">
        <f t="shared" si="477"/>
        <v>0.25450980392156863</v>
      </c>
      <c r="AN62" s="92">
        <f t="shared" si="477"/>
        <v>0.21058823529411766</v>
      </c>
      <c r="AO62" s="92">
        <f t="shared" si="477"/>
        <v>0.22209302325581395</v>
      </c>
      <c r="AP62" s="92">
        <f t="shared" si="477"/>
        <v>0.30550847457627117</v>
      </c>
      <c r="AQ62" s="92">
        <f>AQ156</f>
        <v>0.373109243697479</v>
      </c>
      <c r="AR62" s="92">
        <f>AR156</f>
        <v>0.41916666666666663</v>
      </c>
      <c r="AS62" s="92">
        <f>AS156</f>
        <v>0.44666666666666666</v>
      </c>
      <c r="AT62" s="92">
        <f>AT156</f>
        <v>0.44291666666666668</v>
      </c>
      <c r="AU62" s="92">
        <f t="shared" ref="AU62:BF62" si="478">AU156</f>
        <v>0.46502057613168724</v>
      </c>
      <c r="AV62" s="92">
        <f t="shared" si="478"/>
        <v>0.47736625514403291</v>
      </c>
      <c r="AW62" s="92">
        <f t="shared" si="478"/>
        <v>0.48971193415637859</v>
      </c>
      <c r="AX62" s="92">
        <f t="shared" si="478"/>
        <v>0.50617283950617287</v>
      </c>
      <c r="AY62" s="92">
        <f t="shared" si="478"/>
        <v>0.52263374485596703</v>
      </c>
      <c r="AZ62" s="92">
        <f t="shared" si="478"/>
        <v>0.53497942386831276</v>
      </c>
      <c r="BA62" s="92">
        <f t="shared" si="478"/>
        <v>0.55555555555555558</v>
      </c>
      <c r="BB62" s="92">
        <f t="shared" si="478"/>
        <v>0.57201646090534974</v>
      </c>
      <c r="BC62" s="92">
        <f t="shared" si="478"/>
        <v>0.58024691358024694</v>
      </c>
      <c r="BD62" s="92">
        <f t="shared" si="478"/>
        <v>0.58024691358024694</v>
      </c>
      <c r="BE62" s="92">
        <f t="shared" si="478"/>
        <v>0.58436213991769548</v>
      </c>
      <c r="BF62" s="92">
        <f t="shared" si="478"/>
        <v>0.58436213991769548</v>
      </c>
      <c r="BJ62" s="116">
        <f t="shared" si="62"/>
        <v>53</v>
      </c>
    </row>
    <row r="63" spans="1:62" outlineLevel="1">
      <c r="B63" s="2" t="s">
        <v>5</v>
      </c>
      <c r="AS63" s="101"/>
      <c r="AT63" s="101"/>
      <c r="BJ63" s="116">
        <f t="shared" si="62"/>
        <v>54</v>
      </c>
    </row>
    <row r="64" spans="1:62" outlineLevel="1">
      <c r="B64" s="17" t="s">
        <v>345</v>
      </c>
      <c r="C64" s="102">
        <f t="shared" ref="C64:M64" si="479">C227</f>
        <v>29.830958904109586</v>
      </c>
      <c r="D64" s="102">
        <f t="shared" si="479"/>
        <v>39.793150684931504</v>
      </c>
      <c r="E64" s="102">
        <f t="shared" si="479"/>
        <v>34.826775956284152</v>
      </c>
      <c r="F64" s="102">
        <f t="shared" si="479"/>
        <v>29.954520547945204</v>
      </c>
      <c r="G64" s="102">
        <f t="shared" si="479"/>
        <v>34.131506849315066</v>
      </c>
      <c r="H64" s="102">
        <f t="shared" si="479"/>
        <v>16.695616438356165</v>
      </c>
      <c r="I64" s="102">
        <f t="shared" si="479"/>
        <v>9.7073770491803302</v>
      </c>
      <c r="J64" s="102">
        <f t="shared" si="479"/>
        <v>15.447671232876711</v>
      </c>
      <c r="K64" s="102">
        <f t="shared" si="479"/>
        <v>21.030136986301368</v>
      </c>
      <c r="L64" s="102">
        <f t="shared" si="479"/>
        <v>23.002739726027396</v>
      </c>
      <c r="M64" s="102">
        <f t="shared" si="479"/>
        <v>23.016393442622952</v>
      </c>
      <c r="O64" s="102">
        <f t="shared" ref="O64:AP64" si="480">O227</f>
        <v>34.799999999999997</v>
      </c>
      <c r="P64" s="102">
        <f t="shared" si="480"/>
        <v>17.7</v>
      </c>
      <c r="Q64" s="102">
        <f t="shared" si="480"/>
        <v>27.5</v>
      </c>
      <c r="R64" s="102">
        <f t="shared" si="480"/>
        <v>39.299999999999997</v>
      </c>
      <c r="S64" s="102">
        <f t="shared" si="480"/>
        <v>49.7</v>
      </c>
      <c r="T64" s="102">
        <f t="shared" si="480"/>
        <v>22.5</v>
      </c>
      <c r="U64" s="102">
        <f t="shared" si="480"/>
        <v>41.8</v>
      </c>
      <c r="V64" s="102">
        <f t="shared" si="480"/>
        <v>45.2</v>
      </c>
      <c r="W64" s="102">
        <f t="shared" si="480"/>
        <v>48.7</v>
      </c>
      <c r="X64" s="102">
        <f t="shared" si="480"/>
        <v>20.3</v>
      </c>
      <c r="Y64" s="102">
        <f t="shared" si="480"/>
        <v>34</v>
      </c>
      <c r="Z64" s="102">
        <f t="shared" si="480"/>
        <v>36.299999999999997</v>
      </c>
      <c r="AA64" s="102">
        <f t="shared" si="480"/>
        <v>40</v>
      </c>
      <c r="AB64" s="102">
        <f t="shared" si="480"/>
        <v>17.399999999999999</v>
      </c>
      <c r="AC64" s="102">
        <f t="shared" si="480"/>
        <v>30</v>
      </c>
      <c r="AD64" s="102">
        <f t="shared" si="480"/>
        <v>32.5</v>
      </c>
      <c r="AE64" s="102">
        <f t="shared" si="480"/>
        <v>43.8</v>
      </c>
      <c r="AF64" s="102">
        <f t="shared" si="480"/>
        <v>21.6</v>
      </c>
      <c r="AG64" s="102">
        <f t="shared" si="480"/>
        <v>34.299999999999997</v>
      </c>
      <c r="AH64" s="102">
        <f t="shared" si="480"/>
        <v>36.9</v>
      </c>
      <c r="AI64" s="102">
        <f t="shared" si="480"/>
        <v>25.6</v>
      </c>
      <c r="AJ64" s="102">
        <f t="shared" si="480"/>
        <v>9.6999999999999993</v>
      </c>
      <c r="AK64" s="102">
        <f t="shared" si="480"/>
        <v>17.2</v>
      </c>
      <c r="AL64" s="102">
        <f t="shared" si="480"/>
        <v>14.4</v>
      </c>
      <c r="AM64" s="102">
        <f t="shared" si="480"/>
        <v>12.5</v>
      </c>
      <c r="AN64" s="102">
        <f t="shared" si="480"/>
        <v>4.2</v>
      </c>
      <c r="AO64" s="102">
        <f t="shared" si="480"/>
        <v>8.8000000000000007</v>
      </c>
      <c r="AP64" s="102">
        <f t="shared" si="480"/>
        <v>13.3</v>
      </c>
      <c r="AQ64" s="102">
        <f>AQ227</f>
        <v>22</v>
      </c>
      <c r="AR64" s="102">
        <f>AR227</f>
        <v>12.4</v>
      </c>
      <c r="AS64" s="102">
        <f>AS227</f>
        <v>13.5</v>
      </c>
      <c r="AT64" s="102">
        <f>AT227</f>
        <v>14</v>
      </c>
      <c r="AU64" s="168">
        <v>20</v>
      </c>
      <c r="AV64" s="168">
        <v>12</v>
      </c>
      <c r="AW64" s="168">
        <v>26</v>
      </c>
      <c r="AX64" s="168">
        <v>26</v>
      </c>
      <c r="AY64" s="168">
        <v>28</v>
      </c>
      <c r="AZ64" s="168">
        <f t="shared" ref="AZ64:BF64" si="481">AV64</f>
        <v>12</v>
      </c>
      <c r="BA64" s="168">
        <f t="shared" si="481"/>
        <v>26</v>
      </c>
      <c r="BB64" s="168">
        <f t="shared" si="481"/>
        <v>26</v>
      </c>
      <c r="BC64" s="168">
        <f t="shared" si="481"/>
        <v>28</v>
      </c>
      <c r="BD64" s="168">
        <f t="shared" si="481"/>
        <v>12</v>
      </c>
      <c r="BE64" s="168">
        <f t="shared" si="481"/>
        <v>26</v>
      </c>
      <c r="BF64" s="168">
        <f t="shared" si="481"/>
        <v>26</v>
      </c>
      <c r="BJ64" s="116">
        <f t="shared" si="62"/>
        <v>55</v>
      </c>
    </row>
    <row r="65" spans="2:62" outlineLevel="1">
      <c r="B65" s="18" t="s">
        <v>16</v>
      </c>
      <c r="C65" s="101">
        <f t="shared" ref="C65:M65" si="482">C231</f>
        <v>24905.173443053551</v>
      </c>
      <c r="D65" s="101">
        <f t="shared" si="482"/>
        <v>29361.079555234261</v>
      </c>
      <c r="E65" s="101">
        <f t="shared" si="482"/>
        <v>33688.277658355953</v>
      </c>
      <c r="F65" s="101">
        <f t="shared" si="482"/>
        <v>33079.920244388755</v>
      </c>
      <c r="G65" s="101">
        <f t="shared" si="482"/>
        <v>26905.763364906088</v>
      </c>
      <c r="H65" s="101">
        <f t="shared" si="482"/>
        <v>22562.562562562565</v>
      </c>
      <c r="I65" s="101">
        <f t="shared" si="482"/>
        <v>14487.320217287284</v>
      </c>
      <c r="J65" s="101">
        <f t="shared" si="482"/>
        <v>14707.895856980706</v>
      </c>
      <c r="K65" s="101">
        <f t="shared" si="482"/>
        <v>16058.624283480978</v>
      </c>
      <c r="L65" s="101">
        <f t="shared" si="482"/>
        <v>15999.999999999996</v>
      </c>
      <c r="M65" s="101">
        <f t="shared" si="482"/>
        <v>16000</v>
      </c>
      <c r="O65" s="101">
        <f t="shared" ref="O65:AP65" si="483">O231</f>
        <v>26192.528735632186</v>
      </c>
      <c r="P65" s="101">
        <f t="shared" si="483"/>
        <v>25099.025268516794</v>
      </c>
      <c r="Q65" s="101">
        <f t="shared" si="483"/>
        <v>22646.640316205532</v>
      </c>
      <c r="R65" s="101">
        <f t="shared" si="483"/>
        <v>25284.046907843789</v>
      </c>
      <c r="S65" s="101">
        <f t="shared" si="483"/>
        <v>28528.280795886429</v>
      </c>
      <c r="T65" s="101">
        <f t="shared" si="483"/>
        <v>32360.439560439558</v>
      </c>
      <c r="U65" s="101">
        <f t="shared" si="483"/>
        <v>27670.584564177243</v>
      </c>
      <c r="V65" s="101">
        <f t="shared" si="483"/>
        <v>30343.401308195454</v>
      </c>
      <c r="W65" s="101">
        <f t="shared" si="483"/>
        <v>32659.024753480608</v>
      </c>
      <c r="X65" s="101">
        <f t="shared" si="483"/>
        <v>35735.938937909385</v>
      </c>
      <c r="Y65" s="101">
        <f t="shared" si="483"/>
        <v>32926.150895140665</v>
      </c>
      <c r="Z65" s="101">
        <f t="shared" si="483"/>
        <v>34635.285662953647</v>
      </c>
      <c r="AA65" s="101">
        <f t="shared" si="483"/>
        <v>35240.833333333336</v>
      </c>
      <c r="AB65" s="101">
        <f t="shared" si="483"/>
        <v>40917.645572817994</v>
      </c>
      <c r="AC65" s="101">
        <f t="shared" si="483"/>
        <v>29491.666666666668</v>
      </c>
      <c r="AD65" s="101">
        <f t="shared" si="483"/>
        <v>29639.799331103681</v>
      </c>
      <c r="AE65" s="101">
        <f t="shared" si="483"/>
        <v>28315.829528158298</v>
      </c>
      <c r="AF65" s="101">
        <f t="shared" si="483"/>
        <v>27910.56166056166</v>
      </c>
      <c r="AG65" s="101">
        <f t="shared" si="483"/>
        <v>25507.352009126633</v>
      </c>
      <c r="AH65" s="101">
        <f t="shared" si="483"/>
        <v>25986.508778131261</v>
      </c>
      <c r="AI65" s="101">
        <f t="shared" si="483"/>
        <v>25104.166666666668</v>
      </c>
      <c r="AJ65" s="101">
        <f t="shared" si="483"/>
        <v>24258.524980174465</v>
      </c>
      <c r="AK65" s="101">
        <f t="shared" si="483"/>
        <v>18913.675429726998</v>
      </c>
      <c r="AL65" s="101">
        <f t="shared" si="483"/>
        <v>21370.772946859903</v>
      </c>
      <c r="AM65" s="101">
        <f t="shared" si="483"/>
        <v>15379.34065934066</v>
      </c>
      <c r="AN65" s="101">
        <f t="shared" si="483"/>
        <v>17312.925170068029</v>
      </c>
      <c r="AO65" s="101">
        <f t="shared" si="483"/>
        <v>12900.197628458498</v>
      </c>
      <c r="AP65" s="101">
        <f t="shared" si="483"/>
        <v>13825.596600196141</v>
      </c>
      <c r="AQ65" s="101">
        <f t="shared" ref="AQ65:AR67" si="484">AQ231</f>
        <v>14044.444444444445</v>
      </c>
      <c r="AR65" s="101">
        <f t="shared" si="484"/>
        <v>15172.811059907834</v>
      </c>
      <c r="AS65" s="101">
        <f t="shared" ref="AS65:AT65" si="485">AS231</f>
        <v>14551.529790660225</v>
      </c>
      <c r="AT65" s="101">
        <f t="shared" si="485"/>
        <v>15471.273291925465</v>
      </c>
      <c r="AU65" s="168">
        <v>16250</v>
      </c>
      <c r="AV65" s="168">
        <v>16000</v>
      </c>
      <c r="AW65" s="168">
        <v>16000</v>
      </c>
      <c r="AX65" s="168">
        <v>16000</v>
      </c>
      <c r="AY65" s="168">
        <v>16000</v>
      </c>
      <c r="AZ65" s="168">
        <v>16000</v>
      </c>
      <c r="BA65" s="168">
        <v>16000</v>
      </c>
      <c r="BB65" s="168">
        <v>16000</v>
      </c>
      <c r="BC65" s="168">
        <v>16000</v>
      </c>
      <c r="BD65" s="168">
        <v>16000</v>
      </c>
      <c r="BE65" s="168">
        <v>16000</v>
      </c>
      <c r="BF65" s="168">
        <v>16000</v>
      </c>
      <c r="BJ65" s="116">
        <f t="shared" si="62"/>
        <v>56</v>
      </c>
    </row>
    <row r="66" spans="2:62" outlineLevel="1">
      <c r="B66" s="18" t="s">
        <v>17</v>
      </c>
      <c r="C66" s="101">
        <f t="shared" ref="C66:M66" si="486">C232</f>
        <v>16474.735771424374</v>
      </c>
      <c r="D66" s="101">
        <f t="shared" si="486"/>
        <v>17787.973775345108</v>
      </c>
      <c r="E66" s="101">
        <f t="shared" si="486"/>
        <v>20216.407857781684</v>
      </c>
      <c r="F66" s="101">
        <f t="shared" si="486"/>
        <v>19469.457771598958</v>
      </c>
      <c r="G66" s="101">
        <f t="shared" si="486"/>
        <v>16556.561695296197</v>
      </c>
      <c r="H66" s="101">
        <f t="shared" si="486"/>
        <v>13975.654720294066</v>
      </c>
      <c r="I66" s="101">
        <f t="shared" si="486"/>
        <v>11159.507810520983</v>
      </c>
      <c r="J66" s="101">
        <f t="shared" si="486"/>
        <v>10448.134860953462</v>
      </c>
      <c r="K66" s="101">
        <f t="shared" si="486"/>
        <v>11298.071912454403</v>
      </c>
      <c r="L66" s="101">
        <f t="shared" si="486"/>
        <v>11500</v>
      </c>
      <c r="M66" s="101">
        <f t="shared" si="486"/>
        <v>11499.999999999998</v>
      </c>
      <c r="O66" s="101">
        <f t="shared" ref="O66:AP66" si="487">O232</f>
        <v>16773.528735632186</v>
      </c>
      <c r="P66" s="101">
        <f t="shared" si="487"/>
        <v>17668.025268516794</v>
      </c>
      <c r="Q66" s="101">
        <f t="shared" si="487"/>
        <v>15950.640316205532</v>
      </c>
      <c r="R66" s="101">
        <f t="shared" si="487"/>
        <v>16051.046907843789</v>
      </c>
      <c r="S66" s="101">
        <f t="shared" si="487"/>
        <v>16527.280795886429</v>
      </c>
      <c r="T66" s="101">
        <f t="shared" si="487"/>
        <v>20359.439560439558</v>
      </c>
      <c r="U66" s="101">
        <f t="shared" si="487"/>
        <v>17350.584564177243</v>
      </c>
      <c r="V66" s="101">
        <f t="shared" si="487"/>
        <v>18282.401308195454</v>
      </c>
      <c r="W66" s="101">
        <f t="shared" si="487"/>
        <v>18377.024753480608</v>
      </c>
      <c r="X66" s="101">
        <f t="shared" si="487"/>
        <v>25809.938937909385</v>
      </c>
      <c r="Y66" s="101">
        <f t="shared" si="487"/>
        <v>19487.150895140665</v>
      </c>
      <c r="Z66" s="101">
        <f t="shared" si="487"/>
        <v>20246.285662953647</v>
      </c>
      <c r="AA66" s="101">
        <f t="shared" si="487"/>
        <v>20962.833333333336</v>
      </c>
      <c r="AB66" s="101">
        <f t="shared" si="487"/>
        <v>25961.645572817994</v>
      </c>
      <c r="AC66" s="101">
        <f t="shared" si="487"/>
        <v>15213.666666666668</v>
      </c>
      <c r="AD66" s="101">
        <f t="shared" si="487"/>
        <v>18161.799331103681</v>
      </c>
      <c r="AE66" s="101">
        <f t="shared" si="487"/>
        <v>16863.829528158298</v>
      </c>
      <c r="AF66" s="101">
        <f t="shared" si="487"/>
        <v>17876.56166056166</v>
      </c>
      <c r="AG66" s="101">
        <f t="shared" si="487"/>
        <v>15844.352009126633</v>
      </c>
      <c r="AH66" s="101">
        <f t="shared" si="487"/>
        <v>16097.508778131261</v>
      </c>
      <c r="AI66" s="101">
        <f t="shared" si="487"/>
        <v>15177.166666666668</v>
      </c>
      <c r="AJ66" s="101">
        <f t="shared" si="487"/>
        <v>16487.524980174465</v>
      </c>
      <c r="AK66" s="101">
        <f t="shared" si="487"/>
        <v>12564.675429726998</v>
      </c>
      <c r="AL66" s="101">
        <f t="shared" si="487"/>
        <v>11897.772946859903</v>
      </c>
      <c r="AM66" s="101">
        <f t="shared" si="487"/>
        <v>11794.34065934066</v>
      </c>
      <c r="AN66" s="101">
        <f t="shared" si="487"/>
        <v>11828.925170068029</v>
      </c>
      <c r="AO66" s="101">
        <f t="shared" si="487"/>
        <v>10988.197628458498</v>
      </c>
      <c r="AP66" s="101">
        <f t="shared" si="487"/>
        <v>10473.596600196141</v>
      </c>
      <c r="AQ66" s="101">
        <f t="shared" si="484"/>
        <v>10059.444444444445</v>
      </c>
      <c r="AR66" s="101">
        <f t="shared" si="484"/>
        <v>10036.811059907834</v>
      </c>
      <c r="AS66" s="101">
        <f t="shared" ref="AS66:AT66" si="488">AS232</f>
        <v>11054.529790660225</v>
      </c>
      <c r="AT66" s="101">
        <f t="shared" si="488"/>
        <v>10821.273291925465</v>
      </c>
      <c r="AU66" s="168">
        <v>11000</v>
      </c>
      <c r="AV66" s="168">
        <v>12000</v>
      </c>
      <c r="AW66" s="168">
        <v>11500</v>
      </c>
      <c r="AX66" s="168">
        <f>AU66</f>
        <v>11000</v>
      </c>
      <c r="AY66" s="168">
        <v>11500</v>
      </c>
      <c r="AZ66" s="168">
        <v>11500</v>
      </c>
      <c r="BA66" s="168">
        <v>11500</v>
      </c>
      <c r="BB66" s="168">
        <v>11500</v>
      </c>
      <c r="BC66" s="168">
        <v>11500</v>
      </c>
      <c r="BD66" s="168">
        <v>11500</v>
      </c>
      <c r="BE66" s="168">
        <v>11500</v>
      </c>
      <c r="BF66" s="168">
        <v>11500</v>
      </c>
      <c r="BJ66" s="116">
        <f t="shared" si="62"/>
        <v>57</v>
      </c>
    </row>
    <row r="67" spans="2:62" outlineLevel="1">
      <c r="B67" s="18" t="s">
        <v>18</v>
      </c>
      <c r="C67" s="101">
        <f t="shared" ref="C67:M67" si="489">C233</f>
        <v>8430.4376716291808</v>
      </c>
      <c r="D67" s="101">
        <f t="shared" si="489"/>
        <v>11573.105779889152</v>
      </c>
      <c r="E67" s="101">
        <f t="shared" si="489"/>
        <v>13471.86980057427</v>
      </c>
      <c r="F67" s="101">
        <f t="shared" si="489"/>
        <v>13610.462472789801</v>
      </c>
      <c r="G67" s="101">
        <f t="shared" si="489"/>
        <v>10349.201669609891</v>
      </c>
      <c r="H67" s="101">
        <f t="shared" si="489"/>
        <v>8586.9078422684997</v>
      </c>
      <c r="I67" s="101">
        <f t="shared" si="489"/>
        <v>3327.812406766303</v>
      </c>
      <c r="J67" s="101">
        <f t="shared" si="489"/>
        <v>4259.7609960272421</v>
      </c>
      <c r="K67" s="101">
        <f t="shared" si="489"/>
        <v>4760.5523710265761</v>
      </c>
      <c r="L67" s="101">
        <f t="shared" si="489"/>
        <v>4500</v>
      </c>
      <c r="M67" s="101">
        <f t="shared" si="489"/>
        <v>4500</v>
      </c>
      <c r="O67" s="101">
        <f t="shared" ref="O67:AP67" si="490">O233</f>
        <v>9419</v>
      </c>
      <c r="P67" s="101">
        <f t="shared" si="490"/>
        <v>7431</v>
      </c>
      <c r="Q67" s="101">
        <f t="shared" si="490"/>
        <v>6696</v>
      </c>
      <c r="R67" s="101">
        <f t="shared" si="490"/>
        <v>9233</v>
      </c>
      <c r="S67" s="101">
        <f t="shared" si="490"/>
        <v>12001</v>
      </c>
      <c r="T67" s="101">
        <f t="shared" si="490"/>
        <v>12001</v>
      </c>
      <c r="U67" s="101">
        <f t="shared" si="490"/>
        <v>10320</v>
      </c>
      <c r="V67" s="101">
        <f t="shared" si="490"/>
        <v>12061</v>
      </c>
      <c r="W67" s="101">
        <f t="shared" si="490"/>
        <v>14282</v>
      </c>
      <c r="X67" s="101">
        <f t="shared" si="490"/>
        <v>9926</v>
      </c>
      <c r="Y67" s="101">
        <f t="shared" si="490"/>
        <v>13439</v>
      </c>
      <c r="Z67" s="101">
        <f t="shared" si="490"/>
        <v>14389</v>
      </c>
      <c r="AA67" s="101">
        <f t="shared" si="490"/>
        <v>14278</v>
      </c>
      <c r="AB67" s="101">
        <f t="shared" si="490"/>
        <v>14956</v>
      </c>
      <c r="AC67" s="101">
        <f t="shared" si="490"/>
        <v>14278</v>
      </c>
      <c r="AD67" s="101">
        <f t="shared" si="490"/>
        <v>11478</v>
      </c>
      <c r="AE67" s="101">
        <f t="shared" si="490"/>
        <v>11452</v>
      </c>
      <c r="AF67" s="101">
        <f t="shared" si="490"/>
        <v>10034</v>
      </c>
      <c r="AG67" s="101">
        <f t="shared" si="490"/>
        <v>9663</v>
      </c>
      <c r="AH67" s="101">
        <f t="shared" si="490"/>
        <v>9889</v>
      </c>
      <c r="AI67" s="101">
        <f t="shared" si="490"/>
        <v>9927</v>
      </c>
      <c r="AJ67" s="101">
        <f t="shared" si="490"/>
        <v>7771</v>
      </c>
      <c r="AK67" s="101">
        <f t="shared" si="490"/>
        <v>6349</v>
      </c>
      <c r="AL67" s="101">
        <f t="shared" si="490"/>
        <v>9473</v>
      </c>
      <c r="AM67" s="101">
        <f t="shared" si="490"/>
        <v>3585</v>
      </c>
      <c r="AN67" s="101">
        <f t="shared" si="490"/>
        <v>5484</v>
      </c>
      <c r="AO67" s="101">
        <f t="shared" si="490"/>
        <v>1912</v>
      </c>
      <c r="AP67" s="101">
        <f t="shared" si="490"/>
        <v>3352</v>
      </c>
      <c r="AQ67" s="101">
        <f t="shared" si="484"/>
        <v>3985</v>
      </c>
      <c r="AR67" s="101">
        <f t="shared" si="484"/>
        <v>5136</v>
      </c>
      <c r="AS67" s="101">
        <f t="shared" ref="AS67:AT67" si="491">AS233</f>
        <v>3497</v>
      </c>
      <c r="AT67" s="101">
        <f t="shared" si="491"/>
        <v>4650</v>
      </c>
      <c r="AU67" s="101">
        <f t="shared" ref="AU67:BF67" si="492">+AU65-AU66</f>
        <v>5250</v>
      </c>
      <c r="AV67" s="101">
        <f t="shared" si="492"/>
        <v>4000</v>
      </c>
      <c r="AW67" s="101">
        <f t="shared" si="492"/>
        <v>4500</v>
      </c>
      <c r="AX67" s="101">
        <f t="shared" si="492"/>
        <v>5000</v>
      </c>
      <c r="AY67" s="101">
        <f t="shared" si="492"/>
        <v>4500</v>
      </c>
      <c r="AZ67" s="101">
        <f t="shared" si="492"/>
        <v>4500</v>
      </c>
      <c r="BA67" s="101">
        <f t="shared" si="492"/>
        <v>4500</v>
      </c>
      <c r="BB67" s="101">
        <f t="shared" si="492"/>
        <v>4500</v>
      </c>
      <c r="BC67" s="101">
        <f t="shared" si="492"/>
        <v>4500</v>
      </c>
      <c r="BD67" s="101">
        <f t="shared" si="492"/>
        <v>4500</v>
      </c>
      <c r="BE67" s="101">
        <f t="shared" si="492"/>
        <v>4500</v>
      </c>
      <c r="BF67" s="101">
        <f t="shared" si="492"/>
        <v>4500</v>
      </c>
      <c r="BJ67" s="116">
        <f t="shared" si="62"/>
        <v>58</v>
      </c>
    </row>
    <row r="68" spans="2:62" outlineLevel="1">
      <c r="B68" s="17" t="s">
        <v>51</v>
      </c>
      <c r="C68" s="93">
        <f t="shared" ref="C68:M68" si="493">C228</f>
        <v>0.35940914342300706</v>
      </c>
      <c r="D68" s="93">
        <f t="shared" si="493"/>
        <v>0.47372798434442265</v>
      </c>
      <c r="E68" s="93">
        <f t="shared" si="493"/>
        <v>0.45525197328476014</v>
      </c>
      <c r="F68" s="93">
        <f t="shared" si="493"/>
        <v>0.46083877766069548</v>
      </c>
      <c r="G68" s="93">
        <f t="shared" si="493"/>
        <v>0.54829729878417777</v>
      </c>
      <c r="H68" s="93">
        <f t="shared" si="493"/>
        <v>0.29035854675402029</v>
      </c>
      <c r="I68" s="93">
        <f t="shared" si="493"/>
        <v>0.18578712055847521</v>
      </c>
      <c r="J68" s="93">
        <f t="shared" si="493"/>
        <v>0.33765401601916312</v>
      </c>
      <c r="K68" s="93">
        <f t="shared" si="493"/>
        <v>0.50071754729288975</v>
      </c>
      <c r="L68" s="93">
        <f t="shared" si="493"/>
        <v>0.5476842791911285</v>
      </c>
      <c r="M68" s="93">
        <f t="shared" si="493"/>
        <v>0.54800936768149888</v>
      </c>
      <c r="O68" s="93">
        <f t="shared" ref="O68:AP68" si="494">O228</f>
        <v>0.41927710843373489</v>
      </c>
      <c r="P68" s="93">
        <f t="shared" si="494"/>
        <v>0.21325301204819277</v>
      </c>
      <c r="Q68" s="93">
        <f t="shared" si="494"/>
        <v>0.33132530120481929</v>
      </c>
      <c r="R68" s="93">
        <f t="shared" si="494"/>
        <v>0.47349397590361442</v>
      </c>
      <c r="S68" s="93">
        <f t="shared" si="494"/>
        <v>0.59879518072289162</v>
      </c>
      <c r="T68" s="93">
        <f t="shared" si="494"/>
        <v>0.27108433734939757</v>
      </c>
      <c r="U68" s="93">
        <f t="shared" si="494"/>
        <v>0.5036144578313253</v>
      </c>
      <c r="V68" s="93">
        <f t="shared" si="494"/>
        <v>0.51954022988505755</v>
      </c>
      <c r="W68" s="93">
        <f t="shared" si="494"/>
        <v>0.55977011494252882</v>
      </c>
      <c r="X68" s="93">
        <f t="shared" si="494"/>
        <v>0.25375000000000003</v>
      </c>
      <c r="Y68" s="93">
        <f t="shared" si="494"/>
        <v>0.45945945945945948</v>
      </c>
      <c r="Z68" s="93">
        <f t="shared" si="494"/>
        <v>0.55846153846153845</v>
      </c>
      <c r="AA68" s="93">
        <f t="shared" si="494"/>
        <v>0.61538461538461542</v>
      </c>
      <c r="AB68" s="93">
        <f t="shared" si="494"/>
        <v>0.26769230769230767</v>
      </c>
      <c r="AC68" s="93">
        <f t="shared" si="494"/>
        <v>0.45454545454545453</v>
      </c>
      <c r="AD68" s="93">
        <f t="shared" si="494"/>
        <v>0.5078125</v>
      </c>
      <c r="AE68" s="93">
        <f t="shared" si="494"/>
        <v>0.68437499999999996</v>
      </c>
      <c r="AF68" s="93">
        <f t="shared" si="494"/>
        <v>0.33750000000000002</v>
      </c>
      <c r="AG68" s="93">
        <f t="shared" si="494"/>
        <v>0.53593749999999996</v>
      </c>
      <c r="AH68" s="93">
        <f t="shared" si="494"/>
        <v>0.64736842105263159</v>
      </c>
      <c r="AI68" s="93">
        <f t="shared" si="494"/>
        <v>0.44912280701754387</v>
      </c>
      <c r="AJ68" s="93">
        <f t="shared" si="494"/>
        <v>0.1701754385964912</v>
      </c>
      <c r="AK68" s="93">
        <f t="shared" si="494"/>
        <v>0.29655172413793102</v>
      </c>
      <c r="AL68" s="93">
        <f t="shared" si="494"/>
        <v>0.24827586206896551</v>
      </c>
      <c r="AM68" s="93">
        <f t="shared" si="494"/>
        <v>0.23148148148148148</v>
      </c>
      <c r="AN68" s="93">
        <f t="shared" si="494"/>
        <v>7.7777777777777779E-2</v>
      </c>
      <c r="AO68" s="93">
        <f t="shared" si="494"/>
        <v>0.16296296296296298</v>
      </c>
      <c r="AP68" s="93">
        <f t="shared" si="494"/>
        <v>0.28297872340425534</v>
      </c>
      <c r="AQ68" s="93">
        <f>AQ228</f>
        <v>0.46808510638297873</v>
      </c>
      <c r="AR68" s="93">
        <f>AR228</f>
        <v>0.26382978723404255</v>
      </c>
      <c r="AS68" s="93">
        <f>AS228</f>
        <v>0.28723404255319152</v>
      </c>
      <c r="AT68" s="93">
        <f>AT228</f>
        <v>0.33333333333333331</v>
      </c>
      <c r="AU68" s="93">
        <f t="shared" ref="AU68:BF68" si="495">AU228</f>
        <v>0.47619047619047616</v>
      </c>
      <c r="AV68" s="93">
        <f t="shared" si="495"/>
        <v>0.2857142857142857</v>
      </c>
      <c r="AW68" s="93">
        <f t="shared" si="495"/>
        <v>0.61904761904761907</v>
      </c>
      <c r="AX68" s="93">
        <f t="shared" si="495"/>
        <v>0.61904761904761907</v>
      </c>
      <c r="AY68" s="93">
        <f t="shared" si="495"/>
        <v>0.66666666666666663</v>
      </c>
      <c r="AZ68" s="93">
        <f t="shared" si="495"/>
        <v>0.2857142857142857</v>
      </c>
      <c r="BA68" s="93">
        <f t="shared" si="495"/>
        <v>0.61904761904761907</v>
      </c>
      <c r="BB68" s="93">
        <f t="shared" si="495"/>
        <v>0.61904761904761907</v>
      </c>
      <c r="BC68" s="93">
        <f t="shared" si="495"/>
        <v>0.66666666666666663</v>
      </c>
      <c r="BD68" s="93">
        <f t="shared" si="495"/>
        <v>0.2857142857142857</v>
      </c>
      <c r="BE68" s="93">
        <f t="shared" si="495"/>
        <v>0.61904761904761907</v>
      </c>
      <c r="BF68" s="93">
        <f t="shared" si="495"/>
        <v>0.61904761904761907</v>
      </c>
      <c r="BJ68" s="116">
        <f t="shared" si="62"/>
        <v>59</v>
      </c>
    </row>
    <row r="69" spans="2:62" outlineLevel="1">
      <c r="B69" s="2" t="s">
        <v>6</v>
      </c>
      <c r="BJ69" s="116">
        <f t="shared" si="62"/>
        <v>60</v>
      </c>
    </row>
    <row r="70" spans="2:62" outlineLevel="1">
      <c r="B70" s="17" t="s">
        <v>345</v>
      </c>
      <c r="C70" s="102">
        <f t="shared" ref="C70:M70" si="496">C245</f>
        <v>97.8021917808219</v>
      </c>
      <c r="D70" s="102">
        <f t="shared" si="496"/>
        <v>105.26246575342466</v>
      </c>
      <c r="E70" s="102">
        <f t="shared" si="496"/>
        <v>119.27486338797814</v>
      </c>
      <c r="F70" s="102">
        <f t="shared" si="496"/>
        <v>124.12986301369861</v>
      </c>
      <c r="G70" s="102">
        <f t="shared" si="496"/>
        <v>127.08465753424657</v>
      </c>
      <c r="H70" s="102">
        <f t="shared" si="496"/>
        <v>123.95808219178082</v>
      </c>
      <c r="I70" s="102">
        <f t="shared" si="496"/>
        <v>100.21939890710384</v>
      </c>
      <c r="J70" s="102">
        <f t="shared" si="496"/>
        <v>91.127945205479463</v>
      </c>
      <c r="K70" s="102">
        <f t="shared" si="496"/>
        <v>99.019178082191786</v>
      </c>
      <c r="L70" s="102">
        <f t="shared" si="496"/>
        <v>109.27671232876712</v>
      </c>
      <c r="M70" s="102">
        <f t="shared" si="496"/>
        <v>115</v>
      </c>
      <c r="O70" s="102">
        <f>O245</f>
        <v>88.3</v>
      </c>
      <c r="P70" s="102">
        <f t="shared" ref="P70:AQ70" si="497">P245</f>
        <v>97.6</v>
      </c>
      <c r="Q70" s="102">
        <f t="shared" si="497"/>
        <v>103</v>
      </c>
      <c r="R70" s="102">
        <f t="shared" si="497"/>
        <v>102.1</v>
      </c>
      <c r="S70" s="102">
        <f t="shared" si="497"/>
        <v>99.6</v>
      </c>
      <c r="T70" s="102">
        <f t="shared" si="497"/>
        <v>102.8</v>
      </c>
      <c r="U70" s="102">
        <f t="shared" si="497"/>
        <v>105.3</v>
      </c>
      <c r="V70" s="102">
        <f t="shared" si="497"/>
        <v>113.2</v>
      </c>
      <c r="W70" s="102">
        <f t="shared" si="497"/>
        <v>117.7</v>
      </c>
      <c r="X70" s="102">
        <f t="shared" si="497"/>
        <v>120.9</v>
      </c>
      <c r="Y70" s="102">
        <f t="shared" si="497"/>
        <v>119.2</v>
      </c>
      <c r="Z70" s="102">
        <f t="shared" si="497"/>
        <v>119.3</v>
      </c>
      <c r="AA70" s="102">
        <f t="shared" si="497"/>
        <v>122.7</v>
      </c>
      <c r="AB70" s="102">
        <f t="shared" si="497"/>
        <v>125.2</v>
      </c>
      <c r="AC70" s="102">
        <f t="shared" si="497"/>
        <v>124</v>
      </c>
      <c r="AD70" s="102">
        <f t="shared" si="497"/>
        <v>124.6</v>
      </c>
      <c r="AE70" s="102">
        <f t="shared" si="497"/>
        <v>129.80000000000001</v>
      </c>
      <c r="AF70" s="102">
        <f t="shared" si="497"/>
        <v>127.3</v>
      </c>
      <c r="AG70" s="102">
        <f t="shared" si="497"/>
        <v>130.1</v>
      </c>
      <c r="AH70" s="102">
        <f t="shared" si="497"/>
        <v>121.2</v>
      </c>
      <c r="AI70" s="102">
        <f t="shared" si="497"/>
        <v>130.1</v>
      </c>
      <c r="AJ70" s="102">
        <f t="shared" si="497"/>
        <v>127.1</v>
      </c>
      <c r="AK70" s="102">
        <f t="shared" si="497"/>
        <v>121.3</v>
      </c>
      <c r="AL70" s="102">
        <f t="shared" si="497"/>
        <v>117.5</v>
      </c>
      <c r="AM70" s="102">
        <f t="shared" si="497"/>
        <v>110.5</v>
      </c>
      <c r="AN70" s="102">
        <f t="shared" si="497"/>
        <v>101.2</v>
      </c>
      <c r="AO70" s="102">
        <f t="shared" si="497"/>
        <v>97.4</v>
      </c>
      <c r="AP70" s="102">
        <f t="shared" si="497"/>
        <v>91.9</v>
      </c>
      <c r="AQ70" s="102">
        <f t="shared" si="497"/>
        <v>89.8</v>
      </c>
      <c r="AR70" s="102">
        <f t="shared" ref="AR70" si="498">AR245</f>
        <v>92.7</v>
      </c>
      <c r="AS70" s="102">
        <f t="shared" ref="AS70:AT70" si="499">AS245</f>
        <v>91.3</v>
      </c>
      <c r="AT70" s="102">
        <f t="shared" si="499"/>
        <v>90.7</v>
      </c>
      <c r="AU70" s="168">
        <v>96</v>
      </c>
      <c r="AV70" s="168">
        <v>98</v>
      </c>
      <c r="AW70" s="168">
        <v>100</v>
      </c>
      <c r="AX70" s="168">
        <v>102</v>
      </c>
      <c r="AY70" s="168">
        <f>+AX70+3</f>
        <v>105</v>
      </c>
      <c r="AZ70" s="168">
        <f>+AY70+3</f>
        <v>108</v>
      </c>
      <c r="BA70" s="168">
        <f>+AZ70+3</f>
        <v>111</v>
      </c>
      <c r="BB70" s="168">
        <f>+BA70+2</f>
        <v>113</v>
      </c>
      <c r="BC70" s="168">
        <f>+BB70+2</f>
        <v>115</v>
      </c>
      <c r="BD70" s="168">
        <f>BC70</f>
        <v>115</v>
      </c>
      <c r="BE70" s="168">
        <f>BD70</f>
        <v>115</v>
      </c>
      <c r="BF70" s="168">
        <f>BE70</f>
        <v>115</v>
      </c>
      <c r="BJ70" s="116">
        <f t="shared" si="62"/>
        <v>61</v>
      </c>
    </row>
    <row r="71" spans="2:62" outlineLevel="1">
      <c r="B71" s="18" t="s">
        <v>16</v>
      </c>
      <c r="C71" s="102">
        <f t="shared" ref="C71:M71" si="500">C249</f>
        <v>30635.165192252749</v>
      </c>
      <c r="D71" s="102">
        <f t="shared" si="500"/>
        <v>28746.434223129138</v>
      </c>
      <c r="E71" s="102">
        <f t="shared" si="500"/>
        <v>28978.847589944704</v>
      </c>
      <c r="F71" s="102">
        <f t="shared" si="500"/>
        <v>32318.42921906797</v>
      </c>
      <c r="G71" s="102">
        <f t="shared" si="500"/>
        <v>34991.27967766067</v>
      </c>
      <c r="H71" s="102">
        <f t="shared" si="500"/>
        <v>41293.587978260432</v>
      </c>
      <c r="I71" s="102">
        <f t="shared" si="500"/>
        <v>40094.819289918567</v>
      </c>
      <c r="J71" s="102">
        <f t="shared" si="500"/>
        <v>44317.037313186032</v>
      </c>
      <c r="K71" s="102">
        <f t="shared" si="500"/>
        <v>43003.22339660229</v>
      </c>
      <c r="L71" s="102">
        <f t="shared" si="500"/>
        <v>43750</v>
      </c>
      <c r="M71" s="102">
        <f t="shared" si="500"/>
        <v>40500</v>
      </c>
      <c r="O71" s="102">
        <f>O249</f>
        <v>30872.530514659618</v>
      </c>
      <c r="P71" s="102">
        <f t="shared" ref="P71:AQ71" si="501">P249</f>
        <v>30062.939110070256</v>
      </c>
      <c r="Q71" s="102">
        <f t="shared" si="501"/>
        <v>30449.029126213591</v>
      </c>
      <c r="R71" s="102">
        <f t="shared" si="501"/>
        <v>31163.18187625091</v>
      </c>
      <c r="S71" s="102">
        <f t="shared" si="501"/>
        <v>29281.236055332436</v>
      </c>
      <c r="T71" s="102">
        <f t="shared" si="501"/>
        <v>28352.396630606749</v>
      </c>
      <c r="U71" s="102">
        <f t="shared" si="501"/>
        <v>29076.964366819437</v>
      </c>
      <c r="V71" s="102">
        <f t="shared" si="501"/>
        <v>28332.597173144877</v>
      </c>
      <c r="W71" s="102">
        <f t="shared" si="501"/>
        <v>28612.97580923749</v>
      </c>
      <c r="X71" s="102">
        <f t="shared" si="501"/>
        <v>27688.126596315182</v>
      </c>
      <c r="Y71" s="102">
        <f t="shared" si="501"/>
        <v>30023.070469798658</v>
      </c>
      <c r="Z71" s="102">
        <f t="shared" si="501"/>
        <v>29586.355187871279</v>
      </c>
      <c r="AA71" s="102">
        <f t="shared" si="501"/>
        <v>29114.914425427873</v>
      </c>
      <c r="AB71" s="102">
        <f t="shared" si="501"/>
        <v>30844.802162693533</v>
      </c>
      <c r="AC71" s="102">
        <f t="shared" si="501"/>
        <v>33635.343618513325</v>
      </c>
      <c r="AD71" s="102">
        <f t="shared" si="501"/>
        <v>35558.570032800621</v>
      </c>
      <c r="AE71" s="102">
        <f t="shared" si="501"/>
        <v>32106.574216743702</v>
      </c>
      <c r="AF71" s="102">
        <f t="shared" si="501"/>
        <v>33774.246178016801</v>
      </c>
      <c r="AG71" s="102">
        <f t="shared" si="501"/>
        <v>35482.571934632229</v>
      </c>
      <c r="AH71" s="102">
        <f t="shared" si="501"/>
        <v>38750.538097287994</v>
      </c>
      <c r="AI71" s="102">
        <f t="shared" si="501"/>
        <v>38039.115210521821</v>
      </c>
      <c r="AJ71" s="102">
        <f t="shared" si="501"/>
        <v>39618.281010885257</v>
      </c>
      <c r="AK71" s="102">
        <f t="shared" si="501"/>
        <v>46254.346033908019</v>
      </c>
      <c r="AL71" s="102">
        <f t="shared" si="501"/>
        <v>41490.009250693802</v>
      </c>
      <c r="AM71" s="102">
        <f t="shared" si="501"/>
        <v>39884.143006314953</v>
      </c>
      <c r="AN71" s="102">
        <f t="shared" si="501"/>
        <v>41482.86496112583</v>
      </c>
      <c r="AO71" s="102">
        <f t="shared" si="501"/>
        <v>39209.891973930899</v>
      </c>
      <c r="AP71" s="102">
        <f t="shared" si="501"/>
        <v>39771.372474807205</v>
      </c>
      <c r="AQ71" s="102">
        <f t="shared" si="501"/>
        <v>41848.923533778769</v>
      </c>
      <c r="AR71" s="102">
        <f t="shared" ref="AR71" si="502">AR249</f>
        <v>45086.714795452659</v>
      </c>
      <c r="AS71" s="102">
        <f t="shared" ref="AS71:AT71" si="503">AS249</f>
        <v>44538.549454735941</v>
      </c>
      <c r="AT71" s="102">
        <f t="shared" si="503"/>
        <v>45706.46181870476</v>
      </c>
      <c r="AU71" s="172">
        <f t="shared" ref="AU71:BF71" si="504">+AU72+AU73</f>
        <v>43000</v>
      </c>
      <c r="AV71" s="172">
        <f t="shared" si="504"/>
        <v>42750</v>
      </c>
      <c r="AW71" s="172">
        <f t="shared" si="504"/>
        <v>43000</v>
      </c>
      <c r="AX71" s="172">
        <f t="shared" si="504"/>
        <v>43250</v>
      </c>
      <c r="AY71" s="172">
        <f t="shared" si="504"/>
        <v>43750</v>
      </c>
      <c r="AZ71" s="172">
        <f t="shared" si="504"/>
        <v>43750</v>
      </c>
      <c r="BA71" s="172">
        <f t="shared" si="504"/>
        <v>43750</v>
      </c>
      <c r="BB71" s="172">
        <f t="shared" si="504"/>
        <v>43750</v>
      </c>
      <c r="BC71" s="172">
        <f t="shared" si="504"/>
        <v>40500</v>
      </c>
      <c r="BD71" s="172">
        <f t="shared" si="504"/>
        <v>40500</v>
      </c>
      <c r="BE71" s="172">
        <f t="shared" si="504"/>
        <v>40500</v>
      </c>
      <c r="BF71" s="172">
        <f t="shared" si="504"/>
        <v>40500</v>
      </c>
      <c r="BJ71" s="116">
        <f t="shared" si="62"/>
        <v>62</v>
      </c>
    </row>
    <row r="72" spans="2:62" outlineLevel="1">
      <c r="B72" s="18" t="s">
        <v>17</v>
      </c>
      <c r="C72" s="102">
        <f t="shared" ref="C72:M72" si="505">C250</f>
        <v>14751.161309660542</v>
      </c>
      <c r="D72" s="102">
        <f t="shared" si="505"/>
        <v>16408.704524632489</v>
      </c>
      <c r="E72" s="102">
        <f t="shared" si="505"/>
        <v>17404.792984015432</v>
      </c>
      <c r="F72" s="102">
        <f t="shared" si="505"/>
        <v>18757.131435482948</v>
      </c>
      <c r="G72" s="102">
        <f t="shared" si="505"/>
        <v>19709.260046695221</v>
      </c>
      <c r="H72" s="102">
        <f t="shared" si="505"/>
        <v>23508.090138734478</v>
      </c>
      <c r="I72" s="102">
        <f t="shared" si="505"/>
        <v>23572.294231508466</v>
      </c>
      <c r="J72" s="102">
        <f t="shared" si="505"/>
        <v>27132.892077073622</v>
      </c>
      <c r="K72" s="102">
        <f t="shared" si="505"/>
        <v>26500</v>
      </c>
      <c r="L72" s="102">
        <f t="shared" si="505"/>
        <v>26499.999999999993</v>
      </c>
      <c r="M72" s="102">
        <f t="shared" si="505"/>
        <v>23000</v>
      </c>
      <c r="O72" s="102">
        <f>O250</f>
        <v>14849.530514659618</v>
      </c>
      <c r="P72" s="102">
        <f t="shared" ref="P72:AQ72" si="506">P250</f>
        <v>14208.939110070256</v>
      </c>
      <c r="Q72" s="102">
        <f t="shared" si="506"/>
        <v>15157.029126213596</v>
      </c>
      <c r="R72" s="102">
        <f t="shared" si="506"/>
        <v>14771.181876250908</v>
      </c>
      <c r="S72" s="102">
        <f t="shared" si="506"/>
        <v>15923.236055332442</v>
      </c>
      <c r="T72" s="102">
        <f t="shared" si="506"/>
        <v>15217.396630606749</v>
      </c>
      <c r="U72" s="102">
        <f t="shared" si="506"/>
        <v>17084.964366819437</v>
      </c>
      <c r="V72" s="102">
        <f t="shared" si="506"/>
        <v>17267.597173144877</v>
      </c>
      <c r="W72" s="102">
        <f t="shared" si="506"/>
        <v>17589.975809237487</v>
      </c>
      <c r="X72" s="102">
        <f t="shared" si="506"/>
        <v>16729.126596315182</v>
      </c>
      <c r="Y72" s="102">
        <f t="shared" si="506"/>
        <v>17724.070469798658</v>
      </c>
      <c r="Z72" s="102">
        <f t="shared" si="506"/>
        <v>17582.355187871279</v>
      </c>
      <c r="AA72" s="102">
        <f t="shared" si="506"/>
        <v>17662.914425427873</v>
      </c>
      <c r="AB72" s="102">
        <f t="shared" si="506"/>
        <v>18412.802162693533</v>
      </c>
      <c r="AC72" s="102">
        <f t="shared" si="506"/>
        <v>19238.343618513325</v>
      </c>
      <c r="AD72" s="102">
        <f t="shared" si="506"/>
        <v>19674.570032800617</v>
      </c>
      <c r="AE72" s="102">
        <f t="shared" si="506"/>
        <v>18295.574216743706</v>
      </c>
      <c r="AF72" s="102">
        <f t="shared" si="506"/>
        <v>19650.246178016798</v>
      </c>
      <c r="AG72" s="102">
        <f t="shared" si="506"/>
        <v>19992.571934632226</v>
      </c>
      <c r="AH72" s="102">
        <f t="shared" si="506"/>
        <v>20947.53809728799</v>
      </c>
      <c r="AI72" s="102">
        <f t="shared" si="506"/>
        <v>19174.115210521817</v>
      </c>
      <c r="AJ72" s="102">
        <f t="shared" si="506"/>
        <v>22355.281010885254</v>
      </c>
      <c r="AK72" s="102">
        <f t="shared" si="506"/>
        <v>27641.346033908019</v>
      </c>
      <c r="AL72" s="102">
        <f t="shared" si="506"/>
        <v>25169.009250693802</v>
      </c>
      <c r="AM72" s="102">
        <f t="shared" si="506"/>
        <v>23395.143006314953</v>
      </c>
      <c r="AN72" s="102">
        <f t="shared" si="506"/>
        <v>25374.019198193109</v>
      </c>
      <c r="AO72" s="102">
        <f t="shared" si="506"/>
        <v>22184.377555575393</v>
      </c>
      <c r="AP72" s="102">
        <f t="shared" si="506"/>
        <v>23291.476510384629</v>
      </c>
      <c r="AQ72" s="102">
        <f t="shared" si="506"/>
        <v>26414.923533778769</v>
      </c>
      <c r="AR72" s="102">
        <f t="shared" ref="AR72:AT72" si="507">AR250</f>
        <v>27298.714795452655</v>
      </c>
      <c r="AS72" s="102">
        <f t="shared" si="507"/>
        <v>26305.549454735934</v>
      </c>
      <c r="AT72" s="102">
        <f t="shared" si="507"/>
        <v>28493.46181870476</v>
      </c>
      <c r="AU72" s="168">
        <v>26500</v>
      </c>
      <c r="AV72" s="168">
        <v>26500</v>
      </c>
      <c r="AW72" s="168">
        <v>26500</v>
      </c>
      <c r="AX72" s="168">
        <v>26500</v>
      </c>
      <c r="AY72" s="168">
        <v>26500</v>
      </c>
      <c r="AZ72" s="168">
        <v>26500</v>
      </c>
      <c r="BA72" s="168">
        <v>26500</v>
      </c>
      <c r="BB72" s="168">
        <v>26500</v>
      </c>
      <c r="BC72" s="168">
        <v>23000</v>
      </c>
      <c r="BD72" s="168">
        <v>23000</v>
      </c>
      <c r="BE72" s="168">
        <v>23000</v>
      </c>
      <c r="BF72" s="168">
        <v>23000</v>
      </c>
      <c r="BJ72" s="116">
        <f t="shared" si="62"/>
        <v>63</v>
      </c>
    </row>
    <row r="73" spans="2:62" outlineLevel="1">
      <c r="B73" s="18" t="s">
        <v>18</v>
      </c>
      <c r="C73" s="102">
        <f t="shared" ref="C73:M73" si="508">C251</f>
        <v>15884.003882592206</v>
      </c>
      <c r="D73" s="102">
        <f t="shared" si="508"/>
        <v>12337.729698496647</v>
      </c>
      <c r="E73" s="102">
        <f t="shared" si="508"/>
        <v>11574.054605929274</v>
      </c>
      <c r="F73" s="102">
        <f t="shared" si="508"/>
        <v>13561.297783585023</v>
      </c>
      <c r="G73" s="102">
        <f t="shared" si="508"/>
        <v>15282.019630965444</v>
      </c>
      <c r="H73" s="102">
        <f t="shared" si="508"/>
        <v>17785.49783952596</v>
      </c>
      <c r="I73" s="102">
        <f t="shared" si="508"/>
        <v>16522.525058410101</v>
      </c>
      <c r="J73" s="102">
        <f t="shared" si="508"/>
        <v>17184.145236112403</v>
      </c>
      <c r="K73" s="102">
        <f t="shared" si="508"/>
        <v>16503.223396602287</v>
      </c>
      <c r="L73" s="102">
        <f t="shared" si="508"/>
        <v>17250</v>
      </c>
      <c r="M73" s="102">
        <f t="shared" si="508"/>
        <v>17499.999999999996</v>
      </c>
      <c r="O73" s="102">
        <f>O251</f>
        <v>16023</v>
      </c>
      <c r="P73" s="102">
        <f t="shared" ref="P73:AQ73" si="509">P251</f>
        <v>15854</v>
      </c>
      <c r="Q73" s="102">
        <f t="shared" si="509"/>
        <v>15292</v>
      </c>
      <c r="R73" s="102">
        <f t="shared" si="509"/>
        <v>16392</v>
      </c>
      <c r="S73" s="102">
        <f t="shared" si="509"/>
        <v>13358</v>
      </c>
      <c r="T73" s="102">
        <f t="shared" si="509"/>
        <v>13135</v>
      </c>
      <c r="U73" s="102">
        <f t="shared" si="509"/>
        <v>11992</v>
      </c>
      <c r="V73" s="102">
        <f t="shared" si="509"/>
        <v>11065</v>
      </c>
      <c r="W73" s="102">
        <f t="shared" si="509"/>
        <v>11023</v>
      </c>
      <c r="X73" s="102">
        <f t="shared" si="509"/>
        <v>10959</v>
      </c>
      <c r="Y73" s="102">
        <f t="shared" si="509"/>
        <v>12299</v>
      </c>
      <c r="Z73" s="102">
        <f t="shared" si="509"/>
        <v>12004</v>
      </c>
      <c r="AA73" s="102">
        <f t="shared" si="509"/>
        <v>11452</v>
      </c>
      <c r="AB73" s="102">
        <f t="shared" si="509"/>
        <v>12432</v>
      </c>
      <c r="AC73" s="102">
        <f t="shared" si="509"/>
        <v>14397</v>
      </c>
      <c r="AD73" s="102">
        <f t="shared" si="509"/>
        <v>15884</v>
      </c>
      <c r="AE73" s="102">
        <f t="shared" si="509"/>
        <v>13811</v>
      </c>
      <c r="AF73" s="102">
        <f t="shared" si="509"/>
        <v>14124</v>
      </c>
      <c r="AG73" s="102">
        <f t="shared" si="509"/>
        <v>15490</v>
      </c>
      <c r="AH73" s="102">
        <f t="shared" si="509"/>
        <v>17803</v>
      </c>
      <c r="AI73" s="102">
        <f t="shared" si="509"/>
        <v>18865</v>
      </c>
      <c r="AJ73" s="102">
        <f t="shared" si="509"/>
        <v>17263</v>
      </c>
      <c r="AK73" s="102">
        <f t="shared" si="509"/>
        <v>18613</v>
      </c>
      <c r="AL73" s="102">
        <f t="shared" si="509"/>
        <v>16321</v>
      </c>
      <c r="AM73" s="102">
        <f t="shared" si="509"/>
        <v>16489</v>
      </c>
      <c r="AN73" s="102">
        <f t="shared" si="509"/>
        <v>16108.84576293272</v>
      </c>
      <c r="AO73" s="102">
        <f t="shared" si="509"/>
        <v>17025.514418355506</v>
      </c>
      <c r="AP73" s="102">
        <f t="shared" si="509"/>
        <v>16479.895964422576</v>
      </c>
      <c r="AQ73" s="102">
        <f t="shared" si="509"/>
        <v>15434</v>
      </c>
      <c r="AR73" s="102">
        <f t="shared" ref="AR73:AT73" si="510">AR251</f>
        <v>17788</v>
      </c>
      <c r="AS73" s="102">
        <f t="shared" si="510"/>
        <v>18233</v>
      </c>
      <c r="AT73" s="102">
        <f t="shared" si="510"/>
        <v>17213</v>
      </c>
      <c r="AU73" s="168">
        <v>16500</v>
      </c>
      <c r="AV73" s="168">
        <v>16250</v>
      </c>
      <c r="AW73" s="168">
        <v>16500</v>
      </c>
      <c r="AX73" s="168">
        <v>16750</v>
      </c>
      <c r="AY73" s="168">
        <v>17250</v>
      </c>
      <c r="AZ73" s="168">
        <f>AY73</f>
        <v>17250</v>
      </c>
      <c r="BA73" s="168">
        <f>AZ73</f>
        <v>17250</v>
      </c>
      <c r="BB73" s="168">
        <f>BA73</f>
        <v>17250</v>
      </c>
      <c r="BC73" s="168">
        <v>17500</v>
      </c>
      <c r="BD73" s="168">
        <v>17500</v>
      </c>
      <c r="BE73" s="168">
        <v>17500</v>
      </c>
      <c r="BF73" s="168">
        <v>17500</v>
      </c>
      <c r="BJ73" s="116">
        <f t="shared" si="62"/>
        <v>64</v>
      </c>
    </row>
    <row r="74" spans="2:62" outlineLevel="1">
      <c r="B74" s="17" t="s">
        <v>51</v>
      </c>
      <c r="C74" s="93">
        <f t="shared" ref="C74:M74" si="511">C246</f>
        <v>0.63404986567793775</v>
      </c>
      <c r="D74" s="93">
        <f t="shared" si="511"/>
        <v>0.69137908540837223</v>
      </c>
      <c r="E74" s="93">
        <f t="shared" si="511"/>
        <v>0.77703494063829415</v>
      </c>
      <c r="F74" s="93">
        <f t="shared" si="511"/>
        <v>0.81396631484392534</v>
      </c>
      <c r="G74" s="93">
        <f t="shared" si="511"/>
        <v>0.85006459889128139</v>
      </c>
      <c r="H74" s="93">
        <f t="shared" si="511"/>
        <v>0.71652070631087184</v>
      </c>
      <c r="I74" s="93">
        <f t="shared" si="511"/>
        <v>0.62151565213707805</v>
      </c>
      <c r="J74" s="93">
        <f t="shared" si="511"/>
        <v>0.56601208202161157</v>
      </c>
      <c r="K74" s="93">
        <f t="shared" si="511"/>
        <v>0.60747962013614598</v>
      </c>
      <c r="L74" s="93">
        <f t="shared" si="511"/>
        <v>0.67040927809059581</v>
      </c>
      <c r="M74" s="93">
        <f t="shared" si="511"/>
        <v>0.70552147239263807</v>
      </c>
      <c r="O74" s="93">
        <f>O246</f>
        <v>0.57337662337662332</v>
      </c>
      <c r="P74" s="93">
        <f t="shared" ref="P74:BF74" si="512">P246</f>
        <v>0.63376623376623376</v>
      </c>
      <c r="Q74" s="93">
        <f t="shared" si="512"/>
        <v>0.66883116883116878</v>
      </c>
      <c r="R74" s="93">
        <f t="shared" si="512"/>
        <v>0.65870967741935482</v>
      </c>
      <c r="S74" s="93">
        <f t="shared" si="512"/>
        <v>0.64258064516129032</v>
      </c>
      <c r="T74" s="93">
        <f t="shared" si="512"/>
        <v>0.66322580645161289</v>
      </c>
      <c r="U74" s="93">
        <f t="shared" si="512"/>
        <v>0.71148648648648649</v>
      </c>
      <c r="V74" s="93">
        <f t="shared" si="512"/>
        <v>0.74966887417218542</v>
      </c>
      <c r="W74" s="93">
        <f t="shared" si="512"/>
        <v>0.77947019867549672</v>
      </c>
      <c r="X74" s="93">
        <f t="shared" si="512"/>
        <v>0.7651898734177216</v>
      </c>
      <c r="Y74" s="93">
        <f t="shared" si="512"/>
        <v>0.76903225806451614</v>
      </c>
      <c r="Z74" s="93">
        <f t="shared" si="512"/>
        <v>0.79533333333333334</v>
      </c>
      <c r="AA74" s="93">
        <f t="shared" si="512"/>
        <v>0.82905405405405408</v>
      </c>
      <c r="AB74" s="93">
        <f t="shared" si="512"/>
        <v>0.83466666666666667</v>
      </c>
      <c r="AC74" s="93">
        <f t="shared" si="512"/>
        <v>0.80519480519480524</v>
      </c>
      <c r="AD74" s="93">
        <f t="shared" si="512"/>
        <v>0.78860759493670884</v>
      </c>
      <c r="AE74" s="93">
        <f t="shared" si="512"/>
        <v>0.87702702702702706</v>
      </c>
      <c r="AF74" s="93">
        <f t="shared" si="512"/>
        <v>0.87191780821917808</v>
      </c>
      <c r="AG74" s="93">
        <f t="shared" si="512"/>
        <v>0.86158940397350992</v>
      </c>
      <c r="AH74" s="93">
        <f t="shared" si="512"/>
        <v>0.79215686274509811</v>
      </c>
      <c r="AI74" s="93">
        <f t="shared" si="512"/>
        <v>0.74342857142857144</v>
      </c>
      <c r="AJ74" s="93">
        <f t="shared" si="512"/>
        <v>0.7262857142857142</v>
      </c>
      <c r="AK74" s="93">
        <f t="shared" si="512"/>
        <v>0.67388888888888887</v>
      </c>
      <c r="AL74" s="93">
        <f t="shared" si="512"/>
        <v>0.72530864197530864</v>
      </c>
      <c r="AM74" s="93">
        <f t="shared" si="512"/>
        <v>0.6820987654320988</v>
      </c>
      <c r="AN74" s="93">
        <f t="shared" si="512"/>
        <v>0.62857142857142856</v>
      </c>
      <c r="AO74" s="93">
        <f t="shared" si="512"/>
        <v>0.60496894409937896</v>
      </c>
      <c r="AP74" s="93">
        <f t="shared" si="512"/>
        <v>0.57080745341614914</v>
      </c>
      <c r="AQ74" s="93">
        <f t="shared" si="512"/>
        <v>0.55776397515527953</v>
      </c>
      <c r="AR74" s="93">
        <f t="shared" ref="AR74" si="513">AR246</f>
        <v>0.57937499999999997</v>
      </c>
      <c r="AS74" s="93">
        <f t="shared" ref="AS74:AT74" si="514">AS246</f>
        <v>0.57062499999999994</v>
      </c>
      <c r="AT74" s="93">
        <f t="shared" si="514"/>
        <v>0.55644171779141105</v>
      </c>
      <c r="AU74" s="93">
        <f t="shared" si="512"/>
        <v>0.58895705521472397</v>
      </c>
      <c r="AV74" s="93">
        <f t="shared" si="512"/>
        <v>0.60122699386503065</v>
      </c>
      <c r="AW74" s="93">
        <f t="shared" si="512"/>
        <v>0.61349693251533743</v>
      </c>
      <c r="AX74" s="93">
        <f t="shared" si="512"/>
        <v>0.62576687116564422</v>
      </c>
      <c r="AY74" s="93">
        <f t="shared" si="512"/>
        <v>0.64417177914110424</v>
      </c>
      <c r="AZ74" s="93">
        <f t="shared" si="512"/>
        <v>0.66257668711656437</v>
      </c>
      <c r="BA74" s="93">
        <f t="shared" si="512"/>
        <v>0.68098159509202449</v>
      </c>
      <c r="BB74" s="93">
        <f t="shared" si="512"/>
        <v>0.69325153374233128</v>
      </c>
      <c r="BC74" s="93">
        <f t="shared" si="512"/>
        <v>0.70552147239263807</v>
      </c>
      <c r="BD74" s="93">
        <f t="shared" si="512"/>
        <v>0.70552147239263807</v>
      </c>
      <c r="BE74" s="93">
        <f t="shared" si="512"/>
        <v>0.70552147239263807</v>
      </c>
      <c r="BF74" s="93">
        <f t="shared" si="512"/>
        <v>0.70552147239263807</v>
      </c>
      <c r="BJ74" s="116">
        <f t="shared" si="62"/>
        <v>65</v>
      </c>
    </row>
    <row r="75" spans="2:62" outlineLevel="1">
      <c r="B75" s="2" t="s">
        <v>418</v>
      </c>
      <c r="BJ75" s="116">
        <f t="shared" si="62"/>
        <v>66</v>
      </c>
    </row>
    <row r="76" spans="2:62" outlineLevel="1">
      <c r="B76" s="18" t="s">
        <v>19</v>
      </c>
      <c r="C76" s="224"/>
      <c r="D76" s="224"/>
      <c r="E76" s="224"/>
      <c r="F76" s="224"/>
      <c r="G76" s="224"/>
      <c r="H76" s="180" t="str">
        <f t="shared" ref="H76" si="515">IFERROR(+H15/G15-1,"NM")</f>
        <v>NM</v>
      </c>
      <c r="I76" s="180">
        <f t="shared" ref="I76" si="516">IFERROR(+I15/H15-1,"NM")</f>
        <v>-8.6913559030761256E-2</v>
      </c>
      <c r="J76" s="180">
        <f t="shared" ref="J76:M76" si="517">IFERROR(+J15/I15-1,"NM")</f>
        <v>1.2067629667968438</v>
      </c>
      <c r="K76" s="180">
        <f t="shared" si="517"/>
        <v>0.80374672390388113</v>
      </c>
      <c r="L76" s="180">
        <f t="shared" si="517"/>
        <v>0.47794583376677457</v>
      </c>
      <c r="M76" s="180">
        <f t="shared" si="517"/>
        <v>0.2979132070135746</v>
      </c>
      <c r="P76" s="274"/>
      <c r="Q76" s="274"/>
      <c r="R76" s="274"/>
      <c r="S76" s="274"/>
      <c r="T76" s="274"/>
      <c r="U76" s="274"/>
      <c r="V76" s="274"/>
      <c r="W76" s="274"/>
      <c r="X76" s="274"/>
      <c r="Y76" s="274"/>
      <c r="Z76" s="274"/>
      <c r="AA76" s="274"/>
      <c r="AB76" s="274"/>
      <c r="AC76" s="274"/>
      <c r="AD76" s="274"/>
      <c r="AE76" s="274"/>
      <c r="AF76" s="274"/>
      <c r="AG76" s="274"/>
      <c r="AH76" s="274"/>
      <c r="AI76" s="180" t="str">
        <f t="shared" ref="AI76:AS76" si="518">IFERROR(+AI15/AH15-1,"NM")</f>
        <v>NM</v>
      </c>
      <c r="AJ76" s="180">
        <f t="shared" si="518"/>
        <v>-0.20045116174148425</v>
      </c>
      <c r="AK76" s="180">
        <f t="shared" si="518"/>
        <v>-0.17232817966369496</v>
      </c>
      <c r="AL76" s="180">
        <f t="shared" si="518"/>
        <v>4.1246250340878143E-2</v>
      </c>
      <c r="AM76" s="180">
        <f t="shared" si="518"/>
        <v>0.21632947030707794</v>
      </c>
      <c r="AN76" s="180">
        <f t="shared" si="518"/>
        <v>-0.27259514453356304</v>
      </c>
      <c r="AO76" s="180">
        <f t="shared" si="518"/>
        <v>4.3587656330940527E-2</v>
      </c>
      <c r="AP76" s="180">
        <f t="shared" si="518"/>
        <v>0.24570982839313582</v>
      </c>
      <c r="AQ76" s="180">
        <f t="shared" si="518"/>
        <v>0.55775032731826713</v>
      </c>
      <c r="AR76" s="180">
        <f t="shared" si="518"/>
        <v>0.16312808331810724</v>
      </c>
      <c r="AS76" s="180">
        <f t="shared" si="518"/>
        <v>0.17835935781834178</v>
      </c>
      <c r="AT76" s="180">
        <f>IFERROR(+AT15/AS15-1,"NM")</f>
        <v>0.17317229243321064</v>
      </c>
      <c r="AU76" s="175">
        <v>0.2</v>
      </c>
      <c r="AV76" s="175">
        <v>0.15</v>
      </c>
      <c r="AW76" s="175">
        <v>0.1</v>
      </c>
      <c r="AX76" s="175">
        <v>0.1</v>
      </c>
      <c r="AY76" s="175">
        <v>0.1</v>
      </c>
      <c r="AZ76" s="175">
        <v>0.1</v>
      </c>
      <c r="BA76" s="175">
        <v>0.1</v>
      </c>
      <c r="BB76" s="175">
        <v>0.1</v>
      </c>
      <c r="BC76" s="175">
        <v>0.05</v>
      </c>
      <c r="BD76" s="175">
        <v>0.05</v>
      </c>
      <c r="BE76" s="175">
        <v>0.05</v>
      </c>
      <c r="BF76" s="175">
        <v>0.05</v>
      </c>
      <c r="BJ76" s="116">
        <f t="shared" ref="BJ76:BJ139" si="519">BJ75+1</f>
        <v>67</v>
      </c>
    </row>
    <row r="77" spans="2:62" outlineLevel="1">
      <c r="B77" s="17" t="s">
        <v>20</v>
      </c>
      <c r="C77" s="224"/>
      <c r="D77" s="224"/>
      <c r="E77" s="224"/>
      <c r="F77" s="224"/>
      <c r="G77" s="224"/>
      <c r="H77" s="93">
        <f t="shared" ref="H77:I77" si="520">+H26/H15</f>
        <v>4.8977487540814565E-3</v>
      </c>
      <c r="I77" s="93">
        <f t="shared" si="520"/>
        <v>3.2858106306560643E-2</v>
      </c>
      <c r="J77" s="93">
        <f t="shared" ref="J77:M77" si="521">+J26/J15</f>
        <v>0.23401397289287215</v>
      </c>
      <c r="K77" s="93">
        <f t="shared" si="521"/>
        <v>0.31634141267034227</v>
      </c>
      <c r="L77" s="93">
        <f t="shared" si="521"/>
        <v>0.34784529196293901</v>
      </c>
      <c r="M77" s="93">
        <f t="shared" si="521"/>
        <v>0.35</v>
      </c>
      <c r="P77" s="274"/>
      <c r="Q77" s="274"/>
      <c r="R77" s="274"/>
      <c r="S77" s="274"/>
      <c r="T77" s="274"/>
      <c r="U77" s="274"/>
      <c r="V77" s="274"/>
      <c r="W77" s="274"/>
      <c r="X77" s="274"/>
      <c r="Y77" s="274"/>
      <c r="Z77" s="274"/>
      <c r="AA77" s="274"/>
      <c r="AB77" s="274"/>
      <c r="AC77" s="274"/>
      <c r="AD77" s="274"/>
      <c r="AE77" s="274"/>
      <c r="AF77" s="274"/>
      <c r="AG77" s="274"/>
      <c r="AH77" s="274"/>
      <c r="AI77" s="93">
        <f t="shared" ref="AI77:AS77" si="522">+AI26/AI15</f>
        <v>2.3325062034739455E-2</v>
      </c>
      <c r="AJ77" s="93">
        <f t="shared" si="522"/>
        <v>-6.7148177406613245E-3</v>
      </c>
      <c r="AK77" s="93">
        <f t="shared" si="522"/>
        <v>-1.827106626670303E-2</v>
      </c>
      <c r="AL77" s="93">
        <f t="shared" si="522"/>
        <v>1.3880704511228966E-2</v>
      </c>
      <c r="AM77" s="93">
        <f t="shared" si="522"/>
        <v>0.15777574419981696</v>
      </c>
      <c r="AN77" s="93">
        <f t="shared" si="522"/>
        <v>-0.14400947235994968</v>
      </c>
      <c r="AO77" s="93">
        <f t="shared" si="522"/>
        <v>-8.1903276131045241E-2</v>
      </c>
      <c r="AP77" s="93">
        <f t="shared" si="522"/>
        <v>0.12893493482097115</v>
      </c>
      <c r="AQ77" s="93">
        <f t="shared" si="522"/>
        <v>0.10765576466289056</v>
      </c>
      <c r="AR77" s="93">
        <f t="shared" si="522"/>
        <v>0.23949857048603476</v>
      </c>
      <c r="AS77" s="93">
        <f t="shared" si="522"/>
        <v>0.26025169306244333</v>
      </c>
      <c r="AT77" s="93">
        <f>+AT26/AT15</f>
        <v>0.28626622122224499</v>
      </c>
      <c r="AU77" s="175">
        <v>0.3</v>
      </c>
      <c r="AV77" s="175">
        <v>0.31</v>
      </c>
      <c r="AW77" s="175">
        <v>0.32</v>
      </c>
      <c r="AX77" s="175">
        <v>0.33</v>
      </c>
      <c r="AY77" s="175">
        <v>0.34</v>
      </c>
      <c r="AZ77" s="175">
        <v>0.35</v>
      </c>
      <c r="BA77" s="175">
        <v>0.35</v>
      </c>
      <c r="BB77" s="175">
        <v>0.35</v>
      </c>
      <c r="BC77" s="175">
        <v>0.35</v>
      </c>
      <c r="BD77" s="175">
        <v>0.35</v>
      </c>
      <c r="BE77" s="175">
        <v>0.35</v>
      </c>
      <c r="BF77" s="175">
        <v>0.35</v>
      </c>
      <c r="BJ77" s="116">
        <f t="shared" si="519"/>
        <v>68</v>
      </c>
    </row>
    <row r="78" spans="2:62" outlineLevel="1">
      <c r="B78" s="17" t="s">
        <v>21</v>
      </c>
      <c r="C78" s="224"/>
      <c r="D78" s="224"/>
      <c r="E78" s="224"/>
      <c r="F78" s="224"/>
      <c r="G78" s="224"/>
      <c r="H78" s="180">
        <f t="shared" ref="H78" si="523">IFERROR((H26-G26)/(H15-G15),0)</f>
        <v>4.8977487540814565E-3</v>
      </c>
      <c r="I78" s="180">
        <f t="shared" ref="I78" si="524">IFERROR((I26-H26)/(I15-H15),0)</f>
        <v>-0.28884494974460395</v>
      </c>
      <c r="J78" s="180">
        <f t="shared" ref="J78:M78" si="525">IFERROR((J26-I26)/(J15-I15),0)</f>
        <v>0.40070442671102924</v>
      </c>
      <c r="K78" s="180">
        <f t="shared" si="525"/>
        <v>0.41877099319491001</v>
      </c>
      <c r="L78" s="180">
        <f t="shared" si="525"/>
        <v>0.41376045863425226</v>
      </c>
      <c r="M78" s="180">
        <f t="shared" si="525"/>
        <v>0.35723267040981765</v>
      </c>
      <c r="P78" s="274"/>
      <c r="Q78" s="274"/>
      <c r="R78" s="274"/>
      <c r="S78" s="274"/>
      <c r="T78" s="274"/>
      <c r="U78" s="274"/>
      <c r="V78" s="274"/>
      <c r="W78" s="274"/>
      <c r="X78" s="274"/>
      <c r="Y78" s="274"/>
      <c r="Z78" s="274"/>
      <c r="AA78" s="274"/>
      <c r="AB78" s="274"/>
      <c r="AC78" s="274"/>
      <c r="AD78" s="274"/>
      <c r="AE78" s="274"/>
      <c r="AF78" s="274"/>
      <c r="AG78" s="274"/>
      <c r="AH78" s="274"/>
      <c r="AI78" s="180">
        <f t="shared" ref="AI78:AS78" si="526">IFERROR((AI26-AH26)/(AI15-AH15),0)</f>
        <v>2.3325062034739455E-2</v>
      </c>
      <c r="AJ78" s="180">
        <f t="shared" si="526"/>
        <v>0.14314652261985153</v>
      </c>
      <c r="AK78" s="180">
        <f t="shared" si="526"/>
        <v>4.87884741322855E-2</v>
      </c>
      <c r="AL78" s="180">
        <f t="shared" si="526"/>
        <v>0.79338842975206558</v>
      </c>
      <c r="AM78" s="180">
        <f t="shared" si="526"/>
        <v>0.82294188861985418</v>
      </c>
      <c r="AN78" s="180">
        <f t="shared" si="526"/>
        <v>0.96307266982622397</v>
      </c>
      <c r="AO78" s="180">
        <f t="shared" si="526"/>
        <v>1.3429541595925287</v>
      </c>
      <c r="AP78" s="180">
        <f t="shared" si="526"/>
        <v>0.98701298701298701</v>
      </c>
      <c r="AQ78" s="180">
        <f t="shared" si="526"/>
        <v>6.9503980404164126E-2</v>
      </c>
      <c r="AR78" s="180">
        <f t="shared" si="526"/>
        <v>1.0477150537634403</v>
      </c>
      <c r="AS78" s="180">
        <f t="shared" si="526"/>
        <v>0.37660736304386105</v>
      </c>
      <c r="AT78" s="180">
        <f>IFERROR((AT26-AS26)/(AT15-AS15),0)</f>
        <v>0.43648960739030052</v>
      </c>
      <c r="AU78" s="180">
        <f t="shared" ref="AU78:BF78" si="527">IFERROR((AU26-AT26)/(AU15-AT15),0)</f>
        <v>0.36866889388877505</v>
      </c>
      <c r="AV78" s="180">
        <f t="shared" si="527"/>
        <v>0.37666666666666693</v>
      </c>
      <c r="AW78" s="180">
        <f t="shared" si="527"/>
        <v>0.4200000000000001</v>
      </c>
      <c r="AX78" s="180">
        <f t="shared" si="527"/>
        <v>0.42999999999999977</v>
      </c>
      <c r="AY78" s="180">
        <f t="shared" si="527"/>
        <v>0.44000000000000022</v>
      </c>
      <c r="AZ78" s="180">
        <f t="shared" si="527"/>
        <v>0.44999999999999929</v>
      </c>
      <c r="BA78" s="180">
        <f t="shared" si="527"/>
        <v>0.35000000000000009</v>
      </c>
      <c r="BB78" s="180">
        <f t="shared" si="527"/>
        <v>0.34999999999999992</v>
      </c>
      <c r="BC78" s="180">
        <f t="shared" si="527"/>
        <v>0.34999999999999948</v>
      </c>
      <c r="BD78" s="180">
        <f t="shared" si="527"/>
        <v>0.35000000000000075</v>
      </c>
      <c r="BE78" s="180">
        <f t="shared" si="527"/>
        <v>0.34999999999999915</v>
      </c>
      <c r="BF78" s="180">
        <f t="shared" si="527"/>
        <v>0.35000000000000092</v>
      </c>
      <c r="BJ78" s="116">
        <f t="shared" si="519"/>
        <v>69</v>
      </c>
    </row>
    <row r="79" spans="2:62" outlineLevel="1">
      <c r="B79" s="2" t="s">
        <v>419</v>
      </c>
      <c r="BJ79" s="116">
        <f t="shared" si="519"/>
        <v>70</v>
      </c>
    </row>
    <row r="80" spans="2:62" outlineLevel="1">
      <c r="B80" s="18" t="s">
        <v>19</v>
      </c>
      <c r="C80" s="224"/>
      <c r="D80" s="93">
        <f t="shared" ref="D80:M80" si="528">+D16/C16-1</f>
        <v>0.57836752084728227</v>
      </c>
      <c r="E80" s="93">
        <f t="shared" si="528"/>
        <v>0.15153677066059923</v>
      </c>
      <c r="F80" s="93">
        <f t="shared" si="528"/>
        <v>-0.33536586151244319</v>
      </c>
      <c r="G80" s="93">
        <f t="shared" si="528"/>
        <v>0.33197029480391627</v>
      </c>
      <c r="H80" s="93">
        <f t="shared" si="528"/>
        <v>-0.53261011898699562</v>
      </c>
      <c r="I80" s="93">
        <f t="shared" si="528"/>
        <v>-0.52698310909668211</v>
      </c>
      <c r="J80" s="93">
        <f t="shared" si="528"/>
        <v>0.54353706128949453</v>
      </c>
      <c r="K80" s="93">
        <f t="shared" si="528"/>
        <v>1.0388771928908254</v>
      </c>
      <c r="L80" s="93">
        <f t="shared" si="528"/>
        <v>0.21550625000000045</v>
      </c>
      <c r="M80" s="93">
        <f t="shared" si="528"/>
        <v>0.12913244748586172</v>
      </c>
      <c r="P80" s="93">
        <f t="shared" ref="P80:AT80" si="529">+P16/O16-1</f>
        <v>0.11494841344923157</v>
      </c>
      <c r="Q80" s="93">
        <f t="shared" si="529"/>
        <v>0.2208191501043153</v>
      </c>
      <c r="R80" s="93">
        <f t="shared" si="529"/>
        <v>-6.1063958527531104E-2</v>
      </c>
      <c r="S80" s="93">
        <f t="shared" si="529"/>
        <v>1.7060001741705078E-2</v>
      </c>
      <c r="T80" s="93">
        <f t="shared" si="529"/>
        <v>0.32928614852426175</v>
      </c>
      <c r="U80" s="93">
        <f t="shared" si="529"/>
        <v>0.22865645491671271</v>
      </c>
      <c r="V80" s="93">
        <f t="shared" si="529"/>
        <v>0.10843329279033664</v>
      </c>
      <c r="W80" s="93">
        <f t="shared" si="529"/>
        <v>0.14345849867803073</v>
      </c>
      <c r="X80" s="93">
        <f t="shared" si="529"/>
        <v>-5.4368418004781649E-2</v>
      </c>
      <c r="Y80" s="93">
        <f t="shared" si="529"/>
        <v>-0.33676415267656401</v>
      </c>
      <c r="Z80" s="93">
        <f t="shared" si="529"/>
        <v>1.8143446001648744E-2</v>
      </c>
      <c r="AA80" s="93">
        <f t="shared" si="529"/>
        <v>-0.13049308182619068</v>
      </c>
      <c r="AB80" s="93">
        <f t="shared" si="529"/>
        <v>-0.12002443548807651</v>
      </c>
      <c r="AC80" s="93">
        <f t="shared" si="529"/>
        <v>0.11032001354554688</v>
      </c>
      <c r="AD80" s="93">
        <f t="shared" si="529"/>
        <v>1.0301103308400172E-2</v>
      </c>
      <c r="AE80" s="93">
        <f t="shared" si="529"/>
        <v>8.4708155348598435E-2</v>
      </c>
      <c r="AF80" s="93">
        <f t="shared" si="529"/>
        <v>0.12533570822259033</v>
      </c>
      <c r="AG80" s="93">
        <f t="shared" si="529"/>
        <v>0.18360949672313587</v>
      </c>
      <c r="AH80" s="93">
        <f t="shared" si="529"/>
        <v>-5.4221493232761153E-3</v>
      </c>
      <c r="AI80" s="93">
        <f t="shared" ref="AI80:AS80" si="530">+AI16/AH16-1</f>
        <v>-0.3596657545470302</v>
      </c>
      <c r="AJ80" s="93">
        <f t="shared" si="530"/>
        <v>-0.32022900450298974</v>
      </c>
      <c r="AK80" s="93">
        <f t="shared" si="530"/>
        <v>-0.28987535745743687</v>
      </c>
      <c r="AL80" s="93">
        <f t="shared" si="530"/>
        <v>-2.1477239902808698E-2</v>
      </c>
      <c r="AM80" s="93">
        <f t="shared" si="530"/>
        <v>-0.38745246488044582</v>
      </c>
      <c r="AN80" s="93">
        <f t="shared" si="530"/>
        <v>-0.27046717314888313</v>
      </c>
      <c r="AO80" s="93">
        <f t="shared" si="530"/>
        <v>0.74268505925782002</v>
      </c>
      <c r="AP80" s="93">
        <f t="shared" si="530"/>
        <v>2.7738137709596877E-2</v>
      </c>
      <c r="AQ80" s="93">
        <f t="shared" si="530"/>
        <v>-4.3738609737047573E-2</v>
      </c>
      <c r="AR80" s="93">
        <f t="shared" si="530"/>
        <v>0.38817043288864683</v>
      </c>
      <c r="AS80" s="93">
        <f t="shared" si="530"/>
        <v>-0.1822832393560514</v>
      </c>
      <c r="AT80" s="93">
        <f t="shared" si="529"/>
        <v>0.58396626159258069</v>
      </c>
      <c r="AU80" s="175">
        <v>0.4</v>
      </c>
      <c r="AV80" s="175">
        <v>0.05</v>
      </c>
      <c r="AW80" s="175">
        <v>0.05</v>
      </c>
      <c r="AX80" s="175">
        <v>0.05</v>
      </c>
      <c r="AY80" s="175">
        <v>0.05</v>
      </c>
      <c r="AZ80" s="175">
        <v>0.05</v>
      </c>
      <c r="BA80" s="175">
        <v>0.05</v>
      </c>
      <c r="BB80" s="175">
        <v>0.05</v>
      </c>
      <c r="BC80" s="175">
        <v>0.02</v>
      </c>
      <c r="BD80" s="175">
        <v>0.02</v>
      </c>
      <c r="BE80" s="175">
        <v>0.02</v>
      </c>
      <c r="BF80" s="175">
        <v>0.02</v>
      </c>
      <c r="BJ80" s="116">
        <f t="shared" si="519"/>
        <v>71</v>
      </c>
    </row>
    <row r="81" spans="1:62" outlineLevel="1">
      <c r="B81" s="17" t="s">
        <v>20</v>
      </c>
      <c r="C81" s="93">
        <f t="shared" ref="C81:M81" si="531">+C27/C16</f>
        <v>0.16588630798260115</v>
      </c>
      <c r="D81" s="93">
        <f t="shared" si="531"/>
        <v>0.13316553100981005</v>
      </c>
      <c r="E81" s="93">
        <f t="shared" si="531"/>
        <v>0.15215882056691821</v>
      </c>
      <c r="F81" s="93">
        <f t="shared" si="531"/>
        <v>5.4478259858450707E-2</v>
      </c>
      <c r="G81" s="93">
        <f t="shared" si="531"/>
        <v>0.11832789661604359</v>
      </c>
      <c r="H81" s="93">
        <f t="shared" si="531"/>
        <v>6.4238975463674908E-2</v>
      </c>
      <c r="I81" s="93">
        <f t="shared" si="531"/>
        <v>-0.11470144980947802</v>
      </c>
      <c r="J81" s="93">
        <f t="shared" si="531"/>
        <v>-8.2859359944061184E-2</v>
      </c>
      <c r="K81" s="93">
        <f t="shared" si="531"/>
        <v>5.8873002523129455E-5</v>
      </c>
      <c r="L81" s="93">
        <f t="shared" si="531"/>
        <v>7.8533105188364608E-2</v>
      </c>
      <c r="M81" s="93">
        <f t="shared" si="531"/>
        <v>0.1</v>
      </c>
      <c r="P81" s="93">
        <f t="shared" ref="P81:AT81" si="532">+P27/P16</f>
        <v>0.15962745939686754</v>
      </c>
      <c r="Q81" s="93">
        <f t="shared" si="532"/>
        <v>0.19550605897071088</v>
      </c>
      <c r="R81" s="93">
        <f t="shared" si="532"/>
        <v>0.14095619611599755</v>
      </c>
      <c r="S81" s="93">
        <f t="shared" si="532"/>
        <v>0.13032049251213729</v>
      </c>
      <c r="T81" s="93">
        <f t="shared" si="532"/>
        <v>0.1351145923244399</v>
      </c>
      <c r="U81" s="93">
        <f t="shared" si="532"/>
        <v>0.15317388751415509</v>
      </c>
      <c r="V81" s="93">
        <f t="shared" si="532"/>
        <v>0.11525491067839018</v>
      </c>
      <c r="W81" s="93">
        <f t="shared" si="532"/>
        <v>0.17301185483003664</v>
      </c>
      <c r="X81" s="93">
        <f t="shared" si="532"/>
        <v>0.17081193627686841</v>
      </c>
      <c r="Y81" s="93">
        <f t="shared" si="532"/>
        <v>0.14024072547403132</v>
      </c>
      <c r="Z81" s="93">
        <f t="shared" si="532"/>
        <v>0.10358475410685598</v>
      </c>
      <c r="AA81" s="93">
        <f t="shared" si="532"/>
        <v>6.9536843203134899E-2</v>
      </c>
      <c r="AB81" s="93">
        <f t="shared" si="532"/>
        <v>1.9243142566881137E-2</v>
      </c>
      <c r="AC81" s="93">
        <f t="shared" si="532"/>
        <v>8.0571249933283004E-2</v>
      </c>
      <c r="AD81" s="93">
        <f t="shared" si="532"/>
        <v>4.4806870839685438E-2</v>
      </c>
      <c r="AE81" s="93">
        <f t="shared" si="532"/>
        <v>0.11473915645046825</v>
      </c>
      <c r="AF81" s="93">
        <f t="shared" si="532"/>
        <v>0.10619512798318287</v>
      </c>
      <c r="AG81" s="93">
        <f t="shared" si="532"/>
        <v>0.15750873655562925</v>
      </c>
      <c r="AH81" s="93">
        <f t="shared" si="532"/>
        <v>9.1949012337249683E-2</v>
      </c>
      <c r="AI81" s="93">
        <f t="shared" ref="AI81:AS81" si="533">+AI27/AI16</f>
        <v>0.17278685028584551</v>
      </c>
      <c r="AJ81" s="93">
        <f t="shared" si="533"/>
        <v>7.7946836878748024E-2</v>
      </c>
      <c r="AK81" s="93">
        <f t="shared" si="533"/>
        <v>-3.7160382648293203E-2</v>
      </c>
      <c r="AL81" s="93">
        <f t="shared" si="533"/>
        <v>-8.1664901283231173E-2</v>
      </c>
      <c r="AM81" s="93">
        <f t="shared" si="533"/>
        <v>-0.1250708697131194</v>
      </c>
      <c r="AN81" s="93">
        <f t="shared" si="533"/>
        <v>-0.32978434039246163</v>
      </c>
      <c r="AO81" s="93">
        <f t="shared" si="533"/>
        <v>-7.0883874420264004E-2</v>
      </c>
      <c r="AP81" s="93">
        <f t="shared" si="533"/>
        <v>-2.9310943330729845E-2</v>
      </c>
      <c r="AQ81" s="93">
        <f t="shared" si="533"/>
        <v>-0.11464288955440602</v>
      </c>
      <c r="AR81" s="93">
        <f t="shared" si="533"/>
        <v>-3.515567541063986E-2</v>
      </c>
      <c r="AS81" s="93">
        <f t="shared" si="533"/>
        <v>-0.15865845858650465</v>
      </c>
      <c r="AT81" s="93">
        <f t="shared" si="532"/>
        <v>-5.4158412093527994E-2</v>
      </c>
      <c r="AU81" s="175">
        <v>-3.5000000000000003E-2</v>
      </c>
      <c r="AV81" s="175">
        <v>-0.01</v>
      </c>
      <c r="AW81" s="175">
        <v>0.01</v>
      </c>
      <c r="AX81" s="175">
        <v>0.03</v>
      </c>
      <c r="AY81" s="175">
        <v>0.05</v>
      </c>
      <c r="AZ81" s="175">
        <v>7.0000000000000007E-2</v>
      </c>
      <c r="BA81" s="175">
        <v>0.09</v>
      </c>
      <c r="BB81" s="175">
        <v>0.1</v>
      </c>
      <c r="BC81" s="175">
        <v>0.1</v>
      </c>
      <c r="BD81" s="175">
        <v>0.1</v>
      </c>
      <c r="BE81" s="175">
        <v>0.1</v>
      </c>
      <c r="BF81" s="175">
        <v>0.1</v>
      </c>
      <c r="BJ81" s="116">
        <f t="shared" si="519"/>
        <v>72</v>
      </c>
    </row>
    <row r="82" spans="1:62" outlineLevel="1">
      <c r="B82" s="17" t="s">
        <v>21</v>
      </c>
      <c r="C82" s="224"/>
      <c r="D82" s="180">
        <f t="shared" ref="D82:M82" si="534">IFERROR((D27-C27)/(D16-C16),0)</f>
        <v>7.6591162994025477E-2</v>
      </c>
      <c r="E82" s="180">
        <f t="shared" si="534"/>
        <v>0.27749664764552145</v>
      </c>
      <c r="F82" s="180">
        <f t="shared" si="534"/>
        <v>0.34574392496802608</v>
      </c>
      <c r="G82" s="180">
        <f t="shared" si="534"/>
        <v>0.31066328853810316</v>
      </c>
      <c r="H82" s="180">
        <f t="shared" si="534"/>
        <v>0.1657934131736527</v>
      </c>
      <c r="I82" s="180">
        <f t="shared" si="534"/>
        <v>0.22485483232616801</v>
      </c>
      <c r="J82" s="180">
        <f t="shared" si="534"/>
        <v>-2.427625286048116E-2</v>
      </c>
      <c r="K82" s="180">
        <f t="shared" si="534"/>
        <v>7.9874113450580694E-2</v>
      </c>
      <c r="L82" s="180">
        <f t="shared" si="534"/>
        <v>0.44267211362009828</v>
      </c>
      <c r="M82" s="180">
        <f t="shared" si="534"/>
        <v>0.26623935524791875</v>
      </c>
      <c r="P82" s="180">
        <f t="shared" ref="P82:BF82" si="535">IFERROR((P27-O27)/(P16-O16),0)</f>
        <v>0.11802865995352431</v>
      </c>
      <c r="Q82" s="180">
        <f t="shared" si="535"/>
        <v>0.3579856245196873</v>
      </c>
      <c r="R82" s="180">
        <f t="shared" si="535"/>
        <v>1.0342795929298334</v>
      </c>
      <c r="S82" s="180">
        <f t="shared" si="535"/>
        <v>-0.49310872894333729</v>
      </c>
      <c r="T82" s="180">
        <f t="shared" si="535"/>
        <v>0.14967366149205599</v>
      </c>
      <c r="U82" s="180">
        <f t="shared" si="535"/>
        <v>0.23215392416474173</v>
      </c>
      <c r="V82" s="180">
        <f t="shared" si="535"/>
        <v>-0.23444374607165314</v>
      </c>
      <c r="W82" s="180">
        <f t="shared" si="535"/>
        <v>0.575615706702713</v>
      </c>
      <c r="X82" s="180">
        <f t="shared" si="535"/>
        <v>0.21127510651247716</v>
      </c>
      <c r="Y82" s="180">
        <f t="shared" si="535"/>
        <v>0.23102001584641957</v>
      </c>
      <c r="Z82" s="180">
        <f t="shared" si="535"/>
        <v>-1.9167575427117378</v>
      </c>
      <c r="AA82" s="180">
        <f t="shared" si="535"/>
        <v>0.33045420699925521</v>
      </c>
      <c r="AB82" s="180">
        <f t="shared" si="535"/>
        <v>0.4382719880826767</v>
      </c>
      <c r="AC82" s="180">
        <f t="shared" si="535"/>
        <v>0.63648223467116849</v>
      </c>
      <c r="AD82" s="180">
        <f t="shared" si="535"/>
        <v>-3.4270910436713566</v>
      </c>
      <c r="AE82" s="180">
        <f t="shared" si="535"/>
        <v>0.94030648610121248</v>
      </c>
      <c r="AF82" s="180">
        <f t="shared" si="535"/>
        <v>3.8025979793493855E-2</v>
      </c>
      <c r="AG82" s="180">
        <f t="shared" si="535"/>
        <v>0.43698016634676901</v>
      </c>
      <c r="AH82" s="180">
        <f t="shared" si="535"/>
        <v>12.183044315992163</v>
      </c>
      <c r="AI82" s="180">
        <f t="shared" ref="AI82:AS82" si="536">IFERROR((AI27-AH27)/(AI16-AH16),0)</f>
        <v>-5.1971378504672858E-2</v>
      </c>
      <c r="AJ82" s="180">
        <f t="shared" si="536"/>
        <v>0.37410993289278205</v>
      </c>
      <c r="AK82" s="180">
        <f t="shared" si="536"/>
        <v>0.35993173493173503</v>
      </c>
      <c r="AL82" s="180">
        <f t="shared" si="536"/>
        <v>1.9905063291139198</v>
      </c>
      <c r="AM82" s="180">
        <f t="shared" si="536"/>
        <v>-1.304172455519206E-2</v>
      </c>
      <c r="AN82" s="180">
        <f t="shared" si="536"/>
        <v>0.42710407714076076</v>
      </c>
      <c r="AO82" s="180">
        <f t="shared" si="536"/>
        <v>0.27771673729922042</v>
      </c>
      <c r="AP82" s="180">
        <f t="shared" si="536"/>
        <v>1.469453376205788</v>
      </c>
      <c r="AQ82" s="180">
        <f t="shared" si="536"/>
        <v>1.8363095238095255</v>
      </c>
      <c r="AR82" s="180">
        <f t="shared" si="536"/>
        <v>0.16961832953416331</v>
      </c>
      <c r="AS82" s="180">
        <f t="shared" si="536"/>
        <v>0.51887384560207983</v>
      </c>
      <c r="AT82" s="180">
        <f t="shared" si="535"/>
        <v>0.12479036177567855</v>
      </c>
      <c r="AU82" s="180">
        <f t="shared" si="535"/>
        <v>1.2896030233819994E-2</v>
      </c>
      <c r="AV82" s="180">
        <f t="shared" si="535"/>
        <v>0.48999999999999949</v>
      </c>
      <c r="AW82" s="180">
        <f t="shared" si="535"/>
        <v>0.40999999999999948</v>
      </c>
      <c r="AX82" s="180">
        <f t="shared" si="535"/>
        <v>0.43000000000000022</v>
      </c>
      <c r="AY82" s="180">
        <f t="shared" si="535"/>
        <v>0.44999999999999896</v>
      </c>
      <c r="AZ82" s="180">
        <f t="shared" si="535"/>
        <v>0.46999999999999953</v>
      </c>
      <c r="BA82" s="180">
        <f t="shared" si="535"/>
        <v>0.48999999999999888</v>
      </c>
      <c r="BB82" s="180">
        <f t="shared" si="535"/>
        <v>0.30000000000000027</v>
      </c>
      <c r="BC82" s="180">
        <f t="shared" si="535"/>
        <v>0.10000000000000012</v>
      </c>
      <c r="BD82" s="180">
        <f t="shared" si="535"/>
        <v>0.10000000000000034</v>
      </c>
      <c r="BE82" s="180">
        <f t="shared" si="535"/>
        <v>9.9999999999999561E-2</v>
      </c>
      <c r="BF82" s="180">
        <f t="shared" si="535"/>
        <v>0.10000000000000064</v>
      </c>
      <c r="BJ82" s="116">
        <f t="shared" si="519"/>
        <v>73</v>
      </c>
    </row>
    <row r="83" spans="1:62" outlineLevel="1">
      <c r="B83" s="11"/>
      <c r="BJ83" s="116">
        <f t="shared" si="519"/>
        <v>74</v>
      </c>
    </row>
    <row r="84" spans="1:62" outlineLevel="1">
      <c r="A84" s="72" t="s">
        <v>322</v>
      </c>
      <c r="B84" s="2" t="s">
        <v>347</v>
      </c>
      <c r="BJ84" s="116">
        <f t="shared" si="519"/>
        <v>75</v>
      </c>
    </row>
    <row r="85" spans="1:62" outlineLevel="1">
      <c r="B85" s="39" t="s">
        <v>346</v>
      </c>
      <c r="BJ85" s="116">
        <f t="shared" si="519"/>
        <v>76</v>
      </c>
    </row>
    <row r="86" spans="1:62" outlineLevel="1">
      <c r="B86" s="23" t="s">
        <v>4</v>
      </c>
      <c r="C86" s="50">
        <f t="shared" ref="C86:M90" si="537">SUMIFS($O86:$BG86,$O$5:$BG$5,C$5)</f>
        <v>-49.955025600000198</v>
      </c>
      <c r="D86" s="50">
        <f t="shared" si="537"/>
        <v>-59.01394010000007</v>
      </c>
      <c r="E86" s="50">
        <f t="shared" si="537"/>
        <v>-66.532583600000123</v>
      </c>
      <c r="F86" s="50">
        <f t="shared" si="537"/>
        <v>-70.543942200000004</v>
      </c>
      <c r="G86" s="50">
        <f t="shared" si="537"/>
        <v>-70.089266079207931</v>
      </c>
      <c r="H86" s="50">
        <f t="shared" si="537"/>
        <v>-51.949579999999983</v>
      </c>
      <c r="I86" s="50">
        <f t="shared" si="537"/>
        <v>-29.069751000000011</v>
      </c>
      <c r="J86" s="50">
        <f t="shared" si="537"/>
        <v>-36.693344999999994</v>
      </c>
      <c r="K86" s="50">
        <f t="shared" si="537"/>
        <v>-39.003105380265694</v>
      </c>
      <c r="L86" s="50">
        <f t="shared" si="537"/>
        <v>-42.218215603468629</v>
      </c>
      <c r="M86" s="50">
        <f t="shared" si="537"/>
        <v>-45.698354307008259</v>
      </c>
      <c r="O86" s="50">
        <f>O172</f>
        <v>-10.360737000000086</v>
      </c>
      <c r="P86" s="50">
        <f t="shared" ref="P86:AT86" si="538">P172</f>
        <v>-11.924455400000028</v>
      </c>
      <c r="Q86" s="50">
        <f t="shared" si="538"/>
        <v>-14.493034000000051</v>
      </c>
      <c r="R86" s="50">
        <f t="shared" si="538"/>
        <v>-13.176799200000033</v>
      </c>
      <c r="S86" s="50">
        <f t="shared" si="538"/>
        <v>-14.852868000000029</v>
      </c>
      <c r="T86" s="50">
        <f t="shared" si="538"/>
        <v>-13.842864500000019</v>
      </c>
      <c r="U86" s="50">
        <f t="shared" si="538"/>
        <v>-14.934906800000022</v>
      </c>
      <c r="V86" s="50">
        <f t="shared" si="538"/>
        <v>-15.383300800000001</v>
      </c>
      <c r="W86" s="50">
        <f t="shared" si="538"/>
        <v>-17.26657380000006</v>
      </c>
      <c r="X86" s="50">
        <f t="shared" si="538"/>
        <v>-15.965378200000032</v>
      </c>
      <c r="Y86" s="50">
        <f t="shared" si="538"/>
        <v>-16.150056000000035</v>
      </c>
      <c r="Z86" s="50">
        <f t="shared" si="538"/>
        <v>-17.150575599999996</v>
      </c>
      <c r="AA86" s="50">
        <f t="shared" si="538"/>
        <v>-17.507511999999991</v>
      </c>
      <c r="AB86" s="50">
        <f t="shared" si="538"/>
        <v>-18.491820999999987</v>
      </c>
      <c r="AC86" s="50">
        <f t="shared" si="538"/>
        <v>-31.693715999999995</v>
      </c>
      <c r="AD86" s="50">
        <f t="shared" si="538"/>
        <v>-2.85089320000003</v>
      </c>
      <c r="AE86" s="50">
        <f t="shared" si="538"/>
        <v>-18.254361999999986</v>
      </c>
      <c r="AF86" s="50">
        <f t="shared" si="538"/>
        <v>-17.624279999999999</v>
      </c>
      <c r="AG86" s="50">
        <f t="shared" si="538"/>
        <v>-16.428024079207944</v>
      </c>
      <c r="AH86" s="50">
        <f t="shared" si="538"/>
        <v>-17.782600000000002</v>
      </c>
      <c r="AI86" s="50">
        <f t="shared" si="538"/>
        <v>-14.956559999999996</v>
      </c>
      <c r="AJ86" s="50">
        <f t="shared" si="538"/>
        <v>-15.969903999999985</v>
      </c>
      <c r="AK86" s="50">
        <f t="shared" si="538"/>
        <v>-11.408252000000005</v>
      </c>
      <c r="AL86" s="50">
        <f t="shared" si="538"/>
        <v>-9.6148639999999972</v>
      </c>
      <c r="AM86" s="50">
        <f t="shared" si="538"/>
        <v>-8.2295450000000017</v>
      </c>
      <c r="AN86" s="50">
        <f t="shared" si="538"/>
        <v>-6.6155020000000064</v>
      </c>
      <c r="AO86" s="50">
        <f t="shared" si="538"/>
        <v>-7.4041679999999985</v>
      </c>
      <c r="AP86" s="50">
        <f t="shared" si="538"/>
        <v>-6.8205360000000042</v>
      </c>
      <c r="AQ86" s="50">
        <f t="shared" si="538"/>
        <v>-9.2878399999999992</v>
      </c>
      <c r="AR86" s="50">
        <f t="shared" si="538"/>
        <v>-8.8165610000000001</v>
      </c>
      <c r="AS86" s="50">
        <f t="shared" si="538"/>
        <v>-9.3650560000000027</v>
      </c>
      <c r="AT86" s="50">
        <f t="shared" si="538"/>
        <v>-9.2238879999999952</v>
      </c>
      <c r="AU86" s="178">
        <f t="shared" ref="AU86:BF86" si="539">+AT86/AT$90*AU$90</f>
        <v>-9.4630797931937476</v>
      </c>
      <c r="AV86" s="178">
        <f t="shared" si="539"/>
        <v>-9.6523413890576233</v>
      </c>
      <c r="AW86" s="178">
        <f t="shared" si="539"/>
        <v>-9.8453882168387761</v>
      </c>
      <c r="AX86" s="178">
        <f t="shared" si="539"/>
        <v>-10.042295981175551</v>
      </c>
      <c r="AY86" s="178">
        <f t="shared" si="539"/>
        <v>-10.243141900799063</v>
      </c>
      <c r="AZ86" s="178">
        <f t="shared" si="539"/>
        <v>-10.448004738815046</v>
      </c>
      <c r="BA86" s="178">
        <f t="shared" si="539"/>
        <v>-10.656964833591347</v>
      </c>
      <c r="BB86" s="178">
        <f t="shared" si="539"/>
        <v>-10.870104130263174</v>
      </c>
      <c r="BC86" s="178">
        <f t="shared" si="539"/>
        <v>-11.087506212868437</v>
      </c>
      <c r="BD86" s="178">
        <f t="shared" si="539"/>
        <v>-11.309256337125806</v>
      </c>
      <c r="BE86" s="178">
        <f t="shared" si="539"/>
        <v>-11.535441463868322</v>
      </c>
      <c r="BF86" s="178">
        <f t="shared" si="539"/>
        <v>-11.766150293145689</v>
      </c>
      <c r="BJ86" s="116">
        <f t="shared" si="519"/>
        <v>77</v>
      </c>
    </row>
    <row r="87" spans="1:62" outlineLevel="1">
      <c r="B87" s="23" t="s">
        <v>5</v>
      </c>
      <c r="C87" s="50">
        <f t="shared" si="537"/>
        <v>-17.592134499999993</v>
      </c>
      <c r="D87" s="50">
        <f t="shared" si="537"/>
        <v>-21.367574900000005</v>
      </c>
      <c r="E87" s="50">
        <f t="shared" si="537"/>
        <v>-21.1695356</v>
      </c>
      <c r="F87" s="50">
        <f t="shared" si="537"/>
        <v>-29.819630400000001</v>
      </c>
      <c r="G87" s="50">
        <f t="shared" si="537"/>
        <v>-20.476354399999991</v>
      </c>
      <c r="H87" s="50">
        <f t="shared" si="537"/>
        <v>-12.570757700000001</v>
      </c>
      <c r="I87" s="50">
        <f t="shared" si="537"/>
        <v>-6.4983847000000008</v>
      </c>
      <c r="J87" s="50">
        <f t="shared" si="537"/>
        <v>-6.683236400000002</v>
      </c>
      <c r="K87" s="50">
        <f t="shared" si="537"/>
        <v>-7.3415019307712033</v>
      </c>
      <c r="L87" s="50">
        <f t="shared" si="537"/>
        <v>-7.9466777925688437</v>
      </c>
      <c r="M87" s="50">
        <f t="shared" si="537"/>
        <v>-8.6017396078343236</v>
      </c>
      <c r="O87" s="176">
        <f>O238</f>
        <v>-4.1183079999999954</v>
      </c>
      <c r="P87" s="176">
        <f t="shared" ref="P87:AT87" si="540">P238</f>
        <v>-4.8001117000000013</v>
      </c>
      <c r="Q87" s="176">
        <f t="shared" si="540"/>
        <v>-3.9158799999999996</v>
      </c>
      <c r="R87" s="176">
        <f t="shared" si="540"/>
        <v>-4.7578347999999977</v>
      </c>
      <c r="S87" s="176">
        <f t="shared" si="540"/>
        <v>-5.137473</v>
      </c>
      <c r="T87" s="176">
        <f t="shared" si="540"/>
        <v>-5.7830474999999986</v>
      </c>
      <c r="U87" s="176">
        <f t="shared" si="540"/>
        <v>-4.8875919999999979</v>
      </c>
      <c r="V87" s="176">
        <f t="shared" si="540"/>
        <v>-5.5594624000000081</v>
      </c>
      <c r="W87" s="176">
        <f t="shared" si="540"/>
        <v>-5.1095394000000027</v>
      </c>
      <c r="X87" s="176">
        <f t="shared" si="540"/>
        <v>-5.1582997999999982</v>
      </c>
      <c r="Y87" s="176">
        <f t="shared" si="540"/>
        <v>-5.2081919999999968</v>
      </c>
      <c r="Z87" s="176">
        <f t="shared" si="540"/>
        <v>-5.6935044000000019</v>
      </c>
      <c r="AA87" s="176">
        <f t="shared" si="540"/>
        <v>-5.8697999999999979</v>
      </c>
      <c r="AB87" s="176">
        <f t="shared" si="540"/>
        <v>-5.6143304000000001</v>
      </c>
      <c r="AC87" s="176">
        <f t="shared" si="540"/>
        <v>-13.175280000000001</v>
      </c>
      <c r="AD87" s="176">
        <f t="shared" si="540"/>
        <v>-5.1602200000000025</v>
      </c>
      <c r="AE87" s="176">
        <f t="shared" si="540"/>
        <v>-5.0247839999999897</v>
      </c>
      <c r="AF87" s="176">
        <f t="shared" si="540"/>
        <v>-5.5068304000000037</v>
      </c>
      <c r="AG87" s="176">
        <f t="shared" si="540"/>
        <v>-4.6885628000000033</v>
      </c>
      <c r="AH87" s="176">
        <f t="shared" si="540"/>
        <v>-5.2561771999999927</v>
      </c>
      <c r="AI87" s="176">
        <f t="shared" si="540"/>
        <v>-4.4038080000000015</v>
      </c>
      <c r="AJ87" s="176">
        <f t="shared" si="540"/>
        <v>-3.1274616999999987</v>
      </c>
      <c r="AK87" s="176">
        <f t="shared" si="540"/>
        <v>-2.5306575999999996</v>
      </c>
      <c r="AL87" s="176">
        <f t="shared" si="540"/>
        <v>-2.5088304000000008</v>
      </c>
      <c r="AM87" s="176">
        <f t="shared" si="540"/>
        <v>-1.9559375000000001</v>
      </c>
      <c r="AN87" s="176">
        <f t="shared" si="540"/>
        <v>-1.7359848000000002</v>
      </c>
      <c r="AO87" s="176">
        <f t="shared" si="540"/>
        <v>-1.3519551999999999</v>
      </c>
      <c r="AP87" s="176">
        <f t="shared" si="540"/>
        <v>-1.4545072000000006</v>
      </c>
      <c r="AQ87" s="176">
        <f t="shared" si="540"/>
        <v>-1.5552999999999999</v>
      </c>
      <c r="AR87" s="176">
        <f t="shared" si="540"/>
        <v>-1.6184624000000012</v>
      </c>
      <c r="AS87" s="176">
        <f t="shared" si="540"/>
        <v>-1.7732740000000002</v>
      </c>
      <c r="AT87" s="176">
        <f t="shared" si="540"/>
        <v>-1.7362000000000002</v>
      </c>
      <c r="AU87" s="178">
        <f t="shared" ref="AU87:BF87" si="541">+AT87/AT$90*AU$90</f>
        <v>-1.7812227486872123</v>
      </c>
      <c r="AV87" s="178">
        <f t="shared" si="541"/>
        <v>-1.8168472036609564</v>
      </c>
      <c r="AW87" s="178">
        <f t="shared" si="541"/>
        <v>-1.8531841477341755</v>
      </c>
      <c r="AX87" s="178">
        <f t="shared" si="541"/>
        <v>-1.8902478306888588</v>
      </c>
      <c r="AY87" s="178">
        <f t="shared" si="541"/>
        <v>-1.9280527873026363</v>
      </c>
      <c r="AZ87" s="178">
        <f t="shared" si="541"/>
        <v>-1.966613843048689</v>
      </c>
      <c r="BA87" s="178">
        <f t="shared" si="541"/>
        <v>-2.0059461199096629</v>
      </c>
      <c r="BB87" s="178">
        <f t="shared" si="541"/>
        <v>-2.0460650423078559</v>
      </c>
      <c r="BC87" s="178">
        <f t="shared" si="541"/>
        <v>-2.0869863431540128</v>
      </c>
      <c r="BD87" s="178">
        <f t="shared" si="541"/>
        <v>-2.1287260700170929</v>
      </c>
      <c r="BE87" s="178">
        <f t="shared" si="541"/>
        <v>-2.1713005914174346</v>
      </c>
      <c r="BF87" s="178">
        <f t="shared" si="541"/>
        <v>-2.2147266032457833</v>
      </c>
      <c r="BJ87" s="116">
        <f t="shared" si="519"/>
        <v>78</v>
      </c>
    </row>
    <row r="88" spans="1:62" outlineLevel="1">
      <c r="B88" s="23" t="s">
        <v>6</v>
      </c>
      <c r="C88" s="50">
        <f t="shared" si="537"/>
        <v>-65.145993799999985</v>
      </c>
      <c r="D88" s="50">
        <f t="shared" si="537"/>
        <v>-76.887445200000002</v>
      </c>
      <c r="E88" s="50">
        <f t="shared" si="537"/>
        <v>-83.646724200000008</v>
      </c>
      <c r="F88" s="50">
        <f t="shared" si="537"/>
        <v>-89.935143199999999</v>
      </c>
      <c r="G88" s="50">
        <f t="shared" si="537"/>
        <v>-98.707234399999976</v>
      </c>
      <c r="H88" s="50">
        <f t="shared" si="537"/>
        <v>-79.510514100000051</v>
      </c>
      <c r="I88" s="50">
        <f t="shared" si="537"/>
        <v>-65.202175900000071</v>
      </c>
      <c r="J88" s="50">
        <f t="shared" si="537"/>
        <v>-62.392883600000076</v>
      </c>
      <c r="K88" s="50">
        <f t="shared" si="537"/>
        <v>-62.286301995371147</v>
      </c>
      <c r="L88" s="50">
        <f t="shared" si="537"/>
        <v>-67.420696407261914</v>
      </c>
      <c r="M88" s="50">
        <f t="shared" si="537"/>
        <v>-72.978330040816729</v>
      </c>
      <c r="O88" s="176">
        <f>O256</f>
        <v>-15.276781</v>
      </c>
      <c r="P88" s="176">
        <f t="shared" ref="P88:AT88" si="542">P256</f>
        <v>-16.392886400000009</v>
      </c>
      <c r="Q88" s="176">
        <f t="shared" si="542"/>
        <v>-16.351991999999996</v>
      </c>
      <c r="R88" s="176">
        <f t="shared" si="542"/>
        <v>-17.124334399999981</v>
      </c>
      <c r="S88" s="176">
        <f t="shared" si="542"/>
        <v>-19.350111999999996</v>
      </c>
      <c r="T88" s="176">
        <f t="shared" si="542"/>
        <v>-19.304297999999989</v>
      </c>
      <c r="U88" s="176">
        <f t="shared" si="542"/>
        <v>-18.561699200000007</v>
      </c>
      <c r="V88" s="176">
        <f t="shared" si="542"/>
        <v>-19.671336000000011</v>
      </c>
      <c r="W88" s="176">
        <f t="shared" si="542"/>
        <v>-20.814046100000013</v>
      </c>
      <c r="X88" s="176">
        <f t="shared" si="542"/>
        <v>-20.328822099999996</v>
      </c>
      <c r="Y88" s="176">
        <f t="shared" si="542"/>
        <v>-21.413753599999993</v>
      </c>
      <c r="Z88" s="176">
        <f t="shared" si="542"/>
        <v>-21.090102400000006</v>
      </c>
      <c r="AA88" s="176">
        <f t="shared" si="542"/>
        <v>-19.95043600000001</v>
      </c>
      <c r="AB88" s="176">
        <f t="shared" si="542"/>
        <v>-24.149262400000012</v>
      </c>
      <c r="AC88" s="176">
        <f t="shared" si="542"/>
        <v>-21.473975999999993</v>
      </c>
      <c r="AD88" s="176">
        <f t="shared" si="542"/>
        <v>-24.361468799999983</v>
      </c>
      <c r="AE88" s="176">
        <f t="shared" si="542"/>
        <v>-23.349102000000016</v>
      </c>
      <c r="AF88" s="176">
        <f t="shared" si="542"/>
        <v>-24.280653199999989</v>
      </c>
      <c r="AG88" s="176">
        <f t="shared" si="542"/>
        <v>-25.814907999999974</v>
      </c>
      <c r="AH88" s="176">
        <f t="shared" si="542"/>
        <v>-25.262571199999996</v>
      </c>
      <c r="AI88" s="176">
        <f t="shared" si="542"/>
        <v>-19.862285000000014</v>
      </c>
      <c r="AJ88" s="176">
        <f t="shared" si="542"/>
        <v>-22.671584300000006</v>
      </c>
      <c r="AK88" s="176">
        <f t="shared" si="542"/>
        <v>-21.262634800000029</v>
      </c>
      <c r="AL88" s="176">
        <f t="shared" si="542"/>
        <v>-15.714010000000002</v>
      </c>
      <c r="AM88" s="176">
        <f t="shared" si="542"/>
        <v>-17.496139499999998</v>
      </c>
      <c r="AN88" s="176">
        <f t="shared" si="542"/>
        <v>-16.731582400000008</v>
      </c>
      <c r="AO88" s="176">
        <f t="shared" si="542"/>
        <v>-15.929229600000042</v>
      </c>
      <c r="AP88" s="176">
        <f t="shared" si="542"/>
        <v>-15.045224400000023</v>
      </c>
      <c r="AQ88" s="176">
        <f t="shared" si="542"/>
        <v>-16.081587999999996</v>
      </c>
      <c r="AR88" s="176">
        <f t="shared" si="542"/>
        <v>-15.270231600000045</v>
      </c>
      <c r="AS88" s="176">
        <f t="shared" si="542"/>
        <v>-16.310906800000026</v>
      </c>
      <c r="AT88" s="176">
        <f t="shared" si="542"/>
        <v>-14.730157200000008</v>
      </c>
      <c r="AU88" s="178">
        <f t="shared" ref="AU88:BF88" si="543">+AT88/AT$90*AU$90</f>
        <v>-15.112136330134051</v>
      </c>
      <c r="AV88" s="178">
        <f t="shared" si="543"/>
        <v>-15.414379056736731</v>
      </c>
      <c r="AW88" s="178">
        <f t="shared" si="543"/>
        <v>-15.722666637871466</v>
      </c>
      <c r="AX88" s="178">
        <f t="shared" si="543"/>
        <v>-16.037119970628893</v>
      </c>
      <c r="AY88" s="178">
        <f t="shared" si="543"/>
        <v>-16.357862370041474</v>
      </c>
      <c r="AZ88" s="178">
        <f t="shared" si="543"/>
        <v>-16.685019617442304</v>
      </c>
      <c r="BA88" s="178">
        <f t="shared" si="543"/>
        <v>-17.018720009791149</v>
      </c>
      <c r="BB88" s="178">
        <f t="shared" si="543"/>
        <v>-17.359094409986973</v>
      </c>
      <c r="BC88" s="178">
        <f t="shared" si="543"/>
        <v>-17.706276298186712</v>
      </c>
      <c r="BD88" s="178">
        <f t="shared" si="543"/>
        <v>-18.060401824150446</v>
      </c>
      <c r="BE88" s="178">
        <f t="shared" si="543"/>
        <v>-18.421609860633453</v>
      </c>
      <c r="BF88" s="178">
        <f t="shared" si="543"/>
        <v>-18.790042057846122</v>
      </c>
      <c r="BJ88" s="116">
        <f t="shared" si="519"/>
        <v>79</v>
      </c>
    </row>
    <row r="89" spans="1:62" outlineLevel="1">
      <c r="B89" s="23" t="s">
        <v>35</v>
      </c>
      <c r="C89" s="50">
        <f t="shared" si="537"/>
        <v>-215.02384609999979</v>
      </c>
      <c r="D89" s="50">
        <f t="shared" si="537"/>
        <v>-340.74903979999993</v>
      </c>
      <c r="E89" s="50">
        <f t="shared" si="537"/>
        <v>-358.70915659999991</v>
      </c>
      <c r="F89" s="50">
        <f t="shared" si="537"/>
        <v>-335.03128419999996</v>
      </c>
      <c r="G89" s="50">
        <f t="shared" si="537"/>
        <v>-360.46114512079214</v>
      </c>
      <c r="H89" s="50">
        <f t="shared" si="537"/>
        <v>-221.55014819999997</v>
      </c>
      <c r="I89" s="50">
        <f t="shared" si="537"/>
        <v>-160.45068839999993</v>
      </c>
      <c r="J89" s="50">
        <f t="shared" si="537"/>
        <v>-196.4835349999999</v>
      </c>
      <c r="K89" s="50">
        <f t="shared" si="537"/>
        <v>-204.61129869359189</v>
      </c>
      <c r="L89" s="50">
        <f t="shared" si="537"/>
        <v>-221.4778500053099</v>
      </c>
      <c r="M89" s="50">
        <f t="shared" si="537"/>
        <v>-239.73474757340358</v>
      </c>
      <c r="O89" s="50">
        <f>+O90-SUM(O86:O88)</f>
        <v>-46.067173999999909</v>
      </c>
      <c r="P89" s="50">
        <f t="shared" ref="P89:AT89" si="544">+P90-SUM(P86:P88)</f>
        <v>-47.878546499999956</v>
      </c>
      <c r="Q89" s="50">
        <f t="shared" si="544"/>
        <v>-52.433093999999954</v>
      </c>
      <c r="R89" s="50">
        <f t="shared" si="544"/>
        <v>-68.645031599999982</v>
      </c>
      <c r="S89" s="50">
        <f t="shared" si="544"/>
        <v>-79.117546999999973</v>
      </c>
      <c r="T89" s="50">
        <f t="shared" si="544"/>
        <v>-86.717789999999994</v>
      </c>
      <c r="U89" s="50">
        <f t="shared" si="544"/>
        <v>-83.987801999999974</v>
      </c>
      <c r="V89" s="50">
        <f t="shared" si="544"/>
        <v>-90.925900799999965</v>
      </c>
      <c r="W89" s="50">
        <f t="shared" si="544"/>
        <v>-93.155840699999928</v>
      </c>
      <c r="X89" s="50">
        <f t="shared" si="544"/>
        <v>-92.159499899999972</v>
      </c>
      <c r="Y89" s="50">
        <f t="shared" si="544"/>
        <v>-87.908998399999987</v>
      </c>
      <c r="Z89" s="50">
        <f t="shared" si="544"/>
        <v>-85.484817600000014</v>
      </c>
      <c r="AA89" s="50">
        <f t="shared" si="544"/>
        <v>-87.550251999999986</v>
      </c>
      <c r="AB89" s="50">
        <f t="shared" si="544"/>
        <v>-82.946586199999999</v>
      </c>
      <c r="AC89" s="50">
        <f t="shared" si="544"/>
        <v>-61.600028000000009</v>
      </c>
      <c r="AD89" s="50">
        <f t="shared" si="544"/>
        <v>-102.93441799999997</v>
      </c>
      <c r="AE89" s="50">
        <f t="shared" si="544"/>
        <v>-87.637752000000006</v>
      </c>
      <c r="AF89" s="50">
        <f t="shared" si="544"/>
        <v>-86.218236399999995</v>
      </c>
      <c r="AG89" s="50">
        <f t="shared" si="544"/>
        <v>-92.035505120792095</v>
      </c>
      <c r="AH89" s="50">
        <f t="shared" si="544"/>
        <v>-94.569651600000014</v>
      </c>
      <c r="AI89" s="50">
        <f t="shared" si="544"/>
        <v>-87.910346999999987</v>
      </c>
      <c r="AJ89" s="50">
        <f t="shared" si="544"/>
        <v>-44.521050000000017</v>
      </c>
      <c r="AK89" s="50">
        <f t="shared" si="544"/>
        <v>-46.546455599999973</v>
      </c>
      <c r="AL89" s="50">
        <f t="shared" si="544"/>
        <v>-42.572295599999997</v>
      </c>
      <c r="AM89" s="50">
        <f t="shared" si="544"/>
        <v>-42.814378000000005</v>
      </c>
      <c r="AN89" s="50">
        <f t="shared" si="544"/>
        <v>-39.720930799999991</v>
      </c>
      <c r="AO89" s="50">
        <f t="shared" si="544"/>
        <v>-39.868647199999963</v>
      </c>
      <c r="AP89" s="50">
        <f t="shared" si="544"/>
        <v>-38.046732399999975</v>
      </c>
      <c r="AQ89" s="50">
        <f t="shared" si="544"/>
        <v>-48.241272000000002</v>
      </c>
      <c r="AR89" s="50">
        <f t="shared" si="544"/>
        <v>-49.332744999999946</v>
      </c>
      <c r="AS89" s="50">
        <f t="shared" si="544"/>
        <v>-50.520763199999969</v>
      </c>
      <c r="AT89" s="50">
        <f t="shared" si="544"/>
        <v>-48.388754800000001</v>
      </c>
      <c r="AU89" s="178">
        <f t="shared" ref="AU89:BF89" si="545">+AT89/AT$90*AU$90</f>
        <v>-49.643561127984981</v>
      </c>
      <c r="AV89" s="178">
        <f t="shared" si="545"/>
        <v>-50.636432350544681</v>
      </c>
      <c r="AW89" s="178">
        <f t="shared" si="545"/>
        <v>-51.649160997555569</v>
      </c>
      <c r="AX89" s="178">
        <f t="shared" si="545"/>
        <v>-52.682144217506682</v>
      </c>
      <c r="AY89" s="178">
        <f t="shared" si="545"/>
        <v>-53.735787101856822</v>
      </c>
      <c r="AZ89" s="178">
        <f t="shared" si="545"/>
        <v>-54.810502843893957</v>
      </c>
      <c r="BA89" s="178">
        <f t="shared" si="545"/>
        <v>-55.906712900771836</v>
      </c>
      <c r="BB89" s="178">
        <f t="shared" si="545"/>
        <v>-57.024847158787274</v>
      </c>
      <c r="BC89" s="178">
        <f t="shared" si="545"/>
        <v>-58.165344101963015</v>
      </c>
      <c r="BD89" s="178">
        <f t="shared" si="545"/>
        <v>-59.328650984002273</v>
      </c>
      <c r="BE89" s="178">
        <f t="shared" si="545"/>
        <v>-60.51522400368232</v>
      </c>
      <c r="BF89" s="178">
        <f t="shared" si="545"/>
        <v>-61.725528483755966</v>
      </c>
      <c r="BJ89" s="116">
        <f t="shared" si="519"/>
        <v>80</v>
      </c>
    </row>
    <row r="90" spans="1:62" outlineLevel="1">
      <c r="B90" s="21" t="s">
        <v>348</v>
      </c>
      <c r="C90" s="185">
        <f t="shared" si="537"/>
        <v>-347.71699999999998</v>
      </c>
      <c r="D90" s="185">
        <f t="shared" si="537"/>
        <v>-498.01800000000003</v>
      </c>
      <c r="E90" s="185">
        <f t="shared" si="537"/>
        <v>-530.05799999999999</v>
      </c>
      <c r="F90" s="185">
        <f t="shared" si="537"/>
        <v>-525.32999999999993</v>
      </c>
      <c r="G90" s="185">
        <f t="shared" si="537"/>
        <v>-549.73399999999992</v>
      </c>
      <c r="H90" s="185">
        <f t="shared" si="537"/>
        <v>-365.58100000000002</v>
      </c>
      <c r="I90" s="185">
        <f t="shared" si="537"/>
        <v>-261.221</v>
      </c>
      <c r="J90" s="185">
        <f t="shared" si="537"/>
        <v>-302.25300000000004</v>
      </c>
      <c r="K90" s="185">
        <f t="shared" si="537"/>
        <v>-313.24220800000001</v>
      </c>
      <c r="L90" s="185">
        <f t="shared" si="537"/>
        <v>-339.06343980860925</v>
      </c>
      <c r="M90" s="185">
        <f t="shared" si="537"/>
        <v>-367.0131715290629</v>
      </c>
      <c r="O90" s="177">
        <v>-75.822999999999993</v>
      </c>
      <c r="P90" s="177">
        <v>-80.995999999999995</v>
      </c>
      <c r="Q90" s="177">
        <v>-87.194000000000003</v>
      </c>
      <c r="R90" s="177">
        <v>-103.70399999999999</v>
      </c>
      <c r="S90" s="177">
        <v>-118.458</v>
      </c>
      <c r="T90" s="177">
        <v>-125.648</v>
      </c>
      <c r="U90" s="177">
        <v>-122.372</v>
      </c>
      <c r="V90" s="177">
        <v>-131.54</v>
      </c>
      <c r="W90" s="177">
        <v>-136.346</v>
      </c>
      <c r="X90" s="177">
        <v>-133.61199999999999</v>
      </c>
      <c r="Y90" s="177">
        <v>-130.68100000000001</v>
      </c>
      <c r="Z90" s="177">
        <v>-129.41900000000001</v>
      </c>
      <c r="AA90" s="177">
        <v>-130.87799999999999</v>
      </c>
      <c r="AB90" s="177">
        <v>-131.202</v>
      </c>
      <c r="AC90" s="177">
        <v>-127.943</v>
      </c>
      <c r="AD90" s="177">
        <v>-135.30699999999999</v>
      </c>
      <c r="AE90" s="177">
        <v>-134.26599999999999</v>
      </c>
      <c r="AF90" s="177">
        <v>-133.63</v>
      </c>
      <c r="AG90" s="177">
        <v>-138.96700000000001</v>
      </c>
      <c r="AH90" s="177">
        <v>-142.87100000000001</v>
      </c>
      <c r="AI90" s="177">
        <v>-127.133</v>
      </c>
      <c r="AJ90" s="177">
        <v>-86.29</v>
      </c>
      <c r="AK90" s="177">
        <v>-81.748000000000005</v>
      </c>
      <c r="AL90" s="177">
        <f>(61.056+9.354)*-1</f>
        <v>-70.41</v>
      </c>
      <c r="AM90" s="177">
        <f>(62.334+8.162)*-1</f>
        <v>-70.496000000000009</v>
      </c>
      <c r="AN90" s="177">
        <f>(56.624+8.18)*-1</f>
        <v>-64.804000000000002</v>
      </c>
      <c r="AO90" s="177">
        <f>(56.078+8.476)*-1</f>
        <v>-64.554000000000002</v>
      </c>
      <c r="AP90" s="177">
        <f>(52.603+8.764)*-1</f>
        <v>-61.367000000000004</v>
      </c>
      <c r="AQ90" s="177">
        <f>(63.409+11.757)*-1</f>
        <v>-75.165999999999997</v>
      </c>
      <c r="AR90" s="177">
        <f>-63.695-11.343</f>
        <v>-75.037999999999997</v>
      </c>
      <c r="AS90" s="177">
        <f>-65.01-12.96</f>
        <v>-77.97</v>
      </c>
      <c r="AT90" s="177">
        <f>-59.07-15.009</f>
        <v>-74.079000000000008</v>
      </c>
      <c r="AU90" s="179">
        <v>-76</v>
      </c>
      <c r="AV90" s="179">
        <f t="shared" ref="AV90:BF90" si="546">+AU90*1.02</f>
        <v>-77.52</v>
      </c>
      <c r="AW90" s="179">
        <f t="shared" si="546"/>
        <v>-79.070399999999992</v>
      </c>
      <c r="AX90" s="179">
        <f t="shared" si="546"/>
        <v>-80.651807999999988</v>
      </c>
      <c r="AY90" s="179">
        <f t="shared" si="546"/>
        <v>-82.264844159999996</v>
      </c>
      <c r="AZ90" s="179">
        <f t="shared" si="546"/>
        <v>-83.910141043199999</v>
      </c>
      <c r="BA90" s="179">
        <f t="shared" si="546"/>
        <v>-85.588343864064001</v>
      </c>
      <c r="BB90" s="179">
        <f t="shared" si="546"/>
        <v>-87.300110741345279</v>
      </c>
      <c r="BC90" s="179">
        <f t="shared" si="546"/>
        <v>-89.04611295617218</v>
      </c>
      <c r="BD90" s="179">
        <f t="shared" si="546"/>
        <v>-90.827035215295624</v>
      </c>
      <c r="BE90" s="179">
        <f t="shared" si="546"/>
        <v>-92.643575919601531</v>
      </c>
      <c r="BF90" s="179">
        <f t="shared" si="546"/>
        <v>-94.496447437993567</v>
      </c>
      <c r="BJ90" s="116">
        <f t="shared" si="519"/>
        <v>81</v>
      </c>
    </row>
    <row r="91" spans="1:62" outlineLevel="1">
      <c r="B91" s="23" t="s">
        <v>37</v>
      </c>
      <c r="C91" s="93">
        <f t="shared" ref="C91:M91" si="547">-C90/C20</f>
        <v>8.2299569989794125E-2</v>
      </c>
      <c r="D91" s="93">
        <f t="shared" si="547"/>
        <v>8.1308676252798154E-2</v>
      </c>
      <c r="E91" s="93">
        <f t="shared" si="547"/>
        <v>7.6450004139386851E-2</v>
      </c>
      <c r="F91" s="93">
        <f t="shared" si="547"/>
        <v>8.5881161842169138E-2</v>
      </c>
      <c r="G91" s="93">
        <f t="shared" si="547"/>
        <v>8.1151168175357155E-2</v>
      </c>
      <c r="H91" s="93">
        <f t="shared" si="547"/>
        <v>9.4795542407262942E-2</v>
      </c>
      <c r="I91" s="93">
        <f t="shared" si="547"/>
        <v>0.12088309757933934</v>
      </c>
      <c r="J91" s="93">
        <f t="shared" si="547"/>
        <v>0.11787028352932691</v>
      </c>
      <c r="K91" s="93">
        <f t="shared" si="547"/>
        <v>9.6086928135726016E-2</v>
      </c>
      <c r="L91" s="93">
        <f t="shared" si="547"/>
        <v>8.826116309306048E-2</v>
      </c>
      <c r="M91" s="93">
        <f t="shared" si="547"/>
        <v>9.0273833962361799E-2</v>
      </c>
      <c r="O91" s="93">
        <f t="shared" ref="O91:BF91" si="548">-O90/O20</f>
        <v>8.3716642192313187E-2</v>
      </c>
      <c r="P91" s="93">
        <f t="shared" si="548"/>
        <v>8.8493525450246704E-2</v>
      </c>
      <c r="Q91" s="93">
        <f t="shared" si="548"/>
        <v>8.0652814764180653E-2</v>
      </c>
      <c r="R91" s="93">
        <f t="shared" si="548"/>
        <v>7.8389812892170146E-2</v>
      </c>
      <c r="S91" s="93">
        <f t="shared" si="548"/>
        <v>8.4761007274858274E-2</v>
      </c>
      <c r="T91" s="93">
        <f t="shared" si="548"/>
        <v>9.210298692578571E-2</v>
      </c>
      <c r="U91" s="93">
        <f t="shared" si="548"/>
        <v>7.5015708475220447E-2</v>
      </c>
      <c r="V91" s="93">
        <f t="shared" si="548"/>
        <v>7.5947803062277316E-2</v>
      </c>
      <c r="W91" s="93">
        <f t="shared" si="548"/>
        <v>7.2124484110988735E-2</v>
      </c>
      <c r="X91" s="93">
        <f t="shared" si="548"/>
        <v>7.6646181716594056E-2</v>
      </c>
      <c r="Y91" s="93">
        <f t="shared" si="548"/>
        <v>7.5573752952980744E-2</v>
      </c>
      <c r="Z91" s="93">
        <f t="shared" si="548"/>
        <v>8.2403511631579246E-2</v>
      </c>
      <c r="AA91" s="93">
        <f t="shared" si="548"/>
        <v>8.5235998171253505E-2</v>
      </c>
      <c r="AB91" s="93">
        <f t="shared" si="548"/>
        <v>8.9989752847460094E-2</v>
      </c>
      <c r="AC91" s="93">
        <f t="shared" si="548"/>
        <v>8.436623609727277E-2</v>
      </c>
      <c r="AD91" s="93">
        <f t="shared" si="548"/>
        <v>8.4199659236156299E-2</v>
      </c>
      <c r="AE91" s="93">
        <f t="shared" si="548"/>
        <v>8.4464317842399883E-2</v>
      </c>
      <c r="AF91" s="93">
        <f t="shared" si="548"/>
        <v>8.2641663693018022E-2</v>
      </c>
      <c r="AG91" s="93">
        <f t="shared" si="548"/>
        <v>7.790669383023073E-2</v>
      </c>
      <c r="AH91" s="93">
        <f t="shared" si="548"/>
        <v>8.0092003973459461E-2</v>
      </c>
      <c r="AI91" s="93">
        <f t="shared" si="548"/>
        <v>8.9954270374377254E-2</v>
      </c>
      <c r="AJ91" s="93">
        <f t="shared" si="548"/>
        <v>0.10054894667724709</v>
      </c>
      <c r="AK91" s="93">
        <f t="shared" si="548"/>
        <v>9.6451785316080535E-2</v>
      </c>
      <c r="AL91" s="93">
        <f t="shared" si="548"/>
        <v>9.5474811247071065E-2</v>
      </c>
      <c r="AM91" s="93">
        <f t="shared" si="548"/>
        <v>0.11866595070286212</v>
      </c>
      <c r="AN91" s="93">
        <f t="shared" si="548"/>
        <v>0.12287657544402539</v>
      </c>
      <c r="AO91" s="93">
        <f t="shared" si="548"/>
        <v>0.12719273184389465</v>
      </c>
      <c r="AP91" s="93">
        <f t="shared" si="548"/>
        <v>0.11536277982058397</v>
      </c>
      <c r="AQ91" s="93">
        <f t="shared" si="548"/>
        <v>0.13361656741622965</v>
      </c>
      <c r="AR91" s="93">
        <f t="shared" si="548"/>
        <v>0.11885230971481971</v>
      </c>
      <c r="AS91" s="93">
        <f t="shared" si="548"/>
        <v>0.11776113384171344</v>
      </c>
      <c r="AT91" s="93">
        <f t="shared" si="548"/>
        <v>0.10459043566288331</v>
      </c>
      <c r="AU91" s="93">
        <f t="shared" si="548"/>
        <v>0.1005236139594357</v>
      </c>
      <c r="AV91" s="93">
        <f t="shared" si="548"/>
        <v>9.8702922689423628E-2</v>
      </c>
      <c r="AW91" s="93">
        <f t="shared" si="548"/>
        <v>9.3870384776085711E-2</v>
      </c>
      <c r="AX91" s="93">
        <f t="shared" si="548"/>
        <v>9.2044795156572809E-2</v>
      </c>
      <c r="AY91" s="93">
        <f t="shared" si="548"/>
        <v>9.096385960964111E-2</v>
      </c>
      <c r="AZ91" s="93">
        <f t="shared" si="548"/>
        <v>9.0848128539369369E-2</v>
      </c>
      <c r="BA91" s="93">
        <f t="shared" si="548"/>
        <v>8.6343907225998204E-2</v>
      </c>
      <c r="BB91" s="93">
        <f t="shared" si="548"/>
        <v>8.539211297100488E-2</v>
      </c>
      <c r="BC91" s="93">
        <f t="shared" si="548"/>
        <v>8.8671193583790914E-2</v>
      </c>
      <c r="BD91" s="93">
        <f t="shared" si="548"/>
        <v>9.1678812081071537E-2</v>
      </c>
      <c r="BE91" s="93">
        <f t="shared" si="548"/>
        <v>8.987104481378691E-2</v>
      </c>
      <c r="BF91" s="93">
        <f t="shared" si="548"/>
        <v>9.0882342743731914E-2</v>
      </c>
      <c r="BJ91" s="116">
        <f t="shared" si="519"/>
        <v>82</v>
      </c>
    </row>
    <row r="92" spans="1:62" outlineLevel="1">
      <c r="B92" s="12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3"/>
      <c r="AF92" s="93"/>
      <c r="AG92" s="93"/>
      <c r="AH92" s="93"/>
      <c r="AI92" s="93"/>
      <c r="AJ92" s="93"/>
      <c r="AK92" s="93"/>
      <c r="AL92" s="93"/>
      <c r="AM92" s="93"/>
      <c r="AN92" s="93"/>
      <c r="AO92" s="93"/>
      <c r="AP92" s="93"/>
      <c r="AQ92" s="93"/>
      <c r="AR92" s="93"/>
      <c r="AS92" s="93"/>
      <c r="AT92" s="93"/>
      <c r="AU92" s="93"/>
      <c r="AV92" s="93"/>
      <c r="AW92" s="93"/>
      <c r="AX92" s="93"/>
      <c r="AY92" s="93"/>
      <c r="AZ92" s="93"/>
      <c r="BA92" s="93"/>
      <c r="BB92" s="93"/>
      <c r="BC92" s="93"/>
      <c r="BD92" s="93"/>
      <c r="BE92" s="93"/>
      <c r="BF92" s="93"/>
      <c r="BJ92" s="116">
        <f t="shared" si="519"/>
        <v>83</v>
      </c>
    </row>
    <row r="93" spans="1:62" outlineLevel="1">
      <c r="B93" s="12" t="s">
        <v>349</v>
      </c>
      <c r="C93" s="93"/>
      <c r="D93" s="93">
        <f t="shared" ref="D93:M93" si="549">-D32/C360</f>
        <v>0.12087195836845088</v>
      </c>
      <c r="E93" s="93">
        <f t="shared" si="549"/>
        <v>0.12140933442688982</v>
      </c>
      <c r="F93" s="93">
        <f t="shared" si="549"/>
        <v>0.12473209637000911</v>
      </c>
      <c r="G93" s="93">
        <f t="shared" si="549"/>
        <v>0.13318503205408164</v>
      </c>
      <c r="H93" s="93">
        <f t="shared" si="549"/>
        <v>0.11285555216373759</v>
      </c>
      <c r="I93" s="93">
        <f t="shared" si="549"/>
        <v>0.12324351198283616</v>
      </c>
      <c r="J93" s="93">
        <f t="shared" si="549"/>
        <v>0.13449251489768863</v>
      </c>
      <c r="K93" s="93">
        <f t="shared" si="549"/>
        <v>0.13820700794224497</v>
      </c>
      <c r="L93" s="93">
        <f t="shared" si="549"/>
        <v>0.13812939879266925</v>
      </c>
      <c r="M93" s="93">
        <f t="shared" si="549"/>
        <v>0.13899447802605569</v>
      </c>
      <c r="P93" s="93">
        <f t="shared" ref="P93:AT93" si="550">-4*P32/O360</f>
        <v>9.2172110823518089E-2</v>
      </c>
      <c r="Q93" s="93">
        <f t="shared" si="550"/>
        <v>0.1067472714678921</v>
      </c>
      <c r="R93" s="93">
        <f t="shared" si="550"/>
        <v>0.11234979785345968</v>
      </c>
      <c r="S93" s="93">
        <f t="shared" si="550"/>
        <v>0.11754967967808252</v>
      </c>
      <c r="T93" s="93">
        <f t="shared" si="550"/>
        <v>0.11464956493622019</v>
      </c>
      <c r="U93" s="93">
        <f t="shared" si="550"/>
        <v>0.11782659821162496</v>
      </c>
      <c r="V93" s="93">
        <f t="shared" si="550"/>
        <v>0.11181114424930336</v>
      </c>
      <c r="W93" s="93">
        <f t="shared" si="550"/>
        <v>0.11477290819664457</v>
      </c>
      <c r="X93" s="93">
        <f t="shared" si="550"/>
        <v>0.11845409634878555</v>
      </c>
      <c r="Y93" s="93">
        <f t="shared" si="550"/>
        <v>0.11932944039322917</v>
      </c>
      <c r="Z93" s="93">
        <f t="shared" si="550"/>
        <v>0.12299501556315412</v>
      </c>
      <c r="AA93" s="93">
        <f t="shared" si="550"/>
        <v>0.12367414103255156</v>
      </c>
      <c r="AB93" s="93">
        <f t="shared" si="550"/>
        <v>0.12321760362566446</v>
      </c>
      <c r="AC93" s="93">
        <f t="shared" si="550"/>
        <v>0.12751559704560234</v>
      </c>
      <c r="AD93" s="93">
        <f t="shared" si="550"/>
        <v>0.13122137516416965</v>
      </c>
      <c r="AE93" s="93">
        <f t="shared" si="550"/>
        <v>0.13125523897763303</v>
      </c>
      <c r="AF93" s="93">
        <f t="shared" si="550"/>
        <v>0.13017044886413262</v>
      </c>
      <c r="AG93" s="93">
        <f t="shared" si="550"/>
        <v>0.12977792510465902</v>
      </c>
      <c r="AH93" s="93">
        <f t="shared" si="550"/>
        <v>0.13023755981805818</v>
      </c>
      <c r="AI93" s="93">
        <f t="shared" si="550"/>
        <v>0.1307198116087393</v>
      </c>
      <c r="AJ93" s="93">
        <f t="shared" si="550"/>
        <v>0.11900829691750861</v>
      </c>
      <c r="AK93" s="93">
        <f t="shared" si="550"/>
        <v>0.12969220874219375</v>
      </c>
      <c r="AL93" s="93">
        <f t="shared" si="550"/>
        <v>0.12686711041091972</v>
      </c>
      <c r="AM93" s="93">
        <f t="shared" si="550"/>
        <v>0.12283669915572465</v>
      </c>
      <c r="AN93" s="93">
        <f t="shared" si="550"/>
        <v>0.12296359355632813</v>
      </c>
      <c r="AO93" s="93">
        <f t="shared" si="550"/>
        <v>0.13049792491253473</v>
      </c>
      <c r="AP93" s="93">
        <f t="shared" si="550"/>
        <v>0.13069151728101769</v>
      </c>
      <c r="AQ93" s="93">
        <f t="shared" si="550"/>
        <v>0.12998439749421747</v>
      </c>
      <c r="AR93" s="93">
        <f t="shared" si="550"/>
        <v>0.13384793185841606</v>
      </c>
      <c r="AS93" s="93">
        <f t="shared" si="550"/>
        <v>0.1413659174473838</v>
      </c>
      <c r="AT93" s="93">
        <f t="shared" si="550"/>
        <v>0.14152011879160672</v>
      </c>
      <c r="AU93" s="181">
        <v>0.14199999999999999</v>
      </c>
      <c r="AV93" s="181">
        <f t="shared" ref="AV93:BC93" si="551">AU93</f>
        <v>0.14199999999999999</v>
      </c>
      <c r="AW93" s="181">
        <f t="shared" si="551"/>
        <v>0.14199999999999999</v>
      </c>
      <c r="AX93" s="181">
        <f t="shared" si="551"/>
        <v>0.14199999999999999</v>
      </c>
      <c r="AY93" s="181">
        <f t="shared" si="551"/>
        <v>0.14199999999999999</v>
      </c>
      <c r="AZ93" s="181">
        <f t="shared" si="551"/>
        <v>0.14199999999999999</v>
      </c>
      <c r="BA93" s="181">
        <f t="shared" si="551"/>
        <v>0.14199999999999999</v>
      </c>
      <c r="BB93" s="181">
        <f t="shared" si="551"/>
        <v>0.14199999999999999</v>
      </c>
      <c r="BC93" s="181">
        <f t="shared" si="551"/>
        <v>0.14199999999999999</v>
      </c>
      <c r="BD93" s="181">
        <f t="shared" ref="BD93" si="552">BC93</f>
        <v>0.14199999999999999</v>
      </c>
      <c r="BE93" s="181">
        <f t="shared" ref="BE93" si="553">BD93</f>
        <v>0.14199999999999999</v>
      </c>
      <c r="BF93" s="181">
        <f t="shared" ref="BF93" si="554">BE93</f>
        <v>0.14199999999999999</v>
      </c>
      <c r="BJ93" s="116">
        <f t="shared" si="519"/>
        <v>84</v>
      </c>
    </row>
    <row r="94" spans="1:62" outlineLevel="1">
      <c r="B94" s="12" t="s">
        <v>350</v>
      </c>
      <c r="C94" s="93"/>
      <c r="D94" s="93">
        <f t="shared" ref="D94:M94" si="555">-(D34)/C387</f>
        <v>5.7711836483355018E-2</v>
      </c>
      <c r="E94" s="93">
        <f t="shared" si="555"/>
        <v>5.4440963913788963E-2</v>
      </c>
      <c r="F94" s="93">
        <f t="shared" si="555"/>
        <v>5.1012169783318496E-2</v>
      </c>
      <c r="G94" s="93">
        <f t="shared" si="555"/>
        <v>4.5460978738993567E-2</v>
      </c>
      <c r="H94" s="93">
        <f t="shared" si="555"/>
        <v>4.1774042037184884E-2</v>
      </c>
      <c r="I94" s="93">
        <f t="shared" si="555"/>
        <v>5.0621185523258554E-2</v>
      </c>
      <c r="J94" s="93">
        <f t="shared" si="555"/>
        <v>6.2283297081119258E-2</v>
      </c>
      <c r="K94" s="93">
        <f t="shared" si="555"/>
        <v>5.8806627912483193E-2</v>
      </c>
      <c r="L94" s="93">
        <f t="shared" si="555"/>
        <v>5.6824253747841412E-2</v>
      </c>
      <c r="M94" s="93">
        <f t="shared" si="555"/>
        <v>5.8364307478778313E-2</v>
      </c>
      <c r="P94" s="93">
        <f t="shared" ref="P94:AT94" si="556">-(P34*4)/O387</f>
        <v>6.7659965778949033E-2</v>
      </c>
      <c r="Q94" s="93">
        <f t="shared" si="556"/>
        <v>7.2197927946526116E-2</v>
      </c>
      <c r="R94" s="93">
        <f t="shared" si="556"/>
        <v>6.5647742457969491E-2</v>
      </c>
      <c r="S94" s="93">
        <f t="shared" si="556"/>
        <v>6.6551072843914136E-2</v>
      </c>
      <c r="T94" s="93">
        <f t="shared" si="556"/>
        <v>5.7225853760690455E-2</v>
      </c>
      <c r="U94" s="93">
        <f t="shared" si="556"/>
        <v>5.4303080999102783E-2</v>
      </c>
      <c r="V94" s="93">
        <f t="shared" si="556"/>
        <v>5.5784533020424631E-2</v>
      </c>
      <c r="W94" s="93">
        <f t="shared" si="556"/>
        <v>5.4201118729638037E-2</v>
      </c>
      <c r="X94" s="93">
        <f t="shared" si="556"/>
        <v>5.3177847549546534E-2</v>
      </c>
      <c r="Y94" s="93">
        <f t="shared" si="556"/>
        <v>5.4582002770779507E-2</v>
      </c>
      <c r="Z94" s="93">
        <f t="shared" si="556"/>
        <v>5.2859357786499431E-2</v>
      </c>
      <c r="AA94" s="93">
        <f t="shared" si="556"/>
        <v>5.4808320204580228E-2</v>
      </c>
      <c r="AB94" s="93">
        <f t="shared" si="556"/>
        <v>5.5041410275757256E-2</v>
      </c>
      <c r="AC94" s="93">
        <f t="shared" si="556"/>
        <v>5.4924318504025335E-2</v>
      </c>
      <c r="AD94" s="93">
        <f t="shared" si="556"/>
        <v>4.6522912596220656E-2</v>
      </c>
      <c r="AE94" s="93">
        <f t="shared" si="556"/>
        <v>4.5791050358403619E-2</v>
      </c>
      <c r="AF94" s="93">
        <f t="shared" si="556"/>
        <v>4.8513111835908479E-2</v>
      </c>
      <c r="AG94" s="93">
        <f t="shared" si="556"/>
        <v>4.3612316652837095E-2</v>
      </c>
      <c r="AH94" s="93">
        <f t="shared" si="556"/>
        <v>4.1075055953331017E-2</v>
      </c>
      <c r="AI94" s="93">
        <f t="shared" si="556"/>
        <v>4.2801814629410601E-2</v>
      </c>
      <c r="AJ94" s="93">
        <f t="shared" si="556"/>
        <v>4.6497986122438738E-2</v>
      </c>
      <c r="AK94" s="93">
        <f t="shared" si="556"/>
        <v>4.7313847028354457E-2</v>
      </c>
      <c r="AL94" s="93">
        <f t="shared" si="556"/>
        <v>4.9546874562121083E-2</v>
      </c>
      <c r="AM94" s="93">
        <f t="shared" si="556"/>
        <v>4.9954829822585527E-2</v>
      </c>
      <c r="AN94" s="93">
        <f t="shared" si="556"/>
        <v>5.0399383669583617E-2</v>
      </c>
      <c r="AO94" s="93">
        <f t="shared" si="556"/>
        <v>5.3475719076642989E-2</v>
      </c>
      <c r="AP94" s="93">
        <f t="shared" si="556"/>
        <v>5.4724579111405956E-2</v>
      </c>
      <c r="AQ94" s="93">
        <f t="shared" si="556"/>
        <v>6.3172743104068813E-2</v>
      </c>
      <c r="AR94" s="93">
        <f t="shared" si="556"/>
        <v>5.9736022444700651E-2</v>
      </c>
      <c r="AS94" s="93">
        <f t="shared" si="556"/>
        <v>5.8397400044701439E-2</v>
      </c>
      <c r="AT94" s="93">
        <f t="shared" si="556"/>
        <v>5.7669840767846717E-2</v>
      </c>
      <c r="AU94" s="181">
        <v>0.06</v>
      </c>
      <c r="AV94" s="181">
        <f t="shared" ref="AV94:BF94" si="557">AU94</f>
        <v>0.06</v>
      </c>
      <c r="AW94" s="181">
        <f t="shared" si="557"/>
        <v>0.06</v>
      </c>
      <c r="AX94" s="181">
        <f t="shared" si="557"/>
        <v>0.06</v>
      </c>
      <c r="AY94" s="181">
        <f t="shared" si="557"/>
        <v>0.06</v>
      </c>
      <c r="AZ94" s="181">
        <f t="shared" si="557"/>
        <v>0.06</v>
      </c>
      <c r="BA94" s="181">
        <f t="shared" si="557"/>
        <v>0.06</v>
      </c>
      <c r="BB94" s="181">
        <f t="shared" si="557"/>
        <v>0.06</v>
      </c>
      <c r="BC94" s="181">
        <f t="shared" si="557"/>
        <v>0.06</v>
      </c>
      <c r="BD94" s="181">
        <f t="shared" si="557"/>
        <v>0.06</v>
      </c>
      <c r="BE94" s="181">
        <f t="shared" si="557"/>
        <v>0.06</v>
      </c>
      <c r="BF94" s="181">
        <f t="shared" si="557"/>
        <v>0.06</v>
      </c>
      <c r="BJ94" s="116">
        <f t="shared" si="519"/>
        <v>85</v>
      </c>
    </row>
    <row r="95" spans="1:62" outlineLevel="1">
      <c r="B95" s="12" t="s">
        <v>351</v>
      </c>
      <c r="C95" s="93">
        <f t="shared" ref="C95:M95" si="558">-C38/C37</f>
        <v>0.17017005415961989</v>
      </c>
      <c r="D95" s="93">
        <f t="shared" si="558"/>
        <v>0.29795017703994314</v>
      </c>
      <c r="E95" s="93">
        <f t="shared" si="558"/>
        <v>0.11954178914807835</v>
      </c>
      <c r="F95" s="93">
        <f t="shared" si="558"/>
        <v>0.13679406107420353</v>
      </c>
      <c r="G95" s="93">
        <f t="shared" si="558"/>
        <v>0.1770386692906791</v>
      </c>
      <c r="H95" s="93">
        <f t="shared" si="558"/>
        <v>0.43256228186303824</v>
      </c>
      <c r="I95" s="93">
        <f t="shared" si="558"/>
        <v>0.25950692877860149</v>
      </c>
      <c r="J95" s="93">
        <f t="shared" si="558"/>
        <v>0.13551098157285416</v>
      </c>
      <c r="K95" s="93">
        <f t="shared" si="558"/>
        <v>0.18</v>
      </c>
      <c r="L95" s="93">
        <f t="shared" si="558"/>
        <v>0.17999999999999963</v>
      </c>
      <c r="M95" s="93">
        <f t="shared" si="558"/>
        <v>0.18000000000000022</v>
      </c>
      <c r="O95" s="93">
        <f t="shared" ref="O95:AT95" si="559">-O38/O37</f>
        <v>0.2458818185750746</v>
      </c>
      <c r="P95" s="93">
        <f t="shared" si="559"/>
        <v>0.17307181031442445</v>
      </c>
      <c r="Q95" s="93">
        <f t="shared" si="559"/>
        <v>0.13520548784222453</v>
      </c>
      <c r="R95" s="93">
        <f t="shared" si="559"/>
        <v>0.15712275044943028</v>
      </c>
      <c r="S95" s="93">
        <f t="shared" si="559"/>
        <v>0.3141343209339198</v>
      </c>
      <c r="T95" s="93">
        <f t="shared" si="559"/>
        <v>0.34387296131061224</v>
      </c>
      <c r="U95" s="93">
        <f t="shared" si="559"/>
        <v>0.28231340394834065</v>
      </c>
      <c r="V95" s="93">
        <f t="shared" si="559"/>
        <v>0.27767838388266358</v>
      </c>
      <c r="W95" s="93">
        <f t="shared" si="559"/>
        <v>0.25111607142857134</v>
      </c>
      <c r="X95" s="93">
        <f t="shared" si="559"/>
        <v>0.12089023818961474</v>
      </c>
      <c r="Y95" s="93">
        <f t="shared" si="559"/>
        <v>-8.3152854337132879E-3</v>
      </c>
      <c r="Z95" s="93">
        <f t="shared" si="559"/>
        <v>-1.6163748670202955E-4</v>
      </c>
      <c r="AA95" s="93">
        <f t="shared" si="559"/>
        <v>0.1901256505024784</v>
      </c>
      <c r="AB95" s="93">
        <f t="shared" si="559"/>
        <v>0.21350859407400591</v>
      </c>
      <c r="AC95" s="93">
        <f t="shared" si="559"/>
        <v>0.4802557457277043</v>
      </c>
      <c r="AD95" s="93">
        <f t="shared" si="559"/>
        <v>-0.20047667567447836</v>
      </c>
      <c r="AE95" s="93">
        <f t="shared" si="559"/>
        <v>0.22532383922061403</v>
      </c>
      <c r="AF95" s="93">
        <f t="shared" si="559"/>
        <v>0.14007366182946243</v>
      </c>
      <c r="AG95" s="93">
        <f t="shared" si="559"/>
        <v>0.26828700108712533</v>
      </c>
      <c r="AH95" s="93">
        <f t="shared" si="559"/>
        <v>6.3403435730822313E-2</v>
      </c>
      <c r="AI95" s="93">
        <f t="shared" si="559"/>
        <v>5.9783458751151916E-3</v>
      </c>
      <c r="AJ95" s="93">
        <f t="shared" si="559"/>
        <v>3.2925841559099052</v>
      </c>
      <c r="AK95" s="93">
        <f t="shared" si="559"/>
        <v>0.77214496362802321</v>
      </c>
      <c r="AL95" s="93">
        <f t="shared" si="559"/>
        <v>0.72325762675831762</v>
      </c>
      <c r="AM95" s="93">
        <f t="shared" si="559"/>
        <v>0.23307929090639376</v>
      </c>
      <c r="AN95" s="93">
        <f t="shared" si="559"/>
        <v>0.28564413988316595</v>
      </c>
      <c r="AO95" s="93">
        <f t="shared" si="559"/>
        <v>0.24169678928343613</v>
      </c>
      <c r="AP95" s="93">
        <f t="shared" si="559"/>
        <v>0.2738619616496103</v>
      </c>
      <c r="AQ95" s="93">
        <f t="shared" si="559"/>
        <v>0.15070972600992463</v>
      </c>
      <c r="AR95" s="93">
        <f t="shared" si="559"/>
        <v>0.13721588415971914</v>
      </c>
      <c r="AS95" s="93">
        <f t="shared" si="559"/>
        <v>0.10977357195098288</v>
      </c>
      <c r="AT95" s="93">
        <f t="shared" si="559"/>
        <v>0.14187742978202944</v>
      </c>
      <c r="AU95" s="181">
        <v>0.18</v>
      </c>
      <c r="AV95" s="181">
        <v>0.18</v>
      </c>
      <c r="AW95" s="181">
        <v>0.18</v>
      </c>
      <c r="AX95" s="181">
        <v>0.18</v>
      </c>
      <c r="AY95" s="181">
        <v>0.18</v>
      </c>
      <c r="AZ95" s="181">
        <v>0.18</v>
      </c>
      <c r="BA95" s="181">
        <v>0.18</v>
      </c>
      <c r="BB95" s="181">
        <v>0.18</v>
      </c>
      <c r="BC95" s="181">
        <v>0.18</v>
      </c>
      <c r="BD95" s="181">
        <v>0.18</v>
      </c>
      <c r="BE95" s="181">
        <v>0.18</v>
      </c>
      <c r="BF95" s="181">
        <v>0.18</v>
      </c>
      <c r="BJ95" s="116">
        <f t="shared" si="519"/>
        <v>86</v>
      </c>
    </row>
    <row r="96" spans="1:62" outlineLevel="1">
      <c r="B96" s="12" t="s">
        <v>318</v>
      </c>
      <c r="C96" s="50">
        <f t="shared" ref="C96:M96" si="560">SUMIFS($O96:$BG96,$O$5:$BG$5,C$5)</f>
        <v>0</v>
      </c>
      <c r="D96" s="50">
        <f t="shared" si="560"/>
        <v>0</v>
      </c>
      <c r="E96" s="50">
        <f t="shared" si="560"/>
        <v>0</v>
      </c>
      <c r="F96" s="50">
        <f t="shared" si="560"/>
        <v>-2.2009999999999996</v>
      </c>
      <c r="G96" s="50">
        <f t="shared" si="560"/>
        <v>-6.2146920000000012</v>
      </c>
      <c r="H96" s="50">
        <f t="shared" si="560"/>
        <v>7.82</v>
      </c>
      <c r="I96" s="50">
        <f t="shared" si="560"/>
        <v>22.729999999999997</v>
      </c>
      <c r="J96" s="50">
        <f t="shared" si="560"/>
        <v>13.21</v>
      </c>
      <c r="K96" s="50">
        <f t="shared" si="560"/>
        <v>5.6577462323651506</v>
      </c>
      <c r="L96" s="50">
        <f t="shared" si="560"/>
        <v>-0.42121333336440753</v>
      </c>
      <c r="M96" s="50">
        <f t="shared" si="560"/>
        <v>-4.0254856004190653</v>
      </c>
      <c r="O96" s="51">
        <v>0</v>
      </c>
      <c r="P96" s="51">
        <v>0</v>
      </c>
      <c r="Q96" s="51">
        <v>0</v>
      </c>
      <c r="R96" s="51">
        <v>0</v>
      </c>
      <c r="S96" s="51">
        <v>0</v>
      </c>
      <c r="T96" s="51">
        <v>0</v>
      </c>
      <c r="U96" s="51">
        <v>0</v>
      </c>
      <c r="V96" s="51">
        <v>0</v>
      </c>
      <c r="W96" s="51">
        <v>0</v>
      </c>
      <c r="X96" s="51">
        <v>0</v>
      </c>
      <c r="Y96" s="51">
        <v>0</v>
      </c>
      <c r="Z96" s="51">
        <v>0</v>
      </c>
      <c r="AA96" s="51">
        <v>-0.81399999999999995</v>
      </c>
      <c r="AB96" s="51">
        <v>-0.81399999999999995</v>
      </c>
      <c r="AC96" s="51">
        <v>1.411</v>
      </c>
      <c r="AD96" s="51">
        <v>-1.984</v>
      </c>
      <c r="AE96" s="51">
        <v>-0.73299999999999998</v>
      </c>
      <c r="AF96" s="51">
        <v>-2.6619999999999999</v>
      </c>
      <c r="AG96" s="51">
        <v>-1.5680000000000001</v>
      </c>
      <c r="AH96" s="51">
        <v>-1.2516920000000014</v>
      </c>
      <c r="AI96" s="51">
        <v>-2.0260000000000002</v>
      </c>
      <c r="AJ96" s="51">
        <v>0.72</v>
      </c>
      <c r="AK96" s="51">
        <v>5.8339999999999996</v>
      </c>
      <c r="AL96" s="51">
        <v>3.2920000000000007</v>
      </c>
      <c r="AM96" s="51">
        <v>8.1989999999999998</v>
      </c>
      <c r="AN96" s="51">
        <v>3.786</v>
      </c>
      <c r="AO96" s="51">
        <v>2.698</v>
      </c>
      <c r="AP96" s="51">
        <v>8.0469999999999988</v>
      </c>
      <c r="AQ96" s="51">
        <v>3.8109999999999999</v>
      </c>
      <c r="AR96" s="51">
        <v>3.306</v>
      </c>
      <c r="AS96" s="51">
        <v>3.4630000000000001</v>
      </c>
      <c r="AT96" s="51">
        <v>2.63</v>
      </c>
      <c r="AU96" s="50">
        <f t="shared" ref="AU96:BF96" si="561">IFERROR(AT96/AT49*AU49,0)</f>
        <v>2.1438796417230828</v>
      </c>
      <c r="AV96" s="50">
        <f t="shared" si="561"/>
        <v>1.6512439897032904</v>
      </c>
      <c r="AW96" s="50">
        <f t="shared" si="561"/>
        <v>1.1207191134965897</v>
      </c>
      <c r="AX96" s="50">
        <f t="shared" si="561"/>
        <v>0.74190348744218804</v>
      </c>
      <c r="AY96" s="50">
        <f t="shared" si="561"/>
        <v>0.54706074287351991</v>
      </c>
      <c r="AZ96" s="50">
        <f t="shared" si="561"/>
        <v>0.13849186461442237</v>
      </c>
      <c r="BA96" s="50">
        <f t="shared" si="561"/>
        <v>-0.41966431000186782</v>
      </c>
      <c r="BB96" s="50">
        <f t="shared" si="561"/>
        <v>-0.68710163085048204</v>
      </c>
      <c r="BC96" s="50">
        <f t="shared" si="561"/>
        <v>-0.87018573766590168</v>
      </c>
      <c r="BD96" s="50">
        <f t="shared" si="561"/>
        <v>-0.82019667421396236</v>
      </c>
      <c r="BE96" s="50">
        <f t="shared" si="561"/>
        <v>-1.0867711015754471</v>
      </c>
      <c r="BF96" s="50">
        <f t="shared" si="561"/>
        <v>-1.248332086963754</v>
      </c>
      <c r="BJ96" s="116">
        <f t="shared" si="519"/>
        <v>87</v>
      </c>
    </row>
    <row r="97" spans="2:62" outlineLevel="1">
      <c r="B97" s="12"/>
      <c r="BJ97" s="116">
        <f t="shared" si="519"/>
        <v>88</v>
      </c>
    </row>
    <row r="98" spans="2:62" hidden="1" outlineLevel="2">
      <c r="B98" s="190" t="s">
        <v>24</v>
      </c>
      <c r="BJ98" s="116">
        <f t="shared" si="519"/>
        <v>89</v>
      </c>
    </row>
    <row r="99" spans="2:62" hidden="1" outlineLevel="2">
      <c r="B99" s="10" t="s">
        <v>25</v>
      </c>
      <c r="C99" s="93"/>
      <c r="D99" s="93">
        <f t="shared" ref="D99:M99" si="562">+D20/C20-1</f>
        <v>0.44970551590810559</v>
      </c>
      <c r="E99" s="93">
        <f t="shared" si="562"/>
        <v>0.13197733431139658</v>
      </c>
      <c r="F99" s="93">
        <f t="shared" si="562"/>
        <v>-0.11775661386039804</v>
      </c>
      <c r="G99" s="93">
        <f t="shared" si="562"/>
        <v>0.10744847792385115</v>
      </c>
      <c r="H99" s="93">
        <f t="shared" si="562"/>
        <v>-0.43070433292683996</v>
      </c>
      <c r="I99" s="93">
        <f t="shared" si="562"/>
        <v>-0.43966621729792199</v>
      </c>
      <c r="J99" s="93">
        <f t="shared" si="562"/>
        <v>0.18665311700145137</v>
      </c>
      <c r="K99" s="93">
        <f t="shared" si="562"/>
        <v>0.27130476649679225</v>
      </c>
      <c r="L99" s="93">
        <f t="shared" si="562"/>
        <v>0.17840709916835729</v>
      </c>
      <c r="M99" s="93">
        <f t="shared" si="562"/>
        <v>5.8299146248360412E-2</v>
      </c>
      <c r="P99" s="93">
        <f t="shared" ref="P99:BF99" si="563">+P20/O20-1</f>
        <v>1.056187963034505E-2</v>
      </c>
      <c r="Q99" s="93">
        <f t="shared" si="563"/>
        <v>0.18117704386436451</v>
      </c>
      <c r="R99" s="93">
        <f t="shared" si="563"/>
        <v>0.22368266483397048</v>
      </c>
      <c r="S99" s="93">
        <f t="shared" si="563"/>
        <v>5.640976410640941E-2</v>
      </c>
      <c r="T99" s="93">
        <f t="shared" si="563"/>
        <v>-2.3856698100179097E-2</v>
      </c>
      <c r="U99" s="93">
        <f t="shared" si="563"/>
        <v>0.19577089191415986</v>
      </c>
      <c r="V99" s="93">
        <f t="shared" si="563"/>
        <v>6.172679819896576E-2</v>
      </c>
      <c r="W99" s="93">
        <f t="shared" si="563"/>
        <v>9.1483210824149896E-2</v>
      </c>
      <c r="X99" s="93">
        <f t="shared" si="563"/>
        <v>-7.7863402217277944E-2</v>
      </c>
      <c r="Y99" s="93">
        <f t="shared" si="563"/>
        <v>-8.0574519383833643E-3</v>
      </c>
      <c r="Z99" s="93">
        <f t="shared" si="563"/>
        <v>-9.1738593614911323E-2</v>
      </c>
      <c r="AA99" s="93">
        <f t="shared" si="563"/>
        <v>-2.2332275531150581E-2</v>
      </c>
      <c r="AB99" s="93">
        <f t="shared" si="563"/>
        <v>-5.0480697216111259E-2</v>
      </c>
      <c r="AC99" s="93">
        <f t="shared" si="563"/>
        <v>4.0160744489240674E-2</v>
      </c>
      <c r="AD99" s="93">
        <f t="shared" si="563"/>
        <v>5.964910429740744E-2</v>
      </c>
      <c r="AE99" s="93">
        <f t="shared" si="563"/>
        <v>-1.0802885913808624E-2</v>
      </c>
      <c r="AF99" s="93">
        <f t="shared" si="563"/>
        <v>1.7213569549413998E-2</v>
      </c>
      <c r="AG99" s="93">
        <f t="shared" si="563"/>
        <v>0.10314345066515918</v>
      </c>
      <c r="AH99" s="93">
        <f t="shared" si="563"/>
        <v>4.1485355108950017E-5</v>
      </c>
      <c r="AI99" s="93">
        <f t="shared" si="563"/>
        <v>-0.20771472265387614</v>
      </c>
      <c r="AJ99" s="93">
        <f t="shared" si="563"/>
        <v>-0.39277948810838692</v>
      </c>
      <c r="AK99" s="93">
        <f t="shared" si="563"/>
        <v>-1.2393540350668641E-2</v>
      </c>
      <c r="AL99" s="93">
        <f t="shared" si="563"/>
        <v>-0.12988096319640174</v>
      </c>
      <c r="AM99" s="93">
        <f t="shared" si="563"/>
        <v>-0.1944494163846221</v>
      </c>
      <c r="AN99" s="93">
        <f t="shared" si="563"/>
        <v>-0.11224247606767535</v>
      </c>
      <c r="AO99" s="93">
        <f t="shared" si="563"/>
        <v>-3.7660862623746127E-2</v>
      </c>
      <c r="AP99" s="93">
        <f t="shared" si="563"/>
        <v>4.8113506814388973E-2</v>
      </c>
      <c r="AQ99" s="93">
        <f t="shared" si="563"/>
        <v>5.7528179446111549E-2</v>
      </c>
      <c r="AR99" s="93">
        <f t="shared" si="563"/>
        <v>0.12230912807750416</v>
      </c>
      <c r="AS99" s="93">
        <f t="shared" si="563"/>
        <v>4.8701602109748166E-2</v>
      </c>
      <c r="AT99" s="93">
        <f t="shared" si="563"/>
        <v>6.9738394177340846E-2</v>
      </c>
      <c r="AU99" s="93">
        <f t="shared" si="563"/>
        <v>6.7437263120110558E-2</v>
      </c>
      <c r="AV99" s="93">
        <f t="shared" si="563"/>
        <v>3.8815097312324021E-2</v>
      </c>
      <c r="AW99" s="93">
        <f t="shared" si="563"/>
        <v>7.2510583432277897E-2</v>
      </c>
      <c r="AX99" s="93">
        <f t="shared" si="563"/>
        <v>4.0230382486436289E-2</v>
      </c>
      <c r="AY99" s="93">
        <f t="shared" si="563"/>
        <v>3.2120794594708402E-2</v>
      </c>
      <c r="AZ99" s="93">
        <f t="shared" si="563"/>
        <v>2.1299373950515843E-2</v>
      </c>
      <c r="BA99" s="93">
        <f t="shared" si="563"/>
        <v>7.3209379645206241E-2</v>
      </c>
      <c r="BB99" s="93">
        <f t="shared" si="563"/>
        <v>3.1369084407395276E-2</v>
      </c>
      <c r="BC99" s="93">
        <f t="shared" si="563"/>
        <v>-1.7719828614703226E-2</v>
      </c>
      <c r="BD99" s="93">
        <f t="shared" si="563"/>
        <v>-1.3462157695863342E-2</v>
      </c>
      <c r="BE99" s="93">
        <f t="shared" si="563"/>
        <v>4.0517427125176031E-2</v>
      </c>
      <c r="BF99" s="93">
        <f t="shared" si="563"/>
        <v>8.6498976874687106E-3</v>
      </c>
      <c r="BJ99" s="116">
        <f t="shared" si="519"/>
        <v>90</v>
      </c>
    </row>
    <row r="100" spans="2:62" hidden="1" outlineLevel="2">
      <c r="B100" s="23" t="s">
        <v>4</v>
      </c>
      <c r="C100" s="93"/>
      <c r="D100" s="93">
        <f t="shared" ref="D100:M100" si="564">+D12/C12-1</f>
        <v>0.25122102949496572</v>
      </c>
      <c r="E100" s="93">
        <f t="shared" si="564"/>
        <v>0.13883618833347255</v>
      </c>
      <c r="F100" s="93">
        <f t="shared" si="564"/>
        <v>-0.17406913538603164</v>
      </c>
      <c r="G100" s="93">
        <f t="shared" si="564"/>
        <v>0.13266889516858926</v>
      </c>
      <c r="H100" s="93">
        <f t="shared" si="564"/>
        <v>-0.4137991744476911</v>
      </c>
      <c r="I100" s="93">
        <f t="shared" si="564"/>
        <v>-0.57922743192515713</v>
      </c>
      <c r="J100" s="93">
        <f t="shared" si="564"/>
        <v>0.53267208758746176</v>
      </c>
      <c r="K100" s="93">
        <f t="shared" si="564"/>
        <v>0.33913245150722182</v>
      </c>
      <c r="L100" s="93">
        <f t="shared" si="564"/>
        <v>0.18179699949063388</v>
      </c>
      <c r="M100" s="93">
        <f t="shared" si="564"/>
        <v>7.2765966796721537E-2</v>
      </c>
      <c r="P100" s="93">
        <f t="shared" ref="P100:BF100" si="565">+P12/O12-1</f>
        <v>7.313436572468146E-2</v>
      </c>
      <c r="Q100" s="93">
        <f t="shared" si="565"/>
        <v>9.5888848566540563E-2</v>
      </c>
      <c r="R100" s="93">
        <f t="shared" si="565"/>
        <v>1.6602329387944259E-2</v>
      </c>
      <c r="S100" s="93">
        <f t="shared" si="565"/>
        <v>4.7804630622791056E-2</v>
      </c>
      <c r="T100" s="93">
        <f t="shared" si="565"/>
        <v>6.0547989616664744E-2</v>
      </c>
      <c r="U100" s="93">
        <f t="shared" si="565"/>
        <v>5.5248699759633535E-2</v>
      </c>
      <c r="V100" s="93">
        <f t="shared" si="565"/>
        <v>0.12563319583087784</v>
      </c>
      <c r="W100" s="93">
        <f t="shared" si="565"/>
        <v>0.10540287568150708</v>
      </c>
      <c r="X100" s="93">
        <f t="shared" si="565"/>
        <v>-4.5191794037681143E-2</v>
      </c>
      <c r="Y100" s="93">
        <f t="shared" si="565"/>
        <v>-7.1782752832914354E-2</v>
      </c>
      <c r="Z100" s="93">
        <f t="shared" si="565"/>
        <v>-0.10908914254458568</v>
      </c>
      <c r="AA100" s="93">
        <f t="shared" si="565"/>
        <v>-2.0965194666709652E-2</v>
      </c>
      <c r="AB100" s="93">
        <f t="shared" si="565"/>
        <v>-3.6396416467088688E-2</v>
      </c>
      <c r="AC100" s="93">
        <f t="shared" si="565"/>
        <v>-2.0491127718467506E-2</v>
      </c>
      <c r="AD100" s="93">
        <f t="shared" si="565"/>
        <v>2.943895514657191E-2</v>
      </c>
      <c r="AE100" s="93">
        <f t="shared" si="565"/>
        <v>8.3751037626293323E-2</v>
      </c>
      <c r="AF100" s="93">
        <f t="shared" si="565"/>
        <v>4.3915874595475524E-2</v>
      </c>
      <c r="AG100" s="93">
        <f t="shared" si="565"/>
        <v>1.6592418004331089E-2</v>
      </c>
      <c r="AH100" s="93">
        <f t="shared" si="565"/>
        <v>5.7703383197720282E-3</v>
      </c>
      <c r="AI100" s="93">
        <f t="shared" si="565"/>
        <v>-0.1696594734079454</v>
      </c>
      <c r="AJ100" s="93">
        <f t="shared" si="565"/>
        <v>-0.30248816920523158</v>
      </c>
      <c r="AK100" s="93">
        <f t="shared" si="565"/>
        <v>-0.17628474279792994</v>
      </c>
      <c r="AL100" s="93">
        <f t="shared" si="565"/>
        <v>-0.15110852930879948</v>
      </c>
      <c r="AM100" s="93">
        <f t="shared" si="565"/>
        <v>-0.34208284238194508</v>
      </c>
      <c r="AN100" s="93">
        <f t="shared" si="565"/>
        <v>-0.20687992505648301</v>
      </c>
      <c r="AO100" s="93">
        <f t="shared" si="565"/>
        <v>8.2767365513887192E-3</v>
      </c>
      <c r="AP100" s="93">
        <f t="shared" si="565"/>
        <v>0.28307851328653255</v>
      </c>
      <c r="AQ100" s="93">
        <f t="shared" si="565"/>
        <v>8.7104505266549781E-2</v>
      </c>
      <c r="AR100" s="93">
        <f t="shared" si="565"/>
        <v>0.15691578050316801</v>
      </c>
      <c r="AS100" s="93">
        <f t="shared" si="565"/>
        <v>0.18897322572380237</v>
      </c>
      <c r="AT100" s="93">
        <f t="shared" si="565"/>
        <v>4.691870148643984E-2</v>
      </c>
      <c r="AU100" s="93">
        <f t="shared" si="565"/>
        <v>4.7822022487328475E-2</v>
      </c>
      <c r="AV100" s="93">
        <f t="shared" si="565"/>
        <v>8.1777163904235728E-2</v>
      </c>
      <c r="AW100" s="93">
        <f t="shared" si="565"/>
        <v>5.2493594708931113E-2</v>
      </c>
      <c r="AX100" s="93">
        <f t="shared" si="565"/>
        <v>4.7453703703703942E-2</v>
      </c>
      <c r="AY100" s="93">
        <f t="shared" si="565"/>
        <v>2.3043135101746826E-2</v>
      </c>
      <c r="AZ100" s="93">
        <f t="shared" si="565"/>
        <v>4.0566876310272448E-2</v>
      </c>
      <c r="BA100" s="93">
        <f t="shared" si="565"/>
        <v>6.0515313375389956E-2</v>
      </c>
      <c r="BB100" s="93">
        <f t="shared" si="565"/>
        <v>2.4328859060402497E-2</v>
      </c>
      <c r="BC100" s="93">
        <f t="shared" si="565"/>
        <v>1.8219800828496169E-3</v>
      </c>
      <c r="BD100" s="93">
        <f t="shared" si="565"/>
        <v>0</v>
      </c>
      <c r="BE100" s="93">
        <f t="shared" si="565"/>
        <v>2.4614199816356042E-2</v>
      </c>
      <c r="BF100" s="93">
        <f t="shared" si="565"/>
        <v>0</v>
      </c>
      <c r="BJ100" s="116">
        <f t="shared" si="519"/>
        <v>91</v>
      </c>
    </row>
    <row r="101" spans="2:62" hidden="1" outlineLevel="2">
      <c r="B101" s="23" t="s">
        <v>5</v>
      </c>
      <c r="C101" s="93"/>
      <c r="D101" s="93">
        <f t="shared" ref="D101:M101" si="566">+D13/C13-1</f>
        <v>0.57261915737070179</v>
      </c>
      <c r="E101" s="93">
        <f t="shared" si="566"/>
        <v>6.9315637054321311E-3</v>
      </c>
      <c r="F101" s="93">
        <f t="shared" si="566"/>
        <v>-0.1577393220015324</v>
      </c>
      <c r="G101" s="93">
        <f t="shared" si="566"/>
        <v>-7.3225760072551105E-2</v>
      </c>
      <c r="H101" s="93">
        <f t="shared" si="566"/>
        <v>-0.58980524594859074</v>
      </c>
      <c r="I101" s="93">
        <f t="shared" si="566"/>
        <v>-0.62564184618965191</v>
      </c>
      <c r="J101" s="93">
        <f t="shared" si="566"/>
        <v>0.61114780851725214</v>
      </c>
      <c r="K101" s="93">
        <f t="shared" si="566"/>
        <v>0.48640403236503493</v>
      </c>
      <c r="L101" s="93">
        <f t="shared" si="566"/>
        <v>8.9805785861470255E-2</v>
      </c>
      <c r="M101" s="93">
        <f t="shared" si="566"/>
        <v>3.3349213911386677E-3</v>
      </c>
      <c r="P101" s="93">
        <f t="shared" ref="P101:BF101" si="567">+P13/O13-1</f>
        <v>-0.50719814713232148</v>
      </c>
      <c r="Q101" s="93">
        <f t="shared" si="567"/>
        <v>0.41727063596111513</v>
      </c>
      <c r="R101" s="93">
        <f t="shared" si="567"/>
        <v>0.59552150237363866</v>
      </c>
      <c r="S101" s="93">
        <f t="shared" si="567"/>
        <v>0.39587822833827402</v>
      </c>
      <c r="T101" s="93">
        <f t="shared" si="567"/>
        <v>-0.48076516178579554</v>
      </c>
      <c r="U101" s="93">
        <f t="shared" si="567"/>
        <v>0.60599474780403884</v>
      </c>
      <c r="V101" s="93">
        <f t="shared" si="567"/>
        <v>0.18579080913447998</v>
      </c>
      <c r="W101" s="93">
        <f t="shared" si="567"/>
        <v>0.14705183071802197</v>
      </c>
      <c r="X101" s="93">
        <f t="shared" si="567"/>
        <v>-0.54389055860710966</v>
      </c>
      <c r="Y101" s="93">
        <f t="shared" si="567"/>
        <v>0.5601454214951147</v>
      </c>
      <c r="Z101" s="93">
        <f t="shared" si="567"/>
        <v>0.12306661617779868</v>
      </c>
      <c r="AA101" s="93">
        <f t="shared" si="567"/>
        <v>9.682020956530768E-2</v>
      </c>
      <c r="AB101" s="93">
        <f t="shared" si="567"/>
        <v>-0.48931558246037188</v>
      </c>
      <c r="AC101" s="93">
        <f t="shared" si="567"/>
        <v>0.25633981077034695</v>
      </c>
      <c r="AD101" s="93">
        <f t="shared" si="567"/>
        <v>8.8774770568939898E-2</v>
      </c>
      <c r="AE101" s="93">
        <f t="shared" si="567"/>
        <v>0.25950374056396175</v>
      </c>
      <c r="AF101" s="93">
        <f t="shared" si="567"/>
        <v>-0.50850646383744991</v>
      </c>
      <c r="AG101" s="93">
        <f t="shared" si="567"/>
        <v>0.46718069302418841</v>
      </c>
      <c r="AH101" s="93">
        <f t="shared" si="567"/>
        <v>9.6010734119342356E-2</v>
      </c>
      <c r="AI101" s="93">
        <f t="shared" si="567"/>
        <v>-0.34435892494814035</v>
      </c>
      <c r="AJ101" s="93">
        <f t="shared" si="567"/>
        <v>-0.6297890733056708</v>
      </c>
      <c r="AK101" s="93">
        <f t="shared" si="567"/>
        <v>0.39770233036006153</v>
      </c>
      <c r="AL101" s="93">
        <f t="shared" si="567"/>
        <v>-5.4027865949413556E-2</v>
      </c>
      <c r="AM101" s="93">
        <f t="shared" si="567"/>
        <v>-0.38209946312517662</v>
      </c>
      <c r="AN101" s="93">
        <f t="shared" si="567"/>
        <v>-0.62175603063907625</v>
      </c>
      <c r="AO101" s="93">
        <f t="shared" si="567"/>
        <v>0.57835877285779058</v>
      </c>
      <c r="AP101" s="93">
        <f t="shared" si="567"/>
        <v>0.61978169283799311</v>
      </c>
      <c r="AQ101" s="93">
        <f t="shared" si="567"/>
        <v>0.64379027014246004</v>
      </c>
      <c r="AR101" s="93">
        <f t="shared" si="567"/>
        <v>-0.38431386651323363</v>
      </c>
      <c r="AS101" s="93">
        <f t="shared" si="567"/>
        <v>5.5604228724957849E-2</v>
      </c>
      <c r="AT101" s="93">
        <f t="shared" si="567"/>
        <v>0.10258396503070877</v>
      </c>
      <c r="AU101" s="93">
        <f t="shared" si="567"/>
        <v>0.46785768053394894</v>
      </c>
      <c r="AV101" s="93">
        <f t="shared" si="567"/>
        <v>-0.40266666666666662</v>
      </c>
      <c r="AW101" s="93">
        <f t="shared" si="567"/>
        <v>1.1904761904761902</v>
      </c>
      <c r="AX101" s="93">
        <f t="shared" si="567"/>
        <v>0</v>
      </c>
      <c r="AY101" s="93">
        <f t="shared" si="567"/>
        <v>5.3511705685618693E-2</v>
      </c>
      <c r="AZ101" s="93">
        <f t="shared" si="567"/>
        <v>-0.56666666666666665</v>
      </c>
      <c r="BA101" s="93">
        <f t="shared" si="567"/>
        <v>1.1904761904761902</v>
      </c>
      <c r="BB101" s="93">
        <f t="shared" si="567"/>
        <v>0</v>
      </c>
      <c r="BC101" s="93">
        <f t="shared" si="567"/>
        <v>6.5217391304347894E-2</v>
      </c>
      <c r="BD101" s="93">
        <f t="shared" si="567"/>
        <v>-0.5714285714285714</v>
      </c>
      <c r="BE101" s="93">
        <f t="shared" si="567"/>
        <v>1.1904761904761902</v>
      </c>
      <c r="BF101" s="93">
        <f t="shared" si="567"/>
        <v>0</v>
      </c>
      <c r="BJ101" s="116">
        <f t="shared" si="519"/>
        <v>92</v>
      </c>
    </row>
    <row r="102" spans="2:62" hidden="1" outlineLevel="2">
      <c r="B102" s="23" t="s">
        <v>6</v>
      </c>
      <c r="C102" s="93"/>
      <c r="D102" s="93">
        <f t="shared" ref="D102:M102" si="568">+D14/C14-1</f>
        <v>9.9240312799468988E-3</v>
      </c>
      <c r="E102" s="93">
        <f t="shared" si="568"/>
        <v>0.14540938973852402</v>
      </c>
      <c r="F102" s="93">
        <f t="shared" si="568"/>
        <v>0.15746604904115213</v>
      </c>
      <c r="G102" s="93">
        <f t="shared" si="568"/>
        <v>0.10847634033207143</v>
      </c>
      <c r="H102" s="93">
        <f t="shared" si="568"/>
        <v>0.15107738145846628</v>
      </c>
      <c r="I102" s="93">
        <f t="shared" si="568"/>
        <v>-0.21282588170309513</v>
      </c>
      <c r="J102" s="93">
        <f t="shared" si="568"/>
        <v>2.2914414322527943E-3</v>
      </c>
      <c r="K102" s="93">
        <f t="shared" si="568"/>
        <v>5.4382114703607876E-2</v>
      </c>
      <c r="L102" s="93">
        <f t="shared" si="568"/>
        <v>0.12275591171791689</v>
      </c>
      <c r="M102" s="93">
        <f t="shared" si="568"/>
        <v>-2.3133072112664022E-2</v>
      </c>
      <c r="P102" s="93">
        <f t="shared" ref="P102:BF102" si="569">+P14/O14-1</f>
        <v>8.8296432763792954E-2</v>
      </c>
      <c r="Q102" s="93">
        <f t="shared" si="569"/>
        <v>8.0627099664053903E-2</v>
      </c>
      <c r="R102" s="93">
        <f t="shared" si="569"/>
        <v>1.4511237804772259E-2</v>
      </c>
      <c r="S102" s="93">
        <f t="shared" si="569"/>
        <v>-0.10332328967416182</v>
      </c>
      <c r="T102" s="93">
        <f t="shared" si="569"/>
        <v>1.0492347900959098E-2</v>
      </c>
      <c r="U102" s="93">
        <f t="shared" si="569"/>
        <v>6.2040259245714102E-2</v>
      </c>
      <c r="V102" s="93">
        <f t="shared" si="569"/>
        <v>4.7503248297749989E-2</v>
      </c>
      <c r="W102" s="93">
        <f t="shared" si="569"/>
        <v>3.8628514879671227E-2</v>
      </c>
      <c r="X102" s="93">
        <f t="shared" si="569"/>
        <v>-6.0137372946338363E-3</v>
      </c>
      <c r="Y102" s="93">
        <f t="shared" si="569"/>
        <v>8.0831325380307462E-2</v>
      </c>
      <c r="Z102" s="93">
        <f t="shared" si="569"/>
        <v>-1.371926680739266E-2</v>
      </c>
      <c r="AA102" s="93">
        <f t="shared" si="569"/>
        <v>-9.8913552265280646E-3</v>
      </c>
      <c r="AB102" s="93">
        <f t="shared" si="569"/>
        <v>9.3012478383657227E-2</v>
      </c>
      <c r="AC102" s="93">
        <f t="shared" si="569"/>
        <v>9.1886939027548076E-2</v>
      </c>
      <c r="AD102" s="93">
        <f t="shared" si="569"/>
        <v>6.2294116420648971E-2</v>
      </c>
      <c r="AE102" s="93">
        <f t="shared" si="569"/>
        <v>-7.984495173141315E-2</v>
      </c>
      <c r="AF102" s="93">
        <f t="shared" si="569"/>
        <v>4.3144061492685237E-2</v>
      </c>
      <c r="AG102" s="93">
        <f t="shared" si="569"/>
        <v>8.5487321438156183E-2</v>
      </c>
      <c r="AH102" s="93">
        <f t="shared" si="569"/>
        <v>1.739118149838248E-2</v>
      </c>
      <c r="AI102" s="93">
        <f t="shared" si="569"/>
        <v>3.0818081669304886E-2</v>
      </c>
      <c r="AJ102" s="93">
        <f t="shared" si="569"/>
        <v>2.8803322855859959E-2</v>
      </c>
      <c r="AK102" s="93">
        <f t="shared" si="569"/>
        <v>0.12646733401858024</v>
      </c>
      <c r="AL102" s="93">
        <f t="shared" si="569"/>
        <v>-0.13110349103026064</v>
      </c>
      <c r="AM102" s="93">
        <f t="shared" si="569"/>
        <v>-0.105799909477444</v>
      </c>
      <c r="AN102" s="93">
        <f t="shared" si="569"/>
        <v>-4.7452344441535455E-2</v>
      </c>
      <c r="AO102" s="93">
        <f t="shared" si="569"/>
        <v>-8.0288149435637446E-2</v>
      </c>
      <c r="AP102" s="93">
        <f t="shared" si="569"/>
        <v>-4.2956920694915635E-2</v>
      </c>
      <c r="AQ102" s="93">
        <f t="shared" si="569"/>
        <v>5.8407358613450366E-3</v>
      </c>
      <c r="AR102" s="93">
        <f t="shared" si="569"/>
        <v>0.12451843901804427</v>
      </c>
      <c r="AS102" s="93">
        <f t="shared" si="569"/>
        <v>-1.6385425595128567E-2</v>
      </c>
      <c r="AT102" s="93">
        <f t="shared" si="569"/>
        <v>1.9478436592837323E-2</v>
      </c>
      <c r="AU102" s="93">
        <f t="shared" si="569"/>
        <v>-2.5886683814333233E-2</v>
      </c>
      <c r="AV102" s="93">
        <f t="shared" si="569"/>
        <v>2.6174903100775193E-2</v>
      </c>
      <c r="AW102" s="93">
        <f t="shared" si="569"/>
        <v>3.7654313701574793E-2</v>
      </c>
      <c r="AX102" s="93">
        <f t="shared" si="569"/>
        <v>2.5930232558139421E-2</v>
      </c>
      <c r="AY102" s="93">
        <f t="shared" si="569"/>
        <v>1.8675250949839572E-2</v>
      </c>
      <c r="AZ102" s="93">
        <f t="shared" si="569"/>
        <v>4.0000000000000036E-2</v>
      </c>
      <c r="BA102" s="93">
        <f t="shared" si="569"/>
        <v>3.9072039072038933E-2</v>
      </c>
      <c r="BB102" s="93">
        <f t="shared" si="569"/>
        <v>1.8018018018018056E-2</v>
      </c>
      <c r="BC102" s="93">
        <f t="shared" si="569"/>
        <v>-6.8141592920354044E-2</v>
      </c>
      <c r="BD102" s="93">
        <f t="shared" si="569"/>
        <v>0</v>
      </c>
      <c r="BE102" s="93">
        <f t="shared" si="569"/>
        <v>1.098901098901095E-2</v>
      </c>
      <c r="BF102" s="93">
        <f t="shared" si="569"/>
        <v>0</v>
      </c>
      <c r="BJ102" s="116">
        <f t="shared" si="519"/>
        <v>93</v>
      </c>
    </row>
    <row r="103" spans="2:62" hidden="1" outlineLevel="2">
      <c r="B103" s="23" t="s">
        <v>7</v>
      </c>
      <c r="C103" s="93"/>
      <c r="D103" s="93">
        <f t="shared" ref="D103:M103" si="570">+D16/C16-1</f>
        <v>0.57836752084728227</v>
      </c>
      <c r="E103" s="93">
        <f t="shared" si="570"/>
        <v>0.15153677066059923</v>
      </c>
      <c r="F103" s="93">
        <f t="shared" si="570"/>
        <v>-0.33536586151244319</v>
      </c>
      <c r="G103" s="93">
        <f t="shared" si="570"/>
        <v>0.33197029480391627</v>
      </c>
      <c r="H103" s="93">
        <f t="shared" si="570"/>
        <v>-0.53261011898699562</v>
      </c>
      <c r="I103" s="93">
        <f t="shared" si="570"/>
        <v>-0.52698310909668211</v>
      </c>
      <c r="J103" s="93">
        <f t="shared" si="570"/>
        <v>0.54353706128949453</v>
      </c>
      <c r="K103" s="93">
        <f t="shared" si="570"/>
        <v>1.0388771928908254</v>
      </c>
      <c r="L103" s="93">
        <f t="shared" si="570"/>
        <v>0.21550625000000045</v>
      </c>
      <c r="M103" s="93">
        <f t="shared" si="570"/>
        <v>0.12913244748586172</v>
      </c>
      <c r="P103" s="93">
        <f t="shared" ref="P103:BF103" si="571">+P16/O16-1</f>
        <v>0.11494841344923157</v>
      </c>
      <c r="Q103" s="93">
        <f t="shared" si="571"/>
        <v>0.2208191501043153</v>
      </c>
      <c r="R103" s="93">
        <f t="shared" si="571"/>
        <v>-6.1063958527531104E-2</v>
      </c>
      <c r="S103" s="93">
        <f t="shared" si="571"/>
        <v>1.7060001741705078E-2</v>
      </c>
      <c r="T103" s="93">
        <f t="shared" si="571"/>
        <v>0.32928614852426175</v>
      </c>
      <c r="U103" s="93">
        <f t="shared" si="571"/>
        <v>0.22865645491671271</v>
      </c>
      <c r="V103" s="93">
        <f t="shared" si="571"/>
        <v>0.10843329279033664</v>
      </c>
      <c r="W103" s="93">
        <f t="shared" si="571"/>
        <v>0.14345849867803073</v>
      </c>
      <c r="X103" s="93">
        <f t="shared" si="571"/>
        <v>-5.4368418004781649E-2</v>
      </c>
      <c r="Y103" s="93">
        <f t="shared" si="571"/>
        <v>-0.33676415267656401</v>
      </c>
      <c r="Z103" s="93">
        <f t="shared" si="571"/>
        <v>1.8143446001648744E-2</v>
      </c>
      <c r="AA103" s="93">
        <f t="shared" si="571"/>
        <v>-0.13049308182619068</v>
      </c>
      <c r="AB103" s="93">
        <f t="shared" si="571"/>
        <v>-0.12002443548807651</v>
      </c>
      <c r="AC103" s="93">
        <f t="shared" si="571"/>
        <v>0.11032001354554688</v>
      </c>
      <c r="AD103" s="93">
        <f t="shared" si="571"/>
        <v>1.0301103308400172E-2</v>
      </c>
      <c r="AE103" s="93">
        <f t="shared" si="571"/>
        <v>8.4708155348598435E-2</v>
      </c>
      <c r="AF103" s="93">
        <f t="shared" si="571"/>
        <v>0.12533570822259033</v>
      </c>
      <c r="AG103" s="93">
        <f t="shared" si="571"/>
        <v>0.18360949672313587</v>
      </c>
      <c r="AH103" s="93">
        <f t="shared" si="571"/>
        <v>-5.4221493232761153E-3</v>
      </c>
      <c r="AI103" s="93">
        <f t="shared" si="571"/>
        <v>-0.3596657545470302</v>
      </c>
      <c r="AJ103" s="93">
        <f t="shared" si="571"/>
        <v>-0.32022900450298974</v>
      </c>
      <c r="AK103" s="93">
        <f t="shared" si="571"/>
        <v>-0.28987535745743687</v>
      </c>
      <c r="AL103" s="93">
        <f t="shared" si="571"/>
        <v>-2.1477239902808698E-2</v>
      </c>
      <c r="AM103" s="93">
        <f t="shared" si="571"/>
        <v>-0.38745246488044582</v>
      </c>
      <c r="AN103" s="93">
        <f t="shared" si="571"/>
        <v>-0.27046717314888313</v>
      </c>
      <c r="AO103" s="93">
        <f t="shared" si="571"/>
        <v>0.74268505925782002</v>
      </c>
      <c r="AP103" s="93">
        <f t="shared" si="571"/>
        <v>2.7738137709596877E-2</v>
      </c>
      <c r="AQ103" s="93">
        <f t="shared" si="571"/>
        <v>-4.3738609737047573E-2</v>
      </c>
      <c r="AR103" s="93">
        <f t="shared" si="571"/>
        <v>0.38817043288864683</v>
      </c>
      <c r="AS103" s="93">
        <f t="shared" si="571"/>
        <v>-0.1822832393560514</v>
      </c>
      <c r="AT103" s="93">
        <f t="shared" si="571"/>
        <v>0.58396626159258069</v>
      </c>
      <c r="AU103" s="93">
        <f t="shared" si="571"/>
        <v>0.39999999999999991</v>
      </c>
      <c r="AV103" s="93">
        <f t="shared" si="571"/>
        <v>5.0000000000000044E-2</v>
      </c>
      <c r="AW103" s="93">
        <f t="shared" si="571"/>
        <v>5.0000000000000044E-2</v>
      </c>
      <c r="AX103" s="93">
        <f t="shared" si="571"/>
        <v>5.0000000000000044E-2</v>
      </c>
      <c r="AY103" s="93">
        <f t="shared" si="571"/>
        <v>5.0000000000000044E-2</v>
      </c>
      <c r="AZ103" s="93">
        <f t="shared" si="571"/>
        <v>5.0000000000000044E-2</v>
      </c>
      <c r="BA103" s="93">
        <f t="shared" si="571"/>
        <v>5.0000000000000044E-2</v>
      </c>
      <c r="BB103" s="93">
        <f t="shared" si="571"/>
        <v>5.0000000000000044E-2</v>
      </c>
      <c r="BC103" s="93">
        <f t="shared" si="571"/>
        <v>2.0000000000000018E-2</v>
      </c>
      <c r="BD103" s="93">
        <f t="shared" si="571"/>
        <v>2.0000000000000018E-2</v>
      </c>
      <c r="BE103" s="93">
        <f t="shared" si="571"/>
        <v>2.0000000000000018E-2</v>
      </c>
      <c r="BF103" s="93">
        <f t="shared" si="571"/>
        <v>2.0000000000000018E-2</v>
      </c>
      <c r="BJ103" s="116">
        <f t="shared" si="519"/>
        <v>94</v>
      </c>
    </row>
    <row r="104" spans="2:62" hidden="1" outlineLevel="2">
      <c r="B104" s="23"/>
      <c r="BJ104" s="116">
        <f t="shared" si="519"/>
        <v>95</v>
      </c>
    </row>
    <row r="105" spans="2:62" hidden="1" outlineLevel="2">
      <c r="B105" s="10" t="s">
        <v>20</v>
      </c>
      <c r="C105" s="93">
        <f t="shared" ref="C105:M105" si="572">+C31/C20</f>
        <v>0.33706523241568792</v>
      </c>
      <c r="D105" s="93">
        <f t="shared" si="572"/>
        <v>0.29578406894073478</v>
      </c>
      <c r="E105" s="93">
        <f t="shared" si="572"/>
        <v>0.28384742018122722</v>
      </c>
      <c r="F105" s="93">
        <f t="shared" si="572"/>
        <v>0.26330088846696414</v>
      </c>
      <c r="G105" s="93">
        <f t="shared" si="572"/>
        <v>0.25288576638677618</v>
      </c>
      <c r="H105" s="93">
        <f t="shared" si="572"/>
        <v>0.29176711341647049</v>
      </c>
      <c r="I105" s="93">
        <f t="shared" si="572"/>
        <v>0.26156221901682553</v>
      </c>
      <c r="J105" s="93">
        <f t="shared" si="572"/>
        <v>0.21213047691656739</v>
      </c>
      <c r="K105" s="93">
        <f t="shared" si="572"/>
        <v>0.25433221399490902</v>
      </c>
      <c r="L105" s="93">
        <f t="shared" si="572"/>
        <v>0.28700552110984906</v>
      </c>
      <c r="M105" s="93">
        <f t="shared" si="572"/>
        <v>0.30277941012227505</v>
      </c>
      <c r="O105" s="93">
        <f t="shared" ref="O105:BF105" si="573">+O31/O20</f>
        <v>0.34307891046803057</v>
      </c>
      <c r="P105" s="93">
        <f t="shared" si="573"/>
        <v>0.32899147361014602</v>
      </c>
      <c r="Q105" s="93">
        <f t="shared" si="573"/>
        <v>0.34071499200353711</v>
      </c>
      <c r="R105" s="93">
        <f t="shared" si="573"/>
        <v>0.3355513947481607</v>
      </c>
      <c r="S105" s="93">
        <f t="shared" si="573"/>
        <v>0.30104332358057267</v>
      </c>
      <c r="T105" s="93">
        <f t="shared" si="573"/>
        <v>0.29573995830560057</v>
      </c>
      <c r="U105" s="93">
        <f t="shared" si="573"/>
        <v>0.29122133777972581</v>
      </c>
      <c r="V105" s="93">
        <f t="shared" si="573"/>
        <v>0.29587252501329403</v>
      </c>
      <c r="W105" s="93">
        <f t="shared" si="573"/>
        <v>0.29789952106033241</v>
      </c>
      <c r="X105" s="93">
        <f t="shared" si="573"/>
        <v>0.27900088972717901</v>
      </c>
      <c r="Y105" s="93">
        <f t="shared" si="573"/>
        <v>0.28422175764883451</v>
      </c>
      <c r="Z105" s="93">
        <f t="shared" si="573"/>
        <v>0.27190058017817942</v>
      </c>
      <c r="AA105" s="93">
        <f t="shared" si="573"/>
        <v>0.26864793894800182</v>
      </c>
      <c r="AB105" s="93">
        <f t="shared" si="573"/>
        <v>0.24404821511612756</v>
      </c>
      <c r="AC105" s="93">
        <f t="shared" si="573"/>
        <v>0.26708336657832837</v>
      </c>
      <c r="AD105" s="93">
        <f t="shared" si="573"/>
        <v>0.27208959923533488</v>
      </c>
      <c r="AE105" s="93">
        <f t="shared" si="573"/>
        <v>0.24607673038428104</v>
      </c>
      <c r="AF105" s="93">
        <f t="shared" si="573"/>
        <v>0.25744272814584712</v>
      </c>
      <c r="AG105" s="93">
        <f t="shared" si="573"/>
        <v>0.25785839142217398</v>
      </c>
      <c r="AH105" s="93">
        <f t="shared" si="573"/>
        <v>0.24985032256328499</v>
      </c>
      <c r="AI105" s="93">
        <f t="shared" si="573"/>
        <v>0.26396671070050598</v>
      </c>
      <c r="AJ105" s="93">
        <f t="shared" si="573"/>
        <v>0.32927129105593284</v>
      </c>
      <c r="AK105" s="93">
        <f t="shared" si="573"/>
        <v>0.29217169899699486</v>
      </c>
      <c r="AL105" s="93">
        <f t="shared" si="573"/>
        <v>0.30093617113598886</v>
      </c>
      <c r="AM105" s="93">
        <f t="shared" si="573"/>
        <v>0.26689065785066091</v>
      </c>
      <c r="AN105" s="93">
        <f t="shared" si="573"/>
        <v>0.24290896128299494</v>
      </c>
      <c r="AO105" s="93">
        <f t="shared" si="573"/>
        <v>0.26902699156107335</v>
      </c>
      <c r="AP105" s="93">
        <f t="shared" si="573"/>
        <v>0.26698286298660767</v>
      </c>
      <c r="AQ105" s="93">
        <f t="shared" si="573"/>
        <v>0.17729979557372677</v>
      </c>
      <c r="AR105" s="93">
        <f t="shared" si="573"/>
        <v>0.21983828432498351</v>
      </c>
      <c r="AS105" s="93">
        <f t="shared" si="573"/>
        <v>0.21578213661620624</v>
      </c>
      <c r="AT105" s="93">
        <f t="shared" si="573"/>
        <v>0.2295104881282323</v>
      </c>
      <c r="AU105" s="93">
        <f t="shared" si="573"/>
        <v>0.2319062845444135</v>
      </c>
      <c r="AV105" s="93">
        <f t="shared" si="573"/>
        <v>0.24817314186997672</v>
      </c>
      <c r="AW105" s="93">
        <f t="shared" si="573"/>
        <v>0.2619195992641612</v>
      </c>
      <c r="AX105" s="93">
        <f t="shared" si="573"/>
        <v>0.27190884500485946</v>
      </c>
      <c r="AY105" s="93">
        <f t="shared" si="573"/>
        <v>0.27752848722420104</v>
      </c>
      <c r="AZ105" s="93">
        <f t="shared" si="573"/>
        <v>0.28515209793424051</v>
      </c>
      <c r="BA105" s="93">
        <f t="shared" si="573"/>
        <v>0.29152190944131601</v>
      </c>
      <c r="BB105" s="93">
        <f t="shared" si="573"/>
        <v>0.29268437528218849</v>
      </c>
      <c r="BC105" s="93">
        <f t="shared" si="573"/>
        <v>0.30409157612389992</v>
      </c>
      <c r="BD105" s="93">
        <f t="shared" si="573"/>
        <v>0.30305516751808831</v>
      </c>
      <c r="BE105" s="93">
        <f t="shared" si="573"/>
        <v>0.30299825566297817</v>
      </c>
      <c r="BF105" s="93">
        <f t="shared" si="573"/>
        <v>0.30103237768817631</v>
      </c>
      <c r="BJ105" s="116">
        <f t="shared" si="519"/>
        <v>96</v>
      </c>
    </row>
    <row r="106" spans="2:62" hidden="1" outlineLevel="2">
      <c r="B106" s="23" t="s">
        <v>4</v>
      </c>
      <c r="C106" s="93">
        <f t="shared" ref="C106:M106" si="574">C23/C12</f>
        <v>0.40735008436431364</v>
      </c>
      <c r="D106" s="93">
        <f t="shared" si="574"/>
        <v>0.40187251061777945</v>
      </c>
      <c r="E106" s="93">
        <f t="shared" si="574"/>
        <v>0.40259652987867223</v>
      </c>
      <c r="F106" s="93">
        <f t="shared" si="574"/>
        <v>0.38362742397444061</v>
      </c>
      <c r="G106" s="93">
        <f t="shared" si="574"/>
        <v>0.37825873440352159</v>
      </c>
      <c r="H106" s="93">
        <f t="shared" si="574"/>
        <v>0.40413859164224569</v>
      </c>
      <c r="I106" s="93">
        <f t="shared" si="574"/>
        <v>0.32121430148542363</v>
      </c>
      <c r="J106" s="93">
        <f t="shared" si="574"/>
        <v>0.20030972786420656</v>
      </c>
      <c r="K106" s="93">
        <f t="shared" si="574"/>
        <v>0.32594923781176383</v>
      </c>
      <c r="L106" s="93">
        <f t="shared" si="574"/>
        <v>0.36010536060974019</v>
      </c>
      <c r="M106" s="93">
        <f t="shared" si="574"/>
        <v>0.3680903879076205</v>
      </c>
      <c r="O106" s="93">
        <f t="shared" ref="O106:BF106" si="575">O23/O12</f>
        <v>0.42254978594616244</v>
      </c>
      <c r="P106" s="93">
        <f t="shared" si="575"/>
        <v>0.3945357457618332</v>
      </c>
      <c r="Q106" s="93">
        <f t="shared" si="575"/>
        <v>0.39948482870199536</v>
      </c>
      <c r="R106" s="93">
        <f t="shared" si="575"/>
        <v>0.41387558138723241</v>
      </c>
      <c r="S106" s="93">
        <f t="shared" si="575"/>
        <v>0.39133360128081862</v>
      </c>
      <c r="T106" s="93">
        <f t="shared" si="575"/>
        <v>0.40810378472542108</v>
      </c>
      <c r="U106" s="93">
        <f t="shared" si="575"/>
        <v>0.39782258016512201</v>
      </c>
      <c r="V106" s="93">
        <f t="shared" si="575"/>
        <v>0.40859038019844568</v>
      </c>
      <c r="W106" s="93">
        <f t="shared" si="575"/>
        <v>0.41135694979309684</v>
      </c>
      <c r="X106" s="93">
        <f t="shared" si="575"/>
        <v>0.41209489532621313</v>
      </c>
      <c r="Y106" s="93">
        <f t="shared" si="575"/>
        <v>0.39771925784117568</v>
      </c>
      <c r="Z106" s="93">
        <f t="shared" si="575"/>
        <v>0.38549017073476133</v>
      </c>
      <c r="AA106" s="93">
        <f t="shared" si="575"/>
        <v>0.3813310559787777</v>
      </c>
      <c r="AB106" s="93">
        <f t="shared" si="575"/>
        <v>0.38276150699271505</v>
      </c>
      <c r="AC106" s="93">
        <f t="shared" si="575"/>
        <v>0.37224214688006085</v>
      </c>
      <c r="AD106" s="93">
        <f t="shared" si="575"/>
        <v>0.3979092493636246</v>
      </c>
      <c r="AE106" s="93">
        <f t="shared" si="575"/>
        <v>0.36757261849724571</v>
      </c>
      <c r="AF106" s="93">
        <f t="shared" si="575"/>
        <v>0.38668290504302921</v>
      </c>
      <c r="AG106" s="93">
        <f t="shared" si="575"/>
        <v>0.37837618323316152</v>
      </c>
      <c r="AH106" s="93">
        <f t="shared" si="575"/>
        <v>0.3799145471697421</v>
      </c>
      <c r="AI106" s="93">
        <f t="shared" si="575"/>
        <v>0.41188406373709441</v>
      </c>
      <c r="AJ106" s="93">
        <f t="shared" si="575"/>
        <v>0.41480310169883611</v>
      </c>
      <c r="AK106" s="93">
        <f t="shared" si="575"/>
        <v>0.36356606742351083</v>
      </c>
      <c r="AL106" s="93">
        <f t="shared" si="575"/>
        <v>0.42080123266563946</v>
      </c>
      <c r="AM106" s="93">
        <f t="shared" si="575"/>
        <v>0.32880779192152976</v>
      </c>
      <c r="AN106" s="93">
        <f t="shared" si="575"/>
        <v>0.2994389536398534</v>
      </c>
      <c r="AO106" s="93">
        <f t="shared" si="575"/>
        <v>0.32127998621818338</v>
      </c>
      <c r="AP106" s="93">
        <f t="shared" si="575"/>
        <v>0.33059432461281291</v>
      </c>
      <c r="AQ106" s="93">
        <f t="shared" si="575"/>
        <v>0.16444353872565368</v>
      </c>
      <c r="AR106" s="93">
        <f t="shared" si="575"/>
        <v>0.2017198308993082</v>
      </c>
      <c r="AS106" s="93">
        <f t="shared" si="575"/>
        <v>0.19419341225695519</v>
      </c>
      <c r="AT106" s="93">
        <f t="shared" si="575"/>
        <v>0.22992478494669766</v>
      </c>
      <c r="AU106" s="93">
        <f t="shared" si="575"/>
        <v>0.27934078251199612</v>
      </c>
      <c r="AV106" s="93">
        <f t="shared" si="575"/>
        <v>0.32607413061002732</v>
      </c>
      <c r="AW106" s="93">
        <f t="shared" si="575"/>
        <v>0.34163148357761552</v>
      </c>
      <c r="AX106" s="93">
        <f t="shared" si="575"/>
        <v>0.34994579464954673</v>
      </c>
      <c r="AY106" s="93">
        <f t="shared" si="575"/>
        <v>0.35150308796377683</v>
      </c>
      <c r="AZ106" s="93">
        <f t="shared" si="575"/>
        <v>0.36012944165632976</v>
      </c>
      <c r="BA106" s="93">
        <f t="shared" si="575"/>
        <v>0.36392688930554151</v>
      </c>
      <c r="BB106" s="93">
        <f t="shared" si="575"/>
        <v>0.36396246801070875</v>
      </c>
      <c r="BC106" s="93">
        <f t="shared" si="575"/>
        <v>0.3661991463141836</v>
      </c>
      <c r="BD106" s="93">
        <f t="shared" si="575"/>
        <v>0.36820812079877424</v>
      </c>
      <c r="BE106" s="93">
        <f t="shared" si="575"/>
        <v>0.36928931121684683</v>
      </c>
      <c r="BF106" s="93">
        <f t="shared" si="575"/>
        <v>0.3686223684865122</v>
      </c>
      <c r="BJ106" s="116">
        <f t="shared" si="519"/>
        <v>97</v>
      </c>
    </row>
    <row r="107" spans="2:62" hidden="1" outlineLevel="2">
      <c r="B107" s="23" t="s">
        <v>5</v>
      </c>
      <c r="C107" s="93">
        <f t="shared" ref="C107:M107" si="576">C24/C13</f>
        <v>0.27362773116990874</v>
      </c>
      <c r="D107" s="93">
        <f t="shared" si="576"/>
        <v>0.34405974839080328</v>
      </c>
      <c r="E107" s="93">
        <f t="shared" si="576"/>
        <v>0.35059884353218707</v>
      </c>
      <c r="F107" s="93">
        <f t="shared" si="576"/>
        <v>0.32899335316692291</v>
      </c>
      <c r="G107" s="93">
        <f t="shared" si="576"/>
        <v>0.3235578414759302</v>
      </c>
      <c r="H107" s="93">
        <f t="shared" si="576"/>
        <v>0.28915443582992717</v>
      </c>
      <c r="I107" s="93">
        <f t="shared" si="576"/>
        <v>0.10345430525334161</v>
      </c>
      <c r="J107" s="93">
        <f t="shared" si="576"/>
        <v>0.20903423410387198</v>
      </c>
      <c r="K107" s="93">
        <f t="shared" si="576"/>
        <v>0.23689012435893761</v>
      </c>
      <c r="L107" s="93">
        <f t="shared" si="576"/>
        <v>0.22209476393097277</v>
      </c>
      <c r="M107" s="93">
        <f t="shared" si="576"/>
        <v>0.2174313003929671</v>
      </c>
      <c r="O107" s="93">
        <f t="shared" ref="O107:BF107" si="577">O24/O13</f>
        <v>0.30940452245992567</v>
      </c>
      <c r="P107" s="93">
        <f t="shared" si="577"/>
        <v>0.17733198110173892</v>
      </c>
      <c r="Q107" s="93">
        <f t="shared" si="577"/>
        <v>0.22732826026249653</v>
      </c>
      <c r="R107" s="93">
        <f t="shared" si="577"/>
        <v>0.31312556745463099</v>
      </c>
      <c r="S107" s="93">
        <f t="shared" si="577"/>
        <v>0.3804101655865274</v>
      </c>
      <c r="T107" s="93">
        <f t="shared" si="577"/>
        <v>0.2835733043557005</v>
      </c>
      <c r="U107" s="93">
        <f t="shared" si="577"/>
        <v>0.32702753500610843</v>
      </c>
      <c r="V107" s="93">
        <f t="shared" si="577"/>
        <v>0.3534236804564907</v>
      </c>
      <c r="W107" s="93">
        <f t="shared" si="577"/>
        <v>0.40200366186478731</v>
      </c>
      <c r="X107" s="93">
        <f t="shared" si="577"/>
        <v>0.19962129818980537</v>
      </c>
      <c r="Y107" s="93">
        <f t="shared" si="577"/>
        <v>0.35758740885302887</v>
      </c>
      <c r="Z107" s="93">
        <f t="shared" si="577"/>
        <v>0.36622056229899363</v>
      </c>
      <c r="AA107" s="93">
        <f t="shared" si="577"/>
        <v>0.35888765399985811</v>
      </c>
      <c r="AB107" s="93">
        <f t="shared" si="577"/>
        <v>0.27885906558212042</v>
      </c>
      <c r="AC107" s="93">
        <f t="shared" si="577"/>
        <v>0.32227231961865915</v>
      </c>
      <c r="AD107" s="93">
        <f t="shared" si="577"/>
        <v>0.32902293986888276</v>
      </c>
      <c r="AE107" s="93">
        <f t="shared" si="577"/>
        <v>0.35942161421237939</v>
      </c>
      <c r="AF107" s="93">
        <f t="shared" si="577"/>
        <v>0.25912761342301455</v>
      </c>
      <c r="AG107" s="93">
        <f t="shared" si="577"/>
        <v>0.32058242536432641</v>
      </c>
      <c r="AH107" s="93">
        <f t="shared" si="577"/>
        <v>0.32096260442761765</v>
      </c>
      <c r="AI107" s="93">
        <f t="shared" si="577"/>
        <v>0.31929460580912861</v>
      </c>
      <c r="AJ107" s="93">
        <f t="shared" si="577"/>
        <v>0.17428664829776305</v>
      </c>
      <c r="AK107" s="93">
        <f t="shared" si="577"/>
        <v>0.25112766881619836</v>
      </c>
      <c r="AL107" s="93">
        <f t="shared" si="577"/>
        <v>0.35465526985024021</v>
      </c>
      <c r="AM107" s="93">
        <f t="shared" si="577"/>
        <v>0.12129873099348347</v>
      </c>
      <c r="AN107" s="93">
        <f t="shared" si="577"/>
        <v>5.4405319631252828E-2</v>
      </c>
      <c r="AO107" s="93">
        <f t="shared" si="577"/>
        <v>1.876675603217158E-2</v>
      </c>
      <c r="AP107" s="93">
        <f t="shared" si="577"/>
        <v>0.15646982325471417</v>
      </c>
      <c r="AQ107" s="93">
        <f t="shared" si="577"/>
        <v>0.2278121403912543</v>
      </c>
      <c r="AR107" s="93">
        <f t="shared" si="577"/>
        <v>0.24396939431107995</v>
      </c>
      <c r="AS107" s="93">
        <f t="shared" si="577"/>
        <v>0.1422010734244453</v>
      </c>
      <c r="AT107" s="93">
        <f t="shared" si="577"/>
        <v>0.21342901590806446</v>
      </c>
      <c r="AU107" s="93">
        <f t="shared" si="577"/>
        <v>0.2621804188483004</v>
      </c>
      <c r="AV107" s="93">
        <f t="shared" si="577"/>
        <v>0.14601378184174929</v>
      </c>
      <c r="AW107" s="93">
        <f t="shared" si="577"/>
        <v>0.23282859145761456</v>
      </c>
      <c r="AX107" s="93">
        <f t="shared" si="577"/>
        <v>0.2631101632867669</v>
      </c>
      <c r="AY107" s="93">
        <f t="shared" si="577"/>
        <v>0.23343123047364492</v>
      </c>
      <c r="AZ107" s="93">
        <f t="shared" si="577"/>
        <v>0.16869197326873342</v>
      </c>
      <c r="BA107" s="93">
        <f t="shared" si="577"/>
        <v>0.22883711016122327</v>
      </c>
      <c r="BB107" s="93">
        <f t="shared" si="577"/>
        <v>0.22778885236444774</v>
      </c>
      <c r="BC107" s="93">
        <f t="shared" si="577"/>
        <v>0.23005822352938546</v>
      </c>
      <c r="BD107" s="93">
        <f t="shared" si="577"/>
        <v>0.15941357199993741</v>
      </c>
      <c r="BE107" s="93">
        <f t="shared" si="577"/>
        <v>0.22451660243997087</v>
      </c>
      <c r="BF107" s="93">
        <f t="shared" si="577"/>
        <v>0.22338193448877031</v>
      </c>
      <c r="BJ107" s="116">
        <f t="shared" si="519"/>
        <v>98</v>
      </c>
    </row>
    <row r="108" spans="2:62" hidden="1" outlineLevel="2">
      <c r="B108" s="23" t="s">
        <v>6</v>
      </c>
      <c r="C108" s="93">
        <f t="shared" ref="C108:M108" si="578">C25/C14</f>
        <v>0.45891946657303168</v>
      </c>
      <c r="D108" s="93">
        <f t="shared" si="578"/>
        <v>0.35957630011381109</v>
      </c>
      <c r="E108" s="93">
        <f t="shared" si="578"/>
        <v>0.33327589205255087</v>
      </c>
      <c r="F108" s="93">
        <f t="shared" si="578"/>
        <v>0.35819497030590114</v>
      </c>
      <c r="G108" s="93">
        <f t="shared" si="578"/>
        <v>0.37592400231162304</v>
      </c>
      <c r="H108" s="93">
        <f t="shared" si="578"/>
        <v>0.38815114787862443</v>
      </c>
      <c r="I108" s="93">
        <f t="shared" si="578"/>
        <v>0.36775187157048728</v>
      </c>
      <c r="J108" s="93">
        <f t="shared" si="578"/>
        <v>0.34542759453482219</v>
      </c>
      <c r="K108" s="93">
        <f t="shared" si="578"/>
        <v>0.34369158727571425</v>
      </c>
      <c r="L108" s="93">
        <f t="shared" si="578"/>
        <v>0.35564948881038855</v>
      </c>
      <c r="M108" s="93">
        <f t="shared" si="578"/>
        <v>0.38928731199703354</v>
      </c>
      <c r="O108" s="93">
        <f t="shared" ref="O108:BF108" si="579">O25/O14</f>
        <v>0.45673829398721799</v>
      </c>
      <c r="P108" s="93">
        <f t="shared" si="579"/>
        <v>0.46596531177085243</v>
      </c>
      <c r="Q108" s="93">
        <f t="shared" si="579"/>
        <v>0.44554386816157482</v>
      </c>
      <c r="R108" s="93">
        <f t="shared" si="579"/>
        <v>0.46750500474853274</v>
      </c>
      <c r="S108" s="93">
        <f t="shared" si="579"/>
        <v>0.38247541689367076</v>
      </c>
      <c r="T108" s="93">
        <f t="shared" si="579"/>
        <v>0.39049356975617483</v>
      </c>
      <c r="U108" s="93">
        <f t="shared" si="579"/>
        <v>0.3465276939571012</v>
      </c>
      <c r="V108" s="93">
        <f t="shared" si="579"/>
        <v>0.32387220529574634</v>
      </c>
      <c r="W108" s="93">
        <f t="shared" si="579"/>
        <v>0.31732824302938351</v>
      </c>
      <c r="X108" s="93">
        <f t="shared" si="579"/>
        <v>0.32906684349784321</v>
      </c>
      <c r="Y108" s="93">
        <f t="shared" si="579"/>
        <v>0.34461267445215571</v>
      </c>
      <c r="Z108" s="93">
        <f t="shared" si="579"/>
        <v>0.34078059175679337</v>
      </c>
      <c r="AA108" s="93">
        <f t="shared" si="579"/>
        <v>0.33128677888503211</v>
      </c>
      <c r="AB108" s="93">
        <f t="shared" si="579"/>
        <v>0.33433118681012236</v>
      </c>
      <c r="AC108" s="93">
        <f t="shared" si="579"/>
        <v>0.37206811358518888</v>
      </c>
      <c r="AD108" s="93">
        <f t="shared" si="579"/>
        <v>0.38693374875801922</v>
      </c>
      <c r="AE108" s="93">
        <f t="shared" si="579"/>
        <v>0.36790830487190357</v>
      </c>
      <c r="AF108" s="93">
        <f t="shared" si="579"/>
        <v>0.35612944120270623</v>
      </c>
      <c r="AG108" s="93">
        <f t="shared" si="579"/>
        <v>0.37576819292768038</v>
      </c>
      <c r="AH108" s="93">
        <f t="shared" si="579"/>
        <v>0.40095907277288673</v>
      </c>
      <c r="AI108" s="93">
        <f t="shared" si="579"/>
        <v>0.45134261338123038</v>
      </c>
      <c r="AJ108" s="93">
        <f t="shared" si="579"/>
        <v>0.3862566533327223</v>
      </c>
      <c r="AK108" s="93">
        <f t="shared" si="579"/>
        <v>0.36121314270215821</v>
      </c>
      <c r="AL108" s="93">
        <f t="shared" si="579"/>
        <v>0.35833554437277459</v>
      </c>
      <c r="AM108" s="93">
        <f t="shared" si="579"/>
        <v>0.36979715999052498</v>
      </c>
      <c r="AN108" s="93">
        <f t="shared" si="579"/>
        <v>0.34452809247586536</v>
      </c>
      <c r="AO108" s="93">
        <f t="shared" si="579"/>
        <v>0.38887782053325431</v>
      </c>
      <c r="AP108" s="93">
        <f t="shared" si="579"/>
        <v>0.36962282050443251</v>
      </c>
      <c r="AQ108" s="93">
        <f t="shared" si="579"/>
        <v>0.32125550302611</v>
      </c>
      <c r="AR108" s="93">
        <f t="shared" si="579"/>
        <v>0.3543795255798789</v>
      </c>
      <c r="AS108" s="93">
        <f t="shared" si="579"/>
        <v>0.36577601000785875</v>
      </c>
      <c r="AT108" s="93">
        <f t="shared" si="579"/>
        <v>0.33797683754027996</v>
      </c>
      <c r="AU108" s="93">
        <f t="shared" si="579"/>
        <v>0.34304442202267971</v>
      </c>
      <c r="AV108" s="93">
        <f t="shared" si="579"/>
        <v>0.3396852176051412</v>
      </c>
      <c r="AW108" s="93">
        <f t="shared" si="579"/>
        <v>0.34397708129961713</v>
      </c>
      <c r="AX108" s="93">
        <f t="shared" si="579"/>
        <v>0.34776912129210491</v>
      </c>
      <c r="AY108" s="93">
        <f t="shared" si="579"/>
        <v>0.35472021195454823</v>
      </c>
      <c r="AZ108" s="93">
        <f t="shared" si="579"/>
        <v>0.3554810869993783</v>
      </c>
      <c r="BA108" s="93">
        <f t="shared" si="579"/>
        <v>0.35619334114533913</v>
      </c>
      <c r="BB108" s="93">
        <f t="shared" si="579"/>
        <v>0.35611917900294188</v>
      </c>
      <c r="BC108" s="93">
        <f t="shared" si="579"/>
        <v>0.39032217609978775</v>
      </c>
      <c r="BD108" s="93">
        <f t="shared" si="579"/>
        <v>0.38948664431314145</v>
      </c>
      <c r="BE108" s="93">
        <f t="shared" si="579"/>
        <v>0.38910684062490736</v>
      </c>
      <c r="BF108" s="93">
        <f t="shared" si="579"/>
        <v>0.38824700212876351</v>
      </c>
      <c r="BJ108" s="116">
        <f t="shared" si="519"/>
        <v>99</v>
      </c>
    </row>
    <row r="109" spans="2:62" hidden="1" outlineLevel="2">
      <c r="B109" s="23" t="s">
        <v>7</v>
      </c>
      <c r="C109" s="93">
        <f t="shared" ref="C109:M109" si="580">C27/C16</f>
        <v>0.16588630798260115</v>
      </c>
      <c r="D109" s="93">
        <f t="shared" si="580"/>
        <v>0.13316553100981005</v>
      </c>
      <c r="E109" s="93">
        <f t="shared" si="580"/>
        <v>0.15215882056691821</v>
      </c>
      <c r="F109" s="93">
        <f t="shared" si="580"/>
        <v>5.4478259858450707E-2</v>
      </c>
      <c r="G109" s="93">
        <f t="shared" si="580"/>
        <v>0.11832789661604359</v>
      </c>
      <c r="H109" s="93">
        <f t="shared" si="580"/>
        <v>6.4238975463674908E-2</v>
      </c>
      <c r="I109" s="93">
        <f t="shared" si="580"/>
        <v>-0.11470144980947802</v>
      </c>
      <c r="J109" s="93">
        <f t="shared" si="580"/>
        <v>-8.2859359944061184E-2</v>
      </c>
      <c r="K109" s="93">
        <f t="shared" si="580"/>
        <v>5.8873002523129455E-5</v>
      </c>
      <c r="L109" s="93">
        <f t="shared" si="580"/>
        <v>7.8533105188364608E-2</v>
      </c>
      <c r="M109" s="93">
        <f t="shared" si="580"/>
        <v>0.1</v>
      </c>
      <c r="O109" s="93">
        <f t="shared" ref="O109:BF109" si="581">O27/O16</f>
        <v>0.16440917539427261</v>
      </c>
      <c r="P109" s="93">
        <f t="shared" si="581"/>
        <v>0.15962745939686754</v>
      </c>
      <c r="Q109" s="93">
        <f t="shared" si="581"/>
        <v>0.19550605897071088</v>
      </c>
      <c r="R109" s="93">
        <f t="shared" si="581"/>
        <v>0.14095619611599755</v>
      </c>
      <c r="S109" s="93">
        <f t="shared" si="581"/>
        <v>0.13032049251213729</v>
      </c>
      <c r="T109" s="93">
        <f t="shared" si="581"/>
        <v>0.1351145923244399</v>
      </c>
      <c r="U109" s="93">
        <f t="shared" si="581"/>
        <v>0.15317388751415509</v>
      </c>
      <c r="V109" s="93">
        <f t="shared" si="581"/>
        <v>0.11525491067839018</v>
      </c>
      <c r="W109" s="93">
        <f t="shared" si="581"/>
        <v>0.17301185483003664</v>
      </c>
      <c r="X109" s="93">
        <f t="shared" si="581"/>
        <v>0.17081193627686841</v>
      </c>
      <c r="Y109" s="93">
        <f t="shared" si="581"/>
        <v>0.14024072547403132</v>
      </c>
      <c r="Z109" s="93">
        <f t="shared" si="581"/>
        <v>0.10358475410685598</v>
      </c>
      <c r="AA109" s="93">
        <f t="shared" si="581"/>
        <v>6.9536843203134899E-2</v>
      </c>
      <c r="AB109" s="93">
        <f t="shared" si="581"/>
        <v>1.9243142566881137E-2</v>
      </c>
      <c r="AC109" s="93">
        <f t="shared" si="581"/>
        <v>8.0571249933283004E-2</v>
      </c>
      <c r="AD109" s="93">
        <f t="shared" si="581"/>
        <v>4.4806870839685438E-2</v>
      </c>
      <c r="AE109" s="93">
        <f t="shared" si="581"/>
        <v>0.11473915645046825</v>
      </c>
      <c r="AF109" s="93">
        <f t="shared" si="581"/>
        <v>0.10619512798318287</v>
      </c>
      <c r="AG109" s="93">
        <f t="shared" si="581"/>
        <v>0.15750873655562925</v>
      </c>
      <c r="AH109" s="93">
        <f t="shared" si="581"/>
        <v>9.1949012337249683E-2</v>
      </c>
      <c r="AI109" s="93">
        <f t="shared" si="581"/>
        <v>0.17278685028584551</v>
      </c>
      <c r="AJ109" s="93">
        <f t="shared" si="581"/>
        <v>7.7946836878748024E-2</v>
      </c>
      <c r="AK109" s="93">
        <f t="shared" si="581"/>
        <v>-3.7160382648293203E-2</v>
      </c>
      <c r="AL109" s="93">
        <f t="shared" si="581"/>
        <v>-8.1664901283231173E-2</v>
      </c>
      <c r="AM109" s="93">
        <f t="shared" si="581"/>
        <v>-0.1250708697131194</v>
      </c>
      <c r="AN109" s="93">
        <f t="shared" si="581"/>
        <v>-0.32978434039246163</v>
      </c>
      <c r="AO109" s="93">
        <f t="shared" si="581"/>
        <v>-7.0883874420264004E-2</v>
      </c>
      <c r="AP109" s="93">
        <f t="shared" si="581"/>
        <v>-2.9310943330729845E-2</v>
      </c>
      <c r="AQ109" s="93">
        <f t="shared" si="581"/>
        <v>-0.11464288955440602</v>
      </c>
      <c r="AR109" s="93">
        <f t="shared" si="581"/>
        <v>-3.515567541063986E-2</v>
      </c>
      <c r="AS109" s="93">
        <f t="shared" si="581"/>
        <v>-0.15865845858650465</v>
      </c>
      <c r="AT109" s="93">
        <f t="shared" si="581"/>
        <v>-5.4158412093527994E-2</v>
      </c>
      <c r="AU109" s="93">
        <f t="shared" si="581"/>
        <v>-3.5000000000000003E-2</v>
      </c>
      <c r="AV109" s="93">
        <f t="shared" si="581"/>
        <v>-0.01</v>
      </c>
      <c r="AW109" s="93">
        <f t="shared" si="581"/>
        <v>0.01</v>
      </c>
      <c r="AX109" s="93">
        <f t="shared" si="581"/>
        <v>0.03</v>
      </c>
      <c r="AY109" s="93">
        <f t="shared" si="581"/>
        <v>0.05</v>
      </c>
      <c r="AZ109" s="93">
        <f t="shared" si="581"/>
        <v>7.0000000000000007E-2</v>
      </c>
      <c r="BA109" s="93">
        <f t="shared" si="581"/>
        <v>0.09</v>
      </c>
      <c r="BB109" s="93">
        <f t="shared" si="581"/>
        <v>0.1</v>
      </c>
      <c r="BC109" s="93">
        <f t="shared" si="581"/>
        <v>0.1</v>
      </c>
      <c r="BD109" s="93">
        <f t="shared" si="581"/>
        <v>0.1</v>
      </c>
      <c r="BE109" s="93">
        <f t="shared" si="581"/>
        <v>0.1</v>
      </c>
      <c r="BF109" s="93">
        <f t="shared" si="581"/>
        <v>0.10000000000000002</v>
      </c>
      <c r="BJ109" s="116">
        <f t="shared" si="519"/>
        <v>100</v>
      </c>
    </row>
    <row r="110" spans="2:62" hidden="1" outlineLevel="2">
      <c r="B110" s="2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 s="93"/>
      <c r="AK110" s="93"/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J110" s="116">
        <f t="shared" si="519"/>
        <v>101</v>
      </c>
    </row>
    <row r="111" spans="2:62" hidden="1" outlineLevel="2">
      <c r="B111" s="10" t="s">
        <v>23</v>
      </c>
      <c r="C111" s="93">
        <f t="shared" ref="C111:M111" si="582">C33/C20</f>
        <v>0.15390142901233986</v>
      </c>
      <c r="D111" s="93">
        <f t="shared" si="582"/>
        <v>0.14155377876578215</v>
      </c>
      <c r="E111" s="93">
        <f t="shared" si="582"/>
        <v>0.13273008861172461</v>
      </c>
      <c r="F111" s="93">
        <f t="shared" si="582"/>
        <v>8.5650490988878281E-2</v>
      </c>
      <c r="G111" s="93">
        <f t="shared" si="582"/>
        <v>8.3847281087337744E-2</v>
      </c>
      <c r="H111" s="93">
        <f t="shared" si="582"/>
        <v>4.012606180544586E-2</v>
      </c>
      <c r="I111" s="93">
        <f t="shared" si="582"/>
        <v>-0.13925011302956714</v>
      </c>
      <c r="J111" s="93">
        <f t="shared" si="582"/>
        <v>-0.11659390434370596</v>
      </c>
      <c r="K111" s="93">
        <f t="shared" si="582"/>
        <v>-4.6824710299962586E-3</v>
      </c>
      <c r="L111" s="93">
        <f t="shared" si="582"/>
        <v>8.19493385635989E-2</v>
      </c>
      <c r="M111" s="93">
        <f t="shared" si="582"/>
        <v>0.12129207222759952</v>
      </c>
      <c r="O111" s="93">
        <f t="shared" ref="O111:BF111" si="583">O33/O20</f>
        <v>0.15287012399112299</v>
      </c>
      <c r="P111" s="93">
        <f t="shared" si="583"/>
        <v>0.13648014369436107</v>
      </c>
      <c r="Q111" s="93">
        <f t="shared" si="583"/>
        <v>0.15208449148693509</v>
      </c>
      <c r="R111" s="93">
        <f t="shared" si="583"/>
        <v>0.16814533228212894</v>
      </c>
      <c r="S111" s="93">
        <f t="shared" si="583"/>
        <v>0.13670250788342198</v>
      </c>
      <c r="T111" s="93">
        <f t="shared" si="583"/>
        <v>0.12816336463834063</v>
      </c>
      <c r="U111" s="93">
        <f t="shared" si="583"/>
        <v>0.14003806814872941</v>
      </c>
      <c r="V111" s="93">
        <f t="shared" si="583"/>
        <v>0.15744301749617054</v>
      </c>
      <c r="W111" s="93">
        <f t="shared" si="583"/>
        <v>0.16691264297042044</v>
      </c>
      <c r="X111" s="93">
        <f t="shared" si="583"/>
        <v>0.12926972959980634</v>
      </c>
      <c r="Y111" s="93">
        <f t="shared" si="583"/>
        <v>0.13060198879819099</v>
      </c>
      <c r="Z111" s="93">
        <f t="shared" si="583"/>
        <v>9.776944666588562E-2</v>
      </c>
      <c r="AA111" s="93">
        <f t="shared" si="583"/>
        <v>9.3220482481676692E-2</v>
      </c>
      <c r="AB111" s="93">
        <f t="shared" si="583"/>
        <v>6.1458223305618918E-2</v>
      </c>
      <c r="AC111" s="93">
        <f t="shared" si="583"/>
        <v>8.67730638389628E-2</v>
      </c>
      <c r="AD111" s="93">
        <f t="shared" si="583"/>
        <v>9.930689779200462E-2</v>
      </c>
      <c r="AE111" s="93">
        <f t="shared" si="583"/>
        <v>6.8595725513928507E-2</v>
      </c>
      <c r="AF111" s="93">
        <f t="shared" si="583"/>
        <v>8.2536529495399122E-2</v>
      </c>
      <c r="AG111" s="93">
        <f t="shared" si="583"/>
        <v>9.7197383955931346E-2</v>
      </c>
      <c r="AH111" s="93">
        <f t="shared" si="583"/>
        <v>8.5276897652026326E-2</v>
      </c>
      <c r="AI111" s="93">
        <f t="shared" si="583"/>
        <v>6.512880782448538E-2</v>
      </c>
      <c r="AJ111" s="93">
        <f t="shared" si="583"/>
        <v>7.501960523847305E-2</v>
      </c>
      <c r="AK111" s="93">
        <f t="shared" si="583"/>
        <v>8.8773209463007038E-3</v>
      </c>
      <c r="AL111" s="93">
        <f t="shared" si="583"/>
        <v>-1.2481829818623637E-2</v>
      </c>
      <c r="AM111" s="93">
        <f t="shared" si="583"/>
        <v>-9.6395885340304424E-2</v>
      </c>
      <c r="AN111" s="93">
        <f t="shared" si="583"/>
        <v>-0.16174906283952512</v>
      </c>
      <c r="AO111" s="93">
        <f t="shared" si="583"/>
        <v>-0.16585062134380499</v>
      </c>
      <c r="AP111" s="93">
        <f t="shared" si="583"/>
        <v>-0.13942340228744163</v>
      </c>
      <c r="AQ111" s="93">
        <f t="shared" si="583"/>
        <v>-0.1847515776375433</v>
      </c>
      <c r="AR111" s="93">
        <f t="shared" si="583"/>
        <v>-0.10975441708705884</v>
      </c>
      <c r="AS111" s="93">
        <f t="shared" si="583"/>
        <v>-0.11207470740957219</v>
      </c>
      <c r="AT111" s="93">
        <f t="shared" si="583"/>
        <v>-7.2780847041482369E-2</v>
      </c>
      <c r="AU111" s="93">
        <f t="shared" si="583"/>
        <v>-5.4969006902465825E-2</v>
      </c>
      <c r="AV111" s="93">
        <f t="shared" si="583"/>
        <v>-2.2715454697390863E-2</v>
      </c>
      <c r="AW111" s="93">
        <f t="shared" si="583"/>
        <v>1.3719274678637983E-2</v>
      </c>
      <c r="AX111" s="93">
        <f t="shared" si="583"/>
        <v>3.7180271157642733E-2</v>
      </c>
      <c r="AY111" s="93">
        <f t="shared" si="583"/>
        <v>5.3666158673161171E-2</v>
      </c>
      <c r="AZ111" s="93">
        <f t="shared" si="583"/>
        <v>7.0061576054053429E-2</v>
      </c>
      <c r="BA111" s="93">
        <f t="shared" si="583"/>
        <v>9.4810849607830677E-2</v>
      </c>
      <c r="BB111" s="93">
        <f t="shared" si="583"/>
        <v>0.10523832612772455</v>
      </c>
      <c r="BC111" s="93">
        <f t="shared" si="583"/>
        <v>0.11643469773052535</v>
      </c>
      <c r="BD111" s="93">
        <f t="shared" si="583"/>
        <v>0.11555484327999209</v>
      </c>
      <c r="BE111" s="93">
        <f t="shared" si="583"/>
        <v>0.12541819389522255</v>
      </c>
      <c r="BF111" s="93">
        <f t="shared" si="583"/>
        <v>0.12735922518036472</v>
      </c>
      <c r="BJ111" s="116">
        <f t="shared" si="519"/>
        <v>102</v>
      </c>
    </row>
    <row r="112" spans="2:62" hidden="1" outlineLevel="2">
      <c r="B112" s="10" t="s">
        <v>26</v>
      </c>
      <c r="C112" s="93">
        <f t="shared" ref="C112:M112" si="584">C41/C20</f>
        <v>7.8021704533189934E-2</v>
      </c>
      <c r="D112" s="93">
        <f t="shared" si="584"/>
        <v>7.1758150043044686E-2</v>
      </c>
      <c r="E112" s="93">
        <f t="shared" si="584"/>
        <v>9.2444342554310305E-2</v>
      </c>
      <c r="F112" s="93">
        <f t="shared" si="584"/>
        <v>5.4437417330002055E-2</v>
      </c>
      <c r="G112" s="93">
        <f t="shared" si="584"/>
        <v>4.621188312061196E-2</v>
      </c>
      <c r="H112" s="93">
        <f t="shared" si="584"/>
        <v>-3.7664827962819668E-3</v>
      </c>
      <c r="I112" s="93">
        <f t="shared" si="584"/>
        <v>-0.1744454609778433</v>
      </c>
      <c r="J112" s="93">
        <f t="shared" si="584"/>
        <v>-0.18470176286957185</v>
      </c>
      <c r="K112" s="93">
        <f t="shared" si="584"/>
        <v>-7.6774277743293984E-2</v>
      </c>
      <c r="L112" s="93">
        <f t="shared" si="584"/>
        <v>4.850416531080334E-3</v>
      </c>
      <c r="M112" s="93">
        <f t="shared" si="584"/>
        <v>4.3801275448355291E-2</v>
      </c>
      <c r="O112" s="93">
        <f t="shared" ref="O112:BF112" si="585">O41/O20</f>
        <v>5.8960208013602591E-2</v>
      </c>
      <c r="P112" s="93">
        <f t="shared" si="585"/>
        <v>6.7216664700046766E-2</v>
      </c>
      <c r="Q112" s="93">
        <f t="shared" si="585"/>
        <v>7.7942619713385314E-2</v>
      </c>
      <c r="R112" s="93">
        <f t="shared" si="585"/>
        <v>9.8611865960857997E-2</v>
      </c>
      <c r="S112" s="93">
        <f t="shared" si="585"/>
        <v>6.3621093439747936E-2</v>
      </c>
      <c r="T112" s="93">
        <f t="shared" si="585"/>
        <v>5.289779007954773E-2</v>
      </c>
      <c r="U112" s="93">
        <f t="shared" si="585"/>
        <v>7.4578629730549892E-2</v>
      </c>
      <c r="V112" s="93">
        <f t="shared" si="585"/>
        <v>9.0523095256928587E-2</v>
      </c>
      <c r="W112" s="93">
        <f t="shared" si="585"/>
        <v>0.10804495917851324</v>
      </c>
      <c r="X112" s="93">
        <f t="shared" si="585"/>
        <v>8.4642282061298826E-2</v>
      </c>
      <c r="Y112" s="93">
        <f t="shared" si="585"/>
        <v>9.7702906282439342E-2</v>
      </c>
      <c r="Z112" s="93">
        <f t="shared" si="585"/>
        <v>7.6536529831549655E-2</v>
      </c>
      <c r="AA112" s="93">
        <f t="shared" si="585"/>
        <v>8.5275757777057024E-2</v>
      </c>
      <c r="AB112" s="93">
        <f t="shared" si="585"/>
        <v>1.9561018569706004E-2</v>
      </c>
      <c r="AC112" s="93">
        <f t="shared" si="585"/>
        <v>2.5760521299106717E-2</v>
      </c>
      <c r="AD112" s="93">
        <f t="shared" si="585"/>
        <v>8.3676192206738345E-2</v>
      </c>
      <c r="AE112" s="93">
        <f t="shared" si="585"/>
        <v>3.105362420405406E-2</v>
      </c>
      <c r="AF112" s="93">
        <f t="shared" si="585"/>
        <v>4.5615873037469196E-2</v>
      </c>
      <c r="AG112" s="93">
        <f t="shared" si="585"/>
        <v>5.2609597020230284E-2</v>
      </c>
      <c r="AH112" s="93">
        <f t="shared" si="585"/>
        <v>5.3862574810688936E-2</v>
      </c>
      <c r="AI112" s="93">
        <f t="shared" si="585"/>
        <v>4.0533302389360537E-2</v>
      </c>
      <c r="AJ112" s="93">
        <f t="shared" si="585"/>
        <v>-5.2722652003230119E-2</v>
      </c>
      <c r="AK112" s="93">
        <f t="shared" si="585"/>
        <v>-1.1929071102338118E-2</v>
      </c>
      <c r="AL112" s="93">
        <f t="shared" si="585"/>
        <v>-2.2312711533454838E-2</v>
      </c>
      <c r="AM112" s="93">
        <f t="shared" si="585"/>
        <v>-0.14045627542835787</v>
      </c>
      <c r="AN112" s="93">
        <f t="shared" si="585"/>
        <v>-0.1820850185156743</v>
      </c>
      <c r="AO112" s="93">
        <f t="shared" si="585"/>
        <v>-0.21313855956999497</v>
      </c>
      <c r="AP112" s="93">
        <f t="shared" si="585"/>
        <v>-0.16791302909306921</v>
      </c>
      <c r="AQ112" s="93">
        <f t="shared" si="585"/>
        <v>-0.2501910941249666</v>
      </c>
      <c r="AR112" s="93">
        <f t="shared" si="585"/>
        <v>-0.17752763500724639</v>
      </c>
      <c r="AS112" s="93">
        <f t="shared" si="585"/>
        <v>-0.18335213705420453</v>
      </c>
      <c r="AT112" s="93">
        <f t="shared" si="585"/>
        <v>-0.14034339672190399</v>
      </c>
      <c r="AU112" s="93">
        <f t="shared" si="585"/>
        <v>-0.12544205043940676</v>
      </c>
      <c r="AV112" s="93">
        <f t="shared" si="585"/>
        <v>-9.3007022490561531E-2</v>
      </c>
      <c r="AW112" s="93">
        <f t="shared" si="585"/>
        <v>-5.8857211648106977E-2</v>
      </c>
      <c r="AX112" s="93">
        <f t="shared" si="585"/>
        <v>-3.745594711518363E-2</v>
      </c>
      <c r="AY112" s="93">
        <f t="shared" si="585"/>
        <v>-2.6759524586496875E-2</v>
      </c>
      <c r="AZ112" s="93">
        <f t="shared" si="585"/>
        <v>-6.6330617350941548E-3</v>
      </c>
      <c r="BA112" s="93">
        <f t="shared" si="585"/>
        <v>1.872868795390532E-2</v>
      </c>
      <c r="BB112" s="93">
        <f t="shared" si="585"/>
        <v>2.9731182815389785E-2</v>
      </c>
      <c r="BC112" s="93">
        <f t="shared" si="585"/>
        <v>3.8332557131512193E-2</v>
      </c>
      <c r="BD112" s="93">
        <f t="shared" si="585"/>
        <v>3.6623520202927397E-2</v>
      </c>
      <c r="BE112" s="93">
        <f t="shared" si="585"/>
        <v>4.6637021369484333E-2</v>
      </c>
      <c r="BF112" s="93">
        <f t="shared" si="585"/>
        <v>5.3110746819563369E-2</v>
      </c>
      <c r="BJ112" s="116">
        <f t="shared" si="519"/>
        <v>103</v>
      </c>
    </row>
    <row r="113" spans="1:62" hidden="1" outlineLevel="2">
      <c r="B113" s="12"/>
      <c r="BJ113" s="116">
        <f t="shared" si="519"/>
        <v>104</v>
      </c>
    </row>
    <row r="114" spans="1:62" outlineLevel="1" collapsed="1">
      <c r="A114" s="72" t="s">
        <v>322</v>
      </c>
      <c r="B114" s="19" t="s">
        <v>28</v>
      </c>
      <c r="BJ114" s="116">
        <f t="shared" si="519"/>
        <v>105</v>
      </c>
    </row>
    <row r="115" spans="1:62" hidden="1" outlineLevel="2">
      <c r="B115" s="20" t="s">
        <v>29</v>
      </c>
      <c r="BJ115" s="116">
        <f t="shared" si="519"/>
        <v>106</v>
      </c>
    </row>
    <row r="116" spans="1:62" hidden="1" outlineLevel="2">
      <c r="B116" s="13" t="s">
        <v>30</v>
      </c>
      <c r="C116" s="50">
        <f t="shared" ref="C116:M119" si="586">SUMIFS($O116:$BG116,$O$5:$BG$5,C$5)</f>
        <v>4225.0159999999996</v>
      </c>
      <c r="D116" s="50">
        <f t="shared" si="586"/>
        <v>6125.0290000000005</v>
      </c>
      <c r="E116" s="50">
        <f t="shared" si="586"/>
        <v>6933.3940000000002</v>
      </c>
      <c r="F116" s="50">
        <f t="shared" si="586"/>
        <v>6116.9409999999998</v>
      </c>
      <c r="G116" s="50">
        <f t="shared" si="586"/>
        <v>6774.1970000000001</v>
      </c>
      <c r="H116" s="50">
        <f t="shared" si="586"/>
        <v>3856.5210000000002</v>
      </c>
      <c r="I116" s="50">
        <f t="shared" si="586"/>
        <v>2160.9389999999999</v>
      </c>
      <c r="J116" s="50">
        <f t="shared" si="586"/>
        <v>2564.2850000000003</v>
      </c>
      <c r="K116" s="50">
        <f t="shared" si="586"/>
        <v>3259.9877431562268</v>
      </c>
      <c r="L116" s="50">
        <f t="shared" si="586"/>
        <v>3841.5926997371289</v>
      </c>
      <c r="M116" s="50">
        <f t="shared" si="586"/>
        <v>4065.5542743657379</v>
      </c>
      <c r="O116" s="50">
        <f t="shared" ref="O116:BF116" si="587">O20</f>
        <v>905.71000000000015</v>
      </c>
      <c r="P116" s="50">
        <f t="shared" si="587"/>
        <v>915.27599999999995</v>
      </c>
      <c r="Q116" s="50">
        <f t="shared" si="587"/>
        <v>1081.1030000000001</v>
      </c>
      <c r="R116" s="50">
        <f t="shared" si="587"/>
        <v>1322.9270000000001</v>
      </c>
      <c r="S116" s="50">
        <f t="shared" si="587"/>
        <v>1397.5529999999999</v>
      </c>
      <c r="T116" s="50">
        <f t="shared" si="587"/>
        <v>1364.2120000000002</v>
      </c>
      <c r="U116" s="50">
        <f t="shared" si="587"/>
        <v>1631.2850000000001</v>
      </c>
      <c r="V116" s="50">
        <f t="shared" si="587"/>
        <v>1731.9789999999998</v>
      </c>
      <c r="W116" s="50">
        <f t="shared" si="587"/>
        <v>1890.4260000000002</v>
      </c>
      <c r="X116" s="50">
        <f t="shared" si="587"/>
        <v>1743.2310000000002</v>
      </c>
      <c r="Y116" s="50">
        <f t="shared" si="587"/>
        <v>1729.1850000000002</v>
      </c>
      <c r="Z116" s="50">
        <f t="shared" si="587"/>
        <v>1570.5519999999997</v>
      </c>
      <c r="AA116" s="50">
        <f t="shared" si="587"/>
        <v>1535.4780000000001</v>
      </c>
      <c r="AB116" s="50">
        <f t="shared" si="587"/>
        <v>1457.9659999999999</v>
      </c>
      <c r="AC116" s="50">
        <f t="shared" si="587"/>
        <v>1516.519</v>
      </c>
      <c r="AD116" s="50">
        <f t="shared" si="587"/>
        <v>1606.9780000000001</v>
      </c>
      <c r="AE116" s="50">
        <f t="shared" si="587"/>
        <v>1589.6179999999997</v>
      </c>
      <c r="AF116" s="50">
        <f t="shared" si="587"/>
        <v>1616.9810000000002</v>
      </c>
      <c r="AG116" s="50">
        <f t="shared" si="587"/>
        <v>1783.7619999999999</v>
      </c>
      <c r="AH116" s="50">
        <f t="shared" si="587"/>
        <v>1783.8359999999998</v>
      </c>
      <c r="AI116" s="50">
        <f t="shared" si="587"/>
        <v>1413.307</v>
      </c>
      <c r="AJ116" s="50">
        <f t="shared" si="587"/>
        <v>858.18899999999996</v>
      </c>
      <c r="AK116" s="50">
        <f t="shared" si="587"/>
        <v>847.553</v>
      </c>
      <c r="AL116" s="50">
        <f t="shared" si="587"/>
        <v>737.47200000000009</v>
      </c>
      <c r="AM116" s="50">
        <f t="shared" si="587"/>
        <v>594.07100000000003</v>
      </c>
      <c r="AN116" s="50">
        <f t="shared" si="587"/>
        <v>527.39100000000008</v>
      </c>
      <c r="AO116" s="50">
        <f t="shared" si="587"/>
        <v>507.529</v>
      </c>
      <c r="AP116" s="50">
        <f t="shared" si="587"/>
        <v>531.94799999999998</v>
      </c>
      <c r="AQ116" s="50">
        <f t="shared" si="587"/>
        <v>562.55000000000007</v>
      </c>
      <c r="AR116" s="50">
        <f t="shared" si="587"/>
        <v>631.35500000000002</v>
      </c>
      <c r="AS116" s="50">
        <f t="shared" si="587"/>
        <v>662.10300000000007</v>
      </c>
      <c r="AT116" s="95">
        <f t="shared" si="587"/>
        <v>708.27700000000004</v>
      </c>
      <c r="AU116" s="50">
        <f t="shared" si="587"/>
        <v>756.04126241092251</v>
      </c>
      <c r="AV116" s="50">
        <f t="shared" si="587"/>
        <v>785.38707758353485</v>
      </c>
      <c r="AW116" s="50">
        <f t="shared" si="587"/>
        <v>842.33595279928863</v>
      </c>
      <c r="AX116" s="50">
        <f t="shared" si="587"/>
        <v>876.22345036248078</v>
      </c>
      <c r="AY116" s="50">
        <f t="shared" si="587"/>
        <v>904.36844383064067</v>
      </c>
      <c r="AZ116" s="50">
        <f t="shared" si="587"/>
        <v>923.63092550483555</v>
      </c>
      <c r="BA116" s="50">
        <f t="shared" si="587"/>
        <v>991.24937258217221</v>
      </c>
      <c r="BB116" s="50">
        <f t="shared" si="587"/>
        <v>1022.34395781948</v>
      </c>
      <c r="BC116" s="50">
        <f t="shared" si="587"/>
        <v>1004.2281981016414</v>
      </c>
      <c r="BD116" s="50">
        <f t="shared" si="587"/>
        <v>990.70911973616444</v>
      </c>
      <c r="BE116" s="50">
        <f t="shared" si="587"/>
        <v>1030.8501042973219</v>
      </c>
      <c r="BF116" s="50">
        <f t="shared" si="587"/>
        <v>1039.7668522306101</v>
      </c>
      <c r="BJ116" s="116">
        <f t="shared" si="519"/>
        <v>107</v>
      </c>
    </row>
    <row r="117" spans="1:62" hidden="1" outlineLevel="2">
      <c r="B117" s="13" t="s">
        <v>31</v>
      </c>
      <c r="C117" s="50">
        <f t="shared" si="586"/>
        <v>0</v>
      </c>
      <c r="D117" s="50">
        <f t="shared" si="586"/>
        <v>0</v>
      </c>
      <c r="E117" s="50">
        <f t="shared" si="586"/>
        <v>-306.71500000000003</v>
      </c>
      <c r="F117" s="50">
        <f t="shared" si="586"/>
        <v>3.8999999999999702E-2</v>
      </c>
      <c r="G117" s="50">
        <f t="shared" si="586"/>
        <v>-6.3010000000000002</v>
      </c>
      <c r="H117" s="50">
        <f t="shared" si="586"/>
        <v>6.5019999999999998</v>
      </c>
      <c r="I117" s="50">
        <f t="shared" si="586"/>
        <v>4.0000000000000001E-3</v>
      </c>
      <c r="J117" s="50">
        <f t="shared" si="586"/>
        <v>7.0000000000000001E-3</v>
      </c>
      <c r="K117" s="50">
        <f t="shared" si="586"/>
        <v>0</v>
      </c>
      <c r="L117" s="50">
        <f t="shared" si="586"/>
        <v>0</v>
      </c>
      <c r="M117" s="50">
        <f t="shared" si="586"/>
        <v>0</v>
      </c>
      <c r="O117" s="51">
        <v>0</v>
      </c>
      <c r="P117" s="51">
        <v>0</v>
      </c>
      <c r="Q117" s="51">
        <v>0</v>
      </c>
      <c r="R117" s="51">
        <v>0</v>
      </c>
      <c r="S117" s="51">
        <v>0</v>
      </c>
      <c r="T117" s="51">
        <v>0</v>
      </c>
      <c r="U117" s="51">
        <v>0</v>
      </c>
      <c r="V117" s="51">
        <v>0</v>
      </c>
      <c r="W117" s="51">
        <v>-68.668999999999997</v>
      </c>
      <c r="X117" s="51">
        <v>-140.434</v>
      </c>
      <c r="Y117" s="51">
        <v>-98.805000000000007</v>
      </c>
      <c r="Z117" s="51">
        <v>1.1930000000000001</v>
      </c>
      <c r="AA117" s="51">
        <v>2.895</v>
      </c>
      <c r="AB117" s="51">
        <v>1.36</v>
      </c>
      <c r="AC117" s="51">
        <v>-2.6280000000000001</v>
      </c>
      <c r="AD117" s="51">
        <v>-1.5880000000000001</v>
      </c>
      <c r="AE117" s="51">
        <v>-2.4449999999999998</v>
      </c>
      <c r="AF117" s="51">
        <v>-0.57599999999999996</v>
      </c>
      <c r="AG117" s="51">
        <v>-2.851</v>
      </c>
      <c r="AH117" s="51">
        <v>-0.42899999999999999</v>
      </c>
      <c r="AI117" s="51">
        <v>6.5019999999999998</v>
      </c>
      <c r="AJ117" s="51">
        <v>0</v>
      </c>
      <c r="AK117" s="51">
        <v>0</v>
      </c>
      <c r="AL117" s="51">
        <v>0</v>
      </c>
      <c r="AM117" s="51">
        <v>0</v>
      </c>
      <c r="AN117" s="51">
        <v>0</v>
      </c>
      <c r="AO117" s="51">
        <v>0</v>
      </c>
      <c r="AP117" s="51">
        <v>4.0000000000000001E-3</v>
      </c>
      <c r="AQ117" s="51">
        <v>2E-3</v>
      </c>
      <c r="AR117" s="51">
        <v>0</v>
      </c>
      <c r="AS117" s="96">
        <v>4.0000000000000001E-3</v>
      </c>
      <c r="AT117" s="96">
        <v>1E-3</v>
      </c>
      <c r="AU117" s="51">
        <v>0</v>
      </c>
      <c r="AV117" s="51">
        <v>0</v>
      </c>
      <c r="AW117" s="51">
        <v>0</v>
      </c>
      <c r="AX117" s="51">
        <v>0</v>
      </c>
      <c r="AY117" s="51">
        <v>0</v>
      </c>
      <c r="AZ117" s="51">
        <v>0</v>
      </c>
      <c r="BA117" s="51">
        <v>0</v>
      </c>
      <c r="BB117" s="51">
        <v>0</v>
      </c>
      <c r="BC117" s="51">
        <v>0</v>
      </c>
      <c r="BD117" s="51">
        <v>0</v>
      </c>
      <c r="BE117" s="51">
        <v>0</v>
      </c>
      <c r="BF117" s="51">
        <v>0</v>
      </c>
      <c r="BJ117" s="116">
        <f t="shared" si="519"/>
        <v>108</v>
      </c>
    </row>
    <row r="118" spans="1:62" hidden="1" outlineLevel="2">
      <c r="B118" s="13" t="s">
        <v>32</v>
      </c>
      <c r="C118" s="50">
        <f t="shared" si="586"/>
        <v>23.218000000000004</v>
      </c>
      <c r="D118" s="50">
        <f t="shared" si="586"/>
        <v>19.964000000000002</v>
      </c>
      <c r="E118" s="50">
        <f t="shared" si="586"/>
        <v>63.136999999999993</v>
      </c>
      <c r="F118" s="50">
        <f t="shared" si="586"/>
        <v>96.576999999999998</v>
      </c>
      <c r="G118" s="50">
        <f t="shared" si="586"/>
        <v>11.831</v>
      </c>
      <c r="H118" s="50">
        <f t="shared" si="586"/>
        <v>2.3080000000000003</v>
      </c>
      <c r="I118" s="50">
        <f t="shared" si="586"/>
        <v>1.1870000000000001</v>
      </c>
      <c r="J118" s="50">
        <f t="shared" si="586"/>
        <v>1.194</v>
      </c>
      <c r="K118" s="50">
        <f t="shared" si="586"/>
        <v>3.944</v>
      </c>
      <c r="L118" s="50">
        <f t="shared" si="586"/>
        <v>3.944</v>
      </c>
      <c r="M118" s="50">
        <f t="shared" si="586"/>
        <v>3.944</v>
      </c>
      <c r="O118" s="50">
        <f t="shared" ref="O118:BF118" si="588">O35</f>
        <v>-2.36</v>
      </c>
      <c r="P118" s="50">
        <f t="shared" si="588"/>
        <v>14.031000000000001</v>
      </c>
      <c r="Q118" s="50">
        <f t="shared" si="588"/>
        <v>2.923</v>
      </c>
      <c r="R118" s="50">
        <f t="shared" si="588"/>
        <v>8.6240000000000006</v>
      </c>
      <c r="S118" s="50">
        <f t="shared" si="588"/>
        <v>12.287000000000001</v>
      </c>
      <c r="T118" s="50">
        <f t="shared" si="588"/>
        <v>-0.96899999999999997</v>
      </c>
      <c r="U118" s="50">
        <f t="shared" si="588"/>
        <v>0.73799999999999999</v>
      </c>
      <c r="V118" s="50">
        <f t="shared" si="588"/>
        <v>7.9080000000000004</v>
      </c>
      <c r="W118" s="50">
        <f t="shared" si="588"/>
        <v>20.251999999999999</v>
      </c>
      <c r="X118" s="50">
        <f t="shared" si="588"/>
        <v>5.3680000000000003</v>
      </c>
      <c r="Y118" s="50">
        <f t="shared" si="588"/>
        <v>7.2240000000000002</v>
      </c>
      <c r="Z118" s="50">
        <f t="shared" si="588"/>
        <v>30.292999999999999</v>
      </c>
      <c r="AA118" s="50">
        <f t="shared" si="588"/>
        <v>79.421000000000006</v>
      </c>
      <c r="AB118" s="50">
        <f t="shared" si="588"/>
        <v>14.821</v>
      </c>
      <c r="AC118" s="50">
        <f t="shared" si="588"/>
        <v>1.2290000000000001</v>
      </c>
      <c r="AD118" s="50">
        <f t="shared" si="588"/>
        <v>1.1060000000000001</v>
      </c>
      <c r="AE118" s="50">
        <f t="shared" si="588"/>
        <v>0.98</v>
      </c>
      <c r="AF118" s="50">
        <f t="shared" si="588"/>
        <v>7.0659999999999998</v>
      </c>
      <c r="AG118" s="50">
        <f t="shared" si="588"/>
        <v>2.1890000000000001</v>
      </c>
      <c r="AH118" s="50">
        <f t="shared" si="588"/>
        <v>1.5960000000000001</v>
      </c>
      <c r="AI118" s="50">
        <f t="shared" si="588"/>
        <v>0.96899999999999997</v>
      </c>
      <c r="AJ118" s="50">
        <f t="shared" si="588"/>
        <v>1.181</v>
      </c>
      <c r="AK118" s="50">
        <f t="shared" si="588"/>
        <v>-2.1999999999999999E-2</v>
      </c>
      <c r="AL118" s="50">
        <f t="shared" si="588"/>
        <v>0.18</v>
      </c>
      <c r="AM118" s="50">
        <f t="shared" si="588"/>
        <v>0.34300000000000003</v>
      </c>
      <c r="AN118" s="50">
        <f t="shared" si="588"/>
        <v>0.27</v>
      </c>
      <c r="AO118" s="50">
        <f t="shared" si="588"/>
        <v>0.31</v>
      </c>
      <c r="AP118" s="50">
        <f t="shared" si="588"/>
        <v>0.26400000000000001</v>
      </c>
      <c r="AQ118" s="50">
        <f t="shared" si="588"/>
        <v>0.72099999999999997</v>
      </c>
      <c r="AR118" s="50">
        <f t="shared" si="588"/>
        <v>-0.88600000000000001</v>
      </c>
      <c r="AS118" s="50">
        <f t="shared" si="588"/>
        <v>0.373</v>
      </c>
      <c r="AT118" s="95">
        <f t="shared" si="588"/>
        <v>0.98599999999999999</v>
      </c>
      <c r="AU118" s="50">
        <f t="shared" si="588"/>
        <v>0.98599999999999999</v>
      </c>
      <c r="AV118" s="50">
        <f t="shared" si="588"/>
        <v>0.98599999999999999</v>
      </c>
      <c r="AW118" s="50">
        <f t="shared" si="588"/>
        <v>0.98599999999999999</v>
      </c>
      <c r="AX118" s="50">
        <f t="shared" si="588"/>
        <v>0.98599999999999999</v>
      </c>
      <c r="AY118" s="50">
        <f t="shared" si="588"/>
        <v>0.98599999999999999</v>
      </c>
      <c r="AZ118" s="50">
        <f t="shared" si="588"/>
        <v>0.98599999999999999</v>
      </c>
      <c r="BA118" s="50">
        <f t="shared" si="588"/>
        <v>0.98599999999999999</v>
      </c>
      <c r="BB118" s="50">
        <f t="shared" si="588"/>
        <v>0.98599999999999999</v>
      </c>
      <c r="BC118" s="50">
        <f t="shared" si="588"/>
        <v>0.98599999999999999</v>
      </c>
      <c r="BD118" s="50">
        <f t="shared" si="588"/>
        <v>0.98599999999999999</v>
      </c>
      <c r="BE118" s="50">
        <f t="shared" si="588"/>
        <v>0.98599999999999999</v>
      </c>
      <c r="BF118" s="50">
        <f t="shared" si="588"/>
        <v>0.98599999999999999</v>
      </c>
      <c r="BJ118" s="116">
        <f t="shared" si="519"/>
        <v>109</v>
      </c>
    </row>
    <row r="119" spans="1:62" hidden="1" outlineLevel="2">
      <c r="B119" s="21" t="s">
        <v>33</v>
      </c>
      <c r="C119" s="185">
        <f t="shared" si="586"/>
        <v>4248.2340000000004</v>
      </c>
      <c r="D119" s="185">
        <f t="shared" si="586"/>
        <v>6144.9929999999995</v>
      </c>
      <c r="E119" s="185">
        <f t="shared" si="586"/>
        <v>6689.8159999999998</v>
      </c>
      <c r="F119" s="185">
        <f t="shared" si="586"/>
        <v>6213.5569999999998</v>
      </c>
      <c r="G119" s="185">
        <f t="shared" si="586"/>
        <v>6779.7269999999999</v>
      </c>
      <c r="H119" s="185">
        <f t="shared" si="586"/>
        <v>3865.3310000000001</v>
      </c>
      <c r="I119" s="185">
        <f t="shared" si="586"/>
        <v>2162.13</v>
      </c>
      <c r="J119" s="185">
        <f t="shared" si="586"/>
        <v>2565.4860000000003</v>
      </c>
      <c r="K119" s="185">
        <f t="shared" si="586"/>
        <v>3263.9317431562267</v>
      </c>
      <c r="L119" s="185">
        <f t="shared" si="586"/>
        <v>3845.5366997371284</v>
      </c>
      <c r="M119" s="185">
        <f t="shared" si="586"/>
        <v>4069.4982743657379</v>
      </c>
      <c r="N119" s="273"/>
      <c r="O119" s="185">
        <f>SUM(O116:O118)</f>
        <v>903.35000000000014</v>
      </c>
      <c r="P119" s="185">
        <f t="shared" ref="P119:BF119" si="589">SUM(P116:P118)</f>
        <v>929.3069999999999</v>
      </c>
      <c r="Q119" s="185">
        <f t="shared" si="589"/>
        <v>1084.0260000000001</v>
      </c>
      <c r="R119" s="185">
        <f t="shared" si="589"/>
        <v>1331.5510000000002</v>
      </c>
      <c r="S119" s="185">
        <f t="shared" si="589"/>
        <v>1409.84</v>
      </c>
      <c r="T119" s="185">
        <f t="shared" si="589"/>
        <v>1363.2430000000002</v>
      </c>
      <c r="U119" s="185">
        <f t="shared" si="589"/>
        <v>1632.0230000000001</v>
      </c>
      <c r="V119" s="185">
        <f t="shared" si="589"/>
        <v>1739.8869999999997</v>
      </c>
      <c r="W119" s="185">
        <f t="shared" si="589"/>
        <v>1842.009</v>
      </c>
      <c r="X119" s="185">
        <f t="shared" si="589"/>
        <v>1608.1650000000002</v>
      </c>
      <c r="Y119" s="185">
        <f t="shared" si="589"/>
        <v>1637.604</v>
      </c>
      <c r="Z119" s="185">
        <f t="shared" si="589"/>
        <v>1602.0379999999996</v>
      </c>
      <c r="AA119" s="185">
        <f t="shared" si="589"/>
        <v>1617.7940000000001</v>
      </c>
      <c r="AB119" s="185">
        <f t="shared" si="589"/>
        <v>1474.1469999999997</v>
      </c>
      <c r="AC119" s="185">
        <f t="shared" si="589"/>
        <v>1515.1200000000001</v>
      </c>
      <c r="AD119" s="185">
        <f t="shared" si="589"/>
        <v>1606.4960000000001</v>
      </c>
      <c r="AE119" s="185">
        <f t="shared" si="589"/>
        <v>1588.1529999999998</v>
      </c>
      <c r="AF119" s="185">
        <f t="shared" si="589"/>
        <v>1623.4710000000002</v>
      </c>
      <c r="AG119" s="185">
        <f t="shared" si="589"/>
        <v>1783.1</v>
      </c>
      <c r="AH119" s="185">
        <f t="shared" si="589"/>
        <v>1785.0029999999997</v>
      </c>
      <c r="AI119" s="185">
        <f t="shared" si="589"/>
        <v>1420.778</v>
      </c>
      <c r="AJ119" s="185">
        <f t="shared" si="589"/>
        <v>859.37</v>
      </c>
      <c r="AK119" s="185">
        <f t="shared" si="589"/>
        <v>847.53099999999995</v>
      </c>
      <c r="AL119" s="185">
        <f t="shared" si="589"/>
        <v>737.65200000000004</v>
      </c>
      <c r="AM119" s="185">
        <f t="shared" si="589"/>
        <v>594.41399999999999</v>
      </c>
      <c r="AN119" s="185">
        <f t="shared" si="589"/>
        <v>527.66100000000006</v>
      </c>
      <c r="AO119" s="185">
        <f t="shared" si="589"/>
        <v>507.839</v>
      </c>
      <c r="AP119" s="185">
        <f t="shared" si="589"/>
        <v>532.21600000000001</v>
      </c>
      <c r="AQ119" s="185">
        <f t="shared" si="589"/>
        <v>563.27300000000002</v>
      </c>
      <c r="AR119" s="185">
        <f t="shared" si="589"/>
        <v>630.46900000000005</v>
      </c>
      <c r="AS119" s="185">
        <f t="shared" ref="AS119" si="590">SUM(AS116:AS118)</f>
        <v>662.48000000000013</v>
      </c>
      <c r="AT119" s="186">
        <f t="shared" si="589"/>
        <v>709.26400000000001</v>
      </c>
      <c r="AU119" s="185">
        <f t="shared" si="589"/>
        <v>757.0272624109225</v>
      </c>
      <c r="AV119" s="185">
        <f t="shared" si="589"/>
        <v>786.37307758353484</v>
      </c>
      <c r="AW119" s="185">
        <f t="shared" si="589"/>
        <v>843.32195279928862</v>
      </c>
      <c r="AX119" s="185">
        <f t="shared" si="589"/>
        <v>877.20945036248077</v>
      </c>
      <c r="AY119" s="185">
        <f t="shared" si="589"/>
        <v>905.35444383064066</v>
      </c>
      <c r="AZ119" s="185">
        <f t="shared" si="589"/>
        <v>924.61692550483554</v>
      </c>
      <c r="BA119" s="185">
        <f t="shared" si="589"/>
        <v>992.2353725821722</v>
      </c>
      <c r="BB119" s="185">
        <f t="shared" si="589"/>
        <v>1023.32995781948</v>
      </c>
      <c r="BC119" s="185">
        <f t="shared" si="589"/>
        <v>1005.2141981016414</v>
      </c>
      <c r="BD119" s="185">
        <f t="shared" si="589"/>
        <v>991.69511973616443</v>
      </c>
      <c r="BE119" s="185">
        <f t="shared" si="589"/>
        <v>1031.836104297322</v>
      </c>
      <c r="BF119" s="185">
        <f t="shared" si="589"/>
        <v>1040.7528522306102</v>
      </c>
      <c r="BJ119" s="116">
        <f t="shared" si="519"/>
        <v>110</v>
      </c>
    </row>
    <row r="120" spans="1:62" hidden="1" outlineLevel="2">
      <c r="B120" s="19"/>
      <c r="BJ120" s="116">
        <f t="shared" si="519"/>
        <v>111</v>
      </c>
    </row>
    <row r="121" spans="1:62" hidden="1" outlineLevel="2">
      <c r="B121" s="20" t="s">
        <v>34</v>
      </c>
      <c r="BJ121" s="116">
        <f t="shared" si="519"/>
        <v>112</v>
      </c>
    </row>
    <row r="122" spans="1:62" hidden="1" outlineLevel="2">
      <c r="B122" s="12" t="s">
        <v>4</v>
      </c>
      <c r="C122" s="50">
        <f t="shared" ref="C122:M126" si="591">SUMIFS($O122:$BG122,$O$5:$BG$5,C$5)</f>
        <v>-896.99997439999981</v>
      </c>
      <c r="D122" s="50">
        <f t="shared" si="591"/>
        <v>-1136.7870598999998</v>
      </c>
      <c r="E122" s="50">
        <f t="shared" si="591"/>
        <v>-1293.6404164</v>
      </c>
      <c r="F122" s="50">
        <f t="shared" si="591"/>
        <v>-1088.5360578</v>
      </c>
      <c r="G122" s="50">
        <f t="shared" si="591"/>
        <v>-1254.1997339207919</v>
      </c>
      <c r="H122" s="50">
        <f t="shared" si="591"/>
        <v>-692.03642000000002</v>
      </c>
      <c r="I122" s="50">
        <f t="shared" si="591"/>
        <v>-327.54524900000001</v>
      </c>
      <c r="J122" s="50">
        <f t="shared" si="591"/>
        <v>-607.23565499999995</v>
      </c>
      <c r="K122" s="50">
        <f t="shared" si="591"/>
        <v>-687.82600000000002</v>
      </c>
      <c r="L122" s="50">
        <f t="shared" si="591"/>
        <v>-773.22</v>
      </c>
      <c r="M122" s="50">
        <f t="shared" si="591"/>
        <v>-818.16</v>
      </c>
      <c r="O122" s="50">
        <f>O170</f>
        <v>-197.2262629999999</v>
      </c>
      <c r="P122" s="50">
        <f t="shared" ref="P122:AQ122" si="592">P170</f>
        <v>-221.65154459999994</v>
      </c>
      <c r="Q122" s="50">
        <f t="shared" si="592"/>
        <v>-239.38796599999995</v>
      </c>
      <c r="R122" s="50">
        <f t="shared" si="592"/>
        <v>-238.73420079999997</v>
      </c>
      <c r="S122" s="50">
        <f t="shared" si="592"/>
        <v>-259.25213199999996</v>
      </c>
      <c r="T122" s="50">
        <f t="shared" si="592"/>
        <v>-268.84913549999999</v>
      </c>
      <c r="U122" s="50">
        <f t="shared" si="592"/>
        <v>-288.55709319999994</v>
      </c>
      <c r="V122" s="50">
        <f t="shared" si="592"/>
        <v>-320.12869919999997</v>
      </c>
      <c r="W122" s="50">
        <f t="shared" si="592"/>
        <v>-351.87442619999996</v>
      </c>
      <c r="X122" s="50">
        <f t="shared" si="592"/>
        <v>-336.05162179999996</v>
      </c>
      <c r="Y122" s="50">
        <f t="shared" si="592"/>
        <v>-318.58794399999999</v>
      </c>
      <c r="Z122" s="50">
        <f t="shared" si="592"/>
        <v>-287.12642440000002</v>
      </c>
      <c r="AA122" s="50">
        <f t="shared" si="592"/>
        <v>-282.40648800000002</v>
      </c>
      <c r="AB122" s="50">
        <f t="shared" si="592"/>
        <v>-269.83817900000003</v>
      </c>
      <c r="AC122" s="50">
        <f t="shared" si="592"/>
        <v>-255.54128400000002</v>
      </c>
      <c r="AD122" s="50">
        <f t="shared" si="592"/>
        <v>-280.75010679999997</v>
      </c>
      <c r="AE122" s="50">
        <f t="shared" si="592"/>
        <v>-304.58463800000004</v>
      </c>
      <c r="AF122" s="50">
        <f t="shared" si="592"/>
        <v>-309.20871999999997</v>
      </c>
      <c r="AG122" s="50">
        <f t="shared" si="592"/>
        <v>-320.32797592079203</v>
      </c>
      <c r="AH122" s="50">
        <f t="shared" si="592"/>
        <v>-320.07839999999999</v>
      </c>
      <c r="AI122" s="50">
        <f t="shared" si="592"/>
        <v>-251.11944000000005</v>
      </c>
      <c r="AJ122" s="50">
        <f t="shared" si="592"/>
        <v>-168.70009599999997</v>
      </c>
      <c r="AK122" s="50">
        <f t="shared" si="592"/>
        <v>-154.02574800000002</v>
      </c>
      <c r="AL122" s="50">
        <f t="shared" si="592"/>
        <v>-118.191136</v>
      </c>
      <c r="AM122" s="50">
        <f t="shared" si="592"/>
        <v>-89.211454999999987</v>
      </c>
      <c r="AN122" s="50">
        <f t="shared" si="592"/>
        <v>-74.048497999999995</v>
      </c>
      <c r="AO122" s="50">
        <f t="shared" si="592"/>
        <v>-71.391831999999994</v>
      </c>
      <c r="AP122" s="50">
        <f t="shared" si="592"/>
        <v>-92.893463999999994</v>
      </c>
      <c r="AQ122" s="50">
        <f t="shared" si="592"/>
        <v>-126.01715999999999</v>
      </c>
      <c r="AR122" s="50">
        <f t="shared" ref="AR122:AS122" si="593">AR170</f>
        <v>-140.73643899999999</v>
      </c>
      <c r="AS122" s="50">
        <f t="shared" si="593"/>
        <v>-170.125944</v>
      </c>
      <c r="AT122" s="50">
        <f t="shared" ref="AT122" si="594">AT170</f>
        <v>-170.356112</v>
      </c>
      <c r="AU122" s="95">
        <f t="shared" ref="AU122:BF122" si="595">AU170</f>
        <v>-166.63000000000002</v>
      </c>
      <c r="AV122" s="95">
        <f t="shared" si="595"/>
        <v>-168.488</v>
      </c>
      <c r="AW122" s="95">
        <f t="shared" si="595"/>
        <v>-173.31799999999998</v>
      </c>
      <c r="AX122" s="95">
        <f t="shared" si="595"/>
        <v>-179.39</v>
      </c>
      <c r="AY122" s="95">
        <f t="shared" si="595"/>
        <v>-183.09</v>
      </c>
      <c r="AZ122" s="95">
        <f t="shared" si="595"/>
        <v>-188.05199999999999</v>
      </c>
      <c r="BA122" s="95">
        <f t="shared" si="595"/>
        <v>-198.60599999999999</v>
      </c>
      <c r="BB122" s="95">
        <f t="shared" si="595"/>
        <v>-203.47200000000004</v>
      </c>
      <c r="BC122" s="95">
        <f t="shared" si="595"/>
        <v>-202.89000000000001</v>
      </c>
      <c r="BD122" s="95">
        <f t="shared" si="595"/>
        <v>-201.99</v>
      </c>
      <c r="BE122" s="95">
        <f t="shared" si="595"/>
        <v>-206.64000000000001</v>
      </c>
      <c r="BF122" s="95">
        <f t="shared" si="595"/>
        <v>-206.64000000000001</v>
      </c>
      <c r="BJ122" s="116">
        <f t="shared" si="519"/>
        <v>113</v>
      </c>
    </row>
    <row r="123" spans="1:62" hidden="1" outlineLevel="2">
      <c r="B123" s="12" t="s">
        <v>5</v>
      </c>
      <c r="C123" s="50">
        <f t="shared" si="591"/>
        <v>-179.3818655</v>
      </c>
      <c r="D123" s="50">
        <f t="shared" si="591"/>
        <v>-258.36142510000002</v>
      </c>
      <c r="E123" s="50">
        <f t="shared" si="591"/>
        <v>-257.6904644</v>
      </c>
      <c r="F123" s="50">
        <f t="shared" si="591"/>
        <v>-212.86736960000002</v>
      </c>
      <c r="G123" s="50">
        <f t="shared" si="591"/>
        <v>-206.26164559999998</v>
      </c>
      <c r="H123" s="50">
        <f t="shared" si="591"/>
        <v>-85.166242299999993</v>
      </c>
      <c r="I123" s="50">
        <f t="shared" si="591"/>
        <v>-39.648615300000003</v>
      </c>
      <c r="J123" s="50">
        <f t="shared" si="591"/>
        <v>-58.910763599999996</v>
      </c>
      <c r="K123" s="50">
        <f t="shared" si="591"/>
        <v>-86.724000000000004</v>
      </c>
      <c r="L123" s="50">
        <f t="shared" si="591"/>
        <v>-96.554000000000002</v>
      </c>
      <c r="M123" s="50">
        <f t="shared" si="591"/>
        <v>-96.875999999999991</v>
      </c>
      <c r="O123" s="176">
        <f>O236</f>
        <v>-52.534692</v>
      </c>
      <c r="P123" s="176">
        <f t="shared" ref="P123:AQ123" si="596">P236</f>
        <v>-28.4578883</v>
      </c>
      <c r="Q123" s="176">
        <f t="shared" si="596"/>
        <v>-40.355119999999999</v>
      </c>
      <c r="R123" s="176">
        <f t="shared" si="596"/>
        <v>-58.034165200000004</v>
      </c>
      <c r="S123" s="176">
        <f t="shared" si="596"/>
        <v>-73.926526999999993</v>
      </c>
      <c r="T123" s="176">
        <f t="shared" si="596"/>
        <v>-41.685952499999999</v>
      </c>
      <c r="U123" s="176">
        <f t="shared" si="596"/>
        <v>-66.723408000000006</v>
      </c>
      <c r="V123" s="176">
        <f t="shared" si="596"/>
        <v>-76.025537600000007</v>
      </c>
      <c r="W123" s="176">
        <f t="shared" si="596"/>
        <v>-81.441460600000013</v>
      </c>
      <c r="X123" s="176">
        <f t="shared" si="596"/>
        <v>-47.678700200000002</v>
      </c>
      <c r="Y123" s="176">
        <f t="shared" si="596"/>
        <v>-60.955807999999998</v>
      </c>
      <c r="Z123" s="176">
        <f t="shared" si="596"/>
        <v>-67.614495599999998</v>
      </c>
      <c r="AA123" s="176">
        <f t="shared" si="596"/>
        <v>-75.466200000000015</v>
      </c>
      <c r="AB123" s="176">
        <f t="shared" si="596"/>
        <v>-41.107669600000001</v>
      </c>
      <c r="AC123" s="176">
        <f t="shared" si="596"/>
        <v>-41.989720000000005</v>
      </c>
      <c r="AD123" s="176">
        <f t="shared" si="596"/>
        <v>-54.303780000000003</v>
      </c>
      <c r="AE123" s="176">
        <f t="shared" si="596"/>
        <v>-66.477215999999999</v>
      </c>
      <c r="AF123" s="176">
        <f t="shared" si="596"/>
        <v>-35.138169599999998</v>
      </c>
      <c r="AG123" s="176">
        <f t="shared" si="596"/>
        <v>-49.998437199999998</v>
      </c>
      <c r="AH123" s="176">
        <f t="shared" si="596"/>
        <v>-54.6478228</v>
      </c>
      <c r="AI123" s="176">
        <f t="shared" si="596"/>
        <v>-34.968192000000002</v>
      </c>
      <c r="AJ123" s="176">
        <f t="shared" si="596"/>
        <v>-14.553538300000001</v>
      </c>
      <c r="AK123" s="176">
        <f t="shared" si="596"/>
        <v>-19.882342399999999</v>
      </c>
      <c r="AL123" s="176">
        <f t="shared" si="596"/>
        <v>-15.7621696</v>
      </c>
      <c r="AM123" s="176">
        <f t="shared" si="596"/>
        <v>-13.416062499999999</v>
      </c>
      <c r="AN123" s="176">
        <f t="shared" si="596"/>
        <v>-4.5210151999999999</v>
      </c>
      <c r="AO123" s="176">
        <f t="shared" si="596"/>
        <v>-8.8960448000000003</v>
      </c>
      <c r="AP123" s="176">
        <f t="shared" si="596"/>
        <v>-12.815492800000001</v>
      </c>
      <c r="AQ123" s="176">
        <f t="shared" si="596"/>
        <v>-19.9177</v>
      </c>
      <c r="AR123" s="176">
        <f t="shared" ref="AR123:AS123" si="597">AR236</f>
        <v>-11.325537599999997</v>
      </c>
      <c r="AS123" s="176">
        <f t="shared" si="597"/>
        <v>-13.729725999999999</v>
      </c>
      <c r="AT123" s="176">
        <f t="shared" ref="AT123" si="598">AT236</f>
        <v>-13.937799999999999</v>
      </c>
      <c r="AU123" s="184">
        <f t="shared" ref="AU123:BF123" si="599">AU236</f>
        <v>-19.8</v>
      </c>
      <c r="AV123" s="184">
        <f t="shared" si="599"/>
        <v>-13.104000000000001</v>
      </c>
      <c r="AW123" s="184">
        <f t="shared" si="599"/>
        <v>-27.507999999999999</v>
      </c>
      <c r="AX123" s="184">
        <f t="shared" si="599"/>
        <v>-26.311999999999998</v>
      </c>
      <c r="AY123" s="184">
        <f t="shared" si="599"/>
        <v>-28.98</v>
      </c>
      <c r="AZ123" s="184">
        <f t="shared" si="599"/>
        <v>-12.558000000000002</v>
      </c>
      <c r="BA123" s="184">
        <f t="shared" si="599"/>
        <v>-27.507999999999999</v>
      </c>
      <c r="BB123" s="184">
        <f t="shared" si="599"/>
        <v>-27.507999999999999</v>
      </c>
      <c r="BC123" s="184">
        <f t="shared" si="599"/>
        <v>-29.302</v>
      </c>
      <c r="BD123" s="184">
        <f t="shared" si="599"/>
        <v>-12.558000000000002</v>
      </c>
      <c r="BE123" s="184">
        <f t="shared" si="599"/>
        <v>-27.507999999999999</v>
      </c>
      <c r="BF123" s="184">
        <f t="shared" si="599"/>
        <v>-27.507999999999999</v>
      </c>
      <c r="BJ123" s="116">
        <f t="shared" si="519"/>
        <v>114</v>
      </c>
    </row>
    <row r="124" spans="1:62" hidden="1" outlineLevel="2">
      <c r="B124" s="12" t="s">
        <v>6</v>
      </c>
      <c r="C124" s="50">
        <f t="shared" si="591"/>
        <v>-526.58400619999998</v>
      </c>
      <c r="D124" s="50">
        <f t="shared" si="591"/>
        <v>-630.43555479999998</v>
      </c>
      <c r="E124" s="50">
        <f t="shared" si="591"/>
        <v>-759.79927580000003</v>
      </c>
      <c r="F124" s="50">
        <f t="shared" si="591"/>
        <v>-849.83685680000008</v>
      </c>
      <c r="G124" s="50">
        <f t="shared" si="591"/>
        <v>-914.2317655999999</v>
      </c>
      <c r="H124" s="50">
        <f t="shared" si="591"/>
        <v>-1063.6164858999998</v>
      </c>
      <c r="I124" s="50">
        <f t="shared" si="591"/>
        <v>-864.63882409999997</v>
      </c>
      <c r="J124" s="50">
        <f t="shared" si="591"/>
        <v>-902.4861163999999</v>
      </c>
      <c r="K124" s="50">
        <f t="shared" si="591"/>
        <v>-957.76300000000003</v>
      </c>
      <c r="L124" s="50">
        <f t="shared" si="591"/>
        <v>-1056.9789999999998</v>
      </c>
      <c r="M124" s="50">
        <f t="shared" si="591"/>
        <v>-968.07</v>
      </c>
      <c r="O124" s="176">
        <f>O254</f>
        <v>-118.00921899999999</v>
      </c>
      <c r="P124" s="176">
        <f t="shared" ref="P124:AQ124" si="600">P254</f>
        <v>-126.1981136</v>
      </c>
      <c r="Q124" s="176">
        <f t="shared" si="600"/>
        <v>-143.62800800000002</v>
      </c>
      <c r="R124" s="176">
        <f t="shared" si="600"/>
        <v>-138.74866560000001</v>
      </c>
      <c r="S124" s="176">
        <f t="shared" si="600"/>
        <v>-142.73588799999999</v>
      </c>
      <c r="T124" s="176">
        <f t="shared" si="600"/>
        <v>-142.35570200000001</v>
      </c>
      <c r="U124" s="176">
        <f t="shared" si="600"/>
        <v>-165.51230079999999</v>
      </c>
      <c r="V124" s="176">
        <f t="shared" si="600"/>
        <v>-179.83166399999999</v>
      </c>
      <c r="W124" s="176">
        <f t="shared" si="600"/>
        <v>-188.40095389999996</v>
      </c>
      <c r="X124" s="176">
        <f t="shared" si="600"/>
        <v>-184.0521779</v>
      </c>
      <c r="Y124" s="176">
        <f t="shared" si="600"/>
        <v>-194.36924640000001</v>
      </c>
      <c r="Z124" s="176">
        <f t="shared" si="600"/>
        <v>-192.9768976</v>
      </c>
      <c r="AA124" s="176">
        <f t="shared" si="600"/>
        <v>-195.05156400000001</v>
      </c>
      <c r="AB124" s="176">
        <f t="shared" si="600"/>
        <v>-209.78073759999998</v>
      </c>
      <c r="AC124" s="176">
        <f t="shared" si="600"/>
        <v>-219.471024</v>
      </c>
      <c r="AD124" s="176">
        <f t="shared" si="600"/>
        <v>-225.53353120000003</v>
      </c>
      <c r="AE124" s="176">
        <f t="shared" si="600"/>
        <v>-213.72889799999999</v>
      </c>
      <c r="AF124" s="176">
        <f t="shared" si="600"/>
        <v>-227.63434679999997</v>
      </c>
      <c r="AG124" s="176">
        <f t="shared" si="600"/>
        <v>-239.29509200000001</v>
      </c>
      <c r="AH124" s="176">
        <f t="shared" si="600"/>
        <v>-233.57342880000002</v>
      </c>
      <c r="AI124" s="176">
        <f t="shared" si="600"/>
        <v>-224.50971499999997</v>
      </c>
      <c r="AJ124" s="176">
        <f t="shared" si="600"/>
        <v>-258.56341569999995</v>
      </c>
      <c r="AK124" s="176">
        <f t="shared" si="600"/>
        <v>-308.46636519999993</v>
      </c>
      <c r="AL124" s="176">
        <f t="shared" si="600"/>
        <v>-272.07699000000002</v>
      </c>
      <c r="AM124" s="176">
        <f t="shared" si="600"/>
        <v>-235.24986050000001</v>
      </c>
      <c r="AN124" s="176">
        <f t="shared" si="600"/>
        <v>-233.6744176</v>
      </c>
      <c r="AO124" s="176">
        <f t="shared" si="600"/>
        <v>-198.78977040000001</v>
      </c>
      <c r="AP124" s="176">
        <f t="shared" si="600"/>
        <v>-196.9247756</v>
      </c>
      <c r="AQ124" s="176">
        <f t="shared" si="600"/>
        <v>-213.485412</v>
      </c>
      <c r="AR124" s="176">
        <f t="shared" ref="AR124:AS124" si="601">AR254</f>
        <v>-230.28376839999999</v>
      </c>
      <c r="AS124" s="176">
        <f t="shared" si="601"/>
        <v>-220.95609319999997</v>
      </c>
      <c r="AT124" s="176">
        <f t="shared" ref="AT124" si="602">AT254</f>
        <v>-237.76084279999998</v>
      </c>
      <c r="AU124" s="184">
        <f t="shared" ref="AU124:BF124" si="603">AU254</f>
        <v>-228.95999999999998</v>
      </c>
      <c r="AV124" s="184">
        <f t="shared" si="603"/>
        <v>-236.32700000000003</v>
      </c>
      <c r="AW124" s="184">
        <f t="shared" si="603"/>
        <v>-243.8</v>
      </c>
      <c r="AX124" s="184">
        <f t="shared" si="603"/>
        <v>-248.67600000000002</v>
      </c>
      <c r="AY124" s="184">
        <f t="shared" si="603"/>
        <v>-250.42500000000001</v>
      </c>
      <c r="AZ124" s="184">
        <f t="shared" si="603"/>
        <v>-260.44200000000001</v>
      </c>
      <c r="BA124" s="184">
        <f t="shared" si="603"/>
        <v>-270.61799999999994</v>
      </c>
      <c r="BB124" s="184">
        <f t="shared" si="603"/>
        <v>-275.49400000000003</v>
      </c>
      <c r="BC124" s="184">
        <f t="shared" si="603"/>
        <v>-240.69499999999999</v>
      </c>
      <c r="BD124" s="184">
        <f t="shared" si="603"/>
        <v>-240.69499999999999</v>
      </c>
      <c r="BE124" s="184">
        <f t="shared" si="603"/>
        <v>-243.34</v>
      </c>
      <c r="BF124" s="184">
        <f t="shared" si="603"/>
        <v>-243.34</v>
      </c>
      <c r="BJ124" s="116">
        <f t="shared" si="519"/>
        <v>115</v>
      </c>
    </row>
    <row r="125" spans="1:62" hidden="1" outlineLevel="2">
      <c r="B125" s="12" t="s">
        <v>35</v>
      </c>
      <c r="C125" s="50">
        <f t="shared" si="591"/>
        <v>-850.22715390000053</v>
      </c>
      <c r="D125" s="50">
        <f t="shared" si="591"/>
        <v>-1789.7409602000002</v>
      </c>
      <c r="E125" s="50">
        <f t="shared" si="591"/>
        <v>-1817.4648434000001</v>
      </c>
      <c r="F125" s="50">
        <f t="shared" si="591"/>
        <v>-1829.8137157999997</v>
      </c>
      <c r="G125" s="50">
        <f t="shared" si="591"/>
        <v>-2130.3708548792074</v>
      </c>
      <c r="H125" s="50">
        <f t="shared" si="591"/>
        <v>-531.41685180000013</v>
      </c>
      <c r="I125" s="50">
        <f t="shared" si="591"/>
        <v>-102.66931160000013</v>
      </c>
      <c r="J125" s="50">
        <f t="shared" si="591"/>
        <v>-149.44346500000034</v>
      </c>
      <c r="K125" s="50">
        <f t="shared" si="591"/>
        <v>-385.31263484303673</v>
      </c>
      <c r="L125" s="50">
        <f t="shared" si="591"/>
        <v>-473.21794524867255</v>
      </c>
      <c r="M125" s="50">
        <f t="shared" si="591"/>
        <v>-584.4689778241227</v>
      </c>
      <c r="O125" s="183">
        <f t="shared" ref="O125:AQ125" si="604">O126-SUM(O122:O124)</f>
        <v>-151.38682600000027</v>
      </c>
      <c r="P125" s="183">
        <f t="shared" si="604"/>
        <v>-156.85445349999998</v>
      </c>
      <c r="Q125" s="183">
        <f t="shared" si="604"/>
        <v>-202.18990600000018</v>
      </c>
      <c r="R125" s="183">
        <f t="shared" si="604"/>
        <v>-339.79596840000011</v>
      </c>
      <c r="S125" s="183">
        <f t="shared" si="604"/>
        <v>-382.45645299999995</v>
      </c>
      <c r="T125" s="183">
        <f t="shared" si="604"/>
        <v>-382.22121000000021</v>
      </c>
      <c r="U125" s="183">
        <f t="shared" si="604"/>
        <v>-513.05519800000002</v>
      </c>
      <c r="V125" s="183">
        <f t="shared" si="604"/>
        <v>-512.00809919999995</v>
      </c>
      <c r="W125" s="183">
        <f t="shared" si="604"/>
        <v>-500.53715930000021</v>
      </c>
      <c r="X125" s="183">
        <f t="shared" si="604"/>
        <v>-415.03950010000028</v>
      </c>
      <c r="Y125" s="183">
        <f t="shared" si="604"/>
        <v>-434.3140016000001</v>
      </c>
      <c r="Z125" s="183">
        <f t="shared" si="604"/>
        <v>-467.57418239999959</v>
      </c>
      <c r="AA125" s="183">
        <f t="shared" si="604"/>
        <v>-442.06774800000017</v>
      </c>
      <c r="AB125" s="183">
        <f t="shared" si="604"/>
        <v>-451.58341379999968</v>
      </c>
      <c r="AC125" s="183">
        <f t="shared" si="604"/>
        <v>-463.90897199999995</v>
      </c>
      <c r="AD125" s="183">
        <f t="shared" si="604"/>
        <v>-472.25358200000005</v>
      </c>
      <c r="AE125" s="183">
        <f t="shared" si="604"/>
        <v>-476.94824799999981</v>
      </c>
      <c r="AF125" s="183">
        <f t="shared" si="604"/>
        <v>-494.51376359999995</v>
      </c>
      <c r="AG125" s="183">
        <f t="shared" si="604"/>
        <v>-572.36449487920777</v>
      </c>
      <c r="AH125" s="183">
        <f t="shared" si="604"/>
        <v>-586.54434839999965</v>
      </c>
      <c r="AI125" s="183">
        <f t="shared" si="604"/>
        <v>-409.01265299999989</v>
      </c>
      <c r="AJ125" s="183">
        <f t="shared" si="604"/>
        <v>-47.504950000000122</v>
      </c>
      <c r="AK125" s="183">
        <f t="shared" si="604"/>
        <v>-35.799544400000059</v>
      </c>
      <c r="AL125" s="183">
        <f t="shared" si="604"/>
        <v>-39.099704400000064</v>
      </c>
      <c r="AM125" s="183">
        <f t="shared" si="604"/>
        <v>-27.145622000000003</v>
      </c>
      <c r="AN125" s="183">
        <f t="shared" si="604"/>
        <v>-22.235069200000055</v>
      </c>
      <c r="AO125" s="183">
        <f t="shared" si="604"/>
        <v>-27.358352800000034</v>
      </c>
      <c r="AP125" s="183">
        <f t="shared" si="604"/>
        <v>-25.930267600000036</v>
      </c>
      <c r="AQ125" s="183">
        <f t="shared" si="604"/>
        <v>-28.225728000000117</v>
      </c>
      <c r="AR125" s="183">
        <f t="shared" ref="AR125:AS125" si="605">AR126-SUM(AR122:AR124)</f>
        <v>-35.175255000000107</v>
      </c>
      <c r="AS125" s="183">
        <f t="shared" si="605"/>
        <v>-36.45523680000008</v>
      </c>
      <c r="AT125" s="183">
        <f t="shared" ref="AT125" si="606">AT126-SUM(AT122:AT124)</f>
        <v>-49.587245200000041</v>
      </c>
      <c r="AU125" s="183">
        <f t="shared" ref="AU125:BF125" si="607">AU126-SUM(AU122:AU124)</f>
        <v>-89.320542282937481</v>
      </c>
      <c r="AV125" s="183">
        <f t="shared" si="607"/>
        <v>-95.036098955549789</v>
      </c>
      <c r="AW125" s="183">
        <f t="shared" si="607"/>
        <v>-98.015257596303627</v>
      </c>
      <c r="AX125" s="183">
        <f t="shared" si="607"/>
        <v>-102.94073600824584</v>
      </c>
      <c r="AY125" s="183">
        <f t="shared" si="607"/>
        <v>-108.62059356101815</v>
      </c>
      <c r="AZ125" s="183">
        <f t="shared" si="607"/>
        <v>-115.29348833698737</v>
      </c>
      <c r="BA125" s="183">
        <f t="shared" si="607"/>
        <v>-119.95811889044694</v>
      </c>
      <c r="BB125" s="183">
        <f t="shared" si="607"/>
        <v>-129.34574446022009</v>
      </c>
      <c r="BC125" s="183">
        <f t="shared" si="607"/>
        <v>-136.91774959667708</v>
      </c>
      <c r="BD125" s="183">
        <f t="shared" si="607"/>
        <v>-144.39956627752775</v>
      </c>
      <c r="BE125" s="183">
        <f t="shared" si="607"/>
        <v>-148.37274492563267</v>
      </c>
      <c r="BF125" s="183">
        <f t="shared" si="607"/>
        <v>-154.77891702428519</v>
      </c>
      <c r="BJ125" s="116">
        <f t="shared" si="519"/>
        <v>116</v>
      </c>
    </row>
    <row r="126" spans="1:62" hidden="1" outlineLevel="2">
      <c r="B126" s="22" t="s">
        <v>36</v>
      </c>
      <c r="C126" s="185">
        <f t="shared" si="591"/>
        <v>-2453.1930000000002</v>
      </c>
      <c r="D126" s="185">
        <f t="shared" si="591"/>
        <v>-3815.3249999999998</v>
      </c>
      <c r="E126" s="185">
        <f t="shared" si="591"/>
        <v>-4128.5950000000003</v>
      </c>
      <c r="F126" s="185">
        <f t="shared" si="591"/>
        <v>-3981.0540000000001</v>
      </c>
      <c r="G126" s="185">
        <f t="shared" si="591"/>
        <v>-4505.0639999999985</v>
      </c>
      <c r="H126" s="185">
        <f t="shared" si="591"/>
        <v>-2372.2359999999999</v>
      </c>
      <c r="I126" s="185">
        <f t="shared" si="591"/>
        <v>-1334.5020000000002</v>
      </c>
      <c r="J126" s="185">
        <f t="shared" si="591"/>
        <v>-1718.0760000000002</v>
      </c>
      <c r="K126" s="185">
        <f t="shared" si="591"/>
        <v>-2117.625634843037</v>
      </c>
      <c r="L126" s="185">
        <f t="shared" si="591"/>
        <v>-2399.9709452486723</v>
      </c>
      <c r="M126" s="185">
        <f t="shared" si="591"/>
        <v>-2467.5749778241229</v>
      </c>
      <c r="N126" s="273"/>
      <c r="O126" s="185">
        <f t="shared" ref="O126:BF126" si="608">+O31-O20-O117-O90</f>
        <v>-519.15700000000015</v>
      </c>
      <c r="P126" s="185">
        <f t="shared" si="608"/>
        <v>-533.16199999999992</v>
      </c>
      <c r="Q126" s="185">
        <f t="shared" si="608"/>
        <v>-625.56100000000015</v>
      </c>
      <c r="R126" s="185">
        <f t="shared" si="608"/>
        <v>-775.3130000000001</v>
      </c>
      <c r="S126" s="185">
        <f t="shared" si="608"/>
        <v>-858.37099999999987</v>
      </c>
      <c r="T126" s="185">
        <f t="shared" si="608"/>
        <v>-835.11200000000019</v>
      </c>
      <c r="U126" s="185">
        <f t="shared" si="608"/>
        <v>-1033.848</v>
      </c>
      <c r="V126" s="185">
        <f t="shared" si="608"/>
        <v>-1087.9939999999999</v>
      </c>
      <c r="W126" s="185">
        <f t="shared" si="608"/>
        <v>-1122.2540000000001</v>
      </c>
      <c r="X126" s="185">
        <f t="shared" si="608"/>
        <v>-982.82200000000023</v>
      </c>
      <c r="Y126" s="185">
        <f t="shared" si="608"/>
        <v>-1008.2270000000001</v>
      </c>
      <c r="Z126" s="185">
        <f t="shared" si="608"/>
        <v>-1015.2919999999996</v>
      </c>
      <c r="AA126" s="185">
        <f t="shared" si="608"/>
        <v>-994.99200000000019</v>
      </c>
      <c r="AB126" s="185">
        <f t="shared" si="608"/>
        <v>-972.30999999999972</v>
      </c>
      <c r="AC126" s="185">
        <f t="shared" si="608"/>
        <v>-980.91100000000006</v>
      </c>
      <c r="AD126" s="185">
        <f t="shared" si="608"/>
        <v>-1032.8410000000001</v>
      </c>
      <c r="AE126" s="185">
        <f t="shared" si="608"/>
        <v>-1061.7389999999998</v>
      </c>
      <c r="AF126" s="185">
        <f t="shared" si="608"/>
        <v>-1066.4949999999999</v>
      </c>
      <c r="AG126" s="185">
        <f t="shared" si="608"/>
        <v>-1181.9859999999999</v>
      </c>
      <c r="AH126" s="185">
        <f t="shared" si="608"/>
        <v>-1194.8439999999996</v>
      </c>
      <c r="AI126" s="185">
        <f t="shared" si="608"/>
        <v>-919.6099999999999</v>
      </c>
      <c r="AJ126" s="185">
        <f t="shared" si="608"/>
        <v>-489.32200000000006</v>
      </c>
      <c r="AK126" s="185">
        <f t="shared" si="608"/>
        <v>-518.17399999999998</v>
      </c>
      <c r="AL126" s="185">
        <f t="shared" si="608"/>
        <v>-445.13000000000011</v>
      </c>
      <c r="AM126" s="185">
        <f t="shared" si="608"/>
        <v>-365.02300000000002</v>
      </c>
      <c r="AN126" s="185">
        <f t="shared" si="608"/>
        <v>-334.47900000000004</v>
      </c>
      <c r="AO126" s="185">
        <f t="shared" si="608"/>
        <v>-306.43600000000004</v>
      </c>
      <c r="AP126" s="185">
        <f t="shared" si="608"/>
        <v>-328.56400000000002</v>
      </c>
      <c r="AQ126" s="185">
        <f t="shared" si="608"/>
        <v>-387.64600000000007</v>
      </c>
      <c r="AR126" s="185">
        <f t="shared" si="608"/>
        <v>-417.52100000000007</v>
      </c>
      <c r="AS126" s="185">
        <f t="shared" si="608"/>
        <v>-441.26700000000005</v>
      </c>
      <c r="AT126" s="185">
        <f t="shared" si="608"/>
        <v>-471.642</v>
      </c>
      <c r="AU126" s="186">
        <f t="shared" si="608"/>
        <v>-504.71054228293747</v>
      </c>
      <c r="AV126" s="186">
        <f t="shared" si="608"/>
        <v>-512.95509895554983</v>
      </c>
      <c r="AW126" s="186">
        <f t="shared" si="608"/>
        <v>-542.6412575963036</v>
      </c>
      <c r="AX126" s="186">
        <f t="shared" si="608"/>
        <v>-557.31873600824588</v>
      </c>
      <c r="AY126" s="186">
        <f t="shared" si="608"/>
        <v>-571.11559356101816</v>
      </c>
      <c r="AZ126" s="186">
        <f t="shared" si="608"/>
        <v>-576.34548833698739</v>
      </c>
      <c r="BA126" s="186">
        <f t="shared" si="608"/>
        <v>-616.69011889044691</v>
      </c>
      <c r="BB126" s="186">
        <f t="shared" si="608"/>
        <v>-635.81974446022014</v>
      </c>
      <c r="BC126" s="186">
        <f t="shared" si="608"/>
        <v>-609.80474959667708</v>
      </c>
      <c r="BD126" s="186">
        <f t="shared" si="608"/>
        <v>-599.64256627752775</v>
      </c>
      <c r="BE126" s="186">
        <f t="shared" si="608"/>
        <v>-625.86074492563273</v>
      </c>
      <c r="BF126" s="186">
        <f t="shared" si="608"/>
        <v>-632.26691702428525</v>
      </c>
      <c r="BG126" s="80"/>
      <c r="BH126" s="80"/>
      <c r="BI126" s="80"/>
      <c r="BJ126" s="116">
        <f t="shared" si="519"/>
        <v>117</v>
      </c>
    </row>
    <row r="127" spans="1:62" hidden="1" outlineLevel="2">
      <c r="B127" s="12" t="s">
        <v>352</v>
      </c>
      <c r="C127" s="50">
        <f t="shared" ref="C127:M127" si="609">C31-C20-C90</f>
        <v>-2453.1929999999998</v>
      </c>
      <c r="D127" s="50">
        <f t="shared" si="609"/>
        <v>-3815.3250000000007</v>
      </c>
      <c r="E127" s="50">
        <f t="shared" si="609"/>
        <v>-4435.3100000000004</v>
      </c>
      <c r="F127" s="50">
        <f t="shared" si="609"/>
        <v>-3981.0149999999994</v>
      </c>
      <c r="G127" s="50">
        <f t="shared" si="609"/>
        <v>-4511.3649999999998</v>
      </c>
      <c r="H127" s="50">
        <f t="shared" si="609"/>
        <v>-2365.7339999999995</v>
      </c>
      <c r="I127" s="50">
        <f t="shared" si="609"/>
        <v>-1334.4980000000003</v>
      </c>
      <c r="J127" s="50">
        <f t="shared" si="609"/>
        <v>-1718.069</v>
      </c>
      <c r="K127" s="50">
        <f t="shared" si="609"/>
        <v>-2117.6256348430366</v>
      </c>
      <c r="L127" s="50">
        <f t="shared" si="609"/>
        <v>-2399.9709452486732</v>
      </c>
      <c r="M127" s="50">
        <f t="shared" si="609"/>
        <v>-2467.5749778241225</v>
      </c>
      <c r="O127" s="50">
        <f t="shared" ref="O127:BF127" si="610">O31-O20-O90</f>
        <v>-519.15700000000015</v>
      </c>
      <c r="P127" s="50">
        <f t="shared" si="610"/>
        <v>-533.16199999999992</v>
      </c>
      <c r="Q127" s="50">
        <f t="shared" si="610"/>
        <v>-625.56100000000015</v>
      </c>
      <c r="R127" s="50">
        <f t="shared" si="610"/>
        <v>-775.3130000000001</v>
      </c>
      <c r="S127" s="50">
        <f t="shared" si="610"/>
        <v>-858.37099999999987</v>
      </c>
      <c r="T127" s="50">
        <f t="shared" si="610"/>
        <v>-835.11200000000019</v>
      </c>
      <c r="U127" s="50">
        <f t="shared" si="610"/>
        <v>-1033.848</v>
      </c>
      <c r="V127" s="50">
        <f t="shared" si="610"/>
        <v>-1087.9939999999999</v>
      </c>
      <c r="W127" s="50">
        <f t="shared" si="610"/>
        <v>-1190.9230000000002</v>
      </c>
      <c r="X127" s="50">
        <f t="shared" si="610"/>
        <v>-1123.2560000000001</v>
      </c>
      <c r="Y127" s="50">
        <f t="shared" si="610"/>
        <v>-1107.0320000000002</v>
      </c>
      <c r="Z127" s="50">
        <f t="shared" si="610"/>
        <v>-1014.0989999999996</v>
      </c>
      <c r="AA127" s="50">
        <f t="shared" si="610"/>
        <v>-992.09700000000021</v>
      </c>
      <c r="AB127" s="50">
        <f t="shared" si="610"/>
        <v>-970.94999999999982</v>
      </c>
      <c r="AC127" s="50">
        <f t="shared" si="610"/>
        <v>-983.53899999999999</v>
      </c>
      <c r="AD127" s="50">
        <f t="shared" si="610"/>
        <v>-1034.4290000000001</v>
      </c>
      <c r="AE127" s="50">
        <f t="shared" si="610"/>
        <v>-1064.1839999999997</v>
      </c>
      <c r="AF127" s="50">
        <f t="shared" si="610"/>
        <v>-1067.0709999999999</v>
      </c>
      <c r="AG127" s="50">
        <f t="shared" si="610"/>
        <v>-1184.837</v>
      </c>
      <c r="AH127" s="50">
        <f t="shared" si="610"/>
        <v>-1195.2729999999997</v>
      </c>
      <c r="AI127" s="50">
        <f t="shared" si="610"/>
        <v>-913.10799999999995</v>
      </c>
      <c r="AJ127" s="50">
        <f t="shared" si="610"/>
        <v>-489.32200000000006</v>
      </c>
      <c r="AK127" s="50">
        <f t="shared" si="610"/>
        <v>-518.17399999999998</v>
      </c>
      <c r="AL127" s="50">
        <f t="shared" si="610"/>
        <v>-445.13000000000011</v>
      </c>
      <c r="AM127" s="50">
        <f t="shared" si="610"/>
        <v>-365.02300000000002</v>
      </c>
      <c r="AN127" s="50">
        <f t="shared" si="610"/>
        <v>-334.47900000000004</v>
      </c>
      <c r="AO127" s="50">
        <f t="shared" si="610"/>
        <v>-306.43600000000004</v>
      </c>
      <c r="AP127" s="50">
        <f t="shared" si="610"/>
        <v>-328.56</v>
      </c>
      <c r="AQ127" s="50">
        <f t="shared" si="610"/>
        <v>-387.64400000000006</v>
      </c>
      <c r="AR127" s="50">
        <f t="shared" si="610"/>
        <v>-417.52100000000007</v>
      </c>
      <c r="AS127" s="50">
        <f t="shared" si="610"/>
        <v>-441.26300000000003</v>
      </c>
      <c r="AT127" s="50">
        <f t="shared" si="610"/>
        <v>-471.64100000000002</v>
      </c>
      <c r="AU127" s="50">
        <f t="shared" si="610"/>
        <v>-504.71054228293747</v>
      </c>
      <c r="AV127" s="50">
        <f t="shared" si="610"/>
        <v>-512.95509895554983</v>
      </c>
      <c r="AW127" s="50">
        <f t="shared" si="610"/>
        <v>-542.6412575963036</v>
      </c>
      <c r="AX127" s="50">
        <f t="shared" si="610"/>
        <v>-557.31873600824588</v>
      </c>
      <c r="AY127" s="50">
        <f t="shared" si="610"/>
        <v>-571.11559356101816</v>
      </c>
      <c r="AZ127" s="50">
        <f t="shared" si="610"/>
        <v>-576.34548833698739</v>
      </c>
      <c r="BA127" s="50">
        <f t="shared" si="610"/>
        <v>-616.69011889044691</v>
      </c>
      <c r="BB127" s="50">
        <f t="shared" si="610"/>
        <v>-635.81974446022014</v>
      </c>
      <c r="BC127" s="50">
        <f t="shared" si="610"/>
        <v>-609.80474959667708</v>
      </c>
      <c r="BD127" s="50">
        <f t="shared" si="610"/>
        <v>-599.64256627752775</v>
      </c>
      <c r="BE127" s="50">
        <f t="shared" si="610"/>
        <v>-625.86074492563273</v>
      </c>
      <c r="BF127" s="50">
        <f t="shared" si="610"/>
        <v>-632.26691702428525</v>
      </c>
      <c r="BJ127" s="116">
        <f t="shared" si="519"/>
        <v>118</v>
      </c>
    </row>
    <row r="128" spans="1:62" hidden="1" outlineLevel="2">
      <c r="B128" s="12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BJ128" s="116">
        <f t="shared" si="519"/>
        <v>119</v>
      </c>
    </row>
    <row r="129" spans="1:62" hidden="1" outlineLevel="2">
      <c r="B129" s="20" t="s">
        <v>22</v>
      </c>
      <c r="BJ129" s="116">
        <f t="shared" si="519"/>
        <v>120</v>
      </c>
    </row>
    <row r="130" spans="1:62" hidden="1" outlineLevel="2">
      <c r="B130" s="12" t="s">
        <v>4</v>
      </c>
      <c r="C130" s="50">
        <f t="shared" ref="C130:M134" si="611">SUMIFS($O130:$BG130,$O$5:$BG$5,C$5)</f>
        <v>-315.52099999999996</v>
      </c>
      <c r="D130" s="50">
        <f t="shared" si="611"/>
        <v>-360.60900000000004</v>
      </c>
      <c r="E130" s="50">
        <f t="shared" si="611"/>
        <v>-406.74099999999999</v>
      </c>
      <c r="F130" s="50">
        <f t="shared" si="611"/>
        <v>-440.21000000000004</v>
      </c>
      <c r="G130" s="50">
        <f t="shared" si="611"/>
        <v>-465.50600000000003</v>
      </c>
      <c r="H130" s="50">
        <f t="shared" si="611"/>
        <v>-425.952</v>
      </c>
      <c r="I130" s="50">
        <f t="shared" si="611"/>
        <v>-382.86700000000002</v>
      </c>
      <c r="J130" s="50">
        <f t="shared" si="611"/>
        <v>-375.17100000000005</v>
      </c>
      <c r="K130" s="50">
        <f t="shared" si="611"/>
        <v>-373.46707787979938</v>
      </c>
      <c r="L130" s="50">
        <f t="shared" si="611"/>
        <v>-348.41444675159124</v>
      </c>
      <c r="M130" s="50">
        <f t="shared" si="611"/>
        <v>-326.34582608871301</v>
      </c>
      <c r="O130" s="50">
        <f>O174</f>
        <v>-70.285999999999987</v>
      </c>
      <c r="P130" s="50">
        <f t="shared" ref="P130:AQ130" si="612">P174</f>
        <v>-73.543000000000006</v>
      </c>
      <c r="Q130" s="50">
        <f t="shared" si="612"/>
        <v>-85.22999999999999</v>
      </c>
      <c r="R130" s="50">
        <f t="shared" si="612"/>
        <v>-86.461999999999989</v>
      </c>
      <c r="S130" s="50">
        <f t="shared" si="612"/>
        <v>-89.094999999999999</v>
      </c>
      <c r="T130" s="50">
        <f t="shared" si="612"/>
        <v>-88.452000000000012</v>
      </c>
      <c r="U130" s="50">
        <f t="shared" si="612"/>
        <v>-90.143999999999991</v>
      </c>
      <c r="V130" s="50">
        <f t="shared" si="612"/>
        <v>-92.918000000000006</v>
      </c>
      <c r="W130" s="50">
        <f t="shared" si="612"/>
        <v>-91.230999999999995</v>
      </c>
      <c r="X130" s="50">
        <f t="shared" si="612"/>
        <v>-101.39699999999999</v>
      </c>
      <c r="Y130" s="50">
        <f t="shared" si="612"/>
        <v>-105.839</v>
      </c>
      <c r="Z130" s="50">
        <f t="shared" si="612"/>
        <v>-108.27400000000002</v>
      </c>
      <c r="AA130" s="50">
        <f t="shared" si="612"/>
        <v>-107.26400000000001</v>
      </c>
      <c r="AB130" s="50">
        <f t="shared" si="612"/>
        <v>-108.986</v>
      </c>
      <c r="AC130" s="50">
        <f t="shared" si="612"/>
        <v>-111.91200000000001</v>
      </c>
      <c r="AD130" s="50">
        <f t="shared" si="612"/>
        <v>-112.04799999999999</v>
      </c>
      <c r="AE130" s="50">
        <f t="shared" si="612"/>
        <v>-115.143</v>
      </c>
      <c r="AF130" s="50">
        <f t="shared" si="612"/>
        <v>-116.084</v>
      </c>
      <c r="AG130" s="50">
        <f t="shared" si="612"/>
        <v>-117.76799999999999</v>
      </c>
      <c r="AH130" s="50">
        <f t="shared" si="612"/>
        <v>-116.51100000000001</v>
      </c>
      <c r="AI130" s="50">
        <f t="shared" si="612"/>
        <v>-110.70700000000001</v>
      </c>
      <c r="AJ130" s="50">
        <f t="shared" si="612"/>
        <v>-105.054</v>
      </c>
      <c r="AK130" s="50">
        <f t="shared" si="612"/>
        <v>-108.539</v>
      </c>
      <c r="AL130" s="50">
        <f t="shared" si="612"/>
        <v>-101.652</v>
      </c>
      <c r="AM130" s="50">
        <f t="shared" si="612"/>
        <v>-98.793999999999997</v>
      </c>
      <c r="AN130" s="50">
        <f t="shared" si="612"/>
        <v>-95.706000000000003</v>
      </c>
      <c r="AO130" s="50">
        <f t="shared" si="612"/>
        <v>-96.174999999999997</v>
      </c>
      <c r="AP130" s="50">
        <f t="shared" si="612"/>
        <v>-92.192000000000007</v>
      </c>
      <c r="AQ130" s="50">
        <f t="shared" si="612"/>
        <v>-89.811000000000007</v>
      </c>
      <c r="AR130" s="50">
        <f t="shared" ref="AR130:AT130" si="613">AR174</f>
        <v>-93.87</v>
      </c>
      <c r="AS130" s="50">
        <f t="shared" si="613"/>
        <v>-96.792000000000002</v>
      </c>
      <c r="AT130" s="50">
        <f t="shared" si="613"/>
        <v>-94.698000000000008</v>
      </c>
      <c r="AU130" s="178">
        <f t="shared" ref="AU130:BF130" si="614">+AT130/AT$134*AU$134</f>
        <v>-95.929153391941369</v>
      </c>
      <c r="AV130" s="178">
        <f t="shared" si="614"/>
        <v>-94.099310991108183</v>
      </c>
      <c r="AW130" s="178">
        <f t="shared" si="614"/>
        <v>-92.469743266547894</v>
      </c>
      <c r="AX130" s="178">
        <f t="shared" si="614"/>
        <v>-90.968870230201986</v>
      </c>
      <c r="AY130" s="178">
        <f t="shared" si="614"/>
        <v>-89.544390750927604</v>
      </c>
      <c r="AZ130" s="178">
        <f t="shared" si="614"/>
        <v>-87.868195586956546</v>
      </c>
      <c r="BA130" s="178">
        <f t="shared" si="614"/>
        <v>-86.242963751463378</v>
      </c>
      <c r="BB130" s="178">
        <f t="shared" si="614"/>
        <v>-84.758896662243728</v>
      </c>
      <c r="BC130" s="178">
        <f t="shared" si="614"/>
        <v>-83.350626518972604</v>
      </c>
      <c r="BD130" s="178">
        <f t="shared" si="614"/>
        <v>-82.159947459767253</v>
      </c>
      <c r="BE130" s="178">
        <f t="shared" si="614"/>
        <v>-80.965814825650781</v>
      </c>
      <c r="BF130" s="178">
        <f t="shared" si="614"/>
        <v>-79.869437284322373</v>
      </c>
      <c r="BJ130" s="116">
        <f t="shared" si="519"/>
        <v>121</v>
      </c>
    </row>
    <row r="131" spans="1:62" hidden="1" outlineLevel="2">
      <c r="B131" s="12" t="s">
        <v>5</v>
      </c>
      <c r="C131" s="50">
        <f t="shared" si="611"/>
        <v>-56.161999999999999</v>
      </c>
      <c r="D131" s="50">
        <f t="shared" si="611"/>
        <v>-91.019000000000005</v>
      </c>
      <c r="E131" s="50">
        <f t="shared" si="611"/>
        <v>-59.190999999999995</v>
      </c>
      <c r="F131" s="50">
        <f t="shared" si="611"/>
        <v>-57.795999999999999</v>
      </c>
      <c r="G131" s="50">
        <f t="shared" si="611"/>
        <v>-55.985999999999997</v>
      </c>
      <c r="H131" s="50">
        <f t="shared" si="611"/>
        <v>-46.786000000000001</v>
      </c>
      <c r="I131" s="50">
        <f t="shared" si="611"/>
        <v>-42.143000000000001</v>
      </c>
      <c r="J131" s="50">
        <f t="shared" si="611"/>
        <v>-39.597000000000001</v>
      </c>
      <c r="K131" s="50">
        <f t="shared" si="611"/>
        <v>-39.421919264255578</v>
      </c>
      <c r="L131" s="50">
        <f t="shared" si="611"/>
        <v>-36.777448412098522</v>
      </c>
      <c r="M131" s="50">
        <f t="shared" si="611"/>
        <v>-34.447959593473726</v>
      </c>
      <c r="O131" s="176">
        <f>O240</f>
        <v>-14.268000000000001</v>
      </c>
      <c r="P131" s="176">
        <f t="shared" ref="P131:AQ131" si="615">P240</f>
        <v>-13.675000000000001</v>
      </c>
      <c r="Q131" s="176">
        <f t="shared" si="615"/>
        <v>-13.639000000000001</v>
      </c>
      <c r="R131" s="176">
        <f t="shared" si="615"/>
        <v>-14.58</v>
      </c>
      <c r="S131" s="176">
        <f t="shared" si="615"/>
        <v>-48.542999999999999</v>
      </c>
      <c r="T131" s="176">
        <f t="shared" si="615"/>
        <v>-14.588000000000001</v>
      </c>
      <c r="U131" s="176">
        <f t="shared" si="615"/>
        <v>-15.349</v>
      </c>
      <c r="V131" s="176">
        <f t="shared" si="615"/>
        <v>-12.539000000000001</v>
      </c>
      <c r="W131" s="176">
        <f t="shared" si="615"/>
        <v>-15.037999999999997</v>
      </c>
      <c r="X131" s="176">
        <f t="shared" si="615"/>
        <v>-13.707000000000001</v>
      </c>
      <c r="Y131" s="176">
        <f t="shared" si="615"/>
        <v>-15.150000000000002</v>
      </c>
      <c r="Z131" s="176">
        <f t="shared" si="615"/>
        <v>-15.295999999999999</v>
      </c>
      <c r="AA131" s="176">
        <f t="shared" si="615"/>
        <v>-15.012999999999998</v>
      </c>
      <c r="AB131" s="176">
        <f t="shared" si="615"/>
        <v>-14.172000000000001</v>
      </c>
      <c r="AC131" s="176">
        <f t="shared" si="615"/>
        <v>-13.988</v>
      </c>
      <c r="AD131" s="176">
        <f t="shared" si="615"/>
        <v>-14.622999999999999</v>
      </c>
      <c r="AE131" s="176">
        <f t="shared" si="615"/>
        <v>-13.959</v>
      </c>
      <c r="AF131" s="176">
        <f t="shared" si="615"/>
        <v>-13.991</v>
      </c>
      <c r="AG131" s="176">
        <f t="shared" si="615"/>
        <v>-14.286999999999999</v>
      </c>
      <c r="AH131" s="176">
        <f t="shared" si="615"/>
        <v>-13.749000000000001</v>
      </c>
      <c r="AI131" s="176">
        <f t="shared" si="615"/>
        <v>-12.11</v>
      </c>
      <c r="AJ131" s="176">
        <f t="shared" si="615"/>
        <v>-12</v>
      </c>
      <c r="AK131" s="176">
        <f t="shared" si="615"/>
        <v>-11.600999999999999</v>
      </c>
      <c r="AL131" s="176">
        <f t="shared" si="615"/>
        <v>-11.075000000000001</v>
      </c>
      <c r="AM131" s="176">
        <f t="shared" si="615"/>
        <v>-9.3999999999999986</v>
      </c>
      <c r="AN131" s="176">
        <f t="shared" si="615"/>
        <v>-11.190999999999999</v>
      </c>
      <c r="AO131" s="176">
        <f t="shared" si="615"/>
        <v>-10.352</v>
      </c>
      <c r="AP131" s="176">
        <f t="shared" si="615"/>
        <v>-11.200000000000001</v>
      </c>
      <c r="AQ131" s="176">
        <f t="shared" si="615"/>
        <v>-10.346</v>
      </c>
      <c r="AR131" s="176">
        <f t="shared" ref="AR131:AT131" si="616">AR240</f>
        <v>-9.1909999999999989</v>
      </c>
      <c r="AS131" s="176">
        <f t="shared" si="616"/>
        <v>-10.064</v>
      </c>
      <c r="AT131" s="176">
        <f t="shared" si="616"/>
        <v>-9.9960000000000004</v>
      </c>
      <c r="AU131" s="178">
        <f t="shared" ref="AU131:BF131" si="617">+AT131/AT$134*AU$134</f>
        <v>-10.125956380344315</v>
      </c>
      <c r="AV131" s="178">
        <f t="shared" si="617"/>
        <v>-9.9328044168527043</v>
      </c>
      <c r="AW131" s="178">
        <f t="shared" si="617"/>
        <v>-9.760792769566546</v>
      </c>
      <c r="AX131" s="178">
        <f t="shared" si="617"/>
        <v>-9.6023656974920168</v>
      </c>
      <c r="AY131" s="178">
        <f t="shared" si="617"/>
        <v>-9.4520024704457573</v>
      </c>
      <c r="AZ131" s="178">
        <f t="shared" si="617"/>
        <v>-9.2750689886504194</v>
      </c>
      <c r="BA131" s="178">
        <f t="shared" si="617"/>
        <v>-9.1035150231222168</v>
      </c>
      <c r="BB131" s="178">
        <f t="shared" si="617"/>
        <v>-8.9468619298801251</v>
      </c>
      <c r="BC131" s="178">
        <f t="shared" si="617"/>
        <v>-8.798209705417749</v>
      </c>
      <c r="BD131" s="178">
        <f t="shared" si="617"/>
        <v>-8.6725256584915549</v>
      </c>
      <c r="BE131" s="178">
        <f t="shared" si="617"/>
        <v>-8.5464770639000296</v>
      </c>
      <c r="BF131" s="178">
        <f t="shared" si="617"/>
        <v>-8.4307471656643891</v>
      </c>
      <c r="BJ131" s="116">
        <f t="shared" si="519"/>
        <v>122</v>
      </c>
    </row>
    <row r="132" spans="1:62" hidden="1" outlineLevel="2">
      <c r="B132" s="12" t="s">
        <v>6</v>
      </c>
      <c r="C132" s="50">
        <f t="shared" si="611"/>
        <v>-247.13399999999999</v>
      </c>
      <c r="D132" s="50">
        <f t="shared" si="611"/>
        <v>-273.32499999999999</v>
      </c>
      <c r="E132" s="50">
        <f t="shared" si="611"/>
        <v>-330.38800000000003</v>
      </c>
      <c r="F132" s="50">
        <f t="shared" si="611"/>
        <v>-346.65899999999999</v>
      </c>
      <c r="G132" s="50">
        <f t="shared" si="611"/>
        <v>-367.34500000000003</v>
      </c>
      <c r="H132" s="50">
        <f t="shared" si="611"/>
        <v>-411.00400000000002</v>
      </c>
      <c r="I132" s="50">
        <f t="shared" si="611"/>
        <v>-411.37199999999996</v>
      </c>
      <c r="J132" s="50">
        <f t="shared" si="611"/>
        <v>-400.75299999999993</v>
      </c>
      <c r="K132" s="50">
        <f t="shared" si="611"/>
        <v>-398.07619914920264</v>
      </c>
      <c r="L132" s="50">
        <f t="shared" si="611"/>
        <v>-371.37275788519412</v>
      </c>
      <c r="M132" s="50">
        <f t="shared" si="611"/>
        <v>-347.84995452641567</v>
      </c>
      <c r="O132" s="176">
        <f>O258</f>
        <v>-58.479000000000006</v>
      </c>
      <c r="P132" s="176">
        <f t="shared" ref="P132:AQ132" si="618">P258</f>
        <v>-59.444000000000003</v>
      </c>
      <c r="Q132" s="176">
        <f t="shared" si="618"/>
        <v>-64.176000000000002</v>
      </c>
      <c r="R132" s="176">
        <f t="shared" si="618"/>
        <v>-65.034999999999997</v>
      </c>
      <c r="S132" s="176">
        <f t="shared" si="618"/>
        <v>-64.894000000000005</v>
      </c>
      <c r="T132" s="176">
        <f t="shared" si="618"/>
        <v>-67.72</v>
      </c>
      <c r="U132" s="176">
        <f t="shared" si="618"/>
        <v>-68.596999999999994</v>
      </c>
      <c r="V132" s="176">
        <f t="shared" si="618"/>
        <v>-72.11399999999999</v>
      </c>
      <c r="W132" s="176">
        <f t="shared" si="618"/>
        <v>-76.111999999999995</v>
      </c>
      <c r="X132" s="176">
        <f t="shared" si="618"/>
        <v>-83.84</v>
      </c>
      <c r="Y132" s="176">
        <f t="shared" si="618"/>
        <v>-83.163000000000011</v>
      </c>
      <c r="Z132" s="176">
        <f t="shared" si="618"/>
        <v>-87.272999999999996</v>
      </c>
      <c r="AA132" s="176">
        <f t="shared" si="618"/>
        <v>-85.044999999999987</v>
      </c>
      <c r="AB132" s="176">
        <f t="shared" si="618"/>
        <v>-85.009999999999991</v>
      </c>
      <c r="AC132" s="176">
        <f t="shared" si="618"/>
        <v>-88.495999999999995</v>
      </c>
      <c r="AD132" s="176">
        <f t="shared" si="618"/>
        <v>-88.108000000000004</v>
      </c>
      <c r="AE132" s="176">
        <f t="shared" si="618"/>
        <v>-89.872000000000014</v>
      </c>
      <c r="AF132" s="176">
        <f t="shared" si="618"/>
        <v>-88.753000000000014</v>
      </c>
      <c r="AG132" s="176">
        <f t="shared" si="618"/>
        <v>-91.135999999999996</v>
      </c>
      <c r="AH132" s="176">
        <f t="shared" si="618"/>
        <v>-97.583999999999989</v>
      </c>
      <c r="AI132" s="176">
        <f t="shared" si="618"/>
        <v>-95.986999999999995</v>
      </c>
      <c r="AJ132" s="176">
        <f t="shared" si="618"/>
        <v>-93.739000000000004</v>
      </c>
      <c r="AK132" s="176">
        <f t="shared" si="618"/>
        <v>-112.41199999999999</v>
      </c>
      <c r="AL132" s="176">
        <f t="shared" si="618"/>
        <v>-108.86600000000001</v>
      </c>
      <c r="AM132" s="176">
        <f t="shared" si="618"/>
        <v>-101.437</v>
      </c>
      <c r="AN132" s="176">
        <f t="shared" si="618"/>
        <v>-96.758999999999986</v>
      </c>
      <c r="AO132" s="176">
        <f t="shared" si="618"/>
        <v>-105.23799999999999</v>
      </c>
      <c r="AP132" s="176">
        <f t="shared" si="618"/>
        <v>-107.93799999999999</v>
      </c>
      <c r="AQ132" s="176">
        <f t="shared" si="618"/>
        <v>-96.682000000000002</v>
      </c>
      <c r="AR132" s="176">
        <f t="shared" ref="AR132:AT132" si="619">AR258</f>
        <v>-98.609999999999985</v>
      </c>
      <c r="AS132" s="176">
        <f t="shared" si="619"/>
        <v>-104.523</v>
      </c>
      <c r="AT132" s="176">
        <f t="shared" si="619"/>
        <v>-100.93799999999999</v>
      </c>
      <c r="AU132" s="178">
        <f t="shared" ref="AU132:BF132" si="620">+AT132/AT$134*AU$134</f>
        <v>-102.25027862336879</v>
      </c>
      <c r="AV132" s="178">
        <f t="shared" si="620"/>
        <v>-100.29986116729475</v>
      </c>
      <c r="AW132" s="178">
        <f t="shared" si="620"/>
        <v>-98.562915223540216</v>
      </c>
      <c r="AX132" s="178">
        <f t="shared" si="620"/>
        <v>-96.963144134998927</v>
      </c>
      <c r="AY132" s="178">
        <f t="shared" si="620"/>
        <v>-95.444800456367929</v>
      </c>
      <c r="AZ132" s="178">
        <f t="shared" si="620"/>
        <v>-93.658154619487405</v>
      </c>
      <c r="BA132" s="178">
        <f t="shared" si="620"/>
        <v>-91.925830272500036</v>
      </c>
      <c r="BB132" s="178">
        <f t="shared" si="620"/>
        <v>-90.343972536838749</v>
      </c>
      <c r="BC132" s="178">
        <f t="shared" si="620"/>
        <v>-88.842906287060501</v>
      </c>
      <c r="BD132" s="178">
        <f t="shared" si="620"/>
        <v>-87.573768999281768</v>
      </c>
      <c r="BE132" s="178">
        <f t="shared" si="620"/>
        <v>-86.300950567821246</v>
      </c>
      <c r="BF132" s="178">
        <f t="shared" si="620"/>
        <v>-85.132328672252115</v>
      </c>
      <c r="BJ132" s="116">
        <f t="shared" si="519"/>
        <v>123</v>
      </c>
    </row>
    <row r="133" spans="1:62" hidden="1" outlineLevel="2">
      <c r="B133" s="12" t="s">
        <v>35</v>
      </c>
      <c r="C133" s="50">
        <f t="shared" si="611"/>
        <v>-155.05300000000003</v>
      </c>
      <c r="D133" s="50">
        <f t="shared" si="611"/>
        <v>-219.71200000000002</v>
      </c>
      <c r="E133" s="50">
        <f t="shared" si="611"/>
        <v>-251.43600000000006</v>
      </c>
      <c r="F133" s="50">
        <f t="shared" si="611"/>
        <v>-242.01199999999994</v>
      </c>
      <c r="G133" s="50">
        <f t="shared" si="611"/>
        <v>-256.26300000000003</v>
      </c>
      <c r="H133" s="50">
        <f t="shared" si="611"/>
        <v>-86.71700000000007</v>
      </c>
      <c r="I133" s="50">
        <f t="shared" si="611"/>
        <v>-29.748999999999995</v>
      </c>
      <c r="J133" s="50">
        <f t="shared" si="611"/>
        <v>-27.421999999999997</v>
      </c>
      <c r="K133" s="50">
        <f t="shared" si="611"/>
        <v>-33.419502185404305</v>
      </c>
      <c r="L133" s="50">
        <f t="shared" si="611"/>
        <v>-31.177680856754939</v>
      </c>
      <c r="M133" s="50">
        <f t="shared" si="611"/>
        <v>-29.202882112354533</v>
      </c>
      <c r="O133" s="183">
        <f t="shared" ref="O133:AQ133" si="621">O134-SUM(O130:O132)</f>
        <v>-29.241000000000014</v>
      </c>
      <c r="P133" s="183">
        <f t="shared" si="621"/>
        <v>-29.538999999999987</v>
      </c>
      <c r="Q133" s="183">
        <f t="shared" si="621"/>
        <v>-40.884000000000015</v>
      </c>
      <c r="R133" s="183">
        <f t="shared" si="621"/>
        <v>-55.38900000000001</v>
      </c>
      <c r="S133" s="183">
        <f t="shared" si="621"/>
        <v>-27.143000000000001</v>
      </c>
      <c r="T133" s="183">
        <f t="shared" si="621"/>
        <v>-57.849999999999994</v>
      </c>
      <c r="U133" s="183">
        <f t="shared" si="621"/>
        <v>-72.533000000000015</v>
      </c>
      <c r="V133" s="183">
        <f t="shared" si="621"/>
        <v>-62.186000000000007</v>
      </c>
      <c r="W133" s="183">
        <f t="shared" si="621"/>
        <v>-65.240000000000038</v>
      </c>
      <c r="X133" s="183">
        <f t="shared" si="621"/>
        <v>-62.072000000000031</v>
      </c>
      <c r="Y133" s="183">
        <f t="shared" si="621"/>
        <v>-61.484999999999985</v>
      </c>
      <c r="Z133" s="183">
        <f t="shared" si="621"/>
        <v>-62.63900000000001</v>
      </c>
      <c r="AA133" s="183">
        <f t="shared" si="621"/>
        <v>-62.043000000000006</v>
      </c>
      <c r="AB133" s="183">
        <f t="shared" si="621"/>
        <v>-58.04200000000003</v>
      </c>
      <c r="AC133" s="183">
        <f t="shared" si="621"/>
        <v>-59.047999999999945</v>
      </c>
      <c r="AD133" s="183">
        <f t="shared" si="621"/>
        <v>-62.878999999999962</v>
      </c>
      <c r="AE133" s="183">
        <f t="shared" si="621"/>
        <v>-63.152999999999992</v>
      </c>
      <c r="AF133" s="183">
        <f t="shared" si="621"/>
        <v>-63.992000000000104</v>
      </c>
      <c r="AG133" s="183">
        <f t="shared" si="621"/>
        <v>-63.38999999999993</v>
      </c>
      <c r="AH133" s="183">
        <f t="shared" si="621"/>
        <v>-65.728000000000009</v>
      </c>
      <c r="AI133" s="183">
        <f t="shared" si="621"/>
        <v>-62.21500000000006</v>
      </c>
      <c r="AJ133" s="183">
        <f t="shared" si="621"/>
        <v>-7.4029999999999916</v>
      </c>
      <c r="AK133" s="183">
        <f t="shared" si="621"/>
        <v>-7.5550000000000068</v>
      </c>
      <c r="AL133" s="183">
        <f t="shared" si="621"/>
        <v>-9.5440000000000111</v>
      </c>
      <c r="AM133" s="183">
        <f t="shared" si="621"/>
        <v>-6.1870000000000118</v>
      </c>
      <c r="AN133" s="183">
        <f t="shared" si="621"/>
        <v>-9.757000000000005</v>
      </c>
      <c r="AO133" s="183">
        <f t="shared" si="621"/>
        <v>-8.9480000000000075</v>
      </c>
      <c r="AP133" s="183">
        <f t="shared" si="621"/>
        <v>-4.8569999999999709</v>
      </c>
      <c r="AQ133" s="183">
        <f t="shared" si="621"/>
        <v>-6.8329999999999984</v>
      </c>
      <c r="AR133" s="183">
        <f t="shared" ref="AR133:AT133" si="622">AR134-SUM(AR130:AR132)</f>
        <v>-6.4190000000000111</v>
      </c>
      <c r="AS133" s="183">
        <f t="shared" si="622"/>
        <v>-5.695999999999998</v>
      </c>
      <c r="AT133" s="183">
        <f t="shared" si="622"/>
        <v>-8.4739999999999895</v>
      </c>
      <c r="AU133" s="178">
        <f t="shared" ref="AU133:BF133" si="623">+AT133/AT$134*AU$134</f>
        <v>-8.5841691043455004</v>
      </c>
      <c r="AV133" s="178">
        <f t="shared" si="623"/>
        <v>-8.4204266334943689</v>
      </c>
      <c r="AW133" s="178">
        <f t="shared" si="623"/>
        <v>-8.2746056351847539</v>
      </c>
      <c r="AX133" s="178">
        <f t="shared" si="623"/>
        <v>-8.1403008123796763</v>
      </c>
      <c r="AY133" s="178">
        <f t="shared" si="623"/>
        <v>-8.0128320262662296</v>
      </c>
      <c r="AZ133" s="178">
        <f t="shared" si="623"/>
        <v>-7.8628385964209233</v>
      </c>
      <c r="BA133" s="178">
        <f t="shared" si="623"/>
        <v>-7.7174055928308878</v>
      </c>
      <c r="BB133" s="178">
        <f t="shared" si="623"/>
        <v>-7.5846046412369024</v>
      </c>
      <c r="BC133" s="178">
        <f t="shared" si="623"/>
        <v>-7.458586338906553</v>
      </c>
      <c r="BD133" s="178">
        <f t="shared" si="623"/>
        <v>-7.3520390586291846</v>
      </c>
      <c r="BE133" s="178">
        <f t="shared" si="623"/>
        <v>-7.2451827370436925</v>
      </c>
      <c r="BF133" s="178">
        <f t="shared" si="623"/>
        <v>-7.1470739777751033</v>
      </c>
      <c r="BJ133" s="116">
        <f t="shared" si="519"/>
        <v>124</v>
      </c>
    </row>
    <row r="134" spans="1:62" hidden="1" outlineLevel="2">
      <c r="B134" s="19" t="s">
        <v>38</v>
      </c>
      <c r="C134" s="185">
        <f t="shared" si="611"/>
        <v>-773.87</v>
      </c>
      <c r="D134" s="185">
        <f t="shared" si="611"/>
        <v>-944.66499999999996</v>
      </c>
      <c r="E134" s="185">
        <f t="shared" si="611"/>
        <v>-1047.7560000000001</v>
      </c>
      <c r="F134" s="185">
        <f t="shared" si="611"/>
        <v>-1086.6769999999999</v>
      </c>
      <c r="G134" s="185">
        <f t="shared" si="611"/>
        <v>-1145.0999999999999</v>
      </c>
      <c r="H134" s="185">
        <f t="shared" si="611"/>
        <v>-970.45900000000006</v>
      </c>
      <c r="I134" s="185">
        <f t="shared" si="611"/>
        <v>-866.13099999999986</v>
      </c>
      <c r="J134" s="185">
        <f t="shared" si="611"/>
        <v>-842.94299999999998</v>
      </c>
      <c r="K134" s="185">
        <f t="shared" si="611"/>
        <v>-844.3846984786619</v>
      </c>
      <c r="L134" s="185">
        <f t="shared" si="611"/>
        <v>-787.74233390563859</v>
      </c>
      <c r="M134" s="185">
        <f t="shared" si="611"/>
        <v>-737.84662232095684</v>
      </c>
      <c r="O134" s="185">
        <f t="shared" ref="O134:BF134" si="624">O32</f>
        <v>-172.274</v>
      </c>
      <c r="P134" s="185">
        <f t="shared" si="624"/>
        <v>-176.20099999999999</v>
      </c>
      <c r="Q134" s="185">
        <f t="shared" si="624"/>
        <v>-203.929</v>
      </c>
      <c r="R134" s="185">
        <f t="shared" si="624"/>
        <v>-221.46600000000001</v>
      </c>
      <c r="S134" s="185">
        <f t="shared" si="624"/>
        <v>-229.67500000000001</v>
      </c>
      <c r="T134" s="185">
        <f t="shared" si="624"/>
        <v>-228.61</v>
      </c>
      <c r="U134" s="185">
        <f t="shared" si="624"/>
        <v>-246.62299999999999</v>
      </c>
      <c r="V134" s="185">
        <f t="shared" si="624"/>
        <v>-239.75700000000001</v>
      </c>
      <c r="W134" s="185">
        <f t="shared" si="624"/>
        <v>-247.62100000000001</v>
      </c>
      <c r="X134" s="185">
        <f t="shared" si="624"/>
        <v>-261.01600000000002</v>
      </c>
      <c r="Y134" s="185">
        <f t="shared" si="624"/>
        <v>-265.637</v>
      </c>
      <c r="Z134" s="185">
        <f t="shared" si="624"/>
        <v>-273.48200000000003</v>
      </c>
      <c r="AA134" s="185">
        <f t="shared" si="624"/>
        <v>-269.36500000000001</v>
      </c>
      <c r="AB134" s="185">
        <f t="shared" si="624"/>
        <v>-266.21000000000004</v>
      </c>
      <c r="AC134" s="185">
        <f t="shared" si="624"/>
        <v>-273.44399999999996</v>
      </c>
      <c r="AD134" s="185">
        <f t="shared" si="624"/>
        <v>-277.65799999999996</v>
      </c>
      <c r="AE134" s="185">
        <f t="shared" si="624"/>
        <v>-282.12700000000001</v>
      </c>
      <c r="AF134" s="185">
        <f t="shared" si="624"/>
        <v>-282.82000000000011</v>
      </c>
      <c r="AG134" s="185">
        <f t="shared" si="624"/>
        <v>-286.5809999999999</v>
      </c>
      <c r="AH134" s="185">
        <f t="shared" si="624"/>
        <v>-293.572</v>
      </c>
      <c r="AI134" s="185">
        <f t="shared" si="624"/>
        <v>-281.01900000000006</v>
      </c>
      <c r="AJ134" s="185">
        <f t="shared" si="624"/>
        <v>-218.196</v>
      </c>
      <c r="AK134" s="185">
        <f t="shared" si="624"/>
        <v>-240.107</v>
      </c>
      <c r="AL134" s="185">
        <f t="shared" si="624"/>
        <v>-231.13700000000003</v>
      </c>
      <c r="AM134" s="185">
        <f t="shared" si="624"/>
        <v>-215.81799999999998</v>
      </c>
      <c r="AN134" s="185">
        <f t="shared" si="624"/>
        <v>-213.41300000000001</v>
      </c>
      <c r="AO134" s="185">
        <f t="shared" si="624"/>
        <v>-220.71299999999999</v>
      </c>
      <c r="AP134" s="185">
        <f t="shared" si="624"/>
        <v>-216.18699999999995</v>
      </c>
      <c r="AQ134" s="185">
        <f t="shared" si="624"/>
        <v>-203.672</v>
      </c>
      <c r="AR134" s="185">
        <f t="shared" si="624"/>
        <v>-208.09</v>
      </c>
      <c r="AS134" s="185">
        <f t="shared" si="624"/>
        <v>-217.07499999999999</v>
      </c>
      <c r="AT134" s="185">
        <f t="shared" si="624"/>
        <v>-214.10599999999999</v>
      </c>
      <c r="AU134" s="185">
        <f t="shared" si="624"/>
        <v>-216.88955749999997</v>
      </c>
      <c r="AV134" s="185">
        <f t="shared" si="624"/>
        <v>-212.75240320875</v>
      </c>
      <c r="AW134" s="185">
        <f t="shared" si="624"/>
        <v>-209.0680568948394</v>
      </c>
      <c r="AX134" s="185">
        <f t="shared" si="624"/>
        <v>-205.6746808750726</v>
      </c>
      <c r="AY134" s="185">
        <f t="shared" si="624"/>
        <v>-202.45402570400751</v>
      </c>
      <c r="AZ134" s="185">
        <f t="shared" si="624"/>
        <v>-198.66425779151527</v>
      </c>
      <c r="BA134" s="185">
        <f t="shared" si="624"/>
        <v>-194.98971463991649</v>
      </c>
      <c r="BB134" s="185">
        <f t="shared" si="624"/>
        <v>-191.63433577019947</v>
      </c>
      <c r="BC134" s="185">
        <f t="shared" si="624"/>
        <v>-188.45032885035738</v>
      </c>
      <c r="BD134" s="185">
        <f t="shared" si="624"/>
        <v>-185.75828117616973</v>
      </c>
      <c r="BE134" s="185">
        <f t="shared" si="624"/>
        <v>-183.05842519441572</v>
      </c>
      <c r="BF134" s="185">
        <f t="shared" si="624"/>
        <v>-180.57958710001395</v>
      </c>
      <c r="BJ134" s="116">
        <f t="shared" si="519"/>
        <v>125</v>
      </c>
    </row>
    <row r="135" spans="1:62" hidden="1" outlineLevel="2">
      <c r="B135" s="11"/>
      <c r="BJ135" s="116">
        <f t="shared" si="519"/>
        <v>126</v>
      </c>
    </row>
    <row r="136" spans="1:62" outlineLevel="1" collapsed="1">
      <c r="A136" s="72" t="s">
        <v>322</v>
      </c>
      <c r="B136" s="2" t="s">
        <v>39</v>
      </c>
      <c r="BJ136" s="116">
        <f t="shared" si="519"/>
        <v>127</v>
      </c>
    </row>
    <row r="137" spans="1:62" outlineLevel="1">
      <c r="A137" s="72" t="s">
        <v>322</v>
      </c>
      <c r="B137" s="24" t="s">
        <v>40</v>
      </c>
      <c r="BJ137" s="116">
        <f t="shared" si="519"/>
        <v>128</v>
      </c>
    </row>
    <row r="138" spans="1:62" outlineLevel="1">
      <c r="B138" s="229" t="s">
        <v>41</v>
      </c>
      <c r="BJ138" s="116">
        <f t="shared" si="519"/>
        <v>129</v>
      </c>
    </row>
    <row r="139" spans="1:62" hidden="1" outlineLevel="2">
      <c r="B139" s="10" t="s">
        <v>42</v>
      </c>
      <c r="C139" s="102">
        <f>AVERAGEIFS($O139:$BG139,$O$5:$BG$5,C$5)</f>
        <v>367</v>
      </c>
      <c r="D139" s="102">
        <f t="shared" ref="D139:M139" si="625">AVERAGEIFS($O139:$BG139,$O$5:$BG$5,D$5)</f>
        <v>351.75</v>
      </c>
      <c r="E139" s="102">
        <f t="shared" si="625"/>
        <v>342</v>
      </c>
      <c r="F139" s="102">
        <f t="shared" si="625"/>
        <v>305.5</v>
      </c>
      <c r="G139" s="102">
        <f t="shared" si="625"/>
        <v>304.25</v>
      </c>
      <c r="H139" s="102">
        <f t="shared" si="625"/>
        <v>282.25</v>
      </c>
      <c r="I139" s="102">
        <f t="shared" si="625"/>
        <v>251</v>
      </c>
      <c r="J139" s="102">
        <f t="shared" si="625"/>
        <v>239.5</v>
      </c>
      <c r="K139" s="102">
        <f t="shared" si="625"/>
        <v>243</v>
      </c>
      <c r="L139" s="102">
        <f t="shared" si="625"/>
        <v>243</v>
      </c>
      <c r="M139" s="102">
        <f t="shared" si="625"/>
        <v>243</v>
      </c>
      <c r="O139" s="102">
        <f>+O140+O144+O145</f>
        <v>367</v>
      </c>
      <c r="P139" s="102">
        <f t="shared" ref="P139:BF139" si="626">+P140+P144+P145</f>
        <v>367</v>
      </c>
      <c r="Q139" s="102">
        <f t="shared" si="626"/>
        <v>367</v>
      </c>
      <c r="R139" s="102">
        <f t="shared" si="626"/>
        <v>367</v>
      </c>
      <c r="S139" s="102">
        <f t="shared" si="626"/>
        <v>370</v>
      </c>
      <c r="T139" s="102">
        <f t="shared" si="626"/>
        <v>374</v>
      </c>
      <c r="U139" s="102">
        <f t="shared" si="626"/>
        <v>328</v>
      </c>
      <c r="V139" s="102">
        <f t="shared" si="626"/>
        <v>335</v>
      </c>
      <c r="W139" s="102">
        <f t="shared" si="626"/>
        <v>347</v>
      </c>
      <c r="X139" s="102">
        <f t="shared" si="626"/>
        <v>358</v>
      </c>
      <c r="Y139" s="102">
        <f t="shared" si="626"/>
        <v>355</v>
      </c>
      <c r="Z139" s="102">
        <f t="shared" si="626"/>
        <v>308</v>
      </c>
      <c r="AA139" s="102">
        <f t="shared" si="626"/>
        <v>304</v>
      </c>
      <c r="AB139" s="102">
        <f t="shared" si="626"/>
        <v>306</v>
      </c>
      <c r="AC139" s="102">
        <f t="shared" si="626"/>
        <v>307</v>
      </c>
      <c r="AD139" s="102">
        <f t="shared" si="626"/>
        <v>305</v>
      </c>
      <c r="AE139" s="102">
        <f t="shared" si="626"/>
        <v>309</v>
      </c>
      <c r="AF139" s="102">
        <f t="shared" si="626"/>
        <v>309</v>
      </c>
      <c r="AG139" s="102">
        <f t="shared" si="626"/>
        <v>311</v>
      </c>
      <c r="AH139" s="102">
        <f t="shared" si="626"/>
        <v>288</v>
      </c>
      <c r="AI139" s="102">
        <f t="shared" si="626"/>
        <v>291</v>
      </c>
      <c r="AJ139" s="102">
        <f t="shared" si="626"/>
        <v>293</v>
      </c>
      <c r="AK139" s="102">
        <f t="shared" si="626"/>
        <v>293</v>
      </c>
      <c r="AL139" s="102">
        <f t="shared" si="626"/>
        <v>252</v>
      </c>
      <c r="AM139" s="102">
        <f t="shared" si="626"/>
        <v>255</v>
      </c>
      <c r="AN139" s="102">
        <f t="shared" si="626"/>
        <v>255</v>
      </c>
      <c r="AO139" s="102">
        <f t="shared" si="626"/>
        <v>258</v>
      </c>
      <c r="AP139" s="102">
        <f t="shared" si="626"/>
        <v>236</v>
      </c>
      <c r="AQ139" s="102">
        <f t="shared" si="626"/>
        <v>238</v>
      </c>
      <c r="AR139" s="102">
        <f t="shared" si="626"/>
        <v>240</v>
      </c>
      <c r="AS139" s="102">
        <f t="shared" ref="AS139:AT139" si="627">+AS140+AS144+AS145</f>
        <v>240</v>
      </c>
      <c r="AT139" s="102">
        <f t="shared" si="627"/>
        <v>240</v>
      </c>
      <c r="AU139" s="102">
        <f t="shared" si="626"/>
        <v>243</v>
      </c>
      <c r="AV139" s="102">
        <f t="shared" si="626"/>
        <v>243</v>
      </c>
      <c r="AW139" s="102">
        <f t="shared" si="626"/>
        <v>243</v>
      </c>
      <c r="AX139" s="102">
        <f t="shared" si="626"/>
        <v>243</v>
      </c>
      <c r="AY139" s="102">
        <f t="shared" si="626"/>
        <v>243</v>
      </c>
      <c r="AZ139" s="102">
        <f t="shared" si="626"/>
        <v>243</v>
      </c>
      <c r="BA139" s="102">
        <f t="shared" si="626"/>
        <v>243</v>
      </c>
      <c r="BB139" s="102">
        <f t="shared" si="626"/>
        <v>243</v>
      </c>
      <c r="BC139" s="102">
        <f t="shared" si="626"/>
        <v>243</v>
      </c>
      <c r="BD139" s="102">
        <f t="shared" si="626"/>
        <v>243</v>
      </c>
      <c r="BE139" s="102">
        <f t="shared" si="626"/>
        <v>243</v>
      </c>
      <c r="BF139" s="102">
        <f t="shared" si="626"/>
        <v>243</v>
      </c>
      <c r="BJ139" s="116">
        <f t="shared" si="519"/>
        <v>130</v>
      </c>
    </row>
    <row r="140" spans="1:62" hidden="1" outlineLevel="2">
      <c r="B140" s="25" t="s">
        <v>43</v>
      </c>
      <c r="C140" s="102">
        <f t="shared" ref="C140:M145" si="628">AVERAGEIFS($O140:$BG140,$O$5:$BG$5,C$5)</f>
        <v>318</v>
      </c>
      <c r="D140" s="102">
        <f t="shared" si="628"/>
        <v>302.75</v>
      </c>
      <c r="E140" s="102">
        <f t="shared" si="628"/>
        <v>293.25</v>
      </c>
      <c r="F140" s="102">
        <f t="shared" si="628"/>
        <v>262.75</v>
      </c>
      <c r="G140" s="102">
        <f t="shared" si="628"/>
        <v>266.25</v>
      </c>
      <c r="H140" s="102">
        <f t="shared" si="628"/>
        <v>247.25</v>
      </c>
      <c r="I140" s="102">
        <f t="shared" si="628"/>
        <v>217.75</v>
      </c>
      <c r="J140" s="102">
        <f t="shared" si="628"/>
        <v>207.5</v>
      </c>
      <c r="K140" s="102">
        <f t="shared" si="628"/>
        <v>213</v>
      </c>
      <c r="L140" s="102">
        <f t="shared" si="628"/>
        <v>213</v>
      </c>
      <c r="M140" s="102">
        <f t="shared" si="628"/>
        <v>213</v>
      </c>
      <c r="O140" s="105">
        <v>318</v>
      </c>
      <c r="P140" s="105">
        <v>318</v>
      </c>
      <c r="Q140" s="105">
        <v>318</v>
      </c>
      <c r="R140" s="105">
        <v>318</v>
      </c>
      <c r="S140" s="105">
        <v>321</v>
      </c>
      <c r="T140" s="105">
        <v>325</v>
      </c>
      <c r="U140" s="105">
        <v>279</v>
      </c>
      <c r="V140" s="105">
        <v>286</v>
      </c>
      <c r="W140" s="105">
        <v>296</v>
      </c>
      <c r="X140" s="105">
        <v>307</v>
      </c>
      <c r="Y140" s="105">
        <v>307</v>
      </c>
      <c r="Z140" s="105">
        <v>263</v>
      </c>
      <c r="AA140" s="102">
        <f>AA141+AA142</f>
        <v>262</v>
      </c>
      <c r="AB140" s="102">
        <f>AB141+AB142</f>
        <v>263</v>
      </c>
      <c r="AC140" s="102">
        <f t="shared" ref="AC140:BF140" si="629">AC141+AC142</f>
        <v>264</v>
      </c>
      <c r="AD140" s="102">
        <f t="shared" si="629"/>
        <v>262</v>
      </c>
      <c r="AE140" s="102">
        <f t="shared" si="629"/>
        <v>267</v>
      </c>
      <c r="AF140" s="102">
        <f t="shared" si="629"/>
        <v>271</v>
      </c>
      <c r="AG140" s="102">
        <f t="shared" si="629"/>
        <v>274</v>
      </c>
      <c r="AH140" s="102">
        <f t="shared" si="629"/>
        <v>253</v>
      </c>
      <c r="AI140" s="102">
        <f t="shared" si="629"/>
        <v>256</v>
      </c>
      <c r="AJ140" s="102">
        <f t="shared" si="629"/>
        <v>257</v>
      </c>
      <c r="AK140" s="102">
        <f t="shared" si="629"/>
        <v>257</v>
      </c>
      <c r="AL140" s="102">
        <f t="shared" si="629"/>
        <v>219</v>
      </c>
      <c r="AM140" s="102">
        <f t="shared" si="629"/>
        <v>222</v>
      </c>
      <c r="AN140" s="102">
        <f t="shared" si="629"/>
        <v>222</v>
      </c>
      <c r="AO140" s="102">
        <f t="shared" si="629"/>
        <v>224</v>
      </c>
      <c r="AP140" s="102">
        <f t="shared" si="629"/>
        <v>203</v>
      </c>
      <c r="AQ140" s="102">
        <f t="shared" si="629"/>
        <v>205</v>
      </c>
      <c r="AR140" s="102">
        <f t="shared" si="629"/>
        <v>207</v>
      </c>
      <c r="AS140" s="102">
        <f t="shared" ref="AS140:AT140" si="630">AS141+AS142</f>
        <v>208</v>
      </c>
      <c r="AT140" s="102">
        <f t="shared" si="630"/>
        <v>210</v>
      </c>
      <c r="AU140" s="102">
        <f t="shared" si="629"/>
        <v>213</v>
      </c>
      <c r="AV140" s="102">
        <f t="shared" si="629"/>
        <v>213</v>
      </c>
      <c r="AW140" s="102">
        <f t="shared" si="629"/>
        <v>213</v>
      </c>
      <c r="AX140" s="102">
        <f t="shared" si="629"/>
        <v>213</v>
      </c>
      <c r="AY140" s="102">
        <f t="shared" si="629"/>
        <v>213</v>
      </c>
      <c r="AZ140" s="102">
        <f t="shared" si="629"/>
        <v>213</v>
      </c>
      <c r="BA140" s="102">
        <f t="shared" si="629"/>
        <v>213</v>
      </c>
      <c r="BB140" s="102">
        <f t="shared" si="629"/>
        <v>213</v>
      </c>
      <c r="BC140" s="102">
        <f t="shared" si="629"/>
        <v>213</v>
      </c>
      <c r="BD140" s="102">
        <f t="shared" si="629"/>
        <v>213</v>
      </c>
      <c r="BE140" s="102">
        <f t="shared" si="629"/>
        <v>213</v>
      </c>
      <c r="BF140" s="102">
        <f t="shared" si="629"/>
        <v>213</v>
      </c>
      <c r="BJ140" s="116">
        <f t="shared" ref="BJ140:BJ203" si="631">BJ139+1</f>
        <v>131</v>
      </c>
    </row>
    <row r="141" spans="1:62" hidden="1" outlineLevel="2">
      <c r="B141" s="26" t="s">
        <v>44</v>
      </c>
      <c r="C141" s="225"/>
      <c r="D141" s="225"/>
      <c r="E141" s="225"/>
      <c r="F141" s="102">
        <f t="shared" si="628"/>
        <v>142.75</v>
      </c>
      <c r="G141" s="102">
        <f t="shared" si="628"/>
        <v>158.75</v>
      </c>
      <c r="H141" s="102">
        <f t="shared" si="628"/>
        <v>171.75</v>
      </c>
      <c r="I141" s="102">
        <f t="shared" si="628"/>
        <v>176.75</v>
      </c>
      <c r="J141" s="102">
        <f t="shared" si="628"/>
        <v>183.5</v>
      </c>
      <c r="K141" s="102">
        <f t="shared" si="628"/>
        <v>189</v>
      </c>
      <c r="L141" s="102">
        <f t="shared" si="628"/>
        <v>189</v>
      </c>
      <c r="M141" s="102">
        <f t="shared" si="628"/>
        <v>189</v>
      </c>
      <c r="O141" s="106"/>
      <c r="P141" s="106"/>
      <c r="Q141" s="106"/>
      <c r="R141" s="106"/>
      <c r="S141" s="106"/>
      <c r="T141" s="106"/>
      <c r="U141" s="106"/>
      <c r="V141" s="106"/>
      <c r="W141" s="106"/>
      <c r="X141" s="106"/>
      <c r="Y141" s="106"/>
      <c r="Z141" s="106"/>
      <c r="AA141" s="107">
        <v>140</v>
      </c>
      <c r="AB141" s="107">
        <v>141</v>
      </c>
      <c r="AC141" s="107">
        <v>142</v>
      </c>
      <c r="AD141" s="107">
        <v>148</v>
      </c>
      <c r="AE141" s="107">
        <v>153</v>
      </c>
      <c r="AF141" s="107">
        <v>157</v>
      </c>
      <c r="AG141" s="107">
        <v>160</v>
      </c>
      <c r="AH141" s="107">
        <v>165</v>
      </c>
      <c r="AI141" s="107">
        <v>171</v>
      </c>
      <c r="AJ141" s="107">
        <v>172</v>
      </c>
      <c r="AK141" s="107">
        <v>172</v>
      </c>
      <c r="AL141" s="107">
        <v>172</v>
      </c>
      <c r="AM141" s="107">
        <v>175</v>
      </c>
      <c r="AN141" s="107">
        <v>175</v>
      </c>
      <c r="AO141" s="107">
        <v>177</v>
      </c>
      <c r="AP141" s="107">
        <v>180</v>
      </c>
      <c r="AQ141" s="107">
        <f>108+73</f>
        <v>181</v>
      </c>
      <c r="AR141" s="107">
        <v>183</v>
      </c>
      <c r="AS141" s="107">
        <v>184</v>
      </c>
      <c r="AT141" s="107">
        <f>114+72</f>
        <v>186</v>
      </c>
      <c r="AU141" s="102">
        <f t="shared" ref="AU141:BF141" si="632">+AT141+AU143</f>
        <v>189</v>
      </c>
      <c r="AV141" s="102">
        <f t="shared" si="632"/>
        <v>189</v>
      </c>
      <c r="AW141" s="102">
        <f t="shared" si="632"/>
        <v>189</v>
      </c>
      <c r="AX141" s="102">
        <f t="shared" si="632"/>
        <v>189</v>
      </c>
      <c r="AY141" s="102">
        <f t="shared" si="632"/>
        <v>189</v>
      </c>
      <c r="AZ141" s="102">
        <f t="shared" si="632"/>
        <v>189</v>
      </c>
      <c r="BA141" s="102">
        <f t="shared" si="632"/>
        <v>189</v>
      </c>
      <c r="BB141" s="102">
        <f t="shared" si="632"/>
        <v>189</v>
      </c>
      <c r="BC141" s="102">
        <f t="shared" si="632"/>
        <v>189</v>
      </c>
      <c r="BD141" s="102">
        <f t="shared" si="632"/>
        <v>189</v>
      </c>
      <c r="BE141" s="102">
        <f t="shared" si="632"/>
        <v>189</v>
      </c>
      <c r="BF141" s="102">
        <f t="shared" si="632"/>
        <v>189</v>
      </c>
      <c r="BJ141" s="116">
        <f t="shared" si="631"/>
        <v>132</v>
      </c>
    </row>
    <row r="142" spans="1:62" hidden="1" outlineLevel="2">
      <c r="B142" s="26" t="s">
        <v>45</v>
      </c>
      <c r="C142" s="225"/>
      <c r="D142" s="225"/>
      <c r="E142" s="225"/>
      <c r="F142" s="102">
        <f t="shared" si="628"/>
        <v>120</v>
      </c>
      <c r="G142" s="102">
        <f t="shared" si="628"/>
        <v>107.5</v>
      </c>
      <c r="H142" s="102">
        <f t="shared" si="628"/>
        <v>75.5</v>
      </c>
      <c r="I142" s="102">
        <f t="shared" si="628"/>
        <v>41</v>
      </c>
      <c r="J142" s="102">
        <f t="shared" si="628"/>
        <v>24</v>
      </c>
      <c r="K142" s="102">
        <f t="shared" si="628"/>
        <v>24</v>
      </c>
      <c r="L142" s="102">
        <f t="shared" si="628"/>
        <v>24</v>
      </c>
      <c r="M142" s="102">
        <f t="shared" si="628"/>
        <v>24</v>
      </c>
      <c r="O142" s="106"/>
      <c r="P142" s="106"/>
      <c r="Q142" s="106"/>
      <c r="R142" s="106"/>
      <c r="S142" s="106"/>
      <c r="T142" s="106"/>
      <c r="U142" s="106"/>
      <c r="V142" s="106"/>
      <c r="W142" s="106"/>
      <c r="X142" s="106"/>
      <c r="Y142" s="106"/>
      <c r="Z142" s="106"/>
      <c r="AA142" s="107">
        <v>122</v>
      </c>
      <c r="AB142" s="107">
        <v>122</v>
      </c>
      <c r="AC142" s="107">
        <v>122</v>
      </c>
      <c r="AD142" s="107">
        <v>114</v>
      </c>
      <c r="AE142" s="107">
        <v>114</v>
      </c>
      <c r="AF142" s="107">
        <v>114</v>
      </c>
      <c r="AG142" s="107">
        <f>AF142</f>
        <v>114</v>
      </c>
      <c r="AH142" s="107">
        <v>88</v>
      </c>
      <c r="AI142" s="107">
        <v>85</v>
      </c>
      <c r="AJ142" s="107">
        <v>85</v>
      </c>
      <c r="AK142" s="107">
        <v>85</v>
      </c>
      <c r="AL142" s="107">
        <v>47</v>
      </c>
      <c r="AM142" s="107">
        <v>47</v>
      </c>
      <c r="AN142" s="107">
        <v>47</v>
      </c>
      <c r="AO142" s="107">
        <f>AN142</f>
        <v>47</v>
      </c>
      <c r="AP142" s="107">
        <v>23</v>
      </c>
      <c r="AQ142" s="107">
        <v>24</v>
      </c>
      <c r="AR142" s="107">
        <v>24</v>
      </c>
      <c r="AS142" s="107">
        <v>24</v>
      </c>
      <c r="AT142" s="107">
        <v>24</v>
      </c>
      <c r="AU142" s="102">
        <f t="shared" ref="AU142:BF142" si="633">AT142</f>
        <v>24</v>
      </c>
      <c r="AV142" s="102">
        <f t="shared" si="633"/>
        <v>24</v>
      </c>
      <c r="AW142" s="102">
        <f t="shared" si="633"/>
        <v>24</v>
      </c>
      <c r="AX142" s="102">
        <f t="shared" si="633"/>
        <v>24</v>
      </c>
      <c r="AY142" s="102">
        <f t="shared" si="633"/>
        <v>24</v>
      </c>
      <c r="AZ142" s="102">
        <f t="shared" si="633"/>
        <v>24</v>
      </c>
      <c r="BA142" s="102">
        <f t="shared" si="633"/>
        <v>24</v>
      </c>
      <c r="BB142" s="102">
        <f t="shared" si="633"/>
        <v>24</v>
      </c>
      <c r="BC142" s="102">
        <f t="shared" si="633"/>
        <v>24</v>
      </c>
      <c r="BD142" s="102">
        <f t="shared" si="633"/>
        <v>24</v>
      </c>
      <c r="BE142" s="102">
        <f t="shared" si="633"/>
        <v>24</v>
      </c>
      <c r="BF142" s="102">
        <f t="shared" si="633"/>
        <v>24</v>
      </c>
      <c r="BJ142" s="116">
        <f t="shared" si="631"/>
        <v>133</v>
      </c>
    </row>
    <row r="143" spans="1:62" hidden="1" outlineLevel="2">
      <c r="B143" s="26" t="s">
        <v>46</v>
      </c>
      <c r="C143" s="225"/>
      <c r="D143" s="225"/>
      <c r="E143" s="225"/>
      <c r="F143" s="102">
        <f t="shared" ref="F143:M143" si="634">SUMIFS($O143:$BG143,$O$5:$BG$5,F$5)</f>
        <v>8</v>
      </c>
      <c r="G143" s="102">
        <f t="shared" si="634"/>
        <v>17</v>
      </c>
      <c r="H143" s="102">
        <f t="shared" si="634"/>
        <v>7</v>
      </c>
      <c r="I143" s="102">
        <f t="shared" si="634"/>
        <v>8</v>
      </c>
      <c r="J143" s="102">
        <f t="shared" si="634"/>
        <v>6</v>
      </c>
      <c r="K143" s="102">
        <f t="shared" si="634"/>
        <v>3</v>
      </c>
      <c r="L143" s="102">
        <f t="shared" si="634"/>
        <v>0</v>
      </c>
      <c r="M143" s="102">
        <f t="shared" si="634"/>
        <v>0</v>
      </c>
      <c r="O143" s="106"/>
      <c r="P143" s="106"/>
      <c r="Q143" s="106"/>
      <c r="R143" s="106"/>
      <c r="S143" s="106"/>
      <c r="T143" s="106"/>
      <c r="U143" s="106"/>
      <c r="V143" s="106"/>
      <c r="W143" s="106"/>
      <c r="X143" s="106"/>
      <c r="Y143" s="106"/>
      <c r="Z143" s="106"/>
      <c r="AA143" s="106"/>
      <c r="AB143" s="102">
        <f>+AB141-AA141</f>
        <v>1</v>
      </c>
      <c r="AC143" s="102">
        <f t="shared" ref="AC143:AT143" si="635">+AC141-AB141</f>
        <v>1</v>
      </c>
      <c r="AD143" s="102">
        <f t="shared" si="635"/>
        <v>6</v>
      </c>
      <c r="AE143" s="102">
        <f t="shared" si="635"/>
        <v>5</v>
      </c>
      <c r="AF143" s="102">
        <f t="shared" si="635"/>
        <v>4</v>
      </c>
      <c r="AG143" s="102">
        <f t="shared" si="635"/>
        <v>3</v>
      </c>
      <c r="AH143" s="102">
        <f t="shared" si="635"/>
        <v>5</v>
      </c>
      <c r="AI143" s="102">
        <f t="shared" si="635"/>
        <v>6</v>
      </c>
      <c r="AJ143" s="102">
        <f t="shared" si="635"/>
        <v>1</v>
      </c>
      <c r="AK143" s="102">
        <f t="shared" si="635"/>
        <v>0</v>
      </c>
      <c r="AL143" s="102">
        <f t="shared" si="635"/>
        <v>0</v>
      </c>
      <c r="AM143" s="102">
        <f t="shared" si="635"/>
        <v>3</v>
      </c>
      <c r="AN143" s="102">
        <f t="shared" si="635"/>
        <v>0</v>
      </c>
      <c r="AO143" s="102">
        <f t="shared" si="635"/>
        <v>2</v>
      </c>
      <c r="AP143" s="102">
        <f t="shared" si="635"/>
        <v>3</v>
      </c>
      <c r="AQ143" s="102">
        <f t="shared" si="635"/>
        <v>1</v>
      </c>
      <c r="AR143" s="102">
        <f t="shared" si="635"/>
        <v>2</v>
      </c>
      <c r="AS143" s="102">
        <f t="shared" si="635"/>
        <v>1</v>
      </c>
      <c r="AT143" s="102">
        <f t="shared" si="635"/>
        <v>2</v>
      </c>
      <c r="AU143" s="100">
        <v>3</v>
      </c>
      <c r="AV143" s="100">
        <v>0</v>
      </c>
      <c r="AW143" s="100">
        <v>0</v>
      </c>
      <c r="AX143" s="100">
        <v>0</v>
      </c>
      <c r="AY143" s="100">
        <v>0</v>
      </c>
      <c r="AZ143" s="100">
        <v>0</v>
      </c>
      <c r="BA143" s="100">
        <v>0</v>
      </c>
      <c r="BB143" s="100">
        <v>0</v>
      </c>
      <c r="BC143" s="100">
        <v>0</v>
      </c>
      <c r="BD143" s="100">
        <v>0</v>
      </c>
      <c r="BE143" s="100">
        <v>0</v>
      </c>
      <c r="BF143" s="100">
        <v>0</v>
      </c>
      <c r="BJ143" s="116">
        <f t="shared" si="631"/>
        <v>134</v>
      </c>
    </row>
    <row r="144" spans="1:62" hidden="1" outlineLevel="2">
      <c r="B144" s="25" t="s">
        <v>47</v>
      </c>
      <c r="C144" s="102">
        <f t="shared" si="628"/>
        <v>29</v>
      </c>
      <c r="D144" s="102">
        <f t="shared" si="628"/>
        <v>29</v>
      </c>
      <c r="E144" s="102">
        <f t="shared" si="628"/>
        <v>29.25</v>
      </c>
      <c r="F144" s="102">
        <f t="shared" si="628"/>
        <v>23.5</v>
      </c>
      <c r="G144" s="102">
        <f t="shared" si="628"/>
        <v>19</v>
      </c>
      <c r="H144" s="102">
        <f t="shared" si="628"/>
        <v>16.75</v>
      </c>
      <c r="I144" s="102">
        <f t="shared" si="628"/>
        <v>17</v>
      </c>
      <c r="J144" s="102">
        <f t="shared" si="628"/>
        <v>16</v>
      </c>
      <c r="K144" s="102">
        <f t="shared" si="628"/>
        <v>14</v>
      </c>
      <c r="L144" s="102">
        <f t="shared" si="628"/>
        <v>14</v>
      </c>
      <c r="M144" s="102">
        <f t="shared" si="628"/>
        <v>14</v>
      </c>
      <c r="O144" s="105">
        <v>29</v>
      </c>
      <c r="P144" s="105">
        <v>29</v>
      </c>
      <c r="Q144" s="105">
        <v>29</v>
      </c>
      <c r="R144" s="105">
        <v>29</v>
      </c>
      <c r="S144" s="105">
        <v>29</v>
      </c>
      <c r="T144" s="105">
        <v>29</v>
      </c>
      <c r="U144" s="105">
        <v>29</v>
      </c>
      <c r="V144" s="105">
        <v>29</v>
      </c>
      <c r="W144" s="105">
        <v>31</v>
      </c>
      <c r="X144" s="105">
        <v>32</v>
      </c>
      <c r="Y144" s="105">
        <v>29</v>
      </c>
      <c r="Z144" s="105">
        <v>25</v>
      </c>
      <c r="AA144" s="108">
        <v>22</v>
      </c>
      <c r="AB144" s="108">
        <v>24</v>
      </c>
      <c r="AC144" s="108">
        <v>24</v>
      </c>
      <c r="AD144" s="108">
        <v>24</v>
      </c>
      <c r="AE144" s="108">
        <v>23</v>
      </c>
      <c r="AF144" s="108">
        <v>19</v>
      </c>
      <c r="AG144" s="108">
        <v>18</v>
      </c>
      <c r="AH144" s="108">
        <v>16</v>
      </c>
      <c r="AI144" s="108">
        <v>16</v>
      </c>
      <c r="AJ144" s="108">
        <v>17</v>
      </c>
      <c r="AK144" s="108">
        <v>17</v>
      </c>
      <c r="AL144" s="108">
        <v>17</v>
      </c>
      <c r="AM144" s="108">
        <v>17</v>
      </c>
      <c r="AN144" s="108">
        <v>17</v>
      </c>
      <c r="AO144" s="108">
        <v>17</v>
      </c>
      <c r="AP144" s="108">
        <v>17</v>
      </c>
      <c r="AQ144" s="108">
        <v>17</v>
      </c>
      <c r="AR144" s="108">
        <v>17</v>
      </c>
      <c r="AS144" s="244">
        <v>16</v>
      </c>
      <c r="AT144" s="244">
        <v>14</v>
      </c>
      <c r="AU144" s="108">
        <f t="shared" ref="AS144:BF145" si="636">AT144</f>
        <v>14</v>
      </c>
      <c r="AV144" s="108">
        <f t="shared" si="636"/>
        <v>14</v>
      </c>
      <c r="AW144" s="108">
        <f t="shared" si="636"/>
        <v>14</v>
      </c>
      <c r="AX144" s="108">
        <f t="shared" si="636"/>
        <v>14</v>
      </c>
      <c r="AY144" s="108">
        <f t="shared" si="636"/>
        <v>14</v>
      </c>
      <c r="AZ144" s="108">
        <f t="shared" si="636"/>
        <v>14</v>
      </c>
      <c r="BA144" s="108">
        <f t="shared" si="636"/>
        <v>14</v>
      </c>
      <c r="BB144" s="108">
        <f t="shared" si="636"/>
        <v>14</v>
      </c>
      <c r="BC144" s="108">
        <f t="shared" si="636"/>
        <v>14</v>
      </c>
      <c r="BD144" s="108">
        <f t="shared" si="636"/>
        <v>14</v>
      </c>
      <c r="BE144" s="108">
        <f t="shared" si="636"/>
        <v>14</v>
      </c>
      <c r="BF144" s="108">
        <f t="shared" si="636"/>
        <v>14</v>
      </c>
      <c r="BJ144" s="116">
        <f t="shared" si="631"/>
        <v>135</v>
      </c>
    </row>
    <row r="145" spans="2:62" hidden="1" outlineLevel="2">
      <c r="B145" s="25" t="s">
        <v>48</v>
      </c>
      <c r="C145" s="102">
        <f t="shared" si="628"/>
        <v>20</v>
      </c>
      <c r="D145" s="102">
        <f t="shared" si="628"/>
        <v>20</v>
      </c>
      <c r="E145" s="102">
        <f t="shared" si="628"/>
        <v>19.5</v>
      </c>
      <c r="F145" s="102">
        <f t="shared" si="628"/>
        <v>19.25</v>
      </c>
      <c r="G145" s="102">
        <f t="shared" si="628"/>
        <v>19</v>
      </c>
      <c r="H145" s="102">
        <f t="shared" si="628"/>
        <v>18.25</v>
      </c>
      <c r="I145" s="102">
        <f t="shared" si="628"/>
        <v>16.25</v>
      </c>
      <c r="J145" s="102">
        <f t="shared" si="628"/>
        <v>16</v>
      </c>
      <c r="K145" s="102">
        <f t="shared" si="628"/>
        <v>16</v>
      </c>
      <c r="L145" s="102">
        <f t="shared" si="628"/>
        <v>16</v>
      </c>
      <c r="M145" s="102">
        <f t="shared" si="628"/>
        <v>16</v>
      </c>
      <c r="O145" s="105">
        <v>20</v>
      </c>
      <c r="P145" s="105">
        <v>20</v>
      </c>
      <c r="Q145" s="105">
        <v>20</v>
      </c>
      <c r="R145" s="105">
        <v>20</v>
      </c>
      <c r="S145" s="105">
        <v>20</v>
      </c>
      <c r="T145" s="105">
        <v>20</v>
      </c>
      <c r="U145" s="105">
        <v>20</v>
      </c>
      <c r="V145" s="105">
        <v>20</v>
      </c>
      <c r="W145" s="105">
        <v>20</v>
      </c>
      <c r="X145" s="105">
        <v>19</v>
      </c>
      <c r="Y145" s="105">
        <v>19</v>
      </c>
      <c r="Z145" s="105">
        <v>20</v>
      </c>
      <c r="AA145" s="108">
        <v>20</v>
      </c>
      <c r="AB145" s="108">
        <v>19</v>
      </c>
      <c r="AC145" s="108">
        <v>19</v>
      </c>
      <c r="AD145" s="108">
        <v>19</v>
      </c>
      <c r="AE145" s="108">
        <v>19</v>
      </c>
      <c r="AF145" s="108">
        <v>19</v>
      </c>
      <c r="AG145" s="108">
        <v>19</v>
      </c>
      <c r="AH145" s="108">
        <v>19</v>
      </c>
      <c r="AI145" s="108">
        <v>19</v>
      </c>
      <c r="AJ145" s="108">
        <v>19</v>
      </c>
      <c r="AK145" s="108">
        <v>19</v>
      </c>
      <c r="AL145" s="108">
        <v>16</v>
      </c>
      <c r="AM145" s="108">
        <v>16</v>
      </c>
      <c r="AN145" s="108">
        <v>16</v>
      </c>
      <c r="AO145" s="108">
        <v>17</v>
      </c>
      <c r="AP145" s="108">
        <v>16</v>
      </c>
      <c r="AQ145" s="108">
        <v>16</v>
      </c>
      <c r="AR145" s="108">
        <v>16</v>
      </c>
      <c r="AS145" s="244">
        <f t="shared" si="636"/>
        <v>16</v>
      </c>
      <c r="AT145" s="244">
        <f t="shared" si="636"/>
        <v>16</v>
      </c>
      <c r="AU145" s="108">
        <f t="shared" si="636"/>
        <v>16</v>
      </c>
      <c r="AV145" s="108">
        <f t="shared" si="636"/>
        <v>16</v>
      </c>
      <c r="AW145" s="108">
        <f t="shared" si="636"/>
        <v>16</v>
      </c>
      <c r="AX145" s="108">
        <f t="shared" si="636"/>
        <v>16</v>
      </c>
      <c r="AY145" s="108">
        <f t="shared" si="636"/>
        <v>16</v>
      </c>
      <c r="AZ145" s="108">
        <f t="shared" si="636"/>
        <v>16</v>
      </c>
      <c r="BA145" s="108">
        <f t="shared" si="636"/>
        <v>16</v>
      </c>
      <c r="BB145" s="108">
        <f t="shared" si="636"/>
        <v>16</v>
      </c>
      <c r="BC145" s="108">
        <f t="shared" si="636"/>
        <v>16</v>
      </c>
      <c r="BD145" s="108">
        <f t="shared" si="636"/>
        <v>16</v>
      </c>
      <c r="BE145" s="108">
        <f t="shared" si="636"/>
        <v>16</v>
      </c>
      <c r="BF145" s="108">
        <f t="shared" si="636"/>
        <v>16</v>
      </c>
      <c r="BJ145" s="116">
        <f t="shared" si="631"/>
        <v>136</v>
      </c>
    </row>
    <row r="146" spans="2:62" hidden="1" outlineLevel="2">
      <c r="B146" s="11"/>
      <c r="BJ146" s="116">
        <f t="shared" si="631"/>
        <v>137</v>
      </c>
    </row>
    <row r="147" spans="2:62" hidden="1" outlineLevel="2">
      <c r="B147" s="10" t="s">
        <v>49</v>
      </c>
      <c r="C147" s="102">
        <f>C163/C$6</f>
        <v>191.28794520547947</v>
      </c>
      <c r="D147" s="102">
        <f t="shared" ref="D147:M147" si="637">D163/D$6</f>
        <v>214.66602739726028</v>
      </c>
      <c r="E147" s="102">
        <f t="shared" si="637"/>
        <v>219.12404371584702</v>
      </c>
      <c r="F147" s="102">
        <f t="shared" si="637"/>
        <v>195.27616438356165</v>
      </c>
      <c r="G147" s="102">
        <f t="shared" si="637"/>
        <v>212.67397260273972</v>
      </c>
      <c r="H147" s="102">
        <f t="shared" si="637"/>
        <v>120.24657534246575</v>
      </c>
      <c r="I147" s="102">
        <f t="shared" si="637"/>
        <v>61.840437158469939</v>
      </c>
      <c r="J147" s="102">
        <f t="shared" si="637"/>
        <v>101.06575342465753</v>
      </c>
      <c r="K147" s="102">
        <f t="shared" si="637"/>
        <v>117.78082191780823</v>
      </c>
      <c r="L147" s="102">
        <f t="shared" si="637"/>
        <v>132.78904109589041</v>
      </c>
      <c r="M147" s="102">
        <f t="shared" si="637"/>
        <v>141.50273224043715</v>
      </c>
      <c r="O147" s="112">
        <f t="shared" ref="O147:AG147" si="638">O148+O152+O151</f>
        <v>179.7</v>
      </c>
      <c r="P147" s="112">
        <f t="shared" si="638"/>
        <v>191.3</v>
      </c>
      <c r="Q147" s="112">
        <f t="shared" si="638"/>
        <v>197.09999999999997</v>
      </c>
      <c r="R147" s="112">
        <f t="shared" si="638"/>
        <v>196.8</v>
      </c>
      <c r="S147" s="112">
        <f t="shared" si="638"/>
        <v>201.20000000000002</v>
      </c>
      <c r="T147" s="112">
        <f t="shared" si="638"/>
        <v>208.1</v>
      </c>
      <c r="U147" s="112">
        <f t="shared" si="638"/>
        <v>217.3</v>
      </c>
      <c r="V147" s="112">
        <f t="shared" si="638"/>
        <v>231.7</v>
      </c>
      <c r="W147" s="112">
        <f t="shared" si="638"/>
        <v>239.1</v>
      </c>
      <c r="X147" s="112">
        <f t="shared" si="638"/>
        <v>236.3</v>
      </c>
      <c r="Y147" s="112">
        <f t="shared" si="638"/>
        <v>211.20000000000002</v>
      </c>
      <c r="Z147" s="112">
        <f t="shared" si="638"/>
        <v>190.29999999999998</v>
      </c>
      <c r="AA147" s="112">
        <f t="shared" si="638"/>
        <v>189.6</v>
      </c>
      <c r="AB147" s="112">
        <f t="shared" si="638"/>
        <v>197</v>
      </c>
      <c r="AC147" s="112">
        <f t="shared" si="638"/>
        <v>196</v>
      </c>
      <c r="AD147" s="112">
        <f t="shared" si="638"/>
        <v>198.39999999999998</v>
      </c>
      <c r="AE147" s="112">
        <f t="shared" si="638"/>
        <v>206.6</v>
      </c>
      <c r="AF147" s="112">
        <f t="shared" si="638"/>
        <v>216</v>
      </c>
      <c r="AG147" s="112">
        <f t="shared" si="638"/>
        <v>216</v>
      </c>
      <c r="AH147" s="103">
        <v>212.2</v>
      </c>
      <c r="AI147" s="103">
        <v>167.6</v>
      </c>
      <c r="AJ147" s="103">
        <v>119.5</v>
      </c>
      <c r="AK147" s="103">
        <v>103</v>
      </c>
      <c r="AL147" s="103">
        <v>91</v>
      </c>
      <c r="AM147" s="103">
        <v>64.900000000000006</v>
      </c>
      <c r="AN147" s="103">
        <v>53.7</v>
      </c>
      <c r="AO147" s="103">
        <v>57.3</v>
      </c>
      <c r="AP147" s="103">
        <v>72.099999999999994</v>
      </c>
      <c r="AQ147" s="103">
        <v>88.8</v>
      </c>
      <c r="AR147" s="103">
        <v>100.6</v>
      </c>
      <c r="AS147" s="103">
        <v>107.2</v>
      </c>
      <c r="AT147" s="103">
        <v>106.3</v>
      </c>
      <c r="AU147" s="112">
        <f t="shared" ref="AU147:BF147" si="639">+AU148+AU151+AU152</f>
        <v>113</v>
      </c>
      <c r="AV147" s="112">
        <f t="shared" si="639"/>
        <v>116</v>
      </c>
      <c r="AW147" s="112">
        <f t="shared" si="639"/>
        <v>119</v>
      </c>
      <c r="AX147" s="112">
        <f t="shared" si="639"/>
        <v>123</v>
      </c>
      <c r="AY147" s="112">
        <f t="shared" si="639"/>
        <v>127</v>
      </c>
      <c r="AZ147" s="112">
        <f t="shared" si="639"/>
        <v>130</v>
      </c>
      <c r="BA147" s="112">
        <f t="shared" si="639"/>
        <v>135</v>
      </c>
      <c r="BB147" s="112">
        <f t="shared" si="639"/>
        <v>139</v>
      </c>
      <c r="BC147" s="112">
        <f t="shared" si="639"/>
        <v>141</v>
      </c>
      <c r="BD147" s="112">
        <f t="shared" si="639"/>
        <v>141</v>
      </c>
      <c r="BE147" s="112">
        <f t="shared" si="639"/>
        <v>142</v>
      </c>
      <c r="BF147" s="112">
        <f t="shared" si="639"/>
        <v>142</v>
      </c>
      <c r="BJ147" s="116">
        <f t="shared" si="631"/>
        <v>138</v>
      </c>
    </row>
    <row r="148" spans="2:62" hidden="1" outlineLevel="2">
      <c r="B148" s="25" t="s">
        <v>43</v>
      </c>
      <c r="C148" s="102">
        <f t="shared" ref="C148:M148" si="640">C164/C$6</f>
        <v>174.44191780821919</v>
      </c>
      <c r="D148" s="102">
        <f t="shared" si="640"/>
        <v>200.23342465753424</v>
      </c>
      <c r="E148" s="102">
        <f t="shared" si="640"/>
        <v>200.75382513661199</v>
      </c>
      <c r="F148" s="102">
        <f t="shared" si="640"/>
        <v>176.94301369863012</v>
      </c>
      <c r="G148" s="102">
        <f t="shared" si="640"/>
        <v>196.59452054794519</v>
      </c>
      <c r="H148" s="102">
        <f t="shared" si="640"/>
        <v>104.76164383561644</v>
      </c>
      <c r="I148" s="102">
        <f t="shared" si="640"/>
        <v>53.021857923497265</v>
      </c>
      <c r="J148" s="102">
        <f t="shared" si="640"/>
        <v>95.317808219178076</v>
      </c>
      <c r="K148" s="102">
        <f t="shared" si="640"/>
        <v>110.52876712328766</v>
      </c>
      <c r="L148" s="102">
        <f t="shared" si="640"/>
        <v>122.78082191780823</v>
      </c>
      <c r="M148" s="102">
        <f t="shared" si="640"/>
        <v>130</v>
      </c>
      <c r="O148" s="113">
        <v>158.6</v>
      </c>
      <c r="P148" s="113">
        <v>172.3</v>
      </c>
      <c r="Q148" s="113">
        <v>182.2</v>
      </c>
      <c r="R148" s="113">
        <v>184.3</v>
      </c>
      <c r="S148" s="113">
        <v>187.9</v>
      </c>
      <c r="T148" s="113">
        <v>194.2</v>
      </c>
      <c r="U148" s="113">
        <v>201.8</v>
      </c>
      <c r="V148" s="113">
        <v>216.7</v>
      </c>
      <c r="W148" s="113">
        <v>219</v>
      </c>
      <c r="X148" s="113">
        <v>217.9</v>
      </c>
      <c r="Y148" s="113">
        <v>193.8</v>
      </c>
      <c r="Z148" s="113">
        <v>172.7</v>
      </c>
      <c r="AA148" s="113">
        <v>169.5</v>
      </c>
      <c r="AB148" s="113">
        <v>176</v>
      </c>
      <c r="AC148" s="113">
        <v>179</v>
      </c>
      <c r="AD148" s="113">
        <v>183.1</v>
      </c>
      <c r="AE148" s="113">
        <v>187.2</v>
      </c>
      <c r="AF148" s="113">
        <v>199</v>
      </c>
      <c r="AG148" s="114">
        <f>SUM(AG149:AG150)</f>
        <v>202</v>
      </c>
      <c r="AH148" s="115">
        <v>198</v>
      </c>
      <c r="AI148" s="115">
        <v>149</v>
      </c>
      <c r="AJ148" s="115">
        <v>104</v>
      </c>
      <c r="AK148" s="115">
        <v>89</v>
      </c>
      <c r="AL148" s="115">
        <v>78</v>
      </c>
      <c r="AM148" s="115">
        <v>54</v>
      </c>
      <c r="AN148" s="115">
        <v>44</v>
      </c>
      <c r="AO148" s="115">
        <v>50</v>
      </c>
      <c r="AP148" s="115">
        <v>64</v>
      </c>
      <c r="AQ148" s="115">
        <v>83</v>
      </c>
      <c r="AR148" s="115">
        <v>95</v>
      </c>
      <c r="AS148" s="103">
        <v>102</v>
      </c>
      <c r="AT148" s="103">
        <v>101</v>
      </c>
      <c r="AU148" s="112">
        <f t="shared" ref="AU148:BF148" si="641">AU149+AU150</f>
        <v>106</v>
      </c>
      <c r="AV148" s="112">
        <f t="shared" si="641"/>
        <v>109</v>
      </c>
      <c r="AW148" s="112">
        <f t="shared" si="641"/>
        <v>112</v>
      </c>
      <c r="AX148" s="112">
        <f t="shared" si="641"/>
        <v>115</v>
      </c>
      <c r="AY148" s="112">
        <f t="shared" si="641"/>
        <v>118</v>
      </c>
      <c r="AZ148" s="112">
        <f t="shared" si="641"/>
        <v>121</v>
      </c>
      <c r="BA148" s="112">
        <f t="shared" si="641"/>
        <v>124</v>
      </c>
      <c r="BB148" s="112">
        <f t="shared" si="641"/>
        <v>128</v>
      </c>
      <c r="BC148" s="112">
        <f t="shared" si="641"/>
        <v>130</v>
      </c>
      <c r="BD148" s="112">
        <f t="shared" si="641"/>
        <v>130</v>
      </c>
      <c r="BE148" s="112">
        <f t="shared" si="641"/>
        <v>130</v>
      </c>
      <c r="BF148" s="112">
        <f t="shared" si="641"/>
        <v>130</v>
      </c>
      <c r="BJ148" s="116">
        <f t="shared" si="631"/>
        <v>139</v>
      </c>
    </row>
    <row r="149" spans="2:62" hidden="1" outlineLevel="2">
      <c r="B149" s="26" t="s">
        <v>44</v>
      </c>
      <c r="C149" s="102">
        <f t="shared" ref="C149:L150" si="642">C194/C$6</f>
        <v>0</v>
      </c>
      <c r="D149" s="102">
        <f t="shared" si="642"/>
        <v>0</v>
      </c>
      <c r="E149" s="102">
        <f t="shared" si="642"/>
        <v>0</v>
      </c>
      <c r="F149" s="102">
        <f t="shared" si="642"/>
        <v>129.56164383561645</v>
      </c>
      <c r="G149" s="102">
        <f t="shared" si="642"/>
        <v>149.78356164383561</v>
      </c>
      <c r="H149" s="102">
        <f t="shared" si="642"/>
        <v>91.07397260273973</v>
      </c>
      <c r="I149" s="102">
        <f t="shared" si="642"/>
        <v>51.397540983606561</v>
      </c>
      <c r="J149" s="102">
        <f t="shared" si="642"/>
        <v>92.06575342465753</v>
      </c>
      <c r="K149" s="102">
        <f t="shared" si="642"/>
        <v>106.77260273972603</v>
      </c>
      <c r="L149" s="102">
        <f t="shared" si="642"/>
        <v>115.01917808219179</v>
      </c>
      <c r="M149" s="102">
        <f t="shared" ref="M149:M150" si="643">M194/M$6</f>
        <v>120</v>
      </c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>
        <v>119</v>
      </c>
      <c r="AB149" s="113">
        <v>128</v>
      </c>
      <c r="AC149" s="113">
        <v>132</v>
      </c>
      <c r="AD149" s="113">
        <v>139</v>
      </c>
      <c r="AE149" s="113">
        <v>144</v>
      </c>
      <c r="AF149" s="113">
        <v>149</v>
      </c>
      <c r="AG149" s="113">
        <v>152</v>
      </c>
      <c r="AH149" s="104">
        <v>154</v>
      </c>
      <c r="AI149" s="104">
        <v>123</v>
      </c>
      <c r="AJ149" s="104">
        <v>92</v>
      </c>
      <c r="AK149" s="104">
        <v>79</v>
      </c>
      <c r="AL149" s="104">
        <v>71</v>
      </c>
      <c r="AM149" s="104">
        <v>51</v>
      </c>
      <c r="AN149" s="104">
        <v>43.5</v>
      </c>
      <c r="AO149" s="104">
        <v>49</v>
      </c>
      <c r="AP149" s="104">
        <f>56+6</f>
        <v>62</v>
      </c>
      <c r="AQ149" s="104">
        <v>80</v>
      </c>
      <c r="AR149" s="104">
        <v>92</v>
      </c>
      <c r="AS149" s="104">
        <f>86+12</f>
        <v>98</v>
      </c>
      <c r="AT149" s="104">
        <v>98</v>
      </c>
      <c r="AU149" s="160">
        <f t="shared" ref="AU149:BF150" si="644">AU187</f>
        <v>103</v>
      </c>
      <c r="AV149" s="160">
        <f t="shared" si="644"/>
        <v>106</v>
      </c>
      <c r="AW149" s="160">
        <f t="shared" si="644"/>
        <v>108</v>
      </c>
      <c r="AX149" s="160">
        <f t="shared" si="644"/>
        <v>110</v>
      </c>
      <c r="AY149" s="160">
        <f t="shared" si="644"/>
        <v>112</v>
      </c>
      <c r="AZ149" s="160">
        <f t="shared" si="644"/>
        <v>114</v>
      </c>
      <c r="BA149" s="160">
        <f t="shared" si="644"/>
        <v>116</v>
      </c>
      <c r="BB149" s="160">
        <f t="shared" si="644"/>
        <v>118</v>
      </c>
      <c r="BC149" s="160">
        <f t="shared" si="644"/>
        <v>120</v>
      </c>
      <c r="BD149" s="160">
        <f t="shared" si="644"/>
        <v>120</v>
      </c>
      <c r="BE149" s="160">
        <f t="shared" si="644"/>
        <v>120</v>
      </c>
      <c r="BF149" s="160">
        <f t="shared" si="644"/>
        <v>120</v>
      </c>
      <c r="BJ149" s="116">
        <f t="shared" si="631"/>
        <v>140</v>
      </c>
    </row>
    <row r="150" spans="2:62" hidden="1" outlineLevel="2">
      <c r="B150" s="26" t="s">
        <v>45</v>
      </c>
      <c r="C150" s="102">
        <f t="shared" si="642"/>
        <v>0</v>
      </c>
      <c r="D150" s="102">
        <f t="shared" si="642"/>
        <v>0</v>
      </c>
      <c r="E150" s="102">
        <f t="shared" si="642"/>
        <v>0</v>
      </c>
      <c r="F150" s="102">
        <f t="shared" si="642"/>
        <v>47.731506849315068</v>
      </c>
      <c r="G150" s="102">
        <f t="shared" si="642"/>
        <v>47.013698630136986</v>
      </c>
      <c r="H150" s="102">
        <f t="shared" si="642"/>
        <v>13.687671232876712</v>
      </c>
      <c r="I150" s="102">
        <f t="shared" si="642"/>
        <v>1.8756830601092895</v>
      </c>
      <c r="J150" s="102">
        <f t="shared" si="642"/>
        <v>3</v>
      </c>
      <c r="K150" s="102">
        <f t="shared" si="642"/>
        <v>3.7561643835616438</v>
      </c>
      <c r="L150" s="102">
        <f t="shared" si="642"/>
        <v>7.7616438356164386</v>
      </c>
      <c r="M150" s="102">
        <f t="shared" si="643"/>
        <v>10</v>
      </c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>
        <v>51</v>
      </c>
      <c r="AB150" s="113">
        <v>48</v>
      </c>
      <c r="AC150" s="113">
        <v>47</v>
      </c>
      <c r="AD150" s="113">
        <v>45</v>
      </c>
      <c r="AE150" s="113">
        <v>43</v>
      </c>
      <c r="AF150" s="113">
        <v>50</v>
      </c>
      <c r="AG150" s="113">
        <v>50</v>
      </c>
      <c r="AH150" s="104">
        <v>45</v>
      </c>
      <c r="AI150" s="104">
        <v>26</v>
      </c>
      <c r="AJ150" s="104">
        <v>12</v>
      </c>
      <c r="AK150" s="104">
        <v>10</v>
      </c>
      <c r="AL150" s="104">
        <v>7</v>
      </c>
      <c r="AM150" s="104">
        <v>3</v>
      </c>
      <c r="AN150" s="104">
        <v>0.5</v>
      </c>
      <c r="AO150" s="104">
        <v>1</v>
      </c>
      <c r="AP150" s="104">
        <v>3</v>
      </c>
      <c r="AQ150" s="104">
        <v>3</v>
      </c>
      <c r="AR150" s="104">
        <v>3</v>
      </c>
      <c r="AS150" s="104">
        <v>3</v>
      </c>
      <c r="AT150" s="104">
        <v>3</v>
      </c>
      <c r="AU150" s="160">
        <f t="shared" si="644"/>
        <v>3</v>
      </c>
      <c r="AV150" s="160">
        <f t="shared" si="644"/>
        <v>3</v>
      </c>
      <c r="AW150" s="160">
        <f t="shared" si="644"/>
        <v>4</v>
      </c>
      <c r="AX150" s="160">
        <f t="shared" si="644"/>
        <v>5</v>
      </c>
      <c r="AY150" s="160">
        <f t="shared" si="644"/>
        <v>6</v>
      </c>
      <c r="AZ150" s="160">
        <f t="shared" si="644"/>
        <v>7</v>
      </c>
      <c r="BA150" s="160">
        <f t="shared" si="644"/>
        <v>8</v>
      </c>
      <c r="BB150" s="160">
        <f t="shared" si="644"/>
        <v>10</v>
      </c>
      <c r="BC150" s="160">
        <f t="shared" si="644"/>
        <v>10</v>
      </c>
      <c r="BD150" s="160">
        <f t="shared" si="644"/>
        <v>10</v>
      </c>
      <c r="BE150" s="160">
        <f t="shared" si="644"/>
        <v>10</v>
      </c>
      <c r="BF150" s="160">
        <f t="shared" si="644"/>
        <v>10</v>
      </c>
      <c r="BJ150" s="116">
        <f t="shared" si="631"/>
        <v>141</v>
      </c>
    </row>
    <row r="151" spans="2:62" hidden="1" outlineLevel="2">
      <c r="B151" s="25" t="s">
        <v>47</v>
      </c>
      <c r="C151" s="102">
        <f>C165/C$6</f>
        <v>9.4065753424657537</v>
      </c>
      <c r="D151" s="102">
        <f t="shared" ref="D151:M151" si="645">D165/D$6</f>
        <v>9.5589041095890419</v>
      </c>
      <c r="E151" s="102">
        <f t="shared" si="645"/>
        <v>12.774043715846995</v>
      </c>
      <c r="F151" s="102">
        <f t="shared" si="645"/>
        <v>13.187397260273972</v>
      </c>
      <c r="G151" s="102">
        <f t="shared" si="645"/>
        <v>9.9369863013698634</v>
      </c>
      <c r="H151" s="102">
        <f t="shared" si="645"/>
        <v>7.4958904109589044</v>
      </c>
      <c r="I151" s="102">
        <f t="shared" si="645"/>
        <v>4.9945355191256828</v>
      </c>
      <c r="J151" s="102">
        <f t="shared" si="645"/>
        <v>2.7479452054794522</v>
      </c>
      <c r="K151" s="102">
        <f t="shared" si="645"/>
        <v>3.7534246575342465</v>
      </c>
      <c r="L151" s="102">
        <f t="shared" si="645"/>
        <v>5.5041095890410956</v>
      </c>
      <c r="M151" s="102">
        <f t="shared" si="645"/>
        <v>7</v>
      </c>
      <c r="O151" s="113">
        <v>12</v>
      </c>
      <c r="P151" s="113">
        <v>11</v>
      </c>
      <c r="Q151" s="113">
        <v>8.1999999999999993</v>
      </c>
      <c r="R151" s="113">
        <v>6.5</v>
      </c>
      <c r="S151" s="113">
        <v>8</v>
      </c>
      <c r="T151" s="113">
        <v>9.4</v>
      </c>
      <c r="U151" s="113">
        <v>10.8</v>
      </c>
      <c r="V151" s="113">
        <v>10</v>
      </c>
      <c r="W151" s="113">
        <v>11.9</v>
      </c>
      <c r="X151" s="113">
        <v>14</v>
      </c>
      <c r="Y151" s="113">
        <v>12.8</v>
      </c>
      <c r="Z151" s="113">
        <v>12.4</v>
      </c>
      <c r="AA151" s="113">
        <v>14.1</v>
      </c>
      <c r="AB151" s="113">
        <v>16</v>
      </c>
      <c r="AC151" s="113">
        <v>12</v>
      </c>
      <c r="AD151" s="113">
        <v>10.7</v>
      </c>
      <c r="AE151" s="113">
        <v>11.8</v>
      </c>
      <c r="AF151" s="113">
        <v>11</v>
      </c>
      <c r="AG151" s="113">
        <v>9</v>
      </c>
      <c r="AH151" s="104">
        <v>8</v>
      </c>
      <c r="AI151" s="104">
        <v>8</v>
      </c>
      <c r="AJ151" s="104">
        <v>8</v>
      </c>
      <c r="AK151" s="104">
        <v>7</v>
      </c>
      <c r="AL151" s="104">
        <v>7</v>
      </c>
      <c r="AM151" s="104">
        <v>6</v>
      </c>
      <c r="AN151" s="104">
        <v>6</v>
      </c>
      <c r="AO151" s="104">
        <v>4</v>
      </c>
      <c r="AP151" s="104">
        <v>4</v>
      </c>
      <c r="AQ151" s="104">
        <v>3</v>
      </c>
      <c r="AR151" s="104">
        <v>3</v>
      </c>
      <c r="AS151" s="104">
        <v>3</v>
      </c>
      <c r="AT151" s="104">
        <v>2</v>
      </c>
      <c r="AU151" s="160">
        <f t="shared" ref="AU151:BF151" si="646">AU216</f>
        <v>3</v>
      </c>
      <c r="AV151" s="160">
        <f t="shared" si="646"/>
        <v>4</v>
      </c>
      <c r="AW151" s="160">
        <f t="shared" si="646"/>
        <v>4</v>
      </c>
      <c r="AX151" s="160">
        <f t="shared" si="646"/>
        <v>4</v>
      </c>
      <c r="AY151" s="160">
        <f t="shared" si="646"/>
        <v>5</v>
      </c>
      <c r="AZ151" s="160">
        <f t="shared" si="646"/>
        <v>5</v>
      </c>
      <c r="BA151" s="160">
        <f t="shared" si="646"/>
        <v>6</v>
      </c>
      <c r="BB151" s="160">
        <f t="shared" si="646"/>
        <v>6</v>
      </c>
      <c r="BC151" s="160">
        <f t="shared" si="646"/>
        <v>7</v>
      </c>
      <c r="BD151" s="160">
        <f t="shared" si="646"/>
        <v>7</v>
      </c>
      <c r="BE151" s="160">
        <f t="shared" si="646"/>
        <v>7</v>
      </c>
      <c r="BF151" s="160">
        <f t="shared" si="646"/>
        <v>7</v>
      </c>
      <c r="BJ151" s="116">
        <f t="shared" si="631"/>
        <v>142</v>
      </c>
    </row>
    <row r="152" spans="2:62" hidden="1" outlineLevel="2">
      <c r="B152" s="25" t="s">
        <v>48</v>
      </c>
      <c r="C152" s="102">
        <f>C166/C$6</f>
        <v>7.4394520547945211</v>
      </c>
      <c r="D152" s="102">
        <f t="shared" ref="D152:M152" si="647">D166/D$6</f>
        <v>4.8736986301369862</v>
      </c>
      <c r="E152" s="102">
        <f t="shared" si="647"/>
        <v>5.5961748633879775</v>
      </c>
      <c r="F152" s="102">
        <f t="shared" si="647"/>
        <v>5.145753424657534</v>
      </c>
      <c r="G152" s="102">
        <f t="shared" si="647"/>
        <v>6.1424657534246574</v>
      </c>
      <c r="H152" s="102">
        <f t="shared" si="647"/>
        <v>7.9890410958904106</v>
      </c>
      <c r="I152" s="102">
        <f t="shared" si="647"/>
        <v>3.8240437158469942</v>
      </c>
      <c r="J152" s="102">
        <f t="shared" si="647"/>
        <v>3</v>
      </c>
      <c r="K152" s="102">
        <f t="shared" si="647"/>
        <v>3.4986301369863013</v>
      </c>
      <c r="L152" s="102">
        <f t="shared" si="647"/>
        <v>4.5041095890410956</v>
      </c>
      <c r="M152" s="102">
        <f t="shared" si="647"/>
        <v>4.5027322404371581</v>
      </c>
      <c r="O152" s="113">
        <v>9.1</v>
      </c>
      <c r="P152" s="113">
        <v>8</v>
      </c>
      <c r="Q152" s="113">
        <v>6.7</v>
      </c>
      <c r="R152" s="113">
        <v>6</v>
      </c>
      <c r="S152" s="113">
        <v>5.3</v>
      </c>
      <c r="T152" s="113">
        <v>4.5</v>
      </c>
      <c r="U152" s="113">
        <v>4.7</v>
      </c>
      <c r="V152" s="113">
        <v>5</v>
      </c>
      <c r="W152" s="113">
        <v>8.1999999999999993</v>
      </c>
      <c r="X152" s="113">
        <v>4.4000000000000004</v>
      </c>
      <c r="Y152" s="113">
        <v>4.5999999999999996</v>
      </c>
      <c r="Z152" s="113">
        <v>5.2</v>
      </c>
      <c r="AA152" s="113">
        <v>6</v>
      </c>
      <c r="AB152" s="113">
        <v>5</v>
      </c>
      <c r="AC152" s="113">
        <v>5</v>
      </c>
      <c r="AD152" s="113">
        <v>4.5999999999999996</v>
      </c>
      <c r="AE152" s="113">
        <v>7.6</v>
      </c>
      <c r="AF152" s="113">
        <v>6</v>
      </c>
      <c r="AG152" s="113">
        <v>5</v>
      </c>
      <c r="AH152" s="113">
        <v>6</v>
      </c>
      <c r="AI152" s="113">
        <v>10</v>
      </c>
      <c r="AJ152" s="113">
        <v>8</v>
      </c>
      <c r="AK152" s="113">
        <v>7</v>
      </c>
      <c r="AL152" s="113">
        <v>7</v>
      </c>
      <c r="AM152" s="113">
        <v>5</v>
      </c>
      <c r="AN152" s="113">
        <v>3</v>
      </c>
      <c r="AO152" s="113">
        <v>3.3</v>
      </c>
      <c r="AP152" s="113">
        <v>4</v>
      </c>
      <c r="AQ152" s="113">
        <v>3</v>
      </c>
      <c r="AR152" s="113">
        <v>3</v>
      </c>
      <c r="AS152" s="113">
        <v>3</v>
      </c>
      <c r="AT152" s="113">
        <v>3</v>
      </c>
      <c r="AU152" s="160">
        <f t="shared" ref="AU152:BF152" si="648">AU217</f>
        <v>4</v>
      </c>
      <c r="AV152" s="160">
        <f t="shared" si="648"/>
        <v>3</v>
      </c>
      <c r="AW152" s="160">
        <f t="shared" si="648"/>
        <v>3</v>
      </c>
      <c r="AX152" s="160">
        <f t="shared" si="648"/>
        <v>4</v>
      </c>
      <c r="AY152" s="160">
        <f t="shared" si="648"/>
        <v>4</v>
      </c>
      <c r="AZ152" s="160">
        <f t="shared" si="648"/>
        <v>4</v>
      </c>
      <c r="BA152" s="160">
        <f t="shared" si="648"/>
        <v>5</v>
      </c>
      <c r="BB152" s="160">
        <f t="shared" si="648"/>
        <v>5</v>
      </c>
      <c r="BC152" s="160">
        <f t="shared" si="648"/>
        <v>4</v>
      </c>
      <c r="BD152" s="160">
        <f t="shared" si="648"/>
        <v>4</v>
      </c>
      <c r="BE152" s="160">
        <f t="shared" si="648"/>
        <v>5</v>
      </c>
      <c r="BF152" s="160">
        <f t="shared" si="648"/>
        <v>5</v>
      </c>
      <c r="BJ152" s="116">
        <f t="shared" si="631"/>
        <v>143</v>
      </c>
    </row>
    <row r="153" spans="2:62" hidden="1" outlineLevel="2">
      <c r="B153" s="11"/>
      <c r="BJ153" s="116">
        <f t="shared" si="631"/>
        <v>144</v>
      </c>
    </row>
    <row r="154" spans="2:62" hidden="1" outlineLevel="2">
      <c r="B154" s="10" t="s">
        <v>50</v>
      </c>
      <c r="C154" s="50">
        <f>IFERROR(AVERAGEIFS($O154:$BG154,$O$5:$BG$5,C$5),0)</f>
        <v>0</v>
      </c>
      <c r="D154" s="50">
        <f t="shared" ref="D154:M154" si="649">IFERROR(AVERAGEIFS($O154:$BG154,$O$5:$BG$5,D$5),0)</f>
        <v>0</v>
      </c>
      <c r="E154" s="50">
        <f t="shared" si="649"/>
        <v>0</v>
      </c>
      <c r="F154" s="50">
        <f t="shared" si="649"/>
        <v>0</v>
      </c>
      <c r="G154" s="50">
        <f t="shared" si="649"/>
        <v>114.33333333333333</v>
      </c>
      <c r="H154" s="50">
        <f t="shared" si="649"/>
        <v>71.25</v>
      </c>
      <c r="I154" s="50">
        <f t="shared" si="649"/>
        <v>30.25</v>
      </c>
      <c r="J154" s="50">
        <f t="shared" si="649"/>
        <v>6.25</v>
      </c>
      <c r="K154" s="50">
        <f t="shared" si="649"/>
        <v>0</v>
      </c>
      <c r="L154" s="50">
        <f t="shared" si="649"/>
        <v>0</v>
      </c>
      <c r="M154" s="50">
        <f t="shared" si="649"/>
        <v>0</v>
      </c>
      <c r="O154" s="116"/>
      <c r="P154" s="116"/>
      <c r="Q154" s="116"/>
      <c r="R154" s="116"/>
      <c r="S154" s="116"/>
      <c r="T154" s="116"/>
      <c r="U154" s="116"/>
      <c r="V154" s="116"/>
      <c r="W154" s="116"/>
      <c r="X154" s="116"/>
      <c r="Y154" s="116"/>
      <c r="Z154" s="116"/>
      <c r="AA154" s="116"/>
      <c r="AB154" s="116"/>
      <c r="AC154" s="116"/>
      <c r="AD154" s="116"/>
      <c r="AE154" s="116"/>
      <c r="AF154" s="104">
        <v>117</v>
      </c>
      <c r="AG154" s="104">
        <f>AF154-(40-24)</f>
        <v>101</v>
      </c>
      <c r="AH154" s="104">
        <v>125</v>
      </c>
      <c r="AI154" s="104">
        <v>100</v>
      </c>
      <c r="AJ154" s="104">
        <v>80</v>
      </c>
      <c r="AK154" s="104">
        <v>60</v>
      </c>
      <c r="AL154" s="104">
        <v>45</v>
      </c>
      <c r="AM154" s="103">
        <v>35</v>
      </c>
      <c r="AN154" s="103">
        <v>30</v>
      </c>
      <c r="AO154" s="103">
        <v>26</v>
      </c>
      <c r="AP154" s="103">
        <v>30</v>
      </c>
      <c r="AQ154" s="103">
        <v>25</v>
      </c>
      <c r="AR154" s="238">
        <v>0</v>
      </c>
      <c r="AS154" s="238">
        <v>0</v>
      </c>
      <c r="AT154" s="238">
        <v>0</v>
      </c>
      <c r="AU154" s="238">
        <v>0</v>
      </c>
      <c r="AV154" s="238">
        <v>0</v>
      </c>
      <c r="AW154" s="238">
        <v>0</v>
      </c>
      <c r="AX154" s="238">
        <v>0</v>
      </c>
      <c r="AY154" s="238">
        <v>0</v>
      </c>
      <c r="AZ154" s="238">
        <v>0</v>
      </c>
      <c r="BA154" s="238">
        <v>0</v>
      </c>
      <c r="BB154" s="238">
        <v>0</v>
      </c>
      <c r="BC154" s="238">
        <v>0</v>
      </c>
      <c r="BD154" s="238">
        <v>0</v>
      </c>
      <c r="BE154" s="238">
        <v>0</v>
      </c>
      <c r="BF154" s="238">
        <v>0</v>
      </c>
      <c r="BJ154" s="116">
        <f t="shared" si="631"/>
        <v>145</v>
      </c>
    </row>
    <row r="155" spans="2:62" hidden="1" outlineLevel="2">
      <c r="B155" s="11"/>
      <c r="BJ155" s="116">
        <f t="shared" si="631"/>
        <v>146</v>
      </c>
    </row>
    <row r="156" spans="2:62" hidden="1" outlineLevel="2">
      <c r="B156" s="10" t="s">
        <v>51</v>
      </c>
      <c r="C156" s="93">
        <f>+C147/C139</f>
        <v>0.52122055914299581</v>
      </c>
      <c r="D156" s="93">
        <f t="shared" ref="D156:M156" si="650">+D147/D139</f>
        <v>0.61028010631772645</v>
      </c>
      <c r="E156" s="93">
        <f t="shared" si="650"/>
        <v>0.64071357811651175</v>
      </c>
      <c r="F156" s="93">
        <f t="shared" si="650"/>
        <v>0.63920184740936714</v>
      </c>
      <c r="G156" s="93">
        <f t="shared" si="650"/>
        <v>0.69901059195641646</v>
      </c>
      <c r="H156" s="93">
        <f t="shared" si="650"/>
        <v>0.42602861060218156</v>
      </c>
      <c r="I156" s="93">
        <f t="shared" si="650"/>
        <v>0.24637624365924279</v>
      </c>
      <c r="J156" s="93">
        <f t="shared" si="650"/>
        <v>0.42198644436182686</v>
      </c>
      <c r="K156" s="93">
        <f t="shared" si="650"/>
        <v>0.48469474040250299</v>
      </c>
      <c r="L156" s="93">
        <f t="shared" si="650"/>
        <v>0.54645695924234738</v>
      </c>
      <c r="M156" s="93">
        <f t="shared" si="650"/>
        <v>0.58231577053677841</v>
      </c>
      <c r="O156" s="93">
        <f>+O147/O139</f>
        <v>0.48964577656675745</v>
      </c>
      <c r="P156" s="93">
        <f t="shared" ref="P156:BF156" si="651">+P147/P139</f>
        <v>0.52125340599455039</v>
      </c>
      <c r="Q156" s="93">
        <f t="shared" si="651"/>
        <v>0.53705722070844675</v>
      </c>
      <c r="R156" s="93">
        <f t="shared" si="651"/>
        <v>0.53623978201634881</v>
      </c>
      <c r="S156" s="93">
        <f t="shared" si="651"/>
        <v>0.54378378378378378</v>
      </c>
      <c r="T156" s="93">
        <f t="shared" si="651"/>
        <v>0.55641711229946522</v>
      </c>
      <c r="U156" s="93">
        <f t="shared" si="651"/>
        <v>0.66250000000000009</v>
      </c>
      <c r="V156" s="93">
        <f t="shared" si="651"/>
        <v>0.69164179104477608</v>
      </c>
      <c r="W156" s="93">
        <f t="shared" si="651"/>
        <v>0.68904899135446684</v>
      </c>
      <c r="X156" s="93">
        <f t="shared" si="651"/>
        <v>0.66005586592178778</v>
      </c>
      <c r="Y156" s="93">
        <f t="shared" si="651"/>
        <v>0.59492957746478881</v>
      </c>
      <c r="Z156" s="93">
        <f t="shared" si="651"/>
        <v>0.61785714285714277</v>
      </c>
      <c r="AA156" s="93">
        <f t="shared" si="651"/>
        <v>0.62368421052631573</v>
      </c>
      <c r="AB156" s="93">
        <f t="shared" si="651"/>
        <v>0.64379084967320266</v>
      </c>
      <c r="AC156" s="93">
        <f t="shared" si="651"/>
        <v>0.6384364820846905</v>
      </c>
      <c r="AD156" s="93">
        <f t="shared" si="651"/>
        <v>0.6504918032786885</v>
      </c>
      <c r="AE156" s="93">
        <f t="shared" si="651"/>
        <v>0.66860841423948214</v>
      </c>
      <c r="AF156" s="93">
        <f t="shared" si="651"/>
        <v>0.69902912621359226</v>
      </c>
      <c r="AG156" s="93">
        <f t="shared" si="651"/>
        <v>0.69453376205787787</v>
      </c>
      <c r="AH156" s="93">
        <f t="shared" si="651"/>
        <v>0.73680555555555549</v>
      </c>
      <c r="AI156" s="93">
        <f t="shared" si="651"/>
        <v>0.57594501718213054</v>
      </c>
      <c r="AJ156" s="93">
        <f t="shared" si="651"/>
        <v>0.40784982935153585</v>
      </c>
      <c r="AK156" s="93">
        <f t="shared" si="651"/>
        <v>0.35153583617747441</v>
      </c>
      <c r="AL156" s="93">
        <f t="shared" si="651"/>
        <v>0.3611111111111111</v>
      </c>
      <c r="AM156" s="93">
        <f t="shared" si="651"/>
        <v>0.25450980392156863</v>
      </c>
      <c r="AN156" s="93">
        <f t="shared" si="651"/>
        <v>0.21058823529411766</v>
      </c>
      <c r="AO156" s="93">
        <f t="shared" si="651"/>
        <v>0.22209302325581395</v>
      </c>
      <c r="AP156" s="93">
        <f t="shared" si="651"/>
        <v>0.30550847457627117</v>
      </c>
      <c r="AQ156" s="93">
        <f t="shared" si="651"/>
        <v>0.373109243697479</v>
      </c>
      <c r="AR156" s="93">
        <f t="shared" ref="AR156:AS156" si="652">+AR147/AR139</f>
        <v>0.41916666666666663</v>
      </c>
      <c r="AS156" s="93">
        <f t="shared" si="652"/>
        <v>0.44666666666666666</v>
      </c>
      <c r="AT156" s="93">
        <f t="shared" ref="AT156" si="653">+AT147/AT139</f>
        <v>0.44291666666666668</v>
      </c>
      <c r="AU156" s="93">
        <f t="shared" si="651"/>
        <v>0.46502057613168724</v>
      </c>
      <c r="AV156" s="93">
        <f t="shared" si="651"/>
        <v>0.47736625514403291</v>
      </c>
      <c r="AW156" s="93">
        <f t="shared" si="651"/>
        <v>0.48971193415637859</v>
      </c>
      <c r="AX156" s="93">
        <f t="shared" si="651"/>
        <v>0.50617283950617287</v>
      </c>
      <c r="AY156" s="93">
        <f t="shared" si="651"/>
        <v>0.52263374485596703</v>
      </c>
      <c r="AZ156" s="93">
        <f t="shared" si="651"/>
        <v>0.53497942386831276</v>
      </c>
      <c r="BA156" s="93">
        <f t="shared" si="651"/>
        <v>0.55555555555555558</v>
      </c>
      <c r="BB156" s="93">
        <f t="shared" si="651"/>
        <v>0.57201646090534974</v>
      </c>
      <c r="BC156" s="93">
        <f t="shared" si="651"/>
        <v>0.58024691358024694</v>
      </c>
      <c r="BD156" s="93">
        <f t="shared" si="651"/>
        <v>0.58024691358024694</v>
      </c>
      <c r="BE156" s="93">
        <f t="shared" si="651"/>
        <v>0.58436213991769548</v>
      </c>
      <c r="BF156" s="93">
        <f t="shared" si="651"/>
        <v>0.58436213991769548</v>
      </c>
      <c r="BJ156" s="116">
        <f t="shared" si="631"/>
        <v>147</v>
      </c>
    </row>
    <row r="157" spans="2:62" hidden="1" outlineLevel="2">
      <c r="B157" s="25" t="s">
        <v>43</v>
      </c>
      <c r="C157" s="93">
        <f>+C148/C140</f>
        <v>0.54855948996295345</v>
      </c>
      <c r="D157" s="93">
        <f t="shared" ref="D157:M157" si="654">+D148/D140</f>
        <v>0.66138207979367214</v>
      </c>
      <c r="E157" s="93">
        <f t="shared" si="654"/>
        <v>0.68458252391001528</v>
      </c>
      <c r="F157" s="93">
        <f t="shared" si="654"/>
        <v>0.67342726431448197</v>
      </c>
      <c r="G157" s="93">
        <f t="shared" si="654"/>
        <v>0.73838317576693036</v>
      </c>
      <c r="H157" s="93">
        <f t="shared" si="654"/>
        <v>0.42370735626134048</v>
      </c>
      <c r="I157" s="93">
        <f t="shared" si="654"/>
        <v>0.24349877347185886</v>
      </c>
      <c r="J157" s="93">
        <f t="shared" si="654"/>
        <v>0.4593629311767618</v>
      </c>
      <c r="K157" s="93">
        <f t="shared" si="654"/>
        <v>0.5189143996398482</v>
      </c>
      <c r="L157" s="93">
        <f t="shared" si="654"/>
        <v>0.5764357836516818</v>
      </c>
      <c r="M157" s="93">
        <f t="shared" si="654"/>
        <v>0.61032863849765262</v>
      </c>
      <c r="O157" s="93">
        <f>+O148/O140</f>
        <v>0.49874213836477987</v>
      </c>
      <c r="P157" s="93">
        <f t="shared" ref="P157:BF157" si="655">+P148/P140</f>
        <v>0.54182389937106923</v>
      </c>
      <c r="Q157" s="93">
        <f t="shared" si="655"/>
        <v>0.57295597484276728</v>
      </c>
      <c r="R157" s="93">
        <f t="shared" si="655"/>
        <v>0.57955974842767299</v>
      </c>
      <c r="S157" s="93">
        <f t="shared" si="655"/>
        <v>0.58535825545171338</v>
      </c>
      <c r="T157" s="93">
        <f t="shared" si="655"/>
        <v>0.59753846153846146</v>
      </c>
      <c r="U157" s="93">
        <f t="shared" si="655"/>
        <v>0.72329749103942653</v>
      </c>
      <c r="V157" s="93">
        <f t="shared" si="655"/>
        <v>0.75769230769230766</v>
      </c>
      <c r="W157" s="93">
        <f t="shared" si="655"/>
        <v>0.73986486486486491</v>
      </c>
      <c r="X157" s="93">
        <f t="shared" si="655"/>
        <v>0.70977198697068411</v>
      </c>
      <c r="Y157" s="93">
        <f t="shared" si="655"/>
        <v>0.63127035830618894</v>
      </c>
      <c r="Z157" s="93">
        <f t="shared" si="655"/>
        <v>0.6566539923954372</v>
      </c>
      <c r="AA157" s="93">
        <f t="shared" si="655"/>
        <v>0.64694656488549618</v>
      </c>
      <c r="AB157" s="93">
        <f t="shared" si="655"/>
        <v>0.66920152091254748</v>
      </c>
      <c r="AC157" s="93">
        <f t="shared" si="655"/>
        <v>0.67803030303030298</v>
      </c>
      <c r="AD157" s="93">
        <f t="shared" si="655"/>
        <v>0.69885496183206108</v>
      </c>
      <c r="AE157" s="93">
        <f t="shared" si="655"/>
        <v>0.70112359550561798</v>
      </c>
      <c r="AF157" s="93">
        <f t="shared" si="655"/>
        <v>0.73431734317343178</v>
      </c>
      <c r="AG157" s="93">
        <f t="shared" si="655"/>
        <v>0.73722627737226276</v>
      </c>
      <c r="AH157" s="93">
        <f t="shared" si="655"/>
        <v>0.78260869565217395</v>
      </c>
      <c r="AI157" s="93">
        <f t="shared" si="655"/>
        <v>0.58203125</v>
      </c>
      <c r="AJ157" s="93">
        <f t="shared" si="655"/>
        <v>0.40466926070038911</v>
      </c>
      <c r="AK157" s="93">
        <f t="shared" si="655"/>
        <v>0.34630350194552528</v>
      </c>
      <c r="AL157" s="93">
        <f t="shared" si="655"/>
        <v>0.35616438356164382</v>
      </c>
      <c r="AM157" s="93">
        <f t="shared" si="655"/>
        <v>0.24324324324324326</v>
      </c>
      <c r="AN157" s="93">
        <f t="shared" si="655"/>
        <v>0.1981981981981982</v>
      </c>
      <c r="AO157" s="93">
        <f t="shared" si="655"/>
        <v>0.22321428571428573</v>
      </c>
      <c r="AP157" s="93">
        <f t="shared" si="655"/>
        <v>0.31527093596059114</v>
      </c>
      <c r="AQ157" s="93">
        <f t="shared" si="655"/>
        <v>0.40487804878048783</v>
      </c>
      <c r="AR157" s="93">
        <f t="shared" ref="AR157:AS157" si="656">+AR148/AR140</f>
        <v>0.45893719806763283</v>
      </c>
      <c r="AS157" s="93">
        <f t="shared" si="656"/>
        <v>0.49038461538461536</v>
      </c>
      <c r="AT157" s="93">
        <f t="shared" ref="AT157" si="657">+AT148/AT140</f>
        <v>0.48095238095238096</v>
      </c>
      <c r="AU157" s="93">
        <f t="shared" si="655"/>
        <v>0.49765258215962443</v>
      </c>
      <c r="AV157" s="93">
        <f t="shared" si="655"/>
        <v>0.51173708920187788</v>
      </c>
      <c r="AW157" s="93">
        <f t="shared" si="655"/>
        <v>0.5258215962441315</v>
      </c>
      <c r="AX157" s="93">
        <f t="shared" si="655"/>
        <v>0.539906103286385</v>
      </c>
      <c r="AY157" s="93">
        <f t="shared" si="655"/>
        <v>0.5539906103286385</v>
      </c>
      <c r="AZ157" s="93">
        <f t="shared" si="655"/>
        <v>0.568075117370892</v>
      </c>
      <c r="BA157" s="93">
        <f t="shared" si="655"/>
        <v>0.5821596244131455</v>
      </c>
      <c r="BB157" s="93">
        <f t="shared" si="655"/>
        <v>0.60093896713615025</v>
      </c>
      <c r="BC157" s="93">
        <f t="shared" si="655"/>
        <v>0.61032863849765262</v>
      </c>
      <c r="BD157" s="93">
        <f t="shared" si="655"/>
        <v>0.61032863849765262</v>
      </c>
      <c r="BE157" s="93">
        <f t="shared" si="655"/>
        <v>0.61032863849765262</v>
      </c>
      <c r="BF157" s="93">
        <f t="shared" si="655"/>
        <v>0.61032863849765262</v>
      </c>
      <c r="BJ157" s="116">
        <f t="shared" si="631"/>
        <v>148</v>
      </c>
    </row>
    <row r="158" spans="2:62" hidden="1" outlineLevel="2">
      <c r="B158" s="26" t="s">
        <v>44</v>
      </c>
      <c r="C158" s="93">
        <f>IFERROR(+C149/C141,0)</f>
        <v>0</v>
      </c>
      <c r="D158" s="93">
        <f t="shared" ref="D158:M158" si="658">IFERROR(+D149/D141,0)</f>
        <v>0</v>
      </c>
      <c r="E158" s="93">
        <f t="shared" si="658"/>
        <v>0</v>
      </c>
      <c r="F158" s="93">
        <f t="shared" si="658"/>
        <v>0.90761221601132369</v>
      </c>
      <c r="G158" s="93">
        <f t="shared" si="658"/>
        <v>0.9435184985438464</v>
      </c>
      <c r="H158" s="93">
        <f t="shared" si="658"/>
        <v>0.53027058283982376</v>
      </c>
      <c r="I158" s="93">
        <f t="shared" si="658"/>
        <v>0.29079231108122522</v>
      </c>
      <c r="J158" s="93">
        <f t="shared" si="658"/>
        <v>0.50172072710985027</v>
      </c>
      <c r="K158" s="93">
        <f t="shared" si="658"/>
        <v>0.56493440603029643</v>
      </c>
      <c r="L158" s="93">
        <f t="shared" si="658"/>
        <v>0.6085670797999565</v>
      </c>
      <c r="M158" s="93">
        <f t="shared" si="658"/>
        <v>0.63492063492063489</v>
      </c>
      <c r="O158" s="93">
        <f>IFERROR(+O149/O141,0)</f>
        <v>0</v>
      </c>
      <c r="P158" s="93">
        <f t="shared" ref="P158:BF158" si="659">IFERROR(+P149/P141,0)</f>
        <v>0</v>
      </c>
      <c r="Q158" s="93">
        <f t="shared" si="659"/>
        <v>0</v>
      </c>
      <c r="R158" s="93">
        <f t="shared" si="659"/>
        <v>0</v>
      </c>
      <c r="S158" s="93">
        <f t="shared" si="659"/>
        <v>0</v>
      </c>
      <c r="T158" s="93">
        <f t="shared" si="659"/>
        <v>0</v>
      </c>
      <c r="U158" s="93">
        <f t="shared" si="659"/>
        <v>0</v>
      </c>
      <c r="V158" s="93">
        <f t="shared" si="659"/>
        <v>0</v>
      </c>
      <c r="W158" s="93">
        <f t="shared" si="659"/>
        <v>0</v>
      </c>
      <c r="X158" s="93">
        <f t="shared" si="659"/>
        <v>0</v>
      </c>
      <c r="Y158" s="93">
        <f t="shared" si="659"/>
        <v>0</v>
      </c>
      <c r="Z158" s="93">
        <f t="shared" si="659"/>
        <v>0</v>
      </c>
      <c r="AA158" s="93">
        <f t="shared" si="659"/>
        <v>0.85</v>
      </c>
      <c r="AB158" s="93">
        <f t="shared" si="659"/>
        <v>0.90780141843971629</v>
      </c>
      <c r="AC158" s="93">
        <f t="shared" si="659"/>
        <v>0.92957746478873238</v>
      </c>
      <c r="AD158" s="93">
        <f t="shared" si="659"/>
        <v>0.93918918918918914</v>
      </c>
      <c r="AE158" s="93">
        <f t="shared" si="659"/>
        <v>0.94117647058823528</v>
      </c>
      <c r="AF158" s="93">
        <f t="shared" si="659"/>
        <v>0.94904458598726116</v>
      </c>
      <c r="AG158" s="93">
        <f t="shared" si="659"/>
        <v>0.95</v>
      </c>
      <c r="AH158" s="93">
        <f t="shared" si="659"/>
        <v>0.93333333333333335</v>
      </c>
      <c r="AI158" s="93">
        <f t="shared" si="659"/>
        <v>0.7192982456140351</v>
      </c>
      <c r="AJ158" s="93">
        <f t="shared" si="659"/>
        <v>0.53488372093023251</v>
      </c>
      <c r="AK158" s="93">
        <f t="shared" si="659"/>
        <v>0.45930232558139533</v>
      </c>
      <c r="AL158" s="93">
        <f t="shared" si="659"/>
        <v>0.41279069767441862</v>
      </c>
      <c r="AM158" s="93">
        <f t="shared" si="659"/>
        <v>0.29142857142857143</v>
      </c>
      <c r="AN158" s="93">
        <f t="shared" si="659"/>
        <v>0.24857142857142858</v>
      </c>
      <c r="AO158" s="93">
        <f t="shared" si="659"/>
        <v>0.2768361581920904</v>
      </c>
      <c r="AP158" s="93">
        <f t="shared" si="659"/>
        <v>0.34444444444444444</v>
      </c>
      <c r="AQ158" s="93">
        <f t="shared" si="659"/>
        <v>0.44198895027624308</v>
      </c>
      <c r="AR158" s="93">
        <f t="shared" ref="AR158:AS158" si="660">IFERROR(+AR149/AR141,0)</f>
        <v>0.50273224043715847</v>
      </c>
      <c r="AS158" s="93">
        <f t="shared" si="660"/>
        <v>0.53260869565217395</v>
      </c>
      <c r="AT158" s="93">
        <f t="shared" ref="AT158" si="661">IFERROR(+AT149/AT141,0)</f>
        <v>0.5268817204301075</v>
      </c>
      <c r="AU158" s="93">
        <f t="shared" si="659"/>
        <v>0.544973544973545</v>
      </c>
      <c r="AV158" s="93">
        <f t="shared" si="659"/>
        <v>0.56084656084656082</v>
      </c>
      <c r="AW158" s="93">
        <f t="shared" si="659"/>
        <v>0.5714285714285714</v>
      </c>
      <c r="AX158" s="93">
        <f t="shared" si="659"/>
        <v>0.58201058201058198</v>
      </c>
      <c r="AY158" s="93">
        <f t="shared" si="659"/>
        <v>0.59259259259259256</v>
      </c>
      <c r="AZ158" s="93">
        <f t="shared" si="659"/>
        <v>0.60317460317460314</v>
      </c>
      <c r="BA158" s="93">
        <f t="shared" si="659"/>
        <v>0.61375661375661372</v>
      </c>
      <c r="BB158" s="93">
        <f t="shared" si="659"/>
        <v>0.6243386243386243</v>
      </c>
      <c r="BC158" s="93">
        <f t="shared" si="659"/>
        <v>0.63492063492063489</v>
      </c>
      <c r="BD158" s="93">
        <f t="shared" si="659"/>
        <v>0.63492063492063489</v>
      </c>
      <c r="BE158" s="93">
        <f t="shared" si="659"/>
        <v>0.63492063492063489</v>
      </c>
      <c r="BF158" s="93">
        <f t="shared" si="659"/>
        <v>0.63492063492063489</v>
      </c>
      <c r="BJ158" s="116">
        <f t="shared" si="631"/>
        <v>149</v>
      </c>
    </row>
    <row r="159" spans="2:62" hidden="1" outlineLevel="2">
      <c r="B159" s="26" t="s">
        <v>45</v>
      </c>
      <c r="C159" s="93">
        <f>IFERROR(+C150/C142,0)</f>
        <v>0</v>
      </c>
      <c r="D159" s="93">
        <f t="shared" ref="D159:M159" si="662">IFERROR(+D150/D142,0)</f>
        <v>0</v>
      </c>
      <c r="E159" s="93">
        <f t="shared" si="662"/>
        <v>0</v>
      </c>
      <c r="F159" s="93">
        <f t="shared" si="662"/>
        <v>0.39776255707762559</v>
      </c>
      <c r="G159" s="93">
        <f t="shared" si="662"/>
        <v>0.43733673144313473</v>
      </c>
      <c r="H159" s="93">
        <f t="shared" si="662"/>
        <v>0.18129365871359884</v>
      </c>
      <c r="I159" s="93">
        <f t="shared" si="662"/>
        <v>4.5748367319738768E-2</v>
      </c>
      <c r="J159" s="93">
        <f t="shared" si="662"/>
        <v>0.125</v>
      </c>
      <c r="K159" s="93">
        <f t="shared" si="662"/>
        <v>0.1565068493150685</v>
      </c>
      <c r="L159" s="93">
        <f t="shared" si="662"/>
        <v>0.32340182648401827</v>
      </c>
      <c r="M159" s="93">
        <f t="shared" si="662"/>
        <v>0.41666666666666669</v>
      </c>
      <c r="O159" s="93">
        <f>IFERROR(+O150/O142,0)</f>
        <v>0</v>
      </c>
      <c r="P159" s="93">
        <f t="shared" ref="P159:BF159" si="663">IFERROR(+P150/P142,0)</f>
        <v>0</v>
      </c>
      <c r="Q159" s="93">
        <f t="shared" si="663"/>
        <v>0</v>
      </c>
      <c r="R159" s="93">
        <f t="shared" si="663"/>
        <v>0</v>
      </c>
      <c r="S159" s="93">
        <f t="shared" si="663"/>
        <v>0</v>
      </c>
      <c r="T159" s="93">
        <f t="shared" si="663"/>
        <v>0</v>
      </c>
      <c r="U159" s="93">
        <f t="shared" si="663"/>
        <v>0</v>
      </c>
      <c r="V159" s="93">
        <f t="shared" si="663"/>
        <v>0</v>
      </c>
      <c r="W159" s="93">
        <f t="shared" si="663"/>
        <v>0</v>
      </c>
      <c r="X159" s="93">
        <f t="shared" si="663"/>
        <v>0</v>
      </c>
      <c r="Y159" s="93">
        <f t="shared" si="663"/>
        <v>0</v>
      </c>
      <c r="Z159" s="93">
        <f t="shared" si="663"/>
        <v>0</v>
      </c>
      <c r="AA159" s="93">
        <f t="shared" si="663"/>
        <v>0.41803278688524592</v>
      </c>
      <c r="AB159" s="93">
        <f t="shared" si="663"/>
        <v>0.39344262295081966</v>
      </c>
      <c r="AC159" s="93">
        <f t="shared" si="663"/>
        <v>0.38524590163934425</v>
      </c>
      <c r="AD159" s="93">
        <f t="shared" si="663"/>
        <v>0.39473684210526316</v>
      </c>
      <c r="AE159" s="93">
        <f t="shared" si="663"/>
        <v>0.37719298245614036</v>
      </c>
      <c r="AF159" s="93">
        <f t="shared" si="663"/>
        <v>0.43859649122807015</v>
      </c>
      <c r="AG159" s="93">
        <f t="shared" si="663"/>
        <v>0.43859649122807015</v>
      </c>
      <c r="AH159" s="93">
        <f t="shared" si="663"/>
        <v>0.51136363636363635</v>
      </c>
      <c r="AI159" s="93">
        <f t="shared" si="663"/>
        <v>0.30588235294117649</v>
      </c>
      <c r="AJ159" s="93">
        <f t="shared" si="663"/>
        <v>0.14117647058823529</v>
      </c>
      <c r="AK159" s="93">
        <f t="shared" si="663"/>
        <v>0.11764705882352941</v>
      </c>
      <c r="AL159" s="93">
        <f t="shared" si="663"/>
        <v>0.14893617021276595</v>
      </c>
      <c r="AM159" s="93">
        <f t="shared" si="663"/>
        <v>6.3829787234042548E-2</v>
      </c>
      <c r="AN159" s="93">
        <f t="shared" si="663"/>
        <v>1.0638297872340425E-2</v>
      </c>
      <c r="AO159" s="93">
        <f t="shared" si="663"/>
        <v>2.1276595744680851E-2</v>
      </c>
      <c r="AP159" s="93">
        <f t="shared" si="663"/>
        <v>0.13043478260869565</v>
      </c>
      <c r="AQ159" s="93">
        <f t="shared" si="663"/>
        <v>0.125</v>
      </c>
      <c r="AR159" s="93">
        <f t="shared" ref="AR159:AS159" si="664">IFERROR(+AR150/AR142,0)</f>
        <v>0.125</v>
      </c>
      <c r="AS159" s="93">
        <f t="shared" si="664"/>
        <v>0.125</v>
      </c>
      <c r="AT159" s="93">
        <f t="shared" ref="AT159" si="665">IFERROR(+AT150/AT142,0)</f>
        <v>0.125</v>
      </c>
      <c r="AU159" s="93">
        <f t="shared" si="663"/>
        <v>0.125</v>
      </c>
      <c r="AV159" s="93">
        <f t="shared" si="663"/>
        <v>0.125</v>
      </c>
      <c r="AW159" s="93">
        <f t="shared" si="663"/>
        <v>0.16666666666666666</v>
      </c>
      <c r="AX159" s="93">
        <f t="shared" si="663"/>
        <v>0.20833333333333334</v>
      </c>
      <c r="AY159" s="93">
        <f t="shared" si="663"/>
        <v>0.25</v>
      </c>
      <c r="AZ159" s="93">
        <f t="shared" si="663"/>
        <v>0.29166666666666669</v>
      </c>
      <c r="BA159" s="93">
        <f t="shared" si="663"/>
        <v>0.33333333333333331</v>
      </c>
      <c r="BB159" s="93">
        <f t="shared" si="663"/>
        <v>0.41666666666666669</v>
      </c>
      <c r="BC159" s="93">
        <f t="shared" si="663"/>
        <v>0.41666666666666669</v>
      </c>
      <c r="BD159" s="93">
        <f t="shared" si="663"/>
        <v>0.41666666666666669</v>
      </c>
      <c r="BE159" s="93">
        <f t="shared" si="663"/>
        <v>0.41666666666666669</v>
      </c>
      <c r="BF159" s="93">
        <f t="shared" si="663"/>
        <v>0.41666666666666669</v>
      </c>
      <c r="BJ159" s="116">
        <f t="shared" si="631"/>
        <v>150</v>
      </c>
    </row>
    <row r="160" spans="2:62" hidden="1" outlineLevel="2">
      <c r="B160" s="25" t="s">
        <v>47</v>
      </c>
      <c r="C160" s="93">
        <f>IFERROR(+C151/C144,0)</f>
        <v>0.32436466698157773</v>
      </c>
      <c r="D160" s="93">
        <f t="shared" ref="D160:M160" si="666">IFERROR(+D151/D144,0)</f>
        <v>0.32961738308927729</v>
      </c>
      <c r="E160" s="93">
        <f t="shared" si="666"/>
        <v>0.43671944327682033</v>
      </c>
      <c r="F160" s="93">
        <f t="shared" si="666"/>
        <v>0.56116584086272225</v>
      </c>
      <c r="G160" s="93">
        <f t="shared" si="666"/>
        <v>0.52299927901946652</v>
      </c>
      <c r="H160" s="93">
        <f t="shared" si="666"/>
        <v>0.44751584543038236</v>
      </c>
      <c r="I160" s="93">
        <f t="shared" si="666"/>
        <v>0.29379620700739312</v>
      </c>
      <c r="J160" s="93">
        <f t="shared" si="666"/>
        <v>0.17174657534246576</v>
      </c>
      <c r="K160" s="93">
        <f t="shared" si="666"/>
        <v>0.26810176125244617</v>
      </c>
      <c r="L160" s="93">
        <f t="shared" si="666"/>
        <v>0.39315068493150684</v>
      </c>
      <c r="M160" s="93">
        <f t="shared" si="666"/>
        <v>0.5</v>
      </c>
      <c r="O160" s="93">
        <f>IFERROR(+O151/O144,0)</f>
        <v>0.41379310344827586</v>
      </c>
      <c r="P160" s="93">
        <f t="shared" ref="P160:BF160" si="667">IFERROR(+P151/P144,0)</f>
        <v>0.37931034482758619</v>
      </c>
      <c r="Q160" s="93">
        <f t="shared" si="667"/>
        <v>0.28275862068965513</v>
      </c>
      <c r="R160" s="93">
        <f t="shared" si="667"/>
        <v>0.22413793103448276</v>
      </c>
      <c r="S160" s="93">
        <f t="shared" si="667"/>
        <v>0.27586206896551724</v>
      </c>
      <c r="T160" s="93">
        <f t="shared" si="667"/>
        <v>0.3241379310344828</v>
      </c>
      <c r="U160" s="93">
        <f t="shared" si="667"/>
        <v>0.3724137931034483</v>
      </c>
      <c r="V160" s="93">
        <f t="shared" si="667"/>
        <v>0.34482758620689657</v>
      </c>
      <c r="W160" s="93">
        <f t="shared" si="667"/>
        <v>0.38387096774193552</v>
      </c>
      <c r="X160" s="93">
        <f t="shared" si="667"/>
        <v>0.4375</v>
      </c>
      <c r="Y160" s="93">
        <f t="shared" si="667"/>
        <v>0.44137931034482764</v>
      </c>
      <c r="Z160" s="93">
        <f t="shared" si="667"/>
        <v>0.496</v>
      </c>
      <c r="AA160" s="93">
        <f t="shared" si="667"/>
        <v>0.64090909090909087</v>
      </c>
      <c r="AB160" s="93">
        <f t="shared" si="667"/>
        <v>0.66666666666666663</v>
      </c>
      <c r="AC160" s="93">
        <f t="shared" si="667"/>
        <v>0.5</v>
      </c>
      <c r="AD160" s="93">
        <f t="shared" si="667"/>
        <v>0.4458333333333333</v>
      </c>
      <c r="AE160" s="93">
        <f t="shared" si="667"/>
        <v>0.5130434782608696</v>
      </c>
      <c r="AF160" s="93">
        <f t="shared" si="667"/>
        <v>0.57894736842105265</v>
      </c>
      <c r="AG160" s="93">
        <f t="shared" si="667"/>
        <v>0.5</v>
      </c>
      <c r="AH160" s="93">
        <f t="shared" si="667"/>
        <v>0.5</v>
      </c>
      <c r="AI160" s="93">
        <f t="shared" si="667"/>
        <v>0.5</v>
      </c>
      <c r="AJ160" s="93">
        <f t="shared" si="667"/>
        <v>0.47058823529411764</v>
      </c>
      <c r="AK160" s="93">
        <f t="shared" si="667"/>
        <v>0.41176470588235292</v>
      </c>
      <c r="AL160" s="93">
        <f t="shared" si="667"/>
        <v>0.41176470588235292</v>
      </c>
      <c r="AM160" s="93">
        <f t="shared" si="667"/>
        <v>0.35294117647058826</v>
      </c>
      <c r="AN160" s="93">
        <f t="shared" si="667"/>
        <v>0.35294117647058826</v>
      </c>
      <c r="AO160" s="93">
        <f t="shared" si="667"/>
        <v>0.23529411764705882</v>
      </c>
      <c r="AP160" s="93">
        <f t="shared" si="667"/>
        <v>0.23529411764705882</v>
      </c>
      <c r="AQ160" s="93">
        <f t="shared" si="667"/>
        <v>0.17647058823529413</v>
      </c>
      <c r="AR160" s="93">
        <f t="shared" ref="AR160:AS160" si="668">IFERROR(+AR151/AR144,0)</f>
        <v>0.17647058823529413</v>
      </c>
      <c r="AS160" s="93">
        <f t="shared" si="668"/>
        <v>0.1875</v>
      </c>
      <c r="AT160" s="93">
        <f t="shared" ref="AT160" si="669">IFERROR(+AT151/AT144,0)</f>
        <v>0.14285714285714285</v>
      </c>
      <c r="AU160" s="93">
        <f t="shared" si="667"/>
        <v>0.21428571428571427</v>
      </c>
      <c r="AV160" s="93">
        <f t="shared" si="667"/>
        <v>0.2857142857142857</v>
      </c>
      <c r="AW160" s="93">
        <f t="shared" si="667"/>
        <v>0.2857142857142857</v>
      </c>
      <c r="AX160" s="93">
        <f t="shared" si="667"/>
        <v>0.2857142857142857</v>
      </c>
      <c r="AY160" s="93">
        <f t="shared" si="667"/>
        <v>0.35714285714285715</v>
      </c>
      <c r="AZ160" s="93">
        <f t="shared" si="667"/>
        <v>0.35714285714285715</v>
      </c>
      <c r="BA160" s="93">
        <f t="shared" si="667"/>
        <v>0.42857142857142855</v>
      </c>
      <c r="BB160" s="93">
        <f t="shared" si="667"/>
        <v>0.42857142857142855</v>
      </c>
      <c r="BC160" s="93">
        <f t="shared" si="667"/>
        <v>0.5</v>
      </c>
      <c r="BD160" s="93">
        <f t="shared" si="667"/>
        <v>0.5</v>
      </c>
      <c r="BE160" s="93">
        <f t="shared" si="667"/>
        <v>0.5</v>
      </c>
      <c r="BF160" s="93">
        <f t="shared" si="667"/>
        <v>0.5</v>
      </c>
      <c r="BJ160" s="116">
        <f t="shared" si="631"/>
        <v>151</v>
      </c>
    </row>
    <row r="161" spans="2:62" hidden="1" outlineLevel="2">
      <c r="B161" s="25" t="s">
        <v>48</v>
      </c>
      <c r="C161" s="93">
        <f>IFERROR(+C152/C145,0)</f>
        <v>0.37197260273972604</v>
      </c>
      <c r="D161" s="93">
        <f t="shared" ref="D161:M161" si="670">IFERROR(+D152/D145,0)</f>
        <v>0.24368493150684931</v>
      </c>
      <c r="E161" s="93">
        <f t="shared" si="670"/>
        <v>0.28698332632758861</v>
      </c>
      <c r="F161" s="93">
        <f t="shared" si="670"/>
        <v>0.2673118662159758</v>
      </c>
      <c r="G161" s="93">
        <f t="shared" si="670"/>
        <v>0.32328767123287672</v>
      </c>
      <c r="H161" s="93">
        <f t="shared" si="670"/>
        <v>0.43775567648714581</v>
      </c>
      <c r="I161" s="93">
        <f t="shared" si="670"/>
        <v>0.23532576712904579</v>
      </c>
      <c r="J161" s="93">
        <f t="shared" si="670"/>
        <v>0.1875</v>
      </c>
      <c r="K161" s="93">
        <f t="shared" si="670"/>
        <v>0.21866438356164383</v>
      </c>
      <c r="L161" s="93">
        <f t="shared" si="670"/>
        <v>0.28150684931506847</v>
      </c>
      <c r="M161" s="93">
        <f t="shared" si="670"/>
        <v>0.28142076502732238</v>
      </c>
      <c r="O161" s="93">
        <f>IFERROR(+O152/O145,0)</f>
        <v>0.45499999999999996</v>
      </c>
      <c r="P161" s="93">
        <f t="shared" ref="P161:BF161" si="671">IFERROR(+P152/P145,0)</f>
        <v>0.4</v>
      </c>
      <c r="Q161" s="93">
        <f t="shared" si="671"/>
        <v>0.33500000000000002</v>
      </c>
      <c r="R161" s="93">
        <f t="shared" si="671"/>
        <v>0.3</v>
      </c>
      <c r="S161" s="93">
        <f t="shared" si="671"/>
        <v>0.26500000000000001</v>
      </c>
      <c r="T161" s="93">
        <f t="shared" si="671"/>
        <v>0.22500000000000001</v>
      </c>
      <c r="U161" s="93">
        <f t="shared" si="671"/>
        <v>0.23500000000000001</v>
      </c>
      <c r="V161" s="93">
        <f t="shared" si="671"/>
        <v>0.25</v>
      </c>
      <c r="W161" s="93">
        <f t="shared" si="671"/>
        <v>0.41</v>
      </c>
      <c r="X161" s="93">
        <f t="shared" si="671"/>
        <v>0.23157894736842108</v>
      </c>
      <c r="Y161" s="93">
        <f t="shared" si="671"/>
        <v>0.24210526315789471</v>
      </c>
      <c r="Z161" s="93">
        <f t="shared" si="671"/>
        <v>0.26</v>
      </c>
      <c r="AA161" s="93">
        <f t="shared" si="671"/>
        <v>0.3</v>
      </c>
      <c r="AB161" s="93">
        <f t="shared" si="671"/>
        <v>0.26315789473684209</v>
      </c>
      <c r="AC161" s="93">
        <f t="shared" si="671"/>
        <v>0.26315789473684209</v>
      </c>
      <c r="AD161" s="93">
        <f t="shared" si="671"/>
        <v>0.24210526315789471</v>
      </c>
      <c r="AE161" s="93">
        <f t="shared" si="671"/>
        <v>0.39999999999999997</v>
      </c>
      <c r="AF161" s="93">
        <f t="shared" si="671"/>
        <v>0.31578947368421051</v>
      </c>
      <c r="AG161" s="93">
        <f t="shared" si="671"/>
        <v>0.26315789473684209</v>
      </c>
      <c r="AH161" s="93">
        <f t="shared" si="671"/>
        <v>0.31578947368421051</v>
      </c>
      <c r="AI161" s="93">
        <f t="shared" si="671"/>
        <v>0.52631578947368418</v>
      </c>
      <c r="AJ161" s="93">
        <f t="shared" si="671"/>
        <v>0.42105263157894735</v>
      </c>
      <c r="AK161" s="93">
        <f t="shared" si="671"/>
        <v>0.36842105263157893</v>
      </c>
      <c r="AL161" s="93">
        <f t="shared" si="671"/>
        <v>0.4375</v>
      </c>
      <c r="AM161" s="93">
        <f t="shared" si="671"/>
        <v>0.3125</v>
      </c>
      <c r="AN161" s="93">
        <f t="shared" si="671"/>
        <v>0.1875</v>
      </c>
      <c r="AO161" s="93">
        <f t="shared" si="671"/>
        <v>0.19411764705882351</v>
      </c>
      <c r="AP161" s="93">
        <f t="shared" si="671"/>
        <v>0.25</v>
      </c>
      <c r="AQ161" s="93">
        <f t="shared" si="671"/>
        <v>0.1875</v>
      </c>
      <c r="AR161" s="93">
        <f t="shared" ref="AR161:AS161" si="672">IFERROR(+AR152/AR145,0)</f>
        <v>0.1875</v>
      </c>
      <c r="AS161" s="93">
        <f t="shared" si="672"/>
        <v>0.1875</v>
      </c>
      <c r="AT161" s="93">
        <f t="shared" ref="AT161" si="673">IFERROR(+AT152/AT145,0)</f>
        <v>0.1875</v>
      </c>
      <c r="AU161" s="93">
        <f t="shared" si="671"/>
        <v>0.25</v>
      </c>
      <c r="AV161" s="93">
        <f t="shared" si="671"/>
        <v>0.1875</v>
      </c>
      <c r="AW161" s="93">
        <f t="shared" si="671"/>
        <v>0.1875</v>
      </c>
      <c r="AX161" s="93">
        <f t="shared" si="671"/>
        <v>0.25</v>
      </c>
      <c r="AY161" s="93">
        <f t="shared" si="671"/>
        <v>0.25</v>
      </c>
      <c r="AZ161" s="93">
        <f t="shared" si="671"/>
        <v>0.25</v>
      </c>
      <c r="BA161" s="93">
        <f t="shared" si="671"/>
        <v>0.3125</v>
      </c>
      <c r="BB161" s="93">
        <f t="shared" si="671"/>
        <v>0.3125</v>
      </c>
      <c r="BC161" s="93">
        <f t="shared" si="671"/>
        <v>0.25</v>
      </c>
      <c r="BD161" s="93">
        <f t="shared" si="671"/>
        <v>0.25</v>
      </c>
      <c r="BE161" s="93">
        <f t="shared" si="671"/>
        <v>0.3125</v>
      </c>
      <c r="BF161" s="93">
        <f t="shared" si="671"/>
        <v>0.3125</v>
      </c>
      <c r="BJ161" s="116">
        <f t="shared" si="631"/>
        <v>152</v>
      </c>
    </row>
    <row r="162" spans="2:62" hidden="1" outlineLevel="2">
      <c r="B162" s="11"/>
      <c r="BJ162" s="116">
        <f t="shared" si="631"/>
        <v>153</v>
      </c>
    </row>
    <row r="163" spans="2:62" hidden="1" outlineLevel="2">
      <c r="B163" s="10" t="s">
        <v>52</v>
      </c>
      <c r="C163" s="102">
        <f t="shared" ref="C163:M166" si="674">SUMIFS($O163:$BG163,$O$5:$BG$5,C$5)</f>
        <v>69820.100000000006</v>
      </c>
      <c r="D163" s="102">
        <f t="shared" si="674"/>
        <v>78353.100000000006</v>
      </c>
      <c r="E163" s="102">
        <f t="shared" si="674"/>
        <v>80199.400000000009</v>
      </c>
      <c r="F163" s="102">
        <f t="shared" si="674"/>
        <v>71275.8</v>
      </c>
      <c r="G163" s="102">
        <f t="shared" si="674"/>
        <v>77626</v>
      </c>
      <c r="H163" s="102">
        <f t="shared" si="674"/>
        <v>43890</v>
      </c>
      <c r="I163" s="102">
        <f t="shared" si="674"/>
        <v>22633.599999999999</v>
      </c>
      <c r="J163" s="102">
        <f t="shared" si="674"/>
        <v>36889</v>
      </c>
      <c r="K163" s="102">
        <f t="shared" si="674"/>
        <v>42990</v>
      </c>
      <c r="L163" s="102">
        <f t="shared" si="674"/>
        <v>48468</v>
      </c>
      <c r="M163" s="102">
        <f t="shared" si="674"/>
        <v>51790</v>
      </c>
      <c r="O163" s="102">
        <f>SUM(O164:O166)</f>
        <v>16173</v>
      </c>
      <c r="P163" s="102">
        <f t="shared" ref="P163:AQ163" si="675">SUM(P164:P166)</f>
        <v>17408.300000000003</v>
      </c>
      <c r="Q163" s="102">
        <f t="shared" si="675"/>
        <v>18133.2</v>
      </c>
      <c r="R163" s="102">
        <f t="shared" si="675"/>
        <v>18105.600000000002</v>
      </c>
      <c r="S163" s="102">
        <f t="shared" si="675"/>
        <v>18108</v>
      </c>
      <c r="T163" s="102">
        <f t="shared" si="675"/>
        <v>18937.100000000002</v>
      </c>
      <c r="U163" s="102">
        <f t="shared" si="675"/>
        <v>19991.600000000002</v>
      </c>
      <c r="V163" s="102">
        <f t="shared" si="675"/>
        <v>21316.399999999998</v>
      </c>
      <c r="W163" s="102">
        <f t="shared" si="675"/>
        <v>21758.100000000002</v>
      </c>
      <c r="X163" s="102">
        <f t="shared" si="675"/>
        <v>21503.300000000003</v>
      </c>
      <c r="Y163" s="102">
        <f t="shared" si="675"/>
        <v>19430.400000000001</v>
      </c>
      <c r="Z163" s="102">
        <f t="shared" si="675"/>
        <v>17507.600000000002</v>
      </c>
      <c r="AA163" s="102">
        <f t="shared" si="675"/>
        <v>17064</v>
      </c>
      <c r="AB163" s="102">
        <f t="shared" si="675"/>
        <v>17927</v>
      </c>
      <c r="AC163" s="102">
        <f t="shared" si="675"/>
        <v>18032</v>
      </c>
      <c r="AD163" s="102">
        <f t="shared" si="675"/>
        <v>18252.800000000003</v>
      </c>
      <c r="AE163" s="102">
        <f t="shared" si="675"/>
        <v>18594</v>
      </c>
      <c r="AF163" s="102">
        <f t="shared" si="675"/>
        <v>19656</v>
      </c>
      <c r="AG163" s="102">
        <f t="shared" si="675"/>
        <v>19872</v>
      </c>
      <c r="AH163" s="102">
        <f t="shared" si="675"/>
        <v>19504</v>
      </c>
      <c r="AI163" s="102">
        <f t="shared" si="675"/>
        <v>15030</v>
      </c>
      <c r="AJ163" s="102">
        <f t="shared" si="675"/>
        <v>10920</v>
      </c>
      <c r="AK163" s="102">
        <f t="shared" si="675"/>
        <v>9476</v>
      </c>
      <c r="AL163" s="102">
        <f t="shared" si="675"/>
        <v>8464</v>
      </c>
      <c r="AM163" s="102">
        <f t="shared" si="675"/>
        <v>5915</v>
      </c>
      <c r="AN163" s="102">
        <f t="shared" si="675"/>
        <v>4823</v>
      </c>
      <c r="AO163" s="102">
        <f t="shared" si="675"/>
        <v>5271.6</v>
      </c>
      <c r="AP163" s="102">
        <f t="shared" si="675"/>
        <v>6624</v>
      </c>
      <c r="AQ163" s="102">
        <f t="shared" si="675"/>
        <v>8010</v>
      </c>
      <c r="AR163" s="102">
        <f t="shared" ref="AR163:AS163" si="676">SUM(AR164:AR166)</f>
        <v>9191</v>
      </c>
      <c r="AS163" s="102">
        <f t="shared" si="676"/>
        <v>9936</v>
      </c>
      <c r="AT163" s="102">
        <f t="shared" ref="AT163" si="677">SUM(AT164:AT166)</f>
        <v>9752</v>
      </c>
      <c r="AU163" s="102">
        <f t="shared" ref="AU163" si="678">SUM(AU164:AU166)</f>
        <v>10170</v>
      </c>
      <c r="AV163" s="102">
        <f t="shared" ref="AV163" si="679">SUM(AV164:AV166)</f>
        <v>10556</v>
      </c>
      <c r="AW163" s="102">
        <f t="shared" ref="AW163" si="680">SUM(AW164:AW166)</f>
        <v>10948</v>
      </c>
      <c r="AX163" s="102">
        <f t="shared" ref="AX163" si="681">SUM(AX164:AX166)</f>
        <v>11316</v>
      </c>
      <c r="AY163" s="102">
        <f t="shared" ref="AY163" si="682">SUM(AY164:AY166)</f>
        <v>11430</v>
      </c>
      <c r="AZ163" s="102">
        <f t="shared" ref="AZ163" si="683">SUM(AZ164:AZ166)</f>
        <v>11830</v>
      </c>
      <c r="BA163" s="102">
        <f t="shared" ref="BA163" si="684">SUM(BA164:BA166)</f>
        <v>12420</v>
      </c>
      <c r="BB163" s="102">
        <f t="shared" ref="BB163" si="685">SUM(BB164:BB166)</f>
        <v>12788</v>
      </c>
      <c r="BC163" s="102">
        <f t="shared" ref="BC163" si="686">SUM(BC164:BC166)</f>
        <v>12831</v>
      </c>
      <c r="BD163" s="102">
        <f t="shared" ref="BD163" si="687">SUM(BD164:BD166)</f>
        <v>12831</v>
      </c>
      <c r="BE163" s="102">
        <f t="shared" ref="BE163" si="688">SUM(BE164:BE166)</f>
        <v>13064</v>
      </c>
      <c r="BF163" s="102">
        <f t="shared" ref="BF163" si="689">SUM(BF164:BF166)</f>
        <v>13064</v>
      </c>
      <c r="BJ163" s="116">
        <f t="shared" si="631"/>
        <v>154</v>
      </c>
    </row>
    <row r="164" spans="2:62" hidden="1" outlineLevel="2">
      <c r="B164" s="25" t="s">
        <v>43</v>
      </c>
      <c r="C164" s="102">
        <f t="shared" si="674"/>
        <v>63671.3</v>
      </c>
      <c r="D164" s="102">
        <f t="shared" si="674"/>
        <v>73085.2</v>
      </c>
      <c r="E164" s="102">
        <f t="shared" si="674"/>
        <v>73475.899999999994</v>
      </c>
      <c r="F164" s="102">
        <f t="shared" si="674"/>
        <v>64584.2</v>
      </c>
      <c r="G164" s="102">
        <f t="shared" si="674"/>
        <v>71757</v>
      </c>
      <c r="H164" s="102">
        <f t="shared" si="674"/>
        <v>38238</v>
      </c>
      <c r="I164" s="102">
        <f t="shared" si="674"/>
        <v>19406</v>
      </c>
      <c r="J164" s="102">
        <f t="shared" si="674"/>
        <v>34791</v>
      </c>
      <c r="K164" s="102">
        <f t="shared" si="674"/>
        <v>40343</v>
      </c>
      <c r="L164" s="102">
        <f t="shared" si="674"/>
        <v>44815</v>
      </c>
      <c r="M164" s="102">
        <f t="shared" si="674"/>
        <v>47580</v>
      </c>
      <c r="O164" s="102">
        <f>O148*O$6</f>
        <v>14274</v>
      </c>
      <c r="P164" s="102">
        <f t="shared" ref="P164:AQ164" si="690">P148*P$6</f>
        <v>15679.300000000001</v>
      </c>
      <c r="Q164" s="102">
        <f t="shared" si="690"/>
        <v>16762.399999999998</v>
      </c>
      <c r="R164" s="102">
        <f t="shared" si="690"/>
        <v>16955.600000000002</v>
      </c>
      <c r="S164" s="102">
        <f t="shared" si="690"/>
        <v>16911</v>
      </c>
      <c r="T164" s="102">
        <f t="shared" si="690"/>
        <v>17672.2</v>
      </c>
      <c r="U164" s="102">
        <f t="shared" si="690"/>
        <v>18565.600000000002</v>
      </c>
      <c r="V164" s="102">
        <f t="shared" si="690"/>
        <v>19936.399999999998</v>
      </c>
      <c r="W164" s="102">
        <f t="shared" si="690"/>
        <v>19929</v>
      </c>
      <c r="X164" s="102">
        <f t="shared" si="690"/>
        <v>19828.900000000001</v>
      </c>
      <c r="Y164" s="102">
        <f t="shared" si="690"/>
        <v>17829.600000000002</v>
      </c>
      <c r="Z164" s="102">
        <f t="shared" si="690"/>
        <v>15888.4</v>
      </c>
      <c r="AA164" s="102">
        <f t="shared" si="690"/>
        <v>15255</v>
      </c>
      <c r="AB164" s="102">
        <f t="shared" si="690"/>
        <v>16016</v>
      </c>
      <c r="AC164" s="102">
        <f t="shared" si="690"/>
        <v>16468</v>
      </c>
      <c r="AD164" s="102">
        <f t="shared" si="690"/>
        <v>16845.2</v>
      </c>
      <c r="AE164" s="102">
        <f t="shared" si="690"/>
        <v>16848</v>
      </c>
      <c r="AF164" s="102">
        <f t="shared" si="690"/>
        <v>18109</v>
      </c>
      <c r="AG164" s="102">
        <f t="shared" si="690"/>
        <v>18584</v>
      </c>
      <c r="AH164" s="102">
        <f t="shared" si="690"/>
        <v>18216</v>
      </c>
      <c r="AI164" s="102">
        <f t="shared" si="690"/>
        <v>13410</v>
      </c>
      <c r="AJ164" s="102">
        <f t="shared" si="690"/>
        <v>9464</v>
      </c>
      <c r="AK164" s="102">
        <f t="shared" si="690"/>
        <v>8188</v>
      </c>
      <c r="AL164" s="102">
        <f t="shared" si="690"/>
        <v>7176</v>
      </c>
      <c r="AM164" s="102">
        <f t="shared" si="690"/>
        <v>4914</v>
      </c>
      <c r="AN164" s="102">
        <f t="shared" si="690"/>
        <v>4004</v>
      </c>
      <c r="AO164" s="102">
        <f t="shared" si="690"/>
        <v>4600</v>
      </c>
      <c r="AP164" s="102">
        <f t="shared" si="690"/>
        <v>5888</v>
      </c>
      <c r="AQ164" s="102">
        <f t="shared" si="690"/>
        <v>7470</v>
      </c>
      <c r="AR164" s="102">
        <f t="shared" ref="AR164" si="691">AR148*AR$6</f>
        <v>8645</v>
      </c>
      <c r="AS164" s="102">
        <f t="shared" ref="AS164:AT164" si="692">AS148*AS$6</f>
        <v>9384</v>
      </c>
      <c r="AT164" s="102">
        <f t="shared" si="692"/>
        <v>9292</v>
      </c>
      <c r="AU164" s="102">
        <f t="shared" ref="AU164:BF164" si="693">AU148*AU$6</f>
        <v>9540</v>
      </c>
      <c r="AV164" s="102">
        <f t="shared" si="693"/>
        <v>9919</v>
      </c>
      <c r="AW164" s="102">
        <f t="shared" si="693"/>
        <v>10304</v>
      </c>
      <c r="AX164" s="102">
        <f t="shared" si="693"/>
        <v>10580</v>
      </c>
      <c r="AY164" s="102">
        <f t="shared" si="693"/>
        <v>10620</v>
      </c>
      <c r="AZ164" s="102">
        <f t="shared" si="693"/>
        <v>11011</v>
      </c>
      <c r="BA164" s="102">
        <f t="shared" si="693"/>
        <v>11408</v>
      </c>
      <c r="BB164" s="102">
        <f t="shared" si="693"/>
        <v>11776</v>
      </c>
      <c r="BC164" s="102">
        <f t="shared" si="693"/>
        <v>11830</v>
      </c>
      <c r="BD164" s="102">
        <f t="shared" si="693"/>
        <v>11830</v>
      </c>
      <c r="BE164" s="102">
        <f t="shared" si="693"/>
        <v>11960</v>
      </c>
      <c r="BF164" s="102">
        <f t="shared" si="693"/>
        <v>11960</v>
      </c>
      <c r="BJ164" s="116">
        <f t="shared" si="631"/>
        <v>155</v>
      </c>
    </row>
    <row r="165" spans="2:62" hidden="1" outlineLevel="2">
      <c r="B165" s="25" t="s">
        <v>47</v>
      </c>
      <c r="C165" s="102">
        <f t="shared" si="674"/>
        <v>3433.4</v>
      </c>
      <c r="D165" s="102">
        <f t="shared" si="674"/>
        <v>3489</v>
      </c>
      <c r="E165" s="102">
        <f t="shared" si="674"/>
        <v>4675.3</v>
      </c>
      <c r="F165" s="102">
        <f t="shared" si="674"/>
        <v>4813.3999999999996</v>
      </c>
      <c r="G165" s="102">
        <f t="shared" si="674"/>
        <v>3627</v>
      </c>
      <c r="H165" s="102">
        <f t="shared" si="674"/>
        <v>2736</v>
      </c>
      <c r="I165" s="102">
        <f t="shared" si="674"/>
        <v>1828</v>
      </c>
      <c r="J165" s="102">
        <f t="shared" si="674"/>
        <v>1003</v>
      </c>
      <c r="K165" s="102">
        <f t="shared" si="674"/>
        <v>1370</v>
      </c>
      <c r="L165" s="102">
        <f t="shared" si="674"/>
        <v>2009</v>
      </c>
      <c r="M165" s="102">
        <f t="shared" si="674"/>
        <v>2562</v>
      </c>
      <c r="O165" s="102">
        <f>O151*O$6</f>
        <v>1080</v>
      </c>
      <c r="P165" s="102">
        <f t="shared" ref="P165:AQ165" si="694">P151*P$6</f>
        <v>1001</v>
      </c>
      <c r="Q165" s="102">
        <f t="shared" si="694"/>
        <v>754.4</v>
      </c>
      <c r="R165" s="102">
        <f t="shared" si="694"/>
        <v>598</v>
      </c>
      <c r="S165" s="102">
        <f t="shared" si="694"/>
        <v>720</v>
      </c>
      <c r="T165" s="102">
        <f t="shared" si="694"/>
        <v>855.4</v>
      </c>
      <c r="U165" s="102">
        <f t="shared" si="694"/>
        <v>993.6</v>
      </c>
      <c r="V165" s="102">
        <f t="shared" si="694"/>
        <v>920</v>
      </c>
      <c r="W165" s="102">
        <f t="shared" si="694"/>
        <v>1082.9000000000001</v>
      </c>
      <c r="X165" s="102">
        <f t="shared" si="694"/>
        <v>1274</v>
      </c>
      <c r="Y165" s="102">
        <f t="shared" si="694"/>
        <v>1177.6000000000001</v>
      </c>
      <c r="Z165" s="102">
        <f t="shared" si="694"/>
        <v>1140.8</v>
      </c>
      <c r="AA165" s="102">
        <f t="shared" si="694"/>
        <v>1269</v>
      </c>
      <c r="AB165" s="102">
        <f t="shared" si="694"/>
        <v>1456</v>
      </c>
      <c r="AC165" s="102">
        <f t="shared" si="694"/>
        <v>1104</v>
      </c>
      <c r="AD165" s="102">
        <f t="shared" si="694"/>
        <v>984.4</v>
      </c>
      <c r="AE165" s="102">
        <f t="shared" si="694"/>
        <v>1062</v>
      </c>
      <c r="AF165" s="102">
        <f t="shared" si="694"/>
        <v>1001</v>
      </c>
      <c r="AG165" s="102">
        <f t="shared" si="694"/>
        <v>828</v>
      </c>
      <c r="AH165" s="102">
        <f t="shared" si="694"/>
        <v>736</v>
      </c>
      <c r="AI165" s="102">
        <f t="shared" si="694"/>
        <v>720</v>
      </c>
      <c r="AJ165" s="102">
        <f t="shared" si="694"/>
        <v>728</v>
      </c>
      <c r="AK165" s="102">
        <f t="shared" si="694"/>
        <v>644</v>
      </c>
      <c r="AL165" s="102">
        <f t="shared" si="694"/>
        <v>644</v>
      </c>
      <c r="AM165" s="102">
        <f t="shared" si="694"/>
        <v>546</v>
      </c>
      <c r="AN165" s="102">
        <f t="shared" si="694"/>
        <v>546</v>
      </c>
      <c r="AO165" s="102">
        <f t="shared" si="694"/>
        <v>368</v>
      </c>
      <c r="AP165" s="102">
        <f t="shared" si="694"/>
        <v>368</v>
      </c>
      <c r="AQ165" s="102">
        <f t="shared" si="694"/>
        <v>270</v>
      </c>
      <c r="AR165" s="102">
        <f t="shared" ref="AR165" si="695">AR151*AR$6</f>
        <v>273</v>
      </c>
      <c r="AS165" s="102">
        <f t="shared" ref="AS165:AT165" si="696">AS151*AS$6</f>
        <v>276</v>
      </c>
      <c r="AT165" s="102">
        <f t="shared" si="696"/>
        <v>184</v>
      </c>
      <c r="AU165" s="102">
        <f t="shared" ref="AU165:BF165" si="697">AU151*AU$6</f>
        <v>270</v>
      </c>
      <c r="AV165" s="102">
        <f t="shared" si="697"/>
        <v>364</v>
      </c>
      <c r="AW165" s="102">
        <f t="shared" si="697"/>
        <v>368</v>
      </c>
      <c r="AX165" s="102">
        <f t="shared" si="697"/>
        <v>368</v>
      </c>
      <c r="AY165" s="102">
        <f t="shared" si="697"/>
        <v>450</v>
      </c>
      <c r="AZ165" s="102">
        <f t="shared" si="697"/>
        <v>455</v>
      </c>
      <c r="BA165" s="102">
        <f t="shared" si="697"/>
        <v>552</v>
      </c>
      <c r="BB165" s="102">
        <f t="shared" si="697"/>
        <v>552</v>
      </c>
      <c r="BC165" s="102">
        <f t="shared" si="697"/>
        <v>637</v>
      </c>
      <c r="BD165" s="102">
        <f t="shared" si="697"/>
        <v>637</v>
      </c>
      <c r="BE165" s="102">
        <f t="shared" si="697"/>
        <v>644</v>
      </c>
      <c r="BF165" s="102">
        <f t="shared" si="697"/>
        <v>644</v>
      </c>
      <c r="BJ165" s="116">
        <f t="shared" si="631"/>
        <v>156</v>
      </c>
    </row>
    <row r="166" spans="2:62" hidden="1" outlineLevel="2">
      <c r="B166" s="25" t="s">
        <v>48</v>
      </c>
      <c r="C166" s="102">
        <f t="shared" si="674"/>
        <v>2715.4</v>
      </c>
      <c r="D166" s="102">
        <f t="shared" si="674"/>
        <v>1778.9</v>
      </c>
      <c r="E166" s="102">
        <f t="shared" si="674"/>
        <v>2048.1999999999998</v>
      </c>
      <c r="F166" s="102">
        <f t="shared" si="674"/>
        <v>1878.2</v>
      </c>
      <c r="G166" s="102">
        <f t="shared" si="674"/>
        <v>2242</v>
      </c>
      <c r="H166" s="102">
        <f t="shared" si="674"/>
        <v>2916</v>
      </c>
      <c r="I166" s="102">
        <f t="shared" si="674"/>
        <v>1399.6</v>
      </c>
      <c r="J166" s="102">
        <f t="shared" si="674"/>
        <v>1095</v>
      </c>
      <c r="K166" s="102">
        <f t="shared" si="674"/>
        <v>1277</v>
      </c>
      <c r="L166" s="102">
        <f t="shared" si="674"/>
        <v>1644</v>
      </c>
      <c r="M166" s="102">
        <f t="shared" si="674"/>
        <v>1648</v>
      </c>
      <c r="O166" s="102">
        <f>O152*O$6</f>
        <v>819</v>
      </c>
      <c r="P166" s="102">
        <f t="shared" ref="P166:AQ166" si="698">P152*P$6</f>
        <v>728</v>
      </c>
      <c r="Q166" s="102">
        <f t="shared" si="698"/>
        <v>616.4</v>
      </c>
      <c r="R166" s="102">
        <f t="shared" si="698"/>
        <v>552</v>
      </c>
      <c r="S166" s="102">
        <f t="shared" si="698"/>
        <v>477</v>
      </c>
      <c r="T166" s="102">
        <f t="shared" si="698"/>
        <v>409.5</v>
      </c>
      <c r="U166" s="102">
        <f t="shared" si="698"/>
        <v>432.40000000000003</v>
      </c>
      <c r="V166" s="102">
        <f t="shared" si="698"/>
        <v>460</v>
      </c>
      <c r="W166" s="102">
        <f t="shared" si="698"/>
        <v>746.19999999999993</v>
      </c>
      <c r="X166" s="102">
        <f t="shared" si="698"/>
        <v>400.40000000000003</v>
      </c>
      <c r="Y166" s="102">
        <f t="shared" si="698"/>
        <v>423.2</v>
      </c>
      <c r="Z166" s="102">
        <f t="shared" si="698"/>
        <v>478.40000000000003</v>
      </c>
      <c r="AA166" s="102">
        <f t="shared" si="698"/>
        <v>540</v>
      </c>
      <c r="AB166" s="102">
        <f t="shared" si="698"/>
        <v>455</v>
      </c>
      <c r="AC166" s="102">
        <f t="shared" si="698"/>
        <v>460</v>
      </c>
      <c r="AD166" s="102">
        <f t="shared" si="698"/>
        <v>423.2</v>
      </c>
      <c r="AE166" s="102">
        <f t="shared" si="698"/>
        <v>684</v>
      </c>
      <c r="AF166" s="102">
        <f t="shared" si="698"/>
        <v>546</v>
      </c>
      <c r="AG166" s="102">
        <f t="shared" si="698"/>
        <v>460</v>
      </c>
      <c r="AH166" s="102">
        <f t="shared" si="698"/>
        <v>552</v>
      </c>
      <c r="AI166" s="102">
        <f t="shared" si="698"/>
        <v>900</v>
      </c>
      <c r="AJ166" s="102">
        <f t="shared" si="698"/>
        <v>728</v>
      </c>
      <c r="AK166" s="102">
        <f t="shared" si="698"/>
        <v>644</v>
      </c>
      <c r="AL166" s="102">
        <f t="shared" si="698"/>
        <v>644</v>
      </c>
      <c r="AM166" s="102">
        <f t="shared" si="698"/>
        <v>455</v>
      </c>
      <c r="AN166" s="102">
        <f t="shared" si="698"/>
        <v>273</v>
      </c>
      <c r="AO166" s="102">
        <f t="shared" si="698"/>
        <v>303.59999999999997</v>
      </c>
      <c r="AP166" s="102">
        <f t="shared" si="698"/>
        <v>368</v>
      </c>
      <c r="AQ166" s="102">
        <f t="shared" si="698"/>
        <v>270</v>
      </c>
      <c r="AR166" s="102">
        <f t="shared" ref="AR166" si="699">AR152*AR$6</f>
        <v>273</v>
      </c>
      <c r="AS166" s="102">
        <f t="shared" ref="AS166:AT166" si="700">AS152*AS$6</f>
        <v>276</v>
      </c>
      <c r="AT166" s="102">
        <f t="shared" si="700"/>
        <v>276</v>
      </c>
      <c r="AU166" s="102">
        <f t="shared" ref="AU166:BF166" si="701">AU152*AU$6</f>
        <v>360</v>
      </c>
      <c r="AV166" s="102">
        <f t="shared" si="701"/>
        <v>273</v>
      </c>
      <c r="AW166" s="102">
        <f t="shared" si="701"/>
        <v>276</v>
      </c>
      <c r="AX166" s="102">
        <f t="shared" si="701"/>
        <v>368</v>
      </c>
      <c r="AY166" s="102">
        <f t="shared" si="701"/>
        <v>360</v>
      </c>
      <c r="AZ166" s="102">
        <f t="shared" si="701"/>
        <v>364</v>
      </c>
      <c r="BA166" s="102">
        <f t="shared" si="701"/>
        <v>460</v>
      </c>
      <c r="BB166" s="102">
        <f t="shared" si="701"/>
        <v>460</v>
      </c>
      <c r="BC166" s="102">
        <f t="shared" si="701"/>
        <v>364</v>
      </c>
      <c r="BD166" s="102">
        <f t="shared" si="701"/>
        <v>364</v>
      </c>
      <c r="BE166" s="102">
        <f t="shared" si="701"/>
        <v>460</v>
      </c>
      <c r="BF166" s="102">
        <f t="shared" si="701"/>
        <v>460</v>
      </c>
      <c r="BJ166" s="116">
        <f t="shared" si="631"/>
        <v>157</v>
      </c>
    </row>
    <row r="167" spans="2:62" hidden="1" outlineLevel="2">
      <c r="B167" s="11"/>
      <c r="BJ167" s="116">
        <f t="shared" si="631"/>
        <v>158</v>
      </c>
    </row>
    <row r="168" spans="2:62" outlineLevel="1" collapsed="1">
      <c r="B168" s="229" t="s">
        <v>344</v>
      </c>
      <c r="BJ168" s="116">
        <f t="shared" si="631"/>
        <v>159</v>
      </c>
    </row>
    <row r="169" spans="2:62" hidden="1" outlineLevel="2">
      <c r="B169" s="10" t="s">
        <v>53</v>
      </c>
      <c r="C169" s="50">
        <f t="shared" ref="C169:M175" si="702">SUMIFS($O169:$BG169,$O$5:$BG$5,C$5)</f>
        <v>1597.8319999999999</v>
      </c>
      <c r="D169" s="50">
        <f t="shared" si="702"/>
        <v>1999.241</v>
      </c>
      <c r="E169" s="50">
        <f t="shared" si="702"/>
        <v>2276.808</v>
      </c>
      <c r="F169" s="50">
        <f t="shared" si="702"/>
        <v>1880.4860000000001</v>
      </c>
      <c r="G169" s="50">
        <f t="shared" si="702"/>
        <v>2129.9679999999998</v>
      </c>
      <c r="H169" s="50">
        <f t="shared" si="702"/>
        <v>1248.5890000000002</v>
      </c>
      <c r="I169" s="50">
        <f t="shared" si="702"/>
        <v>525.37200000000007</v>
      </c>
      <c r="J169" s="50">
        <f t="shared" si="702"/>
        <v>805.22300000000007</v>
      </c>
      <c r="K169" s="50">
        <f t="shared" si="702"/>
        <v>1078.30025</v>
      </c>
      <c r="L169" s="50">
        <f t="shared" si="702"/>
        <v>1274.3320000000001</v>
      </c>
      <c r="M169" s="50">
        <f t="shared" si="702"/>
        <v>1367.06</v>
      </c>
      <c r="O169" s="86">
        <f t="shared" ref="O169:AT169" si="703">O12</f>
        <v>359.48899999999998</v>
      </c>
      <c r="P169" s="86">
        <f t="shared" si="703"/>
        <v>385.78</v>
      </c>
      <c r="Q169" s="86">
        <f t="shared" si="703"/>
        <v>422.77199999999999</v>
      </c>
      <c r="R169" s="86">
        <f t="shared" si="703"/>
        <v>429.791</v>
      </c>
      <c r="S169" s="86">
        <f t="shared" si="703"/>
        <v>450.33699999999999</v>
      </c>
      <c r="T169" s="86">
        <f t="shared" si="703"/>
        <v>477.60399999999998</v>
      </c>
      <c r="U169" s="86">
        <f t="shared" si="703"/>
        <v>503.99099999999999</v>
      </c>
      <c r="V169" s="86">
        <f t="shared" si="703"/>
        <v>567.30899999999997</v>
      </c>
      <c r="W169" s="86">
        <f t="shared" si="703"/>
        <v>627.10500000000002</v>
      </c>
      <c r="X169" s="86">
        <f t="shared" si="703"/>
        <v>598.76499999999999</v>
      </c>
      <c r="Y169" s="86">
        <f t="shared" si="703"/>
        <v>555.78399999999999</v>
      </c>
      <c r="Z169" s="86">
        <f t="shared" si="703"/>
        <v>495.154</v>
      </c>
      <c r="AA169" s="86">
        <f t="shared" si="703"/>
        <v>484.77300000000002</v>
      </c>
      <c r="AB169" s="86">
        <f t="shared" si="703"/>
        <v>467.12900000000002</v>
      </c>
      <c r="AC169" s="86">
        <f t="shared" si="703"/>
        <v>457.55700000000002</v>
      </c>
      <c r="AD169" s="86">
        <f t="shared" si="703"/>
        <v>471.02699999999999</v>
      </c>
      <c r="AE169" s="86">
        <f t="shared" si="703"/>
        <v>510.476</v>
      </c>
      <c r="AF169" s="86">
        <f t="shared" si="703"/>
        <v>532.89400000000001</v>
      </c>
      <c r="AG169" s="86">
        <f t="shared" si="703"/>
        <v>541.73599999999999</v>
      </c>
      <c r="AH169" s="86">
        <f t="shared" si="703"/>
        <v>544.86199999999997</v>
      </c>
      <c r="AI169" s="86">
        <f t="shared" si="703"/>
        <v>452.42100000000005</v>
      </c>
      <c r="AJ169" s="86">
        <f t="shared" si="703"/>
        <v>315.56899999999996</v>
      </c>
      <c r="AK169" s="86">
        <f t="shared" si="703"/>
        <v>259.93900000000002</v>
      </c>
      <c r="AL169" s="86">
        <f t="shared" si="703"/>
        <v>220.66</v>
      </c>
      <c r="AM169" s="86">
        <f t="shared" si="703"/>
        <v>145.17599999999999</v>
      </c>
      <c r="AN169" s="86">
        <f t="shared" si="703"/>
        <v>115.14200000000001</v>
      </c>
      <c r="AO169" s="86">
        <f t="shared" si="703"/>
        <v>116.095</v>
      </c>
      <c r="AP169" s="86">
        <f t="shared" si="703"/>
        <v>148.959</v>
      </c>
      <c r="AQ169" s="86">
        <f t="shared" si="703"/>
        <v>161.934</v>
      </c>
      <c r="AR169" s="86">
        <f t="shared" si="703"/>
        <v>187.34399999999999</v>
      </c>
      <c r="AS169" s="86">
        <f t="shared" si="703"/>
        <v>222.74700000000001</v>
      </c>
      <c r="AT169" s="86">
        <f t="shared" si="703"/>
        <v>233.19800000000001</v>
      </c>
      <c r="AU169" s="110">
        <f t="shared" ref="AU169:BF169" si="704">+AU204+AU212</f>
        <v>244.35000000000002</v>
      </c>
      <c r="AV169" s="110">
        <f t="shared" si="704"/>
        <v>264.33225000000004</v>
      </c>
      <c r="AW169" s="110">
        <f t="shared" si="704"/>
        <v>278.20799999999997</v>
      </c>
      <c r="AX169" s="110">
        <f t="shared" si="704"/>
        <v>291.40999999999997</v>
      </c>
      <c r="AY169" s="110">
        <f t="shared" si="704"/>
        <v>298.125</v>
      </c>
      <c r="AZ169" s="110">
        <f t="shared" si="704"/>
        <v>310.21899999999999</v>
      </c>
      <c r="BA169" s="110">
        <f t="shared" si="704"/>
        <v>328.99200000000008</v>
      </c>
      <c r="BB169" s="110">
        <f t="shared" si="704"/>
        <v>336.99600000000004</v>
      </c>
      <c r="BC169" s="110">
        <f t="shared" si="704"/>
        <v>337.61</v>
      </c>
      <c r="BD169" s="110">
        <f t="shared" si="704"/>
        <v>337.61</v>
      </c>
      <c r="BE169" s="110">
        <f t="shared" si="704"/>
        <v>345.91999999999996</v>
      </c>
      <c r="BF169" s="110">
        <f t="shared" si="704"/>
        <v>345.91999999999996</v>
      </c>
      <c r="BJ169" s="116">
        <f t="shared" si="631"/>
        <v>160</v>
      </c>
    </row>
    <row r="170" spans="2:62" hidden="1" outlineLevel="2">
      <c r="B170" s="25" t="s">
        <v>54</v>
      </c>
      <c r="C170" s="50">
        <f t="shared" si="702"/>
        <v>-896.99997439999981</v>
      </c>
      <c r="D170" s="50">
        <f t="shared" si="702"/>
        <v>-1136.7870598999998</v>
      </c>
      <c r="E170" s="50">
        <f t="shared" si="702"/>
        <v>-1293.6404164</v>
      </c>
      <c r="F170" s="50">
        <f t="shared" si="702"/>
        <v>-1088.5360578</v>
      </c>
      <c r="G170" s="50">
        <f t="shared" si="702"/>
        <v>-1254.1997339207919</v>
      </c>
      <c r="H170" s="50">
        <f t="shared" si="702"/>
        <v>-692.03642000000002</v>
      </c>
      <c r="I170" s="50">
        <f t="shared" si="702"/>
        <v>-327.54524900000001</v>
      </c>
      <c r="J170" s="50">
        <f t="shared" si="702"/>
        <v>-607.23565499999995</v>
      </c>
      <c r="K170" s="50">
        <f t="shared" si="702"/>
        <v>-687.82600000000002</v>
      </c>
      <c r="L170" s="50">
        <f t="shared" si="702"/>
        <v>-773.22</v>
      </c>
      <c r="M170" s="50">
        <f t="shared" si="702"/>
        <v>-818.16</v>
      </c>
      <c r="O170" s="50">
        <f>+O171-O169</f>
        <v>-197.2262629999999</v>
      </c>
      <c r="P170" s="50">
        <f t="shared" ref="P170:AQ170" si="705">+P171-P169</f>
        <v>-221.65154459999994</v>
      </c>
      <c r="Q170" s="50">
        <f t="shared" si="705"/>
        <v>-239.38796599999995</v>
      </c>
      <c r="R170" s="50">
        <f t="shared" si="705"/>
        <v>-238.73420079999997</v>
      </c>
      <c r="S170" s="50">
        <f t="shared" si="705"/>
        <v>-259.25213199999996</v>
      </c>
      <c r="T170" s="50">
        <f t="shared" si="705"/>
        <v>-268.84913549999999</v>
      </c>
      <c r="U170" s="50">
        <f t="shared" si="705"/>
        <v>-288.55709319999994</v>
      </c>
      <c r="V170" s="50">
        <f t="shared" si="705"/>
        <v>-320.12869919999997</v>
      </c>
      <c r="W170" s="50">
        <f t="shared" si="705"/>
        <v>-351.87442619999996</v>
      </c>
      <c r="X170" s="50">
        <f t="shared" si="705"/>
        <v>-336.05162179999996</v>
      </c>
      <c r="Y170" s="50">
        <f t="shared" si="705"/>
        <v>-318.58794399999999</v>
      </c>
      <c r="Z170" s="50">
        <f t="shared" si="705"/>
        <v>-287.12642440000002</v>
      </c>
      <c r="AA170" s="50">
        <f t="shared" si="705"/>
        <v>-282.40648800000002</v>
      </c>
      <c r="AB170" s="50">
        <f t="shared" si="705"/>
        <v>-269.83817900000003</v>
      </c>
      <c r="AC170" s="50">
        <f t="shared" si="705"/>
        <v>-255.54128400000002</v>
      </c>
      <c r="AD170" s="50">
        <f t="shared" si="705"/>
        <v>-280.75010679999997</v>
      </c>
      <c r="AE170" s="50">
        <f t="shared" si="705"/>
        <v>-304.58463800000004</v>
      </c>
      <c r="AF170" s="50">
        <f t="shared" si="705"/>
        <v>-309.20871999999997</v>
      </c>
      <c r="AG170" s="50">
        <f t="shared" si="705"/>
        <v>-320.32797592079203</v>
      </c>
      <c r="AH170" s="50">
        <f t="shared" si="705"/>
        <v>-320.07839999999999</v>
      </c>
      <c r="AI170" s="50">
        <f t="shared" si="705"/>
        <v>-251.11944000000005</v>
      </c>
      <c r="AJ170" s="50">
        <f t="shared" si="705"/>
        <v>-168.70009599999997</v>
      </c>
      <c r="AK170" s="50">
        <f t="shared" si="705"/>
        <v>-154.02574800000002</v>
      </c>
      <c r="AL170" s="50">
        <f t="shared" si="705"/>
        <v>-118.191136</v>
      </c>
      <c r="AM170" s="50">
        <f t="shared" si="705"/>
        <v>-89.211454999999987</v>
      </c>
      <c r="AN170" s="50">
        <f t="shared" si="705"/>
        <v>-74.048497999999995</v>
      </c>
      <c r="AO170" s="50">
        <f t="shared" si="705"/>
        <v>-71.391831999999994</v>
      </c>
      <c r="AP170" s="50">
        <f t="shared" si="705"/>
        <v>-92.893463999999994</v>
      </c>
      <c r="AQ170" s="50">
        <f t="shared" si="705"/>
        <v>-126.01715999999999</v>
      </c>
      <c r="AR170" s="50">
        <f t="shared" ref="AR170" si="706">+AR171-AR169</f>
        <v>-140.73643899999999</v>
      </c>
      <c r="AS170" s="50">
        <f t="shared" ref="AS170:AT170" si="707">+AS171-AS169</f>
        <v>-170.125944</v>
      </c>
      <c r="AT170" s="50">
        <f t="shared" si="707"/>
        <v>-170.356112</v>
      </c>
      <c r="AU170" s="110">
        <f t="shared" ref="AU170:BF171" si="708">+AU208+AU213</f>
        <v>-166.63000000000002</v>
      </c>
      <c r="AV170" s="110">
        <f t="shared" si="708"/>
        <v>-168.488</v>
      </c>
      <c r="AW170" s="110">
        <f t="shared" si="708"/>
        <v>-173.31799999999998</v>
      </c>
      <c r="AX170" s="110">
        <f t="shared" si="708"/>
        <v>-179.39</v>
      </c>
      <c r="AY170" s="110">
        <f t="shared" si="708"/>
        <v>-183.09</v>
      </c>
      <c r="AZ170" s="110">
        <f t="shared" si="708"/>
        <v>-188.05199999999999</v>
      </c>
      <c r="BA170" s="110">
        <f t="shared" si="708"/>
        <v>-198.60599999999999</v>
      </c>
      <c r="BB170" s="110">
        <f t="shared" si="708"/>
        <v>-203.47200000000004</v>
      </c>
      <c r="BC170" s="110">
        <f t="shared" si="708"/>
        <v>-202.89000000000001</v>
      </c>
      <c r="BD170" s="110">
        <f t="shared" si="708"/>
        <v>-201.99</v>
      </c>
      <c r="BE170" s="110">
        <f t="shared" si="708"/>
        <v>-206.64000000000001</v>
      </c>
      <c r="BF170" s="110">
        <f t="shared" si="708"/>
        <v>-206.64000000000001</v>
      </c>
      <c r="BJ170" s="116">
        <f t="shared" si="631"/>
        <v>161</v>
      </c>
    </row>
    <row r="171" spans="2:62" hidden="1" outlineLevel="2">
      <c r="B171" s="189" t="s">
        <v>55</v>
      </c>
      <c r="C171" s="52">
        <f t="shared" si="702"/>
        <v>700.83202560000018</v>
      </c>
      <c r="D171" s="52">
        <f t="shared" si="702"/>
        <v>862.45394010000018</v>
      </c>
      <c r="E171" s="52">
        <f t="shared" si="702"/>
        <v>983.16758360000006</v>
      </c>
      <c r="F171" s="52">
        <f t="shared" si="702"/>
        <v>791.94994220000001</v>
      </c>
      <c r="G171" s="52">
        <f t="shared" si="702"/>
        <v>875.76826607920793</v>
      </c>
      <c r="H171" s="52">
        <f t="shared" si="702"/>
        <v>556.55258000000003</v>
      </c>
      <c r="I171" s="52">
        <f t="shared" si="702"/>
        <v>197.82675100000003</v>
      </c>
      <c r="J171" s="52">
        <f t="shared" si="702"/>
        <v>197.987345</v>
      </c>
      <c r="K171" s="52">
        <f t="shared" si="702"/>
        <v>390.47424999999998</v>
      </c>
      <c r="L171" s="52">
        <f t="shared" si="702"/>
        <v>501.11200000000008</v>
      </c>
      <c r="M171" s="52">
        <f t="shared" si="702"/>
        <v>548.89999999999986</v>
      </c>
      <c r="O171" s="52">
        <f>+O179*O163/1000000</f>
        <v>162.26273700000007</v>
      </c>
      <c r="P171" s="52">
        <f t="shared" ref="P171:AQ171" si="709">+P179*P163/1000000</f>
        <v>164.12845540000004</v>
      </c>
      <c r="Q171" s="52">
        <f t="shared" si="709"/>
        <v>183.38403400000004</v>
      </c>
      <c r="R171" s="52">
        <f t="shared" si="709"/>
        <v>191.05679920000003</v>
      </c>
      <c r="S171" s="52">
        <f t="shared" si="709"/>
        <v>191.08486800000003</v>
      </c>
      <c r="T171" s="52">
        <f t="shared" si="709"/>
        <v>208.75486450000002</v>
      </c>
      <c r="U171" s="52">
        <f t="shared" si="709"/>
        <v>215.43390680000002</v>
      </c>
      <c r="V171" s="52">
        <f t="shared" si="709"/>
        <v>247.1803008</v>
      </c>
      <c r="W171" s="52">
        <f t="shared" si="709"/>
        <v>275.23057380000006</v>
      </c>
      <c r="X171" s="52">
        <f t="shared" si="709"/>
        <v>262.71337820000002</v>
      </c>
      <c r="Y171" s="52">
        <f t="shared" si="709"/>
        <v>237.19605600000003</v>
      </c>
      <c r="Z171" s="52">
        <f t="shared" si="709"/>
        <v>208.02757560000001</v>
      </c>
      <c r="AA171" s="52">
        <f t="shared" si="709"/>
        <v>202.366512</v>
      </c>
      <c r="AB171" s="52">
        <f t="shared" si="709"/>
        <v>197.29082099999999</v>
      </c>
      <c r="AC171" s="52">
        <f t="shared" si="709"/>
        <v>202.015716</v>
      </c>
      <c r="AD171" s="52">
        <f t="shared" si="709"/>
        <v>190.27689320000002</v>
      </c>
      <c r="AE171" s="52">
        <f t="shared" si="709"/>
        <v>205.89136199999999</v>
      </c>
      <c r="AF171" s="52">
        <f t="shared" si="709"/>
        <v>223.68528000000001</v>
      </c>
      <c r="AG171" s="52">
        <f t="shared" si="709"/>
        <v>221.40802407920793</v>
      </c>
      <c r="AH171" s="52">
        <f t="shared" si="709"/>
        <v>224.78360000000001</v>
      </c>
      <c r="AI171" s="52">
        <f t="shared" si="709"/>
        <v>201.30155999999999</v>
      </c>
      <c r="AJ171" s="52">
        <f t="shared" si="709"/>
        <v>146.86890399999999</v>
      </c>
      <c r="AK171" s="52">
        <f t="shared" si="709"/>
        <v>105.913252</v>
      </c>
      <c r="AL171" s="52">
        <f t="shared" si="709"/>
        <v>102.468864</v>
      </c>
      <c r="AM171" s="52">
        <f t="shared" si="709"/>
        <v>55.964545000000001</v>
      </c>
      <c r="AN171" s="52">
        <f t="shared" si="709"/>
        <v>41.093502000000008</v>
      </c>
      <c r="AO171" s="52">
        <f t="shared" si="709"/>
        <v>44.703167999999998</v>
      </c>
      <c r="AP171" s="52">
        <f t="shared" si="709"/>
        <v>56.065536000000002</v>
      </c>
      <c r="AQ171" s="52">
        <f t="shared" si="709"/>
        <v>35.916840000000001</v>
      </c>
      <c r="AR171" s="52">
        <f t="shared" ref="AR171" si="710">+AR179*AR163/1000000</f>
        <v>46.607560999999997</v>
      </c>
      <c r="AS171" s="52">
        <f t="shared" ref="AS171:AT171" si="711">+AS179*AS163/1000000</f>
        <v>52.621056000000003</v>
      </c>
      <c r="AT171" s="52">
        <f t="shared" si="711"/>
        <v>62.841887999999997</v>
      </c>
      <c r="AU171" s="159">
        <f t="shared" si="708"/>
        <v>77.72</v>
      </c>
      <c r="AV171" s="159">
        <f t="shared" si="708"/>
        <v>95.844250000000031</v>
      </c>
      <c r="AW171" s="159">
        <f t="shared" si="708"/>
        <v>104.89</v>
      </c>
      <c r="AX171" s="159">
        <f t="shared" si="708"/>
        <v>112.01999999999995</v>
      </c>
      <c r="AY171" s="159">
        <f t="shared" si="708"/>
        <v>115.03500000000003</v>
      </c>
      <c r="AZ171" s="159">
        <f t="shared" si="708"/>
        <v>122.167</v>
      </c>
      <c r="BA171" s="159">
        <f t="shared" si="708"/>
        <v>130.38600000000008</v>
      </c>
      <c r="BB171" s="159">
        <f t="shared" si="708"/>
        <v>133.524</v>
      </c>
      <c r="BC171" s="159">
        <f t="shared" si="708"/>
        <v>134.71999999999997</v>
      </c>
      <c r="BD171" s="159">
        <f t="shared" si="708"/>
        <v>135.61999999999998</v>
      </c>
      <c r="BE171" s="159">
        <f t="shared" si="708"/>
        <v>139.27999999999997</v>
      </c>
      <c r="BF171" s="159">
        <f t="shared" si="708"/>
        <v>139.27999999999997</v>
      </c>
      <c r="BJ171" s="116">
        <f t="shared" si="631"/>
        <v>162</v>
      </c>
    </row>
    <row r="172" spans="2:62" hidden="1" outlineLevel="2">
      <c r="B172" s="25" t="s">
        <v>56</v>
      </c>
      <c r="C172" s="50">
        <f t="shared" si="702"/>
        <v>-49.955025600000198</v>
      </c>
      <c r="D172" s="50">
        <f t="shared" si="702"/>
        <v>-59.01394010000007</v>
      </c>
      <c r="E172" s="50">
        <f t="shared" si="702"/>
        <v>-66.532583600000123</v>
      </c>
      <c r="F172" s="50">
        <f t="shared" si="702"/>
        <v>-70.543942200000004</v>
      </c>
      <c r="G172" s="50">
        <f t="shared" si="702"/>
        <v>-70.089266079207931</v>
      </c>
      <c r="H172" s="50">
        <f t="shared" si="702"/>
        <v>-51.949579999999983</v>
      </c>
      <c r="I172" s="50">
        <f t="shared" si="702"/>
        <v>-29.069751000000011</v>
      </c>
      <c r="J172" s="50">
        <f t="shared" si="702"/>
        <v>-36.693344999999994</v>
      </c>
      <c r="K172" s="50">
        <f t="shared" si="702"/>
        <v>-39.003105380265694</v>
      </c>
      <c r="L172" s="50">
        <f t="shared" si="702"/>
        <v>-42.218215603468629</v>
      </c>
      <c r="M172" s="50">
        <f t="shared" si="702"/>
        <v>-45.698354307008259</v>
      </c>
      <c r="O172" s="50">
        <f>+O173-O171</f>
        <v>-10.360737000000086</v>
      </c>
      <c r="P172" s="50">
        <f t="shared" ref="P172:AQ172" si="712">+P173-P171</f>
        <v>-11.924455400000028</v>
      </c>
      <c r="Q172" s="50">
        <f t="shared" si="712"/>
        <v>-14.493034000000051</v>
      </c>
      <c r="R172" s="50">
        <f t="shared" si="712"/>
        <v>-13.176799200000033</v>
      </c>
      <c r="S172" s="50">
        <f t="shared" si="712"/>
        <v>-14.852868000000029</v>
      </c>
      <c r="T172" s="50">
        <f t="shared" si="712"/>
        <v>-13.842864500000019</v>
      </c>
      <c r="U172" s="50">
        <f t="shared" si="712"/>
        <v>-14.934906800000022</v>
      </c>
      <c r="V172" s="50">
        <f t="shared" si="712"/>
        <v>-15.383300800000001</v>
      </c>
      <c r="W172" s="50">
        <f t="shared" si="712"/>
        <v>-17.26657380000006</v>
      </c>
      <c r="X172" s="50">
        <f t="shared" si="712"/>
        <v>-15.965378200000032</v>
      </c>
      <c r="Y172" s="50">
        <f t="shared" si="712"/>
        <v>-16.150056000000035</v>
      </c>
      <c r="Z172" s="50">
        <f t="shared" si="712"/>
        <v>-17.150575599999996</v>
      </c>
      <c r="AA172" s="50">
        <f t="shared" si="712"/>
        <v>-17.507511999999991</v>
      </c>
      <c r="AB172" s="50">
        <f t="shared" si="712"/>
        <v>-18.491820999999987</v>
      </c>
      <c r="AC172" s="50">
        <f t="shared" si="712"/>
        <v>-31.693715999999995</v>
      </c>
      <c r="AD172" s="50">
        <f t="shared" si="712"/>
        <v>-2.85089320000003</v>
      </c>
      <c r="AE172" s="50">
        <f t="shared" si="712"/>
        <v>-18.254361999999986</v>
      </c>
      <c r="AF172" s="50">
        <f t="shared" si="712"/>
        <v>-17.624279999999999</v>
      </c>
      <c r="AG172" s="50">
        <f t="shared" si="712"/>
        <v>-16.428024079207944</v>
      </c>
      <c r="AH172" s="50">
        <f t="shared" si="712"/>
        <v>-17.782600000000002</v>
      </c>
      <c r="AI172" s="50">
        <f t="shared" si="712"/>
        <v>-14.956559999999996</v>
      </c>
      <c r="AJ172" s="50">
        <f t="shared" si="712"/>
        <v>-15.969903999999985</v>
      </c>
      <c r="AK172" s="50">
        <f t="shared" si="712"/>
        <v>-11.408252000000005</v>
      </c>
      <c r="AL172" s="50">
        <f t="shared" si="712"/>
        <v>-9.6148639999999972</v>
      </c>
      <c r="AM172" s="50">
        <f t="shared" si="712"/>
        <v>-8.2295450000000017</v>
      </c>
      <c r="AN172" s="50">
        <f t="shared" si="712"/>
        <v>-6.6155020000000064</v>
      </c>
      <c r="AO172" s="50">
        <f t="shared" si="712"/>
        <v>-7.4041679999999985</v>
      </c>
      <c r="AP172" s="50">
        <f t="shared" si="712"/>
        <v>-6.8205360000000042</v>
      </c>
      <c r="AQ172" s="50">
        <f t="shared" si="712"/>
        <v>-9.2878399999999992</v>
      </c>
      <c r="AR172" s="50">
        <f t="shared" ref="AR172" si="713">+AR173-AR171</f>
        <v>-8.8165610000000001</v>
      </c>
      <c r="AS172" s="50">
        <f t="shared" ref="AS172:AT172" si="714">+AS173-AS171</f>
        <v>-9.3650560000000027</v>
      </c>
      <c r="AT172" s="50">
        <f t="shared" si="714"/>
        <v>-9.2238879999999952</v>
      </c>
      <c r="AU172" s="111">
        <f t="shared" ref="AU172:BF172" si="715">AU86</f>
        <v>-9.4630797931937476</v>
      </c>
      <c r="AV172" s="111">
        <f t="shared" si="715"/>
        <v>-9.6523413890576233</v>
      </c>
      <c r="AW172" s="111">
        <f t="shared" si="715"/>
        <v>-9.8453882168387761</v>
      </c>
      <c r="AX172" s="111">
        <f t="shared" si="715"/>
        <v>-10.042295981175551</v>
      </c>
      <c r="AY172" s="111">
        <f t="shared" si="715"/>
        <v>-10.243141900799063</v>
      </c>
      <c r="AZ172" s="111">
        <f t="shared" si="715"/>
        <v>-10.448004738815046</v>
      </c>
      <c r="BA172" s="111">
        <f t="shared" si="715"/>
        <v>-10.656964833591347</v>
      </c>
      <c r="BB172" s="111">
        <f t="shared" si="715"/>
        <v>-10.870104130263174</v>
      </c>
      <c r="BC172" s="111">
        <f t="shared" si="715"/>
        <v>-11.087506212868437</v>
      </c>
      <c r="BD172" s="111">
        <f t="shared" si="715"/>
        <v>-11.309256337125806</v>
      </c>
      <c r="BE172" s="111">
        <f t="shared" si="715"/>
        <v>-11.535441463868322</v>
      </c>
      <c r="BF172" s="111">
        <f t="shared" si="715"/>
        <v>-11.766150293145689</v>
      </c>
      <c r="BJ172" s="116">
        <f t="shared" si="631"/>
        <v>163</v>
      </c>
    </row>
    <row r="173" spans="2:62" hidden="1" outlineLevel="2">
      <c r="B173" s="189" t="s">
        <v>57</v>
      </c>
      <c r="C173" s="52">
        <f t="shared" si="702"/>
        <v>650.87699999999995</v>
      </c>
      <c r="D173" s="52">
        <f t="shared" si="702"/>
        <v>803.44</v>
      </c>
      <c r="E173" s="52">
        <f t="shared" si="702"/>
        <v>916.63499999999999</v>
      </c>
      <c r="F173" s="52">
        <f t="shared" si="702"/>
        <v>721.40599999999995</v>
      </c>
      <c r="G173" s="52">
        <f t="shared" si="702"/>
        <v>805.67899999999997</v>
      </c>
      <c r="H173" s="52">
        <f t="shared" si="702"/>
        <v>504.60300000000001</v>
      </c>
      <c r="I173" s="52">
        <f t="shared" si="702"/>
        <v>168.75700000000001</v>
      </c>
      <c r="J173" s="52">
        <f t="shared" si="702"/>
        <v>161.29400000000001</v>
      </c>
      <c r="K173" s="52">
        <f t="shared" si="702"/>
        <v>351.47114461973433</v>
      </c>
      <c r="L173" s="52">
        <f t="shared" si="702"/>
        <v>458.89378439653149</v>
      </c>
      <c r="M173" s="52">
        <f t="shared" si="702"/>
        <v>503.20164569299163</v>
      </c>
      <c r="O173" s="117">
        <f t="shared" ref="O173:AT173" si="716">O23</f>
        <v>151.90199999999999</v>
      </c>
      <c r="P173" s="117">
        <f t="shared" si="716"/>
        <v>152.20400000000001</v>
      </c>
      <c r="Q173" s="117">
        <f t="shared" si="716"/>
        <v>168.89099999999999</v>
      </c>
      <c r="R173" s="117">
        <f t="shared" si="716"/>
        <v>177.88</v>
      </c>
      <c r="S173" s="117">
        <f t="shared" si="716"/>
        <v>176.232</v>
      </c>
      <c r="T173" s="117">
        <f t="shared" si="716"/>
        <v>194.91200000000001</v>
      </c>
      <c r="U173" s="117">
        <f t="shared" si="716"/>
        <v>200.499</v>
      </c>
      <c r="V173" s="117">
        <f t="shared" si="716"/>
        <v>231.797</v>
      </c>
      <c r="W173" s="117">
        <f t="shared" si="716"/>
        <v>257.964</v>
      </c>
      <c r="X173" s="117">
        <f t="shared" si="716"/>
        <v>246.74799999999999</v>
      </c>
      <c r="Y173" s="117">
        <f t="shared" si="716"/>
        <v>221.04599999999999</v>
      </c>
      <c r="Z173" s="117">
        <f t="shared" si="716"/>
        <v>190.87700000000001</v>
      </c>
      <c r="AA173" s="117">
        <f t="shared" si="716"/>
        <v>184.85900000000001</v>
      </c>
      <c r="AB173" s="117">
        <f t="shared" si="716"/>
        <v>178.79900000000001</v>
      </c>
      <c r="AC173" s="117">
        <f t="shared" si="716"/>
        <v>170.322</v>
      </c>
      <c r="AD173" s="117">
        <f t="shared" si="716"/>
        <v>187.42599999999999</v>
      </c>
      <c r="AE173" s="117">
        <f t="shared" si="716"/>
        <v>187.637</v>
      </c>
      <c r="AF173" s="117">
        <f t="shared" si="716"/>
        <v>206.06100000000001</v>
      </c>
      <c r="AG173" s="117">
        <f t="shared" si="716"/>
        <v>204.98</v>
      </c>
      <c r="AH173" s="117">
        <f t="shared" si="716"/>
        <v>207.001</v>
      </c>
      <c r="AI173" s="117">
        <f t="shared" si="716"/>
        <v>186.345</v>
      </c>
      <c r="AJ173" s="117">
        <f t="shared" si="716"/>
        <v>130.899</v>
      </c>
      <c r="AK173" s="117">
        <f t="shared" si="716"/>
        <v>94.504999999999995</v>
      </c>
      <c r="AL173" s="117">
        <f t="shared" si="716"/>
        <v>92.853999999999999</v>
      </c>
      <c r="AM173" s="117">
        <f t="shared" si="716"/>
        <v>47.734999999999999</v>
      </c>
      <c r="AN173" s="117">
        <f t="shared" si="716"/>
        <v>34.478000000000002</v>
      </c>
      <c r="AO173" s="117">
        <f t="shared" si="716"/>
        <v>37.298999999999999</v>
      </c>
      <c r="AP173" s="117">
        <f t="shared" si="716"/>
        <v>49.244999999999997</v>
      </c>
      <c r="AQ173" s="117">
        <f t="shared" si="716"/>
        <v>26.629000000000001</v>
      </c>
      <c r="AR173" s="117">
        <f t="shared" si="716"/>
        <v>37.790999999999997</v>
      </c>
      <c r="AS173" s="117">
        <f t="shared" si="716"/>
        <v>43.256</v>
      </c>
      <c r="AT173" s="117">
        <f t="shared" si="716"/>
        <v>53.618000000000002</v>
      </c>
      <c r="AU173" s="159">
        <f t="shared" ref="AU173" si="717">+AU171+AU172</f>
        <v>68.256920206806257</v>
      </c>
      <c r="AV173" s="159">
        <f t="shared" ref="AV173" si="718">+AV171+AV172</f>
        <v>86.191908610942406</v>
      </c>
      <c r="AW173" s="159">
        <f t="shared" ref="AW173" si="719">+AW171+AW172</f>
        <v>95.04461178316123</v>
      </c>
      <c r="AX173" s="159">
        <f t="shared" ref="AX173" si="720">+AX171+AX172</f>
        <v>101.9777040188244</v>
      </c>
      <c r="AY173" s="159">
        <f t="shared" ref="AY173" si="721">+AY171+AY172</f>
        <v>104.79185809920097</v>
      </c>
      <c r="AZ173" s="159">
        <f t="shared" ref="AZ173" si="722">+AZ171+AZ172</f>
        <v>111.71899526118496</v>
      </c>
      <c r="BA173" s="159">
        <f t="shared" ref="BA173" si="723">+BA171+BA172</f>
        <v>119.72903516640874</v>
      </c>
      <c r="BB173" s="159">
        <f t="shared" ref="BB173" si="724">+BB171+BB172</f>
        <v>122.65389586973683</v>
      </c>
      <c r="BC173" s="159">
        <f t="shared" ref="BC173" si="725">+BC171+BC172</f>
        <v>123.63249378713154</v>
      </c>
      <c r="BD173" s="159">
        <f t="shared" ref="BD173" si="726">+BD171+BD172</f>
        <v>124.31074366287417</v>
      </c>
      <c r="BE173" s="159">
        <f t="shared" ref="BE173" si="727">+BE171+BE172</f>
        <v>127.74455853613165</v>
      </c>
      <c r="BF173" s="159">
        <f t="shared" ref="BF173" si="728">+BF171+BF172</f>
        <v>127.51384970685429</v>
      </c>
      <c r="BJ173" s="116">
        <f t="shared" si="631"/>
        <v>164</v>
      </c>
    </row>
    <row r="174" spans="2:62" hidden="1" outlineLevel="2">
      <c r="B174" s="25" t="s">
        <v>58</v>
      </c>
      <c r="C174" s="50">
        <f t="shared" si="702"/>
        <v>-315.52099999999996</v>
      </c>
      <c r="D174" s="50">
        <f t="shared" si="702"/>
        <v>-360.60900000000004</v>
      </c>
      <c r="E174" s="50">
        <f t="shared" si="702"/>
        <v>-406.74099999999999</v>
      </c>
      <c r="F174" s="50">
        <f t="shared" si="702"/>
        <v>-440.21000000000004</v>
      </c>
      <c r="G174" s="50">
        <f t="shared" si="702"/>
        <v>-465.50600000000003</v>
      </c>
      <c r="H174" s="50">
        <f t="shared" si="702"/>
        <v>-425.952</v>
      </c>
      <c r="I174" s="50">
        <f t="shared" si="702"/>
        <v>-382.86700000000002</v>
      </c>
      <c r="J174" s="50">
        <f t="shared" si="702"/>
        <v>-375.17100000000005</v>
      </c>
      <c r="K174" s="50">
        <f t="shared" si="702"/>
        <v>-373.46707787979938</v>
      </c>
      <c r="L174" s="50">
        <f t="shared" si="702"/>
        <v>-348.41444675159124</v>
      </c>
      <c r="M174" s="50">
        <f t="shared" si="702"/>
        <v>-326.34582608871301</v>
      </c>
      <c r="O174" s="50">
        <f>+O175-O173</f>
        <v>-70.285999999999987</v>
      </c>
      <c r="P174" s="50">
        <f t="shared" ref="P174:AR174" si="729">+P175-P173</f>
        <v>-73.543000000000006</v>
      </c>
      <c r="Q174" s="50">
        <f t="shared" si="729"/>
        <v>-85.22999999999999</v>
      </c>
      <c r="R174" s="50">
        <f t="shared" si="729"/>
        <v>-86.461999999999989</v>
      </c>
      <c r="S174" s="50">
        <f t="shared" si="729"/>
        <v>-89.094999999999999</v>
      </c>
      <c r="T174" s="50">
        <f t="shared" si="729"/>
        <v>-88.452000000000012</v>
      </c>
      <c r="U174" s="50">
        <f t="shared" si="729"/>
        <v>-90.143999999999991</v>
      </c>
      <c r="V174" s="50">
        <f t="shared" si="729"/>
        <v>-92.918000000000006</v>
      </c>
      <c r="W174" s="50">
        <f t="shared" si="729"/>
        <v>-91.230999999999995</v>
      </c>
      <c r="X174" s="50">
        <f t="shared" si="729"/>
        <v>-101.39699999999999</v>
      </c>
      <c r="Y174" s="50">
        <f t="shared" si="729"/>
        <v>-105.839</v>
      </c>
      <c r="Z174" s="50">
        <f t="shared" si="729"/>
        <v>-108.27400000000002</v>
      </c>
      <c r="AA174" s="50">
        <f t="shared" si="729"/>
        <v>-107.26400000000001</v>
      </c>
      <c r="AB174" s="50">
        <f t="shared" si="729"/>
        <v>-108.986</v>
      </c>
      <c r="AC174" s="50">
        <f t="shared" si="729"/>
        <v>-111.91200000000001</v>
      </c>
      <c r="AD174" s="50">
        <f t="shared" si="729"/>
        <v>-112.04799999999999</v>
      </c>
      <c r="AE174" s="50">
        <f t="shared" si="729"/>
        <v>-115.143</v>
      </c>
      <c r="AF174" s="50">
        <f t="shared" si="729"/>
        <v>-116.084</v>
      </c>
      <c r="AG174" s="50">
        <f t="shared" si="729"/>
        <v>-117.76799999999999</v>
      </c>
      <c r="AH174" s="50">
        <f t="shared" si="729"/>
        <v>-116.51100000000001</v>
      </c>
      <c r="AI174" s="50">
        <f t="shared" si="729"/>
        <v>-110.70700000000001</v>
      </c>
      <c r="AJ174" s="50">
        <f t="shared" si="729"/>
        <v>-105.054</v>
      </c>
      <c r="AK174" s="50">
        <f t="shared" si="729"/>
        <v>-108.539</v>
      </c>
      <c r="AL174" s="50">
        <f t="shared" si="729"/>
        <v>-101.652</v>
      </c>
      <c r="AM174" s="50">
        <f t="shared" si="729"/>
        <v>-98.793999999999997</v>
      </c>
      <c r="AN174" s="50">
        <f t="shared" si="729"/>
        <v>-95.706000000000003</v>
      </c>
      <c r="AO174" s="50">
        <f t="shared" si="729"/>
        <v>-96.174999999999997</v>
      </c>
      <c r="AP174" s="50">
        <f t="shared" si="729"/>
        <v>-92.192000000000007</v>
      </c>
      <c r="AQ174" s="50">
        <f t="shared" si="729"/>
        <v>-89.811000000000007</v>
      </c>
      <c r="AR174" s="50">
        <f t="shared" si="729"/>
        <v>-93.87</v>
      </c>
      <c r="AS174" s="50">
        <f t="shared" ref="AS174:AT174" si="730">+AS175-AS173</f>
        <v>-96.792000000000002</v>
      </c>
      <c r="AT174" s="50">
        <f t="shared" si="730"/>
        <v>-94.698000000000008</v>
      </c>
      <c r="AU174" s="111">
        <f t="shared" ref="AU174:BF174" si="731">AU130</f>
        <v>-95.929153391941369</v>
      </c>
      <c r="AV174" s="111">
        <f t="shared" si="731"/>
        <v>-94.099310991108183</v>
      </c>
      <c r="AW174" s="111">
        <f t="shared" si="731"/>
        <v>-92.469743266547894</v>
      </c>
      <c r="AX174" s="111">
        <f t="shared" si="731"/>
        <v>-90.968870230201986</v>
      </c>
      <c r="AY174" s="111">
        <f t="shared" si="731"/>
        <v>-89.544390750927604</v>
      </c>
      <c r="AZ174" s="111">
        <f t="shared" si="731"/>
        <v>-87.868195586956546</v>
      </c>
      <c r="BA174" s="111">
        <f t="shared" si="731"/>
        <v>-86.242963751463378</v>
      </c>
      <c r="BB174" s="111">
        <f t="shared" si="731"/>
        <v>-84.758896662243728</v>
      </c>
      <c r="BC174" s="111">
        <f t="shared" si="731"/>
        <v>-83.350626518972604</v>
      </c>
      <c r="BD174" s="111">
        <f t="shared" si="731"/>
        <v>-82.159947459767253</v>
      </c>
      <c r="BE174" s="111">
        <f t="shared" si="731"/>
        <v>-80.965814825650781</v>
      </c>
      <c r="BF174" s="111">
        <f t="shared" si="731"/>
        <v>-79.869437284322373</v>
      </c>
      <c r="BJ174" s="116">
        <f t="shared" si="631"/>
        <v>165</v>
      </c>
    </row>
    <row r="175" spans="2:62" hidden="1" outlineLevel="2">
      <c r="B175" s="189" t="s">
        <v>59</v>
      </c>
      <c r="C175" s="52">
        <f t="shared" si="702"/>
        <v>335.35599999999999</v>
      </c>
      <c r="D175" s="52">
        <f t="shared" si="702"/>
        <v>442.83100000000002</v>
      </c>
      <c r="E175" s="52">
        <f t="shared" si="702"/>
        <v>509.89400000000001</v>
      </c>
      <c r="F175" s="52">
        <f t="shared" si="702"/>
        <v>281.19600000000003</v>
      </c>
      <c r="G175" s="52">
        <f t="shared" si="702"/>
        <v>340.173</v>
      </c>
      <c r="H175" s="52">
        <f t="shared" si="702"/>
        <v>78.650999999999982</v>
      </c>
      <c r="I175" s="52">
        <f t="shared" si="702"/>
        <v>-214.11</v>
      </c>
      <c r="J175" s="52">
        <f t="shared" si="702"/>
        <v>-213.87700000000001</v>
      </c>
      <c r="K175" s="52">
        <f t="shared" si="702"/>
        <v>-21.995933260065144</v>
      </c>
      <c r="L175" s="52">
        <f t="shared" si="702"/>
        <v>110.47933764494023</v>
      </c>
      <c r="M175" s="52">
        <f t="shared" si="702"/>
        <v>176.85581960427862</v>
      </c>
      <c r="O175" s="77">
        <v>81.616</v>
      </c>
      <c r="P175" s="77">
        <v>78.661000000000001</v>
      </c>
      <c r="Q175" s="77">
        <v>83.661000000000001</v>
      </c>
      <c r="R175" s="77">
        <v>91.418000000000006</v>
      </c>
      <c r="S175" s="77">
        <v>87.137</v>
      </c>
      <c r="T175" s="77">
        <v>106.46</v>
      </c>
      <c r="U175" s="77">
        <v>110.355</v>
      </c>
      <c r="V175" s="77">
        <v>138.87899999999999</v>
      </c>
      <c r="W175" s="77">
        <v>166.733</v>
      </c>
      <c r="X175" s="77">
        <v>145.351</v>
      </c>
      <c r="Y175" s="77">
        <v>115.20699999999999</v>
      </c>
      <c r="Z175" s="77">
        <v>82.602999999999994</v>
      </c>
      <c r="AA175" s="77">
        <v>77.594999999999999</v>
      </c>
      <c r="AB175" s="77">
        <v>69.813000000000002</v>
      </c>
      <c r="AC175" s="77">
        <v>58.41</v>
      </c>
      <c r="AD175" s="77">
        <v>75.378</v>
      </c>
      <c r="AE175" s="77">
        <v>72.494</v>
      </c>
      <c r="AF175" s="77">
        <v>89.977000000000004</v>
      </c>
      <c r="AG175" s="77">
        <v>87.212000000000003</v>
      </c>
      <c r="AH175" s="77">
        <v>90.49</v>
      </c>
      <c r="AI175" s="77">
        <v>75.637999999999991</v>
      </c>
      <c r="AJ175" s="77">
        <v>25.844999999999999</v>
      </c>
      <c r="AK175" s="77">
        <v>-14.034000000000001</v>
      </c>
      <c r="AL175" s="77">
        <v>-8.798</v>
      </c>
      <c r="AM175" s="77">
        <v>-51.058999999999997</v>
      </c>
      <c r="AN175" s="77">
        <v>-61.228000000000002</v>
      </c>
      <c r="AO175" s="77">
        <v>-58.875999999999998</v>
      </c>
      <c r="AP175" s="77">
        <v>-42.947000000000003</v>
      </c>
      <c r="AQ175" s="77">
        <v>-63.182000000000002</v>
      </c>
      <c r="AR175" s="77">
        <v>-56.079000000000001</v>
      </c>
      <c r="AS175" s="77">
        <v>-53.536000000000001</v>
      </c>
      <c r="AT175" s="77">
        <v>-41.08</v>
      </c>
      <c r="AU175" s="159">
        <f t="shared" ref="AU175" si="732">+AU173+AU174</f>
        <v>-27.672233185135113</v>
      </c>
      <c r="AV175" s="159">
        <f t="shared" ref="AV175" si="733">+AV173+AV174</f>
        <v>-7.9074023801657773</v>
      </c>
      <c r="AW175" s="159">
        <f t="shared" ref="AW175" si="734">+AW173+AW174</f>
        <v>2.5748685166133356</v>
      </c>
      <c r="AX175" s="159">
        <f t="shared" ref="AX175" si="735">+AX173+AX174</f>
        <v>11.008833788622411</v>
      </c>
      <c r="AY175" s="159">
        <f t="shared" ref="AY175" si="736">+AY173+AY174</f>
        <v>15.247467348273361</v>
      </c>
      <c r="AZ175" s="159">
        <f t="shared" ref="AZ175" si="737">+AZ173+AZ174</f>
        <v>23.850799674228412</v>
      </c>
      <c r="BA175" s="159">
        <f t="shared" ref="BA175" si="738">+BA173+BA174</f>
        <v>33.486071414945357</v>
      </c>
      <c r="BB175" s="159">
        <f t="shared" ref="BB175" si="739">+BB173+BB174</f>
        <v>37.8949992074931</v>
      </c>
      <c r="BC175" s="159">
        <f t="shared" ref="BC175" si="740">+BC173+BC174</f>
        <v>40.281867268158933</v>
      </c>
      <c r="BD175" s="159">
        <f t="shared" ref="BD175" si="741">+BD173+BD174</f>
        <v>42.150796203106921</v>
      </c>
      <c r="BE175" s="159">
        <f t="shared" ref="BE175" si="742">+BE173+BE174</f>
        <v>46.778743710480867</v>
      </c>
      <c r="BF175" s="159">
        <f t="shared" ref="BF175" si="743">+BF173+BF174</f>
        <v>47.644412422531914</v>
      </c>
      <c r="BJ175" s="116">
        <f t="shared" si="631"/>
        <v>166</v>
      </c>
    </row>
    <row r="176" spans="2:62" hidden="1" outlineLevel="2">
      <c r="B176" s="11"/>
      <c r="BJ176" s="116">
        <f t="shared" si="631"/>
        <v>167</v>
      </c>
    </row>
    <row r="177" spans="1:62" hidden="1" outlineLevel="2">
      <c r="B177" s="10" t="s">
        <v>60</v>
      </c>
      <c r="C177" s="98">
        <f>C169*1000000/C$163</f>
        <v>22884.985842185841</v>
      </c>
      <c r="D177" s="98">
        <f t="shared" ref="D177:M177" si="744">D169*1000000/D$163</f>
        <v>25515.786867398991</v>
      </c>
      <c r="E177" s="98">
        <f t="shared" si="744"/>
        <v>28389.339571118984</v>
      </c>
      <c r="F177" s="98">
        <f t="shared" si="744"/>
        <v>26383.23245758027</v>
      </c>
      <c r="G177" s="98">
        <f t="shared" si="744"/>
        <v>27438.847808723876</v>
      </c>
      <c r="H177" s="98">
        <f t="shared" si="744"/>
        <v>28448.143084985197</v>
      </c>
      <c r="I177" s="98">
        <f t="shared" si="744"/>
        <v>23212.038738866115</v>
      </c>
      <c r="J177" s="98">
        <f t="shared" si="744"/>
        <v>21828.268589552445</v>
      </c>
      <c r="K177" s="98">
        <f t="shared" si="744"/>
        <v>25082.583158874157</v>
      </c>
      <c r="L177" s="98">
        <f t="shared" si="744"/>
        <v>26292.234051332838</v>
      </c>
      <c r="M177" s="98">
        <f t="shared" si="744"/>
        <v>26396.215485614983</v>
      </c>
      <c r="O177" s="98">
        <f>O169*1000000/O$163</f>
        <v>22227.725221047425</v>
      </c>
      <c r="P177" s="98">
        <f t="shared" ref="P177:AR177" si="745">P169*1000000/P$163</f>
        <v>22160.69346231395</v>
      </c>
      <c r="Q177" s="98">
        <f t="shared" si="745"/>
        <v>23314.80378532195</v>
      </c>
      <c r="R177" s="98">
        <f t="shared" si="745"/>
        <v>23738.014757864967</v>
      </c>
      <c r="S177" s="98">
        <f t="shared" si="745"/>
        <v>24869.505191075768</v>
      </c>
      <c r="T177" s="98">
        <f t="shared" si="745"/>
        <v>25220.54591252092</v>
      </c>
      <c r="U177" s="98">
        <f t="shared" si="745"/>
        <v>25210.138258068386</v>
      </c>
      <c r="V177" s="98">
        <f t="shared" si="745"/>
        <v>26613.734026383445</v>
      </c>
      <c r="W177" s="98">
        <f t="shared" si="745"/>
        <v>28821.680201855859</v>
      </c>
      <c r="X177" s="98">
        <f t="shared" si="745"/>
        <v>27845.260959945677</v>
      </c>
      <c r="Y177" s="98">
        <f t="shared" si="745"/>
        <v>28603.8372859025</v>
      </c>
      <c r="Z177" s="98">
        <f t="shared" si="745"/>
        <v>28282.231716511684</v>
      </c>
      <c r="AA177" s="98">
        <f t="shared" si="745"/>
        <v>28409.106891701827</v>
      </c>
      <c r="AB177" s="98">
        <f t="shared" si="745"/>
        <v>26057.287889775198</v>
      </c>
      <c r="AC177" s="98">
        <f t="shared" si="745"/>
        <v>25374.722715173026</v>
      </c>
      <c r="AD177" s="98">
        <f t="shared" si="745"/>
        <v>25805.73939340813</v>
      </c>
      <c r="AE177" s="98">
        <f t="shared" si="745"/>
        <v>27453.802301817792</v>
      </c>
      <c r="AF177" s="98">
        <f t="shared" si="745"/>
        <v>27111.009361009361</v>
      </c>
      <c r="AG177" s="98">
        <f t="shared" si="745"/>
        <v>27261.272141706926</v>
      </c>
      <c r="AH177" s="98">
        <f t="shared" si="745"/>
        <v>27935.910582444627</v>
      </c>
      <c r="AI177" s="98">
        <f t="shared" si="745"/>
        <v>30101.197604790425</v>
      </c>
      <c r="AJ177" s="98">
        <f t="shared" si="745"/>
        <v>28898.260073260069</v>
      </c>
      <c r="AK177" s="98">
        <f t="shared" si="745"/>
        <v>27431.300126635713</v>
      </c>
      <c r="AL177" s="98">
        <f t="shared" si="745"/>
        <v>26070.415879017015</v>
      </c>
      <c r="AM177" s="98">
        <f t="shared" si="745"/>
        <v>24543.702451394758</v>
      </c>
      <c r="AN177" s="98">
        <f t="shared" si="745"/>
        <v>23873.522703711387</v>
      </c>
      <c r="AO177" s="98">
        <f t="shared" si="745"/>
        <v>22022.725548220653</v>
      </c>
      <c r="AP177" s="98">
        <f t="shared" si="745"/>
        <v>22487.771739130436</v>
      </c>
      <c r="AQ177" s="98">
        <f t="shared" si="745"/>
        <v>20216.479400749064</v>
      </c>
      <c r="AR177" s="98">
        <f t="shared" si="745"/>
        <v>20383.418561636383</v>
      </c>
      <c r="AS177" s="98">
        <f t="shared" ref="AS177:AT177" si="746">AS169*1000000/AS$163</f>
        <v>22418.176328502417</v>
      </c>
      <c r="AT177" s="98">
        <f t="shared" si="746"/>
        <v>23912.838392124693</v>
      </c>
      <c r="AU177" s="98">
        <f t="shared" ref="AU177:BF177" si="747">AU169*1000000/AU$163</f>
        <v>24026.548672566376</v>
      </c>
      <c r="AV177" s="98">
        <f t="shared" si="747"/>
        <v>25040.948275862072</v>
      </c>
      <c r="AW177" s="98">
        <f t="shared" si="747"/>
        <v>25411.764705882346</v>
      </c>
      <c r="AX177" s="98">
        <f t="shared" si="747"/>
        <v>25752.0325203252</v>
      </c>
      <c r="AY177" s="98">
        <f t="shared" si="747"/>
        <v>26082.677165354329</v>
      </c>
      <c r="AZ177" s="98">
        <f t="shared" si="747"/>
        <v>26223.076923076922</v>
      </c>
      <c r="BA177" s="98">
        <f t="shared" si="747"/>
        <v>26488.888888888894</v>
      </c>
      <c r="BB177" s="98">
        <f t="shared" si="747"/>
        <v>26352.517985611514</v>
      </c>
      <c r="BC177" s="98">
        <f t="shared" si="747"/>
        <v>26312.056737588653</v>
      </c>
      <c r="BD177" s="98">
        <f t="shared" si="747"/>
        <v>26312.056737588653</v>
      </c>
      <c r="BE177" s="98">
        <f t="shared" si="747"/>
        <v>26478.873239436616</v>
      </c>
      <c r="BF177" s="98">
        <f t="shared" si="747"/>
        <v>26478.873239436616</v>
      </c>
      <c r="BJ177" s="116">
        <f t="shared" si="631"/>
        <v>168</v>
      </c>
    </row>
    <row r="178" spans="1:62" hidden="1" outlineLevel="2">
      <c r="B178" s="10" t="s">
        <v>61</v>
      </c>
      <c r="C178" s="98">
        <f>-C170*1000000/C$163</f>
        <v>12847.302917068291</v>
      </c>
      <c r="D178" s="98">
        <f t="shared" ref="D178:M178" si="748">-D170*1000000/D$163</f>
        <v>14508.514148131979</v>
      </c>
      <c r="E178" s="98">
        <f t="shared" si="748"/>
        <v>16130.300431175296</v>
      </c>
      <c r="F178" s="98">
        <f t="shared" si="748"/>
        <v>15272.168924094853</v>
      </c>
      <c r="G178" s="98">
        <f t="shared" si="748"/>
        <v>16156.954292644112</v>
      </c>
      <c r="H178" s="98">
        <f t="shared" si="748"/>
        <v>15767.519252677148</v>
      </c>
      <c r="I178" s="98">
        <f t="shared" si="748"/>
        <v>14471.637256114804</v>
      </c>
      <c r="J178" s="98">
        <f t="shared" si="748"/>
        <v>16461.157933259237</v>
      </c>
      <c r="K178" s="98">
        <f t="shared" si="748"/>
        <v>15999.674342870436</v>
      </c>
      <c r="L178" s="98">
        <f t="shared" si="748"/>
        <v>15953.20623916811</v>
      </c>
      <c r="M178" s="98">
        <f t="shared" si="748"/>
        <v>15797.644332882795</v>
      </c>
      <c r="O178" s="98">
        <f>-O170*1000000/O$163</f>
        <v>12194.785321214364</v>
      </c>
      <c r="P178" s="98">
        <f t="shared" ref="P178:AR178" si="749">-P170*1000000/P$163</f>
        <v>12732.520958393405</v>
      </c>
      <c r="Q178" s="98">
        <f t="shared" si="749"/>
        <v>13201.63931352436</v>
      </c>
      <c r="R178" s="98">
        <f t="shared" si="749"/>
        <v>13185.655311063978</v>
      </c>
      <c r="S178" s="98">
        <f t="shared" si="749"/>
        <v>14316.994256682128</v>
      </c>
      <c r="T178" s="98">
        <f t="shared" si="749"/>
        <v>14196.95388945509</v>
      </c>
      <c r="U178" s="98">
        <f t="shared" si="749"/>
        <v>14433.916905100137</v>
      </c>
      <c r="V178" s="98">
        <f t="shared" si="749"/>
        <v>15017.953275412359</v>
      </c>
      <c r="W178" s="98">
        <f t="shared" si="749"/>
        <v>16172.111820425494</v>
      </c>
      <c r="X178" s="98">
        <f t="shared" si="749"/>
        <v>15627.909288341785</v>
      </c>
      <c r="Y178" s="98">
        <f t="shared" si="749"/>
        <v>16396.365694993412</v>
      </c>
      <c r="Z178" s="98">
        <f t="shared" si="749"/>
        <v>16400.101921451256</v>
      </c>
      <c r="AA178" s="98">
        <f t="shared" si="749"/>
        <v>16549.84106891702</v>
      </c>
      <c r="AB178" s="98">
        <f t="shared" si="749"/>
        <v>15052.054387237129</v>
      </c>
      <c r="AC178" s="98">
        <f t="shared" si="749"/>
        <v>14171.544143744455</v>
      </c>
      <c r="AD178" s="98">
        <f t="shared" si="749"/>
        <v>15381.207639375871</v>
      </c>
      <c r="AE178" s="98">
        <f t="shared" si="749"/>
        <v>16380.802301817794</v>
      </c>
      <c r="AF178" s="98">
        <f t="shared" si="749"/>
        <v>15731.009361009361</v>
      </c>
      <c r="AG178" s="98">
        <f t="shared" si="749"/>
        <v>16119.564005675928</v>
      </c>
      <c r="AH178" s="98">
        <f t="shared" si="749"/>
        <v>16410.910582444627</v>
      </c>
      <c r="AI178" s="98">
        <f t="shared" si="749"/>
        <v>16707.88023952096</v>
      </c>
      <c r="AJ178" s="98">
        <f t="shared" si="749"/>
        <v>15448.726739926737</v>
      </c>
      <c r="AK178" s="98">
        <f t="shared" si="749"/>
        <v>16254.300126635715</v>
      </c>
      <c r="AL178" s="98">
        <f t="shared" si="749"/>
        <v>13963.981096408317</v>
      </c>
      <c r="AM178" s="98">
        <f t="shared" si="749"/>
        <v>15082.240912933217</v>
      </c>
      <c r="AN178" s="98">
        <f t="shared" si="749"/>
        <v>15353.202985693551</v>
      </c>
      <c r="AO178" s="98">
        <f t="shared" si="749"/>
        <v>13542.725548220653</v>
      </c>
      <c r="AP178" s="98">
        <f t="shared" si="749"/>
        <v>14023.771739130434</v>
      </c>
      <c r="AQ178" s="98">
        <f t="shared" si="749"/>
        <v>15732.479400749062</v>
      </c>
      <c r="AR178" s="98">
        <f t="shared" si="749"/>
        <v>15312.418561636383</v>
      </c>
      <c r="AS178" s="98">
        <f t="shared" ref="AS178:AT178" si="750">-AS170*1000000/AS$163</f>
        <v>17122.176328502417</v>
      </c>
      <c r="AT178" s="98">
        <f t="shared" si="750"/>
        <v>17468.838392124693</v>
      </c>
      <c r="AU178" s="98">
        <f t="shared" ref="AU178:BF178" si="751">-AU170*1000000/AU$163</f>
        <v>16384.464110127828</v>
      </c>
      <c r="AV178" s="98">
        <f t="shared" si="751"/>
        <v>15961.348995831755</v>
      </c>
      <c r="AW178" s="98">
        <f t="shared" si="751"/>
        <v>15831.019364267444</v>
      </c>
      <c r="AX178" s="98">
        <f t="shared" si="751"/>
        <v>15852.774832096147</v>
      </c>
      <c r="AY178" s="98">
        <f t="shared" si="751"/>
        <v>16018.372703412073</v>
      </c>
      <c r="AZ178" s="98">
        <f t="shared" si="751"/>
        <v>15896.196111580726</v>
      </c>
      <c r="BA178" s="98">
        <f t="shared" si="751"/>
        <v>15990.821256038647</v>
      </c>
      <c r="BB178" s="98">
        <f t="shared" si="751"/>
        <v>15911.166718798877</v>
      </c>
      <c r="BC178" s="98">
        <f t="shared" si="751"/>
        <v>15812.485386953473</v>
      </c>
      <c r="BD178" s="98">
        <f t="shared" si="751"/>
        <v>15742.342763619359</v>
      </c>
      <c r="BE178" s="98">
        <f t="shared" si="751"/>
        <v>15817.513778322107</v>
      </c>
      <c r="BF178" s="98">
        <f t="shared" si="751"/>
        <v>15817.513778322107</v>
      </c>
      <c r="BJ178" s="116">
        <f t="shared" si="631"/>
        <v>169</v>
      </c>
    </row>
    <row r="179" spans="1:62" hidden="1" outlineLevel="2">
      <c r="B179" s="10" t="s">
        <v>62</v>
      </c>
      <c r="C179" s="98">
        <f>C171*1000000/C$163</f>
        <v>10037.682925117553</v>
      </c>
      <c r="D179" s="98">
        <f t="shared" ref="D179:M179" si="752">D171*1000000/D$163</f>
        <v>11007.272719267012</v>
      </c>
      <c r="E179" s="98">
        <f t="shared" si="752"/>
        <v>12259.039139943688</v>
      </c>
      <c r="F179" s="98">
        <f t="shared" si="752"/>
        <v>11111.06353348542</v>
      </c>
      <c r="G179" s="98">
        <f t="shared" si="752"/>
        <v>11281.893516079766</v>
      </c>
      <c r="H179" s="98">
        <f t="shared" si="752"/>
        <v>12680.623832308043</v>
      </c>
      <c r="I179" s="98">
        <f t="shared" si="752"/>
        <v>8740.4014827513092</v>
      </c>
      <c r="J179" s="98">
        <f t="shared" si="752"/>
        <v>5367.1106562932036</v>
      </c>
      <c r="K179" s="98">
        <f t="shared" si="752"/>
        <v>9082.9088160037227</v>
      </c>
      <c r="L179" s="98">
        <f t="shared" si="752"/>
        <v>10339.027812164728</v>
      </c>
      <c r="M179" s="98">
        <f t="shared" si="752"/>
        <v>10598.571152732186</v>
      </c>
      <c r="O179" s="99">
        <v>10032.939899833058</v>
      </c>
      <c r="P179" s="99">
        <v>9428.1725039205448</v>
      </c>
      <c r="Q179" s="99">
        <v>10113.164471797589</v>
      </c>
      <c r="R179" s="99">
        <v>10552.359446800989</v>
      </c>
      <c r="S179" s="99">
        <v>10552.51093439364</v>
      </c>
      <c r="T179" s="99">
        <v>11023.592023065834</v>
      </c>
      <c r="U179" s="99">
        <v>10776.221352968247</v>
      </c>
      <c r="V179" s="99">
        <v>11595.780750971086</v>
      </c>
      <c r="W179" s="99">
        <v>12649.568381430365</v>
      </c>
      <c r="X179" s="99">
        <v>12217.351671603894</v>
      </c>
      <c r="Y179" s="99">
        <v>12207.471590909092</v>
      </c>
      <c r="Z179" s="99">
        <v>11882.129795060429</v>
      </c>
      <c r="AA179" s="99">
        <v>11859.26582278481</v>
      </c>
      <c r="AB179" s="99">
        <v>11005.233502538071</v>
      </c>
      <c r="AC179" s="99">
        <v>11203.178571428571</v>
      </c>
      <c r="AD179" s="99">
        <v>10424.531754032258</v>
      </c>
      <c r="AE179" s="99">
        <v>11073</v>
      </c>
      <c r="AF179" s="99">
        <v>11380</v>
      </c>
      <c r="AG179" s="99">
        <f>12756-AG181*1000000/AG164</f>
        <v>11141.708136030995</v>
      </c>
      <c r="AH179" s="99">
        <v>11525</v>
      </c>
      <c r="AI179" s="99">
        <f>((13487*AI163)-(105*AI164))/AI163</f>
        <v>13393.31736526946</v>
      </c>
      <c r="AJ179" s="99">
        <f>13739-(334*AJ164)/AJ163</f>
        <v>13449.533333333333</v>
      </c>
      <c r="AK179" s="99">
        <v>11177</v>
      </c>
      <c r="AL179" s="118">
        <f>12276-(200*AL164)/AL163</f>
        <v>12106.434782608696</v>
      </c>
      <c r="AM179" s="118">
        <f>10043-(700*AM164)/AM163</f>
        <v>9461.461538461539</v>
      </c>
      <c r="AN179" s="118">
        <f>12274-AN181*1000000/AN163</f>
        <v>8520.3197180178322</v>
      </c>
      <c r="AO179" s="118">
        <v>8480</v>
      </c>
      <c r="AP179" s="118">
        <v>8464</v>
      </c>
      <c r="AQ179" s="118">
        <v>4484</v>
      </c>
      <c r="AR179" s="118">
        <v>5071</v>
      </c>
      <c r="AS179" s="118">
        <v>5296</v>
      </c>
      <c r="AT179" s="118">
        <v>6444</v>
      </c>
      <c r="AU179" s="101">
        <f t="shared" ref="AU179:BF179" si="753">+AU177-AU178</f>
        <v>7642.0845624385474</v>
      </c>
      <c r="AV179" s="101">
        <f t="shared" si="753"/>
        <v>9079.5992800303175</v>
      </c>
      <c r="AW179" s="101">
        <f t="shared" si="753"/>
        <v>9580.7453416149019</v>
      </c>
      <c r="AX179" s="101">
        <f t="shared" si="753"/>
        <v>9899.2576882290523</v>
      </c>
      <c r="AY179" s="101">
        <f t="shared" si="753"/>
        <v>10064.304461942256</v>
      </c>
      <c r="AZ179" s="101">
        <f t="shared" si="753"/>
        <v>10326.880811496196</v>
      </c>
      <c r="BA179" s="101">
        <f t="shared" si="753"/>
        <v>10498.067632850247</v>
      </c>
      <c r="BB179" s="101">
        <f t="shared" si="753"/>
        <v>10441.351266812637</v>
      </c>
      <c r="BC179" s="101">
        <f t="shared" si="753"/>
        <v>10499.57135063518</v>
      </c>
      <c r="BD179" s="101">
        <f t="shared" si="753"/>
        <v>10569.713973969294</v>
      </c>
      <c r="BE179" s="101">
        <f t="shared" si="753"/>
        <v>10661.359461114509</v>
      </c>
      <c r="BF179" s="101">
        <f t="shared" si="753"/>
        <v>10661.359461114509</v>
      </c>
      <c r="BJ179" s="116">
        <f t="shared" si="631"/>
        <v>170</v>
      </c>
    </row>
    <row r="180" spans="1:62" ht="12.75" hidden="1" outlineLevel="2">
      <c r="B180" s="28"/>
      <c r="BJ180" s="116">
        <f t="shared" si="631"/>
        <v>171</v>
      </c>
    </row>
    <row r="181" spans="1:62" hidden="1" outlineLevel="2">
      <c r="B181" s="10" t="s">
        <v>63</v>
      </c>
      <c r="C181" s="50">
        <f t="shared" ref="C181:M183" si="754">SUMIFS($O181:$BG181,$O$5:$BG$5,C$5)</f>
        <v>13.3</v>
      </c>
      <c r="D181" s="50">
        <f t="shared" si="754"/>
        <v>9.3000000000000007</v>
      </c>
      <c r="E181" s="50">
        <f t="shared" si="754"/>
        <v>22.213184000000002</v>
      </c>
      <c r="F181" s="50">
        <f t="shared" si="754"/>
        <v>40.299999999999997</v>
      </c>
      <c r="G181" s="50">
        <f t="shared" si="754"/>
        <v>30</v>
      </c>
      <c r="H181" s="50">
        <f t="shared" si="754"/>
        <v>8.4501899999999992</v>
      </c>
      <c r="I181" s="50">
        <f t="shared" si="754"/>
        <v>21.543799999999997</v>
      </c>
      <c r="J181" s="50">
        <f t="shared" si="754"/>
        <v>0</v>
      </c>
      <c r="K181" s="50">
        <f t="shared" si="754"/>
        <v>0</v>
      </c>
      <c r="L181" s="50">
        <f t="shared" si="754"/>
        <v>0</v>
      </c>
      <c r="M181" s="50">
        <f t="shared" si="754"/>
        <v>0</v>
      </c>
      <c r="O181" s="109">
        <v>10.9</v>
      </c>
      <c r="P181" s="109">
        <v>0</v>
      </c>
      <c r="Q181" s="109">
        <v>1.8</v>
      </c>
      <c r="R181" s="109">
        <v>0.6</v>
      </c>
      <c r="S181" s="109">
        <v>2.2999999999999998</v>
      </c>
      <c r="T181" s="109">
        <v>7</v>
      </c>
      <c r="U181" s="109">
        <v>0</v>
      </c>
      <c r="V181" s="109">
        <v>0</v>
      </c>
      <c r="W181" s="109">
        <v>0</v>
      </c>
      <c r="X181" s="109">
        <v>0</v>
      </c>
      <c r="Y181" s="109">
        <f>40*Y164/1000000</f>
        <v>0.71318400000000015</v>
      </c>
      <c r="Z181" s="109">
        <v>21.5</v>
      </c>
      <c r="AA181" s="109">
        <v>1.4</v>
      </c>
      <c r="AB181" s="109">
        <v>0</v>
      </c>
      <c r="AC181" s="109">
        <v>34.299999999999997</v>
      </c>
      <c r="AD181" s="109">
        <v>4.5999999999999996</v>
      </c>
      <c r="AE181" s="109">
        <v>0</v>
      </c>
      <c r="AF181" s="109">
        <v>0</v>
      </c>
      <c r="AG181" s="109">
        <v>30</v>
      </c>
      <c r="AH181" s="109">
        <v>0</v>
      </c>
      <c r="AI181" s="109">
        <f>105*AI164/1000000</f>
        <v>1.40805</v>
      </c>
      <c r="AJ181" s="109">
        <v>5.6069399999999998</v>
      </c>
      <c r="AK181" s="109">
        <v>0</v>
      </c>
      <c r="AL181" s="109">
        <f>200*AL164/1000000</f>
        <v>1.4352</v>
      </c>
      <c r="AM181" s="109">
        <f>700*AM164/1000000</f>
        <v>3.4398</v>
      </c>
      <c r="AN181" s="109">
        <f>1000*AN164/1000000+(8.6+5.5)</f>
        <v>18.103999999999999</v>
      </c>
      <c r="AO181" s="109">
        <v>0</v>
      </c>
      <c r="AP181" s="109">
        <v>0</v>
      </c>
      <c r="AQ181" s="109">
        <v>0</v>
      </c>
      <c r="AR181" s="109">
        <v>0</v>
      </c>
      <c r="AS181" s="109">
        <v>0</v>
      </c>
      <c r="AT181" s="109">
        <v>0</v>
      </c>
      <c r="AU181" s="109">
        <v>0</v>
      </c>
      <c r="AV181" s="109">
        <v>0</v>
      </c>
      <c r="AW181" s="109">
        <v>0</v>
      </c>
      <c r="AX181" s="109">
        <v>0</v>
      </c>
      <c r="AY181" s="109">
        <v>0</v>
      </c>
      <c r="AZ181" s="109">
        <v>0</v>
      </c>
      <c r="BA181" s="109">
        <v>0</v>
      </c>
      <c r="BB181" s="109">
        <v>0</v>
      </c>
      <c r="BC181" s="109">
        <v>0</v>
      </c>
      <c r="BD181" s="109">
        <v>0</v>
      </c>
      <c r="BE181" s="109">
        <v>0</v>
      </c>
      <c r="BF181" s="109">
        <v>0</v>
      </c>
      <c r="BJ181" s="116">
        <f t="shared" si="631"/>
        <v>172</v>
      </c>
    </row>
    <row r="182" spans="1:62" hidden="1" outlineLevel="2">
      <c r="B182" s="10" t="s">
        <v>64</v>
      </c>
      <c r="C182" s="50">
        <f t="shared" si="754"/>
        <v>5.8999999999999995</v>
      </c>
      <c r="D182" s="50">
        <f t="shared" si="754"/>
        <v>0</v>
      </c>
      <c r="E182" s="50">
        <f t="shared" si="754"/>
        <v>0</v>
      </c>
      <c r="F182" s="50">
        <f t="shared" si="754"/>
        <v>0</v>
      </c>
      <c r="G182" s="50">
        <f t="shared" si="754"/>
        <v>0</v>
      </c>
      <c r="H182" s="50">
        <f t="shared" si="754"/>
        <v>0</v>
      </c>
      <c r="I182" s="50">
        <f t="shared" si="754"/>
        <v>0</v>
      </c>
      <c r="J182" s="50">
        <f t="shared" si="754"/>
        <v>0</v>
      </c>
      <c r="K182" s="50">
        <f t="shared" si="754"/>
        <v>0</v>
      </c>
      <c r="L182" s="50">
        <f t="shared" si="754"/>
        <v>0</v>
      </c>
      <c r="M182" s="50">
        <f t="shared" si="754"/>
        <v>0</v>
      </c>
      <c r="O182" s="109">
        <v>4.3</v>
      </c>
      <c r="P182" s="109">
        <v>1.3</v>
      </c>
      <c r="Q182" s="109">
        <v>0.3</v>
      </c>
      <c r="R182" s="109">
        <v>0</v>
      </c>
      <c r="S182" s="109">
        <v>0</v>
      </c>
      <c r="T182" s="109">
        <v>0</v>
      </c>
      <c r="U182" s="109">
        <v>0</v>
      </c>
      <c r="V182" s="109">
        <v>0</v>
      </c>
      <c r="W182" s="109">
        <v>0</v>
      </c>
      <c r="X182" s="109">
        <v>0</v>
      </c>
      <c r="Y182" s="109">
        <v>0</v>
      </c>
      <c r="Z182" s="109">
        <v>0</v>
      </c>
      <c r="AA182" s="109">
        <v>0</v>
      </c>
      <c r="AB182" s="109">
        <v>0</v>
      </c>
      <c r="AC182" s="109">
        <v>0</v>
      </c>
      <c r="AD182" s="109">
        <v>0</v>
      </c>
      <c r="AE182" s="109">
        <v>0</v>
      </c>
      <c r="AF182" s="109">
        <v>0</v>
      </c>
      <c r="AG182" s="109">
        <v>0</v>
      </c>
      <c r="AH182" s="109">
        <v>0</v>
      </c>
      <c r="AI182" s="109">
        <v>0</v>
      </c>
      <c r="AJ182" s="109">
        <v>0</v>
      </c>
      <c r="AK182" s="109">
        <v>0</v>
      </c>
      <c r="AL182" s="109">
        <v>0</v>
      </c>
      <c r="AM182" s="109">
        <v>0</v>
      </c>
      <c r="AN182" s="109">
        <v>0</v>
      </c>
      <c r="AO182" s="109">
        <v>0</v>
      </c>
      <c r="AP182" s="109">
        <v>0</v>
      </c>
      <c r="AQ182" s="109">
        <v>0</v>
      </c>
      <c r="AR182" s="109">
        <v>0</v>
      </c>
      <c r="AS182" s="109">
        <v>0</v>
      </c>
      <c r="AT182" s="109">
        <v>0</v>
      </c>
      <c r="AU182" s="109">
        <v>0</v>
      </c>
      <c r="AV182" s="109">
        <v>0</v>
      </c>
      <c r="AW182" s="109">
        <v>0</v>
      </c>
      <c r="AX182" s="109">
        <v>0</v>
      </c>
      <c r="AY182" s="109">
        <v>0</v>
      </c>
      <c r="AZ182" s="109">
        <v>0</v>
      </c>
      <c r="BA182" s="109">
        <v>0</v>
      </c>
      <c r="BB182" s="109">
        <v>0</v>
      </c>
      <c r="BC182" s="109">
        <v>0</v>
      </c>
      <c r="BD182" s="109">
        <v>0</v>
      </c>
      <c r="BE182" s="109">
        <v>0</v>
      </c>
      <c r="BF182" s="109">
        <v>0</v>
      </c>
      <c r="BJ182" s="116">
        <f t="shared" si="631"/>
        <v>173</v>
      </c>
    </row>
    <row r="183" spans="1:62" hidden="1" outlineLevel="2">
      <c r="B183" s="10" t="s">
        <v>65</v>
      </c>
      <c r="C183" s="50">
        <f t="shared" si="754"/>
        <v>4.5</v>
      </c>
      <c r="D183" s="50">
        <f t="shared" si="754"/>
        <v>2</v>
      </c>
      <c r="E183" s="50">
        <f t="shared" si="754"/>
        <v>0</v>
      </c>
      <c r="F183" s="50">
        <f t="shared" si="754"/>
        <v>0</v>
      </c>
      <c r="G183" s="50">
        <f t="shared" si="754"/>
        <v>0</v>
      </c>
      <c r="H183" s="50">
        <f t="shared" si="754"/>
        <v>0</v>
      </c>
      <c r="I183" s="50">
        <f t="shared" si="754"/>
        <v>0</v>
      </c>
      <c r="J183" s="50">
        <f t="shared" si="754"/>
        <v>0</v>
      </c>
      <c r="K183" s="50">
        <f t="shared" si="754"/>
        <v>0</v>
      </c>
      <c r="L183" s="50">
        <f t="shared" si="754"/>
        <v>0</v>
      </c>
      <c r="M183" s="50">
        <f t="shared" si="754"/>
        <v>0</v>
      </c>
      <c r="O183" s="109">
        <v>1.4</v>
      </c>
      <c r="P183" s="109">
        <v>1.2</v>
      </c>
      <c r="Q183" s="109">
        <v>1.2</v>
      </c>
      <c r="R183" s="109">
        <v>0.7</v>
      </c>
      <c r="S183" s="109">
        <v>1.4</v>
      </c>
      <c r="T183" s="109">
        <v>0.6</v>
      </c>
      <c r="U183" s="109">
        <v>0</v>
      </c>
      <c r="V183" s="109">
        <v>0</v>
      </c>
      <c r="W183" s="109">
        <v>0</v>
      </c>
      <c r="X183" s="109">
        <v>0</v>
      </c>
      <c r="Y183" s="109">
        <v>0</v>
      </c>
      <c r="Z183" s="109">
        <v>0</v>
      </c>
      <c r="AA183" s="109">
        <v>0</v>
      </c>
      <c r="AB183" s="109">
        <v>0</v>
      </c>
      <c r="AC183" s="109">
        <v>0</v>
      </c>
      <c r="AD183" s="109">
        <v>0</v>
      </c>
      <c r="AE183" s="109">
        <v>0</v>
      </c>
      <c r="AF183" s="109">
        <v>0</v>
      </c>
      <c r="AG183" s="109">
        <v>0</v>
      </c>
      <c r="AH183" s="109">
        <v>0</v>
      </c>
      <c r="AI183" s="109">
        <v>0</v>
      </c>
      <c r="AJ183" s="109">
        <v>0</v>
      </c>
      <c r="AK183" s="109">
        <v>0</v>
      </c>
      <c r="AL183" s="109">
        <v>0</v>
      </c>
      <c r="AM183" s="109">
        <v>0</v>
      </c>
      <c r="AN183" s="109">
        <v>0</v>
      </c>
      <c r="AO183" s="109">
        <v>0</v>
      </c>
      <c r="AP183" s="109">
        <v>0</v>
      </c>
      <c r="AQ183" s="109">
        <v>0</v>
      </c>
      <c r="AR183" s="109">
        <v>0</v>
      </c>
      <c r="AS183" s="109">
        <v>0</v>
      </c>
      <c r="AT183" s="109">
        <v>0</v>
      </c>
      <c r="AU183" s="109">
        <v>0</v>
      </c>
      <c r="AV183" s="109">
        <v>0</v>
      </c>
      <c r="AW183" s="109">
        <v>0</v>
      </c>
      <c r="AX183" s="109">
        <v>0</v>
      </c>
      <c r="AY183" s="109">
        <v>0</v>
      </c>
      <c r="AZ183" s="109">
        <v>0</v>
      </c>
      <c r="BA183" s="109">
        <v>0</v>
      </c>
      <c r="BB183" s="109">
        <v>0</v>
      </c>
      <c r="BC183" s="109">
        <v>0</v>
      </c>
      <c r="BD183" s="109">
        <v>0</v>
      </c>
      <c r="BE183" s="109">
        <v>0</v>
      </c>
      <c r="BF183" s="109">
        <v>0</v>
      </c>
      <c r="BJ183" s="116">
        <f t="shared" si="631"/>
        <v>174</v>
      </c>
    </row>
    <row r="184" spans="1:62" hidden="1" outlineLevel="2">
      <c r="B184" s="29"/>
      <c r="BJ184" s="116">
        <f t="shared" si="631"/>
        <v>175</v>
      </c>
    </row>
    <row r="185" spans="1:62" outlineLevel="1" collapsed="1">
      <c r="A185" s="72" t="s">
        <v>322</v>
      </c>
      <c r="B185" s="2" t="s">
        <v>66</v>
      </c>
      <c r="BJ185" s="116">
        <f t="shared" si="631"/>
        <v>176</v>
      </c>
    </row>
    <row r="186" spans="1:62" outlineLevel="1">
      <c r="B186" s="30" t="s">
        <v>67</v>
      </c>
      <c r="BJ186" s="116">
        <f t="shared" si="631"/>
        <v>177</v>
      </c>
    </row>
    <row r="187" spans="1:62" outlineLevel="1">
      <c r="B187" s="31" t="s">
        <v>68</v>
      </c>
      <c r="C187" s="50">
        <f>C194/C$6</f>
        <v>0</v>
      </c>
      <c r="D187" s="50">
        <f t="shared" ref="D187:M187" si="755">D194/D$6</f>
        <v>0</v>
      </c>
      <c r="E187" s="50">
        <f t="shared" si="755"/>
        <v>0</v>
      </c>
      <c r="F187" s="50">
        <f t="shared" si="755"/>
        <v>129.56164383561645</v>
      </c>
      <c r="G187" s="50">
        <f t="shared" si="755"/>
        <v>149.78356164383561</v>
      </c>
      <c r="H187" s="50">
        <f t="shared" si="755"/>
        <v>91.07397260273973</v>
      </c>
      <c r="I187" s="50">
        <f t="shared" si="755"/>
        <v>51.397540983606561</v>
      </c>
      <c r="J187" s="50">
        <f t="shared" si="755"/>
        <v>92.06575342465753</v>
      </c>
      <c r="K187" s="50">
        <f t="shared" si="755"/>
        <v>106.77260273972603</v>
      </c>
      <c r="L187" s="50">
        <f t="shared" si="755"/>
        <v>115.01917808219179</v>
      </c>
      <c r="M187" s="50">
        <f t="shared" si="755"/>
        <v>120</v>
      </c>
      <c r="O187" s="200"/>
      <c r="P187" s="200"/>
      <c r="Q187" s="200"/>
      <c r="R187" s="200"/>
      <c r="S187" s="200"/>
      <c r="T187" s="200"/>
      <c r="U187" s="200"/>
      <c r="V187" s="200"/>
      <c r="W187" s="200"/>
      <c r="X187" s="200"/>
      <c r="Y187" s="200"/>
      <c r="Z187" s="201"/>
      <c r="AA187" s="120">
        <f t="shared" ref="AA187:AA188" si="756">AA149</f>
        <v>119</v>
      </c>
      <c r="AB187" s="120">
        <f t="shared" ref="AB187:AQ187" si="757">AB149</f>
        <v>128</v>
      </c>
      <c r="AC187" s="120">
        <f t="shared" si="757"/>
        <v>132</v>
      </c>
      <c r="AD187" s="120">
        <f t="shared" si="757"/>
        <v>139</v>
      </c>
      <c r="AE187" s="120">
        <f t="shared" si="757"/>
        <v>144</v>
      </c>
      <c r="AF187" s="120">
        <f t="shared" si="757"/>
        <v>149</v>
      </c>
      <c r="AG187" s="120">
        <f t="shared" si="757"/>
        <v>152</v>
      </c>
      <c r="AH187" s="120">
        <f t="shared" si="757"/>
        <v>154</v>
      </c>
      <c r="AI187" s="120">
        <f t="shared" si="757"/>
        <v>123</v>
      </c>
      <c r="AJ187" s="120">
        <f t="shared" si="757"/>
        <v>92</v>
      </c>
      <c r="AK187" s="120">
        <f t="shared" si="757"/>
        <v>79</v>
      </c>
      <c r="AL187" s="120">
        <f t="shared" si="757"/>
        <v>71</v>
      </c>
      <c r="AM187" s="120">
        <f t="shared" si="757"/>
        <v>51</v>
      </c>
      <c r="AN187" s="120">
        <f t="shared" si="757"/>
        <v>43.5</v>
      </c>
      <c r="AO187" s="120">
        <f t="shared" si="757"/>
        <v>49</v>
      </c>
      <c r="AP187" s="120">
        <f t="shared" si="757"/>
        <v>62</v>
      </c>
      <c r="AQ187" s="120">
        <f t="shared" si="757"/>
        <v>80</v>
      </c>
      <c r="AR187" s="120">
        <f t="shared" ref="AR187:AS187" si="758">AR149</f>
        <v>92</v>
      </c>
      <c r="AS187" s="120">
        <f t="shared" si="758"/>
        <v>98</v>
      </c>
      <c r="AT187" s="120">
        <f t="shared" ref="AT187" si="759">AT149</f>
        <v>98</v>
      </c>
      <c r="AU187" s="121">
        <v>103</v>
      </c>
      <c r="AV187" s="121">
        <f>+AU187+3</f>
        <v>106</v>
      </c>
      <c r="AW187" s="121">
        <f>+AV187+2</f>
        <v>108</v>
      </c>
      <c r="AX187" s="121">
        <f>+AW187+2</f>
        <v>110</v>
      </c>
      <c r="AY187" s="121">
        <f t="shared" ref="AY187:BB188" si="760">+AX187+2</f>
        <v>112</v>
      </c>
      <c r="AZ187" s="121">
        <f t="shared" si="760"/>
        <v>114</v>
      </c>
      <c r="BA187" s="121">
        <f t="shared" si="760"/>
        <v>116</v>
      </c>
      <c r="BB187" s="121">
        <f t="shared" si="760"/>
        <v>118</v>
      </c>
      <c r="BC187" s="121">
        <f>+BB187+2</f>
        <v>120</v>
      </c>
      <c r="BD187" s="121">
        <f>BC187</f>
        <v>120</v>
      </c>
      <c r="BE187" s="121">
        <f>BD187</f>
        <v>120</v>
      </c>
      <c r="BF187" s="121">
        <f>BE187</f>
        <v>120</v>
      </c>
      <c r="BJ187" s="116">
        <f t="shared" si="631"/>
        <v>178</v>
      </c>
    </row>
    <row r="188" spans="1:62" outlineLevel="1">
      <c r="B188" s="31" t="s">
        <v>69</v>
      </c>
      <c r="C188" s="50">
        <f t="shared" ref="C188:M189" si="761">C195/C$6</f>
        <v>0</v>
      </c>
      <c r="D188" s="50">
        <f t="shared" si="761"/>
        <v>0</v>
      </c>
      <c r="E188" s="50">
        <f t="shared" si="761"/>
        <v>0</v>
      </c>
      <c r="F188" s="50">
        <f t="shared" si="761"/>
        <v>47.731506849315068</v>
      </c>
      <c r="G188" s="50">
        <f t="shared" si="761"/>
        <v>47.013698630136986</v>
      </c>
      <c r="H188" s="50">
        <f t="shared" si="761"/>
        <v>13.687671232876712</v>
      </c>
      <c r="I188" s="50">
        <f t="shared" si="761"/>
        <v>1.8756830601092895</v>
      </c>
      <c r="J188" s="50">
        <f t="shared" si="761"/>
        <v>3</v>
      </c>
      <c r="K188" s="50">
        <f t="shared" si="761"/>
        <v>3.7561643835616438</v>
      </c>
      <c r="L188" s="50">
        <f t="shared" si="761"/>
        <v>7.7616438356164386</v>
      </c>
      <c r="M188" s="50">
        <f t="shared" si="761"/>
        <v>10</v>
      </c>
      <c r="O188" s="200"/>
      <c r="P188" s="200"/>
      <c r="Q188" s="200"/>
      <c r="R188" s="200"/>
      <c r="S188" s="200"/>
      <c r="T188" s="200"/>
      <c r="U188" s="200"/>
      <c r="V188" s="200"/>
      <c r="W188" s="200"/>
      <c r="X188" s="200"/>
      <c r="Y188" s="200"/>
      <c r="Z188" s="201"/>
      <c r="AA188" s="120">
        <f t="shared" si="756"/>
        <v>51</v>
      </c>
      <c r="AB188" s="120">
        <f t="shared" ref="AB188:AQ188" si="762">AB150</f>
        <v>48</v>
      </c>
      <c r="AC188" s="120">
        <f t="shared" si="762"/>
        <v>47</v>
      </c>
      <c r="AD188" s="120">
        <f t="shared" si="762"/>
        <v>45</v>
      </c>
      <c r="AE188" s="120">
        <f t="shared" si="762"/>
        <v>43</v>
      </c>
      <c r="AF188" s="120">
        <f t="shared" si="762"/>
        <v>50</v>
      </c>
      <c r="AG188" s="120">
        <f t="shared" si="762"/>
        <v>50</v>
      </c>
      <c r="AH188" s="120">
        <f t="shared" si="762"/>
        <v>45</v>
      </c>
      <c r="AI188" s="120">
        <f t="shared" si="762"/>
        <v>26</v>
      </c>
      <c r="AJ188" s="120">
        <f t="shared" si="762"/>
        <v>12</v>
      </c>
      <c r="AK188" s="120">
        <f t="shared" si="762"/>
        <v>10</v>
      </c>
      <c r="AL188" s="120">
        <f t="shared" si="762"/>
        <v>7</v>
      </c>
      <c r="AM188" s="120">
        <f t="shared" si="762"/>
        <v>3</v>
      </c>
      <c r="AN188" s="120">
        <f t="shared" si="762"/>
        <v>0.5</v>
      </c>
      <c r="AO188" s="120">
        <f t="shared" si="762"/>
        <v>1</v>
      </c>
      <c r="AP188" s="120">
        <f t="shared" si="762"/>
        <v>3</v>
      </c>
      <c r="AQ188" s="120">
        <f t="shared" si="762"/>
        <v>3</v>
      </c>
      <c r="AR188" s="120">
        <f t="shared" ref="AR188:AS188" si="763">AR150</f>
        <v>3</v>
      </c>
      <c r="AS188" s="120">
        <f t="shared" si="763"/>
        <v>3</v>
      </c>
      <c r="AT188" s="120">
        <f t="shared" ref="AT188" si="764">AT150</f>
        <v>3</v>
      </c>
      <c r="AU188" s="121">
        <v>3</v>
      </c>
      <c r="AV188" s="121">
        <v>3</v>
      </c>
      <c r="AW188" s="121">
        <f>+AV188+1</f>
        <v>4</v>
      </c>
      <c r="AX188" s="121">
        <f>+AW188+1</f>
        <v>5</v>
      </c>
      <c r="AY188" s="121">
        <f>+AX188+1</f>
        <v>6</v>
      </c>
      <c r="AZ188" s="121">
        <f>+AY188+1</f>
        <v>7</v>
      </c>
      <c r="BA188" s="121">
        <f>+AZ188+1</f>
        <v>8</v>
      </c>
      <c r="BB188" s="121">
        <f t="shared" si="760"/>
        <v>10</v>
      </c>
      <c r="BC188" s="121">
        <f t="shared" ref="BC188:BF188" si="765">BB188</f>
        <v>10</v>
      </c>
      <c r="BD188" s="121">
        <f t="shared" si="765"/>
        <v>10</v>
      </c>
      <c r="BE188" s="121">
        <f t="shared" si="765"/>
        <v>10</v>
      </c>
      <c r="BF188" s="121">
        <f t="shared" si="765"/>
        <v>10</v>
      </c>
      <c r="BJ188" s="116">
        <f t="shared" si="631"/>
        <v>179</v>
      </c>
    </row>
    <row r="189" spans="1:62" outlineLevel="1">
      <c r="B189" s="32" t="s">
        <v>70</v>
      </c>
      <c r="C189" s="52">
        <f t="shared" si="761"/>
        <v>174.44191780821919</v>
      </c>
      <c r="D189" s="52">
        <f t="shared" si="761"/>
        <v>200.23342465753424</v>
      </c>
      <c r="E189" s="52">
        <f t="shared" si="761"/>
        <v>200.75382513661199</v>
      </c>
      <c r="F189" s="52">
        <f t="shared" si="761"/>
        <v>177.2931506849315</v>
      </c>
      <c r="G189" s="52">
        <f t="shared" si="761"/>
        <v>196.7972602739726</v>
      </c>
      <c r="H189" s="52">
        <f t="shared" si="761"/>
        <v>104.76164383561644</v>
      </c>
      <c r="I189" s="52">
        <f t="shared" si="761"/>
        <v>53.27322404371585</v>
      </c>
      <c r="J189" s="52">
        <f t="shared" si="761"/>
        <v>95.06575342465753</v>
      </c>
      <c r="K189" s="52">
        <f t="shared" si="761"/>
        <v>110.52876712328766</v>
      </c>
      <c r="L189" s="52">
        <f t="shared" si="761"/>
        <v>122.78082191780823</v>
      </c>
      <c r="M189" s="52">
        <f t="shared" si="761"/>
        <v>130</v>
      </c>
      <c r="O189" s="122">
        <f t="shared" ref="O189:Y189" si="766">O148</f>
        <v>158.6</v>
      </c>
      <c r="P189" s="122">
        <f t="shared" si="766"/>
        <v>172.3</v>
      </c>
      <c r="Q189" s="122">
        <f t="shared" si="766"/>
        <v>182.2</v>
      </c>
      <c r="R189" s="122">
        <f t="shared" si="766"/>
        <v>184.3</v>
      </c>
      <c r="S189" s="122">
        <f t="shared" si="766"/>
        <v>187.9</v>
      </c>
      <c r="T189" s="122">
        <f t="shared" si="766"/>
        <v>194.2</v>
      </c>
      <c r="U189" s="122">
        <f t="shared" si="766"/>
        <v>201.8</v>
      </c>
      <c r="V189" s="122">
        <f t="shared" si="766"/>
        <v>216.7</v>
      </c>
      <c r="W189" s="122">
        <f t="shared" si="766"/>
        <v>219</v>
      </c>
      <c r="X189" s="122">
        <f t="shared" si="766"/>
        <v>217.9</v>
      </c>
      <c r="Y189" s="122">
        <f t="shared" si="766"/>
        <v>193.8</v>
      </c>
      <c r="Z189" s="122">
        <f>Z148</f>
        <v>172.7</v>
      </c>
      <c r="AA189" s="123">
        <f t="shared" ref="AA189:BF189" si="767">AA187+AA188</f>
        <v>170</v>
      </c>
      <c r="AB189" s="123">
        <f t="shared" si="767"/>
        <v>176</v>
      </c>
      <c r="AC189" s="123">
        <f t="shared" si="767"/>
        <v>179</v>
      </c>
      <c r="AD189" s="123">
        <f t="shared" si="767"/>
        <v>184</v>
      </c>
      <c r="AE189" s="123">
        <f t="shared" si="767"/>
        <v>187</v>
      </c>
      <c r="AF189" s="123">
        <f t="shared" si="767"/>
        <v>199</v>
      </c>
      <c r="AG189" s="123">
        <f t="shared" si="767"/>
        <v>202</v>
      </c>
      <c r="AH189" s="123">
        <f t="shared" si="767"/>
        <v>199</v>
      </c>
      <c r="AI189" s="123">
        <f t="shared" si="767"/>
        <v>149</v>
      </c>
      <c r="AJ189" s="123">
        <f t="shared" si="767"/>
        <v>104</v>
      </c>
      <c r="AK189" s="123">
        <f t="shared" si="767"/>
        <v>89</v>
      </c>
      <c r="AL189" s="123">
        <f t="shared" si="767"/>
        <v>78</v>
      </c>
      <c r="AM189" s="123">
        <f t="shared" si="767"/>
        <v>54</v>
      </c>
      <c r="AN189" s="123">
        <f t="shared" si="767"/>
        <v>44</v>
      </c>
      <c r="AO189" s="123">
        <f t="shared" si="767"/>
        <v>50</v>
      </c>
      <c r="AP189" s="123">
        <f t="shared" si="767"/>
        <v>65</v>
      </c>
      <c r="AQ189" s="123">
        <f t="shared" si="767"/>
        <v>83</v>
      </c>
      <c r="AR189" s="123">
        <f t="shared" si="767"/>
        <v>95</v>
      </c>
      <c r="AS189" s="123">
        <f t="shared" si="767"/>
        <v>101</v>
      </c>
      <c r="AT189" s="123">
        <f t="shared" si="767"/>
        <v>101</v>
      </c>
      <c r="AU189" s="123">
        <f t="shared" si="767"/>
        <v>106</v>
      </c>
      <c r="AV189" s="123">
        <f t="shared" si="767"/>
        <v>109</v>
      </c>
      <c r="AW189" s="123">
        <f t="shared" si="767"/>
        <v>112</v>
      </c>
      <c r="AX189" s="123">
        <f t="shared" si="767"/>
        <v>115</v>
      </c>
      <c r="AY189" s="123">
        <f t="shared" si="767"/>
        <v>118</v>
      </c>
      <c r="AZ189" s="123">
        <f t="shared" si="767"/>
        <v>121</v>
      </c>
      <c r="BA189" s="123">
        <f t="shared" si="767"/>
        <v>124</v>
      </c>
      <c r="BB189" s="123">
        <f t="shared" si="767"/>
        <v>128</v>
      </c>
      <c r="BC189" s="123">
        <f t="shared" si="767"/>
        <v>130</v>
      </c>
      <c r="BD189" s="123">
        <f t="shared" si="767"/>
        <v>130</v>
      </c>
      <c r="BE189" s="123">
        <f t="shared" si="767"/>
        <v>130</v>
      </c>
      <c r="BF189" s="123">
        <f t="shared" si="767"/>
        <v>130</v>
      </c>
      <c r="BJ189" s="116">
        <f t="shared" si="631"/>
        <v>180</v>
      </c>
    </row>
    <row r="190" spans="1:62" outlineLevel="1">
      <c r="B190" s="33" t="s">
        <v>71</v>
      </c>
      <c r="C190" s="50">
        <f t="shared" ref="C190:L190" si="768">IFERROR(AVERAGEIFS($O190:$BG190,$O$5:$BG$5,C$5),0)</f>
        <v>0</v>
      </c>
      <c r="D190" s="50">
        <f t="shared" si="768"/>
        <v>0</v>
      </c>
      <c r="E190" s="50">
        <f t="shared" si="768"/>
        <v>0</v>
      </c>
      <c r="F190" s="50">
        <f t="shared" si="768"/>
        <v>1101.925</v>
      </c>
      <c r="G190" s="50">
        <f t="shared" si="768"/>
        <v>1275.1500000000001</v>
      </c>
      <c r="H190" s="50">
        <f t="shared" si="768"/>
        <v>743.9041666666667</v>
      </c>
      <c r="I190" s="50">
        <f t="shared" si="768"/>
        <v>401.43333333333334</v>
      </c>
      <c r="J190" s="50">
        <f t="shared" si="768"/>
        <v>734.7833333333333</v>
      </c>
      <c r="K190" s="50">
        <f t="shared" si="768"/>
        <v>916.15384615384619</v>
      </c>
      <c r="L190" s="50">
        <f t="shared" si="768"/>
        <v>982.5</v>
      </c>
      <c r="M190" s="50">
        <f>IFERROR(AVERAGEIFS($O190:$BG190,$O$5:$BG$5,M$5),0)</f>
        <v>1000</v>
      </c>
      <c r="O190" s="124"/>
      <c r="P190" s="124"/>
      <c r="Q190" s="124"/>
      <c r="R190" s="124"/>
      <c r="S190" s="124"/>
      <c r="T190" s="124"/>
      <c r="U190" s="124"/>
      <c r="V190" s="124"/>
      <c r="W190" s="124"/>
      <c r="X190" s="124"/>
      <c r="Y190" s="124"/>
      <c r="Z190" s="124"/>
      <c r="AA190" s="124">
        <v>1126.9833333333333</v>
      </c>
      <c r="AB190" s="124">
        <v>1088.1166666666666</v>
      </c>
      <c r="AC190" s="124">
        <v>1072.7</v>
      </c>
      <c r="AD190" s="124">
        <v>1119.8999999999999</v>
      </c>
      <c r="AE190" s="124">
        <v>1184.2166666666667</v>
      </c>
      <c r="AF190" s="124">
        <v>1242.8</v>
      </c>
      <c r="AG190" s="124">
        <v>1313.6666666666667</v>
      </c>
      <c r="AH190" s="124">
        <v>1359.9166666666667</v>
      </c>
      <c r="AI190" s="124">
        <v>1037.7166666666667</v>
      </c>
      <c r="AJ190" s="124">
        <v>702.36666666666667</v>
      </c>
      <c r="AK190" s="124">
        <v>657.9666666666667</v>
      </c>
      <c r="AL190" s="124">
        <v>577.56666666666672</v>
      </c>
      <c r="AM190" s="124">
        <v>437.40000000000003</v>
      </c>
      <c r="AN190" s="124">
        <v>324.7</v>
      </c>
      <c r="AO190" s="124">
        <v>373.09999999999997</v>
      </c>
      <c r="AP190" s="124">
        <v>470.5333333333333</v>
      </c>
      <c r="AQ190" s="124">
        <v>606.69999999999993</v>
      </c>
      <c r="AR190" s="124">
        <v>748.63333333333333</v>
      </c>
      <c r="AS190" s="124">
        <v>799.73333333333323</v>
      </c>
      <c r="AT190" s="124">
        <v>784.06666666666661</v>
      </c>
      <c r="AU190" s="124">
        <v>859.61538461538464</v>
      </c>
      <c r="AV190" s="124">
        <v>910</v>
      </c>
      <c r="AW190" s="124">
        <v>940</v>
      </c>
      <c r="AX190" s="124">
        <v>955</v>
      </c>
      <c r="AY190" s="124">
        <v>965</v>
      </c>
      <c r="AZ190" s="124">
        <v>975</v>
      </c>
      <c r="BA190" s="124">
        <v>990</v>
      </c>
      <c r="BB190" s="124">
        <v>1000</v>
      </c>
      <c r="BC190" s="124">
        <v>1000</v>
      </c>
      <c r="BD190" s="124">
        <v>1000</v>
      </c>
      <c r="BE190" s="124">
        <v>1000</v>
      </c>
      <c r="BF190" s="124">
        <v>1000</v>
      </c>
      <c r="BJ190" s="116">
        <f t="shared" si="631"/>
        <v>181</v>
      </c>
    </row>
    <row r="191" spans="1:62" outlineLevel="1">
      <c r="B191" s="33" t="s">
        <v>72</v>
      </c>
      <c r="C191" s="125">
        <f>IFERROR(+C189/C190,0)</f>
        <v>0</v>
      </c>
      <c r="D191" s="125">
        <f t="shared" ref="D191:M191" si="769">IFERROR(+D189/D190,0)</f>
        <v>0</v>
      </c>
      <c r="E191" s="125">
        <f t="shared" si="769"/>
        <v>0</v>
      </c>
      <c r="F191" s="125">
        <f t="shared" si="769"/>
        <v>0.16089402698453298</v>
      </c>
      <c r="G191" s="125">
        <f t="shared" si="769"/>
        <v>0.15433263559108543</v>
      </c>
      <c r="H191" s="125">
        <f t="shared" si="769"/>
        <v>0.14082680072224774</v>
      </c>
      <c r="I191" s="125">
        <f t="shared" si="769"/>
        <v>0.13270752481204645</v>
      </c>
      <c r="J191" s="125">
        <f t="shared" si="769"/>
        <v>0.12937930014470142</v>
      </c>
      <c r="K191" s="125">
        <f t="shared" si="769"/>
        <v>0.12064433019334506</v>
      </c>
      <c r="L191" s="125">
        <f t="shared" si="769"/>
        <v>0.12496775767715849</v>
      </c>
      <c r="M191" s="125">
        <f t="shared" si="769"/>
        <v>0.13</v>
      </c>
      <c r="O191" s="125"/>
      <c r="P191" s="125"/>
      <c r="Q191" s="125"/>
      <c r="R191" s="125"/>
      <c r="S191" s="125"/>
      <c r="T191" s="125"/>
      <c r="U191" s="125"/>
      <c r="V191" s="125"/>
      <c r="W191" s="125"/>
      <c r="X191" s="125"/>
      <c r="Y191" s="125"/>
      <c r="Z191" s="125"/>
      <c r="AA191" s="125">
        <f t="shared" ref="AA191:BF191" si="770">+AA189/AA190</f>
        <v>0.15084517665153285</v>
      </c>
      <c r="AB191" s="125">
        <f t="shared" si="770"/>
        <v>0.16174736164933295</v>
      </c>
      <c r="AC191" s="125">
        <f t="shared" si="770"/>
        <v>0.16686864920294583</v>
      </c>
      <c r="AD191" s="125">
        <f t="shared" si="770"/>
        <v>0.16430038396285385</v>
      </c>
      <c r="AE191" s="125">
        <f t="shared" si="770"/>
        <v>0.15791029231700279</v>
      </c>
      <c r="AF191" s="125">
        <f t="shared" si="770"/>
        <v>0.16012230447376891</v>
      </c>
      <c r="AG191" s="125">
        <f t="shared" si="770"/>
        <v>0.15376807916772392</v>
      </c>
      <c r="AH191" s="125">
        <f t="shared" si="770"/>
        <v>0.14633249586371713</v>
      </c>
      <c r="AI191" s="125">
        <f t="shared" si="770"/>
        <v>0.14358447231903376</v>
      </c>
      <c r="AJ191" s="125">
        <f t="shared" si="770"/>
        <v>0.14807080821982821</v>
      </c>
      <c r="AK191" s="125">
        <f t="shared" si="770"/>
        <v>0.13526521100359692</v>
      </c>
      <c r="AL191" s="125">
        <f t="shared" si="770"/>
        <v>0.13504934495296356</v>
      </c>
      <c r="AM191" s="125">
        <f t="shared" si="770"/>
        <v>0.12345679012345678</v>
      </c>
      <c r="AN191" s="125">
        <f t="shared" si="770"/>
        <v>0.13550970126270404</v>
      </c>
      <c r="AO191" s="125">
        <f t="shared" si="770"/>
        <v>0.13401232913428038</v>
      </c>
      <c r="AP191" s="125">
        <f t="shared" si="770"/>
        <v>0.13814111646358743</v>
      </c>
      <c r="AQ191" s="125">
        <f t="shared" si="770"/>
        <v>0.13680567001813088</v>
      </c>
      <c r="AR191" s="125">
        <f t="shared" si="770"/>
        <v>0.12689790284518457</v>
      </c>
      <c r="AS191" s="125">
        <f t="shared" si="770"/>
        <v>0.12629209736578861</v>
      </c>
      <c r="AT191" s="125">
        <f t="shared" ref="AT191" si="771">+AT189/AT190</f>
        <v>0.12881557690672563</v>
      </c>
      <c r="AU191" s="125">
        <f t="shared" si="770"/>
        <v>0.12331096196868009</v>
      </c>
      <c r="AV191" s="125">
        <f t="shared" si="770"/>
        <v>0.11978021978021978</v>
      </c>
      <c r="AW191" s="125">
        <f t="shared" si="770"/>
        <v>0.11914893617021277</v>
      </c>
      <c r="AX191" s="125">
        <f t="shared" si="770"/>
        <v>0.12041884816753927</v>
      </c>
      <c r="AY191" s="125">
        <f t="shared" si="770"/>
        <v>0.12227979274611399</v>
      </c>
      <c r="AZ191" s="125">
        <f t="shared" si="770"/>
        <v>0.12410256410256411</v>
      </c>
      <c r="BA191" s="125">
        <f t="shared" si="770"/>
        <v>0.12525252525252525</v>
      </c>
      <c r="BB191" s="125">
        <f t="shared" si="770"/>
        <v>0.128</v>
      </c>
      <c r="BC191" s="125">
        <f t="shared" si="770"/>
        <v>0.13</v>
      </c>
      <c r="BD191" s="125">
        <f t="shared" si="770"/>
        <v>0.13</v>
      </c>
      <c r="BE191" s="125">
        <f t="shared" si="770"/>
        <v>0.13</v>
      </c>
      <c r="BF191" s="125">
        <f t="shared" si="770"/>
        <v>0.13</v>
      </c>
      <c r="BJ191" s="116">
        <f t="shared" si="631"/>
        <v>182</v>
      </c>
    </row>
    <row r="192" spans="1:62" outlineLevel="1">
      <c r="B192" s="34"/>
      <c r="O192" s="126"/>
      <c r="P192" s="126"/>
      <c r="Q192" s="126"/>
      <c r="R192" s="126"/>
      <c r="S192" s="126"/>
      <c r="T192" s="126"/>
      <c r="U192" s="126"/>
      <c r="V192" s="126"/>
      <c r="W192" s="126"/>
      <c r="X192" s="126"/>
      <c r="Y192" s="126"/>
      <c r="Z192" s="126"/>
      <c r="AA192" s="127"/>
      <c r="AB192" s="127"/>
      <c r="AC192" s="127"/>
      <c r="AD192" s="127"/>
      <c r="AE192" s="128"/>
      <c r="AF192" s="128"/>
      <c r="AG192" s="128"/>
      <c r="AH192" s="128"/>
      <c r="AI192" s="128"/>
      <c r="AJ192" s="128"/>
      <c r="AK192" s="128"/>
      <c r="AL192" s="128"/>
      <c r="AM192" s="128"/>
      <c r="AN192" s="128"/>
      <c r="AO192" s="128"/>
      <c r="AP192" s="128"/>
      <c r="AQ192" s="128"/>
      <c r="AR192" s="128"/>
      <c r="AS192" s="128"/>
      <c r="AT192" s="128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29"/>
      <c r="BE192" s="129"/>
      <c r="BF192" s="129"/>
      <c r="BJ192" s="116">
        <f t="shared" si="631"/>
        <v>183</v>
      </c>
    </row>
    <row r="193" spans="1:62" outlineLevel="1">
      <c r="B193" s="35" t="s">
        <v>1</v>
      </c>
      <c r="C193" s="130">
        <f t="shared" ref="C193:M193" si="772">C$6</f>
        <v>365</v>
      </c>
      <c r="D193" s="130">
        <f t="shared" si="772"/>
        <v>365</v>
      </c>
      <c r="E193" s="130">
        <f t="shared" si="772"/>
        <v>366</v>
      </c>
      <c r="F193" s="130">
        <f t="shared" si="772"/>
        <v>365</v>
      </c>
      <c r="G193" s="130">
        <f t="shared" si="772"/>
        <v>365</v>
      </c>
      <c r="H193" s="130">
        <f t="shared" si="772"/>
        <v>365</v>
      </c>
      <c r="I193" s="130">
        <f t="shared" si="772"/>
        <v>366</v>
      </c>
      <c r="J193" s="130">
        <f t="shared" si="772"/>
        <v>365</v>
      </c>
      <c r="K193" s="130">
        <f t="shared" si="772"/>
        <v>365</v>
      </c>
      <c r="L193" s="130">
        <f t="shared" si="772"/>
        <v>365</v>
      </c>
      <c r="M193" s="130">
        <f t="shared" si="772"/>
        <v>366</v>
      </c>
      <c r="O193" s="130">
        <f>O$6</f>
        <v>90</v>
      </c>
      <c r="P193" s="130">
        <f t="shared" ref="P193:BF193" si="773">P$6</f>
        <v>91</v>
      </c>
      <c r="Q193" s="130">
        <f t="shared" si="773"/>
        <v>92</v>
      </c>
      <c r="R193" s="130">
        <f t="shared" si="773"/>
        <v>92</v>
      </c>
      <c r="S193" s="130">
        <f t="shared" si="773"/>
        <v>90</v>
      </c>
      <c r="T193" s="130">
        <f t="shared" si="773"/>
        <v>91</v>
      </c>
      <c r="U193" s="130">
        <f t="shared" si="773"/>
        <v>92</v>
      </c>
      <c r="V193" s="130">
        <f t="shared" si="773"/>
        <v>92</v>
      </c>
      <c r="W193" s="130">
        <f t="shared" si="773"/>
        <v>91</v>
      </c>
      <c r="X193" s="130">
        <f t="shared" si="773"/>
        <v>91</v>
      </c>
      <c r="Y193" s="130">
        <f t="shared" si="773"/>
        <v>92</v>
      </c>
      <c r="Z193" s="130">
        <f t="shared" si="773"/>
        <v>92</v>
      </c>
      <c r="AA193" s="130">
        <f t="shared" si="773"/>
        <v>90</v>
      </c>
      <c r="AB193" s="130">
        <f t="shared" si="773"/>
        <v>91</v>
      </c>
      <c r="AC193" s="130">
        <f t="shared" si="773"/>
        <v>92</v>
      </c>
      <c r="AD193" s="130">
        <f t="shared" si="773"/>
        <v>92</v>
      </c>
      <c r="AE193" s="130">
        <f t="shared" si="773"/>
        <v>90</v>
      </c>
      <c r="AF193" s="130">
        <f t="shared" si="773"/>
        <v>91</v>
      </c>
      <c r="AG193" s="130">
        <f t="shared" si="773"/>
        <v>92</v>
      </c>
      <c r="AH193" s="130">
        <f t="shared" si="773"/>
        <v>92</v>
      </c>
      <c r="AI193" s="130">
        <f t="shared" si="773"/>
        <v>90</v>
      </c>
      <c r="AJ193" s="130">
        <f t="shared" si="773"/>
        <v>91</v>
      </c>
      <c r="AK193" s="130">
        <f t="shared" si="773"/>
        <v>92</v>
      </c>
      <c r="AL193" s="130">
        <f t="shared" si="773"/>
        <v>92</v>
      </c>
      <c r="AM193" s="130">
        <f t="shared" si="773"/>
        <v>91</v>
      </c>
      <c r="AN193" s="130">
        <f t="shared" si="773"/>
        <v>91</v>
      </c>
      <c r="AO193" s="130">
        <f t="shared" si="773"/>
        <v>92</v>
      </c>
      <c r="AP193" s="130">
        <f t="shared" si="773"/>
        <v>92</v>
      </c>
      <c r="AQ193" s="130">
        <f t="shared" si="773"/>
        <v>90</v>
      </c>
      <c r="AR193" s="130">
        <f t="shared" si="773"/>
        <v>91</v>
      </c>
      <c r="AS193" s="130">
        <f t="shared" si="773"/>
        <v>92</v>
      </c>
      <c r="AT193" s="130">
        <f t="shared" si="773"/>
        <v>92</v>
      </c>
      <c r="AU193" s="130">
        <f t="shared" si="773"/>
        <v>90</v>
      </c>
      <c r="AV193" s="130">
        <f t="shared" si="773"/>
        <v>91</v>
      </c>
      <c r="AW193" s="130">
        <f t="shared" si="773"/>
        <v>92</v>
      </c>
      <c r="AX193" s="130">
        <f t="shared" si="773"/>
        <v>92</v>
      </c>
      <c r="AY193" s="130">
        <f t="shared" si="773"/>
        <v>90</v>
      </c>
      <c r="AZ193" s="130">
        <f t="shared" si="773"/>
        <v>91</v>
      </c>
      <c r="BA193" s="130">
        <f t="shared" si="773"/>
        <v>92</v>
      </c>
      <c r="BB193" s="130">
        <f t="shared" si="773"/>
        <v>92</v>
      </c>
      <c r="BC193" s="130">
        <f t="shared" si="773"/>
        <v>91</v>
      </c>
      <c r="BD193" s="130">
        <f t="shared" si="773"/>
        <v>91</v>
      </c>
      <c r="BE193" s="130">
        <f t="shared" si="773"/>
        <v>92</v>
      </c>
      <c r="BF193" s="130">
        <f t="shared" si="773"/>
        <v>92</v>
      </c>
      <c r="BJ193" s="116">
        <f t="shared" si="631"/>
        <v>184</v>
      </c>
    </row>
    <row r="194" spans="1:62" outlineLevel="1">
      <c r="B194" s="31" t="s">
        <v>44</v>
      </c>
      <c r="C194" s="102">
        <f t="shared" ref="C194:M196" si="774">SUMIFS($O194:$BG194,$O$5:$BG$5,C$5)</f>
        <v>0</v>
      </c>
      <c r="D194" s="102">
        <f t="shared" si="774"/>
        <v>0</v>
      </c>
      <c r="E194" s="102">
        <f t="shared" si="774"/>
        <v>0</v>
      </c>
      <c r="F194" s="102">
        <f t="shared" si="774"/>
        <v>47290</v>
      </c>
      <c r="G194" s="102">
        <f t="shared" si="774"/>
        <v>54671</v>
      </c>
      <c r="H194" s="102">
        <f t="shared" si="774"/>
        <v>33242</v>
      </c>
      <c r="I194" s="102">
        <f t="shared" si="774"/>
        <v>18811.5</v>
      </c>
      <c r="J194" s="102">
        <f t="shared" si="774"/>
        <v>33604</v>
      </c>
      <c r="K194" s="102">
        <f t="shared" si="774"/>
        <v>38972</v>
      </c>
      <c r="L194" s="102">
        <f t="shared" si="774"/>
        <v>41982</v>
      </c>
      <c r="M194" s="102">
        <f t="shared" si="774"/>
        <v>43920</v>
      </c>
      <c r="O194" s="199"/>
      <c r="P194" s="199"/>
      <c r="Q194" s="199"/>
      <c r="R194" s="199"/>
      <c r="S194" s="199"/>
      <c r="T194" s="199"/>
      <c r="U194" s="199"/>
      <c r="V194" s="199"/>
      <c r="W194" s="199"/>
      <c r="X194" s="199"/>
      <c r="Y194" s="199"/>
      <c r="Z194" s="199"/>
      <c r="AA194" s="131">
        <f>AA$193*AA187</f>
        <v>10710</v>
      </c>
      <c r="AB194" s="131">
        <f t="shared" ref="AB194:BF195" si="775">AB$193*AB187</f>
        <v>11648</v>
      </c>
      <c r="AC194" s="131">
        <f t="shared" si="775"/>
        <v>12144</v>
      </c>
      <c r="AD194" s="131">
        <f t="shared" si="775"/>
        <v>12788</v>
      </c>
      <c r="AE194" s="131">
        <f t="shared" si="775"/>
        <v>12960</v>
      </c>
      <c r="AF194" s="131">
        <f t="shared" si="775"/>
        <v>13559</v>
      </c>
      <c r="AG194" s="131">
        <f t="shared" si="775"/>
        <v>13984</v>
      </c>
      <c r="AH194" s="131">
        <f t="shared" si="775"/>
        <v>14168</v>
      </c>
      <c r="AI194" s="131">
        <f t="shared" si="775"/>
        <v>11070</v>
      </c>
      <c r="AJ194" s="131">
        <f t="shared" si="775"/>
        <v>8372</v>
      </c>
      <c r="AK194" s="131">
        <f t="shared" si="775"/>
        <v>7268</v>
      </c>
      <c r="AL194" s="131">
        <f t="shared" si="775"/>
        <v>6532</v>
      </c>
      <c r="AM194" s="131">
        <f t="shared" si="775"/>
        <v>4641</v>
      </c>
      <c r="AN194" s="131">
        <f t="shared" si="775"/>
        <v>3958.5</v>
      </c>
      <c r="AO194" s="131">
        <f t="shared" si="775"/>
        <v>4508</v>
      </c>
      <c r="AP194" s="131">
        <f t="shared" si="775"/>
        <v>5704</v>
      </c>
      <c r="AQ194" s="131">
        <f t="shared" si="775"/>
        <v>7200</v>
      </c>
      <c r="AR194" s="131">
        <f t="shared" ref="AR194:AS194" si="776">AR$193*AR187</f>
        <v>8372</v>
      </c>
      <c r="AS194" s="131">
        <f t="shared" si="776"/>
        <v>9016</v>
      </c>
      <c r="AT194" s="131">
        <f t="shared" ref="AT194" si="777">AT$193*AT187</f>
        <v>9016</v>
      </c>
      <c r="AU194" s="131">
        <f t="shared" si="775"/>
        <v>9270</v>
      </c>
      <c r="AV194" s="131">
        <f t="shared" si="775"/>
        <v>9646</v>
      </c>
      <c r="AW194" s="131">
        <f t="shared" si="775"/>
        <v>9936</v>
      </c>
      <c r="AX194" s="131">
        <f t="shared" si="775"/>
        <v>10120</v>
      </c>
      <c r="AY194" s="131">
        <f t="shared" si="775"/>
        <v>10080</v>
      </c>
      <c r="AZ194" s="131">
        <f t="shared" si="775"/>
        <v>10374</v>
      </c>
      <c r="BA194" s="131">
        <f t="shared" si="775"/>
        <v>10672</v>
      </c>
      <c r="BB194" s="131">
        <f t="shared" si="775"/>
        <v>10856</v>
      </c>
      <c r="BC194" s="131">
        <f t="shared" si="775"/>
        <v>10920</v>
      </c>
      <c r="BD194" s="131">
        <f t="shared" si="775"/>
        <v>10920</v>
      </c>
      <c r="BE194" s="131">
        <f t="shared" si="775"/>
        <v>11040</v>
      </c>
      <c r="BF194" s="131">
        <f t="shared" si="775"/>
        <v>11040</v>
      </c>
      <c r="BJ194" s="116">
        <f t="shared" si="631"/>
        <v>185</v>
      </c>
    </row>
    <row r="195" spans="1:62" outlineLevel="1">
      <c r="B195" s="31" t="s">
        <v>45</v>
      </c>
      <c r="C195" s="102">
        <f t="shared" si="774"/>
        <v>0</v>
      </c>
      <c r="D195" s="102">
        <f t="shared" si="774"/>
        <v>0</v>
      </c>
      <c r="E195" s="102">
        <f t="shared" si="774"/>
        <v>0</v>
      </c>
      <c r="F195" s="102">
        <f t="shared" si="774"/>
        <v>17422</v>
      </c>
      <c r="G195" s="102">
        <f t="shared" si="774"/>
        <v>17160</v>
      </c>
      <c r="H195" s="102">
        <f t="shared" si="774"/>
        <v>4996</v>
      </c>
      <c r="I195" s="102">
        <f t="shared" si="774"/>
        <v>686.5</v>
      </c>
      <c r="J195" s="102">
        <f t="shared" si="774"/>
        <v>1095</v>
      </c>
      <c r="K195" s="102">
        <f t="shared" si="774"/>
        <v>1371</v>
      </c>
      <c r="L195" s="102">
        <f t="shared" si="774"/>
        <v>2833</v>
      </c>
      <c r="M195" s="102">
        <f t="shared" si="774"/>
        <v>3660</v>
      </c>
      <c r="O195" s="199"/>
      <c r="P195" s="199"/>
      <c r="Q195" s="199"/>
      <c r="R195" s="199"/>
      <c r="S195" s="199"/>
      <c r="T195" s="199"/>
      <c r="U195" s="199"/>
      <c r="V195" s="199"/>
      <c r="W195" s="199"/>
      <c r="X195" s="199"/>
      <c r="Y195" s="199"/>
      <c r="Z195" s="199"/>
      <c r="AA195" s="131">
        <f>AA$193*AA188</f>
        <v>4590</v>
      </c>
      <c r="AB195" s="131">
        <f t="shared" si="775"/>
        <v>4368</v>
      </c>
      <c r="AC195" s="131">
        <f t="shared" si="775"/>
        <v>4324</v>
      </c>
      <c r="AD195" s="131">
        <f t="shared" si="775"/>
        <v>4140</v>
      </c>
      <c r="AE195" s="131">
        <f t="shared" si="775"/>
        <v>3870</v>
      </c>
      <c r="AF195" s="131">
        <f t="shared" si="775"/>
        <v>4550</v>
      </c>
      <c r="AG195" s="131">
        <f t="shared" si="775"/>
        <v>4600</v>
      </c>
      <c r="AH195" s="131">
        <f t="shared" si="775"/>
        <v>4140</v>
      </c>
      <c r="AI195" s="131">
        <f t="shared" si="775"/>
        <v>2340</v>
      </c>
      <c r="AJ195" s="131">
        <f t="shared" si="775"/>
        <v>1092</v>
      </c>
      <c r="AK195" s="131">
        <f t="shared" si="775"/>
        <v>920</v>
      </c>
      <c r="AL195" s="131">
        <f t="shared" si="775"/>
        <v>644</v>
      </c>
      <c r="AM195" s="131">
        <f t="shared" si="775"/>
        <v>273</v>
      </c>
      <c r="AN195" s="131">
        <f t="shared" si="775"/>
        <v>45.5</v>
      </c>
      <c r="AO195" s="131">
        <f t="shared" si="775"/>
        <v>92</v>
      </c>
      <c r="AP195" s="131">
        <f t="shared" si="775"/>
        <v>276</v>
      </c>
      <c r="AQ195" s="131">
        <f t="shared" si="775"/>
        <v>270</v>
      </c>
      <c r="AR195" s="131">
        <f t="shared" ref="AR195:AS195" si="778">AR$193*AR188</f>
        <v>273</v>
      </c>
      <c r="AS195" s="131">
        <f t="shared" si="778"/>
        <v>276</v>
      </c>
      <c r="AT195" s="131">
        <f t="shared" ref="AT195" si="779">AT$193*AT188</f>
        <v>276</v>
      </c>
      <c r="AU195" s="131">
        <f t="shared" si="775"/>
        <v>270</v>
      </c>
      <c r="AV195" s="131">
        <f t="shared" si="775"/>
        <v>273</v>
      </c>
      <c r="AW195" s="131">
        <f t="shared" si="775"/>
        <v>368</v>
      </c>
      <c r="AX195" s="131">
        <f t="shared" si="775"/>
        <v>460</v>
      </c>
      <c r="AY195" s="131">
        <f t="shared" si="775"/>
        <v>540</v>
      </c>
      <c r="AZ195" s="131">
        <f t="shared" si="775"/>
        <v>637</v>
      </c>
      <c r="BA195" s="131">
        <f t="shared" si="775"/>
        <v>736</v>
      </c>
      <c r="BB195" s="131">
        <f t="shared" si="775"/>
        <v>920</v>
      </c>
      <c r="BC195" s="131">
        <f t="shared" si="775"/>
        <v>910</v>
      </c>
      <c r="BD195" s="131">
        <f t="shared" si="775"/>
        <v>910</v>
      </c>
      <c r="BE195" s="131">
        <f t="shared" si="775"/>
        <v>920</v>
      </c>
      <c r="BF195" s="131">
        <f t="shared" si="775"/>
        <v>920</v>
      </c>
      <c r="BJ195" s="116">
        <f t="shared" si="631"/>
        <v>186</v>
      </c>
    </row>
    <row r="196" spans="1:62" outlineLevel="1">
      <c r="B196" s="187" t="s">
        <v>73</v>
      </c>
      <c r="C196" s="222">
        <f t="shared" si="774"/>
        <v>63671.3</v>
      </c>
      <c r="D196" s="222">
        <f t="shared" si="774"/>
        <v>73085.2</v>
      </c>
      <c r="E196" s="222">
        <f t="shared" si="774"/>
        <v>73475.899999999994</v>
      </c>
      <c r="F196" s="222">
        <f t="shared" si="774"/>
        <v>64712</v>
      </c>
      <c r="G196" s="222">
        <f t="shared" si="774"/>
        <v>71831</v>
      </c>
      <c r="H196" s="222">
        <f t="shared" si="774"/>
        <v>38238</v>
      </c>
      <c r="I196" s="222">
        <f t="shared" si="774"/>
        <v>19498</v>
      </c>
      <c r="J196" s="222">
        <f t="shared" si="774"/>
        <v>34699</v>
      </c>
      <c r="K196" s="222">
        <f t="shared" si="774"/>
        <v>40343</v>
      </c>
      <c r="L196" s="222">
        <f t="shared" si="774"/>
        <v>44815</v>
      </c>
      <c r="M196" s="222">
        <f t="shared" si="774"/>
        <v>47580</v>
      </c>
      <c r="N196" s="272"/>
      <c r="O196" s="188">
        <f t="shared" ref="O196:Y196" si="780">O$193*O189</f>
        <v>14274</v>
      </c>
      <c r="P196" s="188">
        <f t="shared" si="780"/>
        <v>15679.300000000001</v>
      </c>
      <c r="Q196" s="188">
        <f t="shared" si="780"/>
        <v>16762.399999999998</v>
      </c>
      <c r="R196" s="188">
        <f t="shared" si="780"/>
        <v>16955.600000000002</v>
      </c>
      <c r="S196" s="188">
        <f t="shared" si="780"/>
        <v>16911</v>
      </c>
      <c r="T196" s="188">
        <f t="shared" si="780"/>
        <v>17672.2</v>
      </c>
      <c r="U196" s="188">
        <f t="shared" si="780"/>
        <v>18565.600000000002</v>
      </c>
      <c r="V196" s="188">
        <f t="shared" si="780"/>
        <v>19936.399999999998</v>
      </c>
      <c r="W196" s="188">
        <f t="shared" si="780"/>
        <v>19929</v>
      </c>
      <c r="X196" s="188">
        <f t="shared" si="780"/>
        <v>19828.900000000001</v>
      </c>
      <c r="Y196" s="188">
        <f t="shared" si="780"/>
        <v>17829.600000000002</v>
      </c>
      <c r="Z196" s="188">
        <f>Z$193*Z189</f>
        <v>15888.4</v>
      </c>
      <c r="AA196" s="188">
        <f t="shared" ref="AA196:BF196" si="781">AA194+AA195</f>
        <v>15300</v>
      </c>
      <c r="AB196" s="188">
        <f t="shared" si="781"/>
        <v>16016</v>
      </c>
      <c r="AC196" s="188">
        <f t="shared" si="781"/>
        <v>16468</v>
      </c>
      <c r="AD196" s="188">
        <f t="shared" si="781"/>
        <v>16928</v>
      </c>
      <c r="AE196" s="188">
        <f t="shared" si="781"/>
        <v>16830</v>
      </c>
      <c r="AF196" s="188">
        <f t="shared" si="781"/>
        <v>18109</v>
      </c>
      <c r="AG196" s="188">
        <f t="shared" si="781"/>
        <v>18584</v>
      </c>
      <c r="AH196" s="188">
        <f t="shared" si="781"/>
        <v>18308</v>
      </c>
      <c r="AI196" s="188">
        <f t="shared" si="781"/>
        <v>13410</v>
      </c>
      <c r="AJ196" s="188">
        <f t="shared" si="781"/>
        <v>9464</v>
      </c>
      <c r="AK196" s="188">
        <f t="shared" si="781"/>
        <v>8188</v>
      </c>
      <c r="AL196" s="188">
        <f t="shared" si="781"/>
        <v>7176</v>
      </c>
      <c r="AM196" s="188">
        <f t="shared" si="781"/>
        <v>4914</v>
      </c>
      <c r="AN196" s="188">
        <f t="shared" si="781"/>
        <v>4004</v>
      </c>
      <c r="AO196" s="188">
        <f t="shared" si="781"/>
        <v>4600</v>
      </c>
      <c r="AP196" s="188">
        <f t="shared" si="781"/>
        <v>5980</v>
      </c>
      <c r="AQ196" s="188">
        <f t="shared" si="781"/>
        <v>7470</v>
      </c>
      <c r="AR196" s="188">
        <f t="shared" ref="AR196:AS196" si="782">AR194+AR195</f>
        <v>8645</v>
      </c>
      <c r="AS196" s="188">
        <f t="shared" si="782"/>
        <v>9292</v>
      </c>
      <c r="AT196" s="188">
        <f t="shared" ref="AT196" si="783">AT194+AT195</f>
        <v>9292</v>
      </c>
      <c r="AU196" s="188">
        <f t="shared" si="781"/>
        <v>9540</v>
      </c>
      <c r="AV196" s="188">
        <f t="shared" si="781"/>
        <v>9919</v>
      </c>
      <c r="AW196" s="188">
        <f t="shared" si="781"/>
        <v>10304</v>
      </c>
      <c r="AX196" s="188">
        <f t="shared" si="781"/>
        <v>10580</v>
      </c>
      <c r="AY196" s="188">
        <f t="shared" si="781"/>
        <v>10620</v>
      </c>
      <c r="AZ196" s="188">
        <f t="shared" si="781"/>
        <v>11011</v>
      </c>
      <c r="BA196" s="188">
        <f t="shared" si="781"/>
        <v>11408</v>
      </c>
      <c r="BB196" s="188">
        <f t="shared" si="781"/>
        <v>11776</v>
      </c>
      <c r="BC196" s="188">
        <f t="shared" si="781"/>
        <v>11830</v>
      </c>
      <c r="BD196" s="188">
        <f t="shared" si="781"/>
        <v>11830</v>
      </c>
      <c r="BE196" s="188">
        <f t="shared" si="781"/>
        <v>11960</v>
      </c>
      <c r="BF196" s="188">
        <f t="shared" si="781"/>
        <v>11960</v>
      </c>
      <c r="BG196" s="49"/>
      <c r="BH196" s="49"/>
      <c r="BI196" s="49"/>
      <c r="BJ196" s="116">
        <f t="shared" si="631"/>
        <v>187</v>
      </c>
    </row>
    <row r="197" spans="1:62" outlineLevel="1">
      <c r="B197" s="31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132"/>
      <c r="AB197" s="132"/>
      <c r="AC197" s="132"/>
      <c r="AD197" s="132"/>
      <c r="AE197" s="132"/>
      <c r="AF197" s="132"/>
      <c r="AG197" s="132"/>
      <c r="AH197" s="132"/>
      <c r="AI197" s="132"/>
      <c r="AJ197" s="133"/>
      <c r="AK197" s="133"/>
      <c r="AL197" s="133"/>
      <c r="AM197" s="134"/>
      <c r="AN197" s="133"/>
      <c r="AO197" s="133"/>
      <c r="AP197" s="133"/>
      <c r="AQ197" s="133"/>
      <c r="AR197" s="133"/>
      <c r="AS197" s="133"/>
      <c r="AT197" s="133"/>
      <c r="AU197" s="135"/>
      <c r="AV197" s="135"/>
      <c r="AW197" s="135"/>
      <c r="AX197" s="135"/>
      <c r="AY197" s="135"/>
      <c r="AZ197" s="135"/>
      <c r="BA197" s="135"/>
      <c r="BB197" s="135"/>
      <c r="BC197" s="135"/>
      <c r="BD197" s="135"/>
      <c r="BE197" s="135"/>
      <c r="BF197" s="135"/>
      <c r="BJ197" s="116">
        <f t="shared" si="631"/>
        <v>188</v>
      </c>
    </row>
    <row r="198" spans="1:62" outlineLevel="1">
      <c r="B198" s="31" t="s">
        <v>74</v>
      </c>
      <c r="C198" s="102">
        <f>IFERROR(AVERAGEIFS($O198:$BG198,$O$5:$BG$5,C$5),0)</f>
        <v>0</v>
      </c>
      <c r="D198" s="102">
        <f t="shared" ref="D198:M199" si="784">IFERROR(AVERAGEIFS($O198:$BG198,$O$5:$BG$5,D$5),0)</f>
        <v>0</v>
      </c>
      <c r="E198" s="102">
        <f t="shared" si="784"/>
        <v>0</v>
      </c>
      <c r="F198" s="102">
        <f t="shared" si="784"/>
        <v>0</v>
      </c>
      <c r="G198" s="102">
        <f t="shared" si="784"/>
        <v>24366.666666666668</v>
      </c>
      <c r="H198" s="102">
        <f t="shared" si="784"/>
        <v>24050</v>
      </c>
      <c r="I198" s="102">
        <f t="shared" si="784"/>
        <v>20675</v>
      </c>
      <c r="J198" s="102">
        <f t="shared" si="784"/>
        <v>20092.5</v>
      </c>
      <c r="K198" s="102">
        <f t="shared" si="784"/>
        <v>22437.5</v>
      </c>
      <c r="L198" s="102">
        <f t="shared" si="784"/>
        <v>23437.5</v>
      </c>
      <c r="M198" s="102">
        <f t="shared" si="784"/>
        <v>23500</v>
      </c>
      <c r="O198" s="197"/>
      <c r="P198" s="197"/>
      <c r="Q198" s="197"/>
      <c r="R198" s="197"/>
      <c r="S198" s="197"/>
      <c r="T198" s="197"/>
      <c r="U198" s="197"/>
      <c r="V198" s="197"/>
      <c r="W198" s="197"/>
      <c r="X198" s="197"/>
      <c r="Y198" s="197"/>
      <c r="Z198" s="197"/>
      <c r="AA198" s="198"/>
      <c r="AB198" s="198"/>
      <c r="AC198" s="198"/>
      <c r="AD198" s="198"/>
      <c r="AE198" s="198"/>
      <c r="AF198" s="136">
        <v>24200</v>
      </c>
      <c r="AG198" s="136">
        <v>24400</v>
      </c>
      <c r="AH198" s="136">
        <v>24500</v>
      </c>
      <c r="AI198" s="136">
        <v>25500</v>
      </c>
      <c r="AJ198" s="136">
        <v>24900</v>
      </c>
      <c r="AK198" s="136">
        <v>22900</v>
      </c>
      <c r="AL198" s="136">
        <v>22900</v>
      </c>
      <c r="AM198" s="136">
        <v>21400</v>
      </c>
      <c r="AN198" s="136">
        <v>21500</v>
      </c>
      <c r="AO198" s="136">
        <v>20300</v>
      </c>
      <c r="AP198" s="136">
        <v>19500</v>
      </c>
      <c r="AQ198" s="137">
        <v>19500</v>
      </c>
      <c r="AR198" s="137">
        <v>19500</v>
      </c>
      <c r="AS198" s="137">
        <v>20250</v>
      </c>
      <c r="AT198" s="137">
        <v>21120</v>
      </c>
      <c r="AU198" s="138">
        <v>21750</v>
      </c>
      <c r="AV198" s="138">
        <v>22250</v>
      </c>
      <c r="AW198" s="138">
        <v>22750</v>
      </c>
      <c r="AX198" s="138">
        <v>23000</v>
      </c>
      <c r="AY198" s="138">
        <v>23250</v>
      </c>
      <c r="AZ198" s="138">
        <v>23500</v>
      </c>
      <c r="BA198" s="138">
        <f t="shared" ref="BA198:BF198" si="785">AZ198</f>
        <v>23500</v>
      </c>
      <c r="BB198" s="138">
        <f t="shared" si="785"/>
        <v>23500</v>
      </c>
      <c r="BC198" s="138">
        <f t="shared" si="785"/>
        <v>23500</v>
      </c>
      <c r="BD198" s="138">
        <f t="shared" si="785"/>
        <v>23500</v>
      </c>
      <c r="BE198" s="138">
        <f t="shared" si="785"/>
        <v>23500</v>
      </c>
      <c r="BF198" s="138">
        <f t="shared" si="785"/>
        <v>23500</v>
      </c>
      <c r="BJ198" s="116">
        <f t="shared" si="631"/>
        <v>189</v>
      </c>
    </row>
    <row r="199" spans="1:62" outlineLevel="1">
      <c r="B199" s="31" t="s">
        <v>75</v>
      </c>
      <c r="C199" s="102">
        <f>IFERROR(AVERAGEIFS($O199:$BG199,$O$5:$BG$5,C$5),0)</f>
        <v>0</v>
      </c>
      <c r="D199" s="102">
        <f t="shared" si="784"/>
        <v>0</v>
      </c>
      <c r="E199" s="102">
        <f t="shared" si="784"/>
        <v>0</v>
      </c>
      <c r="F199" s="102">
        <f t="shared" si="784"/>
        <v>0</v>
      </c>
      <c r="G199" s="102">
        <f t="shared" si="784"/>
        <v>21000</v>
      </c>
      <c r="H199" s="102">
        <f t="shared" si="784"/>
        <v>18000</v>
      </c>
      <c r="I199" s="102">
        <f t="shared" si="784"/>
        <v>15875</v>
      </c>
      <c r="J199" s="102">
        <f t="shared" si="784"/>
        <v>17467.5</v>
      </c>
      <c r="K199" s="102">
        <f t="shared" si="784"/>
        <v>18937.5</v>
      </c>
      <c r="L199" s="102">
        <f t="shared" si="784"/>
        <v>19937.5</v>
      </c>
      <c r="M199" s="102">
        <f t="shared" si="784"/>
        <v>20000</v>
      </c>
      <c r="O199" s="197"/>
      <c r="P199" s="197"/>
      <c r="Q199" s="197"/>
      <c r="R199" s="197"/>
      <c r="S199" s="197"/>
      <c r="T199" s="197"/>
      <c r="U199" s="197"/>
      <c r="V199" s="197"/>
      <c r="W199" s="197"/>
      <c r="X199" s="197"/>
      <c r="Y199" s="197"/>
      <c r="Z199" s="197"/>
      <c r="AA199" s="198"/>
      <c r="AB199" s="198"/>
      <c r="AC199" s="198"/>
      <c r="AD199" s="198"/>
      <c r="AE199" s="198"/>
      <c r="AF199" s="136">
        <v>21000</v>
      </c>
      <c r="AG199" s="136">
        <v>21000</v>
      </c>
      <c r="AH199" s="136">
        <v>21000</v>
      </c>
      <c r="AI199" s="136">
        <v>19500</v>
      </c>
      <c r="AJ199" s="136">
        <v>18500</v>
      </c>
      <c r="AK199" s="136">
        <v>17000</v>
      </c>
      <c r="AL199" s="136">
        <v>17000</v>
      </c>
      <c r="AM199" s="136">
        <v>16500</v>
      </c>
      <c r="AN199" s="136">
        <v>15500</v>
      </c>
      <c r="AO199" s="136">
        <v>15500</v>
      </c>
      <c r="AP199" s="136">
        <v>16000</v>
      </c>
      <c r="AQ199" s="137">
        <f>+AQ198-2500</f>
        <v>17000</v>
      </c>
      <c r="AR199" s="137">
        <f>+AR198-2500</f>
        <v>17000</v>
      </c>
      <c r="AS199" s="137">
        <f>+AS198-2500</f>
        <v>17750</v>
      </c>
      <c r="AT199" s="137">
        <f>AT198-3000</f>
        <v>18120</v>
      </c>
      <c r="AU199" s="138">
        <f>AU198-3500</f>
        <v>18250</v>
      </c>
      <c r="AV199" s="138">
        <f>AV198-3500</f>
        <v>18750</v>
      </c>
      <c r="AW199" s="138">
        <f>AW198-3500</f>
        <v>19250</v>
      </c>
      <c r="AX199" s="138">
        <f>AX198-3500</f>
        <v>19500</v>
      </c>
      <c r="AY199" s="138">
        <f t="shared" ref="AY199:BF199" si="786">AY198-3500</f>
        <v>19750</v>
      </c>
      <c r="AZ199" s="138">
        <f t="shared" si="786"/>
        <v>20000</v>
      </c>
      <c r="BA199" s="138">
        <f t="shared" si="786"/>
        <v>20000</v>
      </c>
      <c r="BB199" s="138">
        <f t="shared" si="786"/>
        <v>20000</v>
      </c>
      <c r="BC199" s="138">
        <f t="shared" si="786"/>
        <v>20000</v>
      </c>
      <c r="BD199" s="138">
        <f t="shared" si="786"/>
        <v>20000</v>
      </c>
      <c r="BE199" s="138">
        <f t="shared" si="786"/>
        <v>20000</v>
      </c>
      <c r="BF199" s="138">
        <f t="shared" si="786"/>
        <v>20000</v>
      </c>
      <c r="BJ199" s="116">
        <f t="shared" si="631"/>
        <v>190</v>
      </c>
    </row>
    <row r="200" spans="1:62" outlineLevel="1">
      <c r="B200" s="187" t="s">
        <v>76</v>
      </c>
      <c r="C200" s="222">
        <f>C204*1000000/C196</f>
        <v>20127.6399256808</v>
      </c>
      <c r="D200" s="222">
        <f t="shared" ref="D200:M200" si="787">D204*1000000/D196</f>
        <v>23114.392517226472</v>
      </c>
      <c r="E200" s="222">
        <f t="shared" si="787"/>
        <v>25091.922119285977</v>
      </c>
      <c r="F200" s="222">
        <f t="shared" si="787"/>
        <v>23039.708678452218</v>
      </c>
      <c r="G200" s="222">
        <f t="shared" si="787"/>
        <v>23406.850663362617</v>
      </c>
      <c r="H200" s="222">
        <f t="shared" si="787"/>
        <v>23515.555206862282</v>
      </c>
      <c r="I200" s="222">
        <f t="shared" si="787"/>
        <v>20423.494717406913</v>
      </c>
      <c r="J200" s="222">
        <f t="shared" si="787"/>
        <v>20051.789388743193</v>
      </c>
      <c r="K200" s="222">
        <f t="shared" si="787"/>
        <v>22337.21463450908</v>
      </c>
      <c r="L200" s="222">
        <f t="shared" si="787"/>
        <v>23219.502398750421</v>
      </c>
      <c r="M200" s="222">
        <f t="shared" si="787"/>
        <v>23230.76923076923</v>
      </c>
      <c r="N200" s="272"/>
      <c r="O200" s="253">
        <v>18256.760543645792</v>
      </c>
      <c r="P200" s="253">
        <v>19351.437883068756</v>
      </c>
      <c r="Q200" s="253">
        <v>20793.442466472585</v>
      </c>
      <c r="R200" s="253">
        <v>21762.190662671917</v>
      </c>
      <c r="S200" s="253">
        <v>22249.8965170599</v>
      </c>
      <c r="T200" s="253">
        <v>22520.342685121264</v>
      </c>
      <c r="U200" s="253">
        <v>23209.322618175549</v>
      </c>
      <c r="V200" s="253">
        <v>24285.879095523767</v>
      </c>
      <c r="W200" s="253">
        <v>25149.518011161847</v>
      </c>
      <c r="X200" s="253">
        <v>24931.841907518821</v>
      </c>
      <c r="Y200" s="253">
        <v>25864.114506214381</v>
      </c>
      <c r="Z200" s="253">
        <v>24352.924145917776</v>
      </c>
      <c r="AA200" s="253">
        <v>23455</v>
      </c>
      <c r="AB200" s="253">
        <v>22888</v>
      </c>
      <c r="AC200" s="253">
        <v>23128</v>
      </c>
      <c r="AD200" s="253">
        <v>22722</v>
      </c>
      <c r="AE200" s="253">
        <v>22923</v>
      </c>
      <c r="AF200" s="254">
        <f t="shared" ref="AF200:BF200" si="788">SUMPRODUCT(AF198:AF199,AF194:AF195)/AF196</f>
        <v>23395.979899497488</v>
      </c>
      <c r="AG200" s="254">
        <f t="shared" si="788"/>
        <v>23558.415841584159</v>
      </c>
      <c r="AH200" s="254">
        <f t="shared" si="788"/>
        <v>23708.54271356784</v>
      </c>
      <c r="AI200" s="254">
        <f t="shared" si="788"/>
        <v>24453.020134228187</v>
      </c>
      <c r="AJ200" s="254">
        <f t="shared" si="788"/>
        <v>24161.538461538461</v>
      </c>
      <c r="AK200" s="254">
        <f t="shared" si="788"/>
        <v>22237.078651685395</v>
      </c>
      <c r="AL200" s="254">
        <f t="shared" si="788"/>
        <v>22370.51282051282</v>
      </c>
      <c r="AM200" s="254">
        <f t="shared" si="788"/>
        <v>21127.777777777777</v>
      </c>
      <c r="AN200" s="254">
        <f t="shared" si="788"/>
        <v>21431.81818181818</v>
      </c>
      <c r="AO200" s="254">
        <f t="shared" si="788"/>
        <v>20204</v>
      </c>
      <c r="AP200" s="254">
        <f t="shared" si="788"/>
        <v>19338.461538461539</v>
      </c>
      <c r="AQ200" s="254">
        <f t="shared" si="788"/>
        <v>19409.638554216868</v>
      </c>
      <c r="AR200" s="254">
        <f t="shared" si="788"/>
        <v>19421.052631578947</v>
      </c>
      <c r="AS200" s="254">
        <f t="shared" si="788"/>
        <v>20175.742574257427</v>
      </c>
      <c r="AT200" s="254">
        <f t="shared" si="788"/>
        <v>21030.891089108911</v>
      </c>
      <c r="AU200" s="254">
        <f t="shared" ref="AU200" si="789">SUMPRODUCT(AU198:AU199,AU194:AU195)/AU196</f>
        <v>21650.943396226416</v>
      </c>
      <c r="AV200" s="254">
        <f t="shared" si="788"/>
        <v>22153.669724770643</v>
      </c>
      <c r="AW200" s="254">
        <f t="shared" si="788"/>
        <v>22625</v>
      </c>
      <c r="AX200" s="254">
        <f t="shared" si="788"/>
        <v>22847.82608695652</v>
      </c>
      <c r="AY200" s="254">
        <f t="shared" si="788"/>
        <v>23072.033898305086</v>
      </c>
      <c r="AZ200" s="254">
        <f t="shared" si="788"/>
        <v>23297.520661157025</v>
      </c>
      <c r="BA200" s="254">
        <f t="shared" si="788"/>
        <v>23274.193548387098</v>
      </c>
      <c r="BB200" s="254">
        <f t="shared" si="788"/>
        <v>23226.5625</v>
      </c>
      <c r="BC200" s="254">
        <f t="shared" si="788"/>
        <v>23230.76923076923</v>
      </c>
      <c r="BD200" s="254">
        <f t="shared" si="788"/>
        <v>23230.76923076923</v>
      </c>
      <c r="BE200" s="254">
        <f t="shared" si="788"/>
        <v>23230.76923076923</v>
      </c>
      <c r="BF200" s="254">
        <f t="shared" si="788"/>
        <v>23230.76923076923</v>
      </c>
      <c r="BG200" s="49"/>
      <c r="BH200" s="49"/>
      <c r="BI200" s="49"/>
      <c r="BJ200" s="116">
        <f t="shared" si="631"/>
        <v>191</v>
      </c>
    </row>
    <row r="201" spans="1:62" outlineLevel="1">
      <c r="B201" s="37" t="s">
        <v>77</v>
      </c>
      <c r="C201" s="255">
        <f>-C208*1000000/C196</f>
        <v>11699.967815954753</v>
      </c>
      <c r="D201" s="255">
        <f t="shared" ref="D201:M201" si="790">-D208*1000000/D196</f>
        <v>13037.045084367286</v>
      </c>
      <c r="E201" s="255">
        <f t="shared" si="790"/>
        <v>13746.943967266063</v>
      </c>
      <c r="F201" s="255">
        <f t="shared" si="790"/>
        <v>13500</v>
      </c>
      <c r="G201" s="255">
        <f t="shared" si="790"/>
        <v>13387.671409280116</v>
      </c>
      <c r="H201" s="255">
        <f t="shared" si="790"/>
        <v>13430.664208379099</v>
      </c>
      <c r="I201" s="255">
        <f t="shared" si="790"/>
        <v>14205.768796799675</v>
      </c>
      <c r="J201" s="255">
        <f t="shared" si="790"/>
        <v>15925.634336436206</v>
      </c>
      <c r="K201" s="255">
        <f t="shared" si="790"/>
        <v>15081.079741219044</v>
      </c>
      <c r="L201" s="255">
        <f t="shared" si="790"/>
        <v>14808.211536315966</v>
      </c>
      <c r="M201" s="255">
        <f t="shared" si="790"/>
        <v>14540.983606557376</v>
      </c>
      <c r="N201" s="272"/>
      <c r="O201" s="256">
        <f t="shared" ref="O201:AE201" si="791">+O200-O202</f>
        <v>10603.386717108031</v>
      </c>
      <c r="P201" s="256">
        <f t="shared" si="791"/>
        <v>11563.437883068756</v>
      </c>
      <c r="Q201" s="256">
        <f t="shared" si="791"/>
        <v>12164.442466472585</v>
      </c>
      <c r="R201" s="256">
        <f t="shared" si="791"/>
        <v>12290.190662671917</v>
      </c>
      <c r="S201" s="256">
        <f t="shared" si="791"/>
        <v>12991.902666903197</v>
      </c>
      <c r="T201" s="256">
        <f t="shared" si="791"/>
        <v>12715.445037969241</v>
      </c>
      <c r="U201" s="256">
        <f t="shared" si="791"/>
        <v>13033.322618175549</v>
      </c>
      <c r="V201" s="256">
        <f t="shared" si="791"/>
        <v>13363.879095523767</v>
      </c>
      <c r="W201" s="256">
        <f t="shared" si="791"/>
        <v>14207.518011161847</v>
      </c>
      <c r="X201" s="256">
        <f t="shared" si="791"/>
        <v>13753.841907518821</v>
      </c>
      <c r="Y201" s="256">
        <f t="shared" si="791"/>
        <v>13874.114506214381</v>
      </c>
      <c r="Z201" s="256">
        <f t="shared" si="791"/>
        <v>13017.924145917776</v>
      </c>
      <c r="AA201" s="257">
        <f t="shared" si="791"/>
        <v>13500</v>
      </c>
      <c r="AB201" s="257">
        <f t="shared" si="791"/>
        <v>13500</v>
      </c>
      <c r="AC201" s="257">
        <f t="shared" si="791"/>
        <v>13500</v>
      </c>
      <c r="AD201" s="257">
        <f t="shared" si="791"/>
        <v>13500</v>
      </c>
      <c r="AE201" s="257">
        <f t="shared" si="791"/>
        <v>13500</v>
      </c>
      <c r="AF201" s="119">
        <f t="shared" ref="AF201:AS201" si="792">AF200-AF202</f>
        <v>13364.979899497488</v>
      </c>
      <c r="AG201" s="119">
        <f t="shared" si="792"/>
        <v>13339.707705553164</v>
      </c>
      <c r="AH201" s="119">
        <f t="shared" si="792"/>
        <v>13355.54271356784</v>
      </c>
      <c r="AI201" s="119">
        <f t="shared" si="792"/>
        <v>13424.020134228187</v>
      </c>
      <c r="AJ201" s="119">
        <f t="shared" si="792"/>
        <v>13466.538461538461</v>
      </c>
      <c r="AK201" s="119">
        <f t="shared" si="792"/>
        <v>13628.078651685395</v>
      </c>
      <c r="AL201" s="119">
        <f t="shared" si="792"/>
        <v>13170.51282051282</v>
      </c>
      <c r="AM201" s="119">
        <f t="shared" si="792"/>
        <v>14427.777777777777</v>
      </c>
      <c r="AN201" s="119">
        <f t="shared" si="792"/>
        <v>14531.81818181818</v>
      </c>
      <c r="AO201" s="119">
        <f t="shared" si="792"/>
        <v>13966</v>
      </c>
      <c r="AP201" s="119">
        <f t="shared" si="792"/>
        <v>13989.461538461539</v>
      </c>
      <c r="AQ201" s="119">
        <f t="shared" si="792"/>
        <v>16139.638554216868</v>
      </c>
      <c r="AR201" s="119">
        <f t="shared" si="792"/>
        <v>15532.052631578947</v>
      </c>
      <c r="AS201" s="119">
        <f t="shared" si="792"/>
        <v>16014.512574257427</v>
      </c>
      <c r="AT201" s="157">
        <f t="shared" ref="AT201" si="793">AT200-AT202</f>
        <v>16030.891089108911</v>
      </c>
      <c r="AU201" s="119">
        <f t="shared" ref="AU201" si="794">-AU208*1000000/AU196</f>
        <v>15485.324947589103</v>
      </c>
      <c r="AV201" s="119">
        <f t="shared" ref="AV201:BF201" si="795">-AV208*1000000/AV196</f>
        <v>15059.784252444802</v>
      </c>
      <c r="AW201" s="119">
        <f t="shared" si="795"/>
        <v>14945.458074534161</v>
      </c>
      <c r="AX201" s="119">
        <f t="shared" si="795"/>
        <v>14868.620037807183</v>
      </c>
      <c r="AY201" s="119">
        <f t="shared" si="795"/>
        <v>14951.977401129943</v>
      </c>
      <c r="AZ201" s="119">
        <f t="shared" si="795"/>
        <v>14847.152847152847</v>
      </c>
      <c r="BA201" s="119">
        <f t="shared" si="795"/>
        <v>14748.071528751751</v>
      </c>
      <c r="BB201" s="119">
        <f t="shared" si="795"/>
        <v>14700.407608695654</v>
      </c>
      <c r="BC201" s="119">
        <f t="shared" si="795"/>
        <v>14612.00338123415</v>
      </c>
      <c r="BD201" s="119">
        <f t="shared" si="795"/>
        <v>14535.92561284869</v>
      </c>
      <c r="BE201" s="119">
        <f t="shared" si="795"/>
        <v>14508.361204013378</v>
      </c>
      <c r="BF201" s="119">
        <f t="shared" si="795"/>
        <v>14508.361204013378</v>
      </c>
      <c r="BG201" s="49"/>
      <c r="BH201" s="49"/>
      <c r="BI201" s="49"/>
      <c r="BJ201" s="116">
        <f t="shared" si="631"/>
        <v>192</v>
      </c>
    </row>
    <row r="202" spans="1:62" outlineLevel="1">
      <c r="A202" s="247"/>
      <c r="B202" s="36" t="s">
        <v>78</v>
      </c>
      <c r="C202" s="223">
        <f>C209*1000000/C196</f>
        <v>8427.6721097260452</v>
      </c>
      <c r="D202" s="223">
        <f t="shared" ref="D202:M202" si="796">D209*1000000/D196</f>
        <v>10077.347432859182</v>
      </c>
      <c r="E202" s="223">
        <f t="shared" si="796"/>
        <v>11344.978152019916</v>
      </c>
      <c r="F202" s="223">
        <f t="shared" si="796"/>
        <v>9539.7086784522198</v>
      </c>
      <c r="G202" s="223">
        <f t="shared" si="796"/>
        <v>10019.179254082499</v>
      </c>
      <c r="H202" s="223">
        <f t="shared" si="796"/>
        <v>10084.890998483184</v>
      </c>
      <c r="I202" s="223">
        <f t="shared" si="796"/>
        <v>6217.7259206072422</v>
      </c>
      <c r="J202" s="223">
        <f t="shared" si="796"/>
        <v>4126.1550523069827</v>
      </c>
      <c r="K202" s="223">
        <f t="shared" si="796"/>
        <v>7256.1348932900382</v>
      </c>
      <c r="L202" s="223">
        <f t="shared" si="796"/>
        <v>8411.2908624344545</v>
      </c>
      <c r="M202" s="223">
        <f t="shared" si="796"/>
        <v>8689.7856242118523</v>
      </c>
      <c r="N202" s="273"/>
      <c r="O202" s="139">
        <v>7653.3738265377606</v>
      </c>
      <c r="P202" s="139">
        <v>7788</v>
      </c>
      <c r="Q202" s="139">
        <v>8629</v>
      </c>
      <c r="R202" s="139">
        <v>9472</v>
      </c>
      <c r="S202" s="139">
        <v>9257.993850156703</v>
      </c>
      <c r="T202" s="139">
        <v>9804.8976471520236</v>
      </c>
      <c r="U202" s="139">
        <v>10176</v>
      </c>
      <c r="V202" s="139">
        <v>10922</v>
      </c>
      <c r="W202" s="139">
        <v>10942</v>
      </c>
      <c r="X202" s="139">
        <v>11178</v>
      </c>
      <c r="Y202" s="139">
        <v>11990</v>
      </c>
      <c r="Z202" s="139">
        <v>11335</v>
      </c>
      <c r="AA202" s="139">
        <v>9955</v>
      </c>
      <c r="AB202" s="139">
        <v>9388</v>
      </c>
      <c r="AC202" s="139">
        <v>9628</v>
      </c>
      <c r="AD202" s="139">
        <v>9222</v>
      </c>
      <c r="AE202" s="139">
        <v>9423</v>
      </c>
      <c r="AF202" s="140">
        <v>10031</v>
      </c>
      <c r="AG202" s="140">
        <v>10218.708136030995</v>
      </c>
      <c r="AH202" s="140">
        <v>10353</v>
      </c>
      <c r="AI202" s="140">
        <v>11029</v>
      </c>
      <c r="AJ202" s="140">
        <v>10695</v>
      </c>
      <c r="AK202" s="140">
        <v>8609</v>
      </c>
      <c r="AL202" s="140">
        <v>9200</v>
      </c>
      <c r="AM202" s="140">
        <v>6700</v>
      </c>
      <c r="AN202" s="140">
        <v>6900</v>
      </c>
      <c r="AO202" s="140">
        <v>6238</v>
      </c>
      <c r="AP202" s="141">
        <v>5349</v>
      </c>
      <c r="AQ202" s="141">
        <v>3270</v>
      </c>
      <c r="AR202" s="237">
        <v>3889</v>
      </c>
      <c r="AS202" s="237">
        <f>+AR202*1.07</f>
        <v>4161.2300000000005</v>
      </c>
      <c r="AT202" s="237">
        <v>5000</v>
      </c>
      <c r="AU202" s="142">
        <f t="shared" ref="AU202" si="797">+AU200-AU201</f>
        <v>6165.6184486373131</v>
      </c>
      <c r="AV202" s="142">
        <f t="shared" ref="AV202:BF202" si="798">+AV200-AV201</f>
        <v>7093.885472325841</v>
      </c>
      <c r="AW202" s="142">
        <f t="shared" si="798"/>
        <v>7679.5419254658391</v>
      </c>
      <c r="AX202" s="142">
        <f t="shared" si="798"/>
        <v>7979.2060491493376</v>
      </c>
      <c r="AY202" s="142">
        <f t="shared" si="798"/>
        <v>8120.0564971751428</v>
      </c>
      <c r="AZ202" s="142">
        <f t="shared" si="798"/>
        <v>8450.3678140041775</v>
      </c>
      <c r="BA202" s="142">
        <f t="shared" si="798"/>
        <v>8526.1220196353479</v>
      </c>
      <c r="BB202" s="142">
        <f t="shared" si="798"/>
        <v>8526.1548913043462</v>
      </c>
      <c r="BC202" s="142">
        <f t="shared" si="798"/>
        <v>8618.7658495350806</v>
      </c>
      <c r="BD202" s="142">
        <f t="shared" si="798"/>
        <v>8694.8436179205401</v>
      </c>
      <c r="BE202" s="142">
        <f t="shared" si="798"/>
        <v>8722.4080267558529</v>
      </c>
      <c r="BF202" s="142">
        <f t="shared" si="798"/>
        <v>8722.4080267558529</v>
      </c>
      <c r="BG202" s="80"/>
      <c r="BH202" s="80"/>
      <c r="BI202" s="80"/>
      <c r="BJ202" s="116">
        <f t="shared" si="631"/>
        <v>193</v>
      </c>
    </row>
    <row r="203" spans="1:62" outlineLevel="1">
      <c r="B203" s="31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132"/>
      <c r="AB203" s="132"/>
      <c r="AC203" s="132"/>
      <c r="AD203" s="132"/>
      <c r="AE203" s="132"/>
      <c r="AF203" s="132"/>
      <c r="AG203" s="132"/>
      <c r="AH203" s="132"/>
      <c r="AI203" s="132"/>
      <c r="AJ203" s="133"/>
      <c r="AK203" s="133"/>
      <c r="AL203" s="133"/>
      <c r="AM203" s="134"/>
      <c r="AN203" s="133"/>
      <c r="AO203" s="133"/>
      <c r="AP203" s="133"/>
      <c r="AQ203" s="133"/>
      <c r="AR203" s="133"/>
      <c r="AS203" s="133"/>
      <c r="AT203" s="133"/>
      <c r="AU203" s="133"/>
      <c r="AV203" s="133"/>
      <c r="AW203" s="135"/>
      <c r="AX203" s="135"/>
      <c r="AY203" s="135"/>
      <c r="AZ203" s="135"/>
      <c r="BA203" s="135"/>
      <c r="BB203" s="135"/>
      <c r="BC203" s="135"/>
      <c r="BD203" s="135"/>
      <c r="BE203" s="135"/>
      <c r="BF203" s="135"/>
      <c r="BJ203" s="116">
        <f t="shared" si="631"/>
        <v>194</v>
      </c>
    </row>
    <row r="204" spans="1:62" outlineLevel="1">
      <c r="A204" s="247"/>
      <c r="B204" s="36" t="s">
        <v>79</v>
      </c>
      <c r="C204" s="143">
        <f t="shared" ref="C204:M209" si="799">SUMIFS($O204:$BG204,$O$5:$BG$5,C$5)</f>
        <v>1281.5529999999999</v>
      </c>
      <c r="D204" s="143">
        <f t="shared" si="799"/>
        <v>1689.32</v>
      </c>
      <c r="E204" s="143">
        <f t="shared" si="799"/>
        <v>1843.6515604444444</v>
      </c>
      <c r="F204" s="143">
        <f t="shared" si="799"/>
        <v>1490.9456279999999</v>
      </c>
      <c r="G204" s="143">
        <f t="shared" si="799"/>
        <v>1681.3374900000001</v>
      </c>
      <c r="H204" s="143">
        <f t="shared" si="799"/>
        <v>899.18779999999992</v>
      </c>
      <c r="I204" s="143">
        <f t="shared" si="799"/>
        <v>398.21730000000002</v>
      </c>
      <c r="J204" s="143">
        <f t="shared" si="799"/>
        <v>695.77703999999994</v>
      </c>
      <c r="K204" s="143">
        <f t="shared" si="799"/>
        <v>901.15024999999991</v>
      </c>
      <c r="L204" s="143">
        <f t="shared" si="799"/>
        <v>1040.5820000000001</v>
      </c>
      <c r="M204" s="143">
        <f t="shared" si="799"/>
        <v>1105.32</v>
      </c>
      <c r="N204" s="273"/>
      <c r="O204" s="143">
        <f t="shared" ref="O204:BF204" si="800">O200*O196/1000000</f>
        <v>260.59700000000004</v>
      </c>
      <c r="P204" s="143">
        <f t="shared" si="800"/>
        <v>303.41699999999997</v>
      </c>
      <c r="Q204" s="143">
        <f t="shared" si="800"/>
        <v>348.548</v>
      </c>
      <c r="R204" s="143">
        <f t="shared" si="800"/>
        <v>368.99099999999999</v>
      </c>
      <c r="S204" s="143">
        <f t="shared" si="800"/>
        <v>376.26799999999997</v>
      </c>
      <c r="T204" s="143">
        <f t="shared" si="800"/>
        <v>397.98399999999998</v>
      </c>
      <c r="U204" s="143">
        <f t="shared" si="800"/>
        <v>430.89499999999998</v>
      </c>
      <c r="V204" s="143">
        <f t="shared" si="800"/>
        <v>484.173</v>
      </c>
      <c r="W204" s="143">
        <f t="shared" si="800"/>
        <v>501.20474444444443</v>
      </c>
      <c r="X204" s="143">
        <f t="shared" si="800"/>
        <v>494.37099999999998</v>
      </c>
      <c r="Y204" s="143">
        <f t="shared" si="800"/>
        <v>461.146816</v>
      </c>
      <c r="Z204" s="143">
        <f t="shared" si="800"/>
        <v>386.92899999999997</v>
      </c>
      <c r="AA204" s="143">
        <f t="shared" si="800"/>
        <v>358.86149999999998</v>
      </c>
      <c r="AB204" s="143">
        <f t="shared" si="800"/>
        <v>366.574208</v>
      </c>
      <c r="AC204" s="143">
        <f t="shared" si="800"/>
        <v>380.87190399999997</v>
      </c>
      <c r="AD204" s="143">
        <f t="shared" si="800"/>
        <v>384.63801599999999</v>
      </c>
      <c r="AE204" s="143">
        <f t="shared" si="800"/>
        <v>385.79408999999998</v>
      </c>
      <c r="AF204" s="143">
        <f t="shared" si="800"/>
        <v>423.67779999999999</v>
      </c>
      <c r="AG204" s="143">
        <f t="shared" si="800"/>
        <v>437.80959999999999</v>
      </c>
      <c r="AH204" s="143">
        <f t="shared" si="800"/>
        <v>434.05599999999998</v>
      </c>
      <c r="AI204" s="143">
        <f t="shared" si="800"/>
        <v>327.91500000000002</v>
      </c>
      <c r="AJ204" s="143">
        <f t="shared" si="800"/>
        <v>228.66480000000001</v>
      </c>
      <c r="AK204" s="143">
        <f t="shared" si="800"/>
        <v>182.0772</v>
      </c>
      <c r="AL204" s="143">
        <f t="shared" si="800"/>
        <v>160.5308</v>
      </c>
      <c r="AM204" s="143">
        <f t="shared" si="800"/>
        <v>103.8219</v>
      </c>
      <c r="AN204" s="143">
        <f t="shared" si="800"/>
        <v>85.813000000000002</v>
      </c>
      <c r="AO204" s="143">
        <f t="shared" si="800"/>
        <v>92.938400000000001</v>
      </c>
      <c r="AP204" s="143">
        <f t="shared" si="800"/>
        <v>115.64400000000001</v>
      </c>
      <c r="AQ204" s="143">
        <f t="shared" si="800"/>
        <v>144.99</v>
      </c>
      <c r="AR204" s="143">
        <f t="shared" si="800"/>
        <v>167.89500000000001</v>
      </c>
      <c r="AS204" s="143">
        <f t="shared" ref="AS204" si="801">AS200*AS196/1000000</f>
        <v>187.47300000000001</v>
      </c>
      <c r="AT204" s="143">
        <f t="shared" ref="AT204" si="802">AT200*AT196/1000000</f>
        <v>195.41904</v>
      </c>
      <c r="AU204" s="143">
        <f t="shared" si="800"/>
        <v>206.55</v>
      </c>
      <c r="AV204" s="143">
        <f t="shared" si="800"/>
        <v>219.74225000000001</v>
      </c>
      <c r="AW204" s="143">
        <f t="shared" si="800"/>
        <v>233.12799999999999</v>
      </c>
      <c r="AX204" s="143">
        <f t="shared" si="800"/>
        <v>241.72999999999996</v>
      </c>
      <c r="AY204" s="143">
        <f t="shared" si="800"/>
        <v>245.02500000000001</v>
      </c>
      <c r="AZ204" s="143">
        <f t="shared" si="800"/>
        <v>256.529</v>
      </c>
      <c r="BA204" s="143">
        <f t="shared" si="800"/>
        <v>265.51200000000006</v>
      </c>
      <c r="BB204" s="143">
        <f t="shared" si="800"/>
        <v>273.51600000000002</v>
      </c>
      <c r="BC204" s="143">
        <f t="shared" si="800"/>
        <v>274.82</v>
      </c>
      <c r="BD204" s="143">
        <f t="shared" si="800"/>
        <v>274.82</v>
      </c>
      <c r="BE204" s="143">
        <f t="shared" si="800"/>
        <v>277.83999999999997</v>
      </c>
      <c r="BF204" s="143">
        <f t="shared" si="800"/>
        <v>277.83999999999997</v>
      </c>
      <c r="BG204" s="80"/>
      <c r="BH204" s="80"/>
      <c r="BI204" s="80"/>
      <c r="BJ204" s="116">
        <f t="shared" ref="BJ204:BJ267" si="803">BJ203+1</f>
        <v>195</v>
      </c>
    </row>
    <row r="205" spans="1:62" outlineLevel="1">
      <c r="B205" s="31" t="s">
        <v>80</v>
      </c>
      <c r="C205" s="146">
        <f t="shared" si="799"/>
        <v>0</v>
      </c>
      <c r="D205" s="146">
        <f t="shared" si="799"/>
        <v>-877.02239999999983</v>
      </c>
      <c r="E205" s="146">
        <f t="shared" si="799"/>
        <v>-881.71080000000006</v>
      </c>
      <c r="F205" s="146">
        <f t="shared" si="799"/>
        <v>-776.54399999999998</v>
      </c>
      <c r="G205" s="146">
        <f t="shared" si="799"/>
        <v>-861.97200000000009</v>
      </c>
      <c r="H205" s="146">
        <f t="shared" si="799"/>
        <v>-458.85599999999999</v>
      </c>
      <c r="I205" s="146">
        <f t="shared" si="799"/>
        <v>-233.976</v>
      </c>
      <c r="J205" s="146">
        <f t="shared" si="799"/>
        <v>-416.38800000000003</v>
      </c>
      <c r="K205" s="146">
        <f t="shared" si="799"/>
        <v>-484.11599999999999</v>
      </c>
      <c r="L205" s="146">
        <f t="shared" si="799"/>
        <v>-537.78</v>
      </c>
      <c r="M205" s="146">
        <f t="shared" si="799"/>
        <v>-570.96</v>
      </c>
      <c r="O205" s="144"/>
      <c r="P205" s="144"/>
      <c r="Q205" s="144"/>
      <c r="R205" s="145"/>
      <c r="S205" s="146">
        <f t="shared" ref="S205:AR205" si="804">-S196*12000/1000000</f>
        <v>-202.93199999999999</v>
      </c>
      <c r="T205" s="146">
        <f t="shared" si="804"/>
        <v>-212.06639999999999</v>
      </c>
      <c r="U205" s="146">
        <f t="shared" si="804"/>
        <v>-222.78720000000004</v>
      </c>
      <c r="V205" s="146">
        <f t="shared" si="804"/>
        <v>-239.23679999999996</v>
      </c>
      <c r="W205" s="146">
        <f t="shared" si="804"/>
        <v>-239.148</v>
      </c>
      <c r="X205" s="146">
        <f t="shared" si="804"/>
        <v>-237.94680000000002</v>
      </c>
      <c r="Y205" s="146">
        <f t="shared" si="804"/>
        <v>-213.95520000000002</v>
      </c>
      <c r="Z205" s="146">
        <f t="shared" si="804"/>
        <v>-190.66079999999999</v>
      </c>
      <c r="AA205" s="146">
        <f t="shared" si="804"/>
        <v>-183.6</v>
      </c>
      <c r="AB205" s="146">
        <f t="shared" si="804"/>
        <v>-192.19200000000001</v>
      </c>
      <c r="AC205" s="146">
        <f t="shared" si="804"/>
        <v>-197.61600000000001</v>
      </c>
      <c r="AD205" s="146">
        <f t="shared" si="804"/>
        <v>-203.136</v>
      </c>
      <c r="AE205" s="146">
        <f t="shared" si="804"/>
        <v>-201.96</v>
      </c>
      <c r="AF205" s="146">
        <f t="shared" si="804"/>
        <v>-217.30799999999999</v>
      </c>
      <c r="AG205" s="146">
        <f t="shared" si="804"/>
        <v>-223.00800000000001</v>
      </c>
      <c r="AH205" s="146">
        <f t="shared" si="804"/>
        <v>-219.696</v>
      </c>
      <c r="AI205" s="146">
        <f t="shared" si="804"/>
        <v>-160.91999999999999</v>
      </c>
      <c r="AJ205" s="146">
        <f t="shared" si="804"/>
        <v>-113.568</v>
      </c>
      <c r="AK205" s="146">
        <f t="shared" si="804"/>
        <v>-98.256</v>
      </c>
      <c r="AL205" s="146">
        <f t="shared" si="804"/>
        <v>-86.111999999999995</v>
      </c>
      <c r="AM205" s="146">
        <f t="shared" si="804"/>
        <v>-58.968000000000004</v>
      </c>
      <c r="AN205" s="146">
        <f t="shared" si="804"/>
        <v>-48.048000000000002</v>
      </c>
      <c r="AO205" s="146">
        <f t="shared" si="804"/>
        <v>-55.2</v>
      </c>
      <c r="AP205" s="146">
        <f t="shared" si="804"/>
        <v>-71.760000000000005</v>
      </c>
      <c r="AQ205" s="146">
        <f t="shared" si="804"/>
        <v>-89.64</v>
      </c>
      <c r="AR205" s="146">
        <f t="shared" si="804"/>
        <v>-103.74</v>
      </c>
      <c r="AS205" s="146">
        <f t="shared" ref="AS205" si="805">-AS196*12000/1000000</f>
        <v>-111.504</v>
      </c>
      <c r="AT205" s="146">
        <f t="shared" ref="AT205" si="806">-AT196*12000/1000000</f>
        <v>-111.504</v>
      </c>
      <c r="AU205" s="146">
        <f t="shared" ref="AU205:BF205" si="807">-AU196*12000/1000000</f>
        <v>-114.48</v>
      </c>
      <c r="AV205" s="146">
        <f t="shared" si="807"/>
        <v>-119.02800000000001</v>
      </c>
      <c r="AW205" s="146">
        <f t="shared" si="807"/>
        <v>-123.648</v>
      </c>
      <c r="AX205" s="146">
        <f t="shared" si="807"/>
        <v>-126.96</v>
      </c>
      <c r="AY205" s="146">
        <f t="shared" si="807"/>
        <v>-127.44</v>
      </c>
      <c r="AZ205" s="146">
        <f t="shared" si="807"/>
        <v>-132.13200000000001</v>
      </c>
      <c r="BA205" s="146">
        <f t="shared" si="807"/>
        <v>-136.89599999999999</v>
      </c>
      <c r="BB205" s="146">
        <f t="shared" si="807"/>
        <v>-141.31200000000001</v>
      </c>
      <c r="BC205" s="146">
        <f t="shared" si="807"/>
        <v>-141.96</v>
      </c>
      <c r="BD205" s="146">
        <f t="shared" si="807"/>
        <v>-141.96</v>
      </c>
      <c r="BE205" s="146">
        <f t="shared" si="807"/>
        <v>-143.52000000000001</v>
      </c>
      <c r="BF205" s="146">
        <f t="shared" si="807"/>
        <v>-143.52000000000001</v>
      </c>
      <c r="BJ205" s="116">
        <f t="shared" si="803"/>
        <v>196</v>
      </c>
    </row>
    <row r="206" spans="1:62" outlineLevel="1">
      <c r="B206" s="31" t="s">
        <v>81</v>
      </c>
      <c r="C206" s="147">
        <f t="shared" si="799"/>
        <v>0</v>
      </c>
      <c r="D206" s="147">
        <f t="shared" si="799"/>
        <v>0</v>
      </c>
      <c r="E206" s="144">
        <f t="shared" si="799"/>
        <v>0</v>
      </c>
      <c r="F206" s="144">
        <f t="shared" si="799"/>
        <v>0</v>
      </c>
      <c r="G206" s="144">
        <f t="shared" si="799"/>
        <v>0</v>
      </c>
      <c r="H206" s="144">
        <f t="shared" si="799"/>
        <v>0</v>
      </c>
      <c r="I206" s="147">
        <f t="shared" si="799"/>
        <v>-6.3</v>
      </c>
      <c r="J206" s="147">
        <f t="shared" si="799"/>
        <v>-25.2</v>
      </c>
      <c r="K206" s="147">
        <f t="shared" si="799"/>
        <v>-6.3000000000000007</v>
      </c>
      <c r="L206" s="147">
        <f t="shared" si="799"/>
        <v>-5.8500000000000005</v>
      </c>
      <c r="M206" s="147">
        <f t="shared" si="799"/>
        <v>-0.9</v>
      </c>
      <c r="O206" s="148"/>
      <c r="P206" s="148"/>
      <c r="Q206" s="148"/>
      <c r="R206" s="148"/>
      <c r="S206" s="149">
        <v>0</v>
      </c>
      <c r="T206" s="149">
        <v>0</v>
      </c>
      <c r="U206" s="149">
        <v>0</v>
      </c>
      <c r="V206" s="149">
        <v>0</v>
      </c>
      <c r="W206" s="149">
        <v>0</v>
      </c>
      <c r="X206" s="149">
        <v>0</v>
      </c>
      <c r="Y206" s="149">
        <v>0</v>
      </c>
      <c r="Z206" s="149">
        <v>0</v>
      </c>
      <c r="AA206" s="149">
        <v>0</v>
      </c>
      <c r="AB206" s="149">
        <v>0</v>
      </c>
      <c r="AC206" s="149">
        <v>0</v>
      </c>
      <c r="AD206" s="149">
        <v>0</v>
      </c>
      <c r="AE206" s="149">
        <v>0</v>
      </c>
      <c r="AF206" s="149">
        <v>0</v>
      </c>
      <c r="AG206" s="149">
        <v>0</v>
      </c>
      <c r="AH206" s="149">
        <v>0</v>
      </c>
      <c r="AI206" s="149">
        <f t="shared" ref="AI206:AN206" si="808">MAX(0.7*(AI189-AH189),0)</f>
        <v>0</v>
      </c>
      <c r="AJ206" s="149">
        <f t="shared" si="808"/>
        <v>0</v>
      </c>
      <c r="AK206" s="149">
        <f t="shared" si="808"/>
        <v>0</v>
      </c>
      <c r="AL206" s="149">
        <f t="shared" si="808"/>
        <v>0</v>
      </c>
      <c r="AM206" s="149">
        <f t="shared" si="808"/>
        <v>0</v>
      </c>
      <c r="AN206" s="149">
        <f t="shared" si="808"/>
        <v>0</v>
      </c>
      <c r="AO206" s="147">
        <f>-MAX(0.3*(AO189-AN189),0)</f>
        <v>-1.7999999999999998</v>
      </c>
      <c r="AP206" s="147">
        <f>-MAX(0.3*(AP189-AO189),0)</f>
        <v>-4.5</v>
      </c>
      <c r="AQ206" s="147">
        <f t="shared" ref="AQ206:AT206" si="809">-MAX(0.7*(AQ189-AP189),0)</f>
        <v>-12.6</v>
      </c>
      <c r="AR206" s="147">
        <f t="shared" si="809"/>
        <v>-8.3999999999999986</v>
      </c>
      <c r="AS206" s="147">
        <f t="shared" si="809"/>
        <v>-4.1999999999999993</v>
      </c>
      <c r="AT206" s="147">
        <f t="shared" si="809"/>
        <v>0</v>
      </c>
      <c r="AU206" s="147">
        <f t="shared" ref="AU206:BF206" si="810">-MAX(0.45*(AU189-AT189),0)</f>
        <v>-2.25</v>
      </c>
      <c r="AV206" s="147">
        <f t="shared" si="810"/>
        <v>-1.35</v>
      </c>
      <c r="AW206" s="147">
        <f t="shared" si="810"/>
        <v>-1.35</v>
      </c>
      <c r="AX206" s="147">
        <f t="shared" si="810"/>
        <v>-1.35</v>
      </c>
      <c r="AY206" s="147">
        <f t="shared" si="810"/>
        <v>-1.35</v>
      </c>
      <c r="AZ206" s="147">
        <f t="shared" si="810"/>
        <v>-1.35</v>
      </c>
      <c r="BA206" s="147">
        <f t="shared" si="810"/>
        <v>-1.35</v>
      </c>
      <c r="BB206" s="147">
        <f t="shared" si="810"/>
        <v>-1.8</v>
      </c>
      <c r="BC206" s="147">
        <f t="shared" si="810"/>
        <v>-0.9</v>
      </c>
      <c r="BD206" s="147">
        <f t="shared" si="810"/>
        <v>0</v>
      </c>
      <c r="BE206" s="147">
        <f t="shared" si="810"/>
        <v>0</v>
      </c>
      <c r="BF206" s="147">
        <f t="shared" si="810"/>
        <v>0</v>
      </c>
      <c r="BJ206" s="116">
        <f t="shared" si="803"/>
        <v>197</v>
      </c>
    </row>
    <row r="207" spans="1:62" outlineLevel="1">
      <c r="B207" s="31" t="s">
        <v>82</v>
      </c>
      <c r="C207" s="147">
        <f t="shared" si="799"/>
        <v>0</v>
      </c>
      <c r="D207" s="147">
        <f t="shared" si="799"/>
        <v>-75.792647399999993</v>
      </c>
      <c r="E207" s="147">
        <f t="shared" si="799"/>
        <v>-128.35828024444436</v>
      </c>
      <c r="F207" s="147">
        <f t="shared" si="799"/>
        <v>-97.067999999999955</v>
      </c>
      <c r="G207" s="147">
        <f t="shared" si="799"/>
        <v>-99.677824999999956</v>
      </c>
      <c r="H207" s="147">
        <f t="shared" si="799"/>
        <v>-54.705738000000068</v>
      </c>
      <c r="I207" s="147">
        <f t="shared" si="799"/>
        <v>-36.708079999999995</v>
      </c>
      <c r="J207" s="147">
        <f t="shared" si="799"/>
        <v>-111.01558584000001</v>
      </c>
      <c r="K207" s="147">
        <f t="shared" si="799"/>
        <v>-118</v>
      </c>
      <c r="L207" s="147">
        <f t="shared" si="799"/>
        <v>-120</v>
      </c>
      <c r="M207" s="147">
        <f t="shared" si="799"/>
        <v>-120</v>
      </c>
      <c r="O207" s="144"/>
      <c r="P207" s="144"/>
      <c r="Q207" s="144"/>
      <c r="R207" s="144"/>
      <c r="S207" s="147">
        <f t="shared" ref="S207:AR207" si="811">S208-S206-S205</f>
        <v>-16.774065999999976</v>
      </c>
      <c r="T207" s="147">
        <f t="shared" si="811"/>
        <v>-12.643487800000003</v>
      </c>
      <c r="U207" s="147">
        <f t="shared" si="811"/>
        <v>-19.184254399999929</v>
      </c>
      <c r="V207" s="147">
        <f t="shared" si="811"/>
        <v>-27.190839200000084</v>
      </c>
      <c r="W207" s="147">
        <f t="shared" si="811"/>
        <v>-43.993626444444459</v>
      </c>
      <c r="X207" s="147">
        <f t="shared" si="811"/>
        <v>-34.776755799999961</v>
      </c>
      <c r="Y207" s="147">
        <f t="shared" si="811"/>
        <v>-33.414711999999952</v>
      </c>
      <c r="Z207" s="147">
        <f t="shared" si="811"/>
        <v>-16.173185999999987</v>
      </c>
      <c r="AA207" s="147">
        <f t="shared" si="811"/>
        <v>-22.949999999999989</v>
      </c>
      <c r="AB207" s="147">
        <f t="shared" si="811"/>
        <v>-24.024000000000001</v>
      </c>
      <c r="AC207" s="147">
        <f t="shared" si="811"/>
        <v>-24.70199999999997</v>
      </c>
      <c r="AD207" s="147">
        <f t="shared" si="811"/>
        <v>-25.391999999999996</v>
      </c>
      <c r="AE207" s="147">
        <f t="shared" si="811"/>
        <v>-25.244999999999976</v>
      </c>
      <c r="AF207" s="147">
        <f t="shared" si="811"/>
        <v>-24.718421000000006</v>
      </c>
      <c r="AG207" s="147">
        <f t="shared" si="811"/>
        <v>-24.897127999999981</v>
      </c>
      <c r="AH207" s="147">
        <f t="shared" si="811"/>
        <v>-24.817275999999993</v>
      </c>
      <c r="AI207" s="147">
        <f t="shared" si="811"/>
        <v>-19.096110000000039</v>
      </c>
      <c r="AJ207" s="147">
        <f t="shared" si="811"/>
        <v>-13.879320000000021</v>
      </c>
      <c r="AK207" s="147">
        <f t="shared" si="811"/>
        <v>-13.330708000000001</v>
      </c>
      <c r="AL207" s="147">
        <f t="shared" si="811"/>
        <v>-8.3996000000000066</v>
      </c>
      <c r="AM207" s="147">
        <f t="shared" si="811"/>
        <v>-11.930099999999996</v>
      </c>
      <c r="AN207" s="147">
        <f t="shared" si="811"/>
        <v>-10.1374</v>
      </c>
      <c r="AO207" s="147">
        <f t="shared" si="811"/>
        <v>-7.2436000000000007</v>
      </c>
      <c r="AP207" s="147">
        <f t="shared" si="811"/>
        <v>-7.3969799999999992</v>
      </c>
      <c r="AQ207" s="147">
        <f t="shared" si="811"/>
        <v>-18.323100000000011</v>
      </c>
      <c r="AR207" s="147">
        <f t="shared" si="811"/>
        <v>-22.134595000000004</v>
      </c>
      <c r="AS207" s="147">
        <f t="shared" ref="AS207" si="812">AS208-AS206-AS205</f>
        <v>-33.102850840000016</v>
      </c>
      <c r="AT207" s="147">
        <f t="shared" ref="AT207" si="813">AT208-AT206-AT205</f>
        <v>-37.455039999999983</v>
      </c>
      <c r="AU207" s="150">
        <v>-31</v>
      </c>
      <c r="AV207" s="150">
        <v>-29</v>
      </c>
      <c r="AW207" s="150">
        <v>-29</v>
      </c>
      <c r="AX207" s="150">
        <v>-29</v>
      </c>
      <c r="AY207" s="150">
        <v>-30</v>
      </c>
      <c r="AZ207" s="150">
        <f>AY207</f>
        <v>-30</v>
      </c>
      <c r="BA207" s="150">
        <f>AZ207</f>
        <v>-30</v>
      </c>
      <c r="BB207" s="150">
        <f>BA207</f>
        <v>-30</v>
      </c>
      <c r="BC207" s="150">
        <f>BB207</f>
        <v>-30</v>
      </c>
      <c r="BD207" s="150">
        <f t="shared" ref="BD207:BF207" si="814">BC207</f>
        <v>-30</v>
      </c>
      <c r="BE207" s="150">
        <f t="shared" si="814"/>
        <v>-30</v>
      </c>
      <c r="BF207" s="150">
        <f t="shared" si="814"/>
        <v>-30</v>
      </c>
      <c r="BJ207" s="116">
        <f t="shared" si="803"/>
        <v>198</v>
      </c>
    </row>
    <row r="208" spans="1:62" outlineLevel="1">
      <c r="B208" s="32" t="s">
        <v>83</v>
      </c>
      <c r="C208" s="151">
        <f t="shared" si="799"/>
        <v>-744.9521608</v>
      </c>
      <c r="D208" s="151">
        <f t="shared" si="799"/>
        <v>-952.81504740000003</v>
      </c>
      <c r="E208" s="151">
        <f t="shared" si="799"/>
        <v>-1010.0690802444444</v>
      </c>
      <c r="F208" s="151">
        <f t="shared" si="799"/>
        <v>-873.61199999999997</v>
      </c>
      <c r="G208" s="151">
        <f t="shared" si="799"/>
        <v>-961.64982499999996</v>
      </c>
      <c r="H208" s="151">
        <f t="shared" si="799"/>
        <v>-513.56173799999999</v>
      </c>
      <c r="I208" s="151">
        <f t="shared" si="799"/>
        <v>-276.98408000000006</v>
      </c>
      <c r="J208" s="151">
        <f t="shared" si="799"/>
        <v>-552.60358583999994</v>
      </c>
      <c r="K208" s="151">
        <f t="shared" si="799"/>
        <v>-608.41599999999994</v>
      </c>
      <c r="L208" s="151">
        <f t="shared" si="799"/>
        <v>-663.63</v>
      </c>
      <c r="M208" s="151">
        <f t="shared" si="799"/>
        <v>-691.86</v>
      </c>
      <c r="O208" s="151">
        <f>+O209-O204</f>
        <v>-151.35274200000003</v>
      </c>
      <c r="P208" s="151">
        <f t="shared" ref="P208:AR208" si="815">+P209-P204</f>
        <v>-181.30661159999997</v>
      </c>
      <c r="Q208" s="151">
        <f t="shared" si="815"/>
        <v>-203.9052504</v>
      </c>
      <c r="R208" s="151">
        <f t="shared" si="815"/>
        <v>-208.38755679999997</v>
      </c>
      <c r="S208" s="151">
        <f t="shared" si="815"/>
        <v>-219.70606599999996</v>
      </c>
      <c r="T208" s="151">
        <f t="shared" si="815"/>
        <v>-224.70988779999999</v>
      </c>
      <c r="U208" s="151">
        <f t="shared" si="815"/>
        <v>-241.97145439999997</v>
      </c>
      <c r="V208" s="151">
        <f t="shared" si="815"/>
        <v>-266.42763920000004</v>
      </c>
      <c r="W208" s="151">
        <f t="shared" si="815"/>
        <v>-283.14162644444446</v>
      </c>
      <c r="X208" s="151">
        <f t="shared" si="815"/>
        <v>-272.72355579999999</v>
      </c>
      <c r="Y208" s="151">
        <f t="shared" si="815"/>
        <v>-247.36991199999997</v>
      </c>
      <c r="Z208" s="151">
        <f t="shared" si="815"/>
        <v>-206.83398599999998</v>
      </c>
      <c r="AA208" s="151">
        <f t="shared" si="815"/>
        <v>-206.54999999999998</v>
      </c>
      <c r="AB208" s="151">
        <f t="shared" si="815"/>
        <v>-216.21600000000001</v>
      </c>
      <c r="AC208" s="151">
        <f t="shared" si="815"/>
        <v>-222.31799999999998</v>
      </c>
      <c r="AD208" s="151">
        <f t="shared" si="815"/>
        <v>-228.52799999999999</v>
      </c>
      <c r="AE208" s="151">
        <f t="shared" si="815"/>
        <v>-227.20499999999998</v>
      </c>
      <c r="AF208" s="151">
        <f t="shared" si="815"/>
        <v>-242.026421</v>
      </c>
      <c r="AG208" s="151">
        <f t="shared" si="815"/>
        <v>-247.90512799999999</v>
      </c>
      <c r="AH208" s="151">
        <f t="shared" si="815"/>
        <v>-244.51327599999999</v>
      </c>
      <c r="AI208" s="151">
        <f t="shared" si="815"/>
        <v>-180.01611000000003</v>
      </c>
      <c r="AJ208" s="151">
        <f t="shared" si="815"/>
        <v>-127.44732000000002</v>
      </c>
      <c r="AK208" s="151">
        <f t="shared" si="815"/>
        <v>-111.586708</v>
      </c>
      <c r="AL208" s="151">
        <f t="shared" si="815"/>
        <v>-94.511600000000001</v>
      </c>
      <c r="AM208" s="151">
        <f t="shared" si="815"/>
        <v>-70.898099999999999</v>
      </c>
      <c r="AN208" s="151">
        <f t="shared" si="815"/>
        <v>-58.185400000000001</v>
      </c>
      <c r="AO208" s="151">
        <f t="shared" si="815"/>
        <v>-64.243600000000001</v>
      </c>
      <c r="AP208" s="151">
        <f t="shared" si="815"/>
        <v>-83.656980000000004</v>
      </c>
      <c r="AQ208" s="151">
        <f t="shared" si="815"/>
        <v>-120.56310000000001</v>
      </c>
      <c r="AR208" s="151">
        <f t="shared" si="815"/>
        <v>-134.27459500000001</v>
      </c>
      <c r="AS208" s="151">
        <f t="shared" ref="AS208" si="816">+AS209-AS204</f>
        <v>-148.80685084000001</v>
      </c>
      <c r="AT208" s="151">
        <f t="shared" ref="AT208" si="817">+AT209-AT204</f>
        <v>-148.95903999999999</v>
      </c>
      <c r="AU208" s="151">
        <f t="shared" ref="AU208:BF208" si="818">SUM(AU205:AU207)</f>
        <v>-147.73000000000002</v>
      </c>
      <c r="AV208" s="151">
        <f t="shared" si="818"/>
        <v>-149.37799999999999</v>
      </c>
      <c r="AW208" s="151">
        <f t="shared" si="818"/>
        <v>-153.99799999999999</v>
      </c>
      <c r="AX208" s="151">
        <f t="shared" si="818"/>
        <v>-157.31</v>
      </c>
      <c r="AY208" s="151">
        <f t="shared" si="818"/>
        <v>-158.79</v>
      </c>
      <c r="AZ208" s="151">
        <f t="shared" si="818"/>
        <v>-163.482</v>
      </c>
      <c r="BA208" s="151">
        <f t="shared" si="818"/>
        <v>-168.24599999999998</v>
      </c>
      <c r="BB208" s="151">
        <f t="shared" si="818"/>
        <v>-173.11200000000002</v>
      </c>
      <c r="BC208" s="151">
        <f t="shared" si="818"/>
        <v>-172.86</v>
      </c>
      <c r="BD208" s="151">
        <f t="shared" si="818"/>
        <v>-171.96</v>
      </c>
      <c r="BE208" s="151">
        <f t="shared" si="818"/>
        <v>-173.52</v>
      </c>
      <c r="BF208" s="151">
        <f t="shared" si="818"/>
        <v>-173.52</v>
      </c>
      <c r="BJ208" s="116">
        <f t="shared" si="803"/>
        <v>199</v>
      </c>
    </row>
    <row r="209" spans="1:62" outlineLevel="1">
      <c r="B209" s="36" t="s">
        <v>353</v>
      </c>
      <c r="C209" s="143">
        <f t="shared" si="799"/>
        <v>536.6008392</v>
      </c>
      <c r="D209" s="143">
        <f t="shared" si="799"/>
        <v>736.50495259999991</v>
      </c>
      <c r="E209" s="143">
        <f t="shared" si="799"/>
        <v>833.58248020000008</v>
      </c>
      <c r="F209" s="143">
        <f t="shared" si="799"/>
        <v>617.33362799999998</v>
      </c>
      <c r="G209" s="143">
        <f t="shared" si="799"/>
        <v>719.68766500000004</v>
      </c>
      <c r="H209" s="143">
        <f t="shared" si="799"/>
        <v>385.62606199999999</v>
      </c>
      <c r="I209" s="143">
        <f t="shared" si="799"/>
        <v>121.23322</v>
      </c>
      <c r="J209" s="143">
        <f t="shared" si="799"/>
        <v>143.17345416000001</v>
      </c>
      <c r="K209" s="143">
        <f t="shared" si="799"/>
        <v>292.73424999999997</v>
      </c>
      <c r="L209" s="143">
        <f t="shared" si="799"/>
        <v>376.95200000000011</v>
      </c>
      <c r="M209" s="143">
        <f t="shared" si="799"/>
        <v>413.45999999999992</v>
      </c>
      <c r="O209" s="143">
        <f t="shared" ref="O209:AR209" si="819">O202*O196/1000000</f>
        <v>109.244258</v>
      </c>
      <c r="P209" s="143">
        <f t="shared" si="819"/>
        <v>122.11038840000001</v>
      </c>
      <c r="Q209" s="143">
        <f t="shared" si="819"/>
        <v>144.6427496</v>
      </c>
      <c r="R209" s="143">
        <f t="shared" si="819"/>
        <v>160.60344320000002</v>
      </c>
      <c r="S209" s="143">
        <f t="shared" si="819"/>
        <v>156.56193400000001</v>
      </c>
      <c r="T209" s="143">
        <f t="shared" si="819"/>
        <v>173.27411219999999</v>
      </c>
      <c r="U209" s="143">
        <f t="shared" si="819"/>
        <v>188.92354560000001</v>
      </c>
      <c r="V209" s="143">
        <f t="shared" si="819"/>
        <v>217.74536079999999</v>
      </c>
      <c r="W209" s="143">
        <f t="shared" si="819"/>
        <v>218.063118</v>
      </c>
      <c r="X209" s="143">
        <f t="shared" si="819"/>
        <v>221.64744420000002</v>
      </c>
      <c r="Y209" s="143">
        <f t="shared" si="819"/>
        <v>213.77690400000003</v>
      </c>
      <c r="Z209" s="143">
        <f t="shared" si="819"/>
        <v>180.09501399999999</v>
      </c>
      <c r="AA209" s="143">
        <f t="shared" si="819"/>
        <v>152.3115</v>
      </c>
      <c r="AB209" s="143">
        <f t="shared" si="819"/>
        <v>150.35820799999999</v>
      </c>
      <c r="AC209" s="143">
        <f t="shared" si="819"/>
        <v>158.55390399999999</v>
      </c>
      <c r="AD209" s="143">
        <f t="shared" si="819"/>
        <v>156.110016</v>
      </c>
      <c r="AE209" s="143">
        <f t="shared" si="819"/>
        <v>158.58909</v>
      </c>
      <c r="AF209" s="143">
        <f t="shared" si="819"/>
        <v>181.65137899999999</v>
      </c>
      <c r="AG209" s="143">
        <f t="shared" si="819"/>
        <v>189.904472</v>
      </c>
      <c r="AH209" s="143">
        <f t="shared" si="819"/>
        <v>189.54272399999999</v>
      </c>
      <c r="AI209" s="143">
        <f t="shared" si="819"/>
        <v>147.89888999999999</v>
      </c>
      <c r="AJ209" s="143">
        <f t="shared" si="819"/>
        <v>101.21747999999999</v>
      </c>
      <c r="AK209" s="143">
        <f t="shared" si="819"/>
        <v>70.490492000000003</v>
      </c>
      <c r="AL209" s="143">
        <f t="shared" si="819"/>
        <v>66.019199999999998</v>
      </c>
      <c r="AM209" s="143">
        <f t="shared" si="819"/>
        <v>32.9238</v>
      </c>
      <c r="AN209" s="143">
        <f t="shared" si="819"/>
        <v>27.627600000000001</v>
      </c>
      <c r="AO209" s="143">
        <f t="shared" si="819"/>
        <v>28.694800000000001</v>
      </c>
      <c r="AP209" s="143">
        <f t="shared" si="819"/>
        <v>31.987020000000001</v>
      </c>
      <c r="AQ209" s="143">
        <f t="shared" si="819"/>
        <v>24.4269</v>
      </c>
      <c r="AR209" s="143">
        <f t="shared" si="819"/>
        <v>33.620404999999998</v>
      </c>
      <c r="AS209" s="143">
        <f t="shared" ref="AS209" si="820">AS202*AS196/1000000</f>
        <v>38.666149160000003</v>
      </c>
      <c r="AT209" s="143">
        <f t="shared" ref="AT209" si="821">AT202*AT196/1000000</f>
        <v>46.46</v>
      </c>
      <c r="AU209" s="143">
        <f t="shared" ref="AU209:BF209" si="822">AU204+AU208</f>
        <v>58.819999999999993</v>
      </c>
      <c r="AV209" s="143">
        <f t="shared" si="822"/>
        <v>70.364250000000027</v>
      </c>
      <c r="AW209" s="143">
        <f t="shared" si="822"/>
        <v>79.13</v>
      </c>
      <c r="AX209" s="143">
        <f t="shared" si="822"/>
        <v>84.419999999999959</v>
      </c>
      <c r="AY209" s="143">
        <f t="shared" si="822"/>
        <v>86.235000000000014</v>
      </c>
      <c r="AZ209" s="143">
        <f t="shared" si="822"/>
        <v>93.046999999999997</v>
      </c>
      <c r="BA209" s="143">
        <f t="shared" si="822"/>
        <v>97.266000000000076</v>
      </c>
      <c r="BB209" s="143">
        <f t="shared" si="822"/>
        <v>100.404</v>
      </c>
      <c r="BC209" s="143">
        <f t="shared" si="822"/>
        <v>101.95999999999998</v>
      </c>
      <c r="BD209" s="143">
        <f t="shared" si="822"/>
        <v>102.85999999999999</v>
      </c>
      <c r="BE209" s="143">
        <f t="shared" si="822"/>
        <v>104.31999999999996</v>
      </c>
      <c r="BF209" s="143">
        <f t="shared" si="822"/>
        <v>104.31999999999996</v>
      </c>
      <c r="BJ209" s="116">
        <f t="shared" si="803"/>
        <v>200</v>
      </c>
    </row>
    <row r="210" spans="1:62" outlineLevel="1">
      <c r="B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132"/>
      <c r="AB210" s="132"/>
      <c r="AC210" s="132"/>
      <c r="AD210" s="132"/>
      <c r="AE210" s="132"/>
      <c r="AF210" s="132"/>
      <c r="AG210" s="132"/>
      <c r="AH210" s="132"/>
      <c r="AI210" s="132"/>
      <c r="AJ210" s="132"/>
      <c r="AK210" s="132"/>
      <c r="AL210" s="132"/>
      <c r="AM210" s="132"/>
      <c r="AN210" s="132"/>
      <c r="AO210" s="132"/>
      <c r="AP210" s="132"/>
      <c r="AQ210" s="132"/>
      <c r="AR210" s="132"/>
      <c r="AS210" s="132"/>
      <c r="AT210" s="147"/>
      <c r="AU210" s="135"/>
      <c r="AV210" s="135"/>
      <c r="AW210" s="135"/>
      <c r="AX210" s="135"/>
      <c r="AY210" s="135"/>
      <c r="AZ210" s="135"/>
      <c r="BA210" s="135"/>
      <c r="BB210" s="135"/>
      <c r="BC210" s="135"/>
      <c r="BD210" s="135"/>
      <c r="BE210" s="135"/>
      <c r="BF210" s="135"/>
      <c r="BJ210" s="116">
        <f t="shared" si="803"/>
        <v>201</v>
      </c>
    </row>
    <row r="211" spans="1:62" outlineLevel="1">
      <c r="B211" s="30" t="s">
        <v>84</v>
      </c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132"/>
      <c r="AB211" s="132"/>
      <c r="AC211" s="132"/>
      <c r="AD211" s="132"/>
      <c r="AE211" s="132"/>
      <c r="AF211" s="152"/>
      <c r="AG211" s="152"/>
      <c r="AH211" s="152"/>
      <c r="AI211" s="152"/>
      <c r="AJ211" s="152"/>
      <c r="AK211" s="152"/>
      <c r="AL211" s="152"/>
      <c r="AM211" s="152"/>
      <c r="AN211" s="152"/>
      <c r="AO211" s="152"/>
      <c r="AP211" s="152"/>
      <c r="AQ211" s="152"/>
      <c r="AX211" s="135"/>
      <c r="AY211" s="135"/>
      <c r="AZ211" s="135"/>
      <c r="BA211" s="135"/>
      <c r="BB211" s="135"/>
      <c r="BC211" s="135"/>
      <c r="BD211" s="135"/>
      <c r="BE211" s="135"/>
      <c r="BF211" s="135"/>
      <c r="BJ211" s="116">
        <f t="shared" si="803"/>
        <v>202</v>
      </c>
    </row>
    <row r="212" spans="1:62" outlineLevel="1">
      <c r="B212" s="31" t="s">
        <v>85</v>
      </c>
      <c r="C212" s="50">
        <f t="shared" ref="C212:M214" si="823">SUMIFS($O212:$BG212,$O$5:$BG$5,C$5)</f>
        <v>316.27899999999994</v>
      </c>
      <c r="D212" s="50">
        <f t="shared" si="823"/>
        <v>309.92099999999999</v>
      </c>
      <c r="E212" s="50">
        <f t="shared" si="823"/>
        <v>433.15643955555561</v>
      </c>
      <c r="F212" s="50">
        <f t="shared" si="823"/>
        <v>389.5403720000001</v>
      </c>
      <c r="G212" s="50">
        <f t="shared" si="823"/>
        <v>448.63051000000002</v>
      </c>
      <c r="H212" s="50">
        <f t="shared" si="823"/>
        <v>349.40120000000002</v>
      </c>
      <c r="I212" s="50">
        <f t="shared" si="823"/>
        <v>127.15469999999999</v>
      </c>
      <c r="J212" s="50">
        <f t="shared" si="823"/>
        <v>109.44595999999999</v>
      </c>
      <c r="K212" s="50">
        <f t="shared" si="823"/>
        <v>177.15</v>
      </c>
      <c r="L212" s="50">
        <f t="shared" si="823"/>
        <v>233.75</v>
      </c>
      <c r="M212" s="50">
        <f t="shared" si="823"/>
        <v>261.74</v>
      </c>
      <c r="O212" s="147">
        <f t="shared" ref="O212:AE212" si="824">O169-O204</f>
        <v>98.891999999999939</v>
      </c>
      <c r="P212" s="147">
        <f t="shared" si="824"/>
        <v>82.363</v>
      </c>
      <c r="Q212" s="147">
        <f t="shared" si="824"/>
        <v>74.22399999999999</v>
      </c>
      <c r="R212" s="147">
        <f t="shared" si="824"/>
        <v>60.800000000000011</v>
      </c>
      <c r="S212" s="147">
        <f t="shared" si="824"/>
        <v>74.069000000000017</v>
      </c>
      <c r="T212" s="147">
        <f t="shared" si="824"/>
        <v>79.62</v>
      </c>
      <c r="U212" s="147">
        <f t="shared" si="824"/>
        <v>73.096000000000004</v>
      </c>
      <c r="V212" s="147">
        <f t="shared" si="824"/>
        <v>83.135999999999967</v>
      </c>
      <c r="W212" s="147">
        <f t="shared" si="824"/>
        <v>125.90025555555559</v>
      </c>
      <c r="X212" s="147">
        <f t="shared" si="824"/>
        <v>104.39400000000001</v>
      </c>
      <c r="Y212" s="147">
        <f t="shared" si="824"/>
        <v>94.637183999999991</v>
      </c>
      <c r="Z212" s="147">
        <f t="shared" si="824"/>
        <v>108.22500000000002</v>
      </c>
      <c r="AA212" s="147">
        <f t="shared" si="824"/>
        <v>125.91150000000005</v>
      </c>
      <c r="AB212" s="147">
        <f t="shared" si="824"/>
        <v>100.55479200000002</v>
      </c>
      <c r="AC212" s="147">
        <f t="shared" si="824"/>
        <v>76.685096000000044</v>
      </c>
      <c r="AD212" s="147">
        <f t="shared" si="824"/>
        <v>86.388983999999994</v>
      </c>
      <c r="AE212" s="147">
        <f t="shared" si="824"/>
        <v>124.68191000000002</v>
      </c>
      <c r="AF212" s="147">
        <f>AF169-AF204</f>
        <v>109.21620000000001</v>
      </c>
      <c r="AG212" s="147">
        <f t="shared" ref="AG212:AQ212" si="825">AG169-AG204</f>
        <v>103.9264</v>
      </c>
      <c r="AH212" s="147">
        <f t="shared" si="825"/>
        <v>110.80599999999998</v>
      </c>
      <c r="AI212" s="147">
        <f t="shared" si="825"/>
        <v>124.50600000000003</v>
      </c>
      <c r="AJ212" s="147">
        <f t="shared" si="825"/>
        <v>86.904199999999946</v>
      </c>
      <c r="AK212" s="147">
        <f t="shared" si="825"/>
        <v>77.861800000000017</v>
      </c>
      <c r="AL212" s="147">
        <f t="shared" si="825"/>
        <v>60.129199999999997</v>
      </c>
      <c r="AM212" s="147">
        <f t="shared" si="825"/>
        <v>41.354099999999988</v>
      </c>
      <c r="AN212" s="147">
        <f t="shared" si="825"/>
        <v>29.329000000000008</v>
      </c>
      <c r="AO212" s="147">
        <f t="shared" si="825"/>
        <v>23.156599999999997</v>
      </c>
      <c r="AP212" s="147">
        <f t="shared" si="825"/>
        <v>33.314999999999998</v>
      </c>
      <c r="AQ212" s="147">
        <f t="shared" si="825"/>
        <v>16.943999999999988</v>
      </c>
      <c r="AR212" s="147">
        <f t="shared" ref="AR212" si="826">AR169-AR204</f>
        <v>19.448999999999984</v>
      </c>
      <c r="AS212" s="147">
        <f t="shared" ref="AS212:AT212" si="827">AS169-AS204</f>
        <v>35.274000000000001</v>
      </c>
      <c r="AT212" s="147">
        <f t="shared" si="827"/>
        <v>37.778960000000012</v>
      </c>
      <c r="AU212" s="153">
        <f t="shared" ref="AU212:BF212" si="828">+AU$219*AU221/1000000</f>
        <v>37.799999999999997</v>
      </c>
      <c r="AV212" s="153">
        <f t="shared" si="828"/>
        <v>44.59</v>
      </c>
      <c r="AW212" s="153">
        <f t="shared" si="828"/>
        <v>45.08</v>
      </c>
      <c r="AX212" s="153">
        <f t="shared" si="828"/>
        <v>49.68</v>
      </c>
      <c r="AY212" s="153">
        <f t="shared" si="828"/>
        <v>53.100000000000009</v>
      </c>
      <c r="AZ212" s="153">
        <f t="shared" si="828"/>
        <v>53.690000000000005</v>
      </c>
      <c r="BA212" s="153">
        <f t="shared" si="828"/>
        <v>63.48</v>
      </c>
      <c r="BB212" s="153">
        <f t="shared" si="828"/>
        <v>63.48</v>
      </c>
      <c r="BC212" s="153">
        <f t="shared" si="828"/>
        <v>62.79</v>
      </c>
      <c r="BD212" s="153">
        <f t="shared" si="828"/>
        <v>62.79</v>
      </c>
      <c r="BE212" s="153">
        <f t="shared" si="828"/>
        <v>68.08</v>
      </c>
      <c r="BF212" s="153">
        <f t="shared" si="828"/>
        <v>68.08</v>
      </c>
      <c r="BJ212" s="116">
        <f t="shared" si="803"/>
        <v>203</v>
      </c>
    </row>
    <row r="213" spans="1:62" outlineLevel="1">
      <c r="B213" s="31" t="s">
        <v>86</v>
      </c>
      <c r="C213" s="50">
        <f t="shared" si="823"/>
        <v>-152.04781359999978</v>
      </c>
      <c r="D213" s="50">
        <f t="shared" si="823"/>
        <v>-183.97201249999989</v>
      </c>
      <c r="E213" s="50">
        <f t="shared" si="823"/>
        <v>-283.57133615555551</v>
      </c>
      <c r="F213" s="50">
        <f t="shared" si="823"/>
        <v>-214.92405780000007</v>
      </c>
      <c r="G213" s="50">
        <f t="shared" si="823"/>
        <v>-292.54990892079206</v>
      </c>
      <c r="H213" s="50">
        <f t="shared" si="823"/>
        <v>-178.47468199999997</v>
      </c>
      <c r="I213" s="50">
        <f t="shared" si="823"/>
        <v>-50.561168999999964</v>
      </c>
      <c r="J213" s="50">
        <f t="shared" si="823"/>
        <v>-54.632069159999972</v>
      </c>
      <c r="K213" s="50">
        <f t="shared" si="823"/>
        <v>-79.41</v>
      </c>
      <c r="L213" s="50">
        <f t="shared" si="823"/>
        <v>-109.59</v>
      </c>
      <c r="M213" s="50">
        <f t="shared" si="823"/>
        <v>-126.30000000000001</v>
      </c>
      <c r="O213" s="147">
        <f t="shared" ref="O213:AE214" si="829">O170-O208</f>
        <v>-45.873520999999869</v>
      </c>
      <c r="P213" s="147">
        <f t="shared" si="829"/>
        <v>-40.344932999999969</v>
      </c>
      <c r="Q213" s="147">
        <f t="shared" si="829"/>
        <v>-35.482715599999949</v>
      </c>
      <c r="R213" s="147">
        <f t="shared" si="829"/>
        <v>-30.346643999999998</v>
      </c>
      <c r="S213" s="147">
        <f t="shared" si="829"/>
        <v>-39.546065999999996</v>
      </c>
      <c r="T213" s="147">
        <f t="shared" si="829"/>
        <v>-44.139247699999999</v>
      </c>
      <c r="U213" s="147">
        <f t="shared" si="829"/>
        <v>-46.58563879999997</v>
      </c>
      <c r="V213" s="147">
        <f t="shared" si="829"/>
        <v>-53.701059999999927</v>
      </c>
      <c r="W213" s="147">
        <f t="shared" si="829"/>
        <v>-68.732799755555504</v>
      </c>
      <c r="X213" s="147">
        <f t="shared" si="829"/>
        <v>-63.328065999999978</v>
      </c>
      <c r="Y213" s="147">
        <f t="shared" si="829"/>
        <v>-71.218032000000022</v>
      </c>
      <c r="Z213" s="147">
        <f t="shared" si="829"/>
        <v>-80.292438400000037</v>
      </c>
      <c r="AA213" s="147">
        <f t="shared" si="829"/>
        <v>-75.856488000000041</v>
      </c>
      <c r="AB213" s="147">
        <f t="shared" si="829"/>
        <v>-53.622179000000017</v>
      </c>
      <c r="AC213" s="147">
        <f t="shared" si="829"/>
        <v>-33.223284000000035</v>
      </c>
      <c r="AD213" s="147">
        <f t="shared" si="829"/>
        <v>-52.222106799999978</v>
      </c>
      <c r="AE213" s="147">
        <f t="shared" si="829"/>
        <v>-77.379638000000057</v>
      </c>
      <c r="AF213" s="147">
        <f>AF170-AF208</f>
        <v>-67.182298999999972</v>
      </c>
      <c r="AG213" s="147">
        <f t="shared" ref="AG213:AQ214" si="830">AG170-AG208</f>
        <v>-72.422847920792037</v>
      </c>
      <c r="AH213" s="147">
        <f t="shared" si="830"/>
        <v>-75.565123999999997</v>
      </c>
      <c r="AI213" s="147">
        <f t="shared" si="830"/>
        <v>-71.103330000000028</v>
      </c>
      <c r="AJ213" s="147">
        <f t="shared" si="830"/>
        <v>-41.252775999999955</v>
      </c>
      <c r="AK213" s="147">
        <f t="shared" si="830"/>
        <v>-42.43904000000002</v>
      </c>
      <c r="AL213" s="147">
        <f t="shared" si="830"/>
        <v>-23.679535999999999</v>
      </c>
      <c r="AM213" s="147">
        <f t="shared" si="830"/>
        <v>-18.313354999999987</v>
      </c>
      <c r="AN213" s="147">
        <f t="shared" si="830"/>
        <v>-15.863097999999994</v>
      </c>
      <c r="AO213" s="147">
        <f t="shared" si="830"/>
        <v>-7.148231999999993</v>
      </c>
      <c r="AP213" s="147">
        <f t="shared" si="830"/>
        <v>-9.2364839999999901</v>
      </c>
      <c r="AQ213" s="147">
        <f t="shared" si="830"/>
        <v>-5.4540599999999841</v>
      </c>
      <c r="AR213" s="147">
        <f t="shared" ref="AR213" si="831">AR170-AR208</f>
        <v>-6.461843999999985</v>
      </c>
      <c r="AS213" s="147">
        <f t="shared" ref="AS213:AT213" si="832">AS170-AS208</f>
        <v>-21.319093159999994</v>
      </c>
      <c r="AT213" s="147">
        <f t="shared" si="832"/>
        <v>-21.397072000000009</v>
      </c>
      <c r="AU213" s="158">
        <f t="shared" ref="AU213:BF213" si="833">-AU$219*AU222/1000000</f>
        <v>-18.899999999999999</v>
      </c>
      <c r="AV213" s="158">
        <f t="shared" si="833"/>
        <v>-19.11</v>
      </c>
      <c r="AW213" s="158">
        <f t="shared" si="833"/>
        <v>-19.32</v>
      </c>
      <c r="AX213" s="158">
        <f t="shared" si="833"/>
        <v>-22.08</v>
      </c>
      <c r="AY213" s="158">
        <f t="shared" si="833"/>
        <v>-24.3</v>
      </c>
      <c r="AZ213" s="158">
        <f t="shared" si="833"/>
        <v>-24.57</v>
      </c>
      <c r="BA213" s="158">
        <f t="shared" si="833"/>
        <v>-30.36</v>
      </c>
      <c r="BB213" s="158">
        <f t="shared" si="833"/>
        <v>-30.36</v>
      </c>
      <c r="BC213" s="158">
        <f t="shared" si="833"/>
        <v>-30.03</v>
      </c>
      <c r="BD213" s="158">
        <f t="shared" si="833"/>
        <v>-30.03</v>
      </c>
      <c r="BE213" s="158">
        <f t="shared" si="833"/>
        <v>-33.119999999999997</v>
      </c>
      <c r="BF213" s="158">
        <f t="shared" si="833"/>
        <v>-33.119999999999997</v>
      </c>
      <c r="BJ213" s="116">
        <f t="shared" si="803"/>
        <v>204</v>
      </c>
    </row>
    <row r="214" spans="1:62" outlineLevel="1">
      <c r="A214" s="247"/>
      <c r="B214" s="258" t="s">
        <v>87</v>
      </c>
      <c r="C214" s="185">
        <f t="shared" si="823"/>
        <v>164.23118640000015</v>
      </c>
      <c r="D214" s="185">
        <f t="shared" si="823"/>
        <v>125.94898750000007</v>
      </c>
      <c r="E214" s="185">
        <f t="shared" si="823"/>
        <v>149.58510340000007</v>
      </c>
      <c r="F214" s="185">
        <f t="shared" si="823"/>
        <v>174.61631420000003</v>
      </c>
      <c r="G214" s="185">
        <f t="shared" si="823"/>
        <v>156.08060107920795</v>
      </c>
      <c r="H214" s="185">
        <f t="shared" si="823"/>
        <v>170.92651799999999</v>
      </c>
      <c r="I214" s="185">
        <f t="shared" si="823"/>
        <v>76.593531000000013</v>
      </c>
      <c r="J214" s="185">
        <f t="shared" si="823"/>
        <v>54.813890839999992</v>
      </c>
      <c r="K214" s="185">
        <f t="shared" si="823"/>
        <v>97.740000000000009</v>
      </c>
      <c r="L214" s="185">
        <f t="shared" si="823"/>
        <v>124.16</v>
      </c>
      <c r="M214" s="185">
        <f t="shared" si="823"/>
        <v>135.44</v>
      </c>
      <c r="N214" s="273"/>
      <c r="O214" s="143">
        <f t="shared" si="829"/>
        <v>53.01847900000007</v>
      </c>
      <c r="P214" s="143">
        <f t="shared" si="829"/>
        <v>42.01806700000003</v>
      </c>
      <c r="Q214" s="143">
        <f t="shared" si="829"/>
        <v>38.74128440000004</v>
      </c>
      <c r="R214" s="143">
        <f t="shared" si="829"/>
        <v>30.453356000000014</v>
      </c>
      <c r="S214" s="143">
        <f t="shared" si="829"/>
        <v>34.522934000000021</v>
      </c>
      <c r="T214" s="143">
        <f t="shared" si="829"/>
        <v>35.480752300000034</v>
      </c>
      <c r="U214" s="143">
        <f t="shared" si="829"/>
        <v>26.510361200000006</v>
      </c>
      <c r="V214" s="143">
        <f t="shared" si="829"/>
        <v>29.434940000000012</v>
      </c>
      <c r="W214" s="143">
        <f t="shared" si="829"/>
        <v>57.167455800000056</v>
      </c>
      <c r="X214" s="143">
        <f t="shared" si="829"/>
        <v>41.065933999999999</v>
      </c>
      <c r="Y214" s="143">
        <f t="shared" si="829"/>
        <v>23.419151999999997</v>
      </c>
      <c r="Z214" s="143">
        <f t="shared" si="829"/>
        <v>27.932561600000014</v>
      </c>
      <c r="AA214" s="143">
        <f t="shared" si="829"/>
        <v>50.055012000000005</v>
      </c>
      <c r="AB214" s="143">
        <f t="shared" si="829"/>
        <v>46.932613000000003</v>
      </c>
      <c r="AC214" s="143">
        <f t="shared" si="829"/>
        <v>43.461812000000009</v>
      </c>
      <c r="AD214" s="143">
        <f t="shared" si="829"/>
        <v>34.166877200000016</v>
      </c>
      <c r="AE214" s="143">
        <f t="shared" si="829"/>
        <v>47.302271999999988</v>
      </c>
      <c r="AF214" s="143">
        <f>AF171-AF209</f>
        <v>42.033901000000014</v>
      </c>
      <c r="AG214" s="143">
        <f t="shared" si="830"/>
        <v>31.503552079207935</v>
      </c>
      <c r="AH214" s="143">
        <f t="shared" si="830"/>
        <v>35.240876000000014</v>
      </c>
      <c r="AI214" s="143">
        <f t="shared" si="830"/>
        <v>53.402670000000001</v>
      </c>
      <c r="AJ214" s="143">
        <f t="shared" si="830"/>
        <v>45.651423999999992</v>
      </c>
      <c r="AK214" s="143">
        <f t="shared" si="830"/>
        <v>35.422759999999997</v>
      </c>
      <c r="AL214" s="143">
        <f t="shared" si="830"/>
        <v>36.449663999999999</v>
      </c>
      <c r="AM214" s="143">
        <f t="shared" si="830"/>
        <v>23.040745000000001</v>
      </c>
      <c r="AN214" s="143">
        <f t="shared" si="830"/>
        <v>13.465902000000007</v>
      </c>
      <c r="AO214" s="143">
        <f t="shared" si="830"/>
        <v>16.008367999999997</v>
      </c>
      <c r="AP214" s="143">
        <f t="shared" si="830"/>
        <v>24.078516</v>
      </c>
      <c r="AQ214" s="143">
        <f t="shared" si="830"/>
        <v>11.489940000000001</v>
      </c>
      <c r="AR214" s="143">
        <f t="shared" ref="AR214" si="834">AR171-AR209</f>
        <v>12.987155999999999</v>
      </c>
      <c r="AS214" s="143">
        <f t="shared" ref="AS214:AT214" si="835">AS171-AS209</f>
        <v>13.95490684</v>
      </c>
      <c r="AT214" s="143">
        <f t="shared" si="835"/>
        <v>16.381887999999996</v>
      </c>
      <c r="AU214" s="259">
        <f t="shared" ref="AU214:BF214" si="836">+AU$219*AU223/1000000</f>
        <v>18.899999999999999</v>
      </c>
      <c r="AV214" s="259">
        <f t="shared" si="836"/>
        <v>25.48</v>
      </c>
      <c r="AW214" s="259">
        <f t="shared" si="836"/>
        <v>25.76</v>
      </c>
      <c r="AX214" s="259">
        <f t="shared" si="836"/>
        <v>27.6</v>
      </c>
      <c r="AY214" s="259">
        <f t="shared" si="836"/>
        <v>28.800000000000004</v>
      </c>
      <c r="AZ214" s="259">
        <f t="shared" si="836"/>
        <v>29.120000000000005</v>
      </c>
      <c r="BA214" s="259">
        <f t="shared" si="836"/>
        <v>33.119999999999997</v>
      </c>
      <c r="BB214" s="259">
        <f t="shared" si="836"/>
        <v>33.119999999999997</v>
      </c>
      <c r="BC214" s="259">
        <f t="shared" si="836"/>
        <v>32.76</v>
      </c>
      <c r="BD214" s="259">
        <f t="shared" si="836"/>
        <v>32.76</v>
      </c>
      <c r="BE214" s="259">
        <f t="shared" si="836"/>
        <v>34.96</v>
      </c>
      <c r="BF214" s="259">
        <f t="shared" si="836"/>
        <v>34.96</v>
      </c>
      <c r="BG214" s="80"/>
      <c r="BH214" s="80"/>
      <c r="BI214" s="80"/>
      <c r="BJ214" s="116">
        <f t="shared" si="803"/>
        <v>205</v>
      </c>
    </row>
    <row r="215" spans="1:62" outlineLevel="1">
      <c r="B215" s="37"/>
      <c r="O215" s="132"/>
      <c r="P215" s="132"/>
      <c r="Q215" s="132"/>
      <c r="R215" s="132"/>
      <c r="S215" s="132"/>
      <c r="T215" s="132"/>
      <c r="U215" s="132"/>
      <c r="V215" s="132"/>
      <c r="W215" s="132"/>
      <c r="X215" s="132"/>
      <c r="Y215" s="132"/>
      <c r="Z215" s="132"/>
      <c r="AA215" s="132"/>
      <c r="AB215" s="132"/>
      <c r="AC215" s="132"/>
      <c r="AD215" s="132"/>
      <c r="AE215" s="132"/>
      <c r="AF215" s="132"/>
      <c r="AG215" s="132"/>
      <c r="AH215" s="132"/>
      <c r="AI215" s="147"/>
      <c r="AJ215" s="147"/>
      <c r="AK215" s="147"/>
      <c r="AL215" s="147"/>
      <c r="AM215" s="245"/>
      <c r="AN215" s="245"/>
      <c r="AO215" s="245"/>
      <c r="AP215" s="245"/>
      <c r="AQ215" s="245"/>
      <c r="AR215" s="245"/>
      <c r="AS215" s="245"/>
      <c r="AT215" s="245"/>
      <c r="AU215" s="245"/>
      <c r="AV215" s="245"/>
      <c r="AW215" s="245"/>
      <c r="AX215" s="245"/>
      <c r="AY215" s="245"/>
      <c r="AZ215" s="245"/>
      <c r="BA215" s="245"/>
      <c r="BB215" s="245"/>
      <c r="BC215" s="245"/>
      <c r="BD215" s="245"/>
      <c r="BE215" s="245"/>
      <c r="BF215" s="245"/>
      <c r="BJ215" s="116">
        <f t="shared" si="803"/>
        <v>206</v>
      </c>
    </row>
    <row r="216" spans="1:62" outlineLevel="1">
      <c r="B216" s="31" t="s">
        <v>88</v>
      </c>
      <c r="C216" s="152">
        <f t="shared" ref="C216:M216" si="837">C151</f>
        <v>9.4065753424657537</v>
      </c>
      <c r="D216" s="152">
        <f t="shared" si="837"/>
        <v>9.5589041095890419</v>
      </c>
      <c r="E216" s="152">
        <f t="shared" si="837"/>
        <v>12.774043715846995</v>
      </c>
      <c r="F216" s="152">
        <f t="shared" si="837"/>
        <v>13.187397260273972</v>
      </c>
      <c r="G216" s="152">
        <f t="shared" si="837"/>
        <v>9.9369863013698634</v>
      </c>
      <c r="H216" s="152">
        <f t="shared" si="837"/>
        <v>7.4958904109589044</v>
      </c>
      <c r="I216" s="152">
        <f t="shared" si="837"/>
        <v>4.9945355191256828</v>
      </c>
      <c r="J216" s="152">
        <f t="shared" si="837"/>
        <v>2.7479452054794522</v>
      </c>
      <c r="K216" s="152">
        <f t="shared" si="837"/>
        <v>3.7534246575342465</v>
      </c>
      <c r="L216" s="152">
        <f t="shared" si="837"/>
        <v>5.5041095890410956</v>
      </c>
      <c r="M216" s="152">
        <f t="shared" si="837"/>
        <v>7</v>
      </c>
      <c r="O216" s="154">
        <f t="shared" ref="O216:AP216" si="838">O151</f>
        <v>12</v>
      </c>
      <c r="P216" s="154">
        <f t="shared" si="838"/>
        <v>11</v>
      </c>
      <c r="Q216" s="154">
        <f t="shared" si="838"/>
        <v>8.1999999999999993</v>
      </c>
      <c r="R216" s="154">
        <f t="shared" si="838"/>
        <v>6.5</v>
      </c>
      <c r="S216" s="154">
        <f t="shared" si="838"/>
        <v>8</v>
      </c>
      <c r="T216" s="154">
        <f t="shared" si="838"/>
        <v>9.4</v>
      </c>
      <c r="U216" s="154">
        <f t="shared" si="838"/>
        <v>10.8</v>
      </c>
      <c r="V216" s="154">
        <f t="shared" si="838"/>
        <v>10</v>
      </c>
      <c r="W216" s="154">
        <f t="shared" si="838"/>
        <v>11.9</v>
      </c>
      <c r="X216" s="154">
        <f t="shared" si="838"/>
        <v>14</v>
      </c>
      <c r="Y216" s="154">
        <f t="shared" si="838"/>
        <v>12.8</v>
      </c>
      <c r="Z216" s="154">
        <f t="shared" si="838"/>
        <v>12.4</v>
      </c>
      <c r="AA216" s="154">
        <f t="shared" si="838"/>
        <v>14.1</v>
      </c>
      <c r="AB216" s="154">
        <f t="shared" si="838"/>
        <v>16</v>
      </c>
      <c r="AC216" s="154">
        <f t="shared" si="838"/>
        <v>12</v>
      </c>
      <c r="AD216" s="154">
        <f t="shared" si="838"/>
        <v>10.7</v>
      </c>
      <c r="AE216" s="154">
        <f t="shared" si="838"/>
        <v>11.8</v>
      </c>
      <c r="AF216" s="154">
        <f t="shared" si="838"/>
        <v>11</v>
      </c>
      <c r="AG216" s="154">
        <f t="shared" si="838"/>
        <v>9</v>
      </c>
      <c r="AH216" s="154">
        <f t="shared" si="838"/>
        <v>8</v>
      </c>
      <c r="AI216" s="154">
        <f t="shared" si="838"/>
        <v>8</v>
      </c>
      <c r="AJ216" s="154">
        <f t="shared" si="838"/>
        <v>8</v>
      </c>
      <c r="AK216" s="154">
        <f t="shared" si="838"/>
        <v>7</v>
      </c>
      <c r="AL216" s="154">
        <f t="shared" si="838"/>
        <v>7</v>
      </c>
      <c r="AM216" s="154">
        <f t="shared" si="838"/>
        <v>6</v>
      </c>
      <c r="AN216" s="154">
        <f t="shared" si="838"/>
        <v>6</v>
      </c>
      <c r="AO216" s="154">
        <f t="shared" si="838"/>
        <v>4</v>
      </c>
      <c r="AP216" s="154">
        <f t="shared" si="838"/>
        <v>4</v>
      </c>
      <c r="AQ216" s="154">
        <f t="shared" ref="AQ216:AS217" si="839">AQ151</f>
        <v>3</v>
      </c>
      <c r="AR216" s="154">
        <f t="shared" si="839"/>
        <v>3</v>
      </c>
      <c r="AS216" s="154">
        <f t="shared" si="839"/>
        <v>3</v>
      </c>
      <c r="AT216" s="154">
        <f t="shared" ref="AT216" si="840">AT151</f>
        <v>2</v>
      </c>
      <c r="AU216" s="155">
        <v>3</v>
      </c>
      <c r="AV216" s="155">
        <v>4</v>
      </c>
      <c r="AW216" s="155">
        <v>4</v>
      </c>
      <c r="AX216" s="155">
        <v>4</v>
      </c>
      <c r="AY216" s="155">
        <v>5</v>
      </c>
      <c r="AZ216" s="155">
        <v>5</v>
      </c>
      <c r="BA216" s="155">
        <v>6</v>
      </c>
      <c r="BB216" s="155">
        <f t="shared" ref="BB216:BF216" si="841">BA216</f>
        <v>6</v>
      </c>
      <c r="BC216" s="155">
        <v>7</v>
      </c>
      <c r="BD216" s="155">
        <f t="shared" si="841"/>
        <v>7</v>
      </c>
      <c r="BE216" s="155">
        <f t="shared" si="841"/>
        <v>7</v>
      </c>
      <c r="BF216" s="155">
        <f t="shared" si="841"/>
        <v>7</v>
      </c>
      <c r="BJ216" s="116">
        <f t="shared" si="803"/>
        <v>207</v>
      </c>
    </row>
    <row r="217" spans="1:62" outlineLevel="1">
      <c r="B217" s="31" t="s">
        <v>89</v>
      </c>
      <c r="C217" s="152">
        <f t="shared" ref="C217:M217" si="842">C152</f>
        <v>7.4394520547945211</v>
      </c>
      <c r="D217" s="152">
        <f t="shared" si="842"/>
        <v>4.8736986301369862</v>
      </c>
      <c r="E217" s="152">
        <f t="shared" si="842"/>
        <v>5.5961748633879775</v>
      </c>
      <c r="F217" s="152">
        <f t="shared" si="842"/>
        <v>5.145753424657534</v>
      </c>
      <c r="G217" s="152">
        <f t="shared" si="842"/>
        <v>6.1424657534246574</v>
      </c>
      <c r="H217" s="152">
        <f t="shared" si="842"/>
        <v>7.9890410958904106</v>
      </c>
      <c r="I217" s="152">
        <f t="shared" si="842"/>
        <v>3.8240437158469942</v>
      </c>
      <c r="J217" s="152">
        <f t="shared" si="842"/>
        <v>3</v>
      </c>
      <c r="K217" s="152">
        <f t="shared" si="842"/>
        <v>3.4986301369863013</v>
      </c>
      <c r="L217" s="152">
        <f t="shared" si="842"/>
        <v>4.5041095890410956</v>
      </c>
      <c r="M217" s="152">
        <f t="shared" si="842"/>
        <v>4.5027322404371581</v>
      </c>
      <c r="O217" s="154">
        <f t="shared" ref="O217:AP217" si="843">O152</f>
        <v>9.1</v>
      </c>
      <c r="P217" s="154">
        <f t="shared" si="843"/>
        <v>8</v>
      </c>
      <c r="Q217" s="154">
        <f t="shared" si="843"/>
        <v>6.7</v>
      </c>
      <c r="R217" s="154">
        <f t="shared" si="843"/>
        <v>6</v>
      </c>
      <c r="S217" s="154">
        <f t="shared" si="843"/>
        <v>5.3</v>
      </c>
      <c r="T217" s="154">
        <f t="shared" si="843"/>
        <v>4.5</v>
      </c>
      <c r="U217" s="154">
        <f t="shared" si="843"/>
        <v>4.7</v>
      </c>
      <c r="V217" s="154">
        <f t="shared" si="843"/>
        <v>5</v>
      </c>
      <c r="W217" s="154">
        <f t="shared" si="843"/>
        <v>8.1999999999999993</v>
      </c>
      <c r="X217" s="154">
        <f t="shared" si="843"/>
        <v>4.4000000000000004</v>
      </c>
      <c r="Y217" s="154">
        <f t="shared" si="843"/>
        <v>4.5999999999999996</v>
      </c>
      <c r="Z217" s="154">
        <f t="shared" si="843"/>
        <v>5.2</v>
      </c>
      <c r="AA217" s="154">
        <f t="shared" si="843"/>
        <v>6</v>
      </c>
      <c r="AB217" s="154">
        <f t="shared" si="843"/>
        <v>5</v>
      </c>
      <c r="AC217" s="154">
        <f t="shared" si="843"/>
        <v>5</v>
      </c>
      <c r="AD217" s="154">
        <f t="shared" si="843"/>
        <v>4.5999999999999996</v>
      </c>
      <c r="AE217" s="154">
        <f t="shared" si="843"/>
        <v>7.6</v>
      </c>
      <c r="AF217" s="154">
        <f t="shared" si="843"/>
        <v>6</v>
      </c>
      <c r="AG217" s="154">
        <f t="shared" si="843"/>
        <v>5</v>
      </c>
      <c r="AH217" s="154">
        <f t="shared" si="843"/>
        <v>6</v>
      </c>
      <c r="AI217" s="154">
        <f t="shared" si="843"/>
        <v>10</v>
      </c>
      <c r="AJ217" s="154">
        <f t="shared" si="843"/>
        <v>8</v>
      </c>
      <c r="AK217" s="154">
        <f t="shared" si="843"/>
        <v>7</v>
      </c>
      <c r="AL217" s="154">
        <f t="shared" si="843"/>
        <v>7</v>
      </c>
      <c r="AM217" s="154">
        <f t="shared" si="843"/>
        <v>5</v>
      </c>
      <c r="AN217" s="154">
        <f t="shared" si="843"/>
        <v>3</v>
      </c>
      <c r="AO217" s="154">
        <f t="shared" si="843"/>
        <v>3.3</v>
      </c>
      <c r="AP217" s="154">
        <f t="shared" si="843"/>
        <v>4</v>
      </c>
      <c r="AQ217" s="154">
        <f t="shared" si="839"/>
        <v>3</v>
      </c>
      <c r="AR217" s="154">
        <f t="shared" si="839"/>
        <v>3</v>
      </c>
      <c r="AS217" s="154">
        <f t="shared" si="839"/>
        <v>3</v>
      </c>
      <c r="AT217" s="154">
        <f t="shared" ref="AT217" si="844">AT152</f>
        <v>3</v>
      </c>
      <c r="AU217" s="155">
        <v>4</v>
      </c>
      <c r="AV217" s="155">
        <v>3</v>
      </c>
      <c r="AW217" s="155">
        <v>3</v>
      </c>
      <c r="AX217" s="155">
        <v>4</v>
      </c>
      <c r="AY217" s="155">
        <v>4</v>
      </c>
      <c r="AZ217" s="155">
        <v>4</v>
      </c>
      <c r="BA217" s="155">
        <v>5</v>
      </c>
      <c r="BB217" s="155">
        <v>5</v>
      </c>
      <c r="BC217" s="155">
        <f>AY217</f>
        <v>4</v>
      </c>
      <c r="BD217" s="155">
        <f>AZ217</f>
        <v>4</v>
      </c>
      <c r="BE217" s="155">
        <f>BA217</f>
        <v>5</v>
      </c>
      <c r="BF217" s="155">
        <f>BB217</f>
        <v>5</v>
      </c>
      <c r="BJ217" s="116">
        <f t="shared" si="803"/>
        <v>208</v>
      </c>
    </row>
    <row r="218" spans="1:62" outlineLevel="1">
      <c r="B218" s="38" t="s">
        <v>90</v>
      </c>
      <c r="C218" s="151">
        <f t="shared" ref="C218:M218" si="845">SUM(C216:C217)</f>
        <v>16.846027397260276</v>
      </c>
      <c r="D218" s="151">
        <f t="shared" si="845"/>
        <v>14.432602739726029</v>
      </c>
      <c r="E218" s="151">
        <f t="shared" si="845"/>
        <v>18.370218579234972</v>
      </c>
      <c r="F218" s="151">
        <f t="shared" si="845"/>
        <v>18.333150684931507</v>
      </c>
      <c r="G218" s="151">
        <f t="shared" si="845"/>
        <v>16.079452054794523</v>
      </c>
      <c r="H218" s="151">
        <f t="shared" si="845"/>
        <v>15.484931506849314</v>
      </c>
      <c r="I218" s="151">
        <f t="shared" si="845"/>
        <v>8.8185792349726775</v>
      </c>
      <c r="J218" s="151">
        <f t="shared" si="845"/>
        <v>5.7479452054794518</v>
      </c>
      <c r="K218" s="151">
        <f t="shared" si="845"/>
        <v>7.2520547945205482</v>
      </c>
      <c r="L218" s="151">
        <f t="shared" si="845"/>
        <v>10.008219178082191</v>
      </c>
      <c r="M218" s="151">
        <f t="shared" si="845"/>
        <v>11.502732240437158</v>
      </c>
      <c r="O218" s="123">
        <f t="shared" ref="O218:BF218" si="846">SUM(O216:O217)</f>
        <v>21.1</v>
      </c>
      <c r="P218" s="123">
        <f t="shared" si="846"/>
        <v>19</v>
      </c>
      <c r="Q218" s="123">
        <f t="shared" si="846"/>
        <v>14.899999999999999</v>
      </c>
      <c r="R218" s="123">
        <f t="shared" si="846"/>
        <v>12.5</v>
      </c>
      <c r="S218" s="123">
        <f t="shared" si="846"/>
        <v>13.3</v>
      </c>
      <c r="T218" s="123">
        <f t="shared" si="846"/>
        <v>13.9</v>
      </c>
      <c r="U218" s="123">
        <f t="shared" si="846"/>
        <v>15.5</v>
      </c>
      <c r="V218" s="123">
        <f t="shared" si="846"/>
        <v>15</v>
      </c>
      <c r="W218" s="123">
        <f t="shared" si="846"/>
        <v>20.100000000000001</v>
      </c>
      <c r="X218" s="123">
        <f t="shared" si="846"/>
        <v>18.399999999999999</v>
      </c>
      <c r="Y218" s="123">
        <f t="shared" si="846"/>
        <v>17.399999999999999</v>
      </c>
      <c r="Z218" s="123">
        <f t="shared" si="846"/>
        <v>17.600000000000001</v>
      </c>
      <c r="AA218" s="123">
        <f t="shared" si="846"/>
        <v>20.100000000000001</v>
      </c>
      <c r="AB218" s="123">
        <f t="shared" si="846"/>
        <v>21</v>
      </c>
      <c r="AC218" s="123">
        <f t="shared" si="846"/>
        <v>17</v>
      </c>
      <c r="AD218" s="123">
        <f t="shared" si="846"/>
        <v>15.299999999999999</v>
      </c>
      <c r="AE218" s="123">
        <f t="shared" si="846"/>
        <v>19.399999999999999</v>
      </c>
      <c r="AF218" s="123">
        <f t="shared" si="846"/>
        <v>17</v>
      </c>
      <c r="AG218" s="123">
        <f t="shared" si="846"/>
        <v>14</v>
      </c>
      <c r="AH218" s="123">
        <f t="shared" si="846"/>
        <v>14</v>
      </c>
      <c r="AI218" s="123">
        <f t="shared" si="846"/>
        <v>18</v>
      </c>
      <c r="AJ218" s="123">
        <f t="shared" si="846"/>
        <v>16</v>
      </c>
      <c r="AK218" s="123">
        <f t="shared" si="846"/>
        <v>14</v>
      </c>
      <c r="AL218" s="123">
        <f t="shared" si="846"/>
        <v>14</v>
      </c>
      <c r="AM218" s="123">
        <f t="shared" si="846"/>
        <v>11</v>
      </c>
      <c r="AN218" s="123">
        <f t="shared" si="846"/>
        <v>9</v>
      </c>
      <c r="AO218" s="123">
        <f t="shared" si="846"/>
        <v>7.3</v>
      </c>
      <c r="AP218" s="123">
        <f t="shared" si="846"/>
        <v>8</v>
      </c>
      <c r="AQ218" s="123">
        <f t="shared" si="846"/>
        <v>6</v>
      </c>
      <c r="AR218" s="123">
        <f t="shared" ref="AR218" si="847">SUM(AR216:AR217)</f>
        <v>6</v>
      </c>
      <c r="AS218" s="123">
        <f t="shared" ref="AS218:AT218" si="848">SUM(AS216:AS217)</f>
        <v>6</v>
      </c>
      <c r="AT218" s="123">
        <f t="shared" si="848"/>
        <v>5</v>
      </c>
      <c r="AU218" s="123">
        <f t="shared" si="846"/>
        <v>7</v>
      </c>
      <c r="AV218" s="123">
        <f t="shared" si="846"/>
        <v>7</v>
      </c>
      <c r="AW218" s="123">
        <f t="shared" si="846"/>
        <v>7</v>
      </c>
      <c r="AX218" s="123">
        <f t="shared" si="846"/>
        <v>8</v>
      </c>
      <c r="AY218" s="123">
        <f t="shared" si="846"/>
        <v>9</v>
      </c>
      <c r="AZ218" s="123">
        <f t="shared" si="846"/>
        <v>9</v>
      </c>
      <c r="BA218" s="123">
        <f t="shared" si="846"/>
        <v>11</v>
      </c>
      <c r="BB218" s="123">
        <f t="shared" si="846"/>
        <v>11</v>
      </c>
      <c r="BC218" s="123">
        <f t="shared" si="846"/>
        <v>11</v>
      </c>
      <c r="BD218" s="123">
        <f t="shared" si="846"/>
        <v>11</v>
      </c>
      <c r="BE218" s="123">
        <f t="shared" si="846"/>
        <v>12</v>
      </c>
      <c r="BF218" s="123">
        <f t="shared" si="846"/>
        <v>12</v>
      </c>
      <c r="BJ218" s="116">
        <f t="shared" si="803"/>
        <v>209</v>
      </c>
    </row>
    <row r="219" spans="1:62" outlineLevel="1">
      <c r="B219" s="31" t="s">
        <v>91</v>
      </c>
      <c r="C219" s="119">
        <f t="shared" ref="C219:L219" si="849">C193*C218</f>
        <v>6148.8</v>
      </c>
      <c r="D219" s="119">
        <f t="shared" si="849"/>
        <v>5267.9000000000005</v>
      </c>
      <c r="E219" s="119">
        <f t="shared" si="849"/>
        <v>6723.5</v>
      </c>
      <c r="F219" s="119">
        <f t="shared" si="849"/>
        <v>6691.6</v>
      </c>
      <c r="G219" s="119">
        <f t="shared" si="849"/>
        <v>5869.0000000000009</v>
      </c>
      <c r="H219" s="119">
        <f t="shared" si="849"/>
        <v>5652</v>
      </c>
      <c r="I219" s="119">
        <f t="shared" si="849"/>
        <v>3227.6</v>
      </c>
      <c r="J219" s="119">
        <f t="shared" si="849"/>
        <v>2098</v>
      </c>
      <c r="K219" s="119">
        <f t="shared" si="849"/>
        <v>2647</v>
      </c>
      <c r="L219" s="119">
        <f t="shared" si="849"/>
        <v>3653</v>
      </c>
      <c r="M219" s="119">
        <f t="shared" ref="M219:BF219" si="850">M193*M218</f>
        <v>4210</v>
      </c>
      <c r="N219" s="272"/>
      <c r="O219" s="119">
        <f t="shared" si="850"/>
        <v>1899.0000000000002</v>
      </c>
      <c r="P219" s="119">
        <f t="shared" si="850"/>
        <v>1729</v>
      </c>
      <c r="Q219" s="119">
        <f t="shared" si="850"/>
        <v>1370.8</v>
      </c>
      <c r="R219" s="119">
        <f t="shared" si="850"/>
        <v>1150</v>
      </c>
      <c r="S219" s="119">
        <f t="shared" si="850"/>
        <v>1197</v>
      </c>
      <c r="T219" s="119">
        <f t="shared" si="850"/>
        <v>1264.9000000000001</v>
      </c>
      <c r="U219" s="119">
        <f t="shared" si="850"/>
        <v>1426</v>
      </c>
      <c r="V219" s="119">
        <f t="shared" si="850"/>
        <v>1380</v>
      </c>
      <c r="W219" s="119">
        <f t="shared" si="850"/>
        <v>1829.1000000000001</v>
      </c>
      <c r="X219" s="119">
        <f t="shared" si="850"/>
        <v>1674.3999999999999</v>
      </c>
      <c r="Y219" s="119">
        <f t="shared" si="850"/>
        <v>1600.8</v>
      </c>
      <c r="Z219" s="119">
        <f t="shared" si="850"/>
        <v>1619.2</v>
      </c>
      <c r="AA219" s="119">
        <f t="shared" si="850"/>
        <v>1809.0000000000002</v>
      </c>
      <c r="AB219" s="119">
        <f t="shared" si="850"/>
        <v>1911</v>
      </c>
      <c r="AC219" s="119">
        <f t="shared" si="850"/>
        <v>1564</v>
      </c>
      <c r="AD219" s="119">
        <f t="shared" si="850"/>
        <v>1407.6</v>
      </c>
      <c r="AE219" s="119">
        <f t="shared" si="850"/>
        <v>1745.9999999999998</v>
      </c>
      <c r="AF219" s="119">
        <f t="shared" si="850"/>
        <v>1547</v>
      </c>
      <c r="AG219" s="119">
        <f t="shared" si="850"/>
        <v>1288</v>
      </c>
      <c r="AH219" s="119">
        <f t="shared" si="850"/>
        <v>1288</v>
      </c>
      <c r="AI219" s="119">
        <f t="shared" si="850"/>
        <v>1620</v>
      </c>
      <c r="AJ219" s="119">
        <f t="shared" si="850"/>
        <v>1456</v>
      </c>
      <c r="AK219" s="119">
        <f t="shared" si="850"/>
        <v>1288</v>
      </c>
      <c r="AL219" s="119">
        <f t="shared" si="850"/>
        <v>1288</v>
      </c>
      <c r="AM219" s="119">
        <f t="shared" si="850"/>
        <v>1001</v>
      </c>
      <c r="AN219" s="119">
        <f t="shared" si="850"/>
        <v>819</v>
      </c>
      <c r="AO219" s="119">
        <f t="shared" si="850"/>
        <v>671.6</v>
      </c>
      <c r="AP219" s="119">
        <f t="shared" si="850"/>
        <v>736</v>
      </c>
      <c r="AQ219" s="119">
        <f t="shared" si="850"/>
        <v>540</v>
      </c>
      <c r="AR219" s="119">
        <f t="shared" ref="AR219" si="851">AR193*AR218</f>
        <v>546</v>
      </c>
      <c r="AS219" s="119">
        <f t="shared" ref="AS219:AT219" si="852">AS193*AS218</f>
        <v>552</v>
      </c>
      <c r="AT219" s="119">
        <f t="shared" si="852"/>
        <v>460</v>
      </c>
      <c r="AU219" s="119">
        <f t="shared" si="850"/>
        <v>630</v>
      </c>
      <c r="AV219" s="119">
        <f t="shared" si="850"/>
        <v>637</v>
      </c>
      <c r="AW219" s="119">
        <f t="shared" si="850"/>
        <v>644</v>
      </c>
      <c r="AX219" s="119">
        <f t="shared" si="850"/>
        <v>736</v>
      </c>
      <c r="AY219" s="119">
        <f t="shared" si="850"/>
        <v>810</v>
      </c>
      <c r="AZ219" s="119">
        <f t="shared" si="850"/>
        <v>819</v>
      </c>
      <c r="BA219" s="119">
        <f t="shared" si="850"/>
        <v>1012</v>
      </c>
      <c r="BB219" s="119">
        <f t="shared" si="850"/>
        <v>1012</v>
      </c>
      <c r="BC219" s="119">
        <f t="shared" si="850"/>
        <v>1001</v>
      </c>
      <c r="BD219" s="119">
        <f t="shared" si="850"/>
        <v>1001</v>
      </c>
      <c r="BE219" s="119">
        <f t="shared" si="850"/>
        <v>1104</v>
      </c>
      <c r="BF219" s="119">
        <f t="shared" si="850"/>
        <v>1104</v>
      </c>
      <c r="BG219" s="49"/>
      <c r="BH219" s="49"/>
      <c r="BI219" s="49"/>
      <c r="BJ219" s="116">
        <f t="shared" si="803"/>
        <v>210</v>
      </c>
    </row>
    <row r="220" spans="1:62" outlineLevel="1">
      <c r="B220" s="31"/>
      <c r="O220" s="132"/>
      <c r="P220" s="132"/>
      <c r="Q220" s="132"/>
      <c r="R220" s="132"/>
      <c r="S220" s="132"/>
      <c r="T220" s="132"/>
      <c r="U220" s="132"/>
      <c r="V220" s="132"/>
      <c r="W220" s="132"/>
      <c r="X220" s="132"/>
      <c r="Y220" s="132"/>
      <c r="Z220" s="132"/>
      <c r="AA220" s="132"/>
      <c r="AB220" s="132"/>
      <c r="AC220" s="132"/>
      <c r="AD220" s="132"/>
      <c r="AE220" s="132"/>
      <c r="AF220" s="132"/>
      <c r="AG220" s="132"/>
      <c r="AH220" s="132"/>
      <c r="AI220" s="132"/>
      <c r="AJ220" s="133"/>
      <c r="AK220" s="133"/>
      <c r="AL220" s="133"/>
      <c r="AM220" s="134"/>
      <c r="AN220" s="133"/>
      <c r="AO220" s="133"/>
      <c r="AP220" s="133"/>
      <c r="AQ220" s="133"/>
      <c r="AR220" s="133"/>
      <c r="AS220" s="133"/>
      <c r="AT220" s="133"/>
      <c r="AU220" s="135"/>
      <c r="AV220" s="135"/>
      <c r="AW220" s="135"/>
      <c r="AX220" s="135"/>
      <c r="AY220" s="135"/>
      <c r="AZ220" s="135"/>
      <c r="BA220" s="135"/>
      <c r="BB220" s="135"/>
      <c r="BC220" s="135"/>
      <c r="BD220" s="135"/>
      <c r="BE220" s="135"/>
      <c r="BF220" s="135"/>
      <c r="BJ220" s="116">
        <f t="shared" si="803"/>
        <v>211</v>
      </c>
    </row>
    <row r="221" spans="1:62" outlineLevel="1">
      <c r="B221" s="31" t="s">
        <v>92</v>
      </c>
      <c r="C221" s="119">
        <f>C212*1000000/C$219</f>
        <v>51437.516263335921</v>
      </c>
      <c r="D221" s="119">
        <f t="shared" ref="D221:M221" si="853">D212*1000000/D$219</f>
        <v>58831.982383872128</v>
      </c>
      <c r="E221" s="119">
        <f t="shared" si="853"/>
        <v>64424.249208828078</v>
      </c>
      <c r="F221" s="119">
        <f t="shared" si="853"/>
        <v>58213.33791619345</v>
      </c>
      <c r="G221" s="119">
        <f t="shared" si="853"/>
        <v>76440.707105128633</v>
      </c>
      <c r="H221" s="119">
        <f t="shared" si="853"/>
        <v>61819.037508846428</v>
      </c>
      <c r="I221" s="119">
        <f t="shared" si="853"/>
        <v>39396.052794646173</v>
      </c>
      <c r="J221" s="119">
        <f t="shared" si="853"/>
        <v>52166.806482364147</v>
      </c>
      <c r="K221" s="119">
        <f t="shared" si="853"/>
        <v>66924.820551567813</v>
      </c>
      <c r="L221" s="119">
        <f t="shared" si="853"/>
        <v>63988.502600602245</v>
      </c>
      <c r="M221" s="119">
        <f t="shared" si="853"/>
        <v>62171.021377672208</v>
      </c>
      <c r="O221" s="119">
        <f>O212*1000000/O$219</f>
        <v>52075.829383886216</v>
      </c>
      <c r="P221" s="119">
        <f t="shared" ref="P221:AQ221" si="854">P212*1000000/P$219</f>
        <v>47636.205899363791</v>
      </c>
      <c r="Q221" s="119">
        <f t="shared" si="854"/>
        <v>54146.483805077318</v>
      </c>
      <c r="R221" s="119">
        <f t="shared" si="854"/>
        <v>52869.565217391319</v>
      </c>
      <c r="S221" s="119">
        <f t="shared" si="854"/>
        <v>61878.863826232257</v>
      </c>
      <c r="T221" s="119">
        <f t="shared" si="854"/>
        <v>62945.687406119054</v>
      </c>
      <c r="U221" s="119">
        <f t="shared" si="854"/>
        <v>51259.467040673211</v>
      </c>
      <c r="V221" s="119">
        <f t="shared" si="854"/>
        <v>60243.478260869546</v>
      </c>
      <c r="W221" s="119">
        <f t="shared" si="854"/>
        <v>68831.805563148853</v>
      </c>
      <c r="X221" s="119">
        <f t="shared" si="854"/>
        <v>62347.109412326812</v>
      </c>
      <c r="Y221" s="119">
        <f t="shared" si="854"/>
        <v>59118.680659670157</v>
      </c>
      <c r="Z221" s="119">
        <f t="shared" si="854"/>
        <v>66838.562252964446</v>
      </c>
      <c r="AA221" s="119">
        <f t="shared" si="854"/>
        <v>69602.819237147618</v>
      </c>
      <c r="AB221" s="119">
        <f t="shared" si="854"/>
        <v>52618.938775510214</v>
      </c>
      <c r="AC221" s="119">
        <f t="shared" si="854"/>
        <v>49031.391304347853</v>
      </c>
      <c r="AD221" s="119">
        <f t="shared" si="854"/>
        <v>61373.248081841433</v>
      </c>
      <c r="AE221" s="119">
        <f t="shared" si="854"/>
        <v>71410.028636884323</v>
      </c>
      <c r="AF221" s="119">
        <f t="shared" si="854"/>
        <v>70598.707175177769</v>
      </c>
      <c r="AG221" s="119">
        <f t="shared" si="854"/>
        <v>80688.198757763981</v>
      </c>
      <c r="AH221" s="119">
        <f t="shared" si="854"/>
        <v>86029.503105590047</v>
      </c>
      <c r="AI221" s="119">
        <f t="shared" si="854"/>
        <v>76855.555555555577</v>
      </c>
      <c r="AJ221" s="119">
        <f t="shared" si="854"/>
        <v>59686.950549450507</v>
      </c>
      <c r="AK221" s="119">
        <f t="shared" si="854"/>
        <v>60451.708074534174</v>
      </c>
      <c r="AL221" s="119">
        <f t="shared" si="854"/>
        <v>46684.161490683233</v>
      </c>
      <c r="AM221" s="119">
        <f t="shared" si="854"/>
        <v>41312.787212787196</v>
      </c>
      <c r="AN221" s="119">
        <f t="shared" si="854"/>
        <v>35810.744810744822</v>
      </c>
      <c r="AO221" s="119">
        <f t="shared" si="854"/>
        <v>34479.749851101842</v>
      </c>
      <c r="AP221" s="119">
        <f t="shared" si="854"/>
        <v>45264.945652173905</v>
      </c>
      <c r="AQ221" s="119">
        <f t="shared" si="854"/>
        <v>31377.777777777756</v>
      </c>
      <c r="AR221" s="119">
        <f t="shared" ref="AR221" si="855">AR212*1000000/AR$219</f>
        <v>35620.879120879094</v>
      </c>
      <c r="AS221" s="119">
        <f t="shared" ref="AS221" si="856">AS212*1000000/AS$219</f>
        <v>63902.17391304348</v>
      </c>
      <c r="AT221" s="119">
        <f t="shared" ref="AT221" si="857">AT212*1000000/AT$219</f>
        <v>82128.173913043516</v>
      </c>
      <c r="AU221" s="156">
        <v>60000</v>
      </c>
      <c r="AV221" s="156">
        <v>70000</v>
      </c>
      <c r="AW221" s="156">
        <f t="shared" ref="AW221:BF222" si="858">AV221</f>
        <v>70000</v>
      </c>
      <c r="AX221" s="156">
        <f>(AW218*AW221+(AX218-AW218)*50000)/AX218</f>
        <v>67500</v>
      </c>
      <c r="AY221" s="156">
        <f t="shared" ref="AY221:BF221" si="859">(AX218*AX221+(AY218-AX218)*50000)/AY218</f>
        <v>65555.555555555562</v>
      </c>
      <c r="AZ221" s="156">
        <f t="shared" si="859"/>
        <v>65555.555555555562</v>
      </c>
      <c r="BA221" s="156">
        <f t="shared" si="859"/>
        <v>62727.272727272728</v>
      </c>
      <c r="BB221" s="156">
        <f t="shared" si="859"/>
        <v>62727.272727272728</v>
      </c>
      <c r="BC221" s="156">
        <f t="shared" si="859"/>
        <v>62727.272727272728</v>
      </c>
      <c r="BD221" s="156">
        <f t="shared" si="859"/>
        <v>62727.272727272728</v>
      </c>
      <c r="BE221" s="156">
        <f t="shared" si="859"/>
        <v>61666.666666666664</v>
      </c>
      <c r="BF221" s="156">
        <f t="shared" si="859"/>
        <v>61666.666666666664</v>
      </c>
      <c r="BJ221" s="116">
        <f t="shared" si="803"/>
        <v>212</v>
      </c>
    </row>
    <row r="222" spans="1:62" outlineLevel="1">
      <c r="B222" s="31" t="s">
        <v>93</v>
      </c>
      <c r="C222" s="119">
        <f>-C213*1000000/C$219</f>
        <v>24728.046708300772</v>
      </c>
      <c r="D222" s="119">
        <f t="shared" ref="D222:M222" si="860">-D213*1000000/D$219</f>
        <v>34923.216556882224</v>
      </c>
      <c r="E222" s="119">
        <f t="shared" si="860"/>
        <v>42176.148755195281</v>
      </c>
      <c r="F222" s="119">
        <f t="shared" si="860"/>
        <v>32118.485534102467</v>
      </c>
      <c r="G222" s="119">
        <f t="shared" si="860"/>
        <v>49846.636381119781</v>
      </c>
      <c r="H222" s="119">
        <f t="shared" si="860"/>
        <v>31577.261500353852</v>
      </c>
      <c r="I222" s="119">
        <f t="shared" si="860"/>
        <v>15665.252509604648</v>
      </c>
      <c r="J222" s="119">
        <f t="shared" si="860"/>
        <v>26040.071096282161</v>
      </c>
      <c r="K222" s="119">
        <f t="shared" si="860"/>
        <v>30000</v>
      </c>
      <c r="L222" s="119">
        <f t="shared" si="860"/>
        <v>30000</v>
      </c>
      <c r="M222" s="119">
        <f t="shared" si="860"/>
        <v>30000.000000000004</v>
      </c>
      <c r="O222" s="119">
        <f>-O213*1000000/O$219</f>
        <v>24156.672459188972</v>
      </c>
      <c r="P222" s="119">
        <f t="shared" ref="P222:AQ222" si="861">-P213*1000000/P$219</f>
        <v>23334.258530942723</v>
      </c>
      <c r="Q222" s="119">
        <f t="shared" si="861"/>
        <v>25884.677268748139</v>
      </c>
      <c r="R222" s="119">
        <f t="shared" si="861"/>
        <v>26388.386086956518</v>
      </c>
      <c r="S222" s="119">
        <f t="shared" si="861"/>
        <v>33037.649122807008</v>
      </c>
      <c r="T222" s="119">
        <f t="shared" si="861"/>
        <v>34895.444462012798</v>
      </c>
      <c r="U222" s="119">
        <f t="shared" si="861"/>
        <v>32668.750911640931</v>
      </c>
      <c r="V222" s="119">
        <f t="shared" si="861"/>
        <v>38913.811594202845</v>
      </c>
      <c r="W222" s="119">
        <f t="shared" si="861"/>
        <v>37577.387652701058</v>
      </c>
      <c r="X222" s="119">
        <f t="shared" si="861"/>
        <v>37821.348542761574</v>
      </c>
      <c r="Y222" s="119">
        <f t="shared" si="861"/>
        <v>44489.025487256382</v>
      </c>
      <c r="Z222" s="119">
        <f t="shared" si="861"/>
        <v>49587.721343873542</v>
      </c>
      <c r="AA222" s="119">
        <f t="shared" si="861"/>
        <v>41932.829187396368</v>
      </c>
      <c r="AB222" s="119">
        <f t="shared" si="861"/>
        <v>28059.748299319737</v>
      </c>
      <c r="AC222" s="119">
        <f t="shared" si="861"/>
        <v>21242.508951406671</v>
      </c>
      <c r="AD222" s="119">
        <f t="shared" si="861"/>
        <v>37100.104290991745</v>
      </c>
      <c r="AE222" s="119">
        <f t="shared" si="861"/>
        <v>44318.234822451355</v>
      </c>
      <c r="AF222" s="119">
        <f t="shared" si="861"/>
        <v>43427.471881060097</v>
      </c>
      <c r="AG222" s="119">
        <f t="shared" si="861"/>
        <v>56228.919193161528</v>
      </c>
      <c r="AH222" s="119">
        <f t="shared" si="861"/>
        <v>58668.574534161489</v>
      </c>
      <c r="AI222" s="119">
        <f t="shared" si="861"/>
        <v>43890.94444444446</v>
      </c>
      <c r="AJ222" s="119">
        <f t="shared" si="861"/>
        <v>28332.950549450517</v>
      </c>
      <c r="AK222" s="119">
        <f t="shared" si="861"/>
        <v>32949.565217391319</v>
      </c>
      <c r="AL222" s="119">
        <f t="shared" si="861"/>
        <v>18384.732919254657</v>
      </c>
      <c r="AM222" s="119">
        <f t="shared" si="861"/>
        <v>18295.059940059928</v>
      </c>
      <c r="AN222" s="119">
        <f t="shared" si="861"/>
        <v>19368.862026862022</v>
      </c>
      <c r="AO222" s="119">
        <f t="shared" si="861"/>
        <v>10643.585467540192</v>
      </c>
      <c r="AP222" s="119">
        <f t="shared" si="861"/>
        <v>12549.570652173901</v>
      </c>
      <c r="AQ222" s="119">
        <f t="shared" si="861"/>
        <v>10100.111111111082</v>
      </c>
      <c r="AR222" s="119">
        <f t="shared" ref="AR222" si="862">-AR213*1000000/AR$219</f>
        <v>11834.879120879094</v>
      </c>
      <c r="AS222" s="119">
        <f t="shared" ref="AS222" si="863">-AS213*1000000/AS$219</f>
        <v>38621.545579710131</v>
      </c>
      <c r="AT222" s="119">
        <f t="shared" ref="AT222" si="864">-AT213*1000000/AT$219</f>
        <v>46515.373913043491</v>
      </c>
      <c r="AU222" s="156">
        <v>30000</v>
      </c>
      <c r="AV222" s="156">
        <v>30000</v>
      </c>
      <c r="AW222" s="156">
        <f t="shared" ref="AW222:BB222" si="865">AV222</f>
        <v>30000</v>
      </c>
      <c r="AX222" s="156">
        <f t="shared" si="865"/>
        <v>30000</v>
      </c>
      <c r="AY222" s="156">
        <f t="shared" si="865"/>
        <v>30000</v>
      </c>
      <c r="AZ222" s="156">
        <f t="shared" si="865"/>
        <v>30000</v>
      </c>
      <c r="BA222" s="156">
        <f t="shared" si="865"/>
        <v>30000</v>
      </c>
      <c r="BB222" s="156">
        <f t="shared" si="865"/>
        <v>30000</v>
      </c>
      <c r="BC222" s="156">
        <f t="shared" ref="BC222" si="866">BB222</f>
        <v>30000</v>
      </c>
      <c r="BD222" s="156">
        <f t="shared" si="858"/>
        <v>30000</v>
      </c>
      <c r="BE222" s="156">
        <f t="shared" si="858"/>
        <v>30000</v>
      </c>
      <c r="BF222" s="156">
        <f t="shared" si="858"/>
        <v>30000</v>
      </c>
      <c r="BJ222" s="116">
        <f t="shared" si="803"/>
        <v>213</v>
      </c>
    </row>
    <row r="223" spans="1:62" outlineLevel="1">
      <c r="B223" s="31" t="s">
        <v>94</v>
      </c>
      <c r="C223" s="119">
        <f>C214*1000000/C$219</f>
        <v>26709.469555035153</v>
      </c>
      <c r="D223" s="119">
        <f t="shared" ref="D223:M223" si="867">D214*1000000/D$219</f>
        <v>23908.765826989893</v>
      </c>
      <c r="E223" s="119">
        <f t="shared" si="867"/>
        <v>22248.100453632789</v>
      </c>
      <c r="F223" s="119">
        <f t="shared" si="867"/>
        <v>26094.852382090987</v>
      </c>
      <c r="G223" s="119">
        <f t="shared" si="867"/>
        <v>26594.070724008849</v>
      </c>
      <c r="H223" s="119">
        <f t="shared" si="867"/>
        <v>30241.776008492569</v>
      </c>
      <c r="I223" s="119">
        <f t="shared" si="867"/>
        <v>23730.800285041521</v>
      </c>
      <c r="J223" s="119">
        <f t="shared" si="867"/>
        <v>26126.735386081979</v>
      </c>
      <c r="K223" s="119">
        <f t="shared" si="867"/>
        <v>36924.82055156782</v>
      </c>
      <c r="L223" s="119">
        <f t="shared" si="867"/>
        <v>33988.502600602245</v>
      </c>
      <c r="M223" s="119">
        <f t="shared" si="867"/>
        <v>32171.021377672208</v>
      </c>
      <c r="O223" s="119">
        <f>O214*1000000/O$219</f>
        <v>27919.156924697239</v>
      </c>
      <c r="P223" s="119">
        <f t="shared" ref="P223:AQ223" si="868">P214*1000000/P$219</f>
        <v>24301.947368421072</v>
      </c>
      <c r="Q223" s="119">
        <f t="shared" si="868"/>
        <v>28261.806536329183</v>
      </c>
      <c r="R223" s="119">
        <f t="shared" si="868"/>
        <v>26481.179130434797</v>
      </c>
      <c r="S223" s="119">
        <f t="shared" si="868"/>
        <v>28841.214703425248</v>
      </c>
      <c r="T223" s="119">
        <f t="shared" si="868"/>
        <v>28050.242944106278</v>
      </c>
      <c r="U223" s="119">
        <f t="shared" si="868"/>
        <v>18590.716129032262</v>
      </c>
      <c r="V223" s="119">
        <f t="shared" si="868"/>
        <v>21329.666666666675</v>
      </c>
      <c r="W223" s="119">
        <f t="shared" si="868"/>
        <v>31254.417910447788</v>
      </c>
      <c r="X223" s="119">
        <f t="shared" si="868"/>
        <v>24525.76086956522</v>
      </c>
      <c r="Y223" s="119">
        <f t="shared" si="868"/>
        <v>14629.655172413792</v>
      </c>
      <c r="Z223" s="119">
        <f t="shared" si="868"/>
        <v>17250.840909090915</v>
      </c>
      <c r="AA223" s="119">
        <f t="shared" si="868"/>
        <v>27669.990049751243</v>
      </c>
      <c r="AB223" s="119">
        <f t="shared" si="868"/>
        <v>24559.190476190477</v>
      </c>
      <c r="AC223" s="119">
        <f t="shared" si="868"/>
        <v>27788.882352941182</v>
      </c>
      <c r="AD223" s="119">
        <f t="shared" si="868"/>
        <v>24273.143790849688</v>
      </c>
      <c r="AE223" s="119">
        <f t="shared" si="868"/>
        <v>27091.793814432986</v>
      </c>
      <c r="AF223" s="119">
        <f t="shared" si="868"/>
        <v>27171.235294117658</v>
      </c>
      <c r="AG223" s="119">
        <f t="shared" si="868"/>
        <v>24459.279564602435</v>
      </c>
      <c r="AH223" s="119">
        <f t="shared" si="868"/>
        <v>27360.928571428583</v>
      </c>
      <c r="AI223" s="119">
        <f t="shared" si="868"/>
        <v>32964.611111111109</v>
      </c>
      <c r="AJ223" s="119">
        <f t="shared" si="868"/>
        <v>31353.999999999996</v>
      </c>
      <c r="AK223" s="119">
        <f t="shared" si="868"/>
        <v>27502.142857142859</v>
      </c>
      <c r="AL223" s="119">
        <f t="shared" si="868"/>
        <v>28299.428571428572</v>
      </c>
      <c r="AM223" s="119">
        <f t="shared" si="868"/>
        <v>23017.727272727272</v>
      </c>
      <c r="AN223" s="119">
        <f t="shared" si="868"/>
        <v>16441.882783882793</v>
      </c>
      <c r="AO223" s="119">
        <f t="shared" si="868"/>
        <v>23836.164383561641</v>
      </c>
      <c r="AP223" s="119">
        <f t="shared" si="868"/>
        <v>32715.375</v>
      </c>
      <c r="AQ223" s="119">
        <f t="shared" si="868"/>
        <v>21277.666666666668</v>
      </c>
      <c r="AR223" s="119">
        <f t="shared" ref="AR223" si="869">AR214*1000000/AR$219</f>
        <v>23785.999999999996</v>
      </c>
      <c r="AS223" s="119">
        <f t="shared" ref="AS223" si="870">AS214*1000000/AS$219</f>
        <v>25280.628333333334</v>
      </c>
      <c r="AT223" s="119">
        <f t="shared" ref="AT223" si="871">AT214*1000000/AT$219</f>
        <v>35612.799999999988</v>
      </c>
      <c r="AU223" s="157">
        <f t="shared" ref="AU223:BF223" si="872">+AU221-AU222</f>
        <v>30000</v>
      </c>
      <c r="AV223" s="157">
        <f t="shared" si="872"/>
        <v>40000</v>
      </c>
      <c r="AW223" s="157">
        <f t="shared" si="872"/>
        <v>40000</v>
      </c>
      <c r="AX223" s="157">
        <f t="shared" si="872"/>
        <v>37500</v>
      </c>
      <c r="AY223" s="157">
        <f t="shared" si="872"/>
        <v>35555.555555555562</v>
      </c>
      <c r="AZ223" s="157">
        <f t="shared" si="872"/>
        <v>35555.555555555562</v>
      </c>
      <c r="BA223" s="157">
        <f t="shared" si="872"/>
        <v>32727.272727272728</v>
      </c>
      <c r="BB223" s="157">
        <f t="shared" si="872"/>
        <v>32727.272727272728</v>
      </c>
      <c r="BC223" s="157">
        <f t="shared" si="872"/>
        <v>32727.272727272728</v>
      </c>
      <c r="BD223" s="157">
        <f t="shared" si="872"/>
        <v>32727.272727272728</v>
      </c>
      <c r="BE223" s="157">
        <f t="shared" si="872"/>
        <v>31666.666666666664</v>
      </c>
      <c r="BF223" s="157">
        <f t="shared" si="872"/>
        <v>31666.666666666664</v>
      </c>
      <c r="BJ223" s="116">
        <f t="shared" si="803"/>
        <v>214</v>
      </c>
    </row>
    <row r="224" spans="1:62" outlineLevel="1">
      <c r="B224" s="29"/>
      <c r="BJ224" s="116">
        <f t="shared" si="803"/>
        <v>215</v>
      </c>
    </row>
    <row r="225" spans="1:62">
      <c r="A225" s="72" t="s">
        <v>322</v>
      </c>
      <c r="B225" s="2" t="s">
        <v>95</v>
      </c>
      <c r="BJ225" s="116">
        <f t="shared" si="803"/>
        <v>216</v>
      </c>
    </row>
    <row r="226" spans="1:62" hidden="1" outlineLevel="2">
      <c r="B226" s="10" t="s">
        <v>42</v>
      </c>
      <c r="C226" s="50">
        <f>AVERAGEIFS($O226:$BG226,$O$5:$BG$5,C$5)</f>
        <v>83</v>
      </c>
      <c r="D226" s="50">
        <f t="shared" ref="D226:M226" si="873">AVERAGEIFS($O226:$BG226,$O$5:$BG$5,D$5)</f>
        <v>84</v>
      </c>
      <c r="E226" s="50">
        <f t="shared" si="873"/>
        <v>76.5</v>
      </c>
      <c r="F226" s="50">
        <f t="shared" si="873"/>
        <v>65</v>
      </c>
      <c r="G226" s="50">
        <f t="shared" si="873"/>
        <v>62.25</v>
      </c>
      <c r="H226" s="50">
        <f t="shared" si="873"/>
        <v>57.5</v>
      </c>
      <c r="I226" s="50">
        <f t="shared" si="873"/>
        <v>52.25</v>
      </c>
      <c r="J226" s="50">
        <f t="shared" si="873"/>
        <v>45.75</v>
      </c>
      <c r="K226" s="50">
        <f t="shared" si="873"/>
        <v>42</v>
      </c>
      <c r="L226" s="50">
        <f t="shared" si="873"/>
        <v>42</v>
      </c>
      <c r="M226" s="50">
        <f t="shared" si="873"/>
        <v>42</v>
      </c>
      <c r="O226" s="108">
        <v>83</v>
      </c>
      <c r="P226" s="108">
        <v>83</v>
      </c>
      <c r="Q226" s="108">
        <v>83</v>
      </c>
      <c r="R226" s="108">
        <v>83</v>
      </c>
      <c r="S226" s="108">
        <v>83</v>
      </c>
      <c r="T226" s="108">
        <v>83</v>
      </c>
      <c r="U226" s="108">
        <v>83</v>
      </c>
      <c r="V226" s="108">
        <v>87</v>
      </c>
      <c r="W226" s="108">
        <v>87</v>
      </c>
      <c r="X226" s="108">
        <v>80</v>
      </c>
      <c r="Y226" s="108">
        <v>74</v>
      </c>
      <c r="Z226" s="108">
        <v>65</v>
      </c>
      <c r="AA226" s="108">
        <v>65</v>
      </c>
      <c r="AB226" s="108">
        <v>65</v>
      </c>
      <c r="AC226" s="108">
        <v>66</v>
      </c>
      <c r="AD226" s="108">
        <v>64</v>
      </c>
      <c r="AE226" s="108">
        <v>64</v>
      </c>
      <c r="AF226" s="108">
        <v>64</v>
      </c>
      <c r="AG226" s="108">
        <v>64</v>
      </c>
      <c r="AH226" s="108">
        <v>57</v>
      </c>
      <c r="AI226" s="108">
        <v>57</v>
      </c>
      <c r="AJ226" s="108">
        <v>57</v>
      </c>
      <c r="AK226" s="108">
        <v>58</v>
      </c>
      <c r="AL226" s="108">
        <v>58</v>
      </c>
      <c r="AM226" s="108">
        <v>54</v>
      </c>
      <c r="AN226" s="108">
        <v>54</v>
      </c>
      <c r="AO226" s="108">
        <v>54</v>
      </c>
      <c r="AP226" s="108">
        <v>47</v>
      </c>
      <c r="AQ226" s="108">
        <v>47</v>
      </c>
      <c r="AR226" s="108">
        <f>AQ226</f>
        <v>47</v>
      </c>
      <c r="AS226" s="108">
        <f>AR226</f>
        <v>47</v>
      </c>
      <c r="AT226" s="108">
        <v>42</v>
      </c>
      <c r="AU226" s="108">
        <f t="shared" ref="AU226:BF226" si="874">AT226</f>
        <v>42</v>
      </c>
      <c r="AV226" s="108">
        <f t="shared" si="874"/>
        <v>42</v>
      </c>
      <c r="AW226" s="108">
        <f t="shared" si="874"/>
        <v>42</v>
      </c>
      <c r="AX226" s="108">
        <f t="shared" si="874"/>
        <v>42</v>
      </c>
      <c r="AY226" s="108">
        <f t="shared" si="874"/>
        <v>42</v>
      </c>
      <c r="AZ226" s="108">
        <f t="shared" si="874"/>
        <v>42</v>
      </c>
      <c r="BA226" s="108">
        <f t="shared" si="874"/>
        <v>42</v>
      </c>
      <c r="BB226" s="108">
        <f t="shared" si="874"/>
        <v>42</v>
      </c>
      <c r="BC226" s="108">
        <f t="shared" si="874"/>
        <v>42</v>
      </c>
      <c r="BD226" s="108">
        <f t="shared" si="874"/>
        <v>42</v>
      </c>
      <c r="BE226" s="108">
        <f t="shared" si="874"/>
        <v>42</v>
      </c>
      <c r="BF226" s="108">
        <f t="shared" si="874"/>
        <v>42</v>
      </c>
      <c r="BJ226" s="116">
        <f t="shared" si="803"/>
        <v>217</v>
      </c>
    </row>
    <row r="227" spans="1:62" hidden="1" outlineLevel="2">
      <c r="B227" s="10" t="s">
        <v>49</v>
      </c>
      <c r="C227" s="50">
        <f>C229/C$6</f>
        <v>29.830958904109586</v>
      </c>
      <c r="D227" s="50">
        <f t="shared" ref="D227:M227" si="875">D229/D$6</f>
        <v>39.793150684931504</v>
      </c>
      <c r="E227" s="50">
        <f t="shared" si="875"/>
        <v>34.826775956284152</v>
      </c>
      <c r="F227" s="50">
        <f t="shared" si="875"/>
        <v>29.954520547945204</v>
      </c>
      <c r="G227" s="50">
        <f t="shared" si="875"/>
        <v>34.131506849315066</v>
      </c>
      <c r="H227" s="50">
        <f t="shared" si="875"/>
        <v>16.695616438356165</v>
      </c>
      <c r="I227" s="50">
        <f t="shared" si="875"/>
        <v>9.7073770491803302</v>
      </c>
      <c r="J227" s="50">
        <f t="shared" si="875"/>
        <v>15.447671232876711</v>
      </c>
      <c r="K227" s="50">
        <f t="shared" si="875"/>
        <v>21.030136986301368</v>
      </c>
      <c r="L227" s="50">
        <f t="shared" si="875"/>
        <v>23.002739726027396</v>
      </c>
      <c r="M227" s="50">
        <f t="shared" si="875"/>
        <v>23.016393442622952</v>
      </c>
      <c r="O227" s="51">
        <v>34.799999999999997</v>
      </c>
      <c r="P227" s="51">
        <v>17.7</v>
      </c>
      <c r="Q227" s="51">
        <v>27.5</v>
      </c>
      <c r="R227" s="51">
        <v>39.299999999999997</v>
      </c>
      <c r="S227" s="51">
        <v>49.7</v>
      </c>
      <c r="T227" s="51">
        <v>22.5</v>
      </c>
      <c r="U227" s="51">
        <v>41.8</v>
      </c>
      <c r="V227" s="51">
        <v>45.2</v>
      </c>
      <c r="W227" s="51">
        <v>48.7</v>
      </c>
      <c r="X227" s="51">
        <v>20.3</v>
      </c>
      <c r="Y227" s="51">
        <v>34</v>
      </c>
      <c r="Z227" s="51">
        <v>36.299999999999997</v>
      </c>
      <c r="AA227" s="51">
        <v>40</v>
      </c>
      <c r="AB227" s="51">
        <v>17.399999999999999</v>
      </c>
      <c r="AC227" s="51">
        <v>30</v>
      </c>
      <c r="AD227" s="51">
        <v>32.5</v>
      </c>
      <c r="AE227" s="51">
        <v>43.8</v>
      </c>
      <c r="AF227" s="51">
        <v>21.6</v>
      </c>
      <c r="AG227" s="51">
        <v>34.299999999999997</v>
      </c>
      <c r="AH227" s="51">
        <v>36.9</v>
      </c>
      <c r="AI227" s="51">
        <v>25.6</v>
      </c>
      <c r="AJ227" s="51">
        <v>9.6999999999999993</v>
      </c>
      <c r="AK227" s="51">
        <v>17.2</v>
      </c>
      <c r="AL227" s="51">
        <v>14.4</v>
      </c>
      <c r="AM227" s="51">
        <v>12.5</v>
      </c>
      <c r="AN227" s="51">
        <v>4.2</v>
      </c>
      <c r="AO227" s="51">
        <v>8.8000000000000007</v>
      </c>
      <c r="AP227" s="51">
        <v>13.3</v>
      </c>
      <c r="AQ227" s="51">
        <v>22</v>
      </c>
      <c r="AR227" s="51">
        <v>12.4</v>
      </c>
      <c r="AS227" s="51">
        <v>13.5</v>
      </c>
      <c r="AT227" s="51">
        <v>14</v>
      </c>
      <c r="AU227" s="86">
        <f t="shared" ref="AU227:BF227" si="876">AU64</f>
        <v>20</v>
      </c>
      <c r="AV227" s="86">
        <f t="shared" si="876"/>
        <v>12</v>
      </c>
      <c r="AW227" s="86">
        <f t="shared" si="876"/>
        <v>26</v>
      </c>
      <c r="AX227" s="86">
        <f t="shared" si="876"/>
        <v>26</v>
      </c>
      <c r="AY227" s="86">
        <f t="shared" si="876"/>
        <v>28</v>
      </c>
      <c r="AZ227" s="86">
        <f t="shared" si="876"/>
        <v>12</v>
      </c>
      <c r="BA227" s="86">
        <f t="shared" si="876"/>
        <v>26</v>
      </c>
      <c r="BB227" s="86">
        <f t="shared" si="876"/>
        <v>26</v>
      </c>
      <c r="BC227" s="86">
        <f t="shared" si="876"/>
        <v>28</v>
      </c>
      <c r="BD227" s="86">
        <f t="shared" si="876"/>
        <v>12</v>
      </c>
      <c r="BE227" s="86">
        <f t="shared" si="876"/>
        <v>26</v>
      </c>
      <c r="BF227" s="86">
        <f t="shared" si="876"/>
        <v>26</v>
      </c>
      <c r="BJ227" s="116">
        <f t="shared" si="803"/>
        <v>218</v>
      </c>
    </row>
    <row r="228" spans="1:62" hidden="1" outlineLevel="2">
      <c r="B228" s="10" t="s">
        <v>51</v>
      </c>
      <c r="C228" s="93">
        <f>+C227/C226</f>
        <v>0.35940914342300706</v>
      </c>
      <c r="D228" s="93">
        <f t="shared" ref="D228" si="877">+D227/D226</f>
        <v>0.47372798434442265</v>
      </c>
      <c r="E228" s="93">
        <f t="shared" ref="E228" si="878">+E227/E226</f>
        <v>0.45525197328476014</v>
      </c>
      <c r="F228" s="93">
        <f t="shared" ref="F228" si="879">+F227/F226</f>
        <v>0.46083877766069548</v>
      </c>
      <c r="G228" s="93">
        <f t="shared" ref="G228" si="880">+G227/G226</f>
        <v>0.54829729878417777</v>
      </c>
      <c r="H228" s="93">
        <f t="shared" ref="H228" si="881">+H227/H226</f>
        <v>0.29035854675402029</v>
      </c>
      <c r="I228" s="93">
        <f t="shared" ref="I228" si="882">+I227/I226</f>
        <v>0.18578712055847521</v>
      </c>
      <c r="J228" s="93">
        <f t="shared" ref="J228" si="883">+J227/J226</f>
        <v>0.33765401601916312</v>
      </c>
      <c r="K228" s="93">
        <f t="shared" ref="K228" si="884">+K227/K226</f>
        <v>0.50071754729288975</v>
      </c>
      <c r="L228" s="93">
        <f t="shared" ref="L228" si="885">+L227/L226</f>
        <v>0.5476842791911285</v>
      </c>
      <c r="M228" s="93">
        <f t="shared" ref="M228" si="886">+M227/M226</f>
        <v>0.54800936768149888</v>
      </c>
      <c r="O228" s="163">
        <f t="shared" ref="O228:AN228" si="887">O227/O226</f>
        <v>0.41927710843373489</v>
      </c>
      <c r="P228" s="163">
        <f t="shared" si="887"/>
        <v>0.21325301204819277</v>
      </c>
      <c r="Q228" s="163">
        <f t="shared" si="887"/>
        <v>0.33132530120481929</v>
      </c>
      <c r="R228" s="163">
        <f t="shared" si="887"/>
        <v>0.47349397590361442</v>
      </c>
      <c r="S228" s="163">
        <f t="shared" si="887"/>
        <v>0.59879518072289162</v>
      </c>
      <c r="T228" s="163">
        <f t="shared" si="887"/>
        <v>0.27108433734939757</v>
      </c>
      <c r="U228" s="163">
        <f t="shared" si="887"/>
        <v>0.5036144578313253</v>
      </c>
      <c r="V228" s="163">
        <f t="shared" si="887"/>
        <v>0.51954022988505755</v>
      </c>
      <c r="W228" s="163">
        <f t="shared" si="887"/>
        <v>0.55977011494252882</v>
      </c>
      <c r="X228" s="163">
        <f t="shared" si="887"/>
        <v>0.25375000000000003</v>
      </c>
      <c r="Y228" s="163">
        <f t="shared" si="887"/>
        <v>0.45945945945945948</v>
      </c>
      <c r="Z228" s="163">
        <f t="shared" si="887"/>
        <v>0.55846153846153845</v>
      </c>
      <c r="AA228" s="163">
        <f t="shared" si="887"/>
        <v>0.61538461538461542</v>
      </c>
      <c r="AB228" s="163">
        <f t="shared" si="887"/>
        <v>0.26769230769230767</v>
      </c>
      <c r="AC228" s="163">
        <f t="shared" si="887"/>
        <v>0.45454545454545453</v>
      </c>
      <c r="AD228" s="163">
        <f t="shared" si="887"/>
        <v>0.5078125</v>
      </c>
      <c r="AE228" s="163">
        <f t="shared" si="887"/>
        <v>0.68437499999999996</v>
      </c>
      <c r="AF228" s="163">
        <f t="shared" si="887"/>
        <v>0.33750000000000002</v>
      </c>
      <c r="AG228" s="163">
        <f t="shared" si="887"/>
        <v>0.53593749999999996</v>
      </c>
      <c r="AH228" s="163">
        <f t="shared" si="887"/>
        <v>0.64736842105263159</v>
      </c>
      <c r="AI228" s="163">
        <f t="shared" si="887"/>
        <v>0.44912280701754387</v>
      </c>
      <c r="AJ228" s="163">
        <f t="shared" si="887"/>
        <v>0.1701754385964912</v>
      </c>
      <c r="AK228" s="163">
        <f t="shared" si="887"/>
        <v>0.29655172413793102</v>
      </c>
      <c r="AL228" s="163">
        <f t="shared" si="887"/>
        <v>0.24827586206896551</v>
      </c>
      <c r="AM228" s="163">
        <f t="shared" si="887"/>
        <v>0.23148148148148148</v>
      </c>
      <c r="AN228" s="163">
        <f t="shared" si="887"/>
        <v>7.7777777777777779E-2</v>
      </c>
      <c r="AO228" s="163">
        <f t="shared" ref="AO228:AT228" si="888">AO227/AO226</f>
        <v>0.16296296296296298</v>
      </c>
      <c r="AP228" s="163">
        <f t="shared" si="888"/>
        <v>0.28297872340425534</v>
      </c>
      <c r="AQ228" s="163">
        <f t="shared" si="888"/>
        <v>0.46808510638297873</v>
      </c>
      <c r="AR228" s="163">
        <f t="shared" si="888"/>
        <v>0.26382978723404255</v>
      </c>
      <c r="AS228" s="163">
        <f t="shared" si="888"/>
        <v>0.28723404255319152</v>
      </c>
      <c r="AT228" s="163">
        <f t="shared" si="888"/>
        <v>0.33333333333333331</v>
      </c>
      <c r="AU228" s="163">
        <f t="shared" ref="AU228:BF228" si="889">AU227/AU226</f>
        <v>0.47619047619047616</v>
      </c>
      <c r="AV228" s="163">
        <f t="shared" si="889"/>
        <v>0.2857142857142857</v>
      </c>
      <c r="AW228" s="163">
        <f t="shared" si="889"/>
        <v>0.61904761904761907</v>
      </c>
      <c r="AX228" s="163">
        <f t="shared" si="889"/>
        <v>0.61904761904761907</v>
      </c>
      <c r="AY228" s="163">
        <f t="shared" si="889"/>
        <v>0.66666666666666663</v>
      </c>
      <c r="AZ228" s="163">
        <f t="shared" si="889"/>
        <v>0.2857142857142857</v>
      </c>
      <c r="BA228" s="163">
        <f t="shared" si="889"/>
        <v>0.61904761904761907</v>
      </c>
      <c r="BB228" s="163">
        <f t="shared" si="889"/>
        <v>0.61904761904761907</v>
      </c>
      <c r="BC228" s="163">
        <f t="shared" si="889"/>
        <v>0.66666666666666663</v>
      </c>
      <c r="BD228" s="163">
        <f t="shared" si="889"/>
        <v>0.2857142857142857</v>
      </c>
      <c r="BE228" s="163">
        <f t="shared" si="889"/>
        <v>0.61904761904761907</v>
      </c>
      <c r="BF228" s="163">
        <f t="shared" si="889"/>
        <v>0.61904761904761907</v>
      </c>
      <c r="BJ228" s="116">
        <f t="shared" si="803"/>
        <v>219</v>
      </c>
    </row>
    <row r="229" spans="1:62" hidden="1" outlineLevel="2">
      <c r="B229" s="10" t="s">
        <v>52</v>
      </c>
      <c r="C229" s="102">
        <f t="shared" ref="C229:M229" si="890">SUMIFS($O229:$BG229,$O$5:$BG$5,C$5)</f>
        <v>10888.3</v>
      </c>
      <c r="D229" s="102">
        <f t="shared" si="890"/>
        <v>14524.5</v>
      </c>
      <c r="E229" s="102">
        <f t="shared" si="890"/>
        <v>12746.6</v>
      </c>
      <c r="F229" s="102">
        <f t="shared" si="890"/>
        <v>10933.4</v>
      </c>
      <c r="G229" s="102">
        <f t="shared" si="890"/>
        <v>12457.999999999998</v>
      </c>
      <c r="H229" s="102">
        <f t="shared" si="890"/>
        <v>6093.9</v>
      </c>
      <c r="I229" s="102">
        <f t="shared" si="890"/>
        <v>3552.9000000000005</v>
      </c>
      <c r="J229" s="102">
        <f t="shared" si="890"/>
        <v>5638.4</v>
      </c>
      <c r="K229" s="102">
        <f t="shared" si="890"/>
        <v>7676</v>
      </c>
      <c r="L229" s="102">
        <f t="shared" si="890"/>
        <v>8396</v>
      </c>
      <c r="M229" s="102">
        <f t="shared" si="890"/>
        <v>8424</v>
      </c>
      <c r="O229" s="98">
        <f>O227*O$6</f>
        <v>3131.9999999999995</v>
      </c>
      <c r="P229" s="98">
        <f t="shared" ref="P229:BF229" si="891">P227*P$6</f>
        <v>1610.7</v>
      </c>
      <c r="Q229" s="98">
        <f t="shared" si="891"/>
        <v>2530</v>
      </c>
      <c r="R229" s="98">
        <f t="shared" si="891"/>
        <v>3615.6</v>
      </c>
      <c r="S229" s="98">
        <f t="shared" si="891"/>
        <v>4473</v>
      </c>
      <c r="T229" s="98">
        <f t="shared" si="891"/>
        <v>2047.5</v>
      </c>
      <c r="U229" s="98">
        <f t="shared" si="891"/>
        <v>3845.6</v>
      </c>
      <c r="V229" s="98">
        <f t="shared" si="891"/>
        <v>4158.4000000000005</v>
      </c>
      <c r="W229" s="98">
        <f t="shared" si="891"/>
        <v>4431.7</v>
      </c>
      <c r="X229" s="98">
        <f t="shared" si="891"/>
        <v>1847.3</v>
      </c>
      <c r="Y229" s="98">
        <f t="shared" si="891"/>
        <v>3128</v>
      </c>
      <c r="Z229" s="98">
        <f t="shared" si="891"/>
        <v>3339.6</v>
      </c>
      <c r="AA229" s="98">
        <f t="shared" si="891"/>
        <v>3600</v>
      </c>
      <c r="AB229" s="98">
        <f t="shared" si="891"/>
        <v>1583.3999999999999</v>
      </c>
      <c r="AC229" s="98">
        <f t="shared" si="891"/>
        <v>2760</v>
      </c>
      <c r="AD229" s="98">
        <f t="shared" si="891"/>
        <v>2990</v>
      </c>
      <c r="AE229" s="98">
        <f t="shared" si="891"/>
        <v>3941.9999999999995</v>
      </c>
      <c r="AF229" s="98">
        <f t="shared" si="891"/>
        <v>1965.6000000000001</v>
      </c>
      <c r="AG229" s="98">
        <f t="shared" si="891"/>
        <v>3155.6</v>
      </c>
      <c r="AH229" s="98">
        <f t="shared" si="891"/>
        <v>3394.7999999999997</v>
      </c>
      <c r="AI229" s="98">
        <f t="shared" si="891"/>
        <v>2304</v>
      </c>
      <c r="AJ229" s="98">
        <f t="shared" si="891"/>
        <v>882.69999999999993</v>
      </c>
      <c r="AK229" s="98">
        <f t="shared" si="891"/>
        <v>1582.3999999999999</v>
      </c>
      <c r="AL229" s="98">
        <f t="shared" si="891"/>
        <v>1324.8</v>
      </c>
      <c r="AM229" s="98">
        <f t="shared" si="891"/>
        <v>1137.5</v>
      </c>
      <c r="AN229" s="98">
        <f t="shared" si="891"/>
        <v>382.2</v>
      </c>
      <c r="AO229" s="98">
        <f t="shared" si="891"/>
        <v>809.6</v>
      </c>
      <c r="AP229" s="98">
        <f t="shared" si="891"/>
        <v>1223.6000000000001</v>
      </c>
      <c r="AQ229" s="98">
        <f t="shared" si="891"/>
        <v>1980</v>
      </c>
      <c r="AR229" s="98">
        <f t="shared" ref="AR229:AS229" si="892">AR227*AR$6</f>
        <v>1128.4000000000001</v>
      </c>
      <c r="AS229" s="98">
        <f t="shared" si="892"/>
        <v>1242</v>
      </c>
      <c r="AT229" s="98">
        <f t="shared" ref="AT229" si="893">AT227*AT$6</f>
        <v>1288</v>
      </c>
      <c r="AU229" s="98">
        <f t="shared" si="891"/>
        <v>1800</v>
      </c>
      <c r="AV229" s="98">
        <f t="shared" si="891"/>
        <v>1092</v>
      </c>
      <c r="AW229" s="98">
        <f t="shared" si="891"/>
        <v>2392</v>
      </c>
      <c r="AX229" s="98">
        <f t="shared" si="891"/>
        <v>2392</v>
      </c>
      <c r="AY229" s="98">
        <f t="shared" si="891"/>
        <v>2520</v>
      </c>
      <c r="AZ229" s="98">
        <f t="shared" si="891"/>
        <v>1092</v>
      </c>
      <c r="BA229" s="98">
        <f t="shared" si="891"/>
        <v>2392</v>
      </c>
      <c r="BB229" s="98">
        <f t="shared" si="891"/>
        <v>2392</v>
      </c>
      <c r="BC229" s="98">
        <f t="shared" si="891"/>
        <v>2548</v>
      </c>
      <c r="BD229" s="98">
        <f t="shared" si="891"/>
        <v>1092</v>
      </c>
      <c r="BE229" s="98">
        <f t="shared" si="891"/>
        <v>2392</v>
      </c>
      <c r="BF229" s="98">
        <f t="shared" si="891"/>
        <v>2392</v>
      </c>
      <c r="BJ229" s="116">
        <f t="shared" si="803"/>
        <v>220</v>
      </c>
    </row>
    <row r="230" spans="1:62" hidden="1" outlineLevel="2">
      <c r="B230" s="10"/>
      <c r="BJ230" s="116">
        <f t="shared" si="803"/>
        <v>221</v>
      </c>
    </row>
    <row r="231" spans="1:62" hidden="1" outlineLevel="2">
      <c r="B231" s="10" t="s">
        <v>60</v>
      </c>
      <c r="C231" s="98">
        <f t="shared" ref="C231:M231" si="894">C235*1000000/C$229</f>
        <v>24905.173443053551</v>
      </c>
      <c r="D231" s="98">
        <f t="shared" si="894"/>
        <v>29361.079555234261</v>
      </c>
      <c r="E231" s="98">
        <f t="shared" si="894"/>
        <v>33688.277658355953</v>
      </c>
      <c r="F231" s="98">
        <f t="shared" si="894"/>
        <v>33079.920244388755</v>
      </c>
      <c r="G231" s="98">
        <f t="shared" si="894"/>
        <v>26905.763364906088</v>
      </c>
      <c r="H231" s="98">
        <f t="shared" si="894"/>
        <v>22562.562562562565</v>
      </c>
      <c r="I231" s="98">
        <f t="shared" si="894"/>
        <v>14487.320217287284</v>
      </c>
      <c r="J231" s="98">
        <f t="shared" si="894"/>
        <v>14707.895856980706</v>
      </c>
      <c r="K231" s="98">
        <f t="shared" si="894"/>
        <v>16058.624283480978</v>
      </c>
      <c r="L231" s="98">
        <f t="shared" si="894"/>
        <v>15999.999999999996</v>
      </c>
      <c r="M231" s="98">
        <f t="shared" si="894"/>
        <v>16000</v>
      </c>
      <c r="O231" s="98">
        <f t="shared" ref="O231:AL231" si="895">O235*1000000/O229</f>
        <v>26192.528735632186</v>
      </c>
      <c r="P231" s="98">
        <f t="shared" si="895"/>
        <v>25099.025268516794</v>
      </c>
      <c r="Q231" s="98">
        <f t="shared" si="895"/>
        <v>22646.640316205532</v>
      </c>
      <c r="R231" s="98">
        <f t="shared" si="895"/>
        <v>25284.046907843789</v>
      </c>
      <c r="S231" s="98">
        <f t="shared" si="895"/>
        <v>28528.280795886429</v>
      </c>
      <c r="T231" s="98">
        <f t="shared" si="895"/>
        <v>32360.439560439558</v>
      </c>
      <c r="U231" s="98">
        <f t="shared" si="895"/>
        <v>27670.584564177243</v>
      </c>
      <c r="V231" s="98">
        <f t="shared" si="895"/>
        <v>30343.401308195454</v>
      </c>
      <c r="W231" s="98">
        <f t="shared" si="895"/>
        <v>32659.024753480608</v>
      </c>
      <c r="X231" s="98">
        <f t="shared" si="895"/>
        <v>35735.938937909385</v>
      </c>
      <c r="Y231" s="98">
        <f t="shared" si="895"/>
        <v>32926.150895140665</v>
      </c>
      <c r="Z231" s="98">
        <f t="shared" si="895"/>
        <v>34635.285662953647</v>
      </c>
      <c r="AA231" s="98">
        <f t="shared" si="895"/>
        <v>35240.833333333336</v>
      </c>
      <c r="AB231" s="98">
        <f t="shared" si="895"/>
        <v>40917.645572817994</v>
      </c>
      <c r="AC231" s="98">
        <f t="shared" si="895"/>
        <v>29491.666666666668</v>
      </c>
      <c r="AD231" s="98">
        <f t="shared" si="895"/>
        <v>29639.799331103681</v>
      </c>
      <c r="AE231" s="98">
        <f t="shared" si="895"/>
        <v>28315.829528158298</v>
      </c>
      <c r="AF231" s="98">
        <f t="shared" si="895"/>
        <v>27910.56166056166</v>
      </c>
      <c r="AG231" s="98">
        <f t="shared" si="895"/>
        <v>25507.352009126633</v>
      </c>
      <c r="AH231" s="98">
        <f t="shared" si="895"/>
        <v>25986.508778131261</v>
      </c>
      <c r="AI231" s="98">
        <f t="shared" si="895"/>
        <v>25104.166666666668</v>
      </c>
      <c r="AJ231" s="98">
        <f t="shared" si="895"/>
        <v>24258.524980174465</v>
      </c>
      <c r="AK231" s="98">
        <f t="shared" si="895"/>
        <v>18913.675429726998</v>
      </c>
      <c r="AL231" s="98">
        <f t="shared" si="895"/>
        <v>21370.772946859903</v>
      </c>
      <c r="AM231" s="98">
        <f t="shared" ref="AM231:AR231" si="896">AM235*1000000/AM229</f>
        <v>15379.34065934066</v>
      </c>
      <c r="AN231" s="98">
        <f t="shared" si="896"/>
        <v>17312.925170068029</v>
      </c>
      <c r="AO231" s="98">
        <f t="shared" si="896"/>
        <v>12900.197628458498</v>
      </c>
      <c r="AP231" s="98">
        <f t="shared" si="896"/>
        <v>13825.596600196141</v>
      </c>
      <c r="AQ231" s="98">
        <f t="shared" si="896"/>
        <v>14044.444444444445</v>
      </c>
      <c r="AR231" s="98">
        <f t="shared" si="896"/>
        <v>15172.811059907834</v>
      </c>
      <c r="AS231" s="98">
        <f t="shared" ref="AS231:AT231" si="897">AS235*1000000/AS229</f>
        <v>14551.529790660225</v>
      </c>
      <c r="AT231" s="98">
        <f t="shared" si="897"/>
        <v>15471.273291925465</v>
      </c>
      <c r="AU231" s="169">
        <f t="shared" ref="AU231:BF231" si="898">AU65</f>
        <v>16250</v>
      </c>
      <c r="AV231" s="169">
        <f t="shared" si="898"/>
        <v>16000</v>
      </c>
      <c r="AW231" s="169">
        <f t="shared" si="898"/>
        <v>16000</v>
      </c>
      <c r="AX231" s="169">
        <f t="shared" si="898"/>
        <v>16000</v>
      </c>
      <c r="AY231" s="169">
        <f t="shared" si="898"/>
        <v>16000</v>
      </c>
      <c r="AZ231" s="169">
        <f t="shared" si="898"/>
        <v>16000</v>
      </c>
      <c r="BA231" s="169">
        <f t="shared" si="898"/>
        <v>16000</v>
      </c>
      <c r="BB231" s="169">
        <f t="shared" si="898"/>
        <v>16000</v>
      </c>
      <c r="BC231" s="169">
        <f t="shared" si="898"/>
        <v>16000</v>
      </c>
      <c r="BD231" s="169">
        <f t="shared" si="898"/>
        <v>16000</v>
      </c>
      <c r="BE231" s="169">
        <f t="shared" si="898"/>
        <v>16000</v>
      </c>
      <c r="BF231" s="169">
        <f t="shared" si="898"/>
        <v>16000</v>
      </c>
      <c r="BJ231" s="116">
        <f t="shared" si="803"/>
        <v>222</v>
      </c>
    </row>
    <row r="232" spans="1:62" hidden="1" outlineLevel="2">
      <c r="B232" s="10" t="s">
        <v>61</v>
      </c>
      <c r="C232" s="98">
        <f t="shared" ref="C232:M232" si="899">-C236*1000000/C$229</f>
        <v>16474.735771424374</v>
      </c>
      <c r="D232" s="98">
        <f t="shared" si="899"/>
        <v>17787.973775345108</v>
      </c>
      <c r="E232" s="98">
        <f t="shared" si="899"/>
        <v>20216.407857781684</v>
      </c>
      <c r="F232" s="98">
        <f t="shared" si="899"/>
        <v>19469.457771598958</v>
      </c>
      <c r="G232" s="98">
        <f t="shared" si="899"/>
        <v>16556.561695296197</v>
      </c>
      <c r="H232" s="98">
        <f t="shared" si="899"/>
        <v>13975.654720294066</v>
      </c>
      <c r="I232" s="98">
        <f t="shared" si="899"/>
        <v>11159.507810520983</v>
      </c>
      <c r="J232" s="98">
        <f t="shared" si="899"/>
        <v>10448.134860953462</v>
      </c>
      <c r="K232" s="98">
        <f t="shared" si="899"/>
        <v>11298.071912454403</v>
      </c>
      <c r="L232" s="98">
        <f t="shared" si="899"/>
        <v>11500</v>
      </c>
      <c r="M232" s="98">
        <f t="shared" si="899"/>
        <v>11499.999999999998</v>
      </c>
      <c r="O232" s="166">
        <f t="shared" ref="O232:AL232" si="900">O231-O233</f>
        <v>16773.528735632186</v>
      </c>
      <c r="P232" s="166">
        <f t="shared" si="900"/>
        <v>17668.025268516794</v>
      </c>
      <c r="Q232" s="166">
        <f t="shared" si="900"/>
        <v>15950.640316205532</v>
      </c>
      <c r="R232" s="166">
        <f t="shared" si="900"/>
        <v>16051.046907843789</v>
      </c>
      <c r="S232" s="166">
        <f t="shared" si="900"/>
        <v>16527.280795886429</v>
      </c>
      <c r="T232" s="166">
        <f t="shared" si="900"/>
        <v>20359.439560439558</v>
      </c>
      <c r="U232" s="166">
        <f t="shared" si="900"/>
        <v>17350.584564177243</v>
      </c>
      <c r="V232" s="166">
        <f t="shared" si="900"/>
        <v>18282.401308195454</v>
      </c>
      <c r="W232" s="166">
        <f t="shared" si="900"/>
        <v>18377.024753480608</v>
      </c>
      <c r="X232" s="166">
        <f t="shared" si="900"/>
        <v>25809.938937909385</v>
      </c>
      <c r="Y232" s="166">
        <f t="shared" si="900"/>
        <v>19487.150895140665</v>
      </c>
      <c r="Z232" s="166">
        <f t="shared" si="900"/>
        <v>20246.285662953647</v>
      </c>
      <c r="AA232" s="166">
        <f t="shared" si="900"/>
        <v>20962.833333333336</v>
      </c>
      <c r="AB232" s="166">
        <f t="shared" si="900"/>
        <v>25961.645572817994</v>
      </c>
      <c r="AC232" s="166">
        <f t="shared" si="900"/>
        <v>15213.666666666668</v>
      </c>
      <c r="AD232" s="166">
        <f t="shared" si="900"/>
        <v>18161.799331103681</v>
      </c>
      <c r="AE232" s="166">
        <f t="shared" si="900"/>
        <v>16863.829528158298</v>
      </c>
      <c r="AF232" s="166">
        <f t="shared" si="900"/>
        <v>17876.56166056166</v>
      </c>
      <c r="AG232" s="166">
        <f t="shared" si="900"/>
        <v>15844.352009126633</v>
      </c>
      <c r="AH232" s="166">
        <f t="shared" si="900"/>
        <v>16097.508778131261</v>
      </c>
      <c r="AI232" s="166">
        <f t="shared" si="900"/>
        <v>15177.166666666668</v>
      </c>
      <c r="AJ232" s="166">
        <f t="shared" si="900"/>
        <v>16487.524980174465</v>
      </c>
      <c r="AK232" s="166">
        <f t="shared" si="900"/>
        <v>12564.675429726998</v>
      </c>
      <c r="AL232" s="166">
        <f t="shared" si="900"/>
        <v>11897.772946859903</v>
      </c>
      <c r="AM232" s="166">
        <f t="shared" ref="AM232:AR232" si="901">AM231-AM233</f>
        <v>11794.34065934066</v>
      </c>
      <c r="AN232" s="166">
        <f t="shared" si="901"/>
        <v>11828.925170068029</v>
      </c>
      <c r="AO232" s="166">
        <f t="shared" si="901"/>
        <v>10988.197628458498</v>
      </c>
      <c r="AP232" s="166">
        <f t="shared" si="901"/>
        <v>10473.596600196141</v>
      </c>
      <c r="AQ232" s="166">
        <f t="shared" si="901"/>
        <v>10059.444444444445</v>
      </c>
      <c r="AR232" s="166">
        <f t="shared" si="901"/>
        <v>10036.811059907834</v>
      </c>
      <c r="AS232" s="166">
        <f t="shared" ref="AS232:AT232" si="902">AS231-AS233</f>
        <v>11054.529790660225</v>
      </c>
      <c r="AT232" s="166">
        <f t="shared" si="902"/>
        <v>10821.273291925465</v>
      </c>
      <c r="AU232" s="170">
        <f t="shared" ref="AU232:BF232" si="903">AU66</f>
        <v>11000</v>
      </c>
      <c r="AV232" s="170">
        <f t="shared" si="903"/>
        <v>12000</v>
      </c>
      <c r="AW232" s="170">
        <f t="shared" si="903"/>
        <v>11500</v>
      </c>
      <c r="AX232" s="170">
        <f t="shared" si="903"/>
        <v>11000</v>
      </c>
      <c r="AY232" s="170">
        <f t="shared" si="903"/>
        <v>11500</v>
      </c>
      <c r="AZ232" s="170">
        <f t="shared" si="903"/>
        <v>11500</v>
      </c>
      <c r="BA232" s="170">
        <f t="shared" si="903"/>
        <v>11500</v>
      </c>
      <c r="BB232" s="170">
        <f t="shared" si="903"/>
        <v>11500</v>
      </c>
      <c r="BC232" s="170">
        <f t="shared" si="903"/>
        <v>11500</v>
      </c>
      <c r="BD232" s="170">
        <f t="shared" si="903"/>
        <v>11500</v>
      </c>
      <c r="BE232" s="170">
        <f t="shared" si="903"/>
        <v>11500</v>
      </c>
      <c r="BF232" s="170">
        <f t="shared" si="903"/>
        <v>11500</v>
      </c>
      <c r="BJ232" s="116">
        <f t="shared" si="803"/>
        <v>223</v>
      </c>
    </row>
    <row r="233" spans="1:62" hidden="1" outlineLevel="2">
      <c r="B233" s="189" t="s">
        <v>62</v>
      </c>
      <c r="C233" s="246">
        <f t="shared" ref="C233:M233" si="904">C237*1000000/C$229</f>
        <v>8430.4376716291808</v>
      </c>
      <c r="D233" s="246">
        <f t="shared" si="904"/>
        <v>11573.105779889152</v>
      </c>
      <c r="E233" s="246">
        <f t="shared" si="904"/>
        <v>13471.86980057427</v>
      </c>
      <c r="F233" s="246">
        <f t="shared" si="904"/>
        <v>13610.462472789801</v>
      </c>
      <c r="G233" s="246">
        <f t="shared" si="904"/>
        <v>10349.201669609891</v>
      </c>
      <c r="H233" s="246">
        <f t="shared" si="904"/>
        <v>8586.9078422684997</v>
      </c>
      <c r="I233" s="246">
        <f t="shared" si="904"/>
        <v>3327.812406766303</v>
      </c>
      <c r="J233" s="246">
        <f t="shared" si="904"/>
        <v>4259.7609960272421</v>
      </c>
      <c r="K233" s="246">
        <f t="shared" si="904"/>
        <v>4760.5523710265761</v>
      </c>
      <c r="L233" s="246">
        <f t="shared" si="904"/>
        <v>4500</v>
      </c>
      <c r="M233" s="246">
        <f t="shared" si="904"/>
        <v>4500</v>
      </c>
      <c r="O233" s="167">
        <v>9419</v>
      </c>
      <c r="P233" s="167">
        <v>7431</v>
      </c>
      <c r="Q233" s="167">
        <v>6696</v>
      </c>
      <c r="R233" s="167">
        <v>9233</v>
      </c>
      <c r="S233" s="167">
        <v>12001</v>
      </c>
      <c r="T233" s="167">
        <v>12001</v>
      </c>
      <c r="U233" s="167">
        <v>10320</v>
      </c>
      <c r="V233" s="167">
        <v>12061</v>
      </c>
      <c r="W233" s="167">
        <v>14282</v>
      </c>
      <c r="X233" s="167">
        <v>9926</v>
      </c>
      <c r="Y233" s="167">
        <v>13439</v>
      </c>
      <c r="Z233" s="167">
        <v>14389</v>
      </c>
      <c r="AA233" s="167">
        <v>14278</v>
      </c>
      <c r="AB233" s="167">
        <v>14956</v>
      </c>
      <c r="AC233" s="167">
        <v>14278</v>
      </c>
      <c r="AD233" s="167">
        <v>11478</v>
      </c>
      <c r="AE233" s="167">
        <v>11452</v>
      </c>
      <c r="AF233" s="167">
        <v>10034</v>
      </c>
      <c r="AG233" s="167">
        <v>9663</v>
      </c>
      <c r="AH233" s="167">
        <v>9889</v>
      </c>
      <c r="AI233" s="167">
        <v>9927</v>
      </c>
      <c r="AJ233" s="167">
        <v>7771</v>
      </c>
      <c r="AK233" s="167">
        <v>6349</v>
      </c>
      <c r="AL233" s="167">
        <v>9473</v>
      </c>
      <c r="AM233" s="167">
        <v>3585</v>
      </c>
      <c r="AN233" s="167">
        <v>5484</v>
      </c>
      <c r="AO233" s="167">
        <v>1912</v>
      </c>
      <c r="AP233" s="167">
        <v>3352</v>
      </c>
      <c r="AQ233" s="167">
        <v>3985</v>
      </c>
      <c r="AR233" s="167">
        <v>5136</v>
      </c>
      <c r="AS233" s="167">
        <v>3497</v>
      </c>
      <c r="AT233" s="167">
        <v>4650</v>
      </c>
      <c r="AU233" s="101">
        <f t="shared" ref="AU233:BF233" si="905">+AU231-AU232</f>
        <v>5250</v>
      </c>
      <c r="AV233" s="101">
        <f t="shared" si="905"/>
        <v>4000</v>
      </c>
      <c r="AW233" s="101">
        <f t="shared" si="905"/>
        <v>4500</v>
      </c>
      <c r="AX233" s="101">
        <f t="shared" si="905"/>
        <v>5000</v>
      </c>
      <c r="AY233" s="101">
        <f t="shared" si="905"/>
        <v>4500</v>
      </c>
      <c r="AZ233" s="101">
        <f t="shared" si="905"/>
        <v>4500</v>
      </c>
      <c r="BA233" s="101">
        <f t="shared" si="905"/>
        <v>4500</v>
      </c>
      <c r="BB233" s="101">
        <f t="shared" si="905"/>
        <v>4500</v>
      </c>
      <c r="BC233" s="101">
        <f t="shared" si="905"/>
        <v>4500</v>
      </c>
      <c r="BD233" s="101">
        <f t="shared" si="905"/>
        <v>4500</v>
      </c>
      <c r="BE233" s="101">
        <f t="shared" si="905"/>
        <v>4500</v>
      </c>
      <c r="BF233" s="101">
        <f t="shared" si="905"/>
        <v>4500</v>
      </c>
      <c r="BJ233" s="116">
        <f t="shared" si="803"/>
        <v>224</v>
      </c>
    </row>
    <row r="234" spans="1:62" hidden="1" outlineLevel="2">
      <c r="B234" s="10"/>
      <c r="BJ234" s="116">
        <f t="shared" si="803"/>
        <v>225</v>
      </c>
    </row>
    <row r="235" spans="1:62" hidden="1" outlineLevel="2">
      <c r="B235" s="10" t="s">
        <v>53</v>
      </c>
      <c r="C235" s="50">
        <f t="shared" ref="C235:M241" si="906">SUMIFS($O235:$BG235,$O$5:$BG$5,C$5)</f>
        <v>271.17499999999995</v>
      </c>
      <c r="D235" s="50">
        <f t="shared" si="906"/>
        <v>426.45499999999998</v>
      </c>
      <c r="E235" s="50">
        <f t="shared" si="906"/>
        <v>429.411</v>
      </c>
      <c r="F235" s="50">
        <f t="shared" si="906"/>
        <v>361.67599999999999</v>
      </c>
      <c r="G235" s="50">
        <f t="shared" si="906"/>
        <v>335.19200000000001</v>
      </c>
      <c r="H235" s="50">
        <f t="shared" si="906"/>
        <v>137.494</v>
      </c>
      <c r="I235" s="50">
        <f t="shared" si="906"/>
        <v>51.472000000000001</v>
      </c>
      <c r="J235" s="50">
        <f t="shared" si="906"/>
        <v>82.929000000000002</v>
      </c>
      <c r="K235" s="50">
        <f t="shared" si="906"/>
        <v>123.26599999999999</v>
      </c>
      <c r="L235" s="50">
        <f t="shared" si="906"/>
        <v>134.33599999999998</v>
      </c>
      <c r="M235" s="50">
        <f t="shared" si="906"/>
        <v>134.78399999999999</v>
      </c>
      <c r="O235" s="111">
        <f t="shared" ref="O235:BF235" si="907">O13</f>
        <v>82.034999999999997</v>
      </c>
      <c r="P235" s="111">
        <f t="shared" si="907"/>
        <v>40.427</v>
      </c>
      <c r="Q235" s="111">
        <f t="shared" si="907"/>
        <v>57.295999999999999</v>
      </c>
      <c r="R235" s="111">
        <f t="shared" si="907"/>
        <v>91.417000000000002</v>
      </c>
      <c r="S235" s="111">
        <f t="shared" si="907"/>
        <v>127.607</v>
      </c>
      <c r="T235" s="111">
        <f t="shared" si="907"/>
        <v>66.257999999999996</v>
      </c>
      <c r="U235" s="111">
        <f t="shared" si="907"/>
        <v>106.41</v>
      </c>
      <c r="V235" s="111">
        <f t="shared" si="907"/>
        <v>126.18</v>
      </c>
      <c r="W235" s="111">
        <f t="shared" si="907"/>
        <v>144.73500000000001</v>
      </c>
      <c r="X235" s="111">
        <f t="shared" si="907"/>
        <v>66.015000000000001</v>
      </c>
      <c r="Y235" s="111">
        <f t="shared" si="907"/>
        <v>102.99299999999999</v>
      </c>
      <c r="Z235" s="111">
        <f t="shared" si="907"/>
        <v>115.66800000000001</v>
      </c>
      <c r="AA235" s="111">
        <f t="shared" si="907"/>
        <v>126.867</v>
      </c>
      <c r="AB235" s="111">
        <f t="shared" si="907"/>
        <v>64.789000000000001</v>
      </c>
      <c r="AC235" s="111">
        <f t="shared" si="907"/>
        <v>81.397000000000006</v>
      </c>
      <c r="AD235" s="111">
        <f t="shared" si="907"/>
        <v>88.623000000000005</v>
      </c>
      <c r="AE235" s="111">
        <f t="shared" si="907"/>
        <v>111.621</v>
      </c>
      <c r="AF235" s="111">
        <f t="shared" si="907"/>
        <v>54.860999999999997</v>
      </c>
      <c r="AG235" s="111">
        <f t="shared" si="907"/>
        <v>80.491</v>
      </c>
      <c r="AH235" s="111">
        <f t="shared" si="907"/>
        <v>88.218999999999994</v>
      </c>
      <c r="AI235" s="111">
        <f t="shared" si="907"/>
        <v>57.84</v>
      </c>
      <c r="AJ235" s="111">
        <f t="shared" si="907"/>
        <v>21.413</v>
      </c>
      <c r="AK235" s="111">
        <f t="shared" si="907"/>
        <v>29.928999999999998</v>
      </c>
      <c r="AL235" s="111">
        <f t="shared" si="907"/>
        <v>28.312000000000001</v>
      </c>
      <c r="AM235" s="111">
        <f t="shared" si="907"/>
        <v>17.494</v>
      </c>
      <c r="AN235" s="111">
        <f t="shared" si="907"/>
        <v>6.617</v>
      </c>
      <c r="AO235" s="111">
        <f t="shared" si="907"/>
        <v>10.444000000000001</v>
      </c>
      <c r="AP235" s="111">
        <f t="shared" si="907"/>
        <v>16.917000000000002</v>
      </c>
      <c r="AQ235" s="111">
        <f t="shared" si="907"/>
        <v>27.808</v>
      </c>
      <c r="AR235" s="111">
        <f t="shared" si="907"/>
        <v>17.120999999999999</v>
      </c>
      <c r="AS235" s="111">
        <f t="shared" si="907"/>
        <v>18.073</v>
      </c>
      <c r="AT235" s="111">
        <f t="shared" si="907"/>
        <v>19.927</v>
      </c>
      <c r="AU235" s="111">
        <f t="shared" si="907"/>
        <v>29.25</v>
      </c>
      <c r="AV235" s="111">
        <f t="shared" si="907"/>
        <v>17.472000000000001</v>
      </c>
      <c r="AW235" s="111">
        <f t="shared" si="907"/>
        <v>38.271999999999998</v>
      </c>
      <c r="AX235" s="111">
        <f t="shared" si="907"/>
        <v>38.271999999999998</v>
      </c>
      <c r="AY235" s="111">
        <f t="shared" si="907"/>
        <v>40.32</v>
      </c>
      <c r="AZ235" s="111">
        <f t="shared" si="907"/>
        <v>17.472000000000001</v>
      </c>
      <c r="BA235" s="111">
        <f t="shared" si="907"/>
        <v>38.271999999999998</v>
      </c>
      <c r="BB235" s="111">
        <f t="shared" si="907"/>
        <v>38.271999999999998</v>
      </c>
      <c r="BC235" s="111">
        <f t="shared" si="907"/>
        <v>40.768000000000001</v>
      </c>
      <c r="BD235" s="111">
        <f t="shared" si="907"/>
        <v>17.472000000000001</v>
      </c>
      <c r="BE235" s="111">
        <f t="shared" si="907"/>
        <v>38.271999999999998</v>
      </c>
      <c r="BF235" s="111">
        <f t="shared" si="907"/>
        <v>38.271999999999998</v>
      </c>
      <c r="BJ235" s="116">
        <f t="shared" si="803"/>
        <v>226</v>
      </c>
    </row>
    <row r="236" spans="1:62" hidden="1" outlineLevel="2">
      <c r="B236" s="25" t="s">
        <v>54</v>
      </c>
      <c r="C236" s="50">
        <f t="shared" si="906"/>
        <v>-179.3818655</v>
      </c>
      <c r="D236" s="50">
        <f t="shared" si="906"/>
        <v>-258.36142510000002</v>
      </c>
      <c r="E236" s="50">
        <f t="shared" si="906"/>
        <v>-257.6904644</v>
      </c>
      <c r="F236" s="50">
        <f t="shared" si="906"/>
        <v>-212.86736960000002</v>
      </c>
      <c r="G236" s="50">
        <f t="shared" si="906"/>
        <v>-206.26164559999998</v>
      </c>
      <c r="H236" s="50">
        <f t="shared" si="906"/>
        <v>-85.166242299999993</v>
      </c>
      <c r="I236" s="50">
        <f t="shared" si="906"/>
        <v>-39.648615300000003</v>
      </c>
      <c r="J236" s="50">
        <f t="shared" si="906"/>
        <v>-58.910763599999996</v>
      </c>
      <c r="K236" s="50">
        <f t="shared" si="906"/>
        <v>-86.724000000000004</v>
      </c>
      <c r="L236" s="50">
        <f t="shared" si="906"/>
        <v>-96.554000000000002</v>
      </c>
      <c r="M236" s="50">
        <f t="shared" si="906"/>
        <v>-96.875999999999991</v>
      </c>
      <c r="O236" s="110">
        <f>+O237-O235</f>
        <v>-52.534692</v>
      </c>
      <c r="P236" s="110">
        <f t="shared" ref="P236:AQ236" si="908">+P237-P235</f>
        <v>-28.4578883</v>
      </c>
      <c r="Q236" s="110">
        <f t="shared" si="908"/>
        <v>-40.355119999999999</v>
      </c>
      <c r="R236" s="110">
        <f t="shared" si="908"/>
        <v>-58.034165200000004</v>
      </c>
      <c r="S236" s="110">
        <f t="shared" si="908"/>
        <v>-73.926526999999993</v>
      </c>
      <c r="T236" s="110">
        <f t="shared" si="908"/>
        <v>-41.685952499999999</v>
      </c>
      <c r="U236" s="110">
        <f t="shared" si="908"/>
        <v>-66.723408000000006</v>
      </c>
      <c r="V236" s="110">
        <f t="shared" si="908"/>
        <v>-76.025537600000007</v>
      </c>
      <c r="W236" s="110">
        <f t="shared" si="908"/>
        <v>-81.441460600000013</v>
      </c>
      <c r="X236" s="110">
        <f t="shared" si="908"/>
        <v>-47.678700200000002</v>
      </c>
      <c r="Y236" s="110">
        <f t="shared" si="908"/>
        <v>-60.955807999999998</v>
      </c>
      <c r="Z236" s="110">
        <f t="shared" si="908"/>
        <v>-67.614495599999998</v>
      </c>
      <c r="AA236" s="110">
        <f t="shared" si="908"/>
        <v>-75.466200000000015</v>
      </c>
      <c r="AB236" s="110">
        <f t="shared" si="908"/>
        <v>-41.107669600000001</v>
      </c>
      <c r="AC236" s="110">
        <f t="shared" si="908"/>
        <v>-41.989720000000005</v>
      </c>
      <c r="AD236" s="110">
        <f t="shared" si="908"/>
        <v>-54.303780000000003</v>
      </c>
      <c r="AE236" s="110">
        <f t="shared" si="908"/>
        <v>-66.477215999999999</v>
      </c>
      <c r="AF236" s="110">
        <f t="shared" si="908"/>
        <v>-35.138169599999998</v>
      </c>
      <c r="AG236" s="110">
        <f t="shared" si="908"/>
        <v>-49.998437199999998</v>
      </c>
      <c r="AH236" s="110">
        <f t="shared" si="908"/>
        <v>-54.6478228</v>
      </c>
      <c r="AI236" s="110">
        <f t="shared" si="908"/>
        <v>-34.968192000000002</v>
      </c>
      <c r="AJ236" s="110">
        <f t="shared" si="908"/>
        <v>-14.553538300000001</v>
      </c>
      <c r="AK236" s="110">
        <f t="shared" si="908"/>
        <v>-19.882342399999999</v>
      </c>
      <c r="AL236" s="110">
        <f t="shared" si="908"/>
        <v>-15.7621696</v>
      </c>
      <c r="AM236" s="110">
        <f t="shared" si="908"/>
        <v>-13.416062499999999</v>
      </c>
      <c r="AN236" s="110">
        <f t="shared" si="908"/>
        <v>-4.5210151999999999</v>
      </c>
      <c r="AO236" s="110">
        <f t="shared" si="908"/>
        <v>-8.8960448000000003</v>
      </c>
      <c r="AP236" s="110">
        <f t="shared" si="908"/>
        <v>-12.815492800000001</v>
      </c>
      <c r="AQ236" s="110">
        <f t="shared" si="908"/>
        <v>-19.9177</v>
      </c>
      <c r="AR236" s="110">
        <f t="shared" ref="AR236" si="909">+AR237-AR235</f>
        <v>-11.325537599999997</v>
      </c>
      <c r="AS236" s="110">
        <f t="shared" ref="AS236:AT236" si="910">+AS237-AS235</f>
        <v>-13.729725999999999</v>
      </c>
      <c r="AT236" s="110">
        <f t="shared" si="910"/>
        <v>-13.937799999999999</v>
      </c>
      <c r="AU236" s="110">
        <f t="shared" ref="AU236" si="911">+AU237-AU235</f>
        <v>-19.8</v>
      </c>
      <c r="AV236" s="110">
        <f t="shared" ref="AV236" si="912">+AV237-AV235</f>
        <v>-13.104000000000001</v>
      </c>
      <c r="AW236" s="110">
        <f t="shared" ref="AW236" si="913">+AW237-AW235</f>
        <v>-27.507999999999999</v>
      </c>
      <c r="AX236" s="110">
        <f t="shared" ref="AX236" si="914">+AX237-AX235</f>
        <v>-26.311999999999998</v>
      </c>
      <c r="AY236" s="110">
        <f t="shared" ref="AY236" si="915">+AY237-AY235</f>
        <v>-28.98</v>
      </c>
      <c r="AZ236" s="110">
        <f t="shared" ref="AZ236" si="916">+AZ237-AZ235</f>
        <v>-12.558000000000002</v>
      </c>
      <c r="BA236" s="110">
        <f t="shared" ref="BA236" si="917">+BA237-BA235</f>
        <v>-27.507999999999999</v>
      </c>
      <c r="BB236" s="110">
        <f t="shared" ref="BB236" si="918">+BB237-BB235</f>
        <v>-27.507999999999999</v>
      </c>
      <c r="BC236" s="110">
        <f t="shared" ref="BC236" si="919">+BC237-BC235</f>
        <v>-29.302</v>
      </c>
      <c r="BD236" s="110">
        <f t="shared" ref="BD236" si="920">+BD237-BD235</f>
        <v>-12.558000000000002</v>
      </c>
      <c r="BE236" s="110">
        <f t="shared" ref="BE236" si="921">+BE237-BE235</f>
        <v>-27.507999999999999</v>
      </c>
      <c r="BF236" s="110">
        <f t="shared" ref="BF236" si="922">+BF237-BF235</f>
        <v>-27.507999999999999</v>
      </c>
      <c r="BJ236" s="116">
        <f t="shared" si="803"/>
        <v>227</v>
      </c>
    </row>
    <row r="237" spans="1:62" hidden="1" outlineLevel="2">
      <c r="B237" s="189" t="s">
        <v>55</v>
      </c>
      <c r="C237" s="52">
        <f t="shared" si="906"/>
        <v>91.793134499999994</v>
      </c>
      <c r="D237" s="52">
        <f t="shared" si="906"/>
        <v>168.09357489999999</v>
      </c>
      <c r="E237" s="52">
        <f t="shared" si="906"/>
        <v>171.72053560000001</v>
      </c>
      <c r="F237" s="52">
        <f t="shared" si="906"/>
        <v>148.8086304</v>
      </c>
      <c r="G237" s="52">
        <f t="shared" si="906"/>
        <v>128.9303544</v>
      </c>
      <c r="H237" s="52">
        <f t="shared" si="906"/>
        <v>52.327757700000006</v>
      </c>
      <c r="I237" s="52">
        <f t="shared" si="906"/>
        <v>11.8233847</v>
      </c>
      <c r="J237" s="52">
        <f t="shared" si="906"/>
        <v>24.018236400000003</v>
      </c>
      <c r="K237" s="52">
        <f t="shared" si="906"/>
        <v>36.542000000000002</v>
      </c>
      <c r="L237" s="52">
        <f t="shared" si="906"/>
        <v>37.781999999999996</v>
      </c>
      <c r="M237" s="52">
        <f t="shared" si="906"/>
        <v>37.908000000000001</v>
      </c>
      <c r="O237" s="159">
        <f>O233*O$229/1000000</f>
        <v>29.500307999999997</v>
      </c>
      <c r="P237" s="159">
        <f t="shared" ref="P237:BF237" si="923">P233*P$229/1000000</f>
        <v>11.969111700000001</v>
      </c>
      <c r="Q237" s="159">
        <f t="shared" si="923"/>
        <v>16.94088</v>
      </c>
      <c r="R237" s="159">
        <f t="shared" si="923"/>
        <v>33.382834799999998</v>
      </c>
      <c r="S237" s="159">
        <f t="shared" si="923"/>
        <v>53.680472999999999</v>
      </c>
      <c r="T237" s="159">
        <f t="shared" si="923"/>
        <v>24.5720475</v>
      </c>
      <c r="U237" s="159">
        <f t="shared" si="923"/>
        <v>39.686591999999997</v>
      </c>
      <c r="V237" s="159">
        <f t="shared" si="923"/>
        <v>50.154462400000007</v>
      </c>
      <c r="W237" s="159">
        <f t="shared" si="923"/>
        <v>63.2935394</v>
      </c>
      <c r="X237" s="159">
        <f t="shared" si="923"/>
        <v>18.336299799999999</v>
      </c>
      <c r="Y237" s="159">
        <f t="shared" si="923"/>
        <v>42.037191999999997</v>
      </c>
      <c r="Z237" s="159">
        <f t="shared" si="923"/>
        <v>48.053504400000001</v>
      </c>
      <c r="AA237" s="159">
        <f t="shared" si="923"/>
        <v>51.400799999999997</v>
      </c>
      <c r="AB237" s="159">
        <f t="shared" si="923"/>
        <v>23.6813304</v>
      </c>
      <c r="AC237" s="159">
        <f t="shared" si="923"/>
        <v>39.40728</v>
      </c>
      <c r="AD237" s="159">
        <f t="shared" si="923"/>
        <v>34.319220000000001</v>
      </c>
      <c r="AE237" s="159">
        <f t="shared" si="923"/>
        <v>45.143783999999989</v>
      </c>
      <c r="AF237" s="159">
        <f t="shared" si="923"/>
        <v>19.722830400000003</v>
      </c>
      <c r="AG237" s="159">
        <f t="shared" si="923"/>
        <v>30.492562800000002</v>
      </c>
      <c r="AH237" s="159">
        <f t="shared" si="923"/>
        <v>33.571177199999994</v>
      </c>
      <c r="AI237" s="159">
        <f t="shared" si="923"/>
        <v>22.871808000000001</v>
      </c>
      <c r="AJ237" s="159">
        <f t="shared" si="923"/>
        <v>6.8594616999999989</v>
      </c>
      <c r="AK237" s="159">
        <f t="shared" si="923"/>
        <v>10.0466576</v>
      </c>
      <c r="AL237" s="159">
        <f t="shared" si="923"/>
        <v>12.549830400000001</v>
      </c>
      <c r="AM237" s="159">
        <f t="shared" si="923"/>
        <v>4.0779375</v>
      </c>
      <c r="AN237" s="159">
        <f t="shared" si="923"/>
        <v>2.0959848000000001</v>
      </c>
      <c r="AO237" s="159">
        <f t="shared" si="923"/>
        <v>1.5479551999999999</v>
      </c>
      <c r="AP237" s="159">
        <f t="shared" si="923"/>
        <v>4.1015072000000004</v>
      </c>
      <c r="AQ237" s="159">
        <f t="shared" si="923"/>
        <v>7.8902999999999999</v>
      </c>
      <c r="AR237" s="159">
        <f t="shared" ref="AR237" si="924">AR233*AR$229/1000000</f>
        <v>5.7954624000000008</v>
      </c>
      <c r="AS237" s="159">
        <f t="shared" ref="AS237:AT237" si="925">AS233*AS$229/1000000</f>
        <v>4.3432740000000001</v>
      </c>
      <c r="AT237" s="159">
        <f t="shared" si="925"/>
        <v>5.9892000000000003</v>
      </c>
      <c r="AU237" s="159">
        <f t="shared" si="923"/>
        <v>9.4499999999999993</v>
      </c>
      <c r="AV237" s="159">
        <f t="shared" si="923"/>
        <v>4.3680000000000003</v>
      </c>
      <c r="AW237" s="159">
        <f t="shared" si="923"/>
        <v>10.763999999999999</v>
      </c>
      <c r="AX237" s="159">
        <f t="shared" si="923"/>
        <v>11.96</v>
      </c>
      <c r="AY237" s="159">
        <f t="shared" si="923"/>
        <v>11.34</v>
      </c>
      <c r="AZ237" s="159">
        <f t="shared" si="923"/>
        <v>4.9139999999999997</v>
      </c>
      <c r="BA237" s="159">
        <f t="shared" si="923"/>
        <v>10.763999999999999</v>
      </c>
      <c r="BB237" s="159">
        <f t="shared" si="923"/>
        <v>10.763999999999999</v>
      </c>
      <c r="BC237" s="159">
        <f t="shared" si="923"/>
        <v>11.465999999999999</v>
      </c>
      <c r="BD237" s="159">
        <f t="shared" si="923"/>
        <v>4.9139999999999997</v>
      </c>
      <c r="BE237" s="159">
        <f t="shared" si="923"/>
        <v>10.763999999999999</v>
      </c>
      <c r="BF237" s="159">
        <f t="shared" si="923"/>
        <v>10.763999999999999</v>
      </c>
      <c r="BJ237" s="116">
        <f t="shared" si="803"/>
        <v>228</v>
      </c>
    </row>
    <row r="238" spans="1:62" hidden="1" outlineLevel="2">
      <c r="B238" s="25" t="s">
        <v>56</v>
      </c>
      <c r="C238" s="50">
        <f t="shared" si="906"/>
        <v>-17.592134499999993</v>
      </c>
      <c r="D238" s="50">
        <f t="shared" si="906"/>
        <v>-21.367574900000005</v>
      </c>
      <c r="E238" s="50">
        <f t="shared" si="906"/>
        <v>-21.1695356</v>
      </c>
      <c r="F238" s="50">
        <f t="shared" si="906"/>
        <v>-29.819630400000001</v>
      </c>
      <c r="G238" s="50">
        <f t="shared" si="906"/>
        <v>-20.476354399999991</v>
      </c>
      <c r="H238" s="50">
        <f t="shared" si="906"/>
        <v>-12.570757700000001</v>
      </c>
      <c r="I238" s="50">
        <f t="shared" si="906"/>
        <v>-6.4983847000000008</v>
      </c>
      <c r="J238" s="50">
        <f t="shared" si="906"/>
        <v>-6.683236400000002</v>
      </c>
      <c r="K238" s="50">
        <f t="shared" si="906"/>
        <v>-7.3415019307712033</v>
      </c>
      <c r="L238" s="50">
        <f t="shared" si="906"/>
        <v>-7.9466777925688437</v>
      </c>
      <c r="M238" s="50">
        <f t="shared" si="906"/>
        <v>-8.6017396078343236</v>
      </c>
      <c r="O238" s="110">
        <f>+O239-O237</f>
        <v>-4.1183079999999954</v>
      </c>
      <c r="P238" s="110">
        <f t="shared" ref="P238:AQ238" si="926">+P239-P237</f>
        <v>-4.8001117000000013</v>
      </c>
      <c r="Q238" s="110">
        <f t="shared" si="926"/>
        <v>-3.9158799999999996</v>
      </c>
      <c r="R238" s="110">
        <f t="shared" si="926"/>
        <v>-4.7578347999999977</v>
      </c>
      <c r="S238" s="110">
        <f t="shared" si="926"/>
        <v>-5.137473</v>
      </c>
      <c r="T238" s="110">
        <f t="shared" si="926"/>
        <v>-5.7830474999999986</v>
      </c>
      <c r="U238" s="110">
        <f t="shared" si="926"/>
        <v>-4.8875919999999979</v>
      </c>
      <c r="V238" s="110">
        <f t="shared" si="926"/>
        <v>-5.5594624000000081</v>
      </c>
      <c r="W238" s="110">
        <f t="shared" si="926"/>
        <v>-5.1095394000000027</v>
      </c>
      <c r="X238" s="110">
        <f t="shared" si="926"/>
        <v>-5.1582997999999982</v>
      </c>
      <c r="Y238" s="110">
        <f t="shared" si="926"/>
        <v>-5.2081919999999968</v>
      </c>
      <c r="Z238" s="110">
        <f t="shared" si="926"/>
        <v>-5.6935044000000019</v>
      </c>
      <c r="AA238" s="110">
        <f t="shared" si="926"/>
        <v>-5.8697999999999979</v>
      </c>
      <c r="AB238" s="110">
        <f t="shared" si="926"/>
        <v>-5.6143304000000001</v>
      </c>
      <c r="AC238" s="110">
        <f t="shared" si="926"/>
        <v>-13.175280000000001</v>
      </c>
      <c r="AD238" s="110">
        <f t="shared" si="926"/>
        <v>-5.1602200000000025</v>
      </c>
      <c r="AE238" s="110">
        <f t="shared" si="926"/>
        <v>-5.0247839999999897</v>
      </c>
      <c r="AF238" s="110">
        <f t="shared" si="926"/>
        <v>-5.5068304000000037</v>
      </c>
      <c r="AG238" s="110">
        <f t="shared" si="926"/>
        <v>-4.6885628000000033</v>
      </c>
      <c r="AH238" s="110">
        <f t="shared" si="926"/>
        <v>-5.2561771999999927</v>
      </c>
      <c r="AI238" s="110">
        <f t="shared" si="926"/>
        <v>-4.4038080000000015</v>
      </c>
      <c r="AJ238" s="110">
        <f t="shared" si="926"/>
        <v>-3.1274616999999987</v>
      </c>
      <c r="AK238" s="110">
        <f t="shared" si="926"/>
        <v>-2.5306575999999996</v>
      </c>
      <c r="AL238" s="110">
        <f t="shared" si="926"/>
        <v>-2.5088304000000008</v>
      </c>
      <c r="AM238" s="110">
        <f t="shared" si="926"/>
        <v>-1.9559375000000001</v>
      </c>
      <c r="AN238" s="110">
        <f t="shared" si="926"/>
        <v>-1.7359848000000002</v>
      </c>
      <c r="AO238" s="110">
        <f t="shared" si="926"/>
        <v>-1.3519551999999999</v>
      </c>
      <c r="AP238" s="110">
        <f t="shared" si="926"/>
        <v>-1.4545072000000006</v>
      </c>
      <c r="AQ238" s="110">
        <f t="shared" si="926"/>
        <v>-1.5552999999999999</v>
      </c>
      <c r="AR238" s="110">
        <f t="shared" ref="AR238" si="927">+AR239-AR237</f>
        <v>-1.6184624000000012</v>
      </c>
      <c r="AS238" s="110">
        <f t="shared" ref="AS238:AT238" si="928">+AS239-AS237</f>
        <v>-1.7732740000000002</v>
      </c>
      <c r="AT238" s="110">
        <f t="shared" si="928"/>
        <v>-1.7362000000000002</v>
      </c>
      <c r="AU238" s="111">
        <f t="shared" ref="AU238:BF238" si="929">AU87</f>
        <v>-1.7812227486872123</v>
      </c>
      <c r="AV238" s="111">
        <f t="shared" si="929"/>
        <v>-1.8168472036609564</v>
      </c>
      <c r="AW238" s="111">
        <f t="shared" si="929"/>
        <v>-1.8531841477341755</v>
      </c>
      <c r="AX238" s="111">
        <f t="shared" si="929"/>
        <v>-1.8902478306888588</v>
      </c>
      <c r="AY238" s="111">
        <f t="shared" si="929"/>
        <v>-1.9280527873026363</v>
      </c>
      <c r="AZ238" s="111">
        <f t="shared" si="929"/>
        <v>-1.966613843048689</v>
      </c>
      <c r="BA238" s="111">
        <f t="shared" si="929"/>
        <v>-2.0059461199096629</v>
      </c>
      <c r="BB238" s="111">
        <f t="shared" si="929"/>
        <v>-2.0460650423078559</v>
      </c>
      <c r="BC238" s="111">
        <f t="shared" si="929"/>
        <v>-2.0869863431540128</v>
      </c>
      <c r="BD238" s="111">
        <f t="shared" si="929"/>
        <v>-2.1287260700170929</v>
      </c>
      <c r="BE238" s="111">
        <f t="shared" si="929"/>
        <v>-2.1713005914174346</v>
      </c>
      <c r="BF238" s="111">
        <f t="shared" si="929"/>
        <v>-2.2147266032457833</v>
      </c>
      <c r="BJ238" s="116">
        <f t="shared" si="803"/>
        <v>229</v>
      </c>
    </row>
    <row r="239" spans="1:62" hidden="1" outlineLevel="2">
      <c r="B239" s="189" t="s">
        <v>57</v>
      </c>
      <c r="C239" s="52">
        <f t="shared" si="906"/>
        <v>74.200999999999993</v>
      </c>
      <c r="D239" s="52">
        <f t="shared" si="906"/>
        <v>146.726</v>
      </c>
      <c r="E239" s="52">
        <f t="shared" si="906"/>
        <v>150.55099999999999</v>
      </c>
      <c r="F239" s="52">
        <f t="shared" si="906"/>
        <v>118.989</v>
      </c>
      <c r="G239" s="52">
        <f t="shared" si="906"/>
        <v>108.45399999999999</v>
      </c>
      <c r="H239" s="52">
        <f t="shared" si="906"/>
        <v>39.757000000000005</v>
      </c>
      <c r="I239" s="52">
        <f t="shared" si="906"/>
        <v>5.3249999999999993</v>
      </c>
      <c r="J239" s="52">
        <f t="shared" si="906"/>
        <v>17.335000000000001</v>
      </c>
      <c r="K239" s="52">
        <f t="shared" si="906"/>
        <v>29.2004980692288</v>
      </c>
      <c r="L239" s="52">
        <f t="shared" si="906"/>
        <v>29.835322207431155</v>
      </c>
      <c r="M239" s="52">
        <f t="shared" si="906"/>
        <v>29.306260392165676</v>
      </c>
      <c r="O239" s="164">
        <f t="shared" ref="O239:AT239" si="930">O24</f>
        <v>25.382000000000001</v>
      </c>
      <c r="P239" s="164">
        <f t="shared" si="930"/>
        <v>7.1689999999999996</v>
      </c>
      <c r="Q239" s="164">
        <f t="shared" si="930"/>
        <v>13.025</v>
      </c>
      <c r="R239" s="164">
        <f t="shared" si="930"/>
        <v>28.625</v>
      </c>
      <c r="S239" s="164">
        <f t="shared" si="930"/>
        <v>48.542999999999999</v>
      </c>
      <c r="T239" s="164">
        <f t="shared" si="930"/>
        <v>18.789000000000001</v>
      </c>
      <c r="U239" s="164">
        <f t="shared" si="930"/>
        <v>34.798999999999999</v>
      </c>
      <c r="V239" s="164">
        <f t="shared" si="930"/>
        <v>44.594999999999999</v>
      </c>
      <c r="W239" s="164">
        <f t="shared" si="930"/>
        <v>58.183999999999997</v>
      </c>
      <c r="X239" s="164">
        <f t="shared" si="930"/>
        <v>13.178000000000001</v>
      </c>
      <c r="Y239" s="164">
        <f t="shared" si="930"/>
        <v>36.829000000000001</v>
      </c>
      <c r="Z239" s="164">
        <f t="shared" si="930"/>
        <v>42.36</v>
      </c>
      <c r="AA239" s="164">
        <f t="shared" si="930"/>
        <v>45.530999999999999</v>
      </c>
      <c r="AB239" s="164">
        <f t="shared" si="930"/>
        <v>18.067</v>
      </c>
      <c r="AC239" s="164">
        <f t="shared" si="930"/>
        <v>26.231999999999999</v>
      </c>
      <c r="AD239" s="164">
        <f t="shared" si="930"/>
        <v>29.158999999999999</v>
      </c>
      <c r="AE239" s="164">
        <f t="shared" si="930"/>
        <v>40.119</v>
      </c>
      <c r="AF239" s="164">
        <f t="shared" si="930"/>
        <v>14.215999999999999</v>
      </c>
      <c r="AG239" s="164">
        <f t="shared" si="930"/>
        <v>25.803999999999998</v>
      </c>
      <c r="AH239" s="164">
        <f t="shared" si="930"/>
        <v>28.315000000000001</v>
      </c>
      <c r="AI239" s="164">
        <f t="shared" si="930"/>
        <v>18.468</v>
      </c>
      <c r="AJ239" s="164">
        <f t="shared" si="930"/>
        <v>3.7320000000000002</v>
      </c>
      <c r="AK239" s="164">
        <f t="shared" si="930"/>
        <v>7.516</v>
      </c>
      <c r="AL239" s="164">
        <f t="shared" si="930"/>
        <v>10.041</v>
      </c>
      <c r="AM239" s="164">
        <f t="shared" si="930"/>
        <v>2.1219999999999999</v>
      </c>
      <c r="AN239" s="164">
        <f t="shared" si="930"/>
        <v>0.36</v>
      </c>
      <c r="AO239" s="164">
        <f t="shared" si="930"/>
        <v>0.19600000000000001</v>
      </c>
      <c r="AP239" s="164">
        <f t="shared" si="930"/>
        <v>2.6469999999999998</v>
      </c>
      <c r="AQ239" s="164">
        <f t="shared" si="930"/>
        <v>6.335</v>
      </c>
      <c r="AR239" s="164">
        <f t="shared" si="930"/>
        <v>4.1769999999999996</v>
      </c>
      <c r="AS239" s="164">
        <f t="shared" si="930"/>
        <v>2.57</v>
      </c>
      <c r="AT239" s="164">
        <f t="shared" si="930"/>
        <v>4.2530000000000001</v>
      </c>
      <c r="AU239" s="159">
        <f t="shared" ref="AU239" si="931">+AU237+AU238</f>
        <v>7.668777251312787</v>
      </c>
      <c r="AV239" s="159">
        <f t="shared" ref="AV239" si="932">+AV237+AV238</f>
        <v>2.5511527963390437</v>
      </c>
      <c r="AW239" s="159">
        <f t="shared" ref="AW239" si="933">+AW237+AW238</f>
        <v>8.9108158522658236</v>
      </c>
      <c r="AX239" s="159">
        <f t="shared" ref="AX239" si="934">+AX237+AX238</f>
        <v>10.069752169311142</v>
      </c>
      <c r="AY239" s="159">
        <f t="shared" ref="AY239" si="935">+AY237+AY238</f>
        <v>9.4119472126973633</v>
      </c>
      <c r="AZ239" s="159">
        <f t="shared" ref="AZ239" si="936">+AZ237+AZ238</f>
        <v>2.9473861569513105</v>
      </c>
      <c r="BA239" s="159">
        <f t="shared" ref="BA239" si="937">+BA237+BA238</f>
        <v>8.7580538800903369</v>
      </c>
      <c r="BB239" s="159">
        <f t="shared" ref="BB239" si="938">+BB237+BB238</f>
        <v>8.7179349576921439</v>
      </c>
      <c r="BC239" s="159">
        <f t="shared" ref="BC239" si="939">+BC237+BC238</f>
        <v>9.3790136568459861</v>
      </c>
      <c r="BD239" s="159">
        <f t="shared" ref="BD239" si="940">+BD237+BD238</f>
        <v>2.7852739299829068</v>
      </c>
      <c r="BE239" s="159">
        <f t="shared" ref="BE239" si="941">+BE237+BE238</f>
        <v>8.5926994085825648</v>
      </c>
      <c r="BF239" s="159">
        <f t="shared" ref="BF239" si="942">+BF237+BF238</f>
        <v>8.5492733967542165</v>
      </c>
      <c r="BJ239" s="116">
        <f t="shared" si="803"/>
        <v>230</v>
      </c>
    </row>
    <row r="240" spans="1:62" hidden="1" outlineLevel="2">
      <c r="B240" s="25" t="s">
        <v>58</v>
      </c>
      <c r="C240" s="50">
        <f t="shared" si="906"/>
        <v>-56.161999999999999</v>
      </c>
      <c r="D240" s="50">
        <f t="shared" si="906"/>
        <v>-91.019000000000005</v>
      </c>
      <c r="E240" s="50">
        <f t="shared" si="906"/>
        <v>-59.190999999999995</v>
      </c>
      <c r="F240" s="50">
        <f t="shared" si="906"/>
        <v>-57.795999999999999</v>
      </c>
      <c r="G240" s="50">
        <f t="shared" si="906"/>
        <v>-55.985999999999997</v>
      </c>
      <c r="H240" s="50">
        <f t="shared" si="906"/>
        <v>-46.786000000000001</v>
      </c>
      <c r="I240" s="50">
        <f t="shared" si="906"/>
        <v>-42.143000000000001</v>
      </c>
      <c r="J240" s="50">
        <f t="shared" si="906"/>
        <v>-39.597000000000001</v>
      </c>
      <c r="K240" s="50">
        <f t="shared" si="906"/>
        <v>-39.421919264255578</v>
      </c>
      <c r="L240" s="50">
        <f t="shared" si="906"/>
        <v>-36.777448412098522</v>
      </c>
      <c r="M240" s="50">
        <f t="shared" si="906"/>
        <v>-34.447959593473726</v>
      </c>
      <c r="O240" s="110">
        <f>+O241-O239</f>
        <v>-14.268000000000001</v>
      </c>
      <c r="P240" s="110">
        <f t="shared" ref="P240:AQ240" si="943">+P241-P239</f>
        <v>-13.675000000000001</v>
      </c>
      <c r="Q240" s="110">
        <f t="shared" si="943"/>
        <v>-13.639000000000001</v>
      </c>
      <c r="R240" s="110">
        <f t="shared" si="943"/>
        <v>-14.58</v>
      </c>
      <c r="S240" s="110">
        <f t="shared" si="943"/>
        <v>-48.542999999999999</v>
      </c>
      <c r="T240" s="110">
        <f t="shared" si="943"/>
        <v>-14.588000000000001</v>
      </c>
      <c r="U240" s="110">
        <f t="shared" si="943"/>
        <v>-15.349</v>
      </c>
      <c r="V240" s="110">
        <f t="shared" si="943"/>
        <v>-12.539000000000001</v>
      </c>
      <c r="W240" s="110">
        <f t="shared" si="943"/>
        <v>-15.037999999999997</v>
      </c>
      <c r="X240" s="110">
        <f t="shared" si="943"/>
        <v>-13.707000000000001</v>
      </c>
      <c r="Y240" s="110">
        <f t="shared" si="943"/>
        <v>-15.150000000000002</v>
      </c>
      <c r="Z240" s="110">
        <f t="shared" si="943"/>
        <v>-15.295999999999999</v>
      </c>
      <c r="AA240" s="110">
        <f t="shared" si="943"/>
        <v>-15.012999999999998</v>
      </c>
      <c r="AB240" s="110">
        <f t="shared" si="943"/>
        <v>-14.172000000000001</v>
      </c>
      <c r="AC240" s="110">
        <f t="shared" si="943"/>
        <v>-13.988</v>
      </c>
      <c r="AD240" s="110">
        <f t="shared" si="943"/>
        <v>-14.622999999999999</v>
      </c>
      <c r="AE240" s="110">
        <f t="shared" si="943"/>
        <v>-13.959</v>
      </c>
      <c r="AF240" s="110">
        <f t="shared" si="943"/>
        <v>-13.991</v>
      </c>
      <c r="AG240" s="110">
        <f t="shared" si="943"/>
        <v>-14.286999999999999</v>
      </c>
      <c r="AH240" s="110">
        <f t="shared" si="943"/>
        <v>-13.749000000000001</v>
      </c>
      <c r="AI240" s="110">
        <f t="shared" si="943"/>
        <v>-12.11</v>
      </c>
      <c r="AJ240" s="110">
        <f t="shared" si="943"/>
        <v>-12</v>
      </c>
      <c r="AK240" s="110">
        <f t="shared" si="943"/>
        <v>-11.600999999999999</v>
      </c>
      <c r="AL240" s="110">
        <f t="shared" si="943"/>
        <v>-11.075000000000001</v>
      </c>
      <c r="AM240" s="110">
        <f t="shared" si="943"/>
        <v>-9.3999999999999986</v>
      </c>
      <c r="AN240" s="110">
        <f t="shared" si="943"/>
        <v>-11.190999999999999</v>
      </c>
      <c r="AO240" s="110">
        <f t="shared" si="943"/>
        <v>-10.352</v>
      </c>
      <c r="AP240" s="110">
        <f t="shared" si="943"/>
        <v>-11.200000000000001</v>
      </c>
      <c r="AQ240" s="110">
        <f t="shared" si="943"/>
        <v>-10.346</v>
      </c>
      <c r="AR240" s="110">
        <f t="shared" ref="AR240" si="944">+AR241-AR239</f>
        <v>-9.1909999999999989</v>
      </c>
      <c r="AS240" s="110">
        <f t="shared" ref="AS240" si="945">+AS241-AS239</f>
        <v>-10.064</v>
      </c>
      <c r="AT240" s="110">
        <f t="shared" ref="AT240" si="946">+AT241-AT239</f>
        <v>-9.9960000000000004</v>
      </c>
      <c r="AU240" s="111">
        <f t="shared" ref="AU240:BF240" si="947">AU131</f>
        <v>-10.125956380344315</v>
      </c>
      <c r="AV240" s="111">
        <f t="shared" si="947"/>
        <v>-9.9328044168527043</v>
      </c>
      <c r="AW240" s="111">
        <f t="shared" si="947"/>
        <v>-9.760792769566546</v>
      </c>
      <c r="AX240" s="111">
        <f t="shared" si="947"/>
        <v>-9.6023656974920168</v>
      </c>
      <c r="AY240" s="111">
        <f t="shared" si="947"/>
        <v>-9.4520024704457573</v>
      </c>
      <c r="AZ240" s="111">
        <f t="shared" si="947"/>
        <v>-9.2750689886504194</v>
      </c>
      <c r="BA240" s="111">
        <f t="shared" si="947"/>
        <v>-9.1035150231222168</v>
      </c>
      <c r="BB240" s="111">
        <f t="shared" si="947"/>
        <v>-8.9468619298801251</v>
      </c>
      <c r="BC240" s="111">
        <f t="shared" si="947"/>
        <v>-8.798209705417749</v>
      </c>
      <c r="BD240" s="111">
        <f t="shared" si="947"/>
        <v>-8.6725256584915549</v>
      </c>
      <c r="BE240" s="111">
        <f t="shared" si="947"/>
        <v>-8.5464770639000296</v>
      </c>
      <c r="BF240" s="111">
        <f t="shared" si="947"/>
        <v>-8.4307471656643891</v>
      </c>
      <c r="BJ240" s="116">
        <f t="shared" si="803"/>
        <v>231</v>
      </c>
    </row>
    <row r="241" spans="1:62" hidden="1" outlineLevel="2">
      <c r="B241" s="189" t="s">
        <v>59</v>
      </c>
      <c r="C241" s="52">
        <f t="shared" si="906"/>
        <v>18.039000000000001</v>
      </c>
      <c r="D241" s="52">
        <f t="shared" si="906"/>
        <v>55.706999999999994</v>
      </c>
      <c r="E241" s="52">
        <f t="shared" si="906"/>
        <v>91.359999999999985</v>
      </c>
      <c r="F241" s="52">
        <f t="shared" si="906"/>
        <v>61.193000000000005</v>
      </c>
      <c r="G241" s="52">
        <f t="shared" si="906"/>
        <v>52.468000000000004</v>
      </c>
      <c r="H241" s="52">
        <f t="shared" si="906"/>
        <v>-7.0290000000000008</v>
      </c>
      <c r="I241" s="52">
        <f t="shared" si="906"/>
        <v>-36.817999999999998</v>
      </c>
      <c r="J241" s="52">
        <f t="shared" si="906"/>
        <v>-22.262</v>
      </c>
      <c r="K241" s="52">
        <f t="shared" si="906"/>
        <v>-10.221421195026785</v>
      </c>
      <c r="L241" s="52">
        <f t="shared" si="906"/>
        <v>-6.942126204667364</v>
      </c>
      <c r="M241" s="52">
        <f t="shared" si="906"/>
        <v>-5.1416992013080485</v>
      </c>
      <c r="O241" s="165">
        <v>11.114000000000001</v>
      </c>
      <c r="P241" s="77">
        <v>-6.5060000000000002</v>
      </c>
      <c r="Q241" s="77">
        <v>-0.61399999999999999</v>
      </c>
      <c r="R241" s="77">
        <v>14.045</v>
      </c>
      <c r="S241" s="77">
        <v>0</v>
      </c>
      <c r="T241" s="77">
        <v>4.2009999999999996</v>
      </c>
      <c r="U241" s="77">
        <v>19.45</v>
      </c>
      <c r="V241" s="77">
        <v>32.055999999999997</v>
      </c>
      <c r="W241" s="77">
        <v>43.146000000000001</v>
      </c>
      <c r="X241" s="77">
        <v>-0.52900000000000003</v>
      </c>
      <c r="Y241" s="77">
        <v>21.678999999999998</v>
      </c>
      <c r="Z241" s="77">
        <v>27.064</v>
      </c>
      <c r="AA241" s="77">
        <v>30.518000000000001</v>
      </c>
      <c r="AB241" s="77">
        <v>3.895</v>
      </c>
      <c r="AC241" s="77">
        <v>12.244</v>
      </c>
      <c r="AD241" s="77">
        <v>14.536</v>
      </c>
      <c r="AE241" s="77">
        <v>26.16</v>
      </c>
      <c r="AF241" s="77">
        <v>0.22500000000000001</v>
      </c>
      <c r="AG241" s="77">
        <v>11.516999999999999</v>
      </c>
      <c r="AH241" s="77">
        <v>14.566000000000001</v>
      </c>
      <c r="AI241" s="77">
        <v>6.3579999999999997</v>
      </c>
      <c r="AJ241" s="77">
        <v>-8.2680000000000007</v>
      </c>
      <c r="AK241" s="77">
        <v>-4.085</v>
      </c>
      <c r="AL241" s="77">
        <v>-1.034</v>
      </c>
      <c r="AM241" s="77">
        <v>-7.2779999999999996</v>
      </c>
      <c r="AN241" s="77">
        <v>-10.831</v>
      </c>
      <c r="AO241" s="77">
        <v>-10.156000000000001</v>
      </c>
      <c r="AP241" s="77">
        <v>-8.5530000000000008</v>
      </c>
      <c r="AQ241" s="77">
        <v>-4.0110000000000001</v>
      </c>
      <c r="AR241" s="77">
        <v>-5.0140000000000002</v>
      </c>
      <c r="AS241" s="77">
        <v>-7.4939999999999998</v>
      </c>
      <c r="AT241" s="77">
        <v>-5.7430000000000003</v>
      </c>
      <c r="AU241" s="159">
        <f t="shared" ref="AU241:BF241" si="948">+AU239+AU240</f>
        <v>-2.4571791290315277</v>
      </c>
      <c r="AV241" s="159">
        <f t="shared" si="948"/>
        <v>-7.3816516205136606</v>
      </c>
      <c r="AW241" s="159">
        <f t="shared" si="948"/>
        <v>-0.84997691730072233</v>
      </c>
      <c r="AX241" s="159">
        <f t="shared" si="948"/>
        <v>0.4673864718191254</v>
      </c>
      <c r="AY241" s="159">
        <f t="shared" si="948"/>
        <v>-4.0055257748393913E-2</v>
      </c>
      <c r="AZ241" s="159">
        <f t="shared" si="948"/>
        <v>-6.3276828316991089</v>
      </c>
      <c r="BA241" s="159">
        <f t="shared" si="948"/>
        <v>-0.34546114303187991</v>
      </c>
      <c r="BB241" s="159">
        <f t="shared" si="948"/>
        <v>-0.22892697218798119</v>
      </c>
      <c r="BC241" s="159">
        <f t="shared" si="948"/>
        <v>0.58080395142823704</v>
      </c>
      <c r="BD241" s="159">
        <f t="shared" si="948"/>
        <v>-5.8872517285086481</v>
      </c>
      <c r="BE241" s="159">
        <f t="shared" si="948"/>
        <v>4.6222344682535166E-2</v>
      </c>
      <c r="BF241" s="159">
        <f t="shared" si="948"/>
        <v>0.11852623108982741</v>
      </c>
      <c r="BJ241" s="116">
        <f t="shared" si="803"/>
        <v>232</v>
      </c>
    </row>
    <row r="242" spans="1:62" hidden="1" outlineLevel="2">
      <c r="B242" s="11"/>
      <c r="BJ242" s="116">
        <f t="shared" si="803"/>
        <v>233</v>
      </c>
    </row>
    <row r="243" spans="1:62" collapsed="1">
      <c r="A243" s="72" t="s">
        <v>322</v>
      </c>
      <c r="B243" s="2" t="s">
        <v>96</v>
      </c>
      <c r="BJ243" s="116">
        <f t="shared" si="803"/>
        <v>234</v>
      </c>
    </row>
    <row r="244" spans="1:62" hidden="1" outlineLevel="2">
      <c r="B244" s="10" t="s">
        <v>42</v>
      </c>
      <c r="C244" s="50">
        <f>AVERAGEIFS($O244:$BG244,$O$5:$BG$5,C$5)</f>
        <v>154.25</v>
      </c>
      <c r="D244" s="50">
        <f t="shared" ref="D244:M244" si="949">AVERAGEIFS($O244:$BG244,$O$5:$BG$5,D$5)</f>
        <v>152.25</v>
      </c>
      <c r="E244" s="50">
        <f t="shared" si="949"/>
        <v>153.5</v>
      </c>
      <c r="F244" s="50">
        <f t="shared" si="949"/>
        <v>152.5</v>
      </c>
      <c r="G244" s="50">
        <f t="shared" si="949"/>
        <v>149.5</v>
      </c>
      <c r="H244" s="50">
        <f t="shared" si="949"/>
        <v>173</v>
      </c>
      <c r="I244" s="50">
        <f t="shared" si="949"/>
        <v>161.25</v>
      </c>
      <c r="J244" s="50">
        <f t="shared" si="949"/>
        <v>161</v>
      </c>
      <c r="K244" s="50">
        <f t="shared" si="949"/>
        <v>163</v>
      </c>
      <c r="L244" s="50">
        <f t="shared" si="949"/>
        <v>163</v>
      </c>
      <c r="M244" s="50">
        <f t="shared" si="949"/>
        <v>163</v>
      </c>
      <c r="O244" s="107">
        <v>154</v>
      </c>
      <c r="P244" s="107">
        <f>O244</f>
        <v>154</v>
      </c>
      <c r="Q244" s="107">
        <f>P244</f>
        <v>154</v>
      </c>
      <c r="R244" s="107">
        <v>155</v>
      </c>
      <c r="S244" s="107">
        <v>155</v>
      </c>
      <c r="T244" s="107">
        <f>S244</f>
        <v>155</v>
      </c>
      <c r="U244" s="107">
        <f>T244-7</f>
        <v>148</v>
      </c>
      <c r="V244" s="107">
        <f>U244+3</f>
        <v>151</v>
      </c>
      <c r="W244" s="107">
        <f>V244</f>
        <v>151</v>
      </c>
      <c r="X244" s="107">
        <f>131+27</f>
        <v>158</v>
      </c>
      <c r="Y244" s="107">
        <v>155</v>
      </c>
      <c r="Z244" s="107">
        <f>126+24</f>
        <v>150</v>
      </c>
      <c r="AA244" s="107">
        <v>148</v>
      </c>
      <c r="AB244" s="107">
        <v>150</v>
      </c>
      <c r="AC244" s="107">
        <v>154</v>
      </c>
      <c r="AD244" s="107">
        <v>158</v>
      </c>
      <c r="AE244" s="107">
        <v>148</v>
      </c>
      <c r="AF244" s="107">
        <v>146</v>
      </c>
      <c r="AG244" s="107">
        <v>151</v>
      </c>
      <c r="AH244" s="107">
        <v>153</v>
      </c>
      <c r="AI244" s="107">
        <v>175</v>
      </c>
      <c r="AJ244" s="107">
        <v>175</v>
      </c>
      <c r="AK244" s="107">
        <v>180</v>
      </c>
      <c r="AL244" s="107">
        <v>162</v>
      </c>
      <c r="AM244" s="107">
        <f>136+26</f>
        <v>162</v>
      </c>
      <c r="AN244" s="107">
        <v>161</v>
      </c>
      <c r="AO244" s="107">
        <v>161</v>
      </c>
      <c r="AP244" s="107">
        <v>161</v>
      </c>
      <c r="AQ244" s="107">
        <v>161</v>
      </c>
      <c r="AR244" s="107">
        <v>160</v>
      </c>
      <c r="AS244" s="107">
        <v>160</v>
      </c>
      <c r="AT244" s="107">
        <v>163</v>
      </c>
      <c r="AU244" s="108">
        <f t="shared" ref="AU244:BF244" si="950">AT244</f>
        <v>163</v>
      </c>
      <c r="AV244" s="108">
        <f t="shared" si="950"/>
        <v>163</v>
      </c>
      <c r="AW244" s="108">
        <f t="shared" si="950"/>
        <v>163</v>
      </c>
      <c r="AX244" s="108">
        <f t="shared" si="950"/>
        <v>163</v>
      </c>
      <c r="AY244" s="108">
        <f t="shared" si="950"/>
        <v>163</v>
      </c>
      <c r="AZ244" s="108">
        <f t="shared" si="950"/>
        <v>163</v>
      </c>
      <c r="BA244" s="108">
        <f t="shared" si="950"/>
        <v>163</v>
      </c>
      <c r="BB244" s="108">
        <f t="shared" si="950"/>
        <v>163</v>
      </c>
      <c r="BC244" s="108">
        <f t="shared" si="950"/>
        <v>163</v>
      </c>
      <c r="BD244" s="108">
        <f t="shared" si="950"/>
        <v>163</v>
      </c>
      <c r="BE244" s="108">
        <f t="shared" si="950"/>
        <v>163</v>
      </c>
      <c r="BF244" s="108">
        <f t="shared" si="950"/>
        <v>163</v>
      </c>
      <c r="BJ244" s="116">
        <f t="shared" si="803"/>
        <v>235</v>
      </c>
    </row>
    <row r="245" spans="1:62" hidden="1" outlineLevel="2">
      <c r="B245" s="10" t="s">
        <v>49</v>
      </c>
      <c r="C245" s="50">
        <f>C247/C$6</f>
        <v>97.8021917808219</v>
      </c>
      <c r="D245" s="50">
        <f t="shared" ref="D245:M245" si="951">D247/D$6</f>
        <v>105.26246575342466</v>
      </c>
      <c r="E245" s="50">
        <f t="shared" si="951"/>
        <v>119.27486338797814</v>
      </c>
      <c r="F245" s="50">
        <f t="shared" si="951"/>
        <v>124.12986301369861</v>
      </c>
      <c r="G245" s="50">
        <f t="shared" si="951"/>
        <v>127.08465753424657</v>
      </c>
      <c r="H245" s="50">
        <f t="shared" si="951"/>
        <v>123.95808219178082</v>
      </c>
      <c r="I245" s="50">
        <f t="shared" si="951"/>
        <v>100.21939890710384</v>
      </c>
      <c r="J245" s="50">
        <f t="shared" si="951"/>
        <v>91.127945205479463</v>
      </c>
      <c r="K245" s="50">
        <f t="shared" si="951"/>
        <v>99.019178082191786</v>
      </c>
      <c r="L245" s="50">
        <f t="shared" si="951"/>
        <v>109.27671232876712</v>
      </c>
      <c r="M245" s="50">
        <f t="shared" si="951"/>
        <v>115</v>
      </c>
      <c r="O245" s="51">
        <v>88.3</v>
      </c>
      <c r="P245" s="51">
        <v>97.6</v>
      </c>
      <c r="Q245" s="51">
        <v>103</v>
      </c>
      <c r="R245" s="51">
        <v>102.1</v>
      </c>
      <c r="S245" s="51">
        <v>99.6</v>
      </c>
      <c r="T245" s="51">
        <v>102.8</v>
      </c>
      <c r="U245" s="51">
        <v>105.3</v>
      </c>
      <c r="V245" s="51">
        <v>113.2</v>
      </c>
      <c r="W245" s="51">
        <v>117.7</v>
      </c>
      <c r="X245" s="51">
        <v>120.9</v>
      </c>
      <c r="Y245" s="51">
        <v>119.2</v>
      </c>
      <c r="Z245" s="51">
        <v>119.3</v>
      </c>
      <c r="AA245" s="51">
        <v>122.7</v>
      </c>
      <c r="AB245" s="51">
        <v>125.2</v>
      </c>
      <c r="AC245" s="51">
        <v>124</v>
      </c>
      <c r="AD245" s="51">
        <v>124.6</v>
      </c>
      <c r="AE245" s="51">
        <v>129.80000000000001</v>
      </c>
      <c r="AF245" s="51">
        <v>127.3</v>
      </c>
      <c r="AG245" s="51">
        <v>130.1</v>
      </c>
      <c r="AH245" s="51">
        <v>121.2</v>
      </c>
      <c r="AI245" s="51">
        <v>130.1</v>
      </c>
      <c r="AJ245" s="51">
        <v>127.1</v>
      </c>
      <c r="AK245" s="51">
        <v>121.3</v>
      </c>
      <c r="AL245" s="51">
        <v>117.5</v>
      </c>
      <c r="AM245" s="51">
        <v>110.5</v>
      </c>
      <c r="AN245" s="51">
        <v>101.2</v>
      </c>
      <c r="AO245" s="51">
        <v>97.4</v>
      </c>
      <c r="AP245" s="51">
        <v>91.9</v>
      </c>
      <c r="AQ245" s="51">
        <v>89.8</v>
      </c>
      <c r="AR245" s="51">
        <v>92.7</v>
      </c>
      <c r="AS245" s="51">
        <v>91.3</v>
      </c>
      <c r="AT245" s="51">
        <v>90.7</v>
      </c>
      <c r="AU245" s="86">
        <f t="shared" ref="AU245:BF245" si="952">AU70</f>
        <v>96</v>
      </c>
      <c r="AV245" s="86">
        <f t="shared" si="952"/>
        <v>98</v>
      </c>
      <c r="AW245" s="86">
        <f t="shared" si="952"/>
        <v>100</v>
      </c>
      <c r="AX245" s="86">
        <f t="shared" si="952"/>
        <v>102</v>
      </c>
      <c r="AY245" s="86">
        <f t="shared" si="952"/>
        <v>105</v>
      </c>
      <c r="AZ245" s="86">
        <f t="shared" si="952"/>
        <v>108</v>
      </c>
      <c r="BA245" s="86">
        <f t="shared" si="952"/>
        <v>111</v>
      </c>
      <c r="BB245" s="86">
        <f t="shared" si="952"/>
        <v>113</v>
      </c>
      <c r="BC245" s="86">
        <f t="shared" si="952"/>
        <v>115</v>
      </c>
      <c r="BD245" s="86">
        <f t="shared" si="952"/>
        <v>115</v>
      </c>
      <c r="BE245" s="86">
        <f t="shared" si="952"/>
        <v>115</v>
      </c>
      <c r="BF245" s="86">
        <f t="shared" si="952"/>
        <v>115</v>
      </c>
      <c r="BJ245" s="116">
        <f t="shared" si="803"/>
        <v>236</v>
      </c>
    </row>
    <row r="246" spans="1:62" hidden="1" outlineLevel="2">
      <c r="B246" s="10" t="s">
        <v>51</v>
      </c>
      <c r="C246" s="93">
        <f>+C245/C244</f>
        <v>0.63404986567793775</v>
      </c>
      <c r="D246" s="93">
        <f t="shared" ref="D246:M246" si="953">+D245/D244</f>
        <v>0.69137908540837223</v>
      </c>
      <c r="E246" s="93">
        <f t="shared" si="953"/>
        <v>0.77703494063829415</v>
      </c>
      <c r="F246" s="93">
        <f t="shared" si="953"/>
        <v>0.81396631484392534</v>
      </c>
      <c r="G246" s="93">
        <f t="shared" si="953"/>
        <v>0.85006459889128139</v>
      </c>
      <c r="H246" s="93">
        <f t="shared" si="953"/>
        <v>0.71652070631087184</v>
      </c>
      <c r="I246" s="93">
        <f t="shared" si="953"/>
        <v>0.62151565213707805</v>
      </c>
      <c r="J246" s="93">
        <f t="shared" si="953"/>
        <v>0.56601208202161157</v>
      </c>
      <c r="K246" s="93">
        <f t="shared" si="953"/>
        <v>0.60747962013614598</v>
      </c>
      <c r="L246" s="93">
        <f t="shared" si="953"/>
        <v>0.67040927809059581</v>
      </c>
      <c r="M246" s="93">
        <f t="shared" si="953"/>
        <v>0.70552147239263807</v>
      </c>
      <c r="O246" s="93">
        <f>+O245/O244</f>
        <v>0.57337662337662332</v>
      </c>
      <c r="P246" s="93">
        <f t="shared" ref="P246:AR246" si="954">+P245/P244</f>
        <v>0.63376623376623376</v>
      </c>
      <c r="Q246" s="93">
        <f t="shared" si="954"/>
        <v>0.66883116883116878</v>
      </c>
      <c r="R246" s="93">
        <f t="shared" si="954"/>
        <v>0.65870967741935482</v>
      </c>
      <c r="S246" s="93">
        <f t="shared" si="954"/>
        <v>0.64258064516129032</v>
      </c>
      <c r="T246" s="93">
        <f t="shared" si="954"/>
        <v>0.66322580645161289</v>
      </c>
      <c r="U246" s="93">
        <f t="shared" si="954"/>
        <v>0.71148648648648649</v>
      </c>
      <c r="V246" s="93">
        <f t="shared" si="954"/>
        <v>0.74966887417218542</v>
      </c>
      <c r="W246" s="93">
        <f t="shared" si="954"/>
        <v>0.77947019867549672</v>
      </c>
      <c r="X246" s="93">
        <f t="shared" si="954"/>
        <v>0.7651898734177216</v>
      </c>
      <c r="Y246" s="93">
        <f t="shared" si="954"/>
        <v>0.76903225806451614</v>
      </c>
      <c r="Z246" s="93">
        <f t="shared" si="954"/>
        <v>0.79533333333333334</v>
      </c>
      <c r="AA246" s="93">
        <f t="shared" si="954"/>
        <v>0.82905405405405408</v>
      </c>
      <c r="AB246" s="93">
        <f t="shared" si="954"/>
        <v>0.83466666666666667</v>
      </c>
      <c r="AC246" s="93">
        <f t="shared" si="954"/>
        <v>0.80519480519480524</v>
      </c>
      <c r="AD246" s="93">
        <f t="shared" si="954"/>
        <v>0.78860759493670884</v>
      </c>
      <c r="AE246" s="93">
        <f t="shared" si="954"/>
        <v>0.87702702702702706</v>
      </c>
      <c r="AF246" s="93">
        <f t="shared" si="954"/>
        <v>0.87191780821917808</v>
      </c>
      <c r="AG246" s="93">
        <f t="shared" si="954"/>
        <v>0.86158940397350992</v>
      </c>
      <c r="AH246" s="93">
        <f t="shared" si="954"/>
        <v>0.79215686274509811</v>
      </c>
      <c r="AI246" s="93">
        <f t="shared" si="954"/>
        <v>0.74342857142857144</v>
      </c>
      <c r="AJ246" s="93">
        <f t="shared" si="954"/>
        <v>0.7262857142857142</v>
      </c>
      <c r="AK246" s="93">
        <f t="shared" si="954"/>
        <v>0.67388888888888887</v>
      </c>
      <c r="AL246" s="93">
        <f t="shared" si="954"/>
        <v>0.72530864197530864</v>
      </c>
      <c r="AM246" s="93">
        <f t="shared" si="954"/>
        <v>0.6820987654320988</v>
      </c>
      <c r="AN246" s="93">
        <f t="shared" si="954"/>
        <v>0.62857142857142856</v>
      </c>
      <c r="AO246" s="93">
        <f t="shared" si="954"/>
        <v>0.60496894409937896</v>
      </c>
      <c r="AP246" s="93">
        <f t="shared" si="954"/>
        <v>0.57080745341614914</v>
      </c>
      <c r="AQ246" s="93">
        <f t="shared" si="954"/>
        <v>0.55776397515527953</v>
      </c>
      <c r="AR246" s="93">
        <f t="shared" si="954"/>
        <v>0.57937499999999997</v>
      </c>
      <c r="AS246" s="93">
        <f t="shared" ref="AS246:AT246" si="955">+AS245/AS244</f>
        <v>0.57062499999999994</v>
      </c>
      <c r="AT246" s="93">
        <f t="shared" si="955"/>
        <v>0.55644171779141105</v>
      </c>
      <c r="AU246" s="93">
        <f t="shared" ref="AU246:BF246" si="956">+AU245/AU244</f>
        <v>0.58895705521472397</v>
      </c>
      <c r="AV246" s="93">
        <f t="shared" si="956"/>
        <v>0.60122699386503065</v>
      </c>
      <c r="AW246" s="93">
        <f t="shared" si="956"/>
        <v>0.61349693251533743</v>
      </c>
      <c r="AX246" s="93">
        <f t="shared" si="956"/>
        <v>0.62576687116564422</v>
      </c>
      <c r="AY246" s="93">
        <f t="shared" si="956"/>
        <v>0.64417177914110424</v>
      </c>
      <c r="AZ246" s="93">
        <f t="shared" si="956"/>
        <v>0.66257668711656437</v>
      </c>
      <c r="BA246" s="93">
        <f t="shared" si="956"/>
        <v>0.68098159509202449</v>
      </c>
      <c r="BB246" s="93">
        <f t="shared" si="956"/>
        <v>0.69325153374233128</v>
      </c>
      <c r="BC246" s="93">
        <f t="shared" si="956"/>
        <v>0.70552147239263807</v>
      </c>
      <c r="BD246" s="93">
        <f t="shared" si="956"/>
        <v>0.70552147239263807</v>
      </c>
      <c r="BE246" s="93">
        <f t="shared" si="956"/>
        <v>0.70552147239263807</v>
      </c>
      <c r="BF246" s="93">
        <f t="shared" si="956"/>
        <v>0.70552147239263807</v>
      </c>
      <c r="BJ246" s="116">
        <f t="shared" si="803"/>
        <v>237</v>
      </c>
    </row>
    <row r="247" spans="1:62" hidden="1" outlineLevel="2">
      <c r="B247" s="10" t="s">
        <v>52</v>
      </c>
      <c r="C247" s="102">
        <f t="shared" ref="C247:M247" si="957">SUMIFS($O247:$BG247,$O$5:$BG$5,C$5)</f>
        <v>35697.799999999996</v>
      </c>
      <c r="D247" s="102">
        <f t="shared" si="957"/>
        <v>38420.800000000003</v>
      </c>
      <c r="E247" s="102">
        <f t="shared" si="957"/>
        <v>43654.6</v>
      </c>
      <c r="F247" s="102">
        <f t="shared" si="957"/>
        <v>45307.399999999994</v>
      </c>
      <c r="G247" s="102">
        <f t="shared" si="957"/>
        <v>46385.9</v>
      </c>
      <c r="H247" s="102">
        <f t="shared" si="957"/>
        <v>45244.7</v>
      </c>
      <c r="I247" s="102">
        <f t="shared" si="957"/>
        <v>36680.300000000003</v>
      </c>
      <c r="J247" s="102">
        <f t="shared" si="957"/>
        <v>33261.700000000004</v>
      </c>
      <c r="K247" s="102">
        <f t="shared" si="957"/>
        <v>36142</v>
      </c>
      <c r="L247" s="102">
        <f t="shared" si="957"/>
        <v>39886</v>
      </c>
      <c r="M247" s="102">
        <f t="shared" si="957"/>
        <v>42090</v>
      </c>
      <c r="O247" s="102">
        <f>+O245*O$6</f>
        <v>7947</v>
      </c>
      <c r="P247" s="102">
        <f t="shared" ref="P247:AR247" si="958">+P245*P$6</f>
        <v>8881.6</v>
      </c>
      <c r="Q247" s="102">
        <f t="shared" si="958"/>
        <v>9476</v>
      </c>
      <c r="R247" s="102">
        <f t="shared" si="958"/>
        <v>9393.1999999999989</v>
      </c>
      <c r="S247" s="102">
        <f t="shared" si="958"/>
        <v>8964</v>
      </c>
      <c r="T247" s="102">
        <f t="shared" si="958"/>
        <v>9354.7999999999993</v>
      </c>
      <c r="U247" s="102">
        <f t="shared" si="958"/>
        <v>9687.6</v>
      </c>
      <c r="V247" s="102">
        <f t="shared" si="958"/>
        <v>10414.4</v>
      </c>
      <c r="W247" s="102">
        <f t="shared" si="958"/>
        <v>10710.7</v>
      </c>
      <c r="X247" s="102">
        <f t="shared" si="958"/>
        <v>11001.9</v>
      </c>
      <c r="Y247" s="102">
        <f t="shared" si="958"/>
        <v>10966.4</v>
      </c>
      <c r="Z247" s="102">
        <f t="shared" si="958"/>
        <v>10975.6</v>
      </c>
      <c r="AA247" s="102">
        <f t="shared" si="958"/>
        <v>11043</v>
      </c>
      <c r="AB247" s="102">
        <f t="shared" si="958"/>
        <v>11393.2</v>
      </c>
      <c r="AC247" s="102">
        <f t="shared" si="958"/>
        <v>11408</v>
      </c>
      <c r="AD247" s="102">
        <f t="shared" si="958"/>
        <v>11463.199999999999</v>
      </c>
      <c r="AE247" s="102">
        <f t="shared" si="958"/>
        <v>11682.000000000002</v>
      </c>
      <c r="AF247" s="102">
        <f t="shared" si="958"/>
        <v>11584.3</v>
      </c>
      <c r="AG247" s="102">
        <f t="shared" si="958"/>
        <v>11969.199999999999</v>
      </c>
      <c r="AH247" s="102">
        <f t="shared" si="958"/>
        <v>11150.4</v>
      </c>
      <c r="AI247" s="102">
        <f t="shared" si="958"/>
        <v>11709</v>
      </c>
      <c r="AJ247" s="102">
        <f t="shared" si="958"/>
        <v>11566.1</v>
      </c>
      <c r="AK247" s="102">
        <f t="shared" si="958"/>
        <v>11159.6</v>
      </c>
      <c r="AL247" s="102">
        <f t="shared" si="958"/>
        <v>10810</v>
      </c>
      <c r="AM247" s="102">
        <f t="shared" si="958"/>
        <v>10055.5</v>
      </c>
      <c r="AN247" s="102">
        <f t="shared" si="958"/>
        <v>9209.2000000000007</v>
      </c>
      <c r="AO247" s="102">
        <f t="shared" si="958"/>
        <v>8960.8000000000011</v>
      </c>
      <c r="AP247" s="102">
        <f t="shared" si="958"/>
        <v>8454.8000000000011</v>
      </c>
      <c r="AQ247" s="102">
        <f t="shared" si="958"/>
        <v>8082</v>
      </c>
      <c r="AR247" s="102">
        <f t="shared" si="958"/>
        <v>8435.7000000000007</v>
      </c>
      <c r="AS247" s="102">
        <f t="shared" ref="AS247:AT247" si="959">+AS245*AS$6</f>
        <v>8399.6</v>
      </c>
      <c r="AT247" s="102">
        <f t="shared" si="959"/>
        <v>8344.4</v>
      </c>
      <c r="AU247" s="102">
        <f t="shared" ref="AU247:BF247" si="960">+AU245*AU$6</f>
        <v>8640</v>
      </c>
      <c r="AV247" s="102">
        <f t="shared" si="960"/>
        <v>8918</v>
      </c>
      <c r="AW247" s="102">
        <f t="shared" si="960"/>
        <v>9200</v>
      </c>
      <c r="AX247" s="102">
        <f t="shared" si="960"/>
        <v>9384</v>
      </c>
      <c r="AY247" s="102">
        <f t="shared" si="960"/>
        <v>9450</v>
      </c>
      <c r="AZ247" s="102">
        <f t="shared" si="960"/>
        <v>9828</v>
      </c>
      <c r="BA247" s="102">
        <f t="shared" si="960"/>
        <v>10212</v>
      </c>
      <c r="BB247" s="102">
        <f t="shared" si="960"/>
        <v>10396</v>
      </c>
      <c r="BC247" s="102">
        <f t="shared" si="960"/>
        <v>10465</v>
      </c>
      <c r="BD247" s="102">
        <f t="shared" si="960"/>
        <v>10465</v>
      </c>
      <c r="BE247" s="102">
        <f t="shared" si="960"/>
        <v>10580</v>
      </c>
      <c r="BF247" s="102">
        <f t="shared" si="960"/>
        <v>10580</v>
      </c>
      <c r="BJ247" s="116">
        <f t="shared" si="803"/>
        <v>238</v>
      </c>
    </row>
    <row r="248" spans="1:62" hidden="1" outlineLevel="2">
      <c r="B248" s="10"/>
      <c r="BJ248" s="116">
        <f t="shared" si="803"/>
        <v>239</v>
      </c>
    </row>
    <row r="249" spans="1:62" hidden="1" outlineLevel="2">
      <c r="B249" s="10" t="s">
        <v>60</v>
      </c>
      <c r="C249" s="98">
        <f>C253*1000000/C$247</f>
        <v>30635.165192252749</v>
      </c>
      <c r="D249" s="98">
        <f t="shared" ref="D249:M249" si="961">D253*1000000/D$247</f>
        <v>28746.434223129138</v>
      </c>
      <c r="E249" s="98">
        <f t="shared" si="961"/>
        <v>28978.847589944704</v>
      </c>
      <c r="F249" s="98">
        <f t="shared" si="961"/>
        <v>32318.42921906797</v>
      </c>
      <c r="G249" s="98">
        <f t="shared" si="961"/>
        <v>34991.27967766067</v>
      </c>
      <c r="H249" s="98">
        <f t="shared" si="961"/>
        <v>41293.587978260432</v>
      </c>
      <c r="I249" s="98">
        <f t="shared" si="961"/>
        <v>40094.819289918567</v>
      </c>
      <c r="J249" s="98">
        <f t="shared" si="961"/>
        <v>44317.037313186032</v>
      </c>
      <c r="K249" s="98">
        <f t="shared" si="961"/>
        <v>43003.22339660229</v>
      </c>
      <c r="L249" s="98">
        <f t="shared" si="961"/>
        <v>43750</v>
      </c>
      <c r="M249" s="98">
        <f t="shared" si="961"/>
        <v>40500</v>
      </c>
      <c r="O249" s="98">
        <f t="shared" ref="O249:AD249" si="962">O253*1000000/O247</f>
        <v>30872.530514659618</v>
      </c>
      <c r="P249" s="98">
        <f t="shared" si="962"/>
        <v>30062.939110070256</v>
      </c>
      <c r="Q249" s="98">
        <f t="shared" si="962"/>
        <v>30449.029126213591</v>
      </c>
      <c r="R249" s="98">
        <f t="shared" si="962"/>
        <v>31163.18187625091</v>
      </c>
      <c r="S249" s="98">
        <f t="shared" si="962"/>
        <v>29281.236055332436</v>
      </c>
      <c r="T249" s="98">
        <f t="shared" si="962"/>
        <v>28352.396630606749</v>
      </c>
      <c r="U249" s="98">
        <f t="shared" si="962"/>
        <v>29076.964366819437</v>
      </c>
      <c r="V249" s="98">
        <f t="shared" si="962"/>
        <v>28332.597173144877</v>
      </c>
      <c r="W249" s="98">
        <f t="shared" si="962"/>
        <v>28612.97580923749</v>
      </c>
      <c r="X249" s="98">
        <f t="shared" si="962"/>
        <v>27688.126596315182</v>
      </c>
      <c r="Y249" s="98">
        <f t="shared" si="962"/>
        <v>30023.070469798658</v>
      </c>
      <c r="Z249" s="98">
        <f t="shared" si="962"/>
        <v>29586.355187871279</v>
      </c>
      <c r="AA249" s="98">
        <f t="shared" si="962"/>
        <v>29114.914425427873</v>
      </c>
      <c r="AB249" s="98">
        <f t="shared" si="962"/>
        <v>30844.802162693533</v>
      </c>
      <c r="AC249" s="98">
        <f t="shared" si="962"/>
        <v>33635.343618513325</v>
      </c>
      <c r="AD249" s="98">
        <f t="shared" si="962"/>
        <v>35558.570032800621</v>
      </c>
      <c r="AE249" s="98">
        <f t="shared" ref="AE249:AQ249" si="963">AE253*1000000/AE247</f>
        <v>32106.574216743702</v>
      </c>
      <c r="AF249" s="98">
        <f t="shared" si="963"/>
        <v>33774.246178016801</v>
      </c>
      <c r="AG249" s="98">
        <f t="shared" si="963"/>
        <v>35482.571934632229</v>
      </c>
      <c r="AH249" s="98">
        <f t="shared" si="963"/>
        <v>38750.538097287994</v>
      </c>
      <c r="AI249" s="98">
        <f t="shared" si="963"/>
        <v>38039.115210521821</v>
      </c>
      <c r="AJ249" s="98">
        <f t="shared" si="963"/>
        <v>39618.281010885257</v>
      </c>
      <c r="AK249" s="98">
        <f t="shared" si="963"/>
        <v>46254.346033908019</v>
      </c>
      <c r="AL249" s="98">
        <f t="shared" si="963"/>
        <v>41490.009250693802</v>
      </c>
      <c r="AM249" s="98">
        <f t="shared" si="963"/>
        <v>39884.143006314953</v>
      </c>
      <c r="AN249" s="98">
        <f t="shared" si="963"/>
        <v>41482.86496112583</v>
      </c>
      <c r="AO249" s="98">
        <f t="shared" si="963"/>
        <v>39209.891973930899</v>
      </c>
      <c r="AP249" s="98">
        <f t="shared" si="963"/>
        <v>39771.372474807205</v>
      </c>
      <c r="AQ249" s="98">
        <f t="shared" si="963"/>
        <v>41848.923533778769</v>
      </c>
      <c r="AR249" s="98">
        <f t="shared" ref="AR249" si="964">AR253*1000000/AR247</f>
        <v>45086.714795452659</v>
      </c>
      <c r="AS249" s="98">
        <f t="shared" ref="AS249:AT249" si="965">AS253*1000000/AS247</f>
        <v>44538.549454735941</v>
      </c>
      <c r="AT249" s="98">
        <f t="shared" si="965"/>
        <v>45706.46181870476</v>
      </c>
      <c r="AU249" s="173">
        <f t="shared" ref="AU249:BF249" si="966">AU71</f>
        <v>43000</v>
      </c>
      <c r="AV249" s="173">
        <f t="shared" si="966"/>
        <v>42750</v>
      </c>
      <c r="AW249" s="173">
        <f t="shared" si="966"/>
        <v>43000</v>
      </c>
      <c r="AX249" s="173">
        <f t="shared" si="966"/>
        <v>43250</v>
      </c>
      <c r="AY249" s="173">
        <f t="shared" si="966"/>
        <v>43750</v>
      </c>
      <c r="AZ249" s="173">
        <f t="shared" si="966"/>
        <v>43750</v>
      </c>
      <c r="BA249" s="173">
        <f t="shared" si="966"/>
        <v>43750</v>
      </c>
      <c r="BB249" s="173">
        <f t="shared" si="966"/>
        <v>43750</v>
      </c>
      <c r="BC249" s="173">
        <f t="shared" si="966"/>
        <v>40500</v>
      </c>
      <c r="BD249" s="173">
        <f t="shared" si="966"/>
        <v>40500</v>
      </c>
      <c r="BE249" s="173">
        <f t="shared" si="966"/>
        <v>40500</v>
      </c>
      <c r="BF249" s="173">
        <f t="shared" si="966"/>
        <v>40500</v>
      </c>
      <c r="BJ249" s="116">
        <f t="shared" si="803"/>
        <v>240</v>
      </c>
    </row>
    <row r="250" spans="1:62" hidden="1" outlineLevel="2">
      <c r="B250" s="10" t="s">
        <v>61</v>
      </c>
      <c r="C250" s="98">
        <f>-C254*1000000/C$247</f>
        <v>14751.161309660542</v>
      </c>
      <c r="D250" s="98">
        <f t="shared" ref="D250:M250" si="967">-D254*1000000/D$247</f>
        <v>16408.704524632489</v>
      </c>
      <c r="E250" s="98">
        <f t="shared" si="967"/>
        <v>17404.792984015432</v>
      </c>
      <c r="F250" s="98">
        <f t="shared" si="967"/>
        <v>18757.131435482948</v>
      </c>
      <c r="G250" s="98">
        <f t="shared" si="967"/>
        <v>19709.260046695221</v>
      </c>
      <c r="H250" s="98">
        <f t="shared" si="967"/>
        <v>23508.090138734478</v>
      </c>
      <c r="I250" s="98">
        <f t="shared" si="967"/>
        <v>23572.294231508466</v>
      </c>
      <c r="J250" s="98">
        <f t="shared" si="967"/>
        <v>27132.892077073622</v>
      </c>
      <c r="K250" s="98">
        <f t="shared" si="967"/>
        <v>26500</v>
      </c>
      <c r="L250" s="98">
        <f t="shared" si="967"/>
        <v>26499.999999999993</v>
      </c>
      <c r="M250" s="98">
        <f t="shared" si="967"/>
        <v>23000</v>
      </c>
      <c r="O250" s="98">
        <f>-O254*1000000/O247</f>
        <v>14849.530514659618</v>
      </c>
      <c r="P250" s="98">
        <f t="shared" ref="P250:AQ250" si="968">-P254*1000000/P247</f>
        <v>14208.939110070256</v>
      </c>
      <c r="Q250" s="98">
        <f t="shared" si="968"/>
        <v>15157.029126213596</v>
      </c>
      <c r="R250" s="98">
        <f t="shared" si="968"/>
        <v>14771.181876250908</v>
      </c>
      <c r="S250" s="98">
        <f t="shared" si="968"/>
        <v>15923.236055332442</v>
      </c>
      <c r="T250" s="98">
        <f t="shared" si="968"/>
        <v>15217.396630606749</v>
      </c>
      <c r="U250" s="98">
        <f t="shared" si="968"/>
        <v>17084.964366819437</v>
      </c>
      <c r="V250" s="98">
        <f t="shared" si="968"/>
        <v>17267.597173144877</v>
      </c>
      <c r="W250" s="98">
        <f t="shared" si="968"/>
        <v>17589.975809237487</v>
      </c>
      <c r="X250" s="98">
        <f t="shared" si="968"/>
        <v>16729.126596315182</v>
      </c>
      <c r="Y250" s="98">
        <f t="shared" si="968"/>
        <v>17724.070469798658</v>
      </c>
      <c r="Z250" s="98">
        <f t="shared" si="968"/>
        <v>17582.355187871279</v>
      </c>
      <c r="AA250" s="98">
        <f t="shared" si="968"/>
        <v>17662.914425427873</v>
      </c>
      <c r="AB250" s="98">
        <f t="shared" si="968"/>
        <v>18412.802162693533</v>
      </c>
      <c r="AC250" s="98">
        <f t="shared" si="968"/>
        <v>19238.343618513325</v>
      </c>
      <c r="AD250" s="98">
        <f t="shared" si="968"/>
        <v>19674.570032800617</v>
      </c>
      <c r="AE250" s="98">
        <f t="shared" si="968"/>
        <v>18295.574216743706</v>
      </c>
      <c r="AF250" s="98">
        <f t="shared" si="968"/>
        <v>19650.246178016798</v>
      </c>
      <c r="AG250" s="98">
        <f t="shared" si="968"/>
        <v>19992.571934632226</v>
      </c>
      <c r="AH250" s="98">
        <f t="shared" si="968"/>
        <v>20947.53809728799</v>
      </c>
      <c r="AI250" s="98">
        <f t="shared" si="968"/>
        <v>19174.115210521817</v>
      </c>
      <c r="AJ250" s="98">
        <f t="shared" si="968"/>
        <v>22355.281010885254</v>
      </c>
      <c r="AK250" s="98">
        <f t="shared" si="968"/>
        <v>27641.346033908019</v>
      </c>
      <c r="AL250" s="98">
        <f t="shared" si="968"/>
        <v>25169.009250693802</v>
      </c>
      <c r="AM250" s="98">
        <f t="shared" si="968"/>
        <v>23395.143006314953</v>
      </c>
      <c r="AN250" s="98">
        <f t="shared" si="968"/>
        <v>25374.019198193109</v>
      </c>
      <c r="AO250" s="98">
        <f t="shared" si="968"/>
        <v>22184.377555575393</v>
      </c>
      <c r="AP250" s="98">
        <f t="shared" si="968"/>
        <v>23291.476510384629</v>
      </c>
      <c r="AQ250" s="98">
        <f t="shared" si="968"/>
        <v>26414.923533778769</v>
      </c>
      <c r="AR250" s="98">
        <f t="shared" ref="AR250:AT250" si="969">-AR254*1000000/AR247</f>
        <v>27298.714795452655</v>
      </c>
      <c r="AS250" s="98">
        <f t="shared" si="969"/>
        <v>26305.549454735934</v>
      </c>
      <c r="AT250" s="98">
        <f t="shared" si="969"/>
        <v>28493.46181870476</v>
      </c>
      <c r="AU250" s="173">
        <f t="shared" ref="AU250:BF250" si="970">AU72</f>
        <v>26500</v>
      </c>
      <c r="AV250" s="173">
        <f t="shared" si="970"/>
        <v>26500</v>
      </c>
      <c r="AW250" s="173">
        <f t="shared" si="970"/>
        <v>26500</v>
      </c>
      <c r="AX250" s="173">
        <f t="shared" si="970"/>
        <v>26500</v>
      </c>
      <c r="AY250" s="173">
        <f t="shared" si="970"/>
        <v>26500</v>
      </c>
      <c r="AZ250" s="173">
        <f t="shared" si="970"/>
        <v>26500</v>
      </c>
      <c r="BA250" s="173">
        <f t="shared" si="970"/>
        <v>26500</v>
      </c>
      <c r="BB250" s="173">
        <f t="shared" si="970"/>
        <v>26500</v>
      </c>
      <c r="BC250" s="173">
        <f t="shared" si="970"/>
        <v>23000</v>
      </c>
      <c r="BD250" s="173">
        <f t="shared" si="970"/>
        <v>23000</v>
      </c>
      <c r="BE250" s="173">
        <f t="shared" si="970"/>
        <v>23000</v>
      </c>
      <c r="BF250" s="173">
        <f t="shared" si="970"/>
        <v>23000</v>
      </c>
      <c r="BJ250" s="116">
        <f t="shared" si="803"/>
        <v>241</v>
      </c>
    </row>
    <row r="251" spans="1:62" hidden="1" outlineLevel="2">
      <c r="B251" s="189" t="s">
        <v>62</v>
      </c>
      <c r="C251" s="246">
        <f>C255*1000000/C$247</f>
        <v>15884.003882592206</v>
      </c>
      <c r="D251" s="246">
        <f t="shared" ref="D251:M251" si="971">D255*1000000/D$247</f>
        <v>12337.729698496647</v>
      </c>
      <c r="E251" s="246">
        <f t="shared" si="971"/>
        <v>11574.054605929274</v>
      </c>
      <c r="F251" s="246">
        <f t="shared" si="971"/>
        <v>13561.297783585023</v>
      </c>
      <c r="G251" s="246">
        <f t="shared" si="971"/>
        <v>15282.019630965444</v>
      </c>
      <c r="H251" s="246">
        <f t="shared" si="971"/>
        <v>17785.49783952596</v>
      </c>
      <c r="I251" s="246">
        <f t="shared" si="971"/>
        <v>16522.525058410101</v>
      </c>
      <c r="J251" s="246">
        <f t="shared" si="971"/>
        <v>17184.145236112403</v>
      </c>
      <c r="K251" s="246">
        <f t="shared" si="971"/>
        <v>16503.223396602287</v>
      </c>
      <c r="L251" s="246">
        <f t="shared" si="971"/>
        <v>17250</v>
      </c>
      <c r="M251" s="246">
        <f t="shared" si="971"/>
        <v>17499.999999999996</v>
      </c>
      <c r="O251" s="167">
        <v>16023</v>
      </c>
      <c r="P251" s="167">
        <v>15854</v>
      </c>
      <c r="Q251" s="167">
        <v>15292</v>
      </c>
      <c r="R251" s="167">
        <v>16392</v>
      </c>
      <c r="S251" s="167">
        <v>13358</v>
      </c>
      <c r="T251" s="167">
        <v>13135</v>
      </c>
      <c r="U251" s="167">
        <v>11992</v>
      </c>
      <c r="V251" s="167">
        <v>11065</v>
      </c>
      <c r="W251" s="167">
        <v>11023</v>
      </c>
      <c r="X251" s="167">
        <v>10959</v>
      </c>
      <c r="Y251" s="167">
        <v>12299</v>
      </c>
      <c r="Z251" s="167">
        <v>12004</v>
      </c>
      <c r="AA251" s="167">
        <v>11452</v>
      </c>
      <c r="AB251" s="167">
        <v>12432</v>
      </c>
      <c r="AC251" s="167">
        <v>14397</v>
      </c>
      <c r="AD251" s="167">
        <v>15884</v>
      </c>
      <c r="AE251" s="167">
        <v>13811</v>
      </c>
      <c r="AF251" s="167">
        <v>14124</v>
      </c>
      <c r="AG251" s="167">
        <v>15490</v>
      </c>
      <c r="AH251" s="167">
        <v>17803</v>
      </c>
      <c r="AI251" s="167">
        <v>18865</v>
      </c>
      <c r="AJ251" s="167">
        <v>17263</v>
      </c>
      <c r="AK251" s="167">
        <v>18613</v>
      </c>
      <c r="AL251" s="167">
        <v>16321</v>
      </c>
      <c r="AM251" s="167">
        <v>16489</v>
      </c>
      <c r="AN251" s="171">
        <f>18172-19*1000000/AN247</f>
        <v>16108.84576293272</v>
      </c>
      <c r="AO251" s="171">
        <f>18387-(8.4+3.8)*1000000/AO247</f>
        <v>17025.514418355506</v>
      </c>
      <c r="AP251" s="171">
        <f>16953-4000000/AP247</f>
        <v>16479.895964422576</v>
      </c>
      <c r="AQ251" s="171">
        <v>15434</v>
      </c>
      <c r="AR251" s="171">
        <v>17788</v>
      </c>
      <c r="AS251" s="171">
        <v>18233</v>
      </c>
      <c r="AT251" s="171">
        <v>17213</v>
      </c>
      <c r="AU251" s="174">
        <f t="shared" ref="AU251:BF251" si="972">+AU249-AU250</f>
        <v>16500</v>
      </c>
      <c r="AV251" s="174">
        <f t="shared" si="972"/>
        <v>16250</v>
      </c>
      <c r="AW251" s="174">
        <f t="shared" si="972"/>
        <v>16500</v>
      </c>
      <c r="AX251" s="174">
        <f t="shared" si="972"/>
        <v>16750</v>
      </c>
      <c r="AY251" s="174">
        <f t="shared" si="972"/>
        <v>17250</v>
      </c>
      <c r="AZ251" s="174">
        <f t="shared" si="972"/>
        <v>17250</v>
      </c>
      <c r="BA251" s="174">
        <f t="shared" si="972"/>
        <v>17250</v>
      </c>
      <c r="BB251" s="174">
        <f t="shared" si="972"/>
        <v>17250</v>
      </c>
      <c r="BC251" s="174">
        <f t="shared" si="972"/>
        <v>17500</v>
      </c>
      <c r="BD251" s="174">
        <f t="shared" si="972"/>
        <v>17500</v>
      </c>
      <c r="BE251" s="174">
        <f t="shared" si="972"/>
        <v>17500</v>
      </c>
      <c r="BF251" s="174">
        <f t="shared" si="972"/>
        <v>17500</v>
      </c>
      <c r="BJ251" s="116">
        <f t="shared" si="803"/>
        <v>242</v>
      </c>
    </row>
    <row r="252" spans="1:62" hidden="1" outlineLevel="2">
      <c r="B252" s="10"/>
      <c r="BJ252" s="116">
        <f t="shared" si="803"/>
        <v>243</v>
      </c>
    </row>
    <row r="253" spans="1:62" hidden="1" outlineLevel="2">
      <c r="B253" s="10" t="s">
        <v>53</v>
      </c>
      <c r="C253" s="50">
        <f t="shared" ref="C253:M259" si="973">SUMIFS($O253:$BG253,$O$5:$BG$5,C$5)</f>
        <v>1093.6079999999999</v>
      </c>
      <c r="D253" s="50">
        <f t="shared" si="973"/>
        <v>1104.461</v>
      </c>
      <c r="E253" s="50">
        <f t="shared" si="973"/>
        <v>1265.06</v>
      </c>
      <c r="F253" s="50">
        <f t="shared" si="973"/>
        <v>1464.2639999999999</v>
      </c>
      <c r="G253" s="50">
        <f t="shared" si="973"/>
        <v>1623.1020000000001</v>
      </c>
      <c r="H253" s="50">
        <f t="shared" si="973"/>
        <v>1868.3159999999998</v>
      </c>
      <c r="I253" s="50">
        <f t="shared" si="973"/>
        <v>1470.69</v>
      </c>
      <c r="J253" s="50">
        <f t="shared" si="973"/>
        <v>1474.06</v>
      </c>
      <c r="K253" s="50">
        <f t="shared" si="973"/>
        <v>1554.2225000000001</v>
      </c>
      <c r="L253" s="50">
        <f t="shared" si="973"/>
        <v>1745.0125</v>
      </c>
      <c r="M253" s="50">
        <f t="shared" si="973"/>
        <v>1704.645</v>
      </c>
      <c r="O253" s="111">
        <f t="shared" ref="O253:BF253" si="974">O14</f>
        <v>245.34399999999999</v>
      </c>
      <c r="P253" s="111">
        <f t="shared" si="974"/>
        <v>267.00700000000001</v>
      </c>
      <c r="Q253" s="111">
        <f t="shared" si="974"/>
        <v>288.53500000000003</v>
      </c>
      <c r="R253" s="111">
        <f t="shared" si="974"/>
        <v>292.72199999999998</v>
      </c>
      <c r="S253" s="111">
        <f t="shared" si="974"/>
        <v>262.47699999999998</v>
      </c>
      <c r="T253" s="111">
        <f t="shared" si="974"/>
        <v>265.23099999999999</v>
      </c>
      <c r="U253" s="111">
        <f t="shared" si="974"/>
        <v>281.68599999999998</v>
      </c>
      <c r="V253" s="111">
        <f t="shared" si="974"/>
        <v>295.06700000000001</v>
      </c>
      <c r="W253" s="111">
        <f t="shared" si="974"/>
        <v>306.46499999999997</v>
      </c>
      <c r="X253" s="111">
        <f t="shared" si="974"/>
        <v>304.62200000000001</v>
      </c>
      <c r="Y253" s="111">
        <f t="shared" si="974"/>
        <v>329.245</v>
      </c>
      <c r="Z253" s="111">
        <f t="shared" si="974"/>
        <v>324.72800000000001</v>
      </c>
      <c r="AA253" s="111">
        <f t="shared" si="974"/>
        <v>321.51600000000002</v>
      </c>
      <c r="AB253" s="111">
        <f t="shared" si="974"/>
        <v>351.42099999999999</v>
      </c>
      <c r="AC253" s="111">
        <f t="shared" si="974"/>
        <v>383.71199999999999</v>
      </c>
      <c r="AD253" s="111">
        <f t="shared" si="974"/>
        <v>407.61500000000001</v>
      </c>
      <c r="AE253" s="111">
        <f t="shared" si="974"/>
        <v>375.06900000000002</v>
      </c>
      <c r="AF253" s="111">
        <f t="shared" si="974"/>
        <v>391.25099999999998</v>
      </c>
      <c r="AG253" s="111">
        <f t="shared" si="974"/>
        <v>424.69799999999998</v>
      </c>
      <c r="AH253" s="111">
        <f t="shared" si="974"/>
        <v>432.084</v>
      </c>
      <c r="AI253" s="111">
        <f t="shared" si="974"/>
        <v>445.4</v>
      </c>
      <c r="AJ253" s="111">
        <f t="shared" si="974"/>
        <v>458.22899999999998</v>
      </c>
      <c r="AK253" s="111">
        <f t="shared" si="974"/>
        <v>516.17999999999995</v>
      </c>
      <c r="AL253" s="111">
        <f t="shared" si="974"/>
        <v>448.50700000000001</v>
      </c>
      <c r="AM253" s="111">
        <f t="shared" si="974"/>
        <v>401.05500000000001</v>
      </c>
      <c r="AN253" s="111">
        <f t="shared" si="974"/>
        <v>382.024</v>
      </c>
      <c r="AO253" s="111">
        <f t="shared" si="974"/>
        <v>351.35200000000003</v>
      </c>
      <c r="AP253" s="111">
        <f t="shared" si="974"/>
        <v>336.25900000000001</v>
      </c>
      <c r="AQ253" s="111">
        <f t="shared" si="974"/>
        <v>338.22300000000001</v>
      </c>
      <c r="AR253" s="111">
        <f t="shared" si="974"/>
        <v>380.33800000000002</v>
      </c>
      <c r="AS253" s="111">
        <f t="shared" si="974"/>
        <v>374.10599999999999</v>
      </c>
      <c r="AT253" s="111">
        <f t="shared" si="974"/>
        <v>381.39299999999997</v>
      </c>
      <c r="AU253" s="111">
        <f t="shared" si="974"/>
        <v>371.52</v>
      </c>
      <c r="AV253" s="111">
        <f t="shared" si="974"/>
        <v>381.24450000000002</v>
      </c>
      <c r="AW253" s="111">
        <f t="shared" si="974"/>
        <v>395.6</v>
      </c>
      <c r="AX253" s="111">
        <f t="shared" si="974"/>
        <v>405.858</v>
      </c>
      <c r="AY253" s="111">
        <f t="shared" si="974"/>
        <v>413.4375</v>
      </c>
      <c r="AZ253" s="111">
        <f t="shared" si="974"/>
        <v>429.97500000000002</v>
      </c>
      <c r="BA253" s="111">
        <f t="shared" si="974"/>
        <v>446.77499999999998</v>
      </c>
      <c r="BB253" s="111">
        <f t="shared" si="974"/>
        <v>454.82499999999999</v>
      </c>
      <c r="BC253" s="111">
        <f t="shared" si="974"/>
        <v>423.83249999999998</v>
      </c>
      <c r="BD253" s="111">
        <f t="shared" si="974"/>
        <v>423.83249999999998</v>
      </c>
      <c r="BE253" s="111">
        <f t="shared" si="974"/>
        <v>428.49</v>
      </c>
      <c r="BF253" s="111">
        <f t="shared" si="974"/>
        <v>428.49</v>
      </c>
      <c r="BJ253" s="116">
        <f t="shared" si="803"/>
        <v>244</v>
      </c>
    </row>
    <row r="254" spans="1:62" hidden="1" outlineLevel="2">
      <c r="B254" s="25" t="s">
        <v>54</v>
      </c>
      <c r="C254" s="50">
        <f t="shared" si="973"/>
        <v>-526.58400619999998</v>
      </c>
      <c r="D254" s="50">
        <f t="shared" si="973"/>
        <v>-630.43555479999998</v>
      </c>
      <c r="E254" s="50">
        <f t="shared" si="973"/>
        <v>-759.79927580000003</v>
      </c>
      <c r="F254" s="50">
        <f t="shared" si="973"/>
        <v>-849.83685680000008</v>
      </c>
      <c r="G254" s="50">
        <f t="shared" si="973"/>
        <v>-914.2317655999999</v>
      </c>
      <c r="H254" s="50">
        <f t="shared" si="973"/>
        <v>-1063.6164858999998</v>
      </c>
      <c r="I254" s="50">
        <f t="shared" si="973"/>
        <v>-864.63882409999997</v>
      </c>
      <c r="J254" s="50">
        <f t="shared" si="973"/>
        <v>-902.4861163999999</v>
      </c>
      <c r="K254" s="50">
        <f t="shared" si="973"/>
        <v>-957.76300000000003</v>
      </c>
      <c r="L254" s="50">
        <f t="shared" si="973"/>
        <v>-1056.9789999999998</v>
      </c>
      <c r="M254" s="50">
        <f t="shared" si="973"/>
        <v>-968.07</v>
      </c>
      <c r="O254" s="110">
        <f>+O255-O253</f>
        <v>-118.00921899999999</v>
      </c>
      <c r="P254" s="110">
        <f t="shared" ref="P254:BF254" si="975">+P255-P253</f>
        <v>-126.1981136</v>
      </c>
      <c r="Q254" s="110">
        <f t="shared" si="975"/>
        <v>-143.62800800000002</v>
      </c>
      <c r="R254" s="110">
        <f t="shared" si="975"/>
        <v>-138.74866560000001</v>
      </c>
      <c r="S254" s="110">
        <f t="shared" si="975"/>
        <v>-142.73588799999999</v>
      </c>
      <c r="T254" s="110">
        <f t="shared" si="975"/>
        <v>-142.35570200000001</v>
      </c>
      <c r="U254" s="110">
        <f t="shared" si="975"/>
        <v>-165.51230079999999</v>
      </c>
      <c r="V254" s="110">
        <f t="shared" si="975"/>
        <v>-179.83166399999999</v>
      </c>
      <c r="W254" s="110">
        <f t="shared" si="975"/>
        <v>-188.40095389999996</v>
      </c>
      <c r="X254" s="110">
        <f t="shared" si="975"/>
        <v>-184.0521779</v>
      </c>
      <c r="Y254" s="110">
        <f t="shared" si="975"/>
        <v>-194.36924640000001</v>
      </c>
      <c r="Z254" s="110">
        <f t="shared" si="975"/>
        <v>-192.9768976</v>
      </c>
      <c r="AA254" s="110">
        <f t="shared" si="975"/>
        <v>-195.05156400000001</v>
      </c>
      <c r="AB254" s="110">
        <f t="shared" si="975"/>
        <v>-209.78073759999998</v>
      </c>
      <c r="AC254" s="110">
        <f t="shared" si="975"/>
        <v>-219.471024</v>
      </c>
      <c r="AD254" s="110">
        <f t="shared" si="975"/>
        <v>-225.53353120000003</v>
      </c>
      <c r="AE254" s="110">
        <f t="shared" si="975"/>
        <v>-213.72889799999999</v>
      </c>
      <c r="AF254" s="110">
        <f t="shared" si="975"/>
        <v>-227.63434679999997</v>
      </c>
      <c r="AG254" s="110">
        <f t="shared" si="975"/>
        <v>-239.29509200000001</v>
      </c>
      <c r="AH254" s="110">
        <f t="shared" si="975"/>
        <v>-233.57342880000002</v>
      </c>
      <c r="AI254" s="110">
        <f t="shared" si="975"/>
        <v>-224.50971499999997</v>
      </c>
      <c r="AJ254" s="110">
        <f t="shared" si="975"/>
        <v>-258.56341569999995</v>
      </c>
      <c r="AK254" s="110">
        <f t="shared" si="975"/>
        <v>-308.46636519999993</v>
      </c>
      <c r="AL254" s="110">
        <f t="shared" si="975"/>
        <v>-272.07699000000002</v>
      </c>
      <c r="AM254" s="110">
        <f t="shared" si="975"/>
        <v>-235.24986050000001</v>
      </c>
      <c r="AN254" s="110">
        <f t="shared" si="975"/>
        <v>-233.6744176</v>
      </c>
      <c r="AO254" s="110">
        <f t="shared" si="975"/>
        <v>-198.78977040000001</v>
      </c>
      <c r="AP254" s="110">
        <f t="shared" si="975"/>
        <v>-196.9247756</v>
      </c>
      <c r="AQ254" s="110">
        <f t="shared" si="975"/>
        <v>-213.485412</v>
      </c>
      <c r="AR254" s="110">
        <f t="shared" ref="AR254:AS254" si="976">+AR255-AR253</f>
        <v>-230.28376839999999</v>
      </c>
      <c r="AS254" s="110">
        <f t="shared" si="976"/>
        <v>-220.95609319999997</v>
      </c>
      <c r="AT254" s="110">
        <f t="shared" ref="AT254" si="977">+AT255-AT253</f>
        <v>-237.76084279999998</v>
      </c>
      <c r="AU254" s="110">
        <f t="shared" si="975"/>
        <v>-228.95999999999998</v>
      </c>
      <c r="AV254" s="110">
        <f t="shared" si="975"/>
        <v>-236.32700000000003</v>
      </c>
      <c r="AW254" s="110">
        <f t="shared" si="975"/>
        <v>-243.8</v>
      </c>
      <c r="AX254" s="110">
        <f t="shared" si="975"/>
        <v>-248.67600000000002</v>
      </c>
      <c r="AY254" s="110">
        <f t="shared" si="975"/>
        <v>-250.42500000000001</v>
      </c>
      <c r="AZ254" s="110">
        <f t="shared" si="975"/>
        <v>-260.44200000000001</v>
      </c>
      <c r="BA254" s="110">
        <f t="shared" si="975"/>
        <v>-270.61799999999994</v>
      </c>
      <c r="BB254" s="110">
        <f t="shared" si="975"/>
        <v>-275.49400000000003</v>
      </c>
      <c r="BC254" s="110">
        <f t="shared" si="975"/>
        <v>-240.69499999999999</v>
      </c>
      <c r="BD254" s="110">
        <f t="shared" si="975"/>
        <v>-240.69499999999999</v>
      </c>
      <c r="BE254" s="110">
        <f t="shared" si="975"/>
        <v>-243.34</v>
      </c>
      <c r="BF254" s="110">
        <f t="shared" si="975"/>
        <v>-243.34</v>
      </c>
      <c r="BJ254" s="116">
        <f t="shared" si="803"/>
        <v>245</v>
      </c>
    </row>
    <row r="255" spans="1:62" hidden="1" outlineLevel="2">
      <c r="B255" s="189" t="s">
        <v>55</v>
      </c>
      <c r="C255" s="52">
        <f t="shared" si="973"/>
        <v>567.02399379999997</v>
      </c>
      <c r="D255" s="52">
        <f t="shared" si="973"/>
        <v>474.02544519999998</v>
      </c>
      <c r="E255" s="52">
        <f t="shared" si="973"/>
        <v>505.26072420000003</v>
      </c>
      <c r="F255" s="52">
        <f t="shared" si="973"/>
        <v>614.42714320000005</v>
      </c>
      <c r="G255" s="52">
        <f t="shared" si="973"/>
        <v>708.87023439999996</v>
      </c>
      <c r="H255" s="52">
        <f t="shared" si="973"/>
        <v>804.6995141000001</v>
      </c>
      <c r="I255" s="52">
        <f t="shared" si="973"/>
        <v>606.05117590000009</v>
      </c>
      <c r="J255" s="52">
        <f t="shared" si="973"/>
        <v>571.57388360000004</v>
      </c>
      <c r="K255" s="52">
        <f t="shared" si="973"/>
        <v>596.45949999999993</v>
      </c>
      <c r="L255" s="52">
        <f t="shared" si="973"/>
        <v>688.0335</v>
      </c>
      <c r="M255" s="52">
        <f t="shared" si="973"/>
        <v>736.57499999999993</v>
      </c>
      <c r="O255" s="159">
        <f>O251*O$247/1000000</f>
        <v>127.33478100000001</v>
      </c>
      <c r="P255" s="159">
        <f t="shared" ref="P255:AQ255" si="978">P251*P$247/1000000</f>
        <v>140.80888640000001</v>
      </c>
      <c r="Q255" s="159">
        <f t="shared" si="978"/>
        <v>144.906992</v>
      </c>
      <c r="R255" s="159">
        <f t="shared" si="978"/>
        <v>153.97333439999997</v>
      </c>
      <c r="S255" s="159">
        <f t="shared" si="978"/>
        <v>119.741112</v>
      </c>
      <c r="T255" s="159">
        <f t="shared" si="978"/>
        <v>122.87529799999999</v>
      </c>
      <c r="U255" s="159">
        <f t="shared" si="978"/>
        <v>116.1736992</v>
      </c>
      <c r="V255" s="159">
        <f t="shared" si="978"/>
        <v>115.235336</v>
      </c>
      <c r="W255" s="159">
        <f t="shared" si="978"/>
        <v>118.06404610000001</v>
      </c>
      <c r="X255" s="159">
        <f t="shared" si="978"/>
        <v>120.5698221</v>
      </c>
      <c r="Y255" s="159">
        <f t="shared" si="978"/>
        <v>134.8757536</v>
      </c>
      <c r="Z255" s="159">
        <f t="shared" si="978"/>
        <v>131.75110240000001</v>
      </c>
      <c r="AA255" s="159">
        <f t="shared" si="978"/>
        <v>126.46443600000001</v>
      </c>
      <c r="AB255" s="159">
        <f t="shared" si="978"/>
        <v>141.64026240000001</v>
      </c>
      <c r="AC255" s="159">
        <f t="shared" si="978"/>
        <v>164.24097599999999</v>
      </c>
      <c r="AD255" s="159">
        <f t="shared" si="978"/>
        <v>182.08146879999998</v>
      </c>
      <c r="AE255" s="159">
        <f t="shared" si="978"/>
        <v>161.34010200000003</v>
      </c>
      <c r="AF255" s="159">
        <f t="shared" si="978"/>
        <v>163.6166532</v>
      </c>
      <c r="AG255" s="159">
        <f t="shared" si="978"/>
        <v>185.40290799999997</v>
      </c>
      <c r="AH255" s="159">
        <f t="shared" si="978"/>
        <v>198.51057119999999</v>
      </c>
      <c r="AI255" s="159">
        <f t="shared" si="978"/>
        <v>220.89028500000001</v>
      </c>
      <c r="AJ255" s="159">
        <f t="shared" si="978"/>
        <v>199.66558430000001</v>
      </c>
      <c r="AK255" s="159">
        <f t="shared" si="978"/>
        <v>207.71363480000002</v>
      </c>
      <c r="AL255" s="159">
        <f t="shared" si="978"/>
        <v>176.43001000000001</v>
      </c>
      <c r="AM255" s="159">
        <f t="shared" si="978"/>
        <v>165.8051395</v>
      </c>
      <c r="AN255" s="159">
        <f t="shared" si="978"/>
        <v>148.3495824</v>
      </c>
      <c r="AO255" s="159">
        <f t="shared" si="978"/>
        <v>152.56222960000002</v>
      </c>
      <c r="AP255" s="159">
        <f t="shared" si="978"/>
        <v>139.33422440000001</v>
      </c>
      <c r="AQ255" s="159">
        <f t="shared" si="978"/>
        <v>124.737588</v>
      </c>
      <c r="AR255" s="159">
        <f t="shared" ref="AR255:AS255" si="979">AR251*AR$247/1000000</f>
        <v>150.05423160000004</v>
      </c>
      <c r="AS255" s="159">
        <f t="shared" si="979"/>
        <v>153.14990680000002</v>
      </c>
      <c r="AT255" s="159">
        <f t="shared" ref="AT255" si="980">AT251*AT$247/1000000</f>
        <v>143.63215719999999</v>
      </c>
      <c r="AU255" s="159">
        <f t="shared" ref="AU255:BF255" si="981">AU251*AU$247/1000000</f>
        <v>142.56</v>
      </c>
      <c r="AV255" s="159">
        <f t="shared" si="981"/>
        <v>144.91749999999999</v>
      </c>
      <c r="AW255" s="159">
        <f t="shared" si="981"/>
        <v>151.80000000000001</v>
      </c>
      <c r="AX255" s="159">
        <f t="shared" si="981"/>
        <v>157.18199999999999</v>
      </c>
      <c r="AY255" s="159">
        <f t="shared" si="981"/>
        <v>163.01249999999999</v>
      </c>
      <c r="AZ255" s="159">
        <f t="shared" si="981"/>
        <v>169.53299999999999</v>
      </c>
      <c r="BA255" s="159">
        <f t="shared" si="981"/>
        <v>176.15700000000001</v>
      </c>
      <c r="BB255" s="159">
        <f t="shared" si="981"/>
        <v>179.33099999999999</v>
      </c>
      <c r="BC255" s="159">
        <f t="shared" si="981"/>
        <v>183.13749999999999</v>
      </c>
      <c r="BD255" s="159">
        <f t="shared" si="981"/>
        <v>183.13749999999999</v>
      </c>
      <c r="BE255" s="159">
        <f t="shared" si="981"/>
        <v>185.15</v>
      </c>
      <c r="BF255" s="159">
        <f t="shared" si="981"/>
        <v>185.15</v>
      </c>
      <c r="BJ255" s="116">
        <f t="shared" si="803"/>
        <v>246</v>
      </c>
    </row>
    <row r="256" spans="1:62" hidden="1" outlineLevel="2">
      <c r="B256" s="25" t="s">
        <v>56</v>
      </c>
      <c r="C256" s="50">
        <f t="shared" si="973"/>
        <v>-65.145993799999985</v>
      </c>
      <c r="D256" s="50">
        <f t="shared" si="973"/>
        <v>-76.887445200000002</v>
      </c>
      <c r="E256" s="50">
        <f t="shared" si="973"/>
        <v>-83.646724200000008</v>
      </c>
      <c r="F256" s="50">
        <f t="shared" si="973"/>
        <v>-89.935143199999999</v>
      </c>
      <c r="G256" s="50">
        <f t="shared" si="973"/>
        <v>-98.707234399999976</v>
      </c>
      <c r="H256" s="50">
        <f t="shared" si="973"/>
        <v>-79.510514100000051</v>
      </c>
      <c r="I256" s="50">
        <f t="shared" si="973"/>
        <v>-65.202175900000071</v>
      </c>
      <c r="J256" s="50">
        <f t="shared" si="973"/>
        <v>-62.392883600000076</v>
      </c>
      <c r="K256" s="50">
        <f t="shared" si="973"/>
        <v>-62.286301995371147</v>
      </c>
      <c r="L256" s="50">
        <f t="shared" si="973"/>
        <v>-67.420696407261914</v>
      </c>
      <c r="M256" s="50">
        <f t="shared" si="973"/>
        <v>-72.978330040816729</v>
      </c>
      <c r="O256" s="110">
        <f>+O257-O255</f>
        <v>-15.276781</v>
      </c>
      <c r="P256" s="110">
        <f t="shared" ref="P256:AQ256" si="982">+P257-P255</f>
        <v>-16.392886400000009</v>
      </c>
      <c r="Q256" s="110">
        <f t="shared" si="982"/>
        <v>-16.351991999999996</v>
      </c>
      <c r="R256" s="110">
        <f t="shared" si="982"/>
        <v>-17.124334399999981</v>
      </c>
      <c r="S256" s="110">
        <f t="shared" si="982"/>
        <v>-19.350111999999996</v>
      </c>
      <c r="T256" s="110">
        <f t="shared" si="982"/>
        <v>-19.304297999999989</v>
      </c>
      <c r="U256" s="110">
        <f t="shared" si="982"/>
        <v>-18.561699200000007</v>
      </c>
      <c r="V256" s="110">
        <f t="shared" si="982"/>
        <v>-19.671336000000011</v>
      </c>
      <c r="W256" s="110">
        <f t="shared" si="982"/>
        <v>-20.814046100000013</v>
      </c>
      <c r="X256" s="110">
        <f t="shared" si="982"/>
        <v>-20.328822099999996</v>
      </c>
      <c r="Y256" s="110">
        <f t="shared" si="982"/>
        <v>-21.413753599999993</v>
      </c>
      <c r="Z256" s="110">
        <f t="shared" si="982"/>
        <v>-21.090102400000006</v>
      </c>
      <c r="AA256" s="110">
        <f t="shared" si="982"/>
        <v>-19.95043600000001</v>
      </c>
      <c r="AB256" s="110">
        <f t="shared" si="982"/>
        <v>-24.149262400000012</v>
      </c>
      <c r="AC256" s="110">
        <f t="shared" si="982"/>
        <v>-21.473975999999993</v>
      </c>
      <c r="AD256" s="110">
        <f t="shared" si="982"/>
        <v>-24.361468799999983</v>
      </c>
      <c r="AE256" s="110">
        <f t="shared" si="982"/>
        <v>-23.349102000000016</v>
      </c>
      <c r="AF256" s="110">
        <f t="shared" si="982"/>
        <v>-24.280653199999989</v>
      </c>
      <c r="AG256" s="110">
        <f t="shared" si="982"/>
        <v>-25.814907999999974</v>
      </c>
      <c r="AH256" s="110">
        <f t="shared" si="982"/>
        <v>-25.262571199999996</v>
      </c>
      <c r="AI256" s="110">
        <f t="shared" si="982"/>
        <v>-19.862285000000014</v>
      </c>
      <c r="AJ256" s="110">
        <f t="shared" si="982"/>
        <v>-22.671584300000006</v>
      </c>
      <c r="AK256" s="110">
        <f t="shared" si="982"/>
        <v>-21.262634800000029</v>
      </c>
      <c r="AL256" s="110">
        <f t="shared" si="982"/>
        <v>-15.714010000000002</v>
      </c>
      <c r="AM256" s="110">
        <f t="shared" si="982"/>
        <v>-17.496139499999998</v>
      </c>
      <c r="AN256" s="110">
        <f t="shared" si="982"/>
        <v>-16.731582400000008</v>
      </c>
      <c r="AO256" s="110">
        <f t="shared" si="982"/>
        <v>-15.929229600000042</v>
      </c>
      <c r="AP256" s="110">
        <f t="shared" si="982"/>
        <v>-15.045224400000023</v>
      </c>
      <c r="AQ256" s="110">
        <f t="shared" si="982"/>
        <v>-16.081587999999996</v>
      </c>
      <c r="AR256" s="110">
        <f t="shared" ref="AR256:AS256" si="983">+AR257-AR255</f>
        <v>-15.270231600000045</v>
      </c>
      <c r="AS256" s="110">
        <f t="shared" si="983"/>
        <v>-16.310906800000026</v>
      </c>
      <c r="AT256" s="110">
        <f t="shared" ref="AT256" si="984">+AT257-AT255</f>
        <v>-14.730157200000008</v>
      </c>
      <c r="AU256" s="111">
        <f t="shared" ref="AU256:BF256" si="985">AU88</f>
        <v>-15.112136330134051</v>
      </c>
      <c r="AV256" s="111">
        <f t="shared" si="985"/>
        <v>-15.414379056736731</v>
      </c>
      <c r="AW256" s="111">
        <f t="shared" si="985"/>
        <v>-15.722666637871466</v>
      </c>
      <c r="AX256" s="111">
        <f t="shared" si="985"/>
        <v>-16.037119970628893</v>
      </c>
      <c r="AY256" s="111">
        <f t="shared" si="985"/>
        <v>-16.357862370041474</v>
      </c>
      <c r="AZ256" s="111">
        <f t="shared" si="985"/>
        <v>-16.685019617442304</v>
      </c>
      <c r="BA256" s="111">
        <f t="shared" si="985"/>
        <v>-17.018720009791149</v>
      </c>
      <c r="BB256" s="111">
        <f t="shared" si="985"/>
        <v>-17.359094409986973</v>
      </c>
      <c r="BC256" s="111">
        <f t="shared" si="985"/>
        <v>-17.706276298186712</v>
      </c>
      <c r="BD256" s="111">
        <f t="shared" si="985"/>
        <v>-18.060401824150446</v>
      </c>
      <c r="BE256" s="111">
        <f t="shared" si="985"/>
        <v>-18.421609860633453</v>
      </c>
      <c r="BF256" s="111">
        <f t="shared" si="985"/>
        <v>-18.790042057846122</v>
      </c>
      <c r="BJ256" s="116">
        <f t="shared" si="803"/>
        <v>247</v>
      </c>
    </row>
    <row r="257" spans="1:62" hidden="1" outlineLevel="2">
      <c r="B257" s="189" t="s">
        <v>57</v>
      </c>
      <c r="C257" s="52">
        <f t="shared" si="973"/>
        <v>501.87799999999999</v>
      </c>
      <c r="D257" s="52">
        <f t="shared" si="973"/>
        <v>397.13799999999992</v>
      </c>
      <c r="E257" s="52">
        <f t="shared" si="973"/>
        <v>421.61399999999998</v>
      </c>
      <c r="F257" s="52">
        <f t="shared" si="973"/>
        <v>524.49199999999996</v>
      </c>
      <c r="G257" s="52">
        <f t="shared" si="973"/>
        <v>610.16300000000001</v>
      </c>
      <c r="H257" s="52">
        <f t="shared" si="973"/>
        <v>725.18899999999996</v>
      </c>
      <c r="I257" s="52">
        <f t="shared" si="973"/>
        <v>540.84899999999993</v>
      </c>
      <c r="J257" s="52">
        <f t="shared" si="973"/>
        <v>509.18099999999998</v>
      </c>
      <c r="K257" s="52">
        <f t="shared" si="973"/>
        <v>534.17319800462883</v>
      </c>
      <c r="L257" s="52">
        <f t="shared" si="973"/>
        <v>620.61280359273815</v>
      </c>
      <c r="M257" s="52">
        <f t="shared" si="973"/>
        <v>663.59666995918326</v>
      </c>
      <c r="O257" s="164">
        <f t="shared" ref="O257:AT257" si="986">O25</f>
        <v>112.05800000000001</v>
      </c>
      <c r="P257" s="164">
        <f t="shared" si="986"/>
        <v>124.416</v>
      </c>
      <c r="Q257" s="164">
        <f t="shared" si="986"/>
        <v>128.55500000000001</v>
      </c>
      <c r="R257" s="164">
        <f t="shared" si="986"/>
        <v>136.84899999999999</v>
      </c>
      <c r="S257" s="164">
        <f t="shared" si="986"/>
        <v>100.39100000000001</v>
      </c>
      <c r="T257" s="164">
        <f t="shared" si="986"/>
        <v>103.571</v>
      </c>
      <c r="U257" s="164">
        <f t="shared" si="986"/>
        <v>97.611999999999995</v>
      </c>
      <c r="V257" s="164">
        <f t="shared" si="986"/>
        <v>95.563999999999993</v>
      </c>
      <c r="W257" s="164">
        <f t="shared" si="986"/>
        <v>97.25</v>
      </c>
      <c r="X257" s="164">
        <f t="shared" si="986"/>
        <v>100.241</v>
      </c>
      <c r="Y257" s="164">
        <f t="shared" si="986"/>
        <v>113.462</v>
      </c>
      <c r="Z257" s="164">
        <f t="shared" si="986"/>
        <v>110.661</v>
      </c>
      <c r="AA257" s="164">
        <f t="shared" si="986"/>
        <v>106.514</v>
      </c>
      <c r="AB257" s="164">
        <f t="shared" si="986"/>
        <v>117.491</v>
      </c>
      <c r="AC257" s="164">
        <f t="shared" si="986"/>
        <v>142.767</v>
      </c>
      <c r="AD257" s="164">
        <f t="shared" si="986"/>
        <v>157.72</v>
      </c>
      <c r="AE257" s="164">
        <f t="shared" si="986"/>
        <v>137.99100000000001</v>
      </c>
      <c r="AF257" s="164">
        <f t="shared" si="986"/>
        <v>139.33600000000001</v>
      </c>
      <c r="AG257" s="164">
        <f t="shared" si="986"/>
        <v>159.58799999999999</v>
      </c>
      <c r="AH257" s="164">
        <f t="shared" si="986"/>
        <v>173.24799999999999</v>
      </c>
      <c r="AI257" s="164">
        <f t="shared" si="986"/>
        <v>201.02799999999999</v>
      </c>
      <c r="AJ257" s="164">
        <f t="shared" si="986"/>
        <v>176.994</v>
      </c>
      <c r="AK257" s="164">
        <f t="shared" si="986"/>
        <v>186.45099999999999</v>
      </c>
      <c r="AL257" s="164">
        <f t="shared" si="986"/>
        <v>160.71600000000001</v>
      </c>
      <c r="AM257" s="164">
        <f t="shared" si="986"/>
        <v>148.309</v>
      </c>
      <c r="AN257" s="164">
        <f t="shared" si="986"/>
        <v>131.61799999999999</v>
      </c>
      <c r="AO257" s="164">
        <f t="shared" si="986"/>
        <v>136.63299999999998</v>
      </c>
      <c r="AP257" s="164">
        <f t="shared" si="986"/>
        <v>124.28899999999999</v>
      </c>
      <c r="AQ257" s="164">
        <f t="shared" si="986"/>
        <v>108.65600000000001</v>
      </c>
      <c r="AR257" s="164">
        <f t="shared" si="986"/>
        <v>134.78399999999999</v>
      </c>
      <c r="AS257" s="164">
        <f t="shared" si="986"/>
        <v>136.839</v>
      </c>
      <c r="AT257" s="164">
        <f t="shared" si="986"/>
        <v>128.90199999999999</v>
      </c>
      <c r="AU257" s="159">
        <f t="shared" ref="AU257:BF257" si="987">+AU255+AU256</f>
        <v>127.44786366986595</v>
      </c>
      <c r="AV257" s="159">
        <f t="shared" si="987"/>
        <v>129.50312094326327</v>
      </c>
      <c r="AW257" s="159">
        <f t="shared" si="987"/>
        <v>136.07733336212854</v>
      </c>
      <c r="AX257" s="159">
        <f t="shared" si="987"/>
        <v>141.14488002937111</v>
      </c>
      <c r="AY257" s="159">
        <f t="shared" si="987"/>
        <v>146.65463762995853</v>
      </c>
      <c r="AZ257" s="159">
        <f t="shared" si="987"/>
        <v>152.84798038255769</v>
      </c>
      <c r="BA257" s="159">
        <f t="shared" si="987"/>
        <v>159.13827999020887</v>
      </c>
      <c r="BB257" s="159">
        <f t="shared" si="987"/>
        <v>161.97190559001302</v>
      </c>
      <c r="BC257" s="159">
        <f t="shared" si="987"/>
        <v>165.43122370181328</v>
      </c>
      <c r="BD257" s="159">
        <f t="shared" si="987"/>
        <v>165.07709817584953</v>
      </c>
      <c r="BE257" s="159">
        <f t="shared" si="987"/>
        <v>166.72839013936655</v>
      </c>
      <c r="BF257" s="159">
        <f t="shared" si="987"/>
        <v>166.35995794215387</v>
      </c>
      <c r="BJ257" s="116">
        <f t="shared" si="803"/>
        <v>248</v>
      </c>
    </row>
    <row r="258" spans="1:62" hidden="1" outlineLevel="2">
      <c r="B258" s="25" t="s">
        <v>58</v>
      </c>
      <c r="C258" s="50">
        <f t="shared" si="973"/>
        <v>-247.13399999999999</v>
      </c>
      <c r="D258" s="50">
        <f t="shared" si="973"/>
        <v>-273.32499999999999</v>
      </c>
      <c r="E258" s="50">
        <f t="shared" si="973"/>
        <v>-330.38800000000003</v>
      </c>
      <c r="F258" s="50">
        <f t="shared" si="973"/>
        <v>-346.65899999999999</v>
      </c>
      <c r="G258" s="50">
        <f t="shared" si="973"/>
        <v>-367.34500000000003</v>
      </c>
      <c r="H258" s="50">
        <f t="shared" si="973"/>
        <v>-411.00400000000002</v>
      </c>
      <c r="I258" s="50">
        <f t="shared" si="973"/>
        <v>-411.37199999999996</v>
      </c>
      <c r="J258" s="50">
        <f t="shared" si="973"/>
        <v>-400.75299999999993</v>
      </c>
      <c r="K258" s="50">
        <f t="shared" si="973"/>
        <v>-398.07619914920264</v>
      </c>
      <c r="L258" s="50">
        <f t="shared" si="973"/>
        <v>-371.37275788519412</v>
      </c>
      <c r="M258" s="50">
        <f t="shared" si="973"/>
        <v>-347.84995452641567</v>
      </c>
      <c r="O258" s="110">
        <f>+O259-O257</f>
        <v>-58.479000000000006</v>
      </c>
      <c r="P258" s="110">
        <f t="shared" ref="P258:AR258" si="988">+P259-P257</f>
        <v>-59.444000000000003</v>
      </c>
      <c r="Q258" s="110">
        <f t="shared" si="988"/>
        <v>-64.176000000000002</v>
      </c>
      <c r="R258" s="110">
        <f t="shared" si="988"/>
        <v>-65.034999999999997</v>
      </c>
      <c r="S258" s="110">
        <f t="shared" si="988"/>
        <v>-64.894000000000005</v>
      </c>
      <c r="T258" s="110">
        <f t="shared" si="988"/>
        <v>-67.72</v>
      </c>
      <c r="U258" s="110">
        <f t="shared" si="988"/>
        <v>-68.596999999999994</v>
      </c>
      <c r="V258" s="110">
        <f t="shared" si="988"/>
        <v>-72.11399999999999</v>
      </c>
      <c r="W258" s="110">
        <f t="shared" si="988"/>
        <v>-76.111999999999995</v>
      </c>
      <c r="X258" s="110">
        <f t="shared" si="988"/>
        <v>-83.84</v>
      </c>
      <c r="Y258" s="110">
        <f t="shared" si="988"/>
        <v>-83.163000000000011</v>
      </c>
      <c r="Z258" s="110">
        <f t="shared" si="988"/>
        <v>-87.272999999999996</v>
      </c>
      <c r="AA258" s="110">
        <f t="shared" si="988"/>
        <v>-85.044999999999987</v>
      </c>
      <c r="AB258" s="110">
        <f t="shared" si="988"/>
        <v>-85.009999999999991</v>
      </c>
      <c r="AC258" s="110">
        <f t="shared" si="988"/>
        <v>-88.495999999999995</v>
      </c>
      <c r="AD258" s="110">
        <f t="shared" si="988"/>
        <v>-88.108000000000004</v>
      </c>
      <c r="AE258" s="110">
        <f t="shared" si="988"/>
        <v>-89.872000000000014</v>
      </c>
      <c r="AF258" s="110">
        <f t="shared" si="988"/>
        <v>-88.753000000000014</v>
      </c>
      <c r="AG258" s="110">
        <f t="shared" si="988"/>
        <v>-91.135999999999996</v>
      </c>
      <c r="AH258" s="110">
        <f t="shared" si="988"/>
        <v>-97.583999999999989</v>
      </c>
      <c r="AI258" s="110">
        <f t="shared" si="988"/>
        <v>-95.986999999999995</v>
      </c>
      <c r="AJ258" s="110">
        <f t="shared" si="988"/>
        <v>-93.739000000000004</v>
      </c>
      <c r="AK258" s="110">
        <f t="shared" si="988"/>
        <v>-112.41199999999999</v>
      </c>
      <c r="AL258" s="110">
        <f t="shared" si="988"/>
        <v>-108.86600000000001</v>
      </c>
      <c r="AM258" s="110">
        <f t="shared" si="988"/>
        <v>-101.437</v>
      </c>
      <c r="AN258" s="110">
        <f t="shared" si="988"/>
        <v>-96.758999999999986</v>
      </c>
      <c r="AO258" s="110">
        <f t="shared" si="988"/>
        <v>-105.23799999999999</v>
      </c>
      <c r="AP258" s="110">
        <f t="shared" si="988"/>
        <v>-107.93799999999999</v>
      </c>
      <c r="AQ258" s="110">
        <f t="shared" si="988"/>
        <v>-96.682000000000002</v>
      </c>
      <c r="AR258" s="110">
        <f t="shared" si="988"/>
        <v>-98.609999999999985</v>
      </c>
      <c r="AS258" s="110">
        <f t="shared" ref="AS258" si="989">+AS259-AS257</f>
        <v>-104.523</v>
      </c>
      <c r="AT258" s="110">
        <f t="shared" ref="AT258" si="990">+AT259-AT257</f>
        <v>-100.93799999999999</v>
      </c>
      <c r="AU258" s="111">
        <f t="shared" ref="AU258:BF258" si="991">AU132</f>
        <v>-102.25027862336879</v>
      </c>
      <c r="AV258" s="111">
        <f t="shared" si="991"/>
        <v>-100.29986116729475</v>
      </c>
      <c r="AW258" s="111">
        <f t="shared" si="991"/>
        <v>-98.562915223540216</v>
      </c>
      <c r="AX258" s="111">
        <f t="shared" si="991"/>
        <v>-96.963144134998927</v>
      </c>
      <c r="AY258" s="111">
        <f t="shared" si="991"/>
        <v>-95.444800456367929</v>
      </c>
      <c r="AZ258" s="111">
        <f t="shared" si="991"/>
        <v>-93.658154619487405</v>
      </c>
      <c r="BA258" s="111">
        <f t="shared" si="991"/>
        <v>-91.925830272500036</v>
      </c>
      <c r="BB258" s="111">
        <f t="shared" si="991"/>
        <v>-90.343972536838749</v>
      </c>
      <c r="BC258" s="111">
        <f t="shared" si="991"/>
        <v>-88.842906287060501</v>
      </c>
      <c r="BD258" s="111">
        <f t="shared" si="991"/>
        <v>-87.573768999281768</v>
      </c>
      <c r="BE258" s="111">
        <f t="shared" si="991"/>
        <v>-86.300950567821246</v>
      </c>
      <c r="BF258" s="111">
        <f t="shared" si="991"/>
        <v>-85.132328672252115</v>
      </c>
      <c r="BJ258" s="116">
        <f t="shared" si="803"/>
        <v>249</v>
      </c>
    </row>
    <row r="259" spans="1:62" hidden="1" outlineLevel="2">
      <c r="B259" s="189" t="s">
        <v>59</v>
      </c>
      <c r="C259" s="52">
        <f t="shared" si="973"/>
        <v>254.744</v>
      </c>
      <c r="D259" s="52">
        <f t="shared" si="973"/>
        <v>123.813</v>
      </c>
      <c r="E259" s="52">
        <f t="shared" si="973"/>
        <v>91.225999999999999</v>
      </c>
      <c r="F259" s="52">
        <f t="shared" si="973"/>
        <v>177.833</v>
      </c>
      <c r="G259" s="52">
        <f t="shared" si="973"/>
        <v>242.81799999999998</v>
      </c>
      <c r="H259" s="52">
        <f t="shared" si="973"/>
        <v>314.185</v>
      </c>
      <c r="I259" s="52">
        <f t="shared" si="973"/>
        <v>129.47699999999998</v>
      </c>
      <c r="J259" s="52">
        <f t="shared" si="973"/>
        <v>108.428</v>
      </c>
      <c r="K259" s="52">
        <f t="shared" si="973"/>
        <v>136.09699885542619</v>
      </c>
      <c r="L259" s="52">
        <f t="shared" si="973"/>
        <v>249.240045707544</v>
      </c>
      <c r="M259" s="52">
        <f t="shared" si="973"/>
        <v>315.74671543276759</v>
      </c>
      <c r="O259" s="165">
        <v>53.579000000000001</v>
      </c>
      <c r="P259" s="77">
        <v>64.971999999999994</v>
      </c>
      <c r="Q259" s="77">
        <v>64.379000000000005</v>
      </c>
      <c r="R259" s="77">
        <v>71.813999999999993</v>
      </c>
      <c r="S259" s="77">
        <v>35.497</v>
      </c>
      <c r="T259" s="77">
        <v>35.850999999999999</v>
      </c>
      <c r="U259" s="77">
        <v>29.015000000000001</v>
      </c>
      <c r="V259" s="77">
        <v>23.45</v>
      </c>
      <c r="W259" s="77">
        <v>21.138000000000002</v>
      </c>
      <c r="X259" s="77">
        <v>16.401</v>
      </c>
      <c r="Y259" s="77">
        <v>30.298999999999999</v>
      </c>
      <c r="Z259" s="77">
        <v>23.388000000000002</v>
      </c>
      <c r="AA259" s="77">
        <v>21.469000000000001</v>
      </c>
      <c r="AB259" s="77">
        <v>32.481000000000002</v>
      </c>
      <c r="AC259" s="77">
        <v>54.271000000000001</v>
      </c>
      <c r="AD259" s="77">
        <v>69.611999999999995</v>
      </c>
      <c r="AE259" s="77">
        <v>48.119</v>
      </c>
      <c r="AF259" s="77">
        <v>50.582999999999998</v>
      </c>
      <c r="AG259" s="77">
        <v>68.451999999999998</v>
      </c>
      <c r="AH259" s="77">
        <v>75.664000000000001</v>
      </c>
      <c r="AI259" s="77">
        <v>105.041</v>
      </c>
      <c r="AJ259" s="77">
        <v>83.254999999999995</v>
      </c>
      <c r="AK259" s="77">
        <v>74.039000000000001</v>
      </c>
      <c r="AL259" s="77">
        <v>51.85</v>
      </c>
      <c r="AM259" s="77">
        <v>46.872</v>
      </c>
      <c r="AN259" s="77">
        <v>34.859000000000002</v>
      </c>
      <c r="AO259" s="77">
        <v>31.395</v>
      </c>
      <c r="AP259" s="77">
        <v>16.350999999999999</v>
      </c>
      <c r="AQ259" s="77">
        <v>11.974</v>
      </c>
      <c r="AR259" s="77">
        <v>36.173999999999999</v>
      </c>
      <c r="AS259" s="77">
        <v>32.316000000000003</v>
      </c>
      <c r="AT259" s="77">
        <v>27.963999999999999</v>
      </c>
      <c r="AU259" s="159">
        <f t="shared" ref="AU259" si="992">+AU257+AU258</f>
        <v>25.197585046497167</v>
      </c>
      <c r="AV259" s="159">
        <f t="shared" ref="AV259" si="993">+AV257+AV258</f>
        <v>29.203259775968519</v>
      </c>
      <c r="AW259" s="159">
        <f t="shared" ref="AW259" si="994">+AW257+AW258</f>
        <v>37.514418138588326</v>
      </c>
      <c r="AX259" s="159">
        <f t="shared" ref="AX259" si="995">+AX257+AX258</f>
        <v>44.181735894372181</v>
      </c>
      <c r="AY259" s="159">
        <f t="shared" ref="AY259" si="996">+AY257+AY258</f>
        <v>51.2098371735906</v>
      </c>
      <c r="AZ259" s="159">
        <f t="shared" ref="AZ259" si="997">+AZ257+AZ258</f>
        <v>59.189825763070289</v>
      </c>
      <c r="BA259" s="159">
        <f t="shared" ref="BA259" si="998">+BA257+BA258</f>
        <v>67.212449717708836</v>
      </c>
      <c r="BB259" s="159">
        <f t="shared" ref="BB259" si="999">+BB257+BB258</f>
        <v>71.627933053174274</v>
      </c>
      <c r="BC259" s="159">
        <f t="shared" ref="BC259" si="1000">+BC257+BC258</f>
        <v>76.58831741475278</v>
      </c>
      <c r="BD259" s="159">
        <f t="shared" ref="BD259" si="1001">+BD257+BD258</f>
        <v>77.50332917656776</v>
      </c>
      <c r="BE259" s="159">
        <f t="shared" ref="BE259" si="1002">+BE257+BE258</f>
        <v>80.427439571545307</v>
      </c>
      <c r="BF259" s="159">
        <f t="shared" ref="BF259" si="1003">+BF257+BF258</f>
        <v>81.227629269901755</v>
      </c>
      <c r="BJ259" s="116">
        <f t="shared" si="803"/>
        <v>250</v>
      </c>
    </row>
    <row r="260" spans="1:62" hidden="1" outlineLevel="2">
      <c r="B260" s="10"/>
      <c r="BJ260" s="116">
        <f t="shared" si="803"/>
        <v>251</v>
      </c>
    </row>
    <row r="261" spans="1:62" collapsed="1">
      <c r="A261" s="72" t="s">
        <v>322</v>
      </c>
      <c r="B261" s="2" t="s">
        <v>97</v>
      </c>
      <c r="BJ261" s="116">
        <f t="shared" si="803"/>
        <v>252</v>
      </c>
    </row>
    <row r="262" spans="1:62" hidden="1" outlineLevel="2">
      <c r="B262" s="39" t="s">
        <v>388</v>
      </c>
      <c r="BJ262" s="116">
        <f t="shared" si="803"/>
        <v>253</v>
      </c>
    </row>
    <row r="263" spans="1:62" hidden="1" outlineLevel="2">
      <c r="B263" s="40" t="s">
        <v>29</v>
      </c>
      <c r="C263" s="50">
        <f t="shared" ref="C263:I263" si="1004">SUMIFS($O263:$BG263,$O$5:$BG$5,C$5)</f>
        <v>0</v>
      </c>
      <c r="D263" s="50">
        <f t="shared" si="1004"/>
        <v>0</v>
      </c>
      <c r="E263" s="50">
        <f t="shared" si="1004"/>
        <v>0</v>
      </c>
      <c r="F263" s="50">
        <f t="shared" si="1004"/>
        <v>0</v>
      </c>
      <c r="G263" s="50">
        <f t="shared" si="1004"/>
        <v>0</v>
      </c>
      <c r="H263" s="50">
        <f t="shared" si="1004"/>
        <v>0</v>
      </c>
      <c r="I263" s="50">
        <f t="shared" si="1004"/>
        <v>31.680000000000003</v>
      </c>
      <c r="J263" s="50">
        <f t="shared" ref="J263:M263" si="1005">SUMIFS($O263:$BG263,$O$5:$BG$5,J$5)</f>
        <v>141.001</v>
      </c>
      <c r="K263" s="50">
        <f t="shared" si="1005"/>
        <v>253.78896779999997</v>
      </c>
      <c r="L263" s="50">
        <f t="shared" si="1005"/>
        <v>375.08634761598006</v>
      </c>
      <c r="M263" s="50">
        <f t="shared" si="1005"/>
        <v>486.82952434126514</v>
      </c>
      <c r="AO263" s="191">
        <f>AP263/(1+0.25)</f>
        <v>14.080000000000002</v>
      </c>
      <c r="AP263" s="192">
        <v>17.600000000000001</v>
      </c>
      <c r="AQ263" s="192">
        <v>27.4</v>
      </c>
      <c r="AR263" s="192">
        <v>31.8</v>
      </c>
      <c r="AS263" s="192">
        <f>+AR263+6</f>
        <v>37.799999999999997</v>
      </c>
      <c r="AT263" s="275">
        <f>AT15</f>
        <v>44.000999999999998</v>
      </c>
      <c r="AU263" s="275">
        <f t="shared" ref="AU263:BF263" si="1006">AU15</f>
        <v>52.801199999999994</v>
      </c>
      <c r="AV263" s="275">
        <f t="shared" si="1006"/>
        <v>60.721379999999989</v>
      </c>
      <c r="AW263" s="275">
        <f t="shared" si="1006"/>
        <v>66.793517999999992</v>
      </c>
      <c r="AX263" s="275">
        <f t="shared" si="1006"/>
        <v>73.472869799999998</v>
      </c>
      <c r="AY263" s="275">
        <f t="shared" si="1006"/>
        <v>80.820156780000005</v>
      </c>
      <c r="AZ263" s="275">
        <f t="shared" si="1006"/>
        <v>88.90217245800001</v>
      </c>
      <c r="BA263" s="275">
        <f t="shared" si="1006"/>
        <v>97.792389703800012</v>
      </c>
      <c r="BB263" s="275">
        <f t="shared" si="1006"/>
        <v>107.57162867418002</v>
      </c>
      <c r="BC263" s="275">
        <f t="shared" si="1006"/>
        <v>112.95021010788902</v>
      </c>
      <c r="BD263" s="275">
        <f t="shared" si="1006"/>
        <v>118.59772061328347</v>
      </c>
      <c r="BE263" s="275">
        <f t="shared" si="1006"/>
        <v>124.52760664394765</v>
      </c>
      <c r="BF263" s="275">
        <f t="shared" si="1006"/>
        <v>130.75398697614503</v>
      </c>
      <c r="BJ263" s="116">
        <f t="shared" si="803"/>
        <v>254</v>
      </c>
    </row>
    <row r="264" spans="1:62" hidden="1" outlineLevel="2">
      <c r="B264" s="40" t="s">
        <v>98</v>
      </c>
      <c r="C264" s="193">
        <f t="shared" ref="C264" si="1007">IFERROR(+C263/B263-1,0)</f>
        <v>0</v>
      </c>
      <c r="D264" s="193">
        <f t="shared" ref="D264" si="1008">IFERROR(+D263/C263-1,0)</f>
        <v>0</v>
      </c>
      <c r="E264" s="193">
        <f t="shared" ref="E264" si="1009">IFERROR(+E263/D263-1,0)</f>
        <v>0</v>
      </c>
      <c r="F264" s="193">
        <f t="shared" ref="F264" si="1010">IFERROR(+F263/E263-1,0)</f>
        <v>0</v>
      </c>
      <c r="G264" s="193">
        <f t="shared" ref="G264" si="1011">IFERROR(+G263/F263-1,0)</f>
        <v>0</v>
      </c>
      <c r="H264" s="193">
        <f t="shared" ref="H264" si="1012">IFERROR(+H263/G263-1,0)</f>
        <v>0</v>
      </c>
      <c r="I264" s="193">
        <f t="shared" ref="I264" si="1013">IFERROR(+I263/H263-1,0)</f>
        <v>0</v>
      </c>
      <c r="J264" s="193">
        <f t="shared" ref="J264" si="1014">IFERROR(+J263/I263-1,0)</f>
        <v>3.4507891414141412</v>
      </c>
      <c r="K264" s="193">
        <f t="shared" ref="K264" si="1015">IFERROR(+K263/J263-1,0)</f>
        <v>0.79990899213480726</v>
      </c>
      <c r="L264" s="193">
        <f t="shared" ref="L264" si="1016">IFERROR(+L263/K263-1,0)</f>
        <v>0.47794583376677457</v>
      </c>
      <c r="M264" s="193">
        <f t="shared" ref="M264" si="1017">IFERROR(+M263/L263-1,0)</f>
        <v>0.2979132070135746</v>
      </c>
      <c r="AO264" s="191"/>
      <c r="AP264" s="193">
        <f>+AP263/AO263-1</f>
        <v>0.25</v>
      </c>
      <c r="AQ264" s="193">
        <f>+AQ263/AP263-1</f>
        <v>0.55681818181818166</v>
      </c>
      <c r="AR264" s="193">
        <f>+AR263/AQ263-1</f>
        <v>0.16058394160583944</v>
      </c>
      <c r="AS264" s="193">
        <f>+AS263/AR263-1</f>
        <v>0.18867924528301883</v>
      </c>
      <c r="AT264" s="193">
        <f>+AT263/AS263-1</f>
        <v>0.164047619047619</v>
      </c>
      <c r="AU264" s="193">
        <f t="shared" ref="AU264:BF264" si="1018">+AU263/AT263-1</f>
        <v>0.19999999999999996</v>
      </c>
      <c r="AV264" s="193">
        <f t="shared" si="1018"/>
        <v>0.14999999999999991</v>
      </c>
      <c r="AW264" s="193">
        <f t="shared" si="1018"/>
        <v>0.10000000000000009</v>
      </c>
      <c r="AX264" s="193">
        <f t="shared" si="1018"/>
        <v>0.10000000000000009</v>
      </c>
      <c r="AY264" s="193">
        <f t="shared" si="1018"/>
        <v>0.10000000000000009</v>
      </c>
      <c r="AZ264" s="193">
        <f t="shared" si="1018"/>
        <v>0.10000000000000009</v>
      </c>
      <c r="BA264" s="193">
        <f t="shared" si="1018"/>
        <v>0.10000000000000009</v>
      </c>
      <c r="BB264" s="193">
        <f t="shared" si="1018"/>
        <v>0.10000000000000009</v>
      </c>
      <c r="BC264" s="193">
        <f t="shared" si="1018"/>
        <v>5.0000000000000044E-2</v>
      </c>
      <c r="BD264" s="193">
        <f t="shared" si="1018"/>
        <v>5.0000000000000044E-2</v>
      </c>
      <c r="BE264" s="193">
        <f t="shared" si="1018"/>
        <v>5.0000000000000044E-2</v>
      </c>
      <c r="BF264" s="193">
        <f t="shared" si="1018"/>
        <v>5.0000000000000044E-2</v>
      </c>
      <c r="BJ264" s="116">
        <f t="shared" si="803"/>
        <v>255</v>
      </c>
    </row>
    <row r="265" spans="1:62" hidden="1" outlineLevel="2">
      <c r="B265" s="40" t="s">
        <v>99</v>
      </c>
      <c r="C265" s="50">
        <f t="shared" ref="C265:I265" si="1019">SUMIFS($O265:$BG265,$O$5:$BG$5,C$5)</f>
        <v>0</v>
      </c>
      <c r="D265" s="50">
        <f t="shared" si="1019"/>
        <v>0</v>
      </c>
      <c r="E265" s="50">
        <f t="shared" si="1019"/>
        <v>0</v>
      </c>
      <c r="F265" s="50">
        <f t="shared" si="1019"/>
        <v>0</v>
      </c>
      <c r="G265" s="50">
        <f t="shared" si="1019"/>
        <v>0</v>
      </c>
      <c r="H265" s="50">
        <f t="shared" si="1019"/>
        <v>0</v>
      </c>
      <c r="I265" s="50">
        <f t="shared" si="1019"/>
        <v>4.1399999999999997</v>
      </c>
      <c r="J265" s="50">
        <f t="shared" ref="J265:M265" si="1020">SUMIFS($O265:$BG265,$O$5:$BG$5,J$5)</f>
        <v>32.896000000000001</v>
      </c>
      <c r="K265" s="50">
        <f t="shared" si="1020"/>
        <v>80.283960593999993</v>
      </c>
      <c r="L265" s="50">
        <f t="shared" si="1020"/>
        <v>130.47202009779301</v>
      </c>
      <c r="M265" s="50">
        <f t="shared" si="1020"/>
        <v>170.39033351944278</v>
      </c>
      <c r="AO265" s="191">
        <f>AP265/(1+0.25)</f>
        <v>1.8399999999999999</v>
      </c>
      <c r="AP265" s="192">
        <v>2.2999999999999998</v>
      </c>
      <c r="AQ265" s="192">
        <v>2.9</v>
      </c>
      <c r="AR265" s="192">
        <v>7.6</v>
      </c>
      <c r="AS265" s="192">
        <v>9.8000000000000007</v>
      </c>
      <c r="AT265" s="275">
        <f>AT26</f>
        <v>12.596</v>
      </c>
      <c r="AU265" s="275">
        <f t="shared" ref="AU265:BF265" si="1021">AU26</f>
        <v>15.840359999999997</v>
      </c>
      <c r="AV265" s="275">
        <f t="shared" si="1021"/>
        <v>18.823627799999997</v>
      </c>
      <c r="AW265" s="275">
        <f t="shared" si="1021"/>
        <v>21.373925759999999</v>
      </c>
      <c r="AX265" s="275">
        <f t="shared" si="1021"/>
        <v>24.246047034</v>
      </c>
      <c r="AY265" s="275">
        <f t="shared" si="1021"/>
        <v>27.478853305200005</v>
      </c>
      <c r="AZ265" s="275">
        <f t="shared" si="1021"/>
        <v>31.115760360300001</v>
      </c>
      <c r="BA265" s="275">
        <f t="shared" si="1021"/>
        <v>34.227336396330003</v>
      </c>
      <c r="BB265" s="275">
        <f t="shared" si="1021"/>
        <v>37.650070035963004</v>
      </c>
      <c r="BC265" s="275">
        <f t="shared" si="1021"/>
        <v>39.532573537761152</v>
      </c>
      <c r="BD265" s="275">
        <f t="shared" si="1021"/>
        <v>41.509202214649214</v>
      </c>
      <c r="BE265" s="275">
        <f t="shared" si="1021"/>
        <v>43.584662325381672</v>
      </c>
      <c r="BF265" s="275">
        <f t="shared" si="1021"/>
        <v>45.76389544165076</v>
      </c>
      <c r="BJ265" s="116">
        <f t="shared" si="803"/>
        <v>256</v>
      </c>
    </row>
    <row r="266" spans="1:62" hidden="1" outlineLevel="2">
      <c r="B266" s="40" t="s">
        <v>100</v>
      </c>
      <c r="C266" s="193">
        <f t="shared" ref="C266:I266" si="1022">IFERROR(+C265/C263,0)</f>
        <v>0</v>
      </c>
      <c r="D266" s="193">
        <f t="shared" si="1022"/>
        <v>0</v>
      </c>
      <c r="E266" s="193">
        <f t="shared" si="1022"/>
        <v>0</v>
      </c>
      <c r="F266" s="193">
        <f t="shared" si="1022"/>
        <v>0</v>
      </c>
      <c r="G266" s="193">
        <f t="shared" si="1022"/>
        <v>0</v>
      </c>
      <c r="H266" s="193">
        <f t="shared" si="1022"/>
        <v>0</v>
      </c>
      <c r="I266" s="193">
        <f t="shared" si="1022"/>
        <v>0.13068181818181815</v>
      </c>
      <c r="J266" s="193">
        <f>IFERROR(+J265/J263,0)</f>
        <v>0.2333033099056035</v>
      </c>
      <c r="K266" s="193">
        <f t="shared" ref="K266:M266" si="1023">IFERROR(+K265/K263,0)</f>
        <v>0.31634141267034227</v>
      </c>
      <c r="L266" s="193">
        <f t="shared" si="1023"/>
        <v>0.34784529196293901</v>
      </c>
      <c r="M266" s="193">
        <f t="shared" si="1023"/>
        <v>0.35</v>
      </c>
      <c r="AO266" s="163">
        <f t="shared" ref="AO266:AT266" si="1024">+AO265/AO263</f>
        <v>0.13068181818181815</v>
      </c>
      <c r="AP266" s="163">
        <f t="shared" si="1024"/>
        <v>0.13068181818181815</v>
      </c>
      <c r="AQ266" s="163">
        <f t="shared" si="1024"/>
        <v>0.10583941605839416</v>
      </c>
      <c r="AR266" s="163">
        <f t="shared" si="1024"/>
        <v>0.23899371069182387</v>
      </c>
      <c r="AS266" s="252">
        <f t="shared" si="1024"/>
        <v>0.2592592592592593</v>
      </c>
      <c r="AT266" s="252">
        <f t="shared" si="1024"/>
        <v>0.28626622122224499</v>
      </c>
      <c r="AU266" s="252">
        <f t="shared" ref="AU266:BF266" si="1025">+AU265/AU263</f>
        <v>0.3</v>
      </c>
      <c r="AV266" s="252">
        <f t="shared" si="1025"/>
        <v>0.31</v>
      </c>
      <c r="AW266" s="252">
        <f t="shared" si="1025"/>
        <v>0.32</v>
      </c>
      <c r="AX266" s="252">
        <f t="shared" si="1025"/>
        <v>0.33</v>
      </c>
      <c r="AY266" s="252">
        <f t="shared" si="1025"/>
        <v>0.34</v>
      </c>
      <c r="AZ266" s="252">
        <f t="shared" si="1025"/>
        <v>0.35</v>
      </c>
      <c r="BA266" s="252">
        <f t="shared" si="1025"/>
        <v>0.35</v>
      </c>
      <c r="BB266" s="252">
        <f t="shared" si="1025"/>
        <v>0.35</v>
      </c>
      <c r="BC266" s="252">
        <f t="shared" si="1025"/>
        <v>0.35</v>
      </c>
      <c r="BD266" s="252">
        <f t="shared" si="1025"/>
        <v>0.35</v>
      </c>
      <c r="BE266" s="252">
        <f t="shared" si="1025"/>
        <v>0.35</v>
      </c>
      <c r="BF266" s="252">
        <f t="shared" si="1025"/>
        <v>0.35</v>
      </c>
      <c r="BJ266" s="116">
        <f t="shared" si="803"/>
        <v>257</v>
      </c>
    </row>
    <row r="267" spans="1:62" hidden="1" outlineLevel="2">
      <c r="B267" s="40"/>
      <c r="AO267" s="163"/>
      <c r="AP267" s="163"/>
      <c r="AQ267" s="163"/>
      <c r="AR267" s="163"/>
      <c r="AS267" s="163"/>
      <c r="AT267" s="163"/>
      <c r="BJ267" s="116">
        <f t="shared" si="803"/>
        <v>258</v>
      </c>
    </row>
    <row r="268" spans="1:62" hidden="1" outlineLevel="2">
      <c r="B268" s="39" t="s">
        <v>389</v>
      </c>
      <c r="AO268" s="163"/>
      <c r="AP268" s="163"/>
      <c r="AQ268" s="163"/>
      <c r="AR268" s="163"/>
      <c r="AS268" s="163"/>
      <c r="AT268" s="163"/>
      <c r="BJ268" s="116">
        <f t="shared" ref="BJ268:BJ331" si="1026">BJ267+1</f>
        <v>259</v>
      </c>
    </row>
    <row r="269" spans="1:62" hidden="1" outlineLevel="2">
      <c r="B269" s="40" t="s">
        <v>29</v>
      </c>
      <c r="E269" s="50">
        <f t="shared" ref="E269:J269" si="1027">SUMIFS($O269:$BG269,$O$5:$BG$5,E$5)</f>
        <v>0</v>
      </c>
      <c r="F269" s="51">
        <v>524</v>
      </c>
      <c r="G269" s="51">
        <v>543</v>
      </c>
      <c r="H269" s="51">
        <v>279.7</v>
      </c>
      <c r="I269" s="50">
        <f t="shared" si="1027"/>
        <v>134.80000000000001</v>
      </c>
      <c r="J269" s="50">
        <f t="shared" si="1027"/>
        <v>121.80000000000001</v>
      </c>
      <c r="K269" s="50"/>
      <c r="L269" s="50"/>
      <c r="M269" s="50"/>
      <c r="AM269" s="51">
        <v>35.5</v>
      </c>
      <c r="AN269" s="51">
        <v>33.6</v>
      </c>
      <c r="AO269" s="248">
        <v>30.4</v>
      </c>
      <c r="AP269" s="248">
        <v>35.299999999999997</v>
      </c>
      <c r="AQ269" s="248">
        <v>36.700000000000003</v>
      </c>
      <c r="AR269" s="248">
        <v>40.1</v>
      </c>
      <c r="AS269" s="249">
        <v>45</v>
      </c>
      <c r="AT269" s="248"/>
      <c r="BJ269" s="116">
        <f t="shared" si="1026"/>
        <v>260</v>
      </c>
    </row>
    <row r="270" spans="1:62" hidden="1" outlineLevel="2">
      <c r="B270" s="40" t="s">
        <v>98</v>
      </c>
      <c r="E270" s="193">
        <f t="shared" ref="E270" si="1028">IFERROR(+E269/D269-1,0)</f>
        <v>0</v>
      </c>
      <c r="F270" s="193">
        <f t="shared" ref="F270" si="1029">IFERROR(+F269/E269-1,0)</f>
        <v>0</v>
      </c>
      <c r="G270" s="193">
        <f t="shared" ref="G270" si="1030">IFERROR(+G269/F269-1,0)</f>
        <v>3.6259541984732913E-2</v>
      </c>
      <c r="H270" s="193">
        <f t="shared" ref="H270" si="1031">IFERROR(+H269/G269-1,0)</f>
        <v>-0.48489871086556169</v>
      </c>
      <c r="I270" s="193">
        <f t="shared" ref="I270" si="1032">IFERROR(+I269/H269-1,0)</f>
        <v>-0.51805505899177684</v>
      </c>
      <c r="J270" s="193">
        <f t="shared" ref="J270" si="1033">IFERROR(+J269/I269-1,0)</f>
        <v>-9.6439169139465819E-2</v>
      </c>
      <c r="K270" s="193"/>
      <c r="L270" s="193"/>
      <c r="M270" s="193"/>
      <c r="AM270" s="193"/>
      <c r="AN270" s="193">
        <f t="shared" ref="AN270:AO270" si="1034">+AN269/AM269-1</f>
        <v>-5.3521126760563309E-2</v>
      </c>
      <c r="AO270" s="193">
        <f t="shared" si="1034"/>
        <v>-9.5238095238095344E-2</v>
      </c>
      <c r="AP270" s="193">
        <f>+AP269/AO269-1</f>
        <v>0.16118421052631571</v>
      </c>
      <c r="AQ270" s="193">
        <f t="shared" ref="AQ270:AS270" si="1035">+AQ269/AP269-1</f>
        <v>3.9660056657224052E-2</v>
      </c>
      <c r="AR270" s="193">
        <f t="shared" si="1035"/>
        <v>9.2643051771117202E-2</v>
      </c>
      <c r="AS270" s="193">
        <f t="shared" si="1035"/>
        <v>0.12219451371571077</v>
      </c>
      <c r="AT270" s="193"/>
      <c r="BJ270" s="116">
        <f t="shared" si="1026"/>
        <v>261</v>
      </c>
    </row>
    <row r="271" spans="1:62" hidden="1" outlineLevel="2">
      <c r="B271" s="40" t="s">
        <v>99</v>
      </c>
      <c r="E271" s="50">
        <f t="shared" ref="E271:J271" si="1036">SUMIFS($O271:$BG271,$O$5:$BG$5,E$5)</f>
        <v>0</v>
      </c>
      <c r="F271" s="51">
        <v>103.4</v>
      </c>
      <c r="G271" s="51">
        <v>104.1</v>
      </c>
      <c r="H271" s="51">
        <v>8.3000000000000007</v>
      </c>
      <c r="I271" s="50">
        <f t="shared" si="1036"/>
        <v>-28.799999999999997</v>
      </c>
      <c r="J271" s="50">
        <f t="shared" si="1036"/>
        <v>-11.6</v>
      </c>
      <c r="K271" s="50"/>
      <c r="L271" s="50"/>
      <c r="M271" s="50"/>
      <c r="AM271" s="51">
        <v>-7.8</v>
      </c>
      <c r="AN271" s="248">
        <v>-7.5</v>
      </c>
      <c r="AO271" s="248">
        <v>-9.1</v>
      </c>
      <c r="AP271" s="248">
        <v>-4.4000000000000004</v>
      </c>
      <c r="AQ271" s="248">
        <v>-4.7</v>
      </c>
      <c r="AR271" s="248">
        <v>-3.9</v>
      </c>
      <c r="AS271" s="249">
        <v>-3</v>
      </c>
      <c r="AT271" s="248"/>
      <c r="BJ271" s="116">
        <f t="shared" si="1026"/>
        <v>262</v>
      </c>
    </row>
    <row r="272" spans="1:62" hidden="1" outlineLevel="2">
      <c r="B272" s="40" t="s">
        <v>100</v>
      </c>
      <c r="E272" s="193">
        <f t="shared" ref="E272:I272" si="1037">IFERROR(+E271/E269,0)</f>
        <v>0</v>
      </c>
      <c r="F272" s="193">
        <f t="shared" si="1037"/>
        <v>0.19732824427480916</v>
      </c>
      <c r="G272" s="193">
        <f t="shared" si="1037"/>
        <v>0.19171270718232042</v>
      </c>
      <c r="H272" s="193">
        <f t="shared" si="1037"/>
        <v>2.9674651412227391E-2</v>
      </c>
      <c r="I272" s="193">
        <f t="shared" si="1037"/>
        <v>-0.21364985163204744</v>
      </c>
      <c r="J272" s="193">
        <f>IFERROR(+J271/J269,0)</f>
        <v>-9.5238095238095233E-2</v>
      </c>
      <c r="K272" s="193"/>
      <c r="L272" s="193"/>
      <c r="M272" s="193"/>
      <c r="AM272" s="193">
        <f t="shared" ref="AM272" si="1038">+AM271/AM269</f>
        <v>-0.21971830985915491</v>
      </c>
      <c r="AN272" s="193">
        <f t="shared" ref="AN272:AO272" si="1039">+AN271/AN269</f>
        <v>-0.2232142857142857</v>
      </c>
      <c r="AO272" s="193">
        <f t="shared" si="1039"/>
        <v>-0.29934210526315791</v>
      </c>
      <c r="AP272" s="193">
        <f>+AP271/AP269</f>
        <v>-0.12464589235127481</v>
      </c>
      <c r="AQ272" s="193">
        <f t="shared" ref="AQ272:AS272" si="1040">+AQ271/AQ269</f>
        <v>-0.12806539509536785</v>
      </c>
      <c r="AR272" s="193">
        <f t="shared" si="1040"/>
        <v>-9.7256857855361589E-2</v>
      </c>
      <c r="AS272" s="193">
        <f t="shared" si="1040"/>
        <v>-6.6666666666666666E-2</v>
      </c>
      <c r="AT272" s="193"/>
      <c r="BJ272" s="116">
        <f t="shared" si="1026"/>
        <v>263</v>
      </c>
    </row>
    <row r="273" spans="1:62" hidden="1" outlineLevel="2">
      <c r="B273" s="40"/>
      <c r="AO273" s="163"/>
      <c r="AP273" s="163"/>
      <c r="AQ273" s="163"/>
      <c r="AR273" s="163"/>
      <c r="AS273" s="163"/>
      <c r="AT273" s="163"/>
      <c r="BJ273" s="116">
        <f t="shared" si="1026"/>
        <v>264</v>
      </c>
    </row>
    <row r="274" spans="1:62" hidden="1" outlineLevel="2">
      <c r="B274" s="39" t="s">
        <v>390</v>
      </c>
      <c r="AO274" s="163"/>
      <c r="AP274" s="163"/>
      <c r="AQ274" s="163"/>
      <c r="AR274" s="163"/>
      <c r="AS274" s="163"/>
      <c r="AT274" s="163"/>
      <c r="BJ274" s="116">
        <f t="shared" si="1026"/>
        <v>265</v>
      </c>
    </row>
    <row r="275" spans="1:62" hidden="1" outlineLevel="2">
      <c r="B275" s="40" t="s">
        <v>29</v>
      </c>
      <c r="C275" s="50">
        <f>SUMIFS($O275:$BG275,$O$5:$BG$5,C$5)</f>
        <v>0</v>
      </c>
      <c r="D275" s="50">
        <f t="shared" ref="D275:J275" si="1041">SUMIFS($O275:$BG275,$O$5:$BG$5,D$5)</f>
        <v>0</v>
      </c>
      <c r="E275" s="50">
        <f t="shared" si="1041"/>
        <v>0</v>
      </c>
      <c r="F275" s="50">
        <f t="shared" si="1041"/>
        <v>0</v>
      </c>
      <c r="G275" s="50">
        <f t="shared" si="1041"/>
        <v>0</v>
      </c>
      <c r="H275" s="50">
        <f t="shared" si="1041"/>
        <v>0</v>
      </c>
      <c r="I275" s="50">
        <f t="shared" si="1041"/>
        <v>59.259999999999991</v>
      </c>
      <c r="J275" s="50">
        <f t="shared" si="1041"/>
        <v>93.540999999999997</v>
      </c>
      <c r="K275" s="50"/>
      <c r="L275" s="50"/>
      <c r="M275" s="50"/>
      <c r="AO275" s="194">
        <f t="shared" ref="AO275:AT275" si="1042">AO16-AO263</f>
        <v>30.767999999999997</v>
      </c>
      <c r="AP275" s="194">
        <f t="shared" si="1042"/>
        <v>28.491999999999997</v>
      </c>
      <c r="AQ275" s="194">
        <f t="shared" si="1042"/>
        <v>16.676000000000002</v>
      </c>
      <c r="AR275" s="194">
        <f t="shared" si="1042"/>
        <v>29.385000000000002</v>
      </c>
      <c r="AS275" s="194">
        <f t="shared" si="1042"/>
        <v>12.231999999999999</v>
      </c>
      <c r="AT275" s="194">
        <f t="shared" si="1042"/>
        <v>35.247999999999998</v>
      </c>
      <c r="BJ275" s="116">
        <f t="shared" si="1026"/>
        <v>266</v>
      </c>
    </row>
    <row r="276" spans="1:62" hidden="1" outlineLevel="2">
      <c r="B276" s="40" t="s">
        <v>98</v>
      </c>
      <c r="C276" s="193">
        <f t="shared" ref="C276:H276" si="1043">IFERROR(+C275/B275-1,0)</f>
        <v>0</v>
      </c>
      <c r="D276" s="193">
        <f t="shared" si="1043"/>
        <v>0</v>
      </c>
      <c r="E276" s="193">
        <f t="shared" si="1043"/>
        <v>0</v>
      </c>
      <c r="F276" s="193">
        <f t="shared" si="1043"/>
        <v>0</v>
      </c>
      <c r="G276" s="193">
        <f t="shared" si="1043"/>
        <v>0</v>
      </c>
      <c r="H276" s="193">
        <f t="shared" si="1043"/>
        <v>0</v>
      </c>
      <c r="I276" s="193">
        <f>IFERROR(+I275/H275-1,0)</f>
        <v>0</v>
      </c>
      <c r="J276" s="193">
        <f t="shared" ref="J276" si="1044">IFERROR(+J275/I275-1,0)</f>
        <v>0.57848464394195087</v>
      </c>
      <c r="K276" s="193"/>
      <c r="L276" s="193"/>
      <c r="M276" s="193"/>
      <c r="AO276" s="163"/>
      <c r="AP276" s="193">
        <f>+AP275/AO275-1</f>
        <v>-7.3972958918356757E-2</v>
      </c>
      <c r="AQ276" s="193">
        <f>+AQ275/AP275-1</f>
        <v>-0.41471290186719068</v>
      </c>
      <c r="AR276" s="193">
        <f>+AR275/AQ275-1</f>
        <v>0.76211321659870457</v>
      </c>
      <c r="AS276" s="193">
        <f>+AS275/AR275-1</f>
        <v>-0.5837331972094606</v>
      </c>
      <c r="AT276" s="193">
        <f>+AT275/AS275-1</f>
        <v>1.881621975147155</v>
      </c>
      <c r="BJ276" s="116">
        <f t="shared" si="1026"/>
        <v>267</v>
      </c>
    </row>
    <row r="277" spans="1:62" hidden="1" outlineLevel="2">
      <c r="B277" s="40" t="s">
        <v>99</v>
      </c>
      <c r="C277" s="50">
        <f>SUMIFS($O277:$BG277,$O$5:$BG$5,C$5)</f>
        <v>0</v>
      </c>
      <c r="D277" s="50">
        <f t="shared" ref="D277:J277" si="1045">SUMIFS($O277:$BG277,$O$5:$BG$5,D$5)</f>
        <v>0</v>
      </c>
      <c r="E277" s="50">
        <f t="shared" si="1045"/>
        <v>0</v>
      </c>
      <c r="F277" s="50">
        <f t="shared" si="1045"/>
        <v>0</v>
      </c>
      <c r="G277" s="50">
        <f t="shared" si="1045"/>
        <v>0</v>
      </c>
      <c r="H277" s="50">
        <f t="shared" si="1045"/>
        <v>0</v>
      </c>
      <c r="I277" s="50">
        <f t="shared" si="1045"/>
        <v>-8.67</v>
      </c>
      <c r="J277" s="50">
        <f t="shared" si="1045"/>
        <v>-52.33</v>
      </c>
      <c r="K277" s="50"/>
      <c r="L277" s="50"/>
      <c r="M277" s="50"/>
      <c r="AO277" s="194">
        <f t="shared" ref="AO277:AT277" si="1046">AO27-AO265</f>
        <v>-5.0190000000000001</v>
      </c>
      <c r="AP277" s="194">
        <f t="shared" si="1046"/>
        <v>-3.6509999999999998</v>
      </c>
      <c r="AQ277" s="194">
        <f t="shared" si="1046"/>
        <v>-7.9529999999999994</v>
      </c>
      <c r="AR277" s="194">
        <f t="shared" si="1046"/>
        <v>-9.7509999999999994</v>
      </c>
      <c r="AS277" s="194">
        <f t="shared" si="1046"/>
        <v>-17.738</v>
      </c>
      <c r="AT277" s="194">
        <f t="shared" si="1046"/>
        <v>-16.887999999999998</v>
      </c>
      <c r="BJ277" s="116">
        <f t="shared" si="1026"/>
        <v>268</v>
      </c>
    </row>
    <row r="278" spans="1:62" hidden="1" outlineLevel="2">
      <c r="B278" s="40" t="s">
        <v>100</v>
      </c>
      <c r="C278" s="193">
        <f t="shared" ref="C278:I278" si="1047">IFERROR(+C277/C275,0)</f>
        <v>0</v>
      </c>
      <c r="D278" s="193">
        <f t="shared" si="1047"/>
        <v>0</v>
      </c>
      <c r="E278" s="193">
        <f t="shared" si="1047"/>
        <v>0</v>
      </c>
      <c r="F278" s="193">
        <f t="shared" si="1047"/>
        <v>0</v>
      </c>
      <c r="G278" s="193">
        <f t="shared" si="1047"/>
        <v>0</v>
      </c>
      <c r="H278" s="193">
        <f t="shared" si="1047"/>
        <v>0</v>
      </c>
      <c r="I278" s="193">
        <f t="shared" si="1047"/>
        <v>-0.14630442119473508</v>
      </c>
      <c r="J278" s="193">
        <f>IFERROR(+J277/J275,0)</f>
        <v>-0.55943383115425327</v>
      </c>
      <c r="K278" s="193"/>
      <c r="L278" s="193"/>
      <c r="M278" s="193"/>
      <c r="AO278" s="193">
        <f t="shared" ref="AO278:AT278" si="1048">+AO277/AO275</f>
        <v>-0.16312402496099845</v>
      </c>
      <c r="AP278" s="193">
        <f t="shared" si="1048"/>
        <v>-0.12814123262670224</v>
      </c>
      <c r="AQ278" s="193">
        <f t="shared" si="1048"/>
        <v>-0.47691292875989438</v>
      </c>
      <c r="AR278" s="193">
        <f t="shared" si="1048"/>
        <v>-0.33183597073336735</v>
      </c>
      <c r="AS278" s="193">
        <f t="shared" si="1048"/>
        <v>-1.4501308044473513</v>
      </c>
      <c r="AT278" s="193">
        <f t="shared" si="1048"/>
        <v>-0.47911938266000909</v>
      </c>
      <c r="BJ278" s="116">
        <f t="shared" si="1026"/>
        <v>269</v>
      </c>
    </row>
    <row r="279" spans="1:62" hidden="1" outlineLevel="2">
      <c r="A279" s="250"/>
      <c r="B279" s="40"/>
      <c r="C279" s="193"/>
      <c r="D279" s="193"/>
      <c r="E279" s="193"/>
      <c r="F279" s="193"/>
      <c r="G279" s="193"/>
      <c r="H279" s="193"/>
      <c r="I279" s="193"/>
      <c r="J279" s="193"/>
      <c r="K279" s="193"/>
      <c r="L279" s="193"/>
      <c r="M279" s="193"/>
      <c r="O279" s="231"/>
      <c r="P279" s="231"/>
      <c r="Q279" s="231"/>
      <c r="R279" s="231"/>
      <c r="S279" s="231"/>
      <c r="T279" s="231"/>
      <c r="U279" s="231"/>
      <c r="V279" s="231"/>
      <c r="W279" s="231"/>
      <c r="X279" s="231"/>
      <c r="Y279" s="231"/>
      <c r="Z279" s="231"/>
      <c r="AA279" s="231"/>
      <c r="AB279" s="231"/>
      <c r="AC279" s="231"/>
      <c r="AD279" s="231"/>
      <c r="AE279" s="231"/>
      <c r="AF279" s="231"/>
      <c r="AG279" s="231"/>
      <c r="AH279" s="231"/>
      <c r="AI279" s="231"/>
      <c r="AJ279" s="231"/>
      <c r="AK279" s="231"/>
      <c r="AL279" s="231"/>
      <c r="AM279" s="231"/>
      <c r="AN279" s="231"/>
      <c r="AO279" s="193"/>
      <c r="AP279" s="193"/>
      <c r="AQ279" s="193"/>
      <c r="AR279" s="193"/>
      <c r="AS279" s="193"/>
      <c r="AT279" s="193"/>
      <c r="BG279" s="231"/>
      <c r="BH279" s="231"/>
      <c r="BI279" s="231"/>
      <c r="BJ279" s="116">
        <f t="shared" si="1026"/>
        <v>270</v>
      </c>
    </row>
    <row r="280" spans="1:62" hidden="1" outlineLevel="2">
      <c r="A280" s="250"/>
      <c r="B280" s="251" t="s">
        <v>386</v>
      </c>
      <c r="C280" s="193"/>
      <c r="D280" s="193"/>
      <c r="E280" s="193"/>
      <c r="F280" s="193"/>
      <c r="G280" s="193"/>
      <c r="H280" s="193"/>
      <c r="I280" s="193"/>
      <c r="J280" s="193"/>
      <c r="K280" s="193"/>
      <c r="L280" s="193"/>
      <c r="M280" s="193"/>
      <c r="O280" s="231"/>
      <c r="P280" s="231"/>
      <c r="Q280" s="231"/>
      <c r="R280" s="231"/>
      <c r="S280" s="231"/>
      <c r="T280" s="231"/>
      <c r="U280" s="231"/>
      <c r="V280" s="231"/>
      <c r="W280" s="231"/>
      <c r="X280" s="231"/>
      <c r="Y280" s="231"/>
      <c r="Z280" s="231"/>
      <c r="AA280" s="231"/>
      <c r="AB280" s="231"/>
      <c r="AC280" s="231"/>
      <c r="AD280" s="231"/>
      <c r="AE280" s="231"/>
      <c r="AF280" s="231"/>
      <c r="AG280" s="231"/>
      <c r="AH280" s="231"/>
      <c r="AI280" s="231"/>
      <c r="AJ280" s="231"/>
      <c r="AK280" s="231"/>
      <c r="AL280" s="231"/>
      <c r="AM280" s="231"/>
      <c r="AN280" s="196">
        <f t="shared" ref="AN280:AR280" si="1049">+AN263+AN275</f>
        <v>0</v>
      </c>
      <c r="AO280" s="196">
        <f t="shared" si="1049"/>
        <v>44.847999999999999</v>
      </c>
      <c r="AP280" s="196">
        <f t="shared" si="1049"/>
        <v>46.091999999999999</v>
      </c>
      <c r="AQ280" s="196">
        <f t="shared" si="1049"/>
        <v>44.076000000000001</v>
      </c>
      <c r="AR280" s="196">
        <f t="shared" si="1049"/>
        <v>61.185000000000002</v>
      </c>
      <c r="AS280" s="196">
        <f t="shared" ref="AS280" si="1050">+AS263+AS275</f>
        <v>50.031999999999996</v>
      </c>
      <c r="AT280" s="196">
        <f>+AT263+AT275</f>
        <v>79.248999999999995</v>
      </c>
      <c r="BG280" s="231"/>
      <c r="BH280" s="231"/>
      <c r="BI280" s="231"/>
      <c r="BJ280" s="116">
        <f t="shared" si="1026"/>
        <v>271</v>
      </c>
    </row>
    <row r="281" spans="1:62" hidden="1" outlineLevel="2">
      <c r="B281" s="40" t="s">
        <v>98</v>
      </c>
      <c r="E281" s="193">
        <f t="shared" ref="E281" si="1051">IFERROR(+E280/D280-1,0)</f>
        <v>0</v>
      </c>
      <c r="F281" s="193">
        <f t="shared" ref="F281" si="1052">IFERROR(+F280/E280-1,0)</f>
        <v>0</v>
      </c>
      <c r="G281" s="193">
        <f t="shared" ref="G281" si="1053">IFERROR(+G280/F280-1,0)</f>
        <v>0</v>
      </c>
      <c r="H281" s="193">
        <f t="shared" ref="H281" si="1054">IFERROR(+H280/G280-1,0)</f>
        <v>0</v>
      </c>
      <c r="I281" s="193">
        <f t="shared" ref="I281" si="1055">IFERROR(+I280/H280-1,0)</f>
        <v>0</v>
      </c>
      <c r="J281" s="193">
        <f t="shared" ref="J281" si="1056">IFERROR(+J280/I280-1,0)</f>
        <v>0</v>
      </c>
      <c r="K281" s="193"/>
      <c r="L281" s="193"/>
      <c r="M281" s="193"/>
      <c r="AM281" s="193"/>
      <c r="AN281" s="193"/>
      <c r="AO281" s="193" t="e">
        <f t="shared" ref="AO281" si="1057">+AO280/AN280-1</f>
        <v>#DIV/0!</v>
      </c>
      <c r="AP281" s="193">
        <f>+AP280/AO280-1</f>
        <v>2.7738137709596877E-2</v>
      </c>
      <c r="AQ281" s="193">
        <f t="shared" ref="AQ281" si="1058">+AQ280/AP280-1</f>
        <v>-4.3738609737047573E-2</v>
      </c>
      <c r="AR281" s="193">
        <f t="shared" ref="AR281:AS281" si="1059">+AR280/AQ280-1</f>
        <v>0.38817043288864683</v>
      </c>
      <c r="AS281" s="193">
        <f t="shared" si="1059"/>
        <v>-0.1822832393560514</v>
      </c>
      <c r="AT281" s="193">
        <f t="shared" ref="AT281" si="1060">+AT280/AS280-1</f>
        <v>0.58396626159258069</v>
      </c>
      <c r="BJ281" s="116">
        <f t="shared" si="1026"/>
        <v>272</v>
      </c>
    </row>
    <row r="282" spans="1:62" hidden="1" outlineLevel="2">
      <c r="A282" s="250"/>
      <c r="B282" s="251" t="s">
        <v>387</v>
      </c>
      <c r="C282" s="193"/>
      <c r="D282" s="193"/>
      <c r="E282" s="193"/>
      <c r="F282" s="193"/>
      <c r="G282" s="193"/>
      <c r="H282" s="193"/>
      <c r="I282" s="193"/>
      <c r="J282" s="193"/>
      <c r="K282" s="193"/>
      <c r="L282" s="193"/>
      <c r="M282" s="193"/>
      <c r="O282" s="231"/>
      <c r="P282" s="231"/>
      <c r="Q282" s="231"/>
      <c r="R282" s="231"/>
      <c r="S282" s="231"/>
      <c r="T282" s="231"/>
      <c r="U282" s="231"/>
      <c r="V282" s="231"/>
      <c r="W282" s="231"/>
      <c r="X282" s="231"/>
      <c r="Y282" s="231"/>
      <c r="Z282" s="231"/>
      <c r="AA282" s="231"/>
      <c r="AB282" s="231"/>
      <c r="AC282" s="231"/>
      <c r="AD282" s="231"/>
      <c r="AE282" s="231"/>
      <c r="AF282" s="231"/>
      <c r="AG282" s="231"/>
      <c r="AH282" s="231"/>
      <c r="AI282" s="231"/>
      <c r="AJ282" s="231"/>
      <c r="AK282" s="231"/>
      <c r="AL282" s="231"/>
      <c r="AM282" s="231"/>
      <c r="AN282" s="231"/>
      <c r="AO282" s="196">
        <f t="shared" ref="AO282:AT282" si="1061">+AO265+AO271+AO277</f>
        <v>-12.279</v>
      </c>
      <c r="AP282" s="196">
        <f t="shared" si="1061"/>
        <v>-5.7510000000000003</v>
      </c>
      <c r="AQ282" s="196">
        <f t="shared" si="1061"/>
        <v>-9.7530000000000001</v>
      </c>
      <c r="AR282" s="196">
        <f t="shared" si="1061"/>
        <v>-6.0510000000000002</v>
      </c>
      <c r="AS282" s="196">
        <f t="shared" ref="AS282" si="1062">+AS265+AS271+AS277</f>
        <v>-10.937999999999999</v>
      </c>
      <c r="AT282" s="196">
        <f t="shared" si="1061"/>
        <v>-4.291999999999998</v>
      </c>
      <c r="BG282" s="231"/>
      <c r="BH282" s="231"/>
      <c r="BI282" s="231"/>
      <c r="BJ282" s="116">
        <f t="shared" si="1026"/>
        <v>273</v>
      </c>
    </row>
    <row r="283" spans="1:62" hidden="1" outlineLevel="2">
      <c r="B283" s="40" t="s">
        <v>100</v>
      </c>
      <c r="C283" s="193">
        <f t="shared" ref="C283:I283" si="1063">IFERROR(+C282/C280,0)</f>
        <v>0</v>
      </c>
      <c r="D283" s="193">
        <f t="shared" si="1063"/>
        <v>0</v>
      </c>
      <c r="E283" s="193">
        <f t="shared" si="1063"/>
        <v>0</v>
      </c>
      <c r="F283" s="193">
        <f t="shared" si="1063"/>
        <v>0</v>
      </c>
      <c r="G283" s="193">
        <f t="shared" si="1063"/>
        <v>0</v>
      </c>
      <c r="H283" s="193">
        <f t="shared" si="1063"/>
        <v>0</v>
      </c>
      <c r="I283" s="193">
        <f t="shared" si="1063"/>
        <v>0</v>
      </c>
      <c r="J283" s="193">
        <f>IFERROR(+J282/J280,0)</f>
        <v>0</v>
      </c>
      <c r="K283" s="193"/>
      <c r="L283" s="193"/>
      <c r="M283" s="193"/>
      <c r="AO283" s="193">
        <f>+AO282/AO280</f>
        <v>-0.27379147342133431</v>
      </c>
      <c r="AP283" s="193">
        <f>+AP282/AP280</f>
        <v>-0.12477219474095289</v>
      </c>
      <c r="AQ283" s="193">
        <f>+AQ282/AQ280</f>
        <v>-0.22127688537979853</v>
      </c>
      <c r="AR283" s="193">
        <f>+AR282/AR280</f>
        <v>-9.88967884285364E-2</v>
      </c>
      <c r="AS283" s="193">
        <f>+AS282/AS280</f>
        <v>-0.21862008314678605</v>
      </c>
      <c r="AT283" s="193">
        <f t="shared" ref="AT283" si="1064">+AT282/AT280</f>
        <v>-5.4158412093527973E-2</v>
      </c>
      <c r="BJ283" s="116">
        <f t="shared" si="1026"/>
        <v>274</v>
      </c>
    </row>
    <row r="284" spans="1:62" hidden="1" outlineLevel="2">
      <c r="B284" s="40"/>
      <c r="AO284" s="193"/>
      <c r="AP284" s="193"/>
      <c r="AQ284" s="193"/>
      <c r="AR284" s="193"/>
      <c r="AS284" s="193"/>
      <c r="AT284" s="193"/>
      <c r="BJ284" s="116">
        <f t="shared" si="1026"/>
        <v>275</v>
      </c>
    </row>
    <row r="285" spans="1:62" collapsed="1">
      <c r="A285" s="72" t="s">
        <v>322</v>
      </c>
      <c r="B285" s="195" t="s">
        <v>391</v>
      </c>
      <c r="AO285" s="193"/>
      <c r="AP285" s="193"/>
      <c r="AQ285" s="193"/>
      <c r="AR285" s="193"/>
      <c r="AS285" s="193"/>
      <c r="AT285" s="193"/>
      <c r="BJ285" s="116">
        <f t="shared" si="1026"/>
        <v>276</v>
      </c>
    </row>
    <row r="286" spans="1:62" hidden="1" outlineLevel="2">
      <c r="B286" s="251" t="s">
        <v>398</v>
      </c>
      <c r="AO286" s="193"/>
      <c r="AP286" s="193"/>
      <c r="AQ286" s="193"/>
      <c r="AR286" s="193"/>
      <c r="AS286" s="193"/>
      <c r="AT286" s="263">
        <v>5</v>
      </c>
      <c r="AU286" s="244">
        <v>0</v>
      </c>
      <c r="AV286" s="244">
        <v>0</v>
      </c>
      <c r="AW286" s="244">
        <v>0</v>
      </c>
      <c r="AX286" s="244">
        <v>0</v>
      </c>
      <c r="AY286" s="244">
        <v>5</v>
      </c>
      <c r="AZ286" s="244">
        <v>0</v>
      </c>
      <c r="BA286" s="244">
        <v>0</v>
      </c>
      <c r="BB286" s="244">
        <v>0</v>
      </c>
      <c r="BC286" s="244">
        <v>0</v>
      </c>
      <c r="BD286" s="244">
        <v>0</v>
      </c>
      <c r="BE286" s="244">
        <v>0</v>
      </c>
      <c r="BF286" s="244">
        <v>0</v>
      </c>
      <c r="BJ286" s="116">
        <f t="shared" si="1026"/>
        <v>277</v>
      </c>
    </row>
    <row r="287" spans="1:62" hidden="1" outlineLevel="2">
      <c r="B287" s="251" t="s">
        <v>399</v>
      </c>
      <c r="AO287" s="193"/>
      <c r="AP287" s="193"/>
      <c r="AQ287" s="193"/>
      <c r="AR287" s="193"/>
      <c r="AS287" s="193"/>
      <c r="AT287" s="263">
        <v>3</v>
      </c>
      <c r="AU287" s="244">
        <v>2</v>
      </c>
      <c r="AV287" s="244">
        <v>0</v>
      </c>
      <c r="AW287" s="244">
        <v>0</v>
      </c>
      <c r="AX287" s="244">
        <v>0</v>
      </c>
      <c r="AY287" s="244">
        <v>0</v>
      </c>
      <c r="AZ287" s="244">
        <v>0</v>
      </c>
      <c r="BA287" s="244">
        <v>0</v>
      </c>
      <c r="BB287" s="244">
        <v>0</v>
      </c>
      <c r="BC287" s="244">
        <v>0</v>
      </c>
      <c r="BD287" s="244">
        <v>0</v>
      </c>
      <c r="BE287" s="244">
        <v>0</v>
      </c>
      <c r="BF287" s="244">
        <v>0</v>
      </c>
      <c r="BJ287" s="116">
        <f t="shared" si="1026"/>
        <v>278</v>
      </c>
    </row>
    <row r="288" spans="1:62" hidden="1" outlineLevel="2">
      <c r="B288" s="251" t="s">
        <v>219</v>
      </c>
      <c r="AO288" s="193"/>
      <c r="AP288" s="193"/>
      <c r="AQ288" s="193"/>
      <c r="AR288" s="193"/>
      <c r="AS288" s="193"/>
      <c r="AT288" s="286">
        <f>SUM(AT286:AT287)</f>
        <v>8</v>
      </c>
      <c r="AU288" s="260">
        <f t="shared" ref="AU288:BF288" si="1065">SUM(AU286:AU287)</f>
        <v>2</v>
      </c>
      <c r="AV288" s="260">
        <f t="shared" si="1065"/>
        <v>0</v>
      </c>
      <c r="AW288" s="260">
        <f t="shared" si="1065"/>
        <v>0</v>
      </c>
      <c r="AX288" s="260">
        <f t="shared" si="1065"/>
        <v>0</v>
      </c>
      <c r="AY288" s="260">
        <f t="shared" si="1065"/>
        <v>5</v>
      </c>
      <c r="AZ288" s="260">
        <f t="shared" si="1065"/>
        <v>0</v>
      </c>
      <c r="BA288" s="260">
        <f t="shared" si="1065"/>
        <v>0</v>
      </c>
      <c r="BB288" s="260">
        <f t="shared" si="1065"/>
        <v>0</v>
      </c>
      <c r="BC288" s="260">
        <f t="shared" si="1065"/>
        <v>0</v>
      </c>
      <c r="BD288" s="260">
        <f t="shared" si="1065"/>
        <v>0</v>
      </c>
      <c r="BE288" s="260">
        <f t="shared" si="1065"/>
        <v>0</v>
      </c>
      <c r="BF288" s="260">
        <f t="shared" si="1065"/>
        <v>0</v>
      </c>
      <c r="BJ288" s="116">
        <f t="shared" si="1026"/>
        <v>279</v>
      </c>
    </row>
    <row r="289" spans="2:62" hidden="1" outlineLevel="2">
      <c r="B289" s="251" t="s">
        <v>401</v>
      </c>
      <c r="AO289" s="193"/>
      <c r="AP289" s="193"/>
      <c r="AQ289" s="193"/>
      <c r="AR289" s="193"/>
      <c r="AS289" s="193"/>
      <c r="AT289" s="66">
        <v>25</v>
      </c>
      <c r="AU289" s="51">
        <v>25</v>
      </c>
      <c r="AV289" s="51">
        <v>25</v>
      </c>
      <c r="AW289" s="51">
        <v>25</v>
      </c>
      <c r="AX289" s="51">
        <v>25</v>
      </c>
      <c r="AY289" s="51">
        <v>30</v>
      </c>
      <c r="AZ289" s="51">
        <f t="shared" ref="AZ289:BF289" si="1066">AY289</f>
        <v>30</v>
      </c>
      <c r="BA289" s="51">
        <f t="shared" si="1066"/>
        <v>30</v>
      </c>
      <c r="BB289" s="51">
        <f t="shared" si="1066"/>
        <v>30</v>
      </c>
      <c r="BC289" s="51">
        <f t="shared" si="1066"/>
        <v>30</v>
      </c>
      <c r="BD289" s="51">
        <f t="shared" si="1066"/>
        <v>30</v>
      </c>
      <c r="BE289" s="51">
        <f t="shared" si="1066"/>
        <v>30</v>
      </c>
      <c r="BF289" s="51">
        <f t="shared" si="1066"/>
        <v>30</v>
      </c>
      <c r="BJ289" s="116">
        <f t="shared" si="1026"/>
        <v>280</v>
      </c>
    </row>
    <row r="290" spans="2:62" hidden="1" outlineLevel="2">
      <c r="B290" s="251" t="s">
        <v>402</v>
      </c>
      <c r="AO290" s="193"/>
      <c r="AP290" s="193"/>
      <c r="AQ290" s="193"/>
      <c r="AR290" s="193"/>
      <c r="AS290" s="193"/>
      <c r="AT290" s="287">
        <f>+AT288*AT289</f>
        <v>200</v>
      </c>
      <c r="AU290" s="228">
        <f t="shared" ref="AU290:BF290" si="1067">+AU288*AU289</f>
        <v>50</v>
      </c>
      <c r="AV290" s="228">
        <f t="shared" si="1067"/>
        <v>0</v>
      </c>
      <c r="AW290" s="228">
        <f t="shared" si="1067"/>
        <v>0</v>
      </c>
      <c r="AX290" s="228">
        <f t="shared" si="1067"/>
        <v>0</v>
      </c>
      <c r="AY290" s="228">
        <f t="shared" si="1067"/>
        <v>150</v>
      </c>
      <c r="AZ290" s="228">
        <f t="shared" si="1067"/>
        <v>0</v>
      </c>
      <c r="BA290" s="228">
        <f t="shared" si="1067"/>
        <v>0</v>
      </c>
      <c r="BB290" s="228">
        <f t="shared" si="1067"/>
        <v>0</v>
      </c>
      <c r="BC290" s="228">
        <f t="shared" si="1067"/>
        <v>0</v>
      </c>
      <c r="BD290" s="228">
        <f t="shared" si="1067"/>
        <v>0</v>
      </c>
      <c r="BE290" s="228">
        <f t="shared" si="1067"/>
        <v>0</v>
      </c>
      <c r="BF290" s="228">
        <f t="shared" si="1067"/>
        <v>0</v>
      </c>
      <c r="BJ290" s="116">
        <f t="shared" si="1026"/>
        <v>281</v>
      </c>
    </row>
    <row r="291" spans="2:62" hidden="1" outlineLevel="2">
      <c r="B291" s="251" t="s">
        <v>408</v>
      </c>
      <c r="AO291" s="193"/>
      <c r="AP291" s="193"/>
      <c r="AQ291" s="193"/>
      <c r="AR291" s="193"/>
      <c r="AS291" s="193"/>
      <c r="AT291" s="66">
        <v>200</v>
      </c>
      <c r="AU291" s="51">
        <v>0</v>
      </c>
      <c r="AV291" s="51">
        <v>0</v>
      </c>
      <c r="AW291" s="51">
        <v>0</v>
      </c>
      <c r="AX291" s="51">
        <v>0</v>
      </c>
      <c r="AY291" s="96">
        <v>150</v>
      </c>
      <c r="AZ291" s="51">
        <v>0</v>
      </c>
      <c r="BA291" s="51">
        <v>0</v>
      </c>
      <c r="BB291" s="51">
        <v>0</v>
      </c>
      <c r="BC291" s="51">
        <v>0</v>
      </c>
      <c r="BD291" s="51">
        <v>0</v>
      </c>
      <c r="BE291" s="51">
        <v>0</v>
      </c>
      <c r="BF291" s="51">
        <v>0</v>
      </c>
      <c r="BJ291" s="116">
        <f t="shared" si="1026"/>
        <v>282</v>
      </c>
    </row>
    <row r="292" spans="2:62" hidden="1" outlineLevel="2">
      <c r="B292" s="251" t="s">
        <v>409</v>
      </c>
      <c r="AO292" s="193"/>
      <c r="AP292" s="193"/>
      <c r="AQ292" s="193"/>
      <c r="AR292" s="193"/>
      <c r="AS292" s="193"/>
      <c r="AT292" s="286">
        <f>SUM($AS290:AT291)</f>
        <v>400</v>
      </c>
      <c r="AU292" s="260">
        <f>SUM($AS290:AU291)</f>
        <v>450</v>
      </c>
      <c r="AV292" s="260">
        <f>SUM($AS290:AV291)</f>
        <v>450</v>
      </c>
      <c r="AW292" s="260">
        <f>SUM($AS290:AW291)</f>
        <v>450</v>
      </c>
      <c r="AX292" s="260">
        <f>SUM($AS290:AX291)</f>
        <v>450</v>
      </c>
      <c r="AY292" s="260">
        <f>SUM($AS290:AY291)</f>
        <v>750</v>
      </c>
      <c r="AZ292" s="260">
        <f>SUM($AS290:AZ291)</f>
        <v>750</v>
      </c>
      <c r="BA292" s="260">
        <f>SUM($AS290:BA291)</f>
        <v>750</v>
      </c>
      <c r="BB292" s="260">
        <f>SUM($AS290:BB291)</f>
        <v>750</v>
      </c>
      <c r="BC292" s="260">
        <f>SUM($AS290:BC291)</f>
        <v>750</v>
      </c>
      <c r="BD292" s="260">
        <f>SUM($AS290:BD291)</f>
        <v>750</v>
      </c>
      <c r="BE292" s="260">
        <f>SUM($AS290:BE291)</f>
        <v>750</v>
      </c>
      <c r="BF292" s="260">
        <f>SUM($AS290:BF291)</f>
        <v>750</v>
      </c>
      <c r="BJ292" s="116">
        <f t="shared" si="1026"/>
        <v>283</v>
      </c>
    </row>
    <row r="293" spans="2:62" hidden="1" outlineLevel="2">
      <c r="B293" s="251" t="s">
        <v>410</v>
      </c>
      <c r="AO293" s="193"/>
      <c r="AP293" s="193"/>
      <c r="AQ293" s="193"/>
      <c r="AR293" s="193"/>
      <c r="AS293" s="193"/>
      <c r="AT293" s="286">
        <f>SUM($AS307:AT307)</f>
        <v>0</v>
      </c>
      <c r="AU293" s="260">
        <f>SUM($AS307:AU307)</f>
        <v>-7.1428571428571432</v>
      </c>
      <c r="AV293" s="260">
        <f>SUM($AS307:AV307)</f>
        <v>-15.816326530612244</v>
      </c>
      <c r="AW293" s="260">
        <f>SUM($AS307:AW307)</f>
        <v>-24.180029154518948</v>
      </c>
      <c r="AX293" s="260">
        <f>SUM($AS307:AX307)</f>
        <v>-32.245028113286125</v>
      </c>
      <c r="AY293" s="260">
        <f>SUM($AS307:AY307)</f>
        <v>-40.021991394954476</v>
      </c>
      <c r="AZ293" s="260">
        <f>SUM($AS307:AZ307)</f>
        <v>-52.878348845134674</v>
      </c>
      <c r="BA293" s="260">
        <f>SUM($AS307:BA307)</f>
        <v>-65.275550672094155</v>
      </c>
      <c r="BB293" s="260">
        <f>SUM($AS307:BB307)</f>
        <v>-77.22999529094794</v>
      </c>
      <c r="BC293" s="260">
        <f>SUM($AS307:BC307)</f>
        <v>-88.757495459128364</v>
      </c>
      <c r="BD293" s="260">
        <f>SUM($AS307:BD307)</f>
        <v>-99.873299192730926</v>
      </c>
      <c r="BE293" s="260">
        <f>SUM($AS307:BE307)</f>
        <v>-110.59210993584767</v>
      </c>
      <c r="BF293" s="260">
        <f>SUM($AS307:BF307)</f>
        <v>-120.9281060095674</v>
      </c>
      <c r="BJ293" s="116">
        <f t="shared" si="1026"/>
        <v>284</v>
      </c>
    </row>
    <row r="294" spans="2:62" hidden="1" outlineLevel="2">
      <c r="B294" s="251" t="s">
        <v>411</v>
      </c>
      <c r="AO294" s="193"/>
      <c r="AP294" s="193"/>
      <c r="AQ294" s="193"/>
      <c r="AR294" s="193"/>
      <c r="AS294" s="193"/>
      <c r="AT294" s="286">
        <f>SUM(AT292:AT293)</f>
        <v>400</v>
      </c>
      <c r="AU294" s="260">
        <f t="shared" ref="AU294:BF294" si="1068">SUM(AU292:AU293)</f>
        <v>442.85714285714283</v>
      </c>
      <c r="AV294" s="260">
        <f t="shared" si="1068"/>
        <v>434.18367346938777</v>
      </c>
      <c r="AW294" s="260">
        <f t="shared" si="1068"/>
        <v>425.81997084548107</v>
      </c>
      <c r="AX294" s="260">
        <f t="shared" si="1068"/>
        <v>417.75497188671386</v>
      </c>
      <c r="AY294" s="260">
        <f t="shared" si="1068"/>
        <v>709.97800860504549</v>
      </c>
      <c r="AZ294" s="260">
        <f t="shared" si="1068"/>
        <v>697.12165115486528</v>
      </c>
      <c r="BA294" s="260">
        <f t="shared" si="1068"/>
        <v>684.72444932790586</v>
      </c>
      <c r="BB294" s="260">
        <f t="shared" si="1068"/>
        <v>672.77000470905205</v>
      </c>
      <c r="BC294" s="260">
        <f t="shared" si="1068"/>
        <v>661.24250454087166</v>
      </c>
      <c r="BD294" s="260">
        <f t="shared" si="1068"/>
        <v>650.12670080726912</v>
      </c>
      <c r="BE294" s="260">
        <f t="shared" si="1068"/>
        <v>639.4078900641523</v>
      </c>
      <c r="BF294" s="260">
        <f t="shared" si="1068"/>
        <v>629.07189399043261</v>
      </c>
      <c r="BJ294" s="116">
        <f t="shared" si="1026"/>
        <v>285</v>
      </c>
    </row>
    <row r="295" spans="2:62" hidden="1" outlineLevel="2">
      <c r="B295" s="251" t="s">
        <v>412</v>
      </c>
      <c r="AO295" s="193"/>
      <c r="AP295" s="193"/>
      <c r="AQ295" s="193"/>
      <c r="AR295" s="193"/>
      <c r="AS295" s="193"/>
      <c r="AT295" s="286">
        <f>SUM($AS310:AT310)</f>
        <v>0</v>
      </c>
      <c r="AU295" s="260">
        <f>SUM($AS310:AU310)</f>
        <v>8.8571428571428577</v>
      </c>
      <c r="AV295" s="260">
        <f>SUM($AS310:AV310)</f>
        <v>16.383673469387755</v>
      </c>
      <c r="AW295" s="260">
        <f>SUM($AS310:AW310)</f>
        <v>24.419970845481046</v>
      </c>
      <c r="AX295" s="260">
        <f>SUM($AS310:AX310)</f>
        <v>32.754971886713861</v>
      </c>
      <c r="AY295" s="260">
        <f>SUM($AS310:AY310)</f>
        <v>49.97800860504551</v>
      </c>
      <c r="AZ295" s="260">
        <f>SUM($AS310:AZ310)</f>
        <v>62.421651154865316</v>
      </c>
      <c r="BA295" s="260">
        <f>SUM($AS310:BA310)</f>
        <v>75.624449327905836</v>
      </c>
      <c r="BB295" s="260">
        <f>SUM($AS310:BB310)</f>
        <v>89.27000470905206</v>
      </c>
      <c r="BC295" s="260">
        <f>SUM($AS310:BC310)</f>
        <v>103.04250454087163</v>
      </c>
      <c r="BD295" s="260">
        <f>SUM($AS310:BD310)</f>
        <v>117.22670080726907</v>
      </c>
      <c r="BE295" s="260">
        <f>SUM($AS310:BE310)</f>
        <v>132.10789006415231</v>
      </c>
      <c r="BF295" s="260">
        <f>SUM($AS310:BF310)</f>
        <v>147.3718939904326</v>
      </c>
      <c r="BJ295" s="116">
        <f t="shared" si="1026"/>
        <v>286</v>
      </c>
    </row>
    <row r="296" spans="2:62" hidden="1" outlineLevel="2">
      <c r="B296" s="251" t="s">
        <v>413</v>
      </c>
      <c r="AO296" s="193"/>
      <c r="AP296" s="193"/>
      <c r="AQ296" s="193"/>
      <c r="AR296" s="193"/>
      <c r="AS296" s="193"/>
      <c r="AT296" s="286">
        <f>SUM(AT294:AT295)</f>
        <v>400</v>
      </c>
      <c r="AU296" s="260">
        <f t="shared" ref="AU296:BF296" si="1069">SUM(AU294:AU295)</f>
        <v>451.71428571428567</v>
      </c>
      <c r="AV296" s="260">
        <f t="shared" si="1069"/>
        <v>450.56734693877553</v>
      </c>
      <c r="AW296" s="260">
        <f t="shared" si="1069"/>
        <v>450.2399416909621</v>
      </c>
      <c r="AX296" s="260">
        <f t="shared" si="1069"/>
        <v>450.50994377342772</v>
      </c>
      <c r="AY296" s="260">
        <f t="shared" si="1069"/>
        <v>759.95601721009098</v>
      </c>
      <c r="AZ296" s="260">
        <f t="shared" si="1069"/>
        <v>759.54330230973062</v>
      </c>
      <c r="BA296" s="260">
        <f t="shared" si="1069"/>
        <v>760.34889865581169</v>
      </c>
      <c r="BB296" s="260">
        <f t="shared" si="1069"/>
        <v>762.04000941810409</v>
      </c>
      <c r="BC296" s="260">
        <f t="shared" si="1069"/>
        <v>764.28500908174328</v>
      </c>
      <c r="BD296" s="260">
        <f t="shared" si="1069"/>
        <v>767.35340161453814</v>
      </c>
      <c r="BE296" s="260">
        <f t="shared" si="1069"/>
        <v>771.51578012830464</v>
      </c>
      <c r="BF296" s="260">
        <f t="shared" si="1069"/>
        <v>776.44378798086518</v>
      </c>
      <c r="BJ296" s="116">
        <f t="shared" si="1026"/>
        <v>287</v>
      </c>
    </row>
    <row r="297" spans="2:62" hidden="1" outlineLevel="2">
      <c r="B297" s="251" t="s">
        <v>414</v>
      </c>
      <c r="AO297" s="193"/>
      <c r="AP297" s="193"/>
      <c r="AQ297" s="193"/>
      <c r="AR297" s="193"/>
      <c r="AS297" s="193"/>
      <c r="AT297" s="286">
        <f>+AT296*0.5</f>
        <v>200</v>
      </c>
      <c r="AU297" s="260">
        <f t="shared" ref="AU297:BF297" si="1070">+AU296*0.5</f>
        <v>225.85714285714283</v>
      </c>
      <c r="AV297" s="260">
        <f t="shared" si="1070"/>
        <v>225.28367346938776</v>
      </c>
      <c r="AW297" s="260">
        <f t="shared" si="1070"/>
        <v>225.11997084548105</v>
      </c>
      <c r="AX297" s="260">
        <f t="shared" si="1070"/>
        <v>225.25497188671386</v>
      </c>
      <c r="AY297" s="260">
        <f t="shared" si="1070"/>
        <v>379.97800860504549</v>
      </c>
      <c r="AZ297" s="260">
        <f t="shared" si="1070"/>
        <v>379.77165115486531</v>
      </c>
      <c r="BA297" s="260">
        <f t="shared" si="1070"/>
        <v>380.17444932790585</v>
      </c>
      <c r="BB297" s="260">
        <f t="shared" si="1070"/>
        <v>381.02000470905205</v>
      </c>
      <c r="BC297" s="260">
        <f t="shared" si="1070"/>
        <v>382.14250454087164</v>
      </c>
      <c r="BD297" s="260">
        <f t="shared" si="1070"/>
        <v>383.67670080726907</v>
      </c>
      <c r="BE297" s="260">
        <f t="shared" si="1070"/>
        <v>385.75789006415232</v>
      </c>
      <c r="BF297" s="260">
        <f t="shared" si="1070"/>
        <v>388.22189399043259</v>
      </c>
      <c r="BJ297" s="116">
        <f t="shared" si="1026"/>
        <v>288</v>
      </c>
    </row>
    <row r="298" spans="2:62" hidden="1" outlineLevel="2">
      <c r="B298" s="251"/>
      <c r="AO298" s="193"/>
      <c r="AP298" s="193"/>
      <c r="AQ298" s="193"/>
      <c r="AR298" s="193"/>
      <c r="AS298" s="193"/>
      <c r="AT298" s="263"/>
      <c r="AU298" s="108"/>
      <c r="AV298" s="108"/>
      <c r="AW298" s="108"/>
      <c r="AX298" s="108"/>
      <c r="AY298" s="108"/>
      <c r="AZ298" s="108"/>
      <c r="BA298" s="108"/>
      <c r="BB298" s="108"/>
      <c r="BC298" s="108"/>
      <c r="BD298" s="108"/>
      <c r="BE298" s="108"/>
      <c r="BF298" s="108"/>
      <c r="BJ298" s="116">
        <f t="shared" si="1026"/>
        <v>289</v>
      </c>
    </row>
    <row r="299" spans="2:62" hidden="1" outlineLevel="2">
      <c r="B299" s="251" t="s">
        <v>400</v>
      </c>
      <c r="AO299" s="193"/>
      <c r="AP299" s="193"/>
      <c r="AQ299" s="193"/>
      <c r="AR299" s="193"/>
      <c r="AS299" s="193"/>
      <c r="AT299" s="225">
        <f>SUM(AT286:AT287)</f>
        <v>8</v>
      </c>
      <c r="AU299" s="102">
        <f t="shared" ref="AU299:BF299" si="1071">+AT299+SUM(AU286:AU287)</f>
        <v>10</v>
      </c>
      <c r="AV299" s="102">
        <f t="shared" si="1071"/>
        <v>10</v>
      </c>
      <c r="AW299" s="102">
        <f t="shared" si="1071"/>
        <v>10</v>
      </c>
      <c r="AX299" s="102">
        <f t="shared" si="1071"/>
        <v>10</v>
      </c>
      <c r="AY299" s="102">
        <f t="shared" si="1071"/>
        <v>15</v>
      </c>
      <c r="AZ299" s="102">
        <f t="shared" si="1071"/>
        <v>15</v>
      </c>
      <c r="BA299" s="102">
        <f t="shared" si="1071"/>
        <v>15</v>
      </c>
      <c r="BB299" s="102">
        <f t="shared" si="1071"/>
        <v>15</v>
      </c>
      <c r="BC299" s="102">
        <f t="shared" si="1071"/>
        <v>15</v>
      </c>
      <c r="BD299" s="102">
        <f t="shared" si="1071"/>
        <v>15</v>
      </c>
      <c r="BE299" s="102">
        <f t="shared" si="1071"/>
        <v>15</v>
      </c>
      <c r="BF299" s="102">
        <f t="shared" si="1071"/>
        <v>15</v>
      </c>
      <c r="BJ299" s="116">
        <f t="shared" si="1026"/>
        <v>290</v>
      </c>
    </row>
    <row r="300" spans="2:62" hidden="1" outlineLevel="2">
      <c r="B300" s="251" t="s">
        <v>392</v>
      </c>
      <c r="AO300" s="193"/>
      <c r="AP300" s="193"/>
      <c r="AQ300" s="193"/>
      <c r="AR300" s="193"/>
      <c r="AS300" s="193"/>
      <c r="AT300" s="263">
        <f>AT299</f>
        <v>8</v>
      </c>
      <c r="AU300" s="263">
        <f>AU299</f>
        <v>10</v>
      </c>
      <c r="AV300" s="263">
        <f t="shared" ref="AV300:BF300" si="1072">AV299</f>
        <v>10</v>
      </c>
      <c r="AW300" s="263">
        <f t="shared" si="1072"/>
        <v>10</v>
      </c>
      <c r="AX300" s="263">
        <f t="shared" si="1072"/>
        <v>10</v>
      </c>
      <c r="AY300" s="263">
        <f t="shared" si="1072"/>
        <v>15</v>
      </c>
      <c r="AZ300" s="263">
        <f t="shared" si="1072"/>
        <v>15</v>
      </c>
      <c r="BA300" s="263">
        <f t="shared" si="1072"/>
        <v>15</v>
      </c>
      <c r="BB300" s="263">
        <f t="shared" si="1072"/>
        <v>15</v>
      </c>
      <c r="BC300" s="263">
        <f t="shared" si="1072"/>
        <v>15</v>
      </c>
      <c r="BD300" s="263">
        <f t="shared" si="1072"/>
        <v>15</v>
      </c>
      <c r="BE300" s="263">
        <f t="shared" si="1072"/>
        <v>15</v>
      </c>
      <c r="BF300" s="263">
        <f t="shared" si="1072"/>
        <v>15</v>
      </c>
      <c r="BJ300" s="116">
        <f t="shared" si="1026"/>
        <v>291</v>
      </c>
    </row>
    <row r="301" spans="2:62" hidden="1" outlineLevel="2">
      <c r="B301" s="251" t="s">
        <v>401</v>
      </c>
      <c r="AO301" s="193"/>
      <c r="AP301" s="193"/>
      <c r="AQ301" s="193"/>
      <c r="AR301" s="193"/>
      <c r="AS301" s="193"/>
      <c r="AT301" s="66">
        <v>25</v>
      </c>
      <c r="AU301" s="51">
        <v>25</v>
      </c>
      <c r="AV301" s="51">
        <v>25</v>
      </c>
      <c r="AW301" s="51">
        <v>25</v>
      </c>
      <c r="AX301" s="51">
        <v>25</v>
      </c>
      <c r="AY301" s="51">
        <f>(25*10+30*5)/15</f>
        <v>26.666666666666668</v>
      </c>
      <c r="AZ301" s="51">
        <f t="shared" ref="AZ301:BF301" si="1073">(25*10+30*5)/15</f>
        <v>26.666666666666668</v>
      </c>
      <c r="BA301" s="51">
        <f t="shared" si="1073"/>
        <v>26.666666666666668</v>
      </c>
      <c r="BB301" s="51">
        <f t="shared" si="1073"/>
        <v>26.666666666666668</v>
      </c>
      <c r="BC301" s="51">
        <f t="shared" si="1073"/>
        <v>26.666666666666668</v>
      </c>
      <c r="BD301" s="51">
        <f t="shared" si="1073"/>
        <v>26.666666666666668</v>
      </c>
      <c r="BE301" s="51">
        <f t="shared" si="1073"/>
        <v>26.666666666666668</v>
      </c>
      <c r="BF301" s="51">
        <f t="shared" si="1073"/>
        <v>26.666666666666668</v>
      </c>
      <c r="BJ301" s="116">
        <f t="shared" si="1026"/>
        <v>292</v>
      </c>
    </row>
    <row r="302" spans="2:62" hidden="1" outlineLevel="2">
      <c r="B302" s="251" t="s">
        <v>407</v>
      </c>
      <c r="AO302" s="193"/>
      <c r="AP302" s="193"/>
      <c r="AQ302" s="193"/>
      <c r="AR302" s="193"/>
      <c r="AS302" s="193"/>
      <c r="AT302" s="287">
        <f>+AT301*AT300+AT293</f>
        <v>200</v>
      </c>
      <c r="AU302" s="228">
        <f t="shared" ref="AU302:BF302" si="1074">+AU301*AU300+AU293</f>
        <v>242.85714285714286</v>
      </c>
      <c r="AV302" s="228">
        <f t="shared" si="1074"/>
        <v>234.18367346938777</v>
      </c>
      <c r="AW302" s="228">
        <f t="shared" si="1074"/>
        <v>225.81997084548107</v>
      </c>
      <c r="AX302" s="228">
        <f t="shared" si="1074"/>
        <v>217.75497188671386</v>
      </c>
      <c r="AY302" s="228">
        <f t="shared" si="1074"/>
        <v>359.97800860504555</v>
      </c>
      <c r="AZ302" s="228">
        <f t="shared" si="1074"/>
        <v>347.12165115486533</v>
      </c>
      <c r="BA302" s="228">
        <f t="shared" si="1074"/>
        <v>334.72444932790586</v>
      </c>
      <c r="BB302" s="228">
        <f t="shared" si="1074"/>
        <v>322.77000470905205</v>
      </c>
      <c r="BC302" s="228">
        <f t="shared" si="1074"/>
        <v>311.24250454087166</v>
      </c>
      <c r="BD302" s="228">
        <f t="shared" si="1074"/>
        <v>300.12670080726906</v>
      </c>
      <c r="BE302" s="228">
        <f t="shared" si="1074"/>
        <v>289.4078900641523</v>
      </c>
      <c r="BF302" s="228">
        <f t="shared" si="1074"/>
        <v>279.07189399043261</v>
      </c>
      <c r="BJ302" s="116">
        <f t="shared" si="1026"/>
        <v>293</v>
      </c>
    </row>
    <row r="303" spans="2:62" hidden="1" outlineLevel="2">
      <c r="B303" s="251"/>
      <c r="AO303" s="193"/>
      <c r="AP303" s="193"/>
      <c r="AQ303" s="193"/>
      <c r="AR303" s="193"/>
      <c r="AS303" s="193"/>
      <c r="AT303" s="66"/>
      <c r="AU303" s="51"/>
      <c r="AV303" s="51"/>
      <c r="AW303" s="51"/>
      <c r="AX303" s="51"/>
      <c r="AY303" s="51"/>
      <c r="AZ303" s="51"/>
      <c r="BA303" s="51"/>
      <c r="BB303" s="51"/>
      <c r="BC303" s="51"/>
      <c r="BD303" s="51"/>
      <c r="BE303" s="51"/>
      <c r="BF303" s="51"/>
      <c r="BJ303" s="116">
        <f t="shared" si="1026"/>
        <v>294</v>
      </c>
    </row>
    <row r="304" spans="2:62" hidden="1" outlineLevel="2">
      <c r="B304" s="251" t="s">
        <v>393</v>
      </c>
      <c r="AO304" s="193"/>
      <c r="AP304" s="193"/>
      <c r="AQ304" s="193"/>
      <c r="AR304" s="193"/>
      <c r="AS304" s="193"/>
      <c r="AT304" s="116"/>
      <c r="AU304" s="102">
        <v>20000</v>
      </c>
      <c r="AV304" s="102">
        <v>20000</v>
      </c>
      <c r="AW304" s="102">
        <v>20000</v>
      </c>
      <c r="AX304" s="102">
        <v>20000</v>
      </c>
      <c r="AY304" s="102">
        <v>20000</v>
      </c>
      <c r="AZ304" s="102">
        <v>20000</v>
      </c>
      <c r="BA304" s="102">
        <v>20000</v>
      </c>
      <c r="BB304" s="102">
        <v>20000</v>
      </c>
      <c r="BC304" s="102">
        <v>20000</v>
      </c>
      <c r="BD304" s="102">
        <v>20000</v>
      </c>
      <c r="BE304" s="102">
        <v>20000</v>
      </c>
      <c r="BF304" s="102">
        <v>20000</v>
      </c>
      <c r="BJ304" s="116">
        <f t="shared" si="1026"/>
        <v>295</v>
      </c>
    </row>
    <row r="305" spans="1:62" hidden="1" outlineLevel="2">
      <c r="B305" s="251" t="s">
        <v>394</v>
      </c>
      <c r="AO305" s="193"/>
      <c r="AP305" s="193"/>
      <c r="AQ305" s="193"/>
      <c r="AR305" s="193"/>
      <c r="AS305" s="193"/>
      <c r="AT305" s="116"/>
      <c r="AU305" s="50">
        <f t="shared" ref="AU305:BF305" si="1075">+AU304*AU300*AU6/1000000</f>
        <v>18</v>
      </c>
      <c r="AV305" s="50">
        <f t="shared" si="1075"/>
        <v>18.2</v>
      </c>
      <c r="AW305" s="50">
        <f t="shared" si="1075"/>
        <v>18.399999999999999</v>
      </c>
      <c r="AX305" s="50">
        <f t="shared" si="1075"/>
        <v>18.399999999999999</v>
      </c>
      <c r="AY305" s="50">
        <f t="shared" si="1075"/>
        <v>27</v>
      </c>
      <c r="AZ305" s="50">
        <f t="shared" si="1075"/>
        <v>27.3</v>
      </c>
      <c r="BA305" s="50">
        <f t="shared" si="1075"/>
        <v>27.6</v>
      </c>
      <c r="BB305" s="50">
        <f t="shared" si="1075"/>
        <v>27.6</v>
      </c>
      <c r="BC305" s="50">
        <f t="shared" si="1075"/>
        <v>27.3</v>
      </c>
      <c r="BD305" s="50">
        <f t="shared" si="1075"/>
        <v>27.3</v>
      </c>
      <c r="BE305" s="50">
        <f t="shared" si="1075"/>
        <v>27.6</v>
      </c>
      <c r="BF305" s="50">
        <f t="shared" si="1075"/>
        <v>27.6</v>
      </c>
      <c r="BJ305" s="116">
        <f t="shared" si="1026"/>
        <v>296</v>
      </c>
    </row>
    <row r="306" spans="1:62" hidden="1" outlineLevel="2">
      <c r="B306" s="251" t="s">
        <v>395</v>
      </c>
      <c r="AO306" s="193"/>
      <c r="AP306" s="193"/>
      <c r="AQ306" s="193"/>
      <c r="AR306" s="193"/>
      <c r="AS306" s="193"/>
      <c r="AT306" s="116"/>
      <c r="AU306" s="96">
        <v>-2</v>
      </c>
      <c r="AV306" s="96">
        <v>-2</v>
      </c>
      <c r="AW306" s="96">
        <v>-2</v>
      </c>
      <c r="AX306" s="96">
        <v>-2</v>
      </c>
      <c r="AY306" s="96">
        <v>-2</v>
      </c>
      <c r="AZ306" s="96">
        <v>-2</v>
      </c>
      <c r="BA306" s="96">
        <v>-2</v>
      </c>
      <c r="BB306" s="96">
        <v>-2</v>
      </c>
      <c r="BC306" s="96">
        <v>-2</v>
      </c>
      <c r="BD306" s="96">
        <v>-2</v>
      </c>
      <c r="BE306" s="96">
        <v>-2</v>
      </c>
      <c r="BF306" s="96">
        <v>-2</v>
      </c>
      <c r="BJ306" s="116">
        <f t="shared" si="1026"/>
        <v>297</v>
      </c>
    </row>
    <row r="307" spans="1:62" hidden="1" outlineLevel="2">
      <c r="B307" s="251" t="s">
        <v>396</v>
      </c>
      <c r="AO307" s="193"/>
      <c r="AP307" s="193"/>
      <c r="AQ307" s="193"/>
      <c r="AR307" s="193"/>
      <c r="AS307" s="193"/>
      <c r="AT307" s="116"/>
      <c r="AU307" s="50">
        <f>-(AT302/7)/4</f>
        <v>-7.1428571428571432</v>
      </c>
      <c r="AV307" s="50">
        <f t="shared" ref="AV307:BF307" si="1076">-(AU302/7)/4</f>
        <v>-8.6734693877551017</v>
      </c>
      <c r="AW307" s="50">
        <f t="shared" si="1076"/>
        <v>-8.3637026239067058</v>
      </c>
      <c r="AX307" s="50">
        <f t="shared" si="1076"/>
        <v>-8.0649989587671804</v>
      </c>
      <c r="AY307" s="50">
        <f t="shared" si="1076"/>
        <v>-7.776963281668352</v>
      </c>
      <c r="AZ307" s="50">
        <f t="shared" si="1076"/>
        <v>-12.856357450180198</v>
      </c>
      <c r="BA307" s="50">
        <f t="shared" si="1076"/>
        <v>-12.397201826959476</v>
      </c>
      <c r="BB307" s="50">
        <f t="shared" si="1076"/>
        <v>-11.954444618853781</v>
      </c>
      <c r="BC307" s="50">
        <f t="shared" si="1076"/>
        <v>-11.527500168180429</v>
      </c>
      <c r="BD307" s="50">
        <f t="shared" si="1076"/>
        <v>-11.11580373360256</v>
      </c>
      <c r="BE307" s="50">
        <f t="shared" si="1076"/>
        <v>-10.718810743116752</v>
      </c>
      <c r="BF307" s="50">
        <f t="shared" si="1076"/>
        <v>-10.335996073719725</v>
      </c>
      <c r="BJ307" s="116">
        <f t="shared" si="1026"/>
        <v>298</v>
      </c>
    </row>
    <row r="308" spans="1:62" hidden="1" outlineLevel="2">
      <c r="B308" s="251" t="s">
        <v>59</v>
      </c>
      <c r="AO308" s="193"/>
      <c r="AP308" s="193"/>
      <c r="AQ308" s="193"/>
      <c r="AR308" s="193"/>
      <c r="AS308" s="193"/>
      <c r="AT308" s="116"/>
      <c r="AU308" s="50">
        <f>SUM(AU305:AU307)</f>
        <v>8.8571428571428577</v>
      </c>
      <c r="AV308" s="50">
        <f t="shared" ref="AV308:BF308" si="1077">SUM(AV305:AV307)</f>
        <v>7.5265306122448976</v>
      </c>
      <c r="AW308" s="50">
        <f t="shared" si="1077"/>
        <v>8.0362973760932928</v>
      </c>
      <c r="AX308" s="50">
        <f t="shared" si="1077"/>
        <v>8.3350010412328182</v>
      </c>
      <c r="AY308" s="50">
        <f t="shared" si="1077"/>
        <v>17.223036718331649</v>
      </c>
      <c r="AZ308" s="50">
        <f t="shared" si="1077"/>
        <v>12.443642549819803</v>
      </c>
      <c r="BA308" s="50">
        <f t="shared" si="1077"/>
        <v>13.202798173040525</v>
      </c>
      <c r="BB308" s="50">
        <f t="shared" si="1077"/>
        <v>13.64555538114622</v>
      </c>
      <c r="BC308" s="50">
        <f t="shared" si="1077"/>
        <v>13.772499831819571</v>
      </c>
      <c r="BD308" s="50">
        <f t="shared" si="1077"/>
        <v>14.184196266397441</v>
      </c>
      <c r="BE308" s="50">
        <f t="shared" si="1077"/>
        <v>14.88118925688325</v>
      </c>
      <c r="BF308" s="50">
        <f t="shared" si="1077"/>
        <v>15.264003926280276</v>
      </c>
      <c r="BJ308" s="116">
        <f t="shared" si="1026"/>
        <v>299</v>
      </c>
    </row>
    <row r="309" spans="1:62" hidden="1" outlineLevel="2">
      <c r="B309" s="251" t="s">
        <v>397</v>
      </c>
      <c r="AO309" s="193"/>
      <c r="AP309" s="193"/>
      <c r="AQ309" s="193"/>
      <c r="AR309" s="193"/>
      <c r="AS309" s="193"/>
      <c r="AT309" s="116"/>
      <c r="AU309" s="264">
        <v>0</v>
      </c>
      <c r="AV309" s="264">
        <v>0</v>
      </c>
      <c r="AW309" s="264">
        <v>0</v>
      </c>
      <c r="AX309" s="264">
        <v>0</v>
      </c>
      <c r="AY309" s="264">
        <v>0</v>
      </c>
      <c r="AZ309" s="264">
        <v>0</v>
      </c>
      <c r="BA309" s="264">
        <v>0</v>
      </c>
      <c r="BB309" s="264">
        <v>0</v>
      </c>
      <c r="BC309" s="264">
        <v>0</v>
      </c>
      <c r="BD309" s="264">
        <v>0</v>
      </c>
      <c r="BE309" s="264">
        <v>0</v>
      </c>
      <c r="BF309" s="264">
        <v>0</v>
      </c>
      <c r="BJ309" s="116">
        <f t="shared" si="1026"/>
        <v>300</v>
      </c>
    </row>
    <row r="310" spans="1:62" hidden="1" outlineLevel="2">
      <c r="B310" s="251" t="s">
        <v>403</v>
      </c>
      <c r="AO310" s="193"/>
      <c r="AP310" s="193"/>
      <c r="AQ310" s="193"/>
      <c r="AR310" s="193"/>
      <c r="AS310" s="193"/>
      <c r="AT310" s="116"/>
      <c r="AU310" s="50">
        <f>+AU308*(1-AU309)</f>
        <v>8.8571428571428577</v>
      </c>
      <c r="AV310" s="50">
        <f t="shared" ref="AV310:BF310" si="1078">+AV308*(1-AV309)</f>
        <v>7.5265306122448976</v>
      </c>
      <c r="AW310" s="50">
        <f t="shared" si="1078"/>
        <v>8.0362973760932928</v>
      </c>
      <c r="AX310" s="50">
        <f t="shared" si="1078"/>
        <v>8.3350010412328182</v>
      </c>
      <c r="AY310" s="50">
        <f t="shared" si="1078"/>
        <v>17.223036718331649</v>
      </c>
      <c r="AZ310" s="50">
        <f t="shared" si="1078"/>
        <v>12.443642549819803</v>
      </c>
      <c r="BA310" s="50">
        <f t="shared" si="1078"/>
        <v>13.202798173040525</v>
      </c>
      <c r="BB310" s="50">
        <f t="shared" si="1078"/>
        <v>13.64555538114622</v>
      </c>
      <c r="BC310" s="50">
        <f t="shared" si="1078"/>
        <v>13.772499831819571</v>
      </c>
      <c r="BD310" s="50">
        <f t="shared" si="1078"/>
        <v>14.184196266397441</v>
      </c>
      <c r="BE310" s="50">
        <f t="shared" si="1078"/>
        <v>14.88118925688325</v>
      </c>
      <c r="BF310" s="50">
        <f t="shared" si="1078"/>
        <v>15.264003926280276</v>
      </c>
      <c r="BJ310" s="116">
        <f t="shared" si="1026"/>
        <v>301</v>
      </c>
    </row>
    <row r="311" spans="1:62" hidden="1" outlineLevel="2">
      <c r="B311" s="251" t="s">
        <v>404</v>
      </c>
      <c r="AO311" s="193"/>
      <c r="AP311" s="193"/>
      <c r="AQ311" s="193"/>
      <c r="AR311" s="193"/>
      <c r="AS311" s="193"/>
      <c r="AT311" s="66">
        <v>1</v>
      </c>
      <c r="AU311" s="50">
        <f>0.5*AU310</f>
        <v>4.4285714285714288</v>
      </c>
      <c r="AV311" s="50">
        <f t="shared" ref="AV311:BF311" si="1079">0.5*AV310</f>
        <v>3.7632653061224488</v>
      </c>
      <c r="AW311" s="50">
        <f t="shared" si="1079"/>
        <v>4.0181486880466464</v>
      </c>
      <c r="AX311" s="50">
        <f t="shared" si="1079"/>
        <v>4.1675005206164091</v>
      </c>
      <c r="AY311" s="50">
        <f t="shared" si="1079"/>
        <v>8.6115183591658244</v>
      </c>
      <c r="AZ311" s="50">
        <f t="shared" si="1079"/>
        <v>6.2218212749099013</v>
      </c>
      <c r="BA311" s="50">
        <f t="shared" si="1079"/>
        <v>6.6013990865202627</v>
      </c>
      <c r="BB311" s="50">
        <f t="shared" si="1079"/>
        <v>6.8227776905731101</v>
      </c>
      <c r="BC311" s="50">
        <f t="shared" si="1079"/>
        <v>6.8862499159097856</v>
      </c>
      <c r="BD311" s="50">
        <f t="shared" si="1079"/>
        <v>7.0920981331987205</v>
      </c>
      <c r="BE311" s="50">
        <f t="shared" si="1079"/>
        <v>7.4405946284416249</v>
      </c>
      <c r="BF311" s="50">
        <f t="shared" si="1079"/>
        <v>7.6320019631401381</v>
      </c>
      <c r="BJ311" s="116">
        <f t="shared" si="1026"/>
        <v>302</v>
      </c>
    </row>
    <row r="312" spans="1:62" hidden="1" outlineLevel="2">
      <c r="B312" s="251" t="s">
        <v>405</v>
      </c>
      <c r="AO312" s="193"/>
      <c r="AP312" s="193"/>
      <c r="AQ312" s="193"/>
      <c r="AR312" s="193"/>
      <c r="AS312" s="193"/>
      <c r="AT312" s="66">
        <v>2</v>
      </c>
      <c r="AU312" s="51">
        <v>2</v>
      </c>
      <c r="AV312" s="51">
        <v>2</v>
      </c>
      <c r="AW312" s="51">
        <v>2</v>
      </c>
      <c r="AX312" s="51">
        <v>2</v>
      </c>
      <c r="AY312" s="51">
        <v>2</v>
      </c>
      <c r="AZ312" s="51">
        <v>2</v>
      </c>
      <c r="BA312" s="51">
        <v>2</v>
      </c>
      <c r="BB312" s="51">
        <v>2</v>
      </c>
      <c r="BC312" s="51">
        <v>2</v>
      </c>
      <c r="BD312" s="51">
        <v>2</v>
      </c>
      <c r="BE312" s="51">
        <v>2</v>
      </c>
      <c r="BF312" s="51">
        <v>2</v>
      </c>
      <c r="BJ312" s="116">
        <f t="shared" si="1026"/>
        <v>303</v>
      </c>
    </row>
    <row r="313" spans="1:62" hidden="1" outlineLevel="2">
      <c r="B313" s="251" t="s">
        <v>406</v>
      </c>
      <c r="AO313" s="193"/>
      <c r="AP313" s="193"/>
      <c r="AQ313" s="193"/>
      <c r="AR313" s="193"/>
      <c r="AS313" s="193"/>
      <c r="AT313" s="207">
        <f>+AT311+AT312</f>
        <v>3</v>
      </c>
      <c r="AU313" s="50">
        <f>+AU311+AU312</f>
        <v>6.4285714285714288</v>
      </c>
      <c r="AV313" s="50">
        <f t="shared" ref="AV313:BF313" si="1080">+AV311+AV312</f>
        <v>5.7632653061224488</v>
      </c>
      <c r="AW313" s="50">
        <f t="shared" si="1080"/>
        <v>6.0181486880466464</v>
      </c>
      <c r="AX313" s="50">
        <f t="shared" si="1080"/>
        <v>6.1675005206164091</v>
      </c>
      <c r="AY313" s="50">
        <f t="shared" si="1080"/>
        <v>10.611518359165824</v>
      </c>
      <c r="AZ313" s="50">
        <f t="shared" si="1080"/>
        <v>8.2218212749099013</v>
      </c>
      <c r="BA313" s="50">
        <f t="shared" si="1080"/>
        <v>8.6013990865202636</v>
      </c>
      <c r="BB313" s="50">
        <f t="shared" si="1080"/>
        <v>8.8227776905731101</v>
      </c>
      <c r="BC313" s="50">
        <f t="shared" si="1080"/>
        <v>8.8862499159097865</v>
      </c>
      <c r="BD313" s="50">
        <f t="shared" si="1080"/>
        <v>9.0920981331987214</v>
      </c>
      <c r="BE313" s="50">
        <f t="shared" si="1080"/>
        <v>9.4405946284416249</v>
      </c>
      <c r="BF313" s="50">
        <f t="shared" si="1080"/>
        <v>9.6320019631401372</v>
      </c>
      <c r="BJ313" s="116">
        <f t="shared" si="1026"/>
        <v>304</v>
      </c>
    </row>
    <row r="314" spans="1:62" hidden="1" outlineLevel="2">
      <c r="B314" s="40"/>
      <c r="AO314" s="193"/>
      <c r="AP314" s="193"/>
      <c r="AQ314" s="193"/>
      <c r="AR314" s="193"/>
      <c r="AS314" s="193"/>
      <c r="AT314" s="193"/>
      <c r="BJ314" s="116">
        <f t="shared" si="1026"/>
        <v>305</v>
      </c>
    </row>
    <row r="315" spans="1:62" collapsed="1">
      <c r="A315" s="72" t="s">
        <v>322</v>
      </c>
      <c r="B315" s="195" t="s">
        <v>354</v>
      </c>
      <c r="AO315" s="193"/>
      <c r="AP315" s="193"/>
      <c r="AQ315" s="193"/>
      <c r="AR315" s="193"/>
      <c r="AS315" s="193"/>
      <c r="AT315" s="193"/>
      <c r="BJ315" s="116">
        <f t="shared" si="1026"/>
        <v>306</v>
      </c>
    </row>
    <row r="316" spans="1:62" hidden="1" outlineLevel="2">
      <c r="B316" s="13" t="s">
        <v>355</v>
      </c>
      <c r="C316" s="50">
        <f t="shared" ref="C316:M319" si="1081">SUMIFS($O316:$BG316,$O$5:$BG$5,C$5)</f>
        <v>-233.81</v>
      </c>
      <c r="D316" s="50">
        <f t="shared" si="1081"/>
        <v>-339.4384</v>
      </c>
      <c r="E316" s="50">
        <f t="shared" si="1081"/>
        <v>-360.5104</v>
      </c>
      <c r="F316" s="50">
        <f t="shared" si="1081"/>
        <v>-345.64799999999997</v>
      </c>
      <c r="G316" s="50">
        <f t="shared" si="1081"/>
        <v>-365.71160000000003</v>
      </c>
      <c r="H316" s="50">
        <f t="shared" si="1081"/>
        <v>-280.94659999999999</v>
      </c>
      <c r="I316" s="50">
        <f t="shared" si="1081"/>
        <v>-199.0942</v>
      </c>
      <c r="J316" s="50">
        <f t="shared" si="1081"/>
        <v>-218.10160000000002</v>
      </c>
      <c r="K316" s="50">
        <f t="shared" si="1081"/>
        <v>-245.9</v>
      </c>
      <c r="L316" s="50">
        <f t="shared" si="1081"/>
        <v>-273.27199999999999</v>
      </c>
      <c r="M316" s="50">
        <f t="shared" si="1081"/>
        <v>-288.78800000000001</v>
      </c>
      <c r="O316" s="196"/>
      <c r="P316" s="196">
        <f t="shared" ref="P316:BF316" si="1082">(-2000*(P163+P229)-4000*P247)/1000000</f>
        <v>-73.564400000000006</v>
      </c>
      <c r="Q316" s="196">
        <f t="shared" si="1082"/>
        <v>-79.230400000000003</v>
      </c>
      <c r="R316" s="196">
        <f t="shared" si="1082"/>
        <v>-81.015199999999993</v>
      </c>
      <c r="S316" s="196">
        <f t="shared" si="1082"/>
        <v>-81.018000000000001</v>
      </c>
      <c r="T316" s="196">
        <f t="shared" si="1082"/>
        <v>-79.388400000000004</v>
      </c>
      <c r="U316" s="196">
        <f t="shared" si="1082"/>
        <v>-86.424800000000005</v>
      </c>
      <c r="V316" s="196">
        <f t="shared" si="1082"/>
        <v>-92.607200000000006</v>
      </c>
      <c r="W316" s="196">
        <f t="shared" si="1082"/>
        <v>-95.222399999999993</v>
      </c>
      <c r="X316" s="196">
        <f t="shared" si="1082"/>
        <v>-90.708799999999997</v>
      </c>
      <c r="Y316" s="196">
        <f t="shared" si="1082"/>
        <v>-88.982399999999998</v>
      </c>
      <c r="Z316" s="196">
        <f t="shared" si="1082"/>
        <v>-85.596800000000002</v>
      </c>
      <c r="AA316" s="196">
        <f t="shared" si="1082"/>
        <v>-85.5</v>
      </c>
      <c r="AB316" s="196">
        <f t="shared" si="1082"/>
        <v>-84.593599999999995</v>
      </c>
      <c r="AC316" s="196">
        <f t="shared" si="1082"/>
        <v>-87.215999999999994</v>
      </c>
      <c r="AD316" s="196">
        <f t="shared" si="1082"/>
        <v>-88.338399999999993</v>
      </c>
      <c r="AE316" s="196">
        <f t="shared" si="1082"/>
        <v>-91.8</v>
      </c>
      <c r="AF316" s="196">
        <f t="shared" si="1082"/>
        <v>-89.580399999999997</v>
      </c>
      <c r="AG316" s="196">
        <f t="shared" si="1082"/>
        <v>-93.932000000000002</v>
      </c>
      <c r="AH316" s="196">
        <f t="shared" si="1082"/>
        <v>-90.399199999999993</v>
      </c>
      <c r="AI316" s="196">
        <f t="shared" si="1082"/>
        <v>-81.504000000000005</v>
      </c>
      <c r="AJ316" s="196">
        <f t="shared" si="1082"/>
        <v>-69.869799999999998</v>
      </c>
      <c r="AK316" s="196">
        <f t="shared" si="1082"/>
        <v>-66.755200000000002</v>
      </c>
      <c r="AL316" s="196">
        <f t="shared" si="1082"/>
        <v>-62.817599999999999</v>
      </c>
      <c r="AM316" s="196">
        <f t="shared" si="1082"/>
        <v>-54.326999999999998</v>
      </c>
      <c r="AN316" s="196">
        <f t="shared" si="1082"/>
        <v>-47.247199999999999</v>
      </c>
      <c r="AO316" s="196">
        <f t="shared" si="1082"/>
        <v>-48.005600000000008</v>
      </c>
      <c r="AP316" s="196">
        <f t="shared" si="1082"/>
        <v>-49.514400000000009</v>
      </c>
      <c r="AQ316" s="196">
        <f t="shared" si="1082"/>
        <v>-52.308</v>
      </c>
      <c r="AR316" s="196">
        <f t="shared" si="1082"/>
        <v>-54.381599999999999</v>
      </c>
      <c r="AS316" s="196">
        <f t="shared" si="1082"/>
        <v>-55.9544</v>
      </c>
      <c r="AT316" s="196">
        <f t="shared" ref="AT316" si="1083">(-2000*(AT163+AT229)-4000*AT247)/1000000</f>
        <v>-55.457599999999999</v>
      </c>
      <c r="AU316" s="196">
        <f t="shared" si="1082"/>
        <v>-58.5</v>
      </c>
      <c r="AV316" s="196">
        <f t="shared" si="1082"/>
        <v>-58.968000000000004</v>
      </c>
      <c r="AW316" s="196">
        <f t="shared" si="1082"/>
        <v>-63.48</v>
      </c>
      <c r="AX316" s="196">
        <f t="shared" si="1082"/>
        <v>-64.951999999999998</v>
      </c>
      <c r="AY316" s="196">
        <f t="shared" si="1082"/>
        <v>-65.7</v>
      </c>
      <c r="AZ316" s="196">
        <f t="shared" si="1082"/>
        <v>-65.156000000000006</v>
      </c>
      <c r="BA316" s="196">
        <f t="shared" si="1082"/>
        <v>-70.471999999999994</v>
      </c>
      <c r="BB316" s="196">
        <f t="shared" si="1082"/>
        <v>-71.944000000000003</v>
      </c>
      <c r="BC316" s="196">
        <f t="shared" si="1082"/>
        <v>-72.617999999999995</v>
      </c>
      <c r="BD316" s="196">
        <f t="shared" si="1082"/>
        <v>-69.706000000000003</v>
      </c>
      <c r="BE316" s="196">
        <f t="shared" si="1082"/>
        <v>-73.231999999999999</v>
      </c>
      <c r="BF316" s="196">
        <f t="shared" si="1082"/>
        <v>-73.231999999999999</v>
      </c>
      <c r="BJ316" s="116">
        <f t="shared" si="1026"/>
        <v>307</v>
      </c>
    </row>
    <row r="317" spans="1:62" hidden="1" outlineLevel="2">
      <c r="B317" s="13" t="s">
        <v>356</v>
      </c>
      <c r="C317" s="50">
        <f t="shared" si="1081"/>
        <v>-50</v>
      </c>
      <c r="D317" s="50">
        <f t="shared" si="1081"/>
        <v>-230</v>
      </c>
      <c r="E317" s="50">
        <f t="shared" si="1081"/>
        <v>-350</v>
      </c>
      <c r="F317" s="50">
        <f t="shared" si="1081"/>
        <v>-680</v>
      </c>
      <c r="G317" s="50">
        <f t="shared" si="1081"/>
        <v>-690</v>
      </c>
      <c r="H317" s="50">
        <f t="shared" si="1081"/>
        <v>-1510</v>
      </c>
      <c r="I317" s="50">
        <f t="shared" si="1081"/>
        <v>-160</v>
      </c>
      <c r="J317" s="50">
        <f t="shared" si="1081"/>
        <v>-105</v>
      </c>
      <c r="K317" s="50">
        <f t="shared" si="1081"/>
        <v>-60</v>
      </c>
      <c r="L317" s="50">
        <f t="shared" si="1081"/>
        <v>0</v>
      </c>
      <c r="M317" s="50">
        <f t="shared" si="1081"/>
        <v>0</v>
      </c>
      <c r="O317" s="196"/>
      <c r="P317" s="196">
        <f t="shared" ref="P317:AS317" si="1084">-20*(P143)-20*MAX(P226-O226,0)-50*MAX(P244-O244,0)</f>
        <v>0</v>
      </c>
      <c r="Q317" s="196">
        <f t="shared" si="1084"/>
        <v>0</v>
      </c>
      <c r="R317" s="196">
        <f t="shared" si="1084"/>
        <v>-50</v>
      </c>
      <c r="S317" s="196">
        <f t="shared" si="1084"/>
        <v>0</v>
      </c>
      <c r="T317" s="196">
        <f t="shared" si="1084"/>
        <v>0</v>
      </c>
      <c r="U317" s="196">
        <f t="shared" si="1084"/>
        <v>0</v>
      </c>
      <c r="V317" s="196">
        <f t="shared" si="1084"/>
        <v>-230</v>
      </c>
      <c r="W317" s="196">
        <f t="shared" si="1084"/>
        <v>0</v>
      </c>
      <c r="X317" s="196">
        <f t="shared" si="1084"/>
        <v>-350</v>
      </c>
      <c r="Y317" s="196">
        <f t="shared" si="1084"/>
        <v>0</v>
      </c>
      <c r="Z317" s="196">
        <f t="shared" si="1084"/>
        <v>0</v>
      </c>
      <c r="AA317" s="196">
        <f t="shared" si="1084"/>
        <v>0</v>
      </c>
      <c r="AB317" s="196">
        <f t="shared" si="1084"/>
        <v>-120</v>
      </c>
      <c r="AC317" s="196">
        <f t="shared" si="1084"/>
        <v>-240</v>
      </c>
      <c r="AD317" s="196">
        <f t="shared" si="1084"/>
        <v>-320</v>
      </c>
      <c r="AE317" s="196">
        <f t="shared" si="1084"/>
        <v>-100</v>
      </c>
      <c r="AF317" s="196">
        <f t="shared" si="1084"/>
        <v>-80</v>
      </c>
      <c r="AG317" s="196">
        <f t="shared" si="1084"/>
        <v>-310</v>
      </c>
      <c r="AH317" s="196">
        <f t="shared" si="1084"/>
        <v>-200</v>
      </c>
      <c r="AI317" s="196">
        <f t="shared" si="1084"/>
        <v>-1220</v>
      </c>
      <c r="AJ317" s="196">
        <f t="shared" si="1084"/>
        <v>-20</v>
      </c>
      <c r="AK317" s="196">
        <f t="shared" si="1084"/>
        <v>-270</v>
      </c>
      <c r="AL317" s="196">
        <f t="shared" si="1084"/>
        <v>0</v>
      </c>
      <c r="AM317" s="196">
        <f t="shared" si="1084"/>
        <v>-60</v>
      </c>
      <c r="AN317" s="196">
        <f t="shared" si="1084"/>
        <v>0</v>
      </c>
      <c r="AO317" s="196">
        <f t="shared" si="1084"/>
        <v>-40</v>
      </c>
      <c r="AP317" s="196">
        <f t="shared" si="1084"/>
        <v>-60</v>
      </c>
      <c r="AQ317" s="196">
        <f t="shared" si="1084"/>
        <v>-20</v>
      </c>
      <c r="AR317" s="196">
        <f t="shared" si="1084"/>
        <v>-40</v>
      </c>
      <c r="AS317" s="196">
        <f t="shared" si="1084"/>
        <v>-20</v>
      </c>
      <c r="AT317" s="248">
        <v>-25</v>
      </c>
      <c r="AU317" s="196">
        <f t="shared" ref="AU317:BF317" si="1085">-20*(AU143)-20*MAX(AU226-AT226,0)-50*MAX(AU244-AT244,0)</f>
        <v>-60</v>
      </c>
      <c r="AV317" s="196">
        <f t="shared" si="1085"/>
        <v>0</v>
      </c>
      <c r="AW317" s="196">
        <f t="shared" si="1085"/>
        <v>0</v>
      </c>
      <c r="AX317" s="196">
        <f t="shared" si="1085"/>
        <v>0</v>
      </c>
      <c r="AY317" s="196">
        <f t="shared" si="1085"/>
        <v>0</v>
      </c>
      <c r="AZ317" s="196">
        <f t="shared" si="1085"/>
        <v>0</v>
      </c>
      <c r="BA317" s="196">
        <f t="shared" si="1085"/>
        <v>0</v>
      </c>
      <c r="BB317" s="196">
        <f t="shared" si="1085"/>
        <v>0</v>
      </c>
      <c r="BC317" s="196">
        <f t="shared" si="1085"/>
        <v>0</v>
      </c>
      <c r="BD317" s="196">
        <f t="shared" si="1085"/>
        <v>0</v>
      </c>
      <c r="BE317" s="196">
        <f t="shared" si="1085"/>
        <v>0</v>
      </c>
      <c r="BF317" s="196">
        <f t="shared" si="1085"/>
        <v>0</v>
      </c>
      <c r="BJ317" s="116">
        <f t="shared" si="1026"/>
        <v>308</v>
      </c>
    </row>
    <row r="318" spans="1:62" hidden="1" outlineLevel="2">
      <c r="B318" s="13" t="s">
        <v>357</v>
      </c>
      <c r="C318" s="50">
        <f t="shared" si="1081"/>
        <v>-495.72700000000003</v>
      </c>
      <c r="D318" s="50">
        <f t="shared" si="1081"/>
        <v>-1473.1786</v>
      </c>
      <c r="E318" s="50">
        <f t="shared" si="1081"/>
        <v>-808.11759999999981</v>
      </c>
      <c r="F318" s="50">
        <f t="shared" si="1081"/>
        <v>-152.55700000000002</v>
      </c>
      <c r="G318" s="50">
        <f t="shared" si="1081"/>
        <v>-765.60340000000008</v>
      </c>
      <c r="H318" s="50">
        <f t="shared" si="1081"/>
        <v>923.84060000000011</v>
      </c>
      <c r="I318" s="50">
        <f t="shared" si="1081"/>
        <v>-36.360799999999998</v>
      </c>
      <c r="J318" s="50">
        <f t="shared" si="1081"/>
        <v>-251.36540000000008</v>
      </c>
      <c r="K318" s="50">
        <f t="shared" si="1081"/>
        <v>-194.10000000000002</v>
      </c>
      <c r="L318" s="50">
        <f t="shared" si="1081"/>
        <v>-120</v>
      </c>
      <c r="M318" s="50">
        <f t="shared" si="1081"/>
        <v>-160</v>
      </c>
      <c r="P318" s="50">
        <f>+P319-P317-P316</f>
        <v>-145.15059999999997</v>
      </c>
      <c r="Q318" s="50">
        <f t="shared" ref="Q318:AQ318" si="1086">+Q319-Q317-Q316</f>
        <v>-192.26759999999999</v>
      </c>
      <c r="R318" s="50">
        <f t="shared" si="1086"/>
        <v>-158.30880000000008</v>
      </c>
      <c r="S318" s="50">
        <f t="shared" si="1086"/>
        <v>-277.55600000000004</v>
      </c>
      <c r="T318" s="50">
        <f t="shared" si="1086"/>
        <v>-565.2826</v>
      </c>
      <c r="U318" s="50">
        <f t="shared" si="1086"/>
        <v>-442.92719999999986</v>
      </c>
      <c r="V318" s="50">
        <f t="shared" si="1086"/>
        <v>-187.41280000000003</v>
      </c>
      <c r="W318" s="50">
        <f t="shared" si="1086"/>
        <v>-378.46460000000002</v>
      </c>
      <c r="X318" s="50">
        <f t="shared" si="1086"/>
        <v>-53.465199999999982</v>
      </c>
      <c r="Y318" s="50">
        <f t="shared" si="1086"/>
        <v>-164.92560000000003</v>
      </c>
      <c r="Z318" s="50">
        <f t="shared" si="1086"/>
        <v>-211.26219999999981</v>
      </c>
      <c r="AA318" s="50">
        <f t="shared" si="1086"/>
        <v>-150.03899999999999</v>
      </c>
      <c r="AB318" s="50">
        <f t="shared" si="1086"/>
        <v>-60.235400000000013</v>
      </c>
      <c r="AC318" s="50">
        <f t="shared" si="1086"/>
        <v>46.872999999999919</v>
      </c>
      <c r="AD318" s="50">
        <f t="shared" si="1086"/>
        <v>10.844400000000078</v>
      </c>
      <c r="AE318" s="50">
        <f t="shared" si="1086"/>
        <v>-204.66499999999996</v>
      </c>
      <c r="AF318" s="50">
        <f t="shared" si="1086"/>
        <v>-296.63459999999998</v>
      </c>
      <c r="AG318" s="50">
        <f t="shared" si="1086"/>
        <v>-77.610000000000085</v>
      </c>
      <c r="AH318" s="50">
        <f t="shared" si="1086"/>
        <v>-186.69380000000001</v>
      </c>
      <c r="AI318" s="50">
        <f t="shared" si="1086"/>
        <v>937.2700000000001</v>
      </c>
      <c r="AJ318" s="50">
        <f t="shared" si="1086"/>
        <v>-112.56820000000005</v>
      </c>
      <c r="AK318" s="50">
        <f t="shared" si="1086"/>
        <v>159.38020000000006</v>
      </c>
      <c r="AL318" s="50">
        <f t="shared" si="1086"/>
        <v>-60.24139999999997</v>
      </c>
      <c r="AM318" s="50">
        <f t="shared" si="1086"/>
        <v>-15.548000000000002</v>
      </c>
      <c r="AN318" s="50">
        <f t="shared" si="1086"/>
        <v>-16.111800000000009</v>
      </c>
      <c r="AO318" s="50">
        <f t="shared" si="1086"/>
        <v>-3.7103999999999715</v>
      </c>
      <c r="AP318" s="50">
        <f t="shared" si="1086"/>
        <v>-0.9906000000000148</v>
      </c>
      <c r="AQ318" s="50">
        <f t="shared" si="1086"/>
        <v>-111.119</v>
      </c>
      <c r="AR318" s="50">
        <f t="shared" ref="AR318:AS318" si="1087">+AR319-AR317-AR316</f>
        <v>-37.960400000000014</v>
      </c>
      <c r="AS318" s="50">
        <f t="shared" si="1087"/>
        <v>-57.140599999999942</v>
      </c>
      <c r="AT318" s="50">
        <f t="shared" ref="AT318" si="1088">+AT319-AT317-AT316</f>
        <v>-45.145400000000095</v>
      </c>
      <c r="AU318" s="66">
        <f>-500-SUM(AU316:AX317,AV318:AX318)</f>
        <v>-44.100000000000023</v>
      </c>
      <c r="AV318" s="96">
        <v>-50</v>
      </c>
      <c r="AW318" s="96">
        <v>-50</v>
      </c>
      <c r="AX318" s="96">
        <v>-50</v>
      </c>
      <c r="AY318" s="96">
        <v>-30</v>
      </c>
      <c r="AZ318" s="96">
        <v>-30</v>
      </c>
      <c r="BA318" s="96">
        <v>-30</v>
      </c>
      <c r="BB318" s="96">
        <v>-30</v>
      </c>
      <c r="BC318" s="96">
        <v>-40</v>
      </c>
      <c r="BD318" s="96">
        <v>-40</v>
      </c>
      <c r="BE318" s="96">
        <v>-40</v>
      </c>
      <c r="BF318" s="96">
        <v>-40</v>
      </c>
      <c r="BJ318" s="116">
        <f t="shared" si="1026"/>
        <v>309</v>
      </c>
    </row>
    <row r="319" spans="1:62" hidden="1" outlineLevel="2">
      <c r="B319" s="13" t="s">
        <v>358</v>
      </c>
      <c r="C319" s="50">
        <f t="shared" si="1081"/>
        <v>-779.53700000000003</v>
      </c>
      <c r="D319" s="50">
        <f t="shared" si="1081"/>
        <v>-2042.617</v>
      </c>
      <c r="E319" s="50">
        <f t="shared" si="1081"/>
        <v>-1518.6279999999997</v>
      </c>
      <c r="F319" s="50">
        <f t="shared" si="1081"/>
        <v>-1178.2049999999999</v>
      </c>
      <c r="G319" s="50">
        <f t="shared" si="1081"/>
        <v>-1821.3150000000001</v>
      </c>
      <c r="H319" s="50">
        <f t="shared" si="1081"/>
        <v>-867.10599999999999</v>
      </c>
      <c r="I319" s="50">
        <f t="shared" si="1081"/>
        <v>-395.45500000000004</v>
      </c>
      <c r="J319" s="50">
        <f t="shared" si="1081"/>
        <v>-574.46699999999998</v>
      </c>
      <c r="K319" s="50">
        <f t="shared" si="1081"/>
        <v>-500</v>
      </c>
      <c r="L319" s="50">
        <f t="shared" si="1081"/>
        <v>-393.27199999999999</v>
      </c>
      <c r="M319" s="50">
        <f t="shared" si="1081"/>
        <v>-448.78800000000001</v>
      </c>
      <c r="P319" s="176">
        <f>P335</f>
        <v>-218.71499999999997</v>
      </c>
      <c r="Q319" s="176">
        <f t="shared" ref="Q319:AQ319" si="1089">Q335</f>
        <v>-271.49799999999999</v>
      </c>
      <c r="R319" s="176">
        <f t="shared" si="1089"/>
        <v>-289.32400000000007</v>
      </c>
      <c r="S319" s="176">
        <f t="shared" si="1089"/>
        <v>-358.57400000000001</v>
      </c>
      <c r="T319" s="176">
        <f t="shared" si="1089"/>
        <v>-644.67100000000005</v>
      </c>
      <c r="U319" s="176">
        <f t="shared" si="1089"/>
        <v>-529.35199999999986</v>
      </c>
      <c r="V319" s="176">
        <f t="shared" si="1089"/>
        <v>-510.02000000000004</v>
      </c>
      <c r="W319" s="176">
        <f t="shared" si="1089"/>
        <v>-473.68700000000001</v>
      </c>
      <c r="X319" s="176">
        <f t="shared" si="1089"/>
        <v>-494.17399999999998</v>
      </c>
      <c r="Y319" s="176">
        <f t="shared" si="1089"/>
        <v>-253.90800000000002</v>
      </c>
      <c r="Z319" s="176">
        <f t="shared" si="1089"/>
        <v>-296.85899999999981</v>
      </c>
      <c r="AA319" s="176">
        <f t="shared" si="1089"/>
        <v>-235.53899999999999</v>
      </c>
      <c r="AB319" s="176">
        <f t="shared" si="1089"/>
        <v>-264.82900000000001</v>
      </c>
      <c r="AC319" s="176">
        <f t="shared" si="1089"/>
        <v>-280.34300000000007</v>
      </c>
      <c r="AD319" s="176">
        <f t="shared" si="1089"/>
        <v>-397.49399999999991</v>
      </c>
      <c r="AE319" s="176">
        <f t="shared" si="1089"/>
        <v>-396.46499999999997</v>
      </c>
      <c r="AF319" s="176">
        <f t="shared" si="1089"/>
        <v>-466.21499999999997</v>
      </c>
      <c r="AG319" s="176">
        <f t="shared" si="1089"/>
        <v>-481.54200000000009</v>
      </c>
      <c r="AH319" s="176">
        <f t="shared" si="1089"/>
        <v>-477.09300000000002</v>
      </c>
      <c r="AI319" s="176">
        <f t="shared" si="1089"/>
        <v>-364.23399999999998</v>
      </c>
      <c r="AJ319" s="176">
        <f t="shared" si="1089"/>
        <v>-202.43800000000005</v>
      </c>
      <c r="AK319" s="176">
        <f t="shared" si="1089"/>
        <v>-177.37499999999994</v>
      </c>
      <c r="AL319" s="176">
        <f t="shared" si="1089"/>
        <v>-123.05899999999997</v>
      </c>
      <c r="AM319" s="176">
        <f t="shared" si="1089"/>
        <v>-129.875</v>
      </c>
      <c r="AN319" s="176">
        <f t="shared" si="1089"/>
        <v>-63.359000000000009</v>
      </c>
      <c r="AO319" s="176">
        <f t="shared" si="1089"/>
        <v>-91.71599999999998</v>
      </c>
      <c r="AP319" s="176">
        <f t="shared" si="1089"/>
        <v>-110.50500000000002</v>
      </c>
      <c r="AQ319" s="176">
        <f t="shared" si="1089"/>
        <v>-183.42699999999999</v>
      </c>
      <c r="AR319" s="176">
        <f t="shared" ref="AR319:AS319" si="1090">AR335</f>
        <v>-132.34200000000001</v>
      </c>
      <c r="AS319" s="176">
        <f t="shared" si="1090"/>
        <v>-133.09499999999994</v>
      </c>
      <c r="AT319" s="176">
        <f t="shared" ref="AT319" si="1091">AT335</f>
        <v>-125.60300000000009</v>
      </c>
      <c r="AU319" s="95">
        <f t="shared" ref="AU319:BF319" si="1092">SUM(AU316:AU318)</f>
        <v>-162.60000000000002</v>
      </c>
      <c r="AV319" s="95">
        <f t="shared" si="1092"/>
        <v>-108.968</v>
      </c>
      <c r="AW319" s="95">
        <f t="shared" si="1092"/>
        <v>-113.47999999999999</v>
      </c>
      <c r="AX319" s="95">
        <f t="shared" si="1092"/>
        <v>-114.952</v>
      </c>
      <c r="AY319" s="95">
        <f t="shared" si="1092"/>
        <v>-95.7</v>
      </c>
      <c r="AZ319" s="95">
        <f t="shared" si="1092"/>
        <v>-95.156000000000006</v>
      </c>
      <c r="BA319" s="95">
        <f t="shared" si="1092"/>
        <v>-100.47199999999999</v>
      </c>
      <c r="BB319" s="95">
        <f t="shared" si="1092"/>
        <v>-101.944</v>
      </c>
      <c r="BC319" s="95">
        <f t="shared" si="1092"/>
        <v>-112.61799999999999</v>
      </c>
      <c r="BD319" s="95">
        <f t="shared" si="1092"/>
        <v>-109.706</v>
      </c>
      <c r="BE319" s="95">
        <f t="shared" si="1092"/>
        <v>-113.232</v>
      </c>
      <c r="BF319" s="95">
        <f t="shared" si="1092"/>
        <v>-113.232</v>
      </c>
      <c r="BJ319" s="116">
        <f t="shared" si="1026"/>
        <v>310</v>
      </c>
    </row>
    <row r="320" spans="1:62" hidden="1" outlineLevel="2">
      <c r="B320" s="40"/>
      <c r="BJ320" s="116">
        <f t="shared" si="1026"/>
        <v>311</v>
      </c>
    </row>
    <row r="321" spans="1:62" collapsed="1">
      <c r="A321" s="72" t="s">
        <v>322</v>
      </c>
      <c r="B321" s="2" t="s">
        <v>101</v>
      </c>
      <c r="F321" s="93"/>
      <c r="G321" s="93"/>
      <c r="H321" s="93"/>
      <c r="I321" s="93"/>
      <c r="J321" s="93"/>
      <c r="K321" s="93"/>
      <c r="L321" s="93"/>
      <c r="M321" s="93"/>
      <c r="BJ321" s="116">
        <f t="shared" si="1026"/>
        <v>312</v>
      </c>
    </row>
    <row r="322" spans="1:62" outlineLevel="1">
      <c r="B322" s="4" t="s">
        <v>2</v>
      </c>
      <c r="C322" s="57">
        <f>C$8</f>
        <v>2010</v>
      </c>
      <c r="D322" s="57">
        <f t="shared" ref="D322:BF322" si="1093">D$8</f>
        <v>2011</v>
      </c>
      <c r="E322" s="57">
        <f t="shared" si="1093"/>
        <v>2012</v>
      </c>
      <c r="F322" s="57">
        <f t="shared" si="1093"/>
        <v>2013</v>
      </c>
      <c r="G322" s="57">
        <f t="shared" si="1093"/>
        <v>2014</v>
      </c>
      <c r="H322" s="57">
        <f t="shared" si="1093"/>
        <v>2015</v>
      </c>
      <c r="I322" s="57">
        <f t="shared" si="1093"/>
        <v>2016</v>
      </c>
      <c r="J322" s="57">
        <f t="shared" si="1093"/>
        <v>2017</v>
      </c>
      <c r="K322" s="57" t="str">
        <f t="shared" si="1093"/>
        <v>2018E</v>
      </c>
      <c r="L322" s="57" t="str">
        <f t="shared" si="1093"/>
        <v>2019E</v>
      </c>
      <c r="M322" s="57" t="str">
        <f t="shared" si="1093"/>
        <v>2020E</v>
      </c>
      <c r="O322" s="57" t="str">
        <f t="shared" si="1093"/>
        <v>1Q10</v>
      </c>
      <c r="P322" s="57" t="str">
        <f t="shared" si="1093"/>
        <v>2Q10</v>
      </c>
      <c r="Q322" s="57" t="str">
        <f t="shared" si="1093"/>
        <v>3Q10</v>
      </c>
      <c r="R322" s="57" t="str">
        <f t="shared" si="1093"/>
        <v>4Q10</v>
      </c>
      <c r="S322" s="57" t="str">
        <f t="shared" si="1093"/>
        <v>1Q11</v>
      </c>
      <c r="T322" s="57" t="str">
        <f t="shared" si="1093"/>
        <v>2Q11</v>
      </c>
      <c r="U322" s="57" t="str">
        <f t="shared" si="1093"/>
        <v>3Q11</v>
      </c>
      <c r="V322" s="57" t="str">
        <f t="shared" si="1093"/>
        <v>4Q11</v>
      </c>
      <c r="W322" s="57" t="str">
        <f t="shared" si="1093"/>
        <v>1Q12</v>
      </c>
      <c r="X322" s="57" t="str">
        <f t="shared" si="1093"/>
        <v>2Q12</v>
      </c>
      <c r="Y322" s="57" t="str">
        <f t="shared" si="1093"/>
        <v>3Q12</v>
      </c>
      <c r="Z322" s="57" t="str">
        <f t="shared" si="1093"/>
        <v>4Q12</v>
      </c>
      <c r="AA322" s="57" t="str">
        <f t="shared" si="1093"/>
        <v>1Q13</v>
      </c>
      <c r="AB322" s="57" t="str">
        <f t="shared" si="1093"/>
        <v>2Q13</v>
      </c>
      <c r="AC322" s="57" t="str">
        <f t="shared" si="1093"/>
        <v>3Q13</v>
      </c>
      <c r="AD322" s="57" t="str">
        <f t="shared" si="1093"/>
        <v>4Q13</v>
      </c>
      <c r="AE322" s="57" t="str">
        <f t="shared" si="1093"/>
        <v>1Q14</v>
      </c>
      <c r="AF322" s="57" t="str">
        <f t="shared" si="1093"/>
        <v>2Q14</v>
      </c>
      <c r="AG322" s="57" t="str">
        <f t="shared" si="1093"/>
        <v>3Q14</v>
      </c>
      <c r="AH322" s="57" t="str">
        <f t="shared" si="1093"/>
        <v>4Q14</v>
      </c>
      <c r="AI322" s="57" t="str">
        <f t="shared" si="1093"/>
        <v>1Q15</v>
      </c>
      <c r="AJ322" s="57" t="str">
        <f t="shared" si="1093"/>
        <v>2Q15</v>
      </c>
      <c r="AK322" s="57" t="str">
        <f t="shared" si="1093"/>
        <v>3Q15</v>
      </c>
      <c r="AL322" s="57" t="str">
        <f t="shared" si="1093"/>
        <v>4Q15</v>
      </c>
      <c r="AM322" s="57" t="str">
        <f t="shared" si="1093"/>
        <v>1Q16</v>
      </c>
      <c r="AN322" s="57" t="str">
        <f t="shared" si="1093"/>
        <v>2Q16</v>
      </c>
      <c r="AO322" s="57" t="str">
        <f t="shared" si="1093"/>
        <v>3Q16</v>
      </c>
      <c r="AP322" s="57" t="str">
        <f t="shared" si="1093"/>
        <v>4Q16</v>
      </c>
      <c r="AQ322" s="57" t="str">
        <f t="shared" si="1093"/>
        <v>1Q17</v>
      </c>
      <c r="AR322" s="57" t="str">
        <f t="shared" si="1093"/>
        <v>2Q17</v>
      </c>
      <c r="AS322" s="57" t="str">
        <f t="shared" si="1093"/>
        <v>3Q17</v>
      </c>
      <c r="AT322" s="57" t="str">
        <f t="shared" si="1093"/>
        <v>4Q17</v>
      </c>
      <c r="AU322" s="57" t="str">
        <f t="shared" si="1093"/>
        <v>1Q18E</v>
      </c>
      <c r="AV322" s="57" t="str">
        <f t="shared" si="1093"/>
        <v>2Q18E</v>
      </c>
      <c r="AW322" s="57" t="str">
        <f t="shared" si="1093"/>
        <v>3Q18E</v>
      </c>
      <c r="AX322" s="57" t="str">
        <f t="shared" si="1093"/>
        <v>4Q18E</v>
      </c>
      <c r="AY322" s="57" t="str">
        <f t="shared" si="1093"/>
        <v>1Q19E</v>
      </c>
      <c r="AZ322" s="57" t="str">
        <f t="shared" si="1093"/>
        <v>2Q19E</v>
      </c>
      <c r="BA322" s="57" t="str">
        <f t="shared" si="1093"/>
        <v>3Q19E</v>
      </c>
      <c r="BB322" s="57" t="str">
        <f t="shared" si="1093"/>
        <v>4Q19E</v>
      </c>
      <c r="BC322" s="57" t="str">
        <f t="shared" si="1093"/>
        <v>1Q20E</v>
      </c>
      <c r="BD322" s="57" t="str">
        <f t="shared" si="1093"/>
        <v>2Q20E</v>
      </c>
      <c r="BE322" s="57" t="str">
        <f t="shared" si="1093"/>
        <v>3Q20E</v>
      </c>
      <c r="BF322" s="57" t="str">
        <f t="shared" si="1093"/>
        <v>4Q20E</v>
      </c>
      <c r="BJ322" s="116">
        <f t="shared" si="1026"/>
        <v>313</v>
      </c>
    </row>
    <row r="323" spans="1:62" outlineLevel="1">
      <c r="B323" s="10" t="s">
        <v>102</v>
      </c>
      <c r="C323" s="50">
        <f>SUMIFS($O323:$BG323,$O$5:$BG$5,C$5)</f>
        <v>94.695000000000036</v>
      </c>
      <c r="D323" s="50">
        <f t="shared" ref="D323:M338" si="1094">SUMIFS($O323:$BG323,$O$5:$BG$5,D$5)</f>
        <v>243.67900000000003</v>
      </c>
      <c r="E323" s="50">
        <f t="shared" si="1094"/>
        <v>163.92399999999995</v>
      </c>
      <c r="F323" s="50">
        <f t="shared" si="1094"/>
        <v>139.98199999999994</v>
      </c>
      <c r="G323" s="50">
        <f t="shared" si="1094"/>
        <v>-670.65899999999988</v>
      </c>
      <c r="H323" s="50">
        <f t="shared" si="1094"/>
        <v>-375.47500000000002</v>
      </c>
      <c r="I323" s="50">
        <f t="shared" si="1094"/>
        <v>-1202.143</v>
      </c>
      <c r="J323" s="50">
        <f t="shared" si="1094"/>
        <v>-546.81100000000004</v>
      </c>
      <c r="K323" s="50">
        <f t="shared" si="1094"/>
        <v>-250.28320443281029</v>
      </c>
      <c r="L323" s="50">
        <f t="shared" si="1094"/>
        <v>18.633324736482365</v>
      </c>
      <c r="M323" s="50">
        <f t="shared" si="1094"/>
        <v>178.07646262173219</v>
      </c>
      <c r="O323" s="50">
        <f t="shared" ref="O323:BF323" si="1095">O49</f>
        <v>40.20000000000001</v>
      </c>
      <c r="P323" s="50">
        <f t="shared" si="1095"/>
        <v>43.621000000000009</v>
      </c>
      <c r="Q323" s="50">
        <f t="shared" si="1095"/>
        <v>-39.606999999999985</v>
      </c>
      <c r="R323" s="50">
        <f t="shared" si="1095"/>
        <v>50.480999999999995</v>
      </c>
      <c r="S323" s="50">
        <f t="shared" si="1095"/>
        <v>82.825000000000045</v>
      </c>
      <c r="T323" s="50">
        <f t="shared" si="1095"/>
        <v>192.44799999999998</v>
      </c>
      <c r="U323" s="50">
        <f t="shared" si="1095"/>
        <v>74.256000000000071</v>
      </c>
      <c r="V323" s="50">
        <f t="shared" si="1095"/>
        <v>-105.85000000000008</v>
      </c>
      <c r="W323" s="50">
        <f t="shared" si="1095"/>
        <v>134.09000000000009</v>
      </c>
      <c r="X323" s="50">
        <f t="shared" si="1095"/>
        <v>-72.788999999999987</v>
      </c>
      <c r="Y323" s="50">
        <f t="shared" si="1095"/>
        <v>75.655999999999892</v>
      </c>
      <c r="Z323" s="50">
        <f t="shared" si="1095"/>
        <v>26.966999999999956</v>
      </c>
      <c r="AA323" s="50">
        <f t="shared" si="1095"/>
        <v>99.120999999999981</v>
      </c>
      <c r="AB323" s="50">
        <f t="shared" si="1095"/>
        <v>-4.3610000000000255</v>
      </c>
      <c r="AC323" s="50">
        <f t="shared" si="1095"/>
        <v>-105.381</v>
      </c>
      <c r="AD323" s="50">
        <f t="shared" si="1095"/>
        <v>150.60299999999998</v>
      </c>
      <c r="AE323" s="50">
        <f t="shared" si="1095"/>
        <v>49.918999999999997</v>
      </c>
      <c r="AF323" s="50">
        <f t="shared" si="1095"/>
        <v>64.443999999999988</v>
      </c>
      <c r="AG323" s="50">
        <f t="shared" si="1095"/>
        <v>106.048</v>
      </c>
      <c r="AH323" s="50">
        <f t="shared" si="1095"/>
        <v>-891.06999999999994</v>
      </c>
      <c r="AI323" s="50">
        <f t="shared" si="1095"/>
        <v>123.63399999999997</v>
      </c>
      <c r="AJ323" s="50">
        <f t="shared" si="1095"/>
        <v>-39.621000000000052</v>
      </c>
      <c r="AK323" s="50">
        <f t="shared" si="1095"/>
        <v>-295.83399999999995</v>
      </c>
      <c r="AL323" s="50">
        <f t="shared" si="1095"/>
        <v>-163.65400000000002</v>
      </c>
      <c r="AM323" s="50">
        <f t="shared" si="1095"/>
        <v>-570.69500000000005</v>
      </c>
      <c r="AN323" s="50">
        <f t="shared" si="1095"/>
        <v>-184.65</v>
      </c>
      <c r="AO323" s="50">
        <f t="shared" si="1095"/>
        <v>-111.21099999999998</v>
      </c>
      <c r="AP323" s="50">
        <f t="shared" si="1095"/>
        <v>-335.58699999999999</v>
      </c>
      <c r="AQ323" s="50">
        <f t="shared" si="1095"/>
        <v>-148.98399999999998</v>
      </c>
      <c r="AR323" s="50">
        <f t="shared" si="1095"/>
        <v>-132.95100000000005</v>
      </c>
      <c r="AS323" s="50">
        <f t="shared" si="1095"/>
        <v>-148.53199999999998</v>
      </c>
      <c r="AT323" s="50">
        <f t="shared" si="1095"/>
        <v>-116.34399999999999</v>
      </c>
      <c r="AU323" s="50">
        <f t="shared" si="1095"/>
        <v>-94.839366173623702</v>
      </c>
      <c r="AV323" s="50">
        <f t="shared" si="1095"/>
        <v>-73.046513588608221</v>
      </c>
      <c r="AW323" s="50">
        <f t="shared" si="1095"/>
        <v>-49.57754545271758</v>
      </c>
      <c r="AX323" s="50">
        <f t="shared" si="1095"/>
        <v>-32.819779217860805</v>
      </c>
      <c r="AY323" s="50">
        <f t="shared" si="1095"/>
        <v>-24.200469607937947</v>
      </c>
      <c r="AZ323" s="50">
        <f t="shared" si="1095"/>
        <v>-6.1265009493157248</v>
      </c>
      <c r="BA323" s="50">
        <f t="shared" si="1095"/>
        <v>18.564800183595935</v>
      </c>
      <c r="BB323" s="50">
        <f t="shared" si="1095"/>
        <v>30.395495110140104</v>
      </c>
      <c r="BC323" s="50">
        <f t="shared" si="1095"/>
        <v>38.494634776806713</v>
      </c>
      <c r="BD323" s="50">
        <f t="shared" si="1095"/>
        <v>36.283255461881836</v>
      </c>
      <c r="BE323" s="50">
        <f t="shared" si="1095"/>
        <v>48.075778342849354</v>
      </c>
      <c r="BF323" s="50">
        <f t="shared" si="1095"/>
        <v>55.222794040194287</v>
      </c>
      <c r="BJ323" s="116">
        <f t="shared" si="1026"/>
        <v>314</v>
      </c>
    </row>
    <row r="324" spans="1:62" outlineLevel="1">
      <c r="B324" s="10" t="s">
        <v>323</v>
      </c>
      <c r="C324" s="50">
        <f t="shared" ref="C324:C327" si="1096">SUMIFS($O324:$BG324,$O$5:$BG$5,C$5)</f>
        <v>773.87</v>
      </c>
      <c r="D324" s="50">
        <f t="shared" si="1094"/>
        <v>944.66499999999996</v>
      </c>
      <c r="E324" s="50">
        <f t="shared" si="1094"/>
        <v>1047.7560000000001</v>
      </c>
      <c r="F324" s="50">
        <f t="shared" si="1094"/>
        <v>1086.6769999999999</v>
      </c>
      <c r="G324" s="50">
        <f t="shared" si="1094"/>
        <v>1145.0999999999999</v>
      </c>
      <c r="H324" s="50">
        <f t="shared" si="1094"/>
        <v>970.45900000000006</v>
      </c>
      <c r="I324" s="50">
        <f t="shared" si="1094"/>
        <v>866.13099999999986</v>
      </c>
      <c r="J324" s="50">
        <f t="shared" si="1094"/>
        <v>842.94299999999998</v>
      </c>
      <c r="K324" s="50">
        <f t="shared" si="1094"/>
        <v>844.3846984786619</v>
      </c>
      <c r="L324" s="50">
        <f t="shared" si="1094"/>
        <v>787.74233390563859</v>
      </c>
      <c r="M324" s="50">
        <f t="shared" si="1094"/>
        <v>737.84662232095684</v>
      </c>
      <c r="O324" s="50">
        <f t="shared" ref="O324:BF324" si="1097">-O32</f>
        <v>172.274</v>
      </c>
      <c r="P324" s="50">
        <f t="shared" si="1097"/>
        <v>176.20099999999999</v>
      </c>
      <c r="Q324" s="50">
        <f t="shared" si="1097"/>
        <v>203.929</v>
      </c>
      <c r="R324" s="50">
        <f t="shared" si="1097"/>
        <v>221.46600000000001</v>
      </c>
      <c r="S324" s="50">
        <f t="shared" si="1097"/>
        <v>229.67500000000001</v>
      </c>
      <c r="T324" s="50">
        <f t="shared" si="1097"/>
        <v>228.61</v>
      </c>
      <c r="U324" s="50">
        <f t="shared" si="1097"/>
        <v>246.62299999999999</v>
      </c>
      <c r="V324" s="50">
        <f t="shared" si="1097"/>
        <v>239.75700000000001</v>
      </c>
      <c r="W324" s="50">
        <f t="shared" si="1097"/>
        <v>247.62100000000001</v>
      </c>
      <c r="X324" s="50">
        <f t="shared" si="1097"/>
        <v>261.01600000000002</v>
      </c>
      <c r="Y324" s="50">
        <f t="shared" si="1097"/>
        <v>265.637</v>
      </c>
      <c r="Z324" s="50">
        <f t="shared" si="1097"/>
        <v>273.48200000000003</v>
      </c>
      <c r="AA324" s="50">
        <f t="shared" si="1097"/>
        <v>269.36500000000001</v>
      </c>
      <c r="AB324" s="50">
        <f t="shared" si="1097"/>
        <v>266.21000000000004</v>
      </c>
      <c r="AC324" s="50">
        <f t="shared" si="1097"/>
        <v>273.44399999999996</v>
      </c>
      <c r="AD324" s="50">
        <f t="shared" si="1097"/>
        <v>277.65799999999996</v>
      </c>
      <c r="AE324" s="50">
        <f t="shared" si="1097"/>
        <v>282.12700000000001</v>
      </c>
      <c r="AF324" s="50">
        <f t="shared" si="1097"/>
        <v>282.82000000000011</v>
      </c>
      <c r="AG324" s="50">
        <f t="shared" si="1097"/>
        <v>286.5809999999999</v>
      </c>
      <c r="AH324" s="50">
        <f t="shared" si="1097"/>
        <v>293.572</v>
      </c>
      <c r="AI324" s="50">
        <f t="shared" si="1097"/>
        <v>281.01900000000006</v>
      </c>
      <c r="AJ324" s="50">
        <f t="shared" si="1097"/>
        <v>218.196</v>
      </c>
      <c r="AK324" s="50">
        <f t="shared" si="1097"/>
        <v>240.107</v>
      </c>
      <c r="AL324" s="50">
        <f t="shared" si="1097"/>
        <v>231.13700000000003</v>
      </c>
      <c r="AM324" s="50">
        <f t="shared" si="1097"/>
        <v>215.81799999999998</v>
      </c>
      <c r="AN324" s="50">
        <f t="shared" si="1097"/>
        <v>213.41300000000001</v>
      </c>
      <c r="AO324" s="50">
        <f t="shared" si="1097"/>
        <v>220.71299999999999</v>
      </c>
      <c r="AP324" s="50">
        <f t="shared" si="1097"/>
        <v>216.18699999999995</v>
      </c>
      <c r="AQ324" s="50">
        <f t="shared" si="1097"/>
        <v>203.672</v>
      </c>
      <c r="AR324" s="50">
        <f t="shared" si="1097"/>
        <v>208.09</v>
      </c>
      <c r="AS324" s="50">
        <f t="shared" si="1097"/>
        <v>217.07499999999999</v>
      </c>
      <c r="AT324" s="50">
        <f t="shared" si="1097"/>
        <v>214.10599999999999</v>
      </c>
      <c r="AU324" s="50">
        <f t="shared" si="1097"/>
        <v>216.88955749999997</v>
      </c>
      <c r="AV324" s="50">
        <f t="shared" si="1097"/>
        <v>212.75240320875</v>
      </c>
      <c r="AW324" s="50">
        <f t="shared" si="1097"/>
        <v>209.0680568948394</v>
      </c>
      <c r="AX324" s="50">
        <f t="shared" si="1097"/>
        <v>205.6746808750726</v>
      </c>
      <c r="AY324" s="50">
        <f t="shared" si="1097"/>
        <v>202.45402570400751</v>
      </c>
      <c r="AZ324" s="50">
        <f t="shared" si="1097"/>
        <v>198.66425779151527</v>
      </c>
      <c r="BA324" s="50">
        <f t="shared" si="1097"/>
        <v>194.98971463991649</v>
      </c>
      <c r="BB324" s="50">
        <f t="shared" si="1097"/>
        <v>191.63433577019947</v>
      </c>
      <c r="BC324" s="50">
        <f t="shared" si="1097"/>
        <v>188.45032885035738</v>
      </c>
      <c r="BD324" s="50">
        <f t="shared" si="1097"/>
        <v>185.75828117616973</v>
      </c>
      <c r="BE324" s="50">
        <f t="shared" si="1097"/>
        <v>183.05842519441572</v>
      </c>
      <c r="BF324" s="50">
        <f t="shared" si="1097"/>
        <v>180.57958710001395</v>
      </c>
      <c r="BJ324" s="116">
        <f t="shared" si="1026"/>
        <v>315</v>
      </c>
    </row>
    <row r="325" spans="1:62" outlineLevel="1">
      <c r="B325" s="10" t="s">
        <v>103</v>
      </c>
      <c r="C325" s="50">
        <f t="shared" si="1096"/>
        <v>55.963999999999999</v>
      </c>
      <c r="D325" s="50">
        <f t="shared" si="1094"/>
        <v>-34.73899999999999</v>
      </c>
      <c r="E325" s="50">
        <f t="shared" si="1094"/>
        <v>-131.74199999999999</v>
      </c>
      <c r="F325" s="50">
        <f t="shared" si="1094"/>
        <v>-103.277</v>
      </c>
      <c r="G325" s="50">
        <f t="shared" si="1094"/>
        <v>-240.19499999999999</v>
      </c>
      <c r="H325" s="50">
        <f t="shared" si="1094"/>
        <v>-203.14499999999998</v>
      </c>
      <c r="I325" s="50">
        <f t="shared" si="1094"/>
        <v>-206.67</v>
      </c>
      <c r="J325" s="50">
        <f t="shared" si="1094"/>
        <v>9.0960000000000036</v>
      </c>
      <c r="K325" s="50">
        <f t="shared" si="1094"/>
        <v>-49.589060156221471</v>
      </c>
      <c r="L325" s="50">
        <f t="shared" si="1094"/>
        <v>-2.982940518023149</v>
      </c>
      <c r="M325" s="50">
        <f t="shared" si="1094"/>
        <v>0</v>
      </c>
      <c r="O325" s="51">
        <v>-2.7010000000000001</v>
      </c>
      <c r="P325" s="51">
        <v>-9.4499999999999993</v>
      </c>
      <c r="Q325" s="51">
        <v>65.772999999999996</v>
      </c>
      <c r="R325" s="51">
        <v>2.3419999999999987</v>
      </c>
      <c r="S325" s="51">
        <v>20.925000000000001</v>
      </c>
      <c r="T325" s="51">
        <v>26.382999999999999</v>
      </c>
      <c r="U325" s="51">
        <v>14.258000000000003</v>
      </c>
      <c r="V325" s="51">
        <v>-96.304999999999993</v>
      </c>
      <c r="W325" s="51">
        <v>38.802</v>
      </c>
      <c r="X325" s="51">
        <v>-54.206000000000003</v>
      </c>
      <c r="Y325" s="51">
        <v>-65.711999999999989</v>
      </c>
      <c r="Z325" s="51">
        <v>-50.625999999999998</v>
      </c>
      <c r="AA325" s="51">
        <v>-5.3710000000000004</v>
      </c>
      <c r="AB325" s="51">
        <v>-15.348999999999998</v>
      </c>
      <c r="AC325" s="51">
        <v>-10.815</v>
      </c>
      <c r="AD325" s="51">
        <v>-71.742000000000004</v>
      </c>
      <c r="AE325" s="51">
        <v>0.45100000000000001</v>
      </c>
      <c r="AF325" s="51">
        <v>2.7210000000000001</v>
      </c>
      <c r="AG325" s="51">
        <v>-8.06</v>
      </c>
      <c r="AH325" s="51">
        <v>-235.30699999999999</v>
      </c>
      <c r="AI325" s="51">
        <v>-68.623000000000005</v>
      </c>
      <c r="AJ325" s="51">
        <v>73.662000000000006</v>
      </c>
      <c r="AK325" s="51">
        <v>-105.79</v>
      </c>
      <c r="AL325" s="51">
        <v>-102.39399999999999</v>
      </c>
      <c r="AM325" s="51">
        <v>-67.289000000000001</v>
      </c>
      <c r="AN325" s="51">
        <v>-57.432000000000002</v>
      </c>
      <c r="AO325" s="51">
        <v>-43.692000000000007</v>
      </c>
      <c r="AP325" s="51">
        <v>-38.256999999999977</v>
      </c>
      <c r="AQ325" s="51">
        <v>-48.469000000000001</v>
      </c>
      <c r="AR325" s="51">
        <f>-83.294-AQ325</f>
        <v>-34.824999999999996</v>
      </c>
      <c r="AS325" s="51">
        <f>-114.973-AR325-AQ325</f>
        <v>-31.678999999999995</v>
      </c>
      <c r="AT325" s="51">
        <f>9.096-AS325-AR325-AQ325</f>
        <v>124.06899999999999</v>
      </c>
      <c r="AU325" s="95">
        <f t="shared" ref="AU325:BF325" si="1098">(AU371-AT371)-(AU355-AT355)</f>
        <v>-19.407247626962693</v>
      </c>
      <c r="AV325" s="95">
        <f t="shared" si="1098"/>
        <v>-14.769493525423705</v>
      </c>
      <c r="AW325" s="95">
        <f t="shared" si="1098"/>
        <v>-9.5618188020009356</v>
      </c>
      <c r="AX325" s="95">
        <f t="shared" si="1098"/>
        <v>-5.8505002018341372</v>
      </c>
      <c r="AY325" s="95">
        <f t="shared" si="1098"/>
        <v>-2.982940518023149</v>
      </c>
      <c r="AZ325" s="95">
        <f t="shared" si="1098"/>
        <v>0</v>
      </c>
      <c r="BA325" s="95">
        <f t="shared" si="1098"/>
        <v>0</v>
      </c>
      <c r="BB325" s="95">
        <f t="shared" si="1098"/>
        <v>0</v>
      </c>
      <c r="BC325" s="95">
        <f t="shared" si="1098"/>
        <v>0</v>
      </c>
      <c r="BD325" s="95">
        <f t="shared" si="1098"/>
        <v>0</v>
      </c>
      <c r="BE325" s="95">
        <f t="shared" si="1098"/>
        <v>0</v>
      </c>
      <c r="BF325" s="95">
        <f t="shared" si="1098"/>
        <v>0</v>
      </c>
      <c r="BJ325" s="116">
        <f t="shared" si="1026"/>
        <v>316</v>
      </c>
    </row>
    <row r="326" spans="1:62" outlineLevel="1">
      <c r="B326" s="10" t="s">
        <v>104</v>
      </c>
      <c r="C326" s="50">
        <f t="shared" si="1096"/>
        <v>13.746</v>
      </c>
      <c r="D326" s="50">
        <f t="shared" si="1094"/>
        <v>21.244</v>
      </c>
      <c r="E326" s="50">
        <f t="shared" si="1094"/>
        <v>18.312000000000001</v>
      </c>
      <c r="F326" s="50">
        <f t="shared" si="1094"/>
        <v>53.255000000000003</v>
      </c>
      <c r="G326" s="50">
        <f t="shared" si="1094"/>
        <v>37.19</v>
      </c>
      <c r="H326" s="50">
        <f t="shared" si="1094"/>
        <v>47.313000000000002</v>
      </c>
      <c r="I326" s="50">
        <f t="shared" si="1094"/>
        <v>32</v>
      </c>
      <c r="J326" s="50">
        <f t="shared" si="1094"/>
        <v>31.896000000000001</v>
      </c>
      <c r="K326" s="50">
        <f t="shared" si="1094"/>
        <v>27.35600000000003</v>
      </c>
      <c r="L326" s="50">
        <f t="shared" si="1094"/>
        <v>27.35600000000003</v>
      </c>
      <c r="M326" s="50">
        <f t="shared" si="1094"/>
        <v>27.35600000000003</v>
      </c>
      <c r="O326" s="51">
        <v>3.4609999999999999</v>
      </c>
      <c r="P326" s="51">
        <v>3.5859999999999999</v>
      </c>
      <c r="Q326" s="51">
        <v>3.5550000000000002</v>
      </c>
      <c r="R326" s="51">
        <v>3.1439999999999997</v>
      </c>
      <c r="S326" s="51">
        <v>3.9449999999999998</v>
      </c>
      <c r="T326" s="51">
        <v>4.161999999999999</v>
      </c>
      <c r="U326" s="51">
        <v>9.1419999999999995</v>
      </c>
      <c r="V326" s="51">
        <v>3.995000000000001</v>
      </c>
      <c r="W326" s="51">
        <v>4.4539999999999997</v>
      </c>
      <c r="X326" s="51">
        <v>4.330000000000001</v>
      </c>
      <c r="Y326" s="51">
        <v>4.7569999999999988</v>
      </c>
      <c r="Z326" s="51">
        <v>4.7709999999999999</v>
      </c>
      <c r="AA326" s="51">
        <v>32.853000000000002</v>
      </c>
      <c r="AB326" s="51">
        <v>5.9709999999999965</v>
      </c>
      <c r="AC326" s="51">
        <v>7.0740000000000052</v>
      </c>
      <c r="AD326" s="51">
        <v>7.3569999999999993</v>
      </c>
      <c r="AE326" s="51">
        <v>10.685</v>
      </c>
      <c r="AF326" s="51">
        <v>8.6159999999999979</v>
      </c>
      <c r="AG326" s="51">
        <v>8.8399999999999981</v>
      </c>
      <c r="AH326" s="51">
        <v>9.0490000000000013</v>
      </c>
      <c r="AI326" s="51">
        <v>13.691000000000001</v>
      </c>
      <c r="AJ326" s="51">
        <v>16.411000000000001</v>
      </c>
      <c r="AK326" s="51">
        <v>8.9219999999999988</v>
      </c>
      <c r="AL326" s="51">
        <v>8.2890000000000033</v>
      </c>
      <c r="AM326" s="51">
        <v>7.3739999999999997</v>
      </c>
      <c r="AN326" s="51">
        <v>9.2220000000000013</v>
      </c>
      <c r="AO326" s="51">
        <v>7.4739999999999993</v>
      </c>
      <c r="AP326" s="51">
        <v>7.9299999999999988</v>
      </c>
      <c r="AQ326" s="51">
        <v>10.28</v>
      </c>
      <c r="AR326" s="51">
        <f>18.045-AQ326</f>
        <v>7.7650000000000023</v>
      </c>
      <c r="AS326" s="51">
        <f>25.057-AR326-AQ326</f>
        <v>7.0119999999999951</v>
      </c>
      <c r="AT326" s="51">
        <f>31.896-AS326-AR326-AQ326</f>
        <v>6.8390000000000075</v>
      </c>
      <c r="AU326" s="96">
        <f t="shared" ref="AU326:BF326" si="1099">AT326</f>
        <v>6.8390000000000075</v>
      </c>
      <c r="AV326" s="96">
        <f t="shared" si="1099"/>
        <v>6.8390000000000075</v>
      </c>
      <c r="AW326" s="96">
        <f t="shared" si="1099"/>
        <v>6.8390000000000075</v>
      </c>
      <c r="AX326" s="96">
        <f t="shared" si="1099"/>
        <v>6.8390000000000075</v>
      </c>
      <c r="AY326" s="96">
        <f t="shared" si="1099"/>
        <v>6.8390000000000075</v>
      </c>
      <c r="AZ326" s="96">
        <f t="shared" si="1099"/>
        <v>6.8390000000000075</v>
      </c>
      <c r="BA326" s="96">
        <f t="shared" si="1099"/>
        <v>6.8390000000000075</v>
      </c>
      <c r="BB326" s="96">
        <f t="shared" si="1099"/>
        <v>6.8390000000000075</v>
      </c>
      <c r="BC326" s="96">
        <f t="shared" si="1099"/>
        <v>6.8390000000000075</v>
      </c>
      <c r="BD326" s="96">
        <f t="shared" si="1099"/>
        <v>6.8390000000000075</v>
      </c>
      <c r="BE326" s="96">
        <f t="shared" si="1099"/>
        <v>6.8390000000000075</v>
      </c>
      <c r="BF326" s="96">
        <f t="shared" si="1099"/>
        <v>6.8390000000000075</v>
      </c>
      <c r="BJ326" s="116">
        <f t="shared" si="1026"/>
        <v>317</v>
      </c>
    </row>
    <row r="327" spans="1:62" outlineLevel="1">
      <c r="B327" s="10" t="s">
        <v>10</v>
      </c>
      <c r="C327" s="50">
        <f t="shared" si="1096"/>
        <v>371.08599999999996</v>
      </c>
      <c r="D327" s="50">
        <f t="shared" si="1094"/>
        <v>318.29500000000007</v>
      </c>
      <c r="E327" s="50">
        <f t="shared" si="1094"/>
        <v>527.10799999999972</v>
      </c>
      <c r="F327" s="50">
        <f t="shared" si="1094"/>
        <v>238.66699999999994</v>
      </c>
      <c r="G327" s="50">
        <f t="shared" si="1094"/>
        <v>1022.6519999999998</v>
      </c>
      <c r="H327" s="50">
        <f t="shared" si="1094"/>
        <v>431.97000000000014</v>
      </c>
      <c r="I327" s="50">
        <f t="shared" si="1094"/>
        <v>950.51699999999994</v>
      </c>
      <c r="J327" s="50">
        <f t="shared" si="1094"/>
        <v>139.31300000000005</v>
      </c>
      <c r="K327" s="50">
        <f t="shared" si="1094"/>
        <v>24.37748594335693</v>
      </c>
      <c r="L327" s="50">
        <f t="shared" si="1094"/>
        <v>36.2575164111691</v>
      </c>
      <c r="M327" s="50">
        <f t="shared" si="1094"/>
        <v>37.050944640690275</v>
      </c>
      <c r="O327" s="50">
        <f>+O334-SUM(O323:O326,O329:O333)</f>
        <v>43.243999999999971</v>
      </c>
      <c r="P327" s="50">
        <f t="shared" ref="P327:AT327" si="1100">+P334-SUM(P323:P326,P329:P333)</f>
        <v>47.115999999999985</v>
      </c>
      <c r="Q327" s="50">
        <f t="shared" si="1100"/>
        <v>123.89400000000002</v>
      </c>
      <c r="R327" s="50">
        <f t="shared" si="1100"/>
        <v>156.83199999999999</v>
      </c>
      <c r="S327" s="50">
        <f t="shared" si="1100"/>
        <v>8.1009999999998854</v>
      </c>
      <c r="T327" s="50">
        <f t="shared" si="1100"/>
        <v>-116.89099999999985</v>
      </c>
      <c r="U327" s="50">
        <f t="shared" si="1100"/>
        <v>56.25699999999992</v>
      </c>
      <c r="V327" s="50">
        <f t="shared" si="1100"/>
        <v>370.82800000000009</v>
      </c>
      <c r="W327" s="50">
        <f t="shared" si="1100"/>
        <v>54.569999999999794</v>
      </c>
      <c r="X327" s="50">
        <f t="shared" si="1100"/>
        <v>253.61200000000002</v>
      </c>
      <c r="Y327" s="50">
        <f t="shared" si="1100"/>
        <v>103.14000000000016</v>
      </c>
      <c r="Z327" s="50">
        <f t="shared" si="1100"/>
        <v>115.78599999999972</v>
      </c>
      <c r="AA327" s="50">
        <f t="shared" si="1100"/>
        <v>-60.31200000000004</v>
      </c>
      <c r="AB327" s="50">
        <f t="shared" si="1100"/>
        <v>45.241000000000042</v>
      </c>
      <c r="AC327" s="50">
        <f t="shared" si="1100"/>
        <v>264.83100000000002</v>
      </c>
      <c r="AD327" s="50">
        <f t="shared" si="1100"/>
        <v>-11.093000000000075</v>
      </c>
      <c r="AE327" s="50">
        <f t="shared" si="1100"/>
        <v>4.3669999999999618</v>
      </c>
      <c r="AF327" s="50">
        <f t="shared" si="1100"/>
        <v>15.368999999999858</v>
      </c>
      <c r="AG327" s="50">
        <f t="shared" si="1100"/>
        <v>-26.100999999999829</v>
      </c>
      <c r="AH327" s="50">
        <f t="shared" si="1100"/>
        <v>1029.0169999999998</v>
      </c>
      <c r="AI327" s="50">
        <f t="shared" si="1100"/>
        <v>-56.024999999999977</v>
      </c>
      <c r="AJ327" s="50">
        <f t="shared" si="1100"/>
        <v>16.481000000000051</v>
      </c>
      <c r="AK327" s="50">
        <f t="shared" si="1100"/>
        <v>305.3479999999999</v>
      </c>
      <c r="AL327" s="50">
        <f t="shared" si="1100"/>
        <v>166.16600000000014</v>
      </c>
      <c r="AM327" s="50">
        <f t="shared" si="1100"/>
        <v>523.11099999999999</v>
      </c>
      <c r="AN327" s="50">
        <f t="shared" si="1100"/>
        <v>133.35600000000002</v>
      </c>
      <c r="AO327" s="50">
        <f t="shared" si="1100"/>
        <v>26.283999999999899</v>
      </c>
      <c r="AP327" s="50">
        <f t="shared" si="1100"/>
        <v>267.76600000000008</v>
      </c>
      <c r="AQ327" s="50">
        <f t="shared" si="1100"/>
        <v>19.436999999999983</v>
      </c>
      <c r="AR327" s="50">
        <f t="shared" si="1100"/>
        <v>15.327000000000027</v>
      </c>
      <c r="AS327" s="50">
        <f t="shared" si="1100"/>
        <v>87.926000000000016</v>
      </c>
      <c r="AT327" s="50">
        <f t="shared" si="1100"/>
        <v>16.623000000000033</v>
      </c>
      <c r="AU327" s="208">
        <f t="shared" ref="AU327:BF327" si="1101">-AU40</f>
        <v>6.4285714285714288</v>
      </c>
      <c r="AV327" s="208">
        <f t="shared" si="1101"/>
        <v>5.7632653061224488</v>
      </c>
      <c r="AW327" s="208">
        <f t="shared" si="1101"/>
        <v>6.0181486880466464</v>
      </c>
      <c r="AX327" s="208">
        <f t="shared" si="1101"/>
        <v>6.1675005206164091</v>
      </c>
      <c r="AY327" s="51">
        <f t="shared" si="1101"/>
        <v>10.611518359165824</v>
      </c>
      <c r="AZ327" s="51">
        <f t="shared" si="1101"/>
        <v>8.2218212749099013</v>
      </c>
      <c r="BA327" s="51">
        <f t="shared" si="1101"/>
        <v>8.6013990865202636</v>
      </c>
      <c r="BB327" s="51">
        <f t="shared" si="1101"/>
        <v>8.8227776905731101</v>
      </c>
      <c r="BC327" s="51">
        <f t="shared" si="1101"/>
        <v>8.8862499159097865</v>
      </c>
      <c r="BD327" s="51">
        <f t="shared" si="1101"/>
        <v>9.0920981331987214</v>
      </c>
      <c r="BE327" s="51">
        <f t="shared" si="1101"/>
        <v>9.4405946284416249</v>
      </c>
      <c r="BF327" s="51">
        <f t="shared" si="1101"/>
        <v>9.6320019631401372</v>
      </c>
      <c r="BJ327" s="116">
        <f t="shared" si="1026"/>
        <v>318</v>
      </c>
    </row>
    <row r="328" spans="1:62" outlineLevel="1">
      <c r="B328" s="75" t="s">
        <v>324</v>
      </c>
      <c r="BJ328" s="116">
        <f t="shared" si="1026"/>
        <v>319</v>
      </c>
    </row>
    <row r="329" spans="1:62" outlineLevel="1">
      <c r="B329" s="74" t="s">
        <v>115</v>
      </c>
      <c r="C329" s="50">
        <f t="shared" ref="C329:C333" si="1102">SUMIFS($O329:$BG329,$O$5:$BG$5,C$5)</f>
        <v>-249.72499999999999</v>
      </c>
      <c r="D329" s="50">
        <f t="shared" si="1094"/>
        <v>-459.45499999999998</v>
      </c>
      <c r="E329" s="50">
        <f t="shared" si="1094"/>
        <v>200.53700000000003</v>
      </c>
      <c r="F329" s="50">
        <f t="shared" si="1094"/>
        <v>-44.560999999999993</v>
      </c>
      <c r="G329" s="50">
        <f t="shared" si="1094"/>
        <v>-126.883</v>
      </c>
      <c r="H329" s="50">
        <f t="shared" si="1094"/>
        <v>529.15099999999995</v>
      </c>
      <c r="I329" s="50">
        <f t="shared" si="1094"/>
        <v>250.4</v>
      </c>
      <c r="J329" s="50">
        <f t="shared" si="1094"/>
        <v>-165.35300000000001</v>
      </c>
      <c r="K329" s="50">
        <f t="shared" si="1094"/>
        <v>-63.456435097809276</v>
      </c>
      <c r="L329" s="50">
        <f t="shared" si="1094"/>
        <v>-127.06131083217338</v>
      </c>
      <c r="M329" s="50">
        <f t="shared" si="1094"/>
        <v>-15.150342966200014</v>
      </c>
      <c r="O329" s="51">
        <v>-8.5679999999999996</v>
      </c>
      <c r="P329" s="51">
        <v>-33.795000000000002</v>
      </c>
      <c r="Q329" s="51">
        <v>-98.229000000000013</v>
      </c>
      <c r="R329" s="51">
        <v>-109.13299999999998</v>
      </c>
      <c r="S329" s="51">
        <v>-121.572</v>
      </c>
      <c r="T329" s="51">
        <v>39.039000000000001</v>
      </c>
      <c r="U329" s="51">
        <v>-200.54899999999998</v>
      </c>
      <c r="V329" s="51">
        <v>-176.37299999999999</v>
      </c>
      <c r="W329" s="51">
        <v>-137.696</v>
      </c>
      <c r="X329" s="51">
        <v>103.715</v>
      </c>
      <c r="Y329" s="51">
        <v>80.953999999999994</v>
      </c>
      <c r="Z329" s="51">
        <v>153.56400000000002</v>
      </c>
      <c r="AA329" s="51">
        <v>-61.338999999999999</v>
      </c>
      <c r="AB329" s="51">
        <v>83.894999999999996</v>
      </c>
      <c r="AC329" s="51">
        <v>-44.123999999999995</v>
      </c>
      <c r="AD329" s="51">
        <v>-22.992999999999995</v>
      </c>
      <c r="AE329" s="51">
        <v>-57.003999999999998</v>
      </c>
      <c r="AF329" s="51">
        <v>8.9149999999999991</v>
      </c>
      <c r="AG329" s="51">
        <v>-181.072</v>
      </c>
      <c r="AH329" s="51">
        <v>102.27800000000001</v>
      </c>
      <c r="AI329" s="51">
        <v>244.54400000000001</v>
      </c>
      <c r="AJ329" s="51">
        <v>204.518</v>
      </c>
      <c r="AK329" s="51">
        <v>0.78499999999996817</v>
      </c>
      <c r="AL329" s="51">
        <v>79.303999999999945</v>
      </c>
      <c r="AM329" s="51">
        <v>166.07400000000001</v>
      </c>
      <c r="AN329" s="51">
        <v>89.870999999999981</v>
      </c>
      <c r="AO329" s="51">
        <v>-0.48999999999998067</v>
      </c>
      <c r="AP329" s="51">
        <v>-5.0550000000000068</v>
      </c>
      <c r="AQ329" s="51">
        <v>-19.198</v>
      </c>
      <c r="AR329" s="51">
        <f>-88.964-AQ329</f>
        <v>-69.765999999999991</v>
      </c>
      <c r="AS329" s="51">
        <f>-128.542-AR329-AQ329</f>
        <v>-39.57800000000001</v>
      </c>
      <c r="AT329" s="51">
        <f>-165.353-AS329-AR329-AQ329</f>
        <v>-36.811000000000014</v>
      </c>
      <c r="AU329" s="95">
        <f t="shared" ref="AU329:BF329" si="1103">-(AU353-AT353)</f>
        <v>26.440322301402261</v>
      </c>
      <c r="AV329" s="95">
        <f t="shared" si="1103"/>
        <v>-18.413500396817426</v>
      </c>
      <c r="AW329" s="95">
        <f t="shared" si="1103"/>
        <v>-42.015867817009735</v>
      </c>
      <c r="AX329" s="95">
        <f t="shared" si="1103"/>
        <v>-29.467389185384377</v>
      </c>
      <c r="AY329" s="95">
        <f t="shared" si="1103"/>
        <v>-41.949626084982469</v>
      </c>
      <c r="AZ329" s="95">
        <f t="shared" si="1103"/>
        <v>-8.1001700302505242</v>
      </c>
      <c r="BA329" s="95">
        <f t="shared" si="1103"/>
        <v>-49.97274494536839</v>
      </c>
      <c r="BB329" s="95">
        <f t="shared" si="1103"/>
        <v>-27.038769771571992</v>
      </c>
      <c r="BC329" s="95">
        <f t="shared" si="1103"/>
        <v>6.1567695768912927</v>
      </c>
      <c r="BD329" s="95">
        <f t="shared" si="1103"/>
        <v>11.884904057562153</v>
      </c>
      <c r="BE329" s="95">
        <f t="shared" si="1103"/>
        <v>-25.438322745620326</v>
      </c>
      <c r="BF329" s="95">
        <f t="shared" si="1103"/>
        <v>-7.7536938550331342</v>
      </c>
      <c r="BJ329" s="116">
        <f t="shared" si="1026"/>
        <v>320</v>
      </c>
    </row>
    <row r="330" spans="1:62" outlineLevel="1">
      <c r="B330" s="74" t="s">
        <v>325</v>
      </c>
      <c r="C330" s="50">
        <f t="shared" si="1102"/>
        <v>-15.201000000000001</v>
      </c>
      <c r="D330" s="50">
        <f t="shared" si="1094"/>
        <v>-114.896</v>
      </c>
      <c r="E330" s="50">
        <f t="shared" si="1094"/>
        <v>14.446999999999999</v>
      </c>
      <c r="F330" s="50">
        <f t="shared" si="1094"/>
        <v>39.411999999999999</v>
      </c>
      <c r="G330" s="50">
        <f t="shared" si="1094"/>
        <v>-65.397999999999996</v>
      </c>
      <c r="H330" s="50">
        <f t="shared" si="1094"/>
        <v>23.852</v>
      </c>
      <c r="I330" s="50">
        <f t="shared" si="1094"/>
        <v>40.647000000000006</v>
      </c>
      <c r="J330" s="50">
        <f t="shared" si="1094"/>
        <v>-17.443999999999999</v>
      </c>
      <c r="K330" s="50">
        <f t="shared" si="1094"/>
        <v>14.86169130210709</v>
      </c>
      <c r="L330" s="50">
        <f t="shared" si="1094"/>
        <v>-21.331795774992997</v>
      </c>
      <c r="M330" s="50">
        <f t="shared" si="1094"/>
        <v>0.96544223802578699</v>
      </c>
      <c r="O330" s="51">
        <v>1.929</v>
      </c>
      <c r="P330" s="51">
        <v>-9.2370000000000001</v>
      </c>
      <c r="Q330" s="51">
        <v>-0.47099999999999986</v>
      </c>
      <c r="R330" s="51">
        <v>-7.4220000000000006</v>
      </c>
      <c r="S330" s="51">
        <v>-35.22</v>
      </c>
      <c r="T330" s="51">
        <v>-4.5870000000000033</v>
      </c>
      <c r="U330" s="51">
        <v>-37.105999999999995</v>
      </c>
      <c r="V330" s="51">
        <v>-37.983000000000004</v>
      </c>
      <c r="W330" s="51">
        <v>7.883</v>
      </c>
      <c r="X330" s="51">
        <v>-1.2469999999999999</v>
      </c>
      <c r="Y330" s="51">
        <v>4.2640000000000002</v>
      </c>
      <c r="Z330" s="51">
        <v>3.5469999999999997</v>
      </c>
      <c r="AA330" s="51">
        <v>5.5</v>
      </c>
      <c r="AB330" s="51">
        <v>8.3930000000000007</v>
      </c>
      <c r="AC330" s="51">
        <v>6.3269999999999982</v>
      </c>
      <c r="AD330" s="51">
        <v>19.192</v>
      </c>
      <c r="AE330" s="51">
        <v>14.48</v>
      </c>
      <c r="AF330" s="51">
        <v>-21.103000000000002</v>
      </c>
      <c r="AG330" s="51">
        <v>-28.364000000000001</v>
      </c>
      <c r="AH330" s="51">
        <v>-30.410999999999991</v>
      </c>
      <c r="AI330" s="51">
        <v>0.51100000000000001</v>
      </c>
      <c r="AJ330" s="51">
        <v>7.2519999999999998</v>
      </c>
      <c r="AK330" s="51">
        <v>1.7200000000000006</v>
      </c>
      <c r="AL330" s="51">
        <v>14.369</v>
      </c>
      <c r="AM330" s="51">
        <v>2.0569999999999999</v>
      </c>
      <c r="AN330" s="51">
        <v>3.1650000000000005</v>
      </c>
      <c r="AO330" s="51">
        <v>9.4379999999999988</v>
      </c>
      <c r="AP330" s="51">
        <v>25.987000000000002</v>
      </c>
      <c r="AQ330" s="51">
        <v>-5.3010000000000002</v>
      </c>
      <c r="AR330" s="51">
        <f>-4.125-AQ330</f>
        <v>1.1760000000000002</v>
      </c>
      <c r="AS330" s="51">
        <f>-14.567-AR330-AQ330</f>
        <v>-10.442</v>
      </c>
      <c r="AT330" s="51">
        <f>-17.444-AS330-AR330-AQ330</f>
        <v>-2.8769999999999989</v>
      </c>
      <c r="AU330" s="95">
        <f t="shared" ref="AU330:BF330" si="1104">-(AU354-AT354)</f>
        <v>26.109627143628472</v>
      </c>
      <c r="AV330" s="95">
        <f t="shared" si="1104"/>
        <v>-0.72435762592240849</v>
      </c>
      <c r="AW330" s="95">
        <f t="shared" si="1104"/>
        <v>-6.5351329949624812</v>
      </c>
      <c r="AX330" s="95">
        <f t="shared" si="1104"/>
        <v>-3.9884452206364926</v>
      </c>
      <c r="AY330" s="95">
        <f t="shared" si="1104"/>
        <v>-7.1979117357232667</v>
      </c>
      <c r="AZ330" s="95">
        <f t="shared" si="1104"/>
        <v>0.3065478135646913</v>
      </c>
      <c r="BA330" s="95">
        <f t="shared" si="1104"/>
        <v>-9.242164034961263</v>
      </c>
      <c r="BB330" s="95">
        <f t="shared" si="1104"/>
        <v>-5.1982678178731589</v>
      </c>
      <c r="BC330" s="95">
        <f t="shared" si="1104"/>
        <v>5.2483271111614158</v>
      </c>
      <c r="BD330" s="95">
        <f t="shared" si="1104"/>
        <v>2.791808604161929</v>
      </c>
      <c r="BE330" s="95">
        <f t="shared" si="1104"/>
        <v>-5.3338858417941708</v>
      </c>
      <c r="BF330" s="95">
        <f t="shared" si="1104"/>
        <v>-1.740807635503387</v>
      </c>
      <c r="BJ330" s="116">
        <f t="shared" si="1026"/>
        <v>321</v>
      </c>
    </row>
    <row r="331" spans="1:62" outlineLevel="1">
      <c r="B331" s="74" t="s">
        <v>126</v>
      </c>
      <c r="C331" s="50">
        <f t="shared" si="1102"/>
        <v>70.462999999999994</v>
      </c>
      <c r="D331" s="50">
        <f t="shared" si="1094"/>
        <v>517.61500000000001</v>
      </c>
      <c r="E331" s="50">
        <f t="shared" si="1094"/>
        <v>-224.79499999999999</v>
      </c>
      <c r="F331" s="50">
        <f t="shared" si="1094"/>
        <v>113.55</v>
      </c>
      <c r="G331" s="50">
        <f t="shared" si="1094"/>
        <v>267.90699999999998</v>
      </c>
      <c r="H331" s="50">
        <f t="shared" si="1094"/>
        <v>-566.04200000000003</v>
      </c>
      <c r="I331" s="50">
        <f t="shared" si="1094"/>
        <v>-180.2</v>
      </c>
      <c r="J331" s="50">
        <f t="shared" si="1094"/>
        <v>79.204000000000008</v>
      </c>
      <c r="K331" s="50">
        <f t="shared" si="1094"/>
        <v>-30.236320864635616</v>
      </c>
      <c r="L331" s="50">
        <f t="shared" si="1094"/>
        <v>46.929950704984606</v>
      </c>
      <c r="M331" s="50">
        <f t="shared" si="1094"/>
        <v>-2.1239729236567655</v>
      </c>
      <c r="O331" s="51">
        <v>-43.265999999999998</v>
      </c>
      <c r="P331" s="51">
        <v>58.290999999999997</v>
      </c>
      <c r="Q331" s="51">
        <v>25.58</v>
      </c>
      <c r="R331" s="51">
        <v>29.857999999999997</v>
      </c>
      <c r="S331" s="51">
        <v>44.075000000000003</v>
      </c>
      <c r="T331" s="51">
        <v>193.66800000000001</v>
      </c>
      <c r="U331" s="51">
        <v>93.889999999999986</v>
      </c>
      <c r="V331" s="51">
        <v>185.98200000000003</v>
      </c>
      <c r="W331" s="51">
        <v>-119.19499999999999</v>
      </c>
      <c r="X331" s="51">
        <v>24.771999999999991</v>
      </c>
      <c r="Y331" s="51">
        <v>-126.82900000000001</v>
      </c>
      <c r="Z331" s="51">
        <v>-3.5429999999999779</v>
      </c>
      <c r="AA331" s="51">
        <v>-63.13</v>
      </c>
      <c r="AB331" s="51">
        <v>101.346</v>
      </c>
      <c r="AC331" s="51">
        <v>-26.945</v>
      </c>
      <c r="AD331" s="51">
        <v>102.279</v>
      </c>
      <c r="AE331" s="51">
        <v>-28.471</v>
      </c>
      <c r="AF331" s="51">
        <v>85.888999999999996</v>
      </c>
      <c r="AG331" s="51">
        <v>111.383</v>
      </c>
      <c r="AH331" s="51">
        <v>99.106000000000009</v>
      </c>
      <c r="AI331" s="51">
        <v>-275.31299999999999</v>
      </c>
      <c r="AJ331" s="51">
        <v>-358.327</v>
      </c>
      <c r="AK331" s="51">
        <v>-66.125</v>
      </c>
      <c r="AL331" s="51">
        <v>133.72299999999996</v>
      </c>
      <c r="AM331" s="51">
        <v>-120.75700000000001</v>
      </c>
      <c r="AN331" s="51">
        <v>16.893000000000001</v>
      </c>
      <c r="AO331" s="51">
        <v>-83.906999999999982</v>
      </c>
      <c r="AP331" s="51">
        <v>7.570999999999998</v>
      </c>
      <c r="AQ331" s="51">
        <v>-38.658999999999999</v>
      </c>
      <c r="AR331" s="51">
        <f>75.961-AQ331</f>
        <v>114.62</v>
      </c>
      <c r="AS331" s="51">
        <f>21.611-AR331-AQ331</f>
        <v>-54.35</v>
      </c>
      <c r="AT331" s="51">
        <f>79.204-AS331-AR331-AQ331</f>
        <v>57.592999999999996</v>
      </c>
      <c r="AU331" s="95">
        <f t="shared" ref="AU331:BF331" si="1105">+(AU367-AT367)</f>
        <v>-54.981779715982668</v>
      </c>
      <c r="AV331" s="95">
        <f t="shared" si="1105"/>
        <v>1.5935867770293157</v>
      </c>
      <c r="AW331" s="95">
        <f t="shared" si="1105"/>
        <v>14.377292588917442</v>
      </c>
      <c r="AX331" s="95">
        <f t="shared" si="1105"/>
        <v>8.7745794854002952</v>
      </c>
      <c r="AY331" s="95">
        <f t="shared" si="1105"/>
        <v>15.835405818591141</v>
      </c>
      <c r="AZ331" s="95">
        <f t="shared" si="1105"/>
        <v>-0.67440518984227538</v>
      </c>
      <c r="BA331" s="95">
        <f t="shared" si="1105"/>
        <v>20.332760876914733</v>
      </c>
      <c r="BB331" s="95">
        <f t="shared" si="1105"/>
        <v>11.436189199321007</v>
      </c>
      <c r="BC331" s="95">
        <f t="shared" si="1105"/>
        <v>-11.546319644555183</v>
      </c>
      <c r="BD331" s="95">
        <f t="shared" si="1105"/>
        <v>-6.1419789291561528</v>
      </c>
      <c r="BE331" s="95">
        <f t="shared" si="1105"/>
        <v>11.734548851947125</v>
      </c>
      <c r="BF331" s="95">
        <f t="shared" si="1105"/>
        <v>3.8297767981074458</v>
      </c>
      <c r="BJ331" s="116">
        <f t="shared" si="1026"/>
        <v>322</v>
      </c>
    </row>
    <row r="332" spans="1:62" outlineLevel="1">
      <c r="B332" s="74" t="s">
        <v>326</v>
      </c>
      <c r="C332" s="50">
        <f t="shared" si="1102"/>
        <v>-12.618999999999993</v>
      </c>
      <c r="D332" s="50">
        <f t="shared" si="1094"/>
        <v>-23.820999999999998</v>
      </c>
      <c r="E332" s="50">
        <f t="shared" si="1094"/>
        <v>-44.231000000000002</v>
      </c>
      <c r="F332" s="50">
        <f t="shared" si="1094"/>
        <v>-38.695000000000007</v>
      </c>
      <c r="G332" s="50">
        <f t="shared" si="1094"/>
        <v>61.049000000000014</v>
      </c>
      <c r="H332" s="50">
        <f t="shared" si="1094"/>
        <v>32.710000000000008</v>
      </c>
      <c r="I332" s="50">
        <f t="shared" si="1094"/>
        <v>-8.6719999999999899</v>
      </c>
      <c r="J332" s="50">
        <f t="shared" si="1094"/>
        <v>31.329000000000001</v>
      </c>
      <c r="K332" s="50">
        <f t="shared" si="1094"/>
        <v>-100</v>
      </c>
      <c r="L332" s="50">
        <f t="shared" si="1094"/>
        <v>0</v>
      </c>
      <c r="M332" s="50">
        <f t="shared" si="1094"/>
        <v>0</v>
      </c>
      <c r="O332" s="51">
        <v>13.515999999999998</v>
      </c>
      <c r="P332" s="51">
        <v>-6.8650000000000002</v>
      </c>
      <c r="Q332" s="51">
        <v>-80.791999999999973</v>
      </c>
      <c r="R332" s="51">
        <v>61.521999999999984</v>
      </c>
      <c r="S332" s="51">
        <v>5.65</v>
      </c>
      <c r="T332" s="51">
        <v>2.0380000000000003</v>
      </c>
      <c r="U332" s="51">
        <v>-10.777000000000003</v>
      </c>
      <c r="V332" s="51">
        <v>-20.731999999999996</v>
      </c>
      <c r="W332" s="51">
        <v>0.19899999999999984</v>
      </c>
      <c r="X332" s="51">
        <v>-60.251999999999995</v>
      </c>
      <c r="Y332" s="51">
        <v>23.542999999999999</v>
      </c>
      <c r="Z332" s="51">
        <v>-7.7210000000000027</v>
      </c>
      <c r="AA332" s="51">
        <v>-22.502000000000002</v>
      </c>
      <c r="AB332" s="51">
        <v>-9.7340000000000018</v>
      </c>
      <c r="AC332" s="51">
        <v>-16.037999999999993</v>
      </c>
      <c r="AD332" s="51">
        <v>9.5789999999999935</v>
      </c>
      <c r="AE332" s="51">
        <v>-21.294</v>
      </c>
      <c r="AF332" s="51">
        <v>-73.555999999999997</v>
      </c>
      <c r="AG332" s="51">
        <v>118.19499999999998</v>
      </c>
      <c r="AH332" s="51">
        <v>37.704000000000029</v>
      </c>
      <c r="AI332" s="51">
        <v>38.072000000000003</v>
      </c>
      <c r="AJ332" s="51">
        <v>81.278999999999982</v>
      </c>
      <c r="AK332" s="51">
        <v>-13.983999999999991</v>
      </c>
      <c r="AL332" s="51">
        <v>-72.656999999999982</v>
      </c>
      <c r="AM332" s="51">
        <v>-17.684999999999999</v>
      </c>
      <c r="AN332" s="51">
        <v>-16.311</v>
      </c>
      <c r="AO332" s="51">
        <v>41.692000000000007</v>
      </c>
      <c r="AP332" s="51">
        <v>-16.368000000000002</v>
      </c>
      <c r="AQ332" s="51">
        <v>7.2039999999999988</v>
      </c>
      <c r="AR332" s="51">
        <f>-8.137+12.718-AQ332</f>
        <v>-2.6229999999999993</v>
      </c>
      <c r="AS332" s="51">
        <f>-6.967+19.79-AR332-AQ332</f>
        <v>8.2420000000000009</v>
      </c>
      <c r="AT332" s="51">
        <f>16.518+14.811-AS332-AR332-AQ332</f>
        <v>18.506</v>
      </c>
      <c r="AU332" s="95">
        <f t="shared" ref="AU332:BF332" si="1106">-(AU356-AT356)+(AU368-AT368)</f>
        <v>-25</v>
      </c>
      <c r="AV332" s="95">
        <f t="shared" si="1106"/>
        <v>-25</v>
      </c>
      <c r="AW332" s="95">
        <f t="shared" si="1106"/>
        <v>-25</v>
      </c>
      <c r="AX332" s="95">
        <f t="shared" si="1106"/>
        <v>-25</v>
      </c>
      <c r="AY332" s="95">
        <f t="shared" si="1106"/>
        <v>0</v>
      </c>
      <c r="AZ332" s="95">
        <f t="shared" si="1106"/>
        <v>0</v>
      </c>
      <c r="BA332" s="95">
        <f t="shared" si="1106"/>
        <v>0</v>
      </c>
      <c r="BB332" s="95">
        <f t="shared" si="1106"/>
        <v>0</v>
      </c>
      <c r="BC332" s="95">
        <f t="shared" si="1106"/>
        <v>0</v>
      </c>
      <c r="BD332" s="95">
        <f t="shared" si="1106"/>
        <v>0</v>
      </c>
      <c r="BE332" s="95">
        <f t="shared" si="1106"/>
        <v>0</v>
      </c>
      <c r="BF332" s="95">
        <f t="shared" si="1106"/>
        <v>0</v>
      </c>
      <c r="BJ332" s="116">
        <f t="shared" ref="BJ332:BJ395" si="1107">BJ331+1</f>
        <v>323</v>
      </c>
    </row>
    <row r="333" spans="1:62" outlineLevel="1">
      <c r="B333" s="74" t="s">
        <v>327</v>
      </c>
      <c r="C333" s="50">
        <f t="shared" si="1102"/>
        <v>4.7049999999999983</v>
      </c>
      <c r="D333" s="50">
        <f t="shared" si="1094"/>
        <v>43.900000000000006</v>
      </c>
      <c r="E333" s="50">
        <f t="shared" si="1094"/>
        <v>-8.6109999999999971</v>
      </c>
      <c r="F333" s="50">
        <f t="shared" si="1094"/>
        <v>-66.786999999999992</v>
      </c>
      <c r="G333" s="50">
        <f t="shared" si="1094"/>
        <v>351.14799999999997</v>
      </c>
      <c r="H333" s="50">
        <f t="shared" si="1094"/>
        <v>-34.236999999999938</v>
      </c>
      <c r="I333" s="50">
        <f t="shared" si="1094"/>
        <v>-10.104999999999997</v>
      </c>
      <c r="J333" s="50">
        <f t="shared" si="1094"/>
        <v>-341.41700000000003</v>
      </c>
      <c r="K333" s="50">
        <f t="shared" si="1094"/>
        <v>0</v>
      </c>
      <c r="L333" s="50">
        <f t="shared" si="1094"/>
        <v>0</v>
      </c>
      <c r="M333" s="50">
        <f t="shared" si="1094"/>
        <v>0</v>
      </c>
      <c r="O333" s="51">
        <v>3.0579999999999998</v>
      </c>
      <c r="P333" s="51">
        <v>-22.706000000000003</v>
      </c>
      <c r="Q333" s="51">
        <v>8.593</v>
      </c>
      <c r="R333" s="51">
        <v>15.760000000000002</v>
      </c>
      <c r="S333" s="51">
        <v>52.519999999999996</v>
      </c>
      <c r="T333" s="51">
        <v>14.108000000000001</v>
      </c>
      <c r="U333" s="51">
        <v>-7.762000000000004</v>
      </c>
      <c r="V333" s="51">
        <v>-14.96599999999999</v>
      </c>
      <c r="W333" s="51">
        <v>13.455</v>
      </c>
      <c r="X333" s="51">
        <v>8.8030000000000008</v>
      </c>
      <c r="Y333" s="51">
        <v>16.697999999999993</v>
      </c>
      <c r="Z333" s="51">
        <v>-47.566999999999993</v>
      </c>
      <c r="AA333" s="51">
        <v>-14.89</v>
      </c>
      <c r="AB333" s="51">
        <v>4.5009999999999977</v>
      </c>
      <c r="AC333" s="51">
        <v>-39.065999999999995</v>
      </c>
      <c r="AD333" s="51">
        <v>-17.331999999999997</v>
      </c>
      <c r="AE333" s="51">
        <v>189.303</v>
      </c>
      <c r="AF333" s="51">
        <v>27.35900000000002</v>
      </c>
      <c r="AG333" s="51">
        <v>10.856999999999998</v>
      </c>
      <c r="AH333" s="51">
        <v>123.62899999999996</v>
      </c>
      <c r="AI333" s="51">
        <v>5.66</v>
      </c>
      <c r="AJ333" s="51">
        <v>-9.6170000000000186</v>
      </c>
      <c r="AK333" s="51">
        <v>12.458000000000023</v>
      </c>
      <c r="AL333" s="51">
        <v>-42.737999999999943</v>
      </c>
      <c r="AM333" s="51">
        <v>23.498000000000001</v>
      </c>
      <c r="AN333" s="51">
        <v>-32.360999999999997</v>
      </c>
      <c r="AO333" s="51">
        <v>1.7949999999999946</v>
      </c>
      <c r="AP333" s="51">
        <v>-3.0369999999999955</v>
      </c>
      <c r="AQ333" s="51">
        <v>-37.972999999999999</v>
      </c>
      <c r="AR333" s="51">
        <f>29.569-125.894-AQ333</f>
        <v>-58.352000000000004</v>
      </c>
      <c r="AS333" s="51">
        <f>-158.578-AR333-AQ333</f>
        <v>-62.253</v>
      </c>
      <c r="AT333" s="51">
        <f>-341.417-AS333-AR333-AQ333</f>
        <v>-182.839</v>
      </c>
      <c r="AU333" s="95">
        <f t="shared" ref="AU333:BF333" si="1108">-(AU362-AT362)+(AU372-AT372)</f>
        <v>0</v>
      </c>
      <c r="AV333" s="95">
        <f t="shared" si="1108"/>
        <v>0</v>
      </c>
      <c r="AW333" s="95">
        <f t="shared" si="1108"/>
        <v>0</v>
      </c>
      <c r="AX333" s="95">
        <f t="shared" si="1108"/>
        <v>0</v>
      </c>
      <c r="AY333" s="95">
        <f t="shared" si="1108"/>
        <v>0</v>
      </c>
      <c r="AZ333" s="95">
        <f t="shared" si="1108"/>
        <v>0</v>
      </c>
      <c r="BA333" s="95">
        <f t="shared" si="1108"/>
        <v>0</v>
      </c>
      <c r="BB333" s="95">
        <f t="shared" si="1108"/>
        <v>0</v>
      </c>
      <c r="BC333" s="95">
        <f t="shared" si="1108"/>
        <v>0</v>
      </c>
      <c r="BD333" s="95">
        <f t="shared" si="1108"/>
        <v>0</v>
      </c>
      <c r="BE333" s="95">
        <f t="shared" si="1108"/>
        <v>0</v>
      </c>
      <c r="BF333" s="95">
        <f t="shared" si="1108"/>
        <v>0</v>
      </c>
      <c r="BJ333" s="116">
        <f t="shared" si="1107"/>
        <v>324</v>
      </c>
    </row>
    <row r="334" spans="1:62" outlineLevel="1">
      <c r="B334" s="78" t="s">
        <v>105</v>
      </c>
      <c r="C334" s="52">
        <f t="shared" ref="C334" si="1109">SUM(C323:C333)</f>
        <v>1106.9839999999999</v>
      </c>
      <c r="D334" s="52">
        <f t="shared" ref="D334" si="1110">SUM(D323:D333)</f>
        <v>1456.4870000000003</v>
      </c>
      <c r="E334" s="52">
        <f t="shared" ref="E334" si="1111">SUM(E323:E333)</f>
        <v>1562.7049999999995</v>
      </c>
      <c r="F334" s="52">
        <f t="shared" ref="F334" si="1112">SUM(F323:F333)</f>
        <v>1418.223</v>
      </c>
      <c r="G334" s="52">
        <f t="shared" ref="G334" si="1113">SUM(G323:G333)</f>
        <v>1781.9109999999996</v>
      </c>
      <c r="H334" s="52">
        <f t="shared" ref="H334" si="1114">SUM(H323:H333)</f>
        <v>856.55600000000027</v>
      </c>
      <c r="I334" s="52">
        <f t="shared" ref="I334" si="1115">SUM(I323:I333)</f>
        <v>531.90499999999975</v>
      </c>
      <c r="J334" s="52">
        <f t="shared" ref="J334" si="1116">SUM(J323:J333)</f>
        <v>62.755999999999972</v>
      </c>
      <c r="K334" s="52">
        <f t="shared" ref="K334" si="1117">SUM(K323:K333)</f>
        <v>417.41485517264914</v>
      </c>
      <c r="L334" s="52">
        <f t="shared" ref="L334" si="1118">SUM(L323:L333)</f>
        <v>765.54307863308509</v>
      </c>
      <c r="M334" s="52">
        <f t="shared" ref="M334" si="1119">SUM(M323:M333)</f>
        <v>964.02115593154826</v>
      </c>
      <c r="O334" s="77">
        <v>223.14699999999999</v>
      </c>
      <c r="P334" s="77">
        <v>246.762</v>
      </c>
      <c r="Q334" s="77">
        <v>212.22500000000002</v>
      </c>
      <c r="R334" s="77">
        <v>424.85</v>
      </c>
      <c r="S334" s="77">
        <v>290.92399999999998</v>
      </c>
      <c r="T334" s="77">
        <v>578.97800000000007</v>
      </c>
      <c r="U334" s="77">
        <v>238.23199999999997</v>
      </c>
      <c r="V334" s="77">
        <v>348.35300000000007</v>
      </c>
      <c r="W334" s="77">
        <v>244.18299999999999</v>
      </c>
      <c r="X334" s="77">
        <v>467.75400000000002</v>
      </c>
      <c r="Y334" s="77">
        <v>382.10800000000006</v>
      </c>
      <c r="Z334" s="77">
        <v>468.65999999999974</v>
      </c>
      <c r="AA334" s="77">
        <v>179.29499999999999</v>
      </c>
      <c r="AB334" s="77">
        <v>486.11300000000006</v>
      </c>
      <c r="AC334" s="77">
        <v>309.30700000000002</v>
      </c>
      <c r="AD334" s="77">
        <v>443.50799999999992</v>
      </c>
      <c r="AE334" s="77">
        <v>444.56299999999999</v>
      </c>
      <c r="AF334" s="77">
        <v>401.47400000000005</v>
      </c>
      <c r="AG334" s="77">
        <v>398.30700000000002</v>
      </c>
      <c r="AH334" s="77">
        <v>537.56700000000001</v>
      </c>
      <c r="AI334" s="77">
        <v>307.17</v>
      </c>
      <c r="AJ334" s="77">
        <v>210.23399999999998</v>
      </c>
      <c r="AK334" s="77">
        <v>87.606999999999971</v>
      </c>
      <c r="AL334" s="77">
        <v>251.54500000000013</v>
      </c>
      <c r="AM334" s="77">
        <v>161.506</v>
      </c>
      <c r="AN334" s="77">
        <v>175.16600000000003</v>
      </c>
      <c r="AO334" s="77">
        <v>68.095999999999947</v>
      </c>
      <c r="AP334" s="77">
        <v>127.13700000000003</v>
      </c>
      <c r="AQ334" s="77">
        <v>-57.991</v>
      </c>
      <c r="AR334" s="77">
        <f>-9.53-AQ334</f>
        <v>48.460999999999999</v>
      </c>
      <c r="AS334" s="77">
        <f>-36.109-AR334-AQ334</f>
        <v>-26.578999999999994</v>
      </c>
      <c r="AT334" s="77">
        <f>62.756-AS334-AR334-AQ334</f>
        <v>98.864999999999995</v>
      </c>
      <c r="AU334" s="52">
        <f t="shared" ref="AU334:BF334" si="1120">SUM(AU323:AU333)</f>
        <v>88.478684857033073</v>
      </c>
      <c r="AV334" s="52">
        <f t="shared" si="1120"/>
        <v>94.994390155129992</v>
      </c>
      <c r="AW334" s="52">
        <f t="shared" si="1120"/>
        <v>103.61213310511275</v>
      </c>
      <c r="AX334" s="52">
        <f t="shared" si="1120"/>
        <v>130.3296470553735</v>
      </c>
      <c r="AY334" s="52">
        <f t="shared" si="1120"/>
        <v>159.40900193509762</v>
      </c>
      <c r="AZ334" s="52">
        <f t="shared" si="1120"/>
        <v>199.13055071058133</v>
      </c>
      <c r="BA334" s="52">
        <f t="shared" si="1120"/>
        <v>190.11276580661777</v>
      </c>
      <c r="BB334" s="52">
        <f t="shared" si="1120"/>
        <v>216.89076018078853</v>
      </c>
      <c r="BC334" s="52">
        <f t="shared" si="1120"/>
        <v>242.52899058657141</v>
      </c>
      <c r="BD334" s="52">
        <f t="shared" si="1120"/>
        <v>246.50736850381824</v>
      </c>
      <c r="BE334" s="52">
        <f t="shared" si="1120"/>
        <v>228.37613843023934</v>
      </c>
      <c r="BF334" s="52">
        <f t="shared" si="1120"/>
        <v>246.6086584109193</v>
      </c>
      <c r="BJ334" s="116">
        <f t="shared" si="1107"/>
        <v>325</v>
      </c>
    </row>
    <row r="335" spans="1:62" outlineLevel="1">
      <c r="B335" s="12" t="s">
        <v>106</v>
      </c>
      <c r="C335" s="50">
        <f>SUMIFS($O335:$BG335,$O$5:$BG$5,C$5)</f>
        <v>-930.27700000000004</v>
      </c>
      <c r="D335" s="50">
        <f t="shared" si="1094"/>
        <v>-2042.617</v>
      </c>
      <c r="E335" s="50">
        <f t="shared" si="1094"/>
        <v>-1518.6279999999997</v>
      </c>
      <c r="F335" s="50">
        <f t="shared" si="1094"/>
        <v>-1178.2049999999999</v>
      </c>
      <c r="G335" s="50">
        <f t="shared" si="1094"/>
        <v>-1821.3150000000001</v>
      </c>
      <c r="H335" s="50">
        <f t="shared" si="1094"/>
        <v>-867.10599999999999</v>
      </c>
      <c r="I335" s="50">
        <f t="shared" si="1094"/>
        <v>-395.45500000000004</v>
      </c>
      <c r="J335" s="50">
        <f t="shared" si="1094"/>
        <v>-574.46699999999998</v>
      </c>
      <c r="K335" s="50">
        <f t="shared" si="1094"/>
        <v>-500</v>
      </c>
      <c r="L335" s="50">
        <f t="shared" si="1094"/>
        <v>-393.27199999999999</v>
      </c>
      <c r="M335" s="50">
        <f t="shared" si="1094"/>
        <v>-448.78800000000001</v>
      </c>
      <c r="O335" s="82">
        <f>-150.74</f>
        <v>-150.74</v>
      </c>
      <c r="P335" s="82">
        <f>-369.455-O335</f>
        <v>-218.71499999999997</v>
      </c>
      <c r="Q335" s="82">
        <f>-640.953-P335-O335</f>
        <v>-271.49799999999999</v>
      </c>
      <c r="R335" s="82">
        <f>-930.277-SUM(O335:Q335)</f>
        <v>-289.32400000000007</v>
      </c>
      <c r="S335" s="82">
        <v>-358.57400000000001</v>
      </c>
      <c r="T335" s="82">
        <f>-1003.245-S335</f>
        <v>-644.67100000000005</v>
      </c>
      <c r="U335" s="82">
        <f>-1532.597-SUM(S335:T335)</f>
        <v>-529.35199999999986</v>
      </c>
      <c r="V335" s="82">
        <f>-2042.617-U335-T335-S335</f>
        <v>-510.02000000000004</v>
      </c>
      <c r="W335" s="82">
        <v>-473.68700000000001</v>
      </c>
      <c r="X335" s="82">
        <f>-967.861-W335</f>
        <v>-494.17399999999998</v>
      </c>
      <c r="Y335" s="82">
        <f>-1221.769-X335-W335</f>
        <v>-253.90800000000002</v>
      </c>
      <c r="Z335" s="82">
        <f>-1518.628-Y335-X335-W335</f>
        <v>-296.85899999999981</v>
      </c>
      <c r="AA335" s="82">
        <v>-235.53899999999999</v>
      </c>
      <c r="AB335" s="82">
        <f>-500.368-AA335</f>
        <v>-264.82900000000001</v>
      </c>
      <c r="AC335" s="82">
        <f>-780.711-AB335-AA335</f>
        <v>-280.34300000000007</v>
      </c>
      <c r="AD335" s="82">
        <f>-1178.205-AC335-AB335-AA335</f>
        <v>-397.49399999999991</v>
      </c>
      <c r="AE335" s="82">
        <v>-396.46499999999997</v>
      </c>
      <c r="AF335" s="82">
        <f>-862.68-AE335</f>
        <v>-466.21499999999997</v>
      </c>
      <c r="AG335" s="82">
        <f>-1344.222-AF335-AE335</f>
        <v>-481.54200000000009</v>
      </c>
      <c r="AH335" s="82">
        <f>-1821.315-AG335-AF335-AE335</f>
        <v>-477.09300000000002</v>
      </c>
      <c r="AI335" s="82">
        <v>-364.23399999999998</v>
      </c>
      <c r="AJ335" s="82">
        <f>-566.672-AI335</f>
        <v>-202.43800000000005</v>
      </c>
      <c r="AK335" s="82">
        <f>-744.047-AJ335-AI335</f>
        <v>-177.37499999999994</v>
      </c>
      <c r="AL335" s="82">
        <f>-867.106-AK335-AJ335-AI335</f>
        <v>-123.05899999999997</v>
      </c>
      <c r="AM335" s="82">
        <v>-129.875</v>
      </c>
      <c r="AN335" s="82">
        <f>-193.234-AM335</f>
        <v>-63.359000000000009</v>
      </c>
      <c r="AO335" s="82">
        <f>-284.95-AN335-AM335</f>
        <v>-91.71599999999998</v>
      </c>
      <c r="AP335" s="82">
        <f>-395.455-AO335-AN335-AM335</f>
        <v>-110.50500000000002</v>
      </c>
      <c r="AQ335" s="82">
        <v>-183.42699999999999</v>
      </c>
      <c r="AR335" s="82">
        <f>-315.769-AQ335</f>
        <v>-132.34200000000001</v>
      </c>
      <c r="AS335" s="82">
        <f>-448.864-AR335-AQ335</f>
        <v>-133.09499999999994</v>
      </c>
      <c r="AT335" s="82">
        <f>-574.467-AS335-AR335-AQ335</f>
        <v>-125.60300000000009</v>
      </c>
      <c r="AU335" s="95">
        <f t="shared" ref="AU335:BF335" si="1121">AU319</f>
        <v>-162.60000000000002</v>
      </c>
      <c r="AV335" s="95">
        <f t="shared" si="1121"/>
        <v>-108.968</v>
      </c>
      <c r="AW335" s="95">
        <f t="shared" si="1121"/>
        <v>-113.47999999999999</v>
      </c>
      <c r="AX335" s="95">
        <f t="shared" si="1121"/>
        <v>-114.952</v>
      </c>
      <c r="AY335" s="95">
        <f t="shared" si="1121"/>
        <v>-95.7</v>
      </c>
      <c r="AZ335" s="95">
        <f t="shared" si="1121"/>
        <v>-95.156000000000006</v>
      </c>
      <c r="BA335" s="95">
        <f t="shared" si="1121"/>
        <v>-100.47199999999999</v>
      </c>
      <c r="BB335" s="95">
        <f t="shared" si="1121"/>
        <v>-101.944</v>
      </c>
      <c r="BC335" s="95">
        <f t="shared" si="1121"/>
        <v>-112.61799999999999</v>
      </c>
      <c r="BD335" s="95">
        <f t="shared" si="1121"/>
        <v>-109.706</v>
      </c>
      <c r="BE335" s="95">
        <f t="shared" si="1121"/>
        <v>-113.232</v>
      </c>
      <c r="BF335" s="95">
        <f t="shared" si="1121"/>
        <v>-113.232</v>
      </c>
      <c r="BJ335" s="116">
        <f t="shared" si="1107"/>
        <v>326</v>
      </c>
    </row>
    <row r="336" spans="1:62" outlineLevel="1">
      <c r="B336" s="79" t="s">
        <v>107</v>
      </c>
      <c r="C336" s="63">
        <f t="shared" ref="C336:M336" si="1122">+C334+C335</f>
        <v>176.70699999999988</v>
      </c>
      <c r="D336" s="63">
        <f t="shared" si="1122"/>
        <v>-586.12999999999965</v>
      </c>
      <c r="E336" s="63">
        <f t="shared" si="1122"/>
        <v>44.076999999999771</v>
      </c>
      <c r="F336" s="63">
        <f t="shared" si="1122"/>
        <v>240.01800000000003</v>
      </c>
      <c r="G336" s="63">
        <f t="shared" si="1122"/>
        <v>-39.404000000000451</v>
      </c>
      <c r="H336" s="63">
        <f t="shared" si="1122"/>
        <v>-10.549999999999727</v>
      </c>
      <c r="I336" s="63">
        <f t="shared" si="1122"/>
        <v>136.4499999999997</v>
      </c>
      <c r="J336" s="63">
        <f t="shared" si="1122"/>
        <v>-511.71100000000001</v>
      </c>
      <c r="K336" s="63">
        <f t="shared" si="1122"/>
        <v>-82.585144827350859</v>
      </c>
      <c r="L336" s="63">
        <f t="shared" si="1122"/>
        <v>372.2710786330851</v>
      </c>
      <c r="M336" s="63">
        <f t="shared" si="1122"/>
        <v>515.23315593154825</v>
      </c>
      <c r="N336" s="273"/>
      <c r="O336" s="63">
        <f>+O334+O335</f>
        <v>72.406999999999982</v>
      </c>
      <c r="P336" s="63">
        <f t="shared" ref="P336:BF336" si="1123">+P334+P335</f>
        <v>28.047000000000025</v>
      </c>
      <c r="Q336" s="63">
        <f t="shared" si="1123"/>
        <v>-59.272999999999968</v>
      </c>
      <c r="R336" s="63">
        <f t="shared" si="1123"/>
        <v>135.52599999999995</v>
      </c>
      <c r="S336" s="63">
        <f t="shared" si="1123"/>
        <v>-67.650000000000034</v>
      </c>
      <c r="T336" s="63">
        <f t="shared" si="1123"/>
        <v>-65.692999999999984</v>
      </c>
      <c r="U336" s="63">
        <f t="shared" si="1123"/>
        <v>-291.11999999999989</v>
      </c>
      <c r="V336" s="63">
        <f t="shared" si="1123"/>
        <v>-161.66699999999997</v>
      </c>
      <c r="W336" s="63">
        <f t="shared" si="1123"/>
        <v>-229.50400000000002</v>
      </c>
      <c r="X336" s="63">
        <f t="shared" si="1123"/>
        <v>-26.419999999999959</v>
      </c>
      <c r="Y336" s="63">
        <f t="shared" si="1123"/>
        <v>128.20000000000005</v>
      </c>
      <c r="Z336" s="63">
        <f t="shared" si="1123"/>
        <v>171.80099999999993</v>
      </c>
      <c r="AA336" s="63">
        <f t="shared" si="1123"/>
        <v>-56.244</v>
      </c>
      <c r="AB336" s="63">
        <f t="shared" si="1123"/>
        <v>221.28400000000005</v>
      </c>
      <c r="AC336" s="63">
        <f t="shared" si="1123"/>
        <v>28.963999999999942</v>
      </c>
      <c r="AD336" s="63">
        <f t="shared" si="1123"/>
        <v>46.01400000000001</v>
      </c>
      <c r="AE336" s="63">
        <f t="shared" si="1123"/>
        <v>48.098000000000013</v>
      </c>
      <c r="AF336" s="63">
        <f t="shared" si="1123"/>
        <v>-64.740999999999929</v>
      </c>
      <c r="AG336" s="63">
        <f t="shared" si="1123"/>
        <v>-83.23500000000007</v>
      </c>
      <c r="AH336" s="63">
        <f t="shared" si="1123"/>
        <v>60.47399999999999</v>
      </c>
      <c r="AI336" s="63">
        <f t="shared" si="1123"/>
        <v>-57.063999999999965</v>
      </c>
      <c r="AJ336" s="63">
        <f t="shared" si="1123"/>
        <v>7.7959999999999354</v>
      </c>
      <c r="AK336" s="63">
        <f t="shared" si="1123"/>
        <v>-89.767999999999972</v>
      </c>
      <c r="AL336" s="63">
        <f t="shared" si="1123"/>
        <v>128.48600000000016</v>
      </c>
      <c r="AM336" s="63">
        <f t="shared" si="1123"/>
        <v>31.631</v>
      </c>
      <c r="AN336" s="63">
        <f t="shared" si="1123"/>
        <v>111.80700000000002</v>
      </c>
      <c r="AO336" s="63">
        <f t="shared" si="1123"/>
        <v>-23.620000000000033</v>
      </c>
      <c r="AP336" s="63">
        <f t="shared" si="1123"/>
        <v>16.632000000000005</v>
      </c>
      <c r="AQ336" s="63">
        <f t="shared" si="1123"/>
        <v>-241.41800000000001</v>
      </c>
      <c r="AR336" s="63">
        <f t="shared" si="1123"/>
        <v>-83.881000000000014</v>
      </c>
      <c r="AS336" s="63">
        <f t="shared" si="1123"/>
        <v>-159.67399999999992</v>
      </c>
      <c r="AT336" s="63">
        <f t="shared" si="1123"/>
        <v>-26.738000000000099</v>
      </c>
      <c r="AU336" s="63">
        <f t="shared" si="1123"/>
        <v>-74.121315142966949</v>
      </c>
      <c r="AV336" s="63">
        <f t="shared" si="1123"/>
        <v>-13.973609844870012</v>
      </c>
      <c r="AW336" s="63">
        <f t="shared" si="1123"/>
        <v>-9.8678668948872428</v>
      </c>
      <c r="AX336" s="63">
        <f t="shared" si="1123"/>
        <v>15.377647055373501</v>
      </c>
      <c r="AY336" s="63">
        <f t="shared" si="1123"/>
        <v>63.709001935097618</v>
      </c>
      <c r="AZ336" s="63">
        <f t="shared" si="1123"/>
        <v>103.97455071058133</v>
      </c>
      <c r="BA336" s="63">
        <f t="shared" si="1123"/>
        <v>89.640765806617779</v>
      </c>
      <c r="BB336" s="63">
        <f t="shared" si="1123"/>
        <v>114.94676018078853</v>
      </c>
      <c r="BC336" s="63">
        <f t="shared" si="1123"/>
        <v>129.91099058657142</v>
      </c>
      <c r="BD336" s="63">
        <f t="shared" si="1123"/>
        <v>136.80136850381825</v>
      </c>
      <c r="BE336" s="63">
        <f t="shared" si="1123"/>
        <v>115.14413843023934</v>
      </c>
      <c r="BF336" s="63">
        <f t="shared" si="1123"/>
        <v>133.3766584109193</v>
      </c>
      <c r="BG336" s="80"/>
      <c r="BH336" s="80"/>
      <c r="BI336" s="80"/>
      <c r="BJ336" s="116">
        <f t="shared" si="1107"/>
        <v>327</v>
      </c>
    </row>
    <row r="337" spans="1:62" outlineLevel="1">
      <c r="B337" s="76" t="s">
        <v>328</v>
      </c>
      <c r="C337" s="50">
        <f t="shared" ref="C337:M345" si="1124">SUMIFS($O337:$BG337,$O$5:$BG$5,C$5)</f>
        <v>-774.1</v>
      </c>
      <c r="D337" s="50">
        <f t="shared" si="1094"/>
        <v>2.5799999999999983</v>
      </c>
      <c r="E337" s="50">
        <f t="shared" si="1094"/>
        <v>189.19900000000001</v>
      </c>
      <c r="F337" s="50">
        <f t="shared" si="1094"/>
        <v>54.212000000000003</v>
      </c>
      <c r="G337" s="50">
        <f t="shared" si="1094"/>
        <v>-50.476000000000006</v>
      </c>
      <c r="H337" s="50">
        <f t="shared" si="1094"/>
        <v>570.37</v>
      </c>
      <c r="I337" s="50">
        <f t="shared" si="1094"/>
        <v>-21.562999999999999</v>
      </c>
      <c r="J337" s="50">
        <f t="shared" si="1094"/>
        <v>15.386999999999986</v>
      </c>
      <c r="K337" s="50">
        <f t="shared" si="1094"/>
        <v>62.25</v>
      </c>
      <c r="L337" s="50">
        <f t="shared" si="1094"/>
        <v>150</v>
      </c>
      <c r="M337" s="50">
        <f t="shared" si="1094"/>
        <v>0</v>
      </c>
      <c r="O337" s="51">
        <v>7.13</v>
      </c>
      <c r="P337" s="51">
        <v>-18.057000000000002</v>
      </c>
      <c r="Q337" s="51">
        <v>-705.83100000000002</v>
      </c>
      <c r="R337" s="51">
        <v>-57.341999999999977</v>
      </c>
      <c r="S337" s="51">
        <v>-21.341000000000001</v>
      </c>
      <c r="T337" s="51">
        <v>123.46299999999999</v>
      </c>
      <c r="U337" s="51">
        <v>-54.345999999999989</v>
      </c>
      <c r="V337" s="51">
        <v>-45.195999999999998</v>
      </c>
      <c r="W337" s="51">
        <v>22.687000000000001</v>
      </c>
      <c r="X337" s="51">
        <v>2.0349999999999966</v>
      </c>
      <c r="Y337" s="51">
        <v>4.4400000000000013</v>
      </c>
      <c r="Z337" s="51">
        <v>160.03700000000001</v>
      </c>
      <c r="AA337" s="51">
        <v>104.80800000000002</v>
      </c>
      <c r="AB337" s="51">
        <v>26.909999999999989</v>
      </c>
      <c r="AC337" s="51">
        <v>-1.257000000000013</v>
      </c>
      <c r="AD337" s="51">
        <v>-76.249000000000009</v>
      </c>
      <c r="AE337" s="51">
        <v>-11.007999999999999</v>
      </c>
      <c r="AF337" s="51">
        <v>22.168000000000003</v>
      </c>
      <c r="AG337" s="51">
        <v>-0.16000000000000275</v>
      </c>
      <c r="AH337" s="51">
        <v>-61.476000000000006</v>
      </c>
      <c r="AI337" s="51">
        <v>1.8880000000000001</v>
      </c>
      <c r="AJ337" s="51">
        <v>600.54499999999996</v>
      </c>
      <c r="AK337" s="51">
        <v>-9.8859999999999992</v>
      </c>
      <c r="AL337" s="51">
        <v>-22.177</v>
      </c>
      <c r="AM337" s="51">
        <v>4.1000000000000002E-2</v>
      </c>
      <c r="AN337" s="51">
        <v>0.32600000000000001</v>
      </c>
      <c r="AO337" s="51">
        <v>0.252</v>
      </c>
      <c r="AP337" s="51">
        <v>-22.181999999999999</v>
      </c>
      <c r="AQ337" s="239">
        <v>8.6999999999999994E-2</v>
      </c>
      <c r="AR337" s="239">
        <f>-4.489+12.429-AQ337</f>
        <v>7.8530000000000006</v>
      </c>
      <c r="AS337" s="239">
        <f>-50.764-6.722+12.533-AR337-AQ337</f>
        <v>-52.893000000000008</v>
      </c>
      <c r="AT337" s="210">
        <f>-6.722+13.069+9.04-AS337-AR337-AQ337</f>
        <v>60.339999999999996</v>
      </c>
      <c r="AU337" s="210">
        <f>83*0.75</f>
        <v>62.25</v>
      </c>
      <c r="AV337" s="96">
        <v>0</v>
      </c>
      <c r="AW337" s="96">
        <v>0</v>
      </c>
      <c r="AX337" s="96">
        <v>0</v>
      </c>
      <c r="AY337" s="210">
        <v>150</v>
      </c>
      <c r="AZ337" s="96">
        <v>0</v>
      </c>
      <c r="BA337" s="96">
        <v>0</v>
      </c>
      <c r="BB337" s="96">
        <v>0</v>
      </c>
      <c r="BC337" s="96">
        <v>0</v>
      </c>
      <c r="BD337" s="96">
        <v>0</v>
      </c>
      <c r="BE337" s="96">
        <v>0</v>
      </c>
      <c r="BF337" s="96">
        <v>0</v>
      </c>
      <c r="BJ337" s="116">
        <f t="shared" si="1107"/>
        <v>328</v>
      </c>
    </row>
    <row r="338" spans="1:62" outlineLevel="1">
      <c r="B338" s="76" t="s">
        <v>329</v>
      </c>
      <c r="C338" s="50">
        <f t="shared" si="1124"/>
        <v>31.071999999999999</v>
      </c>
      <c r="D338" s="50">
        <f t="shared" si="1094"/>
        <v>180.55799999999999</v>
      </c>
      <c r="E338" s="50">
        <f t="shared" si="1094"/>
        <v>149.80099999999999</v>
      </c>
      <c r="F338" s="50">
        <f t="shared" si="1094"/>
        <v>308.53800000000001</v>
      </c>
      <c r="G338" s="50">
        <f t="shared" si="1094"/>
        <v>156.761</v>
      </c>
      <c r="H338" s="50">
        <f t="shared" si="1094"/>
        <v>68.206000000000017</v>
      </c>
      <c r="I338" s="50">
        <f t="shared" si="1094"/>
        <v>34.831000000000003</v>
      </c>
      <c r="J338" s="50">
        <f t="shared" si="1094"/>
        <v>57.933</v>
      </c>
      <c r="K338" s="50">
        <f t="shared" si="1094"/>
        <v>0</v>
      </c>
      <c r="L338" s="50">
        <f t="shared" si="1094"/>
        <v>0</v>
      </c>
      <c r="M338" s="50">
        <f t="shared" si="1094"/>
        <v>0</v>
      </c>
      <c r="O338" s="51">
        <v>8.6820000000000004</v>
      </c>
      <c r="P338" s="51">
        <v>8.8849999999999998</v>
      </c>
      <c r="Q338" s="51">
        <v>8.5169999999999977</v>
      </c>
      <c r="R338" s="51">
        <v>4.9880000000000031</v>
      </c>
      <c r="S338" s="51">
        <v>5.4909999999999997</v>
      </c>
      <c r="T338" s="51">
        <v>96.575999999999993</v>
      </c>
      <c r="U338" s="51">
        <v>8.4680000000000035</v>
      </c>
      <c r="V338" s="51">
        <v>70.022999999999982</v>
      </c>
      <c r="W338" s="51">
        <v>21.321000000000002</v>
      </c>
      <c r="X338" s="51">
        <v>95.602000000000004</v>
      </c>
      <c r="Y338" s="51">
        <v>11.508999999999983</v>
      </c>
      <c r="Z338" s="51">
        <v>21.368999999999996</v>
      </c>
      <c r="AA338" s="51">
        <v>6.6050000000000004</v>
      </c>
      <c r="AB338" s="51">
        <v>23.126000000000001</v>
      </c>
      <c r="AC338" s="51">
        <v>109.52299999999998</v>
      </c>
      <c r="AD338" s="51">
        <v>169.28400000000005</v>
      </c>
      <c r="AE338" s="51">
        <v>21.605</v>
      </c>
      <c r="AF338" s="51">
        <v>47.738</v>
      </c>
      <c r="AG338" s="51">
        <v>60.481999999999985</v>
      </c>
      <c r="AH338" s="51">
        <v>26.936000000000011</v>
      </c>
      <c r="AI338" s="51">
        <v>693.45</v>
      </c>
      <c r="AJ338" s="51">
        <v>-668.66000000000008</v>
      </c>
      <c r="AK338" s="51">
        <v>5.3740000000000236</v>
      </c>
      <c r="AL338" s="51">
        <v>38.04200000000003</v>
      </c>
      <c r="AM338" s="51">
        <v>5.4480000000000004</v>
      </c>
      <c r="AN338" s="51">
        <v>8.3859999999999992</v>
      </c>
      <c r="AO338" s="51">
        <v>12.763000000000002</v>
      </c>
      <c r="AP338" s="51">
        <v>8.2340000000000018</v>
      </c>
      <c r="AQ338" s="239">
        <v>3.2530000000000001</v>
      </c>
      <c r="AR338" s="239">
        <f>18.796-AQ338</f>
        <v>15.542999999999999</v>
      </c>
      <c r="AS338" s="239">
        <f>32.805-AR338-AQ338</f>
        <v>14.009</v>
      </c>
      <c r="AT338" s="239">
        <f>57.933-AS338-AR338-AQ338</f>
        <v>25.128</v>
      </c>
      <c r="AU338" s="96">
        <v>0</v>
      </c>
      <c r="AV338" s="96">
        <v>0</v>
      </c>
      <c r="AW338" s="96">
        <v>0</v>
      </c>
      <c r="AX338" s="96">
        <v>0</v>
      </c>
      <c r="AY338" s="96">
        <v>0</v>
      </c>
      <c r="AZ338" s="96">
        <v>0</v>
      </c>
      <c r="BA338" s="96">
        <v>0</v>
      </c>
      <c r="BB338" s="96">
        <v>0</v>
      </c>
      <c r="BC338" s="96">
        <v>0</v>
      </c>
      <c r="BD338" s="96">
        <v>0</v>
      </c>
      <c r="BE338" s="96">
        <v>0</v>
      </c>
      <c r="BF338" s="96">
        <v>0</v>
      </c>
      <c r="BJ338" s="116">
        <f t="shared" si="1107"/>
        <v>329</v>
      </c>
    </row>
    <row r="339" spans="1:62" outlineLevel="1">
      <c r="B339" s="76" t="s">
        <v>108</v>
      </c>
      <c r="C339" s="50">
        <f t="shared" si="1124"/>
        <v>0</v>
      </c>
      <c r="D339" s="50">
        <f t="shared" si="1124"/>
        <v>0</v>
      </c>
      <c r="E339" s="50">
        <f t="shared" si="1124"/>
        <v>0</v>
      </c>
      <c r="F339" s="50">
        <f t="shared" si="1124"/>
        <v>-1.2999999999999901E-2</v>
      </c>
      <c r="G339" s="50">
        <f t="shared" si="1124"/>
        <v>-1.879</v>
      </c>
      <c r="H339" s="50">
        <f t="shared" si="1124"/>
        <v>1.0810000000000004</v>
      </c>
      <c r="I339" s="50">
        <f t="shared" si="1124"/>
        <v>6.4000000000000057E-2</v>
      </c>
      <c r="J339" s="50">
        <f t="shared" si="1124"/>
        <v>-0.85600000000000009</v>
      </c>
      <c r="K339" s="50">
        <f t="shared" si="1124"/>
        <v>0</v>
      </c>
      <c r="L339" s="50">
        <f t="shared" si="1124"/>
        <v>0</v>
      </c>
      <c r="M339" s="50">
        <f t="shared" si="1124"/>
        <v>0</v>
      </c>
      <c r="O339" s="51">
        <v>0</v>
      </c>
      <c r="P339" s="51">
        <v>0</v>
      </c>
      <c r="Q339" s="51">
        <v>0</v>
      </c>
      <c r="R339" s="51">
        <v>0</v>
      </c>
      <c r="S339" s="51">
        <v>0</v>
      </c>
      <c r="T339" s="51">
        <v>0</v>
      </c>
      <c r="U339" s="51">
        <v>0</v>
      </c>
      <c r="V339" s="51">
        <v>0</v>
      </c>
      <c r="W339" s="51">
        <v>0</v>
      </c>
      <c r="X339" s="51">
        <v>0</v>
      </c>
      <c r="Y339" s="51">
        <v>0</v>
      </c>
      <c r="Z339" s="51">
        <v>0</v>
      </c>
      <c r="AA339" s="51">
        <v>0</v>
      </c>
      <c r="AB339" s="51">
        <v>-3.1419999999999999</v>
      </c>
      <c r="AC339" s="51">
        <v>3.1349999999999998</v>
      </c>
      <c r="AD339" s="51">
        <v>-5.9999999999997833E-3</v>
      </c>
      <c r="AE339" s="51">
        <v>0</v>
      </c>
      <c r="AF339" s="51">
        <v>-0.76100000000000001</v>
      </c>
      <c r="AG339" s="51">
        <v>-3.17</v>
      </c>
      <c r="AH339" s="51">
        <v>2.052</v>
      </c>
      <c r="AI339" s="51">
        <v>8.9969999999999999</v>
      </c>
      <c r="AJ339" s="51">
        <v>-7.1879999999999997</v>
      </c>
      <c r="AK339" s="51">
        <v>-0.10899999999999999</v>
      </c>
      <c r="AL339" s="51">
        <v>-0.61899999999999977</v>
      </c>
      <c r="AM339" s="51">
        <v>-4.4390000000000001</v>
      </c>
      <c r="AN339" s="51">
        <v>4.4770000000000003</v>
      </c>
      <c r="AO339" s="51">
        <v>-5.7000000000000384E-2</v>
      </c>
      <c r="AP339" s="51">
        <v>8.3000000000000185E-2</v>
      </c>
      <c r="AQ339" s="239">
        <v>-0.106</v>
      </c>
      <c r="AR339" s="239">
        <f>-0.384-AQ339</f>
        <v>-0.27800000000000002</v>
      </c>
      <c r="AS339" s="239">
        <f>-0.427-AR339-AQ339</f>
        <v>-4.2999999999999969E-2</v>
      </c>
      <c r="AT339" s="239">
        <f>-0.856-AS339-AR339-AQ339</f>
        <v>-0.42900000000000005</v>
      </c>
      <c r="AU339" s="96">
        <v>0</v>
      </c>
      <c r="AV339" s="96">
        <v>0</v>
      </c>
      <c r="AW339" s="96">
        <v>0</v>
      </c>
      <c r="AX339" s="96">
        <v>0</v>
      </c>
      <c r="AY339" s="96">
        <v>0</v>
      </c>
      <c r="AZ339" s="96">
        <v>0</v>
      </c>
      <c r="BA339" s="96">
        <v>0</v>
      </c>
      <c r="BB339" s="96">
        <v>0</v>
      </c>
      <c r="BC339" s="96">
        <v>0</v>
      </c>
      <c r="BD339" s="96">
        <v>0</v>
      </c>
      <c r="BE339" s="96">
        <v>0</v>
      </c>
      <c r="BF339" s="96">
        <v>0</v>
      </c>
      <c r="BJ339" s="116">
        <f t="shared" si="1107"/>
        <v>330</v>
      </c>
    </row>
    <row r="340" spans="1:62" outlineLevel="1">
      <c r="B340" s="76" t="s">
        <v>330</v>
      </c>
      <c r="C340" s="50">
        <f t="shared" si="1124"/>
        <v>283.20199999999988</v>
      </c>
      <c r="D340" s="50">
        <f t="shared" si="1124"/>
        <v>152.53099999999995</v>
      </c>
      <c r="E340" s="50">
        <f t="shared" si="1124"/>
        <v>-248.07900000000001</v>
      </c>
      <c r="F340" s="50">
        <f t="shared" si="1124"/>
        <v>-694.50500000000011</v>
      </c>
      <c r="G340" s="50">
        <f t="shared" si="1124"/>
        <v>431.19200000000001</v>
      </c>
      <c r="H340" s="50">
        <f t="shared" si="1124"/>
        <v>-676.952</v>
      </c>
      <c r="I340" s="50">
        <f t="shared" si="1124"/>
        <v>-70.319999999999865</v>
      </c>
      <c r="J340" s="50">
        <f t="shared" si="1124"/>
        <v>416.15499999999986</v>
      </c>
      <c r="K340" s="50">
        <f t="shared" si="1124"/>
        <v>-76.888855172647709</v>
      </c>
      <c r="L340" s="50">
        <f t="shared" si="1124"/>
        <v>-397.36214482735249</v>
      </c>
      <c r="M340" s="50">
        <f t="shared" si="1124"/>
        <v>-503.85808973727944</v>
      </c>
      <c r="O340" s="51">
        <v>-110.16800000000001</v>
      </c>
      <c r="P340" s="51">
        <v>-169.56700000000001</v>
      </c>
      <c r="Q340" s="51">
        <v>644.87</v>
      </c>
      <c r="R340" s="51">
        <v>-81.933000000000106</v>
      </c>
      <c r="S340" s="51">
        <v>2.0050000000000008</v>
      </c>
      <c r="T340" s="51">
        <v>-197.23700000000008</v>
      </c>
      <c r="U340" s="51">
        <v>87.548000000000116</v>
      </c>
      <c r="V340" s="51">
        <v>260.21499999999992</v>
      </c>
      <c r="W340" s="51">
        <v>146.65899999999999</v>
      </c>
      <c r="X340" s="51">
        <v>-99.954000000000008</v>
      </c>
      <c r="Y340" s="51">
        <v>5.3149999999999409</v>
      </c>
      <c r="Z340" s="51">
        <v>-300.09899999999993</v>
      </c>
      <c r="AA340" s="51">
        <v>-14.866</v>
      </c>
      <c r="AB340" s="51">
        <v>-295.19100000000003</v>
      </c>
      <c r="AC340" s="51">
        <v>-242.78999999999996</v>
      </c>
      <c r="AD340" s="51">
        <v>-141.65800000000013</v>
      </c>
      <c r="AE340" s="51">
        <v>-93.915999999999997</v>
      </c>
      <c r="AF340" s="51">
        <v>131.761</v>
      </c>
      <c r="AG340" s="51">
        <v>294.71999999999991</v>
      </c>
      <c r="AH340" s="51">
        <v>98.627000000000095</v>
      </c>
      <c r="AI340" s="51">
        <v>-533.63200000000006</v>
      </c>
      <c r="AJ340" s="51">
        <v>-64.66599999999994</v>
      </c>
      <c r="AK340" s="51">
        <v>-11.091000000000008</v>
      </c>
      <c r="AL340" s="51">
        <v>-67.562999999999988</v>
      </c>
      <c r="AM340" s="51">
        <v>-65.077999999999989</v>
      </c>
      <c r="AN340" s="51">
        <v>-90.505999999999986</v>
      </c>
      <c r="AO340" s="51">
        <v>-28.424000000000035</v>
      </c>
      <c r="AP340" s="51">
        <v>113.68800000000014</v>
      </c>
      <c r="AQ340" s="51">
        <v>238.16099999999994</v>
      </c>
      <c r="AR340" s="51">
        <f>-0.042+411.2+100-377.983+171.985-162.5-0.173-AQ340</f>
        <v>-95.673999999999921</v>
      </c>
      <c r="AS340" s="51">
        <f>-0.078+411.2+410-382.815+78-162.5-0.528-AR340-AQ340</f>
        <v>210.79199999999997</v>
      </c>
      <c r="AT340" s="51">
        <f>-0.188+411.2+725-215-381.814+40-162.5-0.543-AS340-AR340-AQ340</f>
        <v>62.875999999999863</v>
      </c>
      <c r="AU340" s="95">
        <f t="shared" ref="AU340:BF340" si="1125">+AU387-AT387</f>
        <v>-136.45918485703351</v>
      </c>
      <c r="AV340" s="95">
        <f t="shared" si="1125"/>
        <v>31.009109844870181</v>
      </c>
      <c r="AW340" s="95">
        <f t="shared" si="1125"/>
        <v>26.903366894888677</v>
      </c>
      <c r="AX340" s="95">
        <f t="shared" si="1125"/>
        <v>1.6578529446269386</v>
      </c>
      <c r="AY340" s="95">
        <f t="shared" si="1125"/>
        <v>-196.67350193509901</v>
      </c>
      <c r="AZ340" s="95">
        <f t="shared" si="1125"/>
        <v>-86.939050710580887</v>
      </c>
      <c r="BA340" s="95">
        <f t="shared" si="1125"/>
        <v>-72.605265806617354</v>
      </c>
      <c r="BB340" s="95">
        <f t="shared" si="1125"/>
        <v>-41.144326375055243</v>
      </c>
      <c r="BC340" s="95">
        <f t="shared" si="1125"/>
        <v>0</v>
      </c>
      <c r="BD340" s="95">
        <f t="shared" si="1125"/>
        <v>0</v>
      </c>
      <c r="BE340" s="95">
        <f t="shared" si="1125"/>
        <v>-387.51693132636137</v>
      </c>
      <c r="BF340" s="95">
        <f t="shared" si="1125"/>
        <v>-116.34115841091807</v>
      </c>
      <c r="BJ340" s="116">
        <f t="shared" si="1107"/>
        <v>331</v>
      </c>
    </row>
    <row r="341" spans="1:62" outlineLevel="1">
      <c r="B341" s="76" t="s">
        <v>331</v>
      </c>
      <c r="C341" s="50">
        <f t="shared" si="1124"/>
        <v>0</v>
      </c>
      <c r="D341" s="50">
        <f t="shared" si="1124"/>
        <v>0</v>
      </c>
      <c r="E341" s="50">
        <f t="shared" si="1124"/>
        <v>0</v>
      </c>
      <c r="F341" s="50">
        <f t="shared" si="1124"/>
        <v>-47.167999999999999</v>
      </c>
      <c r="G341" s="50">
        <f t="shared" si="1124"/>
        <v>-59.145000000000003</v>
      </c>
      <c r="H341" s="50">
        <f t="shared" si="1124"/>
        <v>-69.363</v>
      </c>
      <c r="I341" s="50">
        <f t="shared" si="1124"/>
        <v>-50.923999999999992</v>
      </c>
      <c r="J341" s="50">
        <f t="shared" si="1124"/>
        <v>-68.503</v>
      </c>
      <c r="K341" s="50">
        <f t="shared" si="1124"/>
        <v>-68.141999999999996</v>
      </c>
      <c r="L341" s="50">
        <f t="shared" si="1124"/>
        <v>-68.141999999999996</v>
      </c>
      <c r="M341" s="50">
        <f t="shared" si="1124"/>
        <v>-68.141999999999996</v>
      </c>
      <c r="O341" s="51">
        <v>0</v>
      </c>
      <c r="P341" s="51">
        <v>0</v>
      </c>
      <c r="Q341" s="51">
        <v>0</v>
      </c>
      <c r="R341" s="51">
        <v>0</v>
      </c>
      <c r="S341" s="51">
        <v>0</v>
      </c>
      <c r="T341" s="51">
        <v>0</v>
      </c>
      <c r="U341" s="51">
        <v>0</v>
      </c>
      <c r="V341" s="51">
        <v>0</v>
      </c>
      <c r="W341" s="51">
        <v>0</v>
      </c>
      <c r="X341" s="51">
        <v>0</v>
      </c>
      <c r="Y341" s="51">
        <v>0</v>
      </c>
      <c r="Z341" s="51">
        <v>0</v>
      </c>
      <c r="AA341" s="51">
        <v>0</v>
      </c>
      <c r="AB341" s="51">
        <v>-23.552</v>
      </c>
      <c r="AC341" s="51">
        <v>-11.805</v>
      </c>
      <c r="AD341" s="51">
        <v>-11.811</v>
      </c>
      <c r="AE341" s="51">
        <v>-11.893000000000001</v>
      </c>
      <c r="AF341" s="51">
        <v>-11.899000000000001</v>
      </c>
      <c r="AG341" s="51">
        <v>-17.988999999999997</v>
      </c>
      <c r="AH341" s="51">
        <v>-17.364000000000004</v>
      </c>
      <c r="AI341" s="51">
        <v>-17.47</v>
      </c>
      <c r="AJ341" s="51">
        <v>-17.509999999999998</v>
      </c>
      <c r="AK341" s="51">
        <v>-17.509</v>
      </c>
      <c r="AL341" s="51">
        <v>-16.874000000000002</v>
      </c>
      <c r="AM341" s="51">
        <v>-16.922000000000001</v>
      </c>
      <c r="AN341" s="51">
        <v>0</v>
      </c>
      <c r="AO341" s="51">
        <v>-17.004999999999999</v>
      </c>
      <c r="AP341" s="51">
        <v>-16.996999999999996</v>
      </c>
      <c r="AQ341" s="51">
        <v>-17.04</v>
      </c>
      <c r="AR341" s="51">
        <f>-34.197-AQ341</f>
        <v>-17.157000000000004</v>
      </c>
      <c r="AS341" s="51">
        <f>-51.346-AR341-AQ341</f>
        <v>-17.148999999999994</v>
      </c>
      <c r="AT341" s="51">
        <f>-68.503-AS341-AR341-AQ341</f>
        <v>-17.157000000000004</v>
      </c>
      <c r="AU341" s="95">
        <f t="shared" ref="AU341:BF341" si="1126">-AU54*AU435</f>
        <v>-17.035499999999999</v>
      </c>
      <c r="AV341" s="95">
        <f t="shared" si="1126"/>
        <v>-17.035499999999999</v>
      </c>
      <c r="AW341" s="95">
        <f t="shared" si="1126"/>
        <v>-17.035499999999999</v>
      </c>
      <c r="AX341" s="95">
        <f t="shared" si="1126"/>
        <v>-17.035499999999999</v>
      </c>
      <c r="AY341" s="95">
        <f t="shared" si="1126"/>
        <v>-17.035499999999999</v>
      </c>
      <c r="AZ341" s="95">
        <f t="shared" si="1126"/>
        <v>-17.035499999999999</v>
      </c>
      <c r="BA341" s="95">
        <f t="shared" si="1126"/>
        <v>-17.035499999999999</v>
      </c>
      <c r="BB341" s="95">
        <f t="shared" si="1126"/>
        <v>-17.035499999999999</v>
      </c>
      <c r="BC341" s="95">
        <f t="shared" si="1126"/>
        <v>-17.035499999999999</v>
      </c>
      <c r="BD341" s="95">
        <f t="shared" si="1126"/>
        <v>-17.035499999999999</v>
      </c>
      <c r="BE341" s="95">
        <f t="shared" si="1126"/>
        <v>-17.035499999999999</v>
      </c>
      <c r="BF341" s="95">
        <f t="shared" si="1126"/>
        <v>-17.035499999999999</v>
      </c>
      <c r="BJ341" s="116">
        <f t="shared" si="1107"/>
        <v>332</v>
      </c>
    </row>
    <row r="342" spans="1:62" outlineLevel="1">
      <c r="B342" s="76" t="s">
        <v>332</v>
      </c>
      <c r="C342" s="50">
        <f t="shared" si="1124"/>
        <v>8.2010000000000005</v>
      </c>
      <c r="D342" s="50">
        <f t="shared" si="1124"/>
        <v>11.605</v>
      </c>
      <c r="E342" s="50">
        <f t="shared" si="1124"/>
        <v>-3.625</v>
      </c>
      <c r="F342" s="50">
        <f t="shared" si="1124"/>
        <v>5.383</v>
      </c>
      <c r="G342" s="50">
        <f t="shared" si="1124"/>
        <v>-40.612000000000002</v>
      </c>
      <c r="H342" s="50">
        <f t="shared" si="1124"/>
        <v>1.296</v>
      </c>
      <c r="I342" s="50">
        <f t="shared" si="1124"/>
        <v>0.96700000000000008</v>
      </c>
      <c r="J342" s="50">
        <f t="shared" si="1124"/>
        <v>8.3000000000000007</v>
      </c>
      <c r="K342" s="50">
        <f t="shared" si="1124"/>
        <v>0</v>
      </c>
      <c r="L342" s="50">
        <f t="shared" si="1124"/>
        <v>0</v>
      </c>
      <c r="M342" s="50">
        <f t="shared" si="1124"/>
        <v>0</v>
      </c>
      <c r="O342" s="51">
        <v>2.8180000000000001</v>
      </c>
      <c r="P342" s="51">
        <v>1.9149999999999996</v>
      </c>
      <c r="Q342" s="51">
        <v>0.65800000000000036</v>
      </c>
      <c r="R342" s="51">
        <v>2.8100000000000009</v>
      </c>
      <c r="S342" s="51">
        <v>9.4239999999999995</v>
      </c>
      <c r="T342" s="51">
        <v>2.1980000000000004</v>
      </c>
      <c r="U342" s="51">
        <v>0.55300000000000082</v>
      </c>
      <c r="V342" s="51">
        <v>-0.57000000000000028</v>
      </c>
      <c r="W342" s="51">
        <v>-5.32</v>
      </c>
      <c r="X342" s="51">
        <v>0.25400000000000045</v>
      </c>
      <c r="Y342" s="51">
        <v>1.0590000000000002</v>
      </c>
      <c r="Z342" s="51">
        <v>0.38199999999999967</v>
      </c>
      <c r="AA342" s="51">
        <v>1.0269999999999999</v>
      </c>
      <c r="AB342" s="51">
        <v>2.173</v>
      </c>
      <c r="AC342" s="51">
        <v>1.1749999999999998</v>
      </c>
      <c r="AD342" s="51">
        <v>1.0080000000000002</v>
      </c>
      <c r="AE342" s="51">
        <v>4.931</v>
      </c>
      <c r="AF342" s="51">
        <v>-46.759</v>
      </c>
      <c r="AG342" s="51">
        <v>1.1929999999999978</v>
      </c>
      <c r="AH342" s="51">
        <v>2.3000000000004128E-2</v>
      </c>
      <c r="AI342" s="51">
        <v>0.182</v>
      </c>
      <c r="AJ342" s="51">
        <v>1.016</v>
      </c>
      <c r="AK342" s="51">
        <v>0</v>
      </c>
      <c r="AL342" s="51">
        <v>9.8000000000000032E-2</v>
      </c>
      <c r="AM342" s="51">
        <v>0</v>
      </c>
      <c r="AN342" s="51">
        <v>3.9E-2</v>
      </c>
      <c r="AO342" s="51">
        <v>0.52300000000000002</v>
      </c>
      <c r="AP342" s="51">
        <v>0.40499999999999997</v>
      </c>
      <c r="AQ342" s="51">
        <v>0</v>
      </c>
      <c r="AR342" s="51">
        <f>8.3-AQ342</f>
        <v>8.3000000000000007</v>
      </c>
      <c r="AS342" s="51">
        <f>8.3-AR342-AQ342</f>
        <v>0</v>
      </c>
      <c r="AT342" s="51">
        <f>8.3-AS342-AR342-AQ342</f>
        <v>0</v>
      </c>
      <c r="AU342" s="96">
        <v>0</v>
      </c>
      <c r="AV342" s="96">
        <v>0</v>
      </c>
      <c r="AW342" s="96">
        <v>0</v>
      </c>
      <c r="AX342" s="96">
        <v>0</v>
      </c>
      <c r="AY342" s="96">
        <v>0</v>
      </c>
      <c r="AZ342" s="96">
        <v>0</v>
      </c>
      <c r="BA342" s="96">
        <v>0</v>
      </c>
      <c r="BB342" s="96">
        <v>0</v>
      </c>
      <c r="BC342" s="96">
        <v>0</v>
      </c>
      <c r="BD342" s="96">
        <v>0</v>
      </c>
      <c r="BE342" s="96">
        <v>0</v>
      </c>
      <c r="BF342" s="96">
        <v>0</v>
      </c>
      <c r="BJ342" s="116">
        <f t="shared" si="1107"/>
        <v>333</v>
      </c>
    </row>
    <row r="343" spans="1:62" outlineLevel="1">
      <c r="B343" s="76" t="s">
        <v>109</v>
      </c>
      <c r="C343" s="50">
        <f t="shared" si="1124"/>
        <v>-6.6470000000000002</v>
      </c>
      <c r="D343" s="50">
        <f t="shared" si="1124"/>
        <v>-2.6259999999999999</v>
      </c>
      <c r="E343" s="50">
        <f t="shared" si="1124"/>
        <v>-2.16</v>
      </c>
      <c r="F343" s="50">
        <f t="shared" si="1124"/>
        <v>0</v>
      </c>
      <c r="G343" s="50">
        <f t="shared" si="1124"/>
        <v>-250.03700000000001</v>
      </c>
      <c r="H343" s="50">
        <f t="shared" si="1124"/>
        <v>-99.597999999999999</v>
      </c>
      <c r="I343" s="50">
        <f t="shared" si="1124"/>
        <v>-1.6870000000000001</v>
      </c>
      <c r="J343" s="50">
        <f t="shared" si="1124"/>
        <v>-18.071000000000002</v>
      </c>
      <c r="K343" s="50">
        <f t="shared" si="1124"/>
        <v>0</v>
      </c>
      <c r="L343" s="50">
        <f t="shared" si="1124"/>
        <v>0</v>
      </c>
      <c r="M343" s="50">
        <f t="shared" si="1124"/>
        <v>0</v>
      </c>
      <c r="O343" s="51">
        <v>-4.4770000000000003</v>
      </c>
      <c r="P343" s="51">
        <v>-2.1219999999999999</v>
      </c>
      <c r="Q343" s="51">
        <v>-1.699999999999946E-2</v>
      </c>
      <c r="R343" s="51">
        <v>-3.1000000000000583E-2</v>
      </c>
      <c r="S343" s="51">
        <v>-2.3539999999999996</v>
      </c>
      <c r="T343" s="51">
        <v>-0.17300000000000049</v>
      </c>
      <c r="U343" s="51">
        <v>-6.4000000000000057E-2</v>
      </c>
      <c r="V343" s="51">
        <v>-3.4999999999999698E-2</v>
      </c>
      <c r="W343" s="51">
        <v>-1.7689999999999999</v>
      </c>
      <c r="X343" s="51">
        <v>-0.30200000000000027</v>
      </c>
      <c r="Y343" s="51">
        <v>0</v>
      </c>
      <c r="Z343" s="51">
        <v>-8.8999999999999968E-2</v>
      </c>
      <c r="AA343" s="51">
        <v>0</v>
      </c>
      <c r="AB343" s="51">
        <v>0</v>
      </c>
      <c r="AC343" s="51">
        <v>0</v>
      </c>
      <c r="AD343" s="51">
        <v>0</v>
      </c>
      <c r="AE343" s="51">
        <v>0</v>
      </c>
      <c r="AF343" s="51">
        <v>0</v>
      </c>
      <c r="AG343" s="51">
        <v>-250.03700000000001</v>
      </c>
      <c r="AH343" s="51">
        <v>0</v>
      </c>
      <c r="AI343" s="51">
        <v>0</v>
      </c>
      <c r="AJ343" s="51">
        <v>0</v>
      </c>
      <c r="AK343" s="51">
        <v>-44.978000000000002</v>
      </c>
      <c r="AL343" s="51">
        <v>-54.62</v>
      </c>
      <c r="AM343" s="51">
        <v>-1.6870000000000001</v>
      </c>
      <c r="AN343" s="51">
        <v>0</v>
      </c>
      <c r="AO343" s="51">
        <v>0</v>
      </c>
      <c r="AP343" s="51">
        <v>0</v>
      </c>
      <c r="AQ343" s="51">
        <v>0</v>
      </c>
      <c r="AR343" s="51">
        <v>0</v>
      </c>
      <c r="AS343" s="51">
        <v>0</v>
      </c>
      <c r="AT343" s="51">
        <f>-18.071-AS343-AR343-AQ343</f>
        <v>-18.071000000000002</v>
      </c>
      <c r="AU343" s="96">
        <v>0</v>
      </c>
      <c r="AV343" s="96">
        <v>0</v>
      </c>
      <c r="AW343" s="96">
        <v>0</v>
      </c>
      <c r="AX343" s="96">
        <v>0</v>
      </c>
      <c r="AY343" s="96">
        <v>0</v>
      </c>
      <c r="AZ343" s="96">
        <v>0</v>
      </c>
      <c r="BA343" s="96">
        <v>0</v>
      </c>
      <c r="BB343" s="96">
        <v>0</v>
      </c>
      <c r="BC343" s="96">
        <v>0</v>
      </c>
      <c r="BD343" s="96">
        <v>0</v>
      </c>
      <c r="BE343" s="96">
        <v>0</v>
      </c>
      <c r="BF343" s="96">
        <v>0</v>
      </c>
      <c r="BJ343" s="116">
        <f t="shared" si="1107"/>
        <v>334</v>
      </c>
    </row>
    <row r="344" spans="1:62" outlineLevel="1">
      <c r="B344" s="76" t="s">
        <v>110</v>
      </c>
      <c r="C344" s="50">
        <f t="shared" si="1124"/>
        <v>-4.5020000000000007</v>
      </c>
      <c r="D344" s="50">
        <f t="shared" si="1124"/>
        <v>-1.2000000000000011E-2</v>
      </c>
      <c r="E344" s="50">
        <f t="shared" si="1124"/>
        <v>-0.26300000000000001</v>
      </c>
      <c r="F344" s="50">
        <f t="shared" si="1124"/>
        <v>6.7040000000000006</v>
      </c>
      <c r="G344" s="50">
        <f t="shared" si="1124"/>
        <v>-11.55</v>
      </c>
      <c r="H344" s="50">
        <f t="shared" si="1124"/>
        <v>-5.3239999999999998</v>
      </c>
      <c r="I344" s="50">
        <f t="shared" si="1124"/>
        <v>-16.251999999999999</v>
      </c>
      <c r="J344" s="50">
        <f t="shared" si="1124"/>
        <v>174.29899999999998</v>
      </c>
      <c r="K344" s="50">
        <f t="shared" si="1124"/>
        <v>0</v>
      </c>
      <c r="L344" s="50">
        <f t="shared" si="1124"/>
        <v>0</v>
      </c>
      <c r="M344" s="50">
        <f t="shared" si="1124"/>
        <v>0</v>
      </c>
      <c r="O344" s="51">
        <v>0.33300000000000002</v>
      </c>
      <c r="P344" s="51">
        <v>0.75500000000000012</v>
      </c>
      <c r="Q344" s="51">
        <v>7.9999999999997851E-3</v>
      </c>
      <c r="R344" s="51">
        <v>-5.5980000000000008</v>
      </c>
      <c r="S344" s="51">
        <v>-1E-3</v>
      </c>
      <c r="T344" s="51">
        <v>2.8999999999999998E-2</v>
      </c>
      <c r="U344" s="51">
        <v>0.157</v>
      </c>
      <c r="V344" s="51">
        <v>-0.19700000000000001</v>
      </c>
      <c r="W344" s="51">
        <v>-3.1E-2</v>
      </c>
      <c r="X344" s="51">
        <v>-4.9999999999999975E-3</v>
      </c>
      <c r="Y344" s="51">
        <v>-1.8000000000000002E-2</v>
      </c>
      <c r="Z344" s="51">
        <v>-0.20900000000000002</v>
      </c>
      <c r="AA344" s="51">
        <v>1.395</v>
      </c>
      <c r="AB344" s="51">
        <v>-4.4180000000000001</v>
      </c>
      <c r="AC344" s="51">
        <v>-7.299999999999951E-2</v>
      </c>
      <c r="AD344" s="51">
        <v>9.8000000000000007</v>
      </c>
      <c r="AE344" s="51">
        <v>-11.585000000000001</v>
      </c>
      <c r="AF344" s="51">
        <v>4.2820000000000009</v>
      </c>
      <c r="AG344" s="51">
        <v>-0.27800000000000047</v>
      </c>
      <c r="AH344" s="51">
        <v>-3.9690000000000012</v>
      </c>
      <c r="AI344" s="51">
        <v>0</v>
      </c>
      <c r="AJ344" s="51">
        <v>-7.4260000000000002</v>
      </c>
      <c r="AK344" s="51">
        <v>-0.10799999999999965</v>
      </c>
      <c r="AL344" s="51">
        <v>2.21</v>
      </c>
      <c r="AM344" s="51">
        <v>0</v>
      </c>
      <c r="AN344" s="51">
        <v>-4.28</v>
      </c>
      <c r="AO344" s="51">
        <v>-0.03</v>
      </c>
      <c r="AP344" s="51">
        <v>-11.941999999999998</v>
      </c>
      <c r="AQ344" s="51">
        <v>-48.183000000000007</v>
      </c>
      <c r="AR344" s="51">
        <f>-11.037-6.982+20-40.25-7.844+159.952-AQ344</f>
        <v>162.02199999999999</v>
      </c>
      <c r="AS344" s="51">
        <f>-11.039-7.272+20+159.952-40.25-7.864-AR344-AQ344</f>
        <v>-0.31199999999999761</v>
      </c>
      <c r="AT344" s="51">
        <f>-11.043-7.272+20+159.952-40.25-8.211+61.123-AS344-AR344-AQ344</f>
        <v>60.772000000000006</v>
      </c>
      <c r="AU344" s="96">
        <v>0</v>
      </c>
      <c r="AV344" s="96">
        <v>0</v>
      </c>
      <c r="AW344" s="96">
        <v>0</v>
      </c>
      <c r="AX344" s="96">
        <v>0</v>
      </c>
      <c r="AY344" s="96">
        <v>0</v>
      </c>
      <c r="AZ344" s="96">
        <v>0</v>
      </c>
      <c r="BA344" s="96">
        <v>0</v>
      </c>
      <c r="BB344" s="96">
        <v>0</v>
      </c>
      <c r="BC344" s="96">
        <v>0</v>
      </c>
      <c r="BD344" s="96">
        <v>0</v>
      </c>
      <c r="BE344" s="96">
        <v>0</v>
      </c>
      <c r="BF344" s="96">
        <v>0</v>
      </c>
      <c r="BJ344" s="116">
        <f t="shared" si="1107"/>
        <v>335</v>
      </c>
    </row>
    <row r="345" spans="1:62" outlineLevel="1">
      <c r="B345" s="76" t="s">
        <v>333</v>
      </c>
      <c r="C345" s="50">
        <f t="shared" si="1124"/>
        <v>-4.6000000000000263E-2</v>
      </c>
      <c r="D345" s="50">
        <f t="shared" si="1124"/>
        <v>-1.633</v>
      </c>
      <c r="E345" s="50">
        <f t="shared" si="1124"/>
        <v>-2.6029999999999998</v>
      </c>
      <c r="F345" s="50">
        <f t="shared" si="1124"/>
        <v>-8.1760000000000002</v>
      </c>
      <c r="G345" s="50">
        <f t="shared" si="1124"/>
        <v>-23.616</v>
      </c>
      <c r="H345" s="50">
        <f t="shared" si="1124"/>
        <v>-25.784999999999997</v>
      </c>
      <c r="I345" s="50">
        <f t="shared" si="1124"/>
        <v>-2.0030000000000001</v>
      </c>
      <c r="J345" s="50">
        <f t="shared" si="1124"/>
        <v>-2.8999999999999915E-2</v>
      </c>
      <c r="K345" s="50">
        <f t="shared" si="1124"/>
        <v>0</v>
      </c>
      <c r="L345" s="50">
        <f t="shared" si="1124"/>
        <v>0</v>
      </c>
      <c r="M345" s="50">
        <f t="shared" si="1124"/>
        <v>0</v>
      </c>
      <c r="O345" s="51">
        <v>-1.931</v>
      </c>
      <c r="P345" s="51">
        <v>-4.8719999999999999</v>
      </c>
      <c r="Q345" s="51">
        <v>3.1579999999999999</v>
      </c>
      <c r="R345" s="51">
        <v>3.5989999999999998</v>
      </c>
      <c r="S345" s="51">
        <v>2.46</v>
      </c>
      <c r="T345" s="51">
        <v>-7.6999999999999957E-2</v>
      </c>
      <c r="U345" s="51">
        <v>-4.5570000000000004</v>
      </c>
      <c r="V345" s="51">
        <v>0.54100000000000037</v>
      </c>
      <c r="W345" s="51">
        <v>1.4039999999999999</v>
      </c>
      <c r="X345" s="51">
        <v>-4.8339999999999996</v>
      </c>
      <c r="Y345" s="51">
        <v>0.65899999999999981</v>
      </c>
      <c r="Z345" s="51">
        <v>0.16800000000000015</v>
      </c>
      <c r="AA345" s="51">
        <v>-2.7589999999999999</v>
      </c>
      <c r="AB345" s="51">
        <v>-3.9499999999999997</v>
      </c>
      <c r="AC345" s="51">
        <v>0.92300000000000004</v>
      </c>
      <c r="AD345" s="51">
        <v>-2.39</v>
      </c>
      <c r="AE345" s="51">
        <v>-9.266</v>
      </c>
      <c r="AF345" s="51">
        <v>2.2880000000000003</v>
      </c>
      <c r="AG345" s="51">
        <v>-8.0310000000000006</v>
      </c>
      <c r="AH345" s="51">
        <v>-8.6069999999999975</v>
      </c>
      <c r="AI345" s="51">
        <v>-11.499000000000001</v>
      </c>
      <c r="AJ345" s="51">
        <v>6.7670000000000003</v>
      </c>
      <c r="AK345" s="51">
        <v>-17.234000000000002</v>
      </c>
      <c r="AL345" s="51">
        <v>-3.8189999999999973</v>
      </c>
      <c r="AM345" s="51">
        <v>-2.85</v>
      </c>
      <c r="AN345" s="51">
        <v>2.8290000000000002</v>
      </c>
      <c r="AO345" s="51">
        <v>-1.1080000000000001</v>
      </c>
      <c r="AP345" s="51">
        <v>-0.87400000000000011</v>
      </c>
      <c r="AQ345" s="51">
        <v>1.841</v>
      </c>
      <c r="AR345" s="51">
        <f>0.992-AQ345</f>
        <v>-0.84899999999999998</v>
      </c>
      <c r="AS345" s="51">
        <f>0.251-AR345-AQ345</f>
        <v>-0.74099999999999988</v>
      </c>
      <c r="AT345" s="51">
        <f>-0.029-AS345-AR345-AQ345</f>
        <v>-0.28000000000000003</v>
      </c>
      <c r="AU345" s="96">
        <v>0</v>
      </c>
      <c r="AV345" s="96">
        <v>0</v>
      </c>
      <c r="AW345" s="96">
        <v>0</v>
      </c>
      <c r="AX345" s="96">
        <v>0</v>
      </c>
      <c r="AY345" s="96">
        <v>0</v>
      </c>
      <c r="AZ345" s="96">
        <v>0</v>
      </c>
      <c r="BA345" s="96">
        <v>0</v>
      </c>
      <c r="BB345" s="96">
        <v>0</v>
      </c>
      <c r="BC345" s="96">
        <v>0</v>
      </c>
      <c r="BD345" s="96">
        <v>0</v>
      </c>
      <c r="BE345" s="96">
        <v>0</v>
      </c>
      <c r="BF345" s="96">
        <v>0</v>
      </c>
      <c r="BJ345" s="116">
        <f t="shared" si="1107"/>
        <v>336</v>
      </c>
    </row>
    <row r="346" spans="1:62" outlineLevel="1">
      <c r="B346" s="81" t="s">
        <v>111</v>
      </c>
      <c r="C346" s="52">
        <f>SUM(C336:C345)</f>
        <v>-286.11300000000023</v>
      </c>
      <c r="D346" s="52">
        <f t="shared" ref="D346:O346" si="1127">SUM(D336:D345)</f>
        <v>-243.1269999999997</v>
      </c>
      <c r="E346" s="52">
        <f t="shared" si="1127"/>
        <v>126.34699999999977</v>
      </c>
      <c r="F346" s="52">
        <f t="shared" si="1127"/>
        <v>-135.00700000000009</v>
      </c>
      <c r="G346" s="52">
        <f t="shared" si="1127"/>
        <v>111.23399999999954</v>
      </c>
      <c r="H346" s="52">
        <f t="shared" si="1127"/>
        <v>-246.61899999999969</v>
      </c>
      <c r="I346" s="52">
        <f t="shared" si="1127"/>
        <v>9.562999999999839</v>
      </c>
      <c r="J346" s="52">
        <f t="shared" si="1127"/>
        <v>72.903999999999826</v>
      </c>
      <c r="K346" s="52">
        <f t="shared" si="1127"/>
        <v>-165.36599999999856</v>
      </c>
      <c r="L346" s="52">
        <f t="shared" si="1127"/>
        <v>56.766933805732663</v>
      </c>
      <c r="M346" s="52">
        <f t="shared" si="1127"/>
        <v>-56.766933805731185</v>
      </c>
      <c r="O346" s="52">
        <f t="shared" si="1127"/>
        <v>-25.206000000000028</v>
      </c>
      <c r="P346" s="52">
        <f t="shared" ref="P346:BF346" si="1128">SUM(P336:P345)</f>
        <v>-155.01600000000002</v>
      </c>
      <c r="Q346" s="52">
        <f t="shared" si="1128"/>
        <v>-107.90999999999998</v>
      </c>
      <c r="R346" s="52">
        <f t="shared" si="1128"/>
        <v>2.0189999999998611</v>
      </c>
      <c r="S346" s="52">
        <f t="shared" si="1128"/>
        <v>-71.966000000000065</v>
      </c>
      <c r="T346" s="52">
        <f t="shared" si="1128"/>
        <v>-40.914000000000073</v>
      </c>
      <c r="U346" s="52">
        <f t="shared" si="1128"/>
        <v>-253.36099999999973</v>
      </c>
      <c r="V346" s="52">
        <f t="shared" si="1128"/>
        <v>123.11399999999995</v>
      </c>
      <c r="W346" s="52">
        <f t="shared" si="1128"/>
        <v>-44.553000000000011</v>
      </c>
      <c r="X346" s="52">
        <f t="shared" si="1128"/>
        <v>-33.623999999999967</v>
      </c>
      <c r="Y346" s="52">
        <f t="shared" si="1128"/>
        <v>151.16399999999996</v>
      </c>
      <c r="Z346" s="52">
        <f t="shared" si="1128"/>
        <v>53.36</v>
      </c>
      <c r="AA346" s="52">
        <f t="shared" si="1128"/>
        <v>39.96600000000003</v>
      </c>
      <c r="AB346" s="52">
        <f t="shared" si="1128"/>
        <v>-56.759999999999977</v>
      </c>
      <c r="AC346" s="52">
        <f t="shared" si="1128"/>
        <v>-112.20500000000007</v>
      </c>
      <c r="AD346" s="52">
        <f t="shared" si="1128"/>
        <v>-6.0080000000000933</v>
      </c>
      <c r="AE346" s="52">
        <f t="shared" si="1128"/>
        <v>-63.033999999999978</v>
      </c>
      <c r="AF346" s="52">
        <f t="shared" si="1128"/>
        <v>84.077000000000069</v>
      </c>
      <c r="AG346" s="52">
        <f t="shared" si="1128"/>
        <v>-6.5050000000001695</v>
      </c>
      <c r="AH346" s="52">
        <f t="shared" si="1128"/>
        <v>96.696000000000083</v>
      </c>
      <c r="AI346" s="52">
        <f t="shared" si="1128"/>
        <v>84.852000000000018</v>
      </c>
      <c r="AJ346" s="52">
        <f t="shared" si="1128"/>
        <v>-149.32600000000011</v>
      </c>
      <c r="AK346" s="52">
        <f t="shared" si="1128"/>
        <v>-185.30899999999997</v>
      </c>
      <c r="AL346" s="52">
        <f t="shared" si="1128"/>
        <v>3.164000000000212</v>
      </c>
      <c r="AM346" s="52">
        <f t="shared" si="1128"/>
        <v>-53.855999999999987</v>
      </c>
      <c r="AN346" s="52">
        <f t="shared" si="1128"/>
        <v>33.078000000000024</v>
      </c>
      <c r="AO346" s="52">
        <f t="shared" si="1128"/>
        <v>-56.70600000000006</v>
      </c>
      <c r="AP346" s="52">
        <f t="shared" si="1128"/>
        <v>87.047000000000168</v>
      </c>
      <c r="AQ346" s="52">
        <f t="shared" si="1128"/>
        <v>-63.405000000000094</v>
      </c>
      <c r="AR346" s="52">
        <f t="shared" si="1128"/>
        <v>-4.1209999999999631</v>
      </c>
      <c r="AS346" s="52">
        <f t="shared" si="1128"/>
        <v>-6.0109999999999602</v>
      </c>
      <c r="AT346" s="52">
        <f t="shared" si="1128"/>
        <v>146.44099999999978</v>
      </c>
      <c r="AU346" s="52">
        <f t="shared" si="1128"/>
        <v>-165.36600000000044</v>
      </c>
      <c r="AV346" s="52">
        <f t="shared" si="1128"/>
        <v>1.7053025658242404E-13</v>
      </c>
      <c r="AW346" s="52">
        <f t="shared" si="1128"/>
        <v>1.4352963262354024E-12</v>
      </c>
      <c r="AX346" s="52">
        <f t="shared" si="1128"/>
        <v>4.4053649617126212E-13</v>
      </c>
      <c r="AY346" s="52">
        <f t="shared" si="1128"/>
        <v>-1.4068746168049984E-12</v>
      </c>
      <c r="AZ346" s="52">
        <f t="shared" si="1128"/>
        <v>4.4053649617126212E-13</v>
      </c>
      <c r="BA346" s="52">
        <f t="shared" si="1128"/>
        <v>4.2632564145606011E-13</v>
      </c>
      <c r="BB346" s="52">
        <f t="shared" si="1128"/>
        <v>56.766933805733288</v>
      </c>
      <c r="BC346" s="52">
        <f t="shared" si="1128"/>
        <v>112.87549058657142</v>
      </c>
      <c r="BD346" s="52">
        <f t="shared" si="1128"/>
        <v>119.76586850381825</v>
      </c>
      <c r="BE346" s="52">
        <f t="shared" si="1128"/>
        <v>-289.40829289612208</v>
      </c>
      <c r="BF346" s="52">
        <f t="shared" si="1128"/>
        <v>1.2363443602225743E-12</v>
      </c>
      <c r="BJ346" s="116">
        <f t="shared" si="1107"/>
        <v>337</v>
      </c>
    </row>
    <row r="347" spans="1:62" outlineLevel="1">
      <c r="B347" s="43"/>
      <c r="C347" s="91"/>
      <c r="D347" s="91">
        <f t="shared" ref="D347:M347" si="1129">ROUND(D351-C351-D346,2)</f>
        <v>0</v>
      </c>
      <c r="E347" s="91">
        <f t="shared" si="1129"/>
        <v>0</v>
      </c>
      <c r="F347" s="91">
        <f t="shared" si="1129"/>
        <v>0</v>
      </c>
      <c r="G347" s="91">
        <f t="shared" si="1129"/>
        <v>0</v>
      </c>
      <c r="H347" s="91">
        <f t="shared" si="1129"/>
        <v>0</v>
      </c>
      <c r="I347" s="91">
        <f t="shared" si="1129"/>
        <v>0</v>
      </c>
      <c r="J347" s="91">
        <f t="shared" si="1129"/>
        <v>0</v>
      </c>
      <c r="K347" s="91">
        <f t="shared" si="1129"/>
        <v>0</v>
      </c>
      <c r="L347" s="91">
        <f t="shared" si="1129"/>
        <v>0</v>
      </c>
      <c r="M347" s="91">
        <f t="shared" si="1129"/>
        <v>0</v>
      </c>
      <c r="O347" s="91"/>
      <c r="P347" s="91">
        <f>ROUND(P351-O351-P346,2)</f>
        <v>0</v>
      </c>
      <c r="Q347" s="91">
        <f t="shared" ref="Q347:BF347" si="1130">ROUND(Q351-P351-Q346,2)</f>
        <v>0</v>
      </c>
      <c r="R347" s="91">
        <f t="shared" si="1130"/>
        <v>0</v>
      </c>
      <c r="S347" s="91">
        <f t="shared" si="1130"/>
        <v>0</v>
      </c>
      <c r="T347" s="91">
        <f t="shared" si="1130"/>
        <v>0</v>
      </c>
      <c r="U347" s="91">
        <f t="shared" si="1130"/>
        <v>0</v>
      </c>
      <c r="V347" s="91">
        <f t="shared" si="1130"/>
        <v>0</v>
      </c>
      <c r="W347" s="91">
        <f t="shared" si="1130"/>
        <v>0</v>
      </c>
      <c r="X347" s="91">
        <f t="shared" si="1130"/>
        <v>0</v>
      </c>
      <c r="Y347" s="91">
        <f t="shared" si="1130"/>
        <v>0</v>
      </c>
      <c r="Z347" s="91">
        <f t="shared" si="1130"/>
        <v>0</v>
      </c>
      <c r="AA347" s="91">
        <f t="shared" si="1130"/>
        <v>0</v>
      </c>
      <c r="AB347" s="91">
        <f t="shared" si="1130"/>
        <v>0</v>
      </c>
      <c r="AC347" s="91">
        <f t="shared" si="1130"/>
        <v>0</v>
      </c>
      <c r="AD347" s="91">
        <f t="shared" si="1130"/>
        <v>0</v>
      </c>
      <c r="AE347" s="91">
        <f t="shared" si="1130"/>
        <v>0</v>
      </c>
      <c r="AF347" s="91">
        <f t="shared" si="1130"/>
        <v>0</v>
      </c>
      <c r="AG347" s="91">
        <f t="shared" si="1130"/>
        <v>0</v>
      </c>
      <c r="AH347" s="91">
        <f t="shared" si="1130"/>
        <v>0</v>
      </c>
      <c r="AI347" s="91">
        <f t="shared" si="1130"/>
        <v>0</v>
      </c>
      <c r="AJ347" s="91">
        <f t="shared" si="1130"/>
        <v>0</v>
      </c>
      <c r="AK347" s="91">
        <f t="shared" si="1130"/>
        <v>0</v>
      </c>
      <c r="AL347" s="91">
        <f t="shared" si="1130"/>
        <v>0</v>
      </c>
      <c r="AM347" s="91">
        <f t="shared" si="1130"/>
        <v>0</v>
      </c>
      <c r="AN347" s="91">
        <f t="shared" si="1130"/>
        <v>0</v>
      </c>
      <c r="AO347" s="91">
        <f t="shared" si="1130"/>
        <v>0</v>
      </c>
      <c r="AP347" s="91">
        <f t="shared" si="1130"/>
        <v>0</v>
      </c>
      <c r="AQ347" s="91">
        <f t="shared" si="1130"/>
        <v>0</v>
      </c>
      <c r="AR347" s="235">
        <f t="shared" si="1130"/>
        <v>0</v>
      </c>
      <c r="AS347" s="235">
        <f t="shared" si="1130"/>
        <v>0</v>
      </c>
      <c r="AT347" s="235">
        <f t="shared" ref="AT347" si="1131">ROUND(AT351-AS351-AT346,2)</f>
        <v>0</v>
      </c>
      <c r="AU347" s="91">
        <f t="shared" si="1130"/>
        <v>0</v>
      </c>
      <c r="AV347" s="91">
        <f t="shared" si="1130"/>
        <v>0</v>
      </c>
      <c r="AW347" s="91">
        <f t="shared" si="1130"/>
        <v>0</v>
      </c>
      <c r="AX347" s="91">
        <f t="shared" si="1130"/>
        <v>0</v>
      </c>
      <c r="AY347" s="91">
        <f t="shared" si="1130"/>
        <v>0</v>
      </c>
      <c r="AZ347" s="91">
        <f t="shared" si="1130"/>
        <v>0</v>
      </c>
      <c r="BA347" s="91">
        <f t="shared" si="1130"/>
        <v>0</v>
      </c>
      <c r="BB347" s="91">
        <f t="shared" si="1130"/>
        <v>0</v>
      </c>
      <c r="BC347" s="91">
        <f t="shared" si="1130"/>
        <v>0</v>
      </c>
      <c r="BD347" s="91">
        <f t="shared" si="1130"/>
        <v>0</v>
      </c>
      <c r="BE347" s="91">
        <f t="shared" si="1130"/>
        <v>0</v>
      </c>
      <c r="BF347" s="91">
        <f t="shared" si="1130"/>
        <v>0</v>
      </c>
      <c r="BJ347" s="116">
        <f t="shared" si="1107"/>
        <v>338</v>
      </c>
    </row>
    <row r="348" spans="1:62">
      <c r="A348" s="72" t="s">
        <v>322</v>
      </c>
      <c r="B348" s="2" t="s">
        <v>112</v>
      </c>
      <c r="BJ348" s="116">
        <f t="shared" si="1107"/>
        <v>339</v>
      </c>
    </row>
    <row r="349" spans="1:62" outlineLevel="1">
      <c r="B349" s="4" t="s">
        <v>2</v>
      </c>
      <c r="C349" s="57">
        <f>C$8</f>
        <v>2010</v>
      </c>
      <c r="D349" s="57">
        <f t="shared" ref="D349:BF349" si="1132">D$8</f>
        <v>2011</v>
      </c>
      <c r="E349" s="57">
        <f t="shared" si="1132"/>
        <v>2012</v>
      </c>
      <c r="F349" s="57">
        <f t="shared" si="1132"/>
        <v>2013</v>
      </c>
      <c r="G349" s="57">
        <f t="shared" si="1132"/>
        <v>2014</v>
      </c>
      <c r="H349" s="57">
        <f t="shared" si="1132"/>
        <v>2015</v>
      </c>
      <c r="I349" s="57">
        <f t="shared" si="1132"/>
        <v>2016</v>
      </c>
      <c r="J349" s="57">
        <f t="shared" si="1132"/>
        <v>2017</v>
      </c>
      <c r="K349" s="57" t="str">
        <f t="shared" si="1132"/>
        <v>2018E</v>
      </c>
      <c r="L349" s="57" t="str">
        <f t="shared" si="1132"/>
        <v>2019E</v>
      </c>
      <c r="M349" s="57" t="str">
        <f t="shared" si="1132"/>
        <v>2020E</v>
      </c>
      <c r="O349" s="57" t="str">
        <f t="shared" si="1132"/>
        <v>1Q10</v>
      </c>
      <c r="P349" s="57" t="str">
        <f t="shared" si="1132"/>
        <v>2Q10</v>
      </c>
      <c r="Q349" s="57" t="str">
        <f t="shared" si="1132"/>
        <v>3Q10</v>
      </c>
      <c r="R349" s="57" t="str">
        <f t="shared" si="1132"/>
        <v>4Q10</v>
      </c>
      <c r="S349" s="57" t="str">
        <f t="shared" si="1132"/>
        <v>1Q11</v>
      </c>
      <c r="T349" s="57" t="str">
        <f t="shared" si="1132"/>
        <v>2Q11</v>
      </c>
      <c r="U349" s="57" t="str">
        <f t="shared" si="1132"/>
        <v>3Q11</v>
      </c>
      <c r="V349" s="57" t="str">
        <f t="shared" si="1132"/>
        <v>4Q11</v>
      </c>
      <c r="W349" s="57" t="str">
        <f t="shared" si="1132"/>
        <v>1Q12</v>
      </c>
      <c r="X349" s="57" t="str">
        <f t="shared" si="1132"/>
        <v>2Q12</v>
      </c>
      <c r="Y349" s="57" t="str">
        <f t="shared" si="1132"/>
        <v>3Q12</v>
      </c>
      <c r="Z349" s="57" t="str">
        <f t="shared" si="1132"/>
        <v>4Q12</v>
      </c>
      <c r="AA349" s="57" t="str">
        <f t="shared" si="1132"/>
        <v>1Q13</v>
      </c>
      <c r="AB349" s="57" t="str">
        <f t="shared" si="1132"/>
        <v>2Q13</v>
      </c>
      <c r="AC349" s="57" t="str">
        <f t="shared" si="1132"/>
        <v>3Q13</v>
      </c>
      <c r="AD349" s="57" t="str">
        <f t="shared" si="1132"/>
        <v>4Q13</v>
      </c>
      <c r="AE349" s="57" t="str">
        <f t="shared" si="1132"/>
        <v>1Q14</v>
      </c>
      <c r="AF349" s="57" t="str">
        <f t="shared" si="1132"/>
        <v>2Q14</v>
      </c>
      <c r="AG349" s="57" t="str">
        <f t="shared" si="1132"/>
        <v>3Q14</v>
      </c>
      <c r="AH349" s="57" t="str">
        <f t="shared" si="1132"/>
        <v>4Q14</v>
      </c>
      <c r="AI349" s="57" t="str">
        <f t="shared" si="1132"/>
        <v>1Q15</v>
      </c>
      <c r="AJ349" s="57" t="str">
        <f t="shared" si="1132"/>
        <v>2Q15</v>
      </c>
      <c r="AK349" s="57" t="str">
        <f t="shared" si="1132"/>
        <v>3Q15</v>
      </c>
      <c r="AL349" s="57" t="str">
        <f t="shared" si="1132"/>
        <v>4Q15</v>
      </c>
      <c r="AM349" s="57" t="str">
        <f t="shared" si="1132"/>
        <v>1Q16</v>
      </c>
      <c r="AN349" s="57" t="str">
        <f t="shared" si="1132"/>
        <v>2Q16</v>
      </c>
      <c r="AO349" s="57" t="str">
        <f t="shared" si="1132"/>
        <v>3Q16</v>
      </c>
      <c r="AP349" s="57" t="str">
        <f t="shared" si="1132"/>
        <v>4Q16</v>
      </c>
      <c r="AQ349" s="57" t="str">
        <f t="shared" si="1132"/>
        <v>1Q17</v>
      </c>
      <c r="AR349" s="57" t="str">
        <f t="shared" si="1132"/>
        <v>2Q17</v>
      </c>
      <c r="AS349" s="57" t="str">
        <f t="shared" si="1132"/>
        <v>3Q17</v>
      </c>
      <c r="AT349" s="57" t="str">
        <f t="shared" si="1132"/>
        <v>4Q17</v>
      </c>
      <c r="AU349" s="57" t="str">
        <f t="shared" si="1132"/>
        <v>1Q18E</v>
      </c>
      <c r="AV349" s="57" t="str">
        <f t="shared" si="1132"/>
        <v>2Q18E</v>
      </c>
      <c r="AW349" s="57" t="str">
        <f t="shared" si="1132"/>
        <v>3Q18E</v>
      </c>
      <c r="AX349" s="57" t="str">
        <f t="shared" si="1132"/>
        <v>4Q18E</v>
      </c>
      <c r="AY349" s="57" t="str">
        <f t="shared" si="1132"/>
        <v>1Q19E</v>
      </c>
      <c r="AZ349" s="57" t="str">
        <f t="shared" si="1132"/>
        <v>2Q19E</v>
      </c>
      <c r="BA349" s="57" t="str">
        <f t="shared" si="1132"/>
        <v>3Q19E</v>
      </c>
      <c r="BB349" s="57" t="str">
        <f t="shared" si="1132"/>
        <v>4Q19E</v>
      </c>
      <c r="BC349" s="57" t="str">
        <f t="shared" si="1132"/>
        <v>1Q20E</v>
      </c>
      <c r="BD349" s="57" t="str">
        <f t="shared" si="1132"/>
        <v>2Q20E</v>
      </c>
      <c r="BE349" s="57" t="str">
        <f t="shared" si="1132"/>
        <v>3Q20E</v>
      </c>
      <c r="BF349" s="57" t="str">
        <f t="shared" si="1132"/>
        <v>4Q20E</v>
      </c>
      <c r="BJ349" s="116">
        <f t="shared" si="1107"/>
        <v>340</v>
      </c>
    </row>
    <row r="350" spans="1:62" outlineLevel="1">
      <c r="B350" s="11" t="s">
        <v>335</v>
      </c>
      <c r="BJ350" s="116">
        <f t="shared" si="1107"/>
        <v>341</v>
      </c>
    </row>
    <row r="351" spans="1:62" outlineLevel="1">
      <c r="B351" s="10" t="s">
        <v>113</v>
      </c>
      <c r="C351" s="50">
        <f>INDEX($O351:$BG351,1,MATCH(C$4,$O$4:$BG$4,0))</f>
        <v>641.702</v>
      </c>
      <c r="D351" s="50">
        <f t="shared" ref="D351:M362" si="1133">INDEX($O351:$BG351,1,MATCH(D$4,$O$4:$BG$4,0))</f>
        <v>398.57499999999999</v>
      </c>
      <c r="E351" s="50">
        <f t="shared" si="1133"/>
        <v>524.92200000000003</v>
      </c>
      <c r="F351" s="50">
        <f t="shared" si="1133"/>
        <v>389.91500000000002</v>
      </c>
      <c r="G351" s="50">
        <f t="shared" si="1133"/>
        <v>501.149</v>
      </c>
      <c r="H351" s="50">
        <f t="shared" si="1133"/>
        <v>254.53</v>
      </c>
      <c r="I351" s="50">
        <f t="shared" si="1133"/>
        <v>264.09300000000002</v>
      </c>
      <c r="J351" s="50">
        <f t="shared" si="1133"/>
        <v>336.99700000000001</v>
      </c>
      <c r="K351" s="50">
        <f t="shared" si="1133"/>
        <v>171.63100000000162</v>
      </c>
      <c r="L351" s="50">
        <f t="shared" si="1133"/>
        <v>228.39793380573437</v>
      </c>
      <c r="M351" s="50">
        <f t="shared" si="1133"/>
        <v>171.63100000000321</v>
      </c>
      <c r="O351" s="51">
        <v>902.60900000000004</v>
      </c>
      <c r="P351" s="51">
        <v>747.59299999999996</v>
      </c>
      <c r="Q351" s="51">
        <v>639.68299999999999</v>
      </c>
      <c r="R351" s="51">
        <v>641.702</v>
      </c>
      <c r="S351" s="51">
        <v>569.73599999999999</v>
      </c>
      <c r="T351" s="51">
        <v>528.822</v>
      </c>
      <c r="U351" s="51">
        <v>275.46100000000001</v>
      </c>
      <c r="V351" s="51">
        <v>398.57499999999999</v>
      </c>
      <c r="W351" s="51">
        <v>354.02199999999999</v>
      </c>
      <c r="X351" s="51">
        <v>320.39800000000002</v>
      </c>
      <c r="Y351" s="51">
        <v>471.56200000000001</v>
      </c>
      <c r="Z351" s="51">
        <v>524.92200000000003</v>
      </c>
      <c r="AA351" s="51">
        <v>564.88800000000003</v>
      </c>
      <c r="AB351" s="51">
        <v>508.12799999999999</v>
      </c>
      <c r="AC351" s="51">
        <v>395.923</v>
      </c>
      <c r="AD351" s="51">
        <v>389.91500000000002</v>
      </c>
      <c r="AE351" s="51">
        <v>326.88099999999997</v>
      </c>
      <c r="AF351" s="51">
        <v>410.95800000000003</v>
      </c>
      <c r="AG351" s="51">
        <v>404.45299999999997</v>
      </c>
      <c r="AH351" s="51">
        <v>501.149</v>
      </c>
      <c r="AI351" s="51">
        <v>586.00099999999998</v>
      </c>
      <c r="AJ351" s="51">
        <v>436.67500000000001</v>
      </c>
      <c r="AK351" s="51">
        <v>251.36600000000001</v>
      </c>
      <c r="AL351" s="51">
        <v>254.53</v>
      </c>
      <c r="AM351" s="51">
        <v>200.67400000000001</v>
      </c>
      <c r="AN351" s="51">
        <v>233.75200000000001</v>
      </c>
      <c r="AO351" s="51">
        <v>177.04300000000001</v>
      </c>
      <c r="AP351" s="51">
        <v>264.09300000000002</v>
      </c>
      <c r="AQ351" s="51">
        <v>200.68799999999999</v>
      </c>
      <c r="AR351" s="51">
        <v>196.56700000000001</v>
      </c>
      <c r="AS351" s="51">
        <v>190.55600000000001</v>
      </c>
      <c r="AT351" s="51">
        <v>336.99700000000001</v>
      </c>
      <c r="AU351" s="50">
        <f t="shared" ref="AU351:BF351" si="1134">+AT351+AU346</f>
        <v>171.63099999999957</v>
      </c>
      <c r="AV351" s="50">
        <f t="shared" si="1134"/>
        <v>171.63099999999974</v>
      </c>
      <c r="AW351" s="50">
        <f t="shared" si="1134"/>
        <v>171.63100000000117</v>
      </c>
      <c r="AX351" s="50">
        <f t="shared" si="1134"/>
        <v>171.63100000000162</v>
      </c>
      <c r="AY351" s="50">
        <f t="shared" si="1134"/>
        <v>171.6310000000002</v>
      </c>
      <c r="AZ351" s="50">
        <f t="shared" si="1134"/>
        <v>171.63100000000065</v>
      </c>
      <c r="BA351" s="50">
        <f t="shared" si="1134"/>
        <v>171.63100000000108</v>
      </c>
      <c r="BB351" s="50">
        <f t="shared" si="1134"/>
        <v>228.39793380573437</v>
      </c>
      <c r="BC351" s="50">
        <f t="shared" si="1134"/>
        <v>341.2734243923058</v>
      </c>
      <c r="BD351" s="50">
        <f t="shared" si="1134"/>
        <v>461.03929289612404</v>
      </c>
      <c r="BE351" s="50">
        <f t="shared" si="1134"/>
        <v>171.63100000000196</v>
      </c>
      <c r="BF351" s="50">
        <f t="shared" si="1134"/>
        <v>171.63100000000321</v>
      </c>
      <c r="BJ351" s="116">
        <f t="shared" si="1107"/>
        <v>342</v>
      </c>
    </row>
    <row r="352" spans="1:62" outlineLevel="1">
      <c r="B352" s="10" t="s">
        <v>114</v>
      </c>
      <c r="C352" s="50">
        <f t="shared" ref="C352:C356" si="1135">INDEX($O352:$BG352,1,MATCH(C$4,$O$4:$BG$4,0))</f>
        <v>159.488</v>
      </c>
      <c r="D352" s="50">
        <f t="shared" si="1133"/>
        <v>140.91399999999999</v>
      </c>
      <c r="E352" s="50">
        <f t="shared" si="1133"/>
        <v>253.28200000000001</v>
      </c>
      <c r="F352" s="50">
        <f t="shared" si="1133"/>
        <v>117.218</v>
      </c>
      <c r="G352" s="50">
        <f t="shared" si="1133"/>
        <v>35.020000000000003</v>
      </c>
      <c r="H352" s="50">
        <f t="shared" si="1133"/>
        <v>20.059000000000001</v>
      </c>
      <c r="I352" s="50">
        <f t="shared" si="1133"/>
        <v>31.109000000000002</v>
      </c>
      <c r="J352" s="50">
        <f t="shared" si="1133"/>
        <v>28.369</v>
      </c>
      <c r="K352" s="50">
        <f t="shared" si="1133"/>
        <v>28.369</v>
      </c>
      <c r="L352" s="50">
        <f t="shared" si="1133"/>
        <v>28.369</v>
      </c>
      <c r="M352" s="50">
        <f t="shared" si="1133"/>
        <v>28.369</v>
      </c>
      <c r="O352" s="51">
        <v>158.405</v>
      </c>
      <c r="P352" s="51">
        <v>145.28299999999999</v>
      </c>
      <c r="Q352" s="51">
        <v>132.786</v>
      </c>
      <c r="R352" s="51">
        <v>159.488</v>
      </c>
      <c r="S352" s="51">
        <v>160.571</v>
      </c>
      <c r="T352" s="51">
        <v>144.22</v>
      </c>
      <c r="U352" s="51">
        <v>119.85899999999999</v>
      </c>
      <c r="V352" s="51">
        <v>140.91399999999999</v>
      </c>
      <c r="W352" s="51">
        <v>139.94999999999999</v>
      </c>
      <c r="X352" s="51">
        <v>134.78399999999999</v>
      </c>
      <c r="Y352" s="51">
        <v>148.001</v>
      </c>
      <c r="Z352" s="51">
        <v>253.28200000000001</v>
      </c>
      <c r="AA352" s="51">
        <v>125.592</v>
      </c>
      <c r="AB352" s="51">
        <v>99.831999999999994</v>
      </c>
      <c r="AC352" s="51">
        <v>96.015000000000001</v>
      </c>
      <c r="AD352" s="51">
        <v>117.218</v>
      </c>
      <c r="AE352" s="51">
        <v>97.885999999999996</v>
      </c>
      <c r="AF352" s="51">
        <v>75.385999999999996</v>
      </c>
      <c r="AG352" s="51">
        <v>60.365000000000002</v>
      </c>
      <c r="AH352" s="51">
        <v>35.020000000000003</v>
      </c>
      <c r="AI352" s="51">
        <v>35.17</v>
      </c>
      <c r="AJ352" s="51">
        <v>33.222000000000001</v>
      </c>
      <c r="AK352" s="51">
        <v>25.196000000000002</v>
      </c>
      <c r="AL352" s="51">
        <v>20.059000000000001</v>
      </c>
      <c r="AM352" s="51">
        <v>20.827000000000002</v>
      </c>
      <c r="AN352" s="51">
        <v>22.103999999999999</v>
      </c>
      <c r="AO352" s="51">
        <v>23.606999999999999</v>
      </c>
      <c r="AP352" s="51">
        <v>31.109000000000002</v>
      </c>
      <c r="AQ352" s="51">
        <v>27.907</v>
      </c>
      <c r="AR352" s="51">
        <v>35.475999999999999</v>
      </c>
      <c r="AS352" s="51">
        <v>29.77</v>
      </c>
      <c r="AT352" s="51">
        <v>28.369</v>
      </c>
      <c r="AU352" s="51">
        <f t="shared" ref="AU352:BF352" si="1136">AT352</f>
        <v>28.369</v>
      </c>
      <c r="AV352" s="51">
        <f t="shared" si="1136"/>
        <v>28.369</v>
      </c>
      <c r="AW352" s="51">
        <f t="shared" si="1136"/>
        <v>28.369</v>
      </c>
      <c r="AX352" s="51">
        <f t="shared" si="1136"/>
        <v>28.369</v>
      </c>
      <c r="AY352" s="51">
        <f t="shared" si="1136"/>
        <v>28.369</v>
      </c>
      <c r="AZ352" s="51">
        <f t="shared" si="1136"/>
        <v>28.369</v>
      </c>
      <c r="BA352" s="51">
        <f t="shared" si="1136"/>
        <v>28.369</v>
      </c>
      <c r="BB352" s="51">
        <f t="shared" si="1136"/>
        <v>28.369</v>
      </c>
      <c r="BC352" s="51">
        <f t="shared" si="1136"/>
        <v>28.369</v>
      </c>
      <c r="BD352" s="51">
        <f t="shared" si="1136"/>
        <v>28.369</v>
      </c>
      <c r="BE352" s="51">
        <f t="shared" si="1136"/>
        <v>28.369</v>
      </c>
      <c r="BF352" s="51">
        <f t="shared" si="1136"/>
        <v>28.369</v>
      </c>
      <c r="BJ352" s="116">
        <f t="shared" si="1107"/>
        <v>343</v>
      </c>
    </row>
    <row r="353" spans="1:62" outlineLevel="1">
      <c r="B353" s="10" t="s">
        <v>115</v>
      </c>
      <c r="C353" s="50">
        <f t="shared" si="1135"/>
        <v>1116.51</v>
      </c>
      <c r="D353" s="50">
        <f t="shared" si="1133"/>
        <v>1576.5550000000001</v>
      </c>
      <c r="E353" s="50">
        <f t="shared" si="1133"/>
        <v>1382.623</v>
      </c>
      <c r="F353" s="50">
        <f t="shared" si="1133"/>
        <v>1399.5429999999999</v>
      </c>
      <c r="G353" s="50">
        <f t="shared" si="1133"/>
        <v>1517.5029999999999</v>
      </c>
      <c r="H353" s="50">
        <f t="shared" si="1133"/>
        <v>784.67100000000005</v>
      </c>
      <c r="I353" s="50">
        <f t="shared" si="1133"/>
        <v>508.35500000000002</v>
      </c>
      <c r="J353" s="50">
        <f t="shared" si="1133"/>
        <v>698.47699999999998</v>
      </c>
      <c r="K353" s="50">
        <f t="shared" si="1133"/>
        <v>761.93343509780925</v>
      </c>
      <c r="L353" s="50">
        <f t="shared" si="1133"/>
        <v>888.99474592998263</v>
      </c>
      <c r="M353" s="50">
        <f t="shared" si="1133"/>
        <v>904.14508889618264</v>
      </c>
      <c r="O353" s="51">
        <v>735.43200000000002</v>
      </c>
      <c r="P353" s="51">
        <v>762.58900000000006</v>
      </c>
      <c r="Q353" s="51">
        <v>1002.974</v>
      </c>
      <c r="R353" s="51">
        <v>1116.51</v>
      </c>
      <c r="S353" s="51">
        <v>1242.954</v>
      </c>
      <c r="T353" s="51">
        <v>1191.182</v>
      </c>
      <c r="U353" s="51">
        <v>1397.7249999999999</v>
      </c>
      <c r="V353" s="51">
        <v>1576.5550000000001</v>
      </c>
      <c r="W353" s="51">
        <v>1717.375</v>
      </c>
      <c r="X353" s="51">
        <v>1607.422</v>
      </c>
      <c r="Y353" s="51">
        <v>1529.232</v>
      </c>
      <c r="Z353" s="51">
        <v>1382.623</v>
      </c>
      <c r="AA353" s="51">
        <v>1434.53</v>
      </c>
      <c r="AB353" s="51">
        <v>1342.386</v>
      </c>
      <c r="AC353" s="51">
        <v>1362.434</v>
      </c>
      <c r="AD353" s="51">
        <v>1399.5429999999999</v>
      </c>
      <c r="AE353" s="51">
        <v>1454.3679999999999</v>
      </c>
      <c r="AF353" s="51">
        <v>1448.511</v>
      </c>
      <c r="AG353" s="51">
        <v>1624.441</v>
      </c>
      <c r="AH353" s="51">
        <v>1517.5029999999999</v>
      </c>
      <c r="AI353" s="51">
        <v>971.601</v>
      </c>
      <c r="AJ353" s="51">
        <v>908.56299999999999</v>
      </c>
      <c r="AK353" s="51">
        <v>871.38499999999999</v>
      </c>
      <c r="AL353" s="51">
        <v>784.67100000000005</v>
      </c>
      <c r="AM353" s="51">
        <v>594.50599999999997</v>
      </c>
      <c r="AN353" s="51">
        <v>504.09899999999999</v>
      </c>
      <c r="AO353" s="51">
        <v>503.96600000000001</v>
      </c>
      <c r="AP353" s="51">
        <v>508.35500000000002</v>
      </c>
      <c r="AQ353" s="51">
        <v>514.44600000000003</v>
      </c>
      <c r="AR353" s="51">
        <v>582.78700000000003</v>
      </c>
      <c r="AS353" s="51">
        <v>621.64</v>
      </c>
      <c r="AT353" s="51">
        <v>698.47699999999998</v>
      </c>
      <c r="AU353" s="95">
        <f t="shared" ref="AU353:BF353" si="1137">AU406*(AU20/AU6)</f>
        <v>672.03667769859771</v>
      </c>
      <c r="AV353" s="95">
        <f t="shared" si="1137"/>
        <v>690.45017809541514</v>
      </c>
      <c r="AW353" s="95">
        <f t="shared" si="1137"/>
        <v>732.46604591242487</v>
      </c>
      <c r="AX353" s="95">
        <f t="shared" si="1137"/>
        <v>761.93343509780925</v>
      </c>
      <c r="AY353" s="95">
        <f t="shared" si="1137"/>
        <v>803.88306118279172</v>
      </c>
      <c r="AZ353" s="95">
        <f t="shared" si="1137"/>
        <v>811.98323121304225</v>
      </c>
      <c r="BA353" s="95">
        <f t="shared" si="1137"/>
        <v>861.95597615841064</v>
      </c>
      <c r="BB353" s="95">
        <f t="shared" si="1137"/>
        <v>888.99474592998263</v>
      </c>
      <c r="BC353" s="95">
        <f t="shared" si="1137"/>
        <v>882.83797635309134</v>
      </c>
      <c r="BD353" s="95">
        <f t="shared" si="1137"/>
        <v>870.95307229552918</v>
      </c>
      <c r="BE353" s="95">
        <f t="shared" si="1137"/>
        <v>896.39139504114951</v>
      </c>
      <c r="BF353" s="95">
        <f t="shared" si="1137"/>
        <v>904.14508889618264</v>
      </c>
      <c r="BJ353" s="116">
        <f t="shared" si="1107"/>
        <v>344</v>
      </c>
    </row>
    <row r="354" spans="1:62" outlineLevel="1">
      <c r="B354" s="10" t="s">
        <v>116</v>
      </c>
      <c r="C354" s="50">
        <f t="shared" si="1135"/>
        <v>158.83600000000001</v>
      </c>
      <c r="D354" s="50">
        <f t="shared" si="1133"/>
        <v>272.85199999999998</v>
      </c>
      <c r="E354" s="50">
        <f t="shared" si="1133"/>
        <v>251.13300000000001</v>
      </c>
      <c r="F354" s="50">
        <f t="shared" si="1133"/>
        <v>209.79300000000001</v>
      </c>
      <c r="G354" s="50">
        <f t="shared" si="1133"/>
        <v>230.06700000000001</v>
      </c>
      <c r="H354" s="50">
        <f t="shared" si="1133"/>
        <v>153.82400000000001</v>
      </c>
      <c r="I354" s="50">
        <f t="shared" si="1133"/>
        <v>103.595</v>
      </c>
      <c r="J354" s="50">
        <f t="shared" si="1133"/>
        <v>166.30699999999999</v>
      </c>
      <c r="K354" s="50">
        <f t="shared" si="1133"/>
        <v>151.4453086978929</v>
      </c>
      <c r="L354" s="50">
        <f t="shared" si="1133"/>
        <v>172.7771044728859</v>
      </c>
      <c r="M354" s="50">
        <f t="shared" si="1133"/>
        <v>171.81166223486011</v>
      </c>
      <c r="O354" s="51">
        <v>99.828000000000003</v>
      </c>
      <c r="P354" s="51">
        <v>107.54900000000001</v>
      </c>
      <c r="Q354" s="51">
        <v>142.97300000000001</v>
      </c>
      <c r="R354" s="51">
        <v>158.83600000000001</v>
      </c>
      <c r="S354" s="51">
        <v>195.23</v>
      </c>
      <c r="T354" s="51">
        <v>199.899</v>
      </c>
      <c r="U354" s="51">
        <v>233.298</v>
      </c>
      <c r="V354" s="51">
        <v>272.85199999999998</v>
      </c>
      <c r="W354" s="51">
        <v>265.78699999999998</v>
      </c>
      <c r="X354" s="51">
        <v>259.94299999999998</v>
      </c>
      <c r="Y354" s="51">
        <v>257.15800000000002</v>
      </c>
      <c r="Z354" s="51">
        <v>251.13300000000001</v>
      </c>
      <c r="AA354" s="51">
        <v>245.495</v>
      </c>
      <c r="AB354" s="51">
        <v>235.042</v>
      </c>
      <c r="AC354" s="51">
        <v>229.494</v>
      </c>
      <c r="AD354" s="51">
        <v>209.79300000000001</v>
      </c>
      <c r="AE354" s="51">
        <v>194.37100000000001</v>
      </c>
      <c r="AF354" s="51">
        <v>216.44399999999999</v>
      </c>
      <c r="AG354" s="51">
        <v>242.876</v>
      </c>
      <c r="AH354" s="51">
        <v>230.06700000000001</v>
      </c>
      <c r="AI354" s="51">
        <v>190.423</v>
      </c>
      <c r="AJ354" s="51">
        <v>183.77500000000001</v>
      </c>
      <c r="AK354" s="51">
        <v>177.221</v>
      </c>
      <c r="AL354" s="51">
        <v>153.82400000000001</v>
      </c>
      <c r="AM354" s="51">
        <v>153.83699999999999</v>
      </c>
      <c r="AN354" s="51">
        <v>151.75299999999999</v>
      </c>
      <c r="AO354" s="51">
        <v>141.934</v>
      </c>
      <c r="AP354" s="51">
        <v>103.595</v>
      </c>
      <c r="AQ354" s="51">
        <v>109.461</v>
      </c>
      <c r="AR354" s="51">
        <v>108.14100000000001</v>
      </c>
      <c r="AS354" s="51">
        <v>119.05</v>
      </c>
      <c r="AT354" s="51">
        <v>166.30699999999999</v>
      </c>
      <c r="AU354" s="95">
        <f t="shared" ref="AU354:BF354" si="1138">+AU408*-AU127/AU6</f>
        <v>140.19737285637152</v>
      </c>
      <c r="AV354" s="95">
        <f t="shared" si="1138"/>
        <v>140.92173048229392</v>
      </c>
      <c r="AW354" s="95">
        <f t="shared" si="1138"/>
        <v>147.45686347725641</v>
      </c>
      <c r="AX354" s="95">
        <f t="shared" si="1138"/>
        <v>151.4453086978929</v>
      </c>
      <c r="AY354" s="95">
        <f t="shared" si="1138"/>
        <v>158.64322043361616</v>
      </c>
      <c r="AZ354" s="95">
        <f t="shared" si="1138"/>
        <v>158.33667262005147</v>
      </c>
      <c r="BA354" s="95">
        <f t="shared" si="1138"/>
        <v>167.57883665501274</v>
      </c>
      <c r="BB354" s="95">
        <f t="shared" si="1138"/>
        <v>172.7771044728859</v>
      </c>
      <c r="BC354" s="95">
        <f t="shared" si="1138"/>
        <v>167.52877736172448</v>
      </c>
      <c r="BD354" s="95">
        <f t="shared" si="1138"/>
        <v>164.73696875756255</v>
      </c>
      <c r="BE354" s="95">
        <f t="shared" si="1138"/>
        <v>170.07085459935672</v>
      </c>
      <c r="BF354" s="95">
        <f t="shared" si="1138"/>
        <v>171.81166223486011</v>
      </c>
      <c r="BJ354" s="116">
        <f t="shared" si="1107"/>
        <v>345</v>
      </c>
    </row>
    <row r="355" spans="1:62" outlineLevel="1">
      <c r="B355" s="10" t="s">
        <v>117</v>
      </c>
      <c r="C355" s="50">
        <f t="shared" si="1135"/>
        <v>31.51</v>
      </c>
      <c r="D355" s="50">
        <f t="shared" si="1133"/>
        <v>127.874</v>
      </c>
      <c r="E355" s="50">
        <f t="shared" si="1133"/>
        <v>110.48</v>
      </c>
      <c r="F355" s="50">
        <f t="shared" si="1133"/>
        <v>121.316</v>
      </c>
      <c r="G355" s="50">
        <f t="shared" si="1133"/>
        <v>118.23</v>
      </c>
      <c r="H355" s="50">
        <f t="shared" si="1133"/>
        <v>0</v>
      </c>
      <c r="I355" s="50">
        <f t="shared" si="1133"/>
        <v>0</v>
      </c>
      <c r="J355" s="50">
        <f t="shared" si="1133"/>
        <v>0</v>
      </c>
      <c r="K355" s="50">
        <f t="shared" si="1133"/>
        <v>49.589060156221471</v>
      </c>
      <c r="L355" s="50">
        <f t="shared" si="1133"/>
        <v>52.57200067424462</v>
      </c>
      <c r="M355" s="50">
        <f t="shared" si="1133"/>
        <v>52.57200067424462</v>
      </c>
      <c r="O355" s="51">
        <v>126.39400000000001</v>
      </c>
      <c r="P355" s="51">
        <v>128.55500000000001</v>
      </c>
      <c r="Q355" s="51">
        <v>29.324999999999999</v>
      </c>
      <c r="R355" s="51">
        <v>31.51</v>
      </c>
      <c r="S355" s="51">
        <v>21.213999999999999</v>
      </c>
      <c r="T355" s="51">
        <v>38.808999999999997</v>
      </c>
      <c r="U355" s="51">
        <v>83.388000000000005</v>
      </c>
      <c r="V355" s="51">
        <v>127.874</v>
      </c>
      <c r="W355" s="51">
        <v>45.037999999999997</v>
      </c>
      <c r="X355" s="51">
        <v>70.287999999999997</v>
      </c>
      <c r="Y355" s="51">
        <v>111.673</v>
      </c>
      <c r="Z355" s="51">
        <v>110.48</v>
      </c>
      <c r="AA355" s="51">
        <v>92.31</v>
      </c>
      <c r="AB355" s="51">
        <v>103.779</v>
      </c>
      <c r="AC355" s="51">
        <v>239.17099999999999</v>
      </c>
      <c r="AD355" s="51">
        <v>121.316</v>
      </c>
      <c r="AE355" s="51">
        <v>133.667</v>
      </c>
      <c r="AF355" s="51">
        <v>87.353999999999999</v>
      </c>
      <c r="AG355" s="51">
        <v>91.837000000000003</v>
      </c>
      <c r="AH355" s="51">
        <v>118.23</v>
      </c>
      <c r="AI355" s="51">
        <v>91.05</v>
      </c>
      <c r="AJ355" s="51">
        <v>0</v>
      </c>
      <c r="AK355" s="51">
        <v>39.981000000000002</v>
      </c>
      <c r="AL355" s="51">
        <v>0</v>
      </c>
      <c r="AM355" s="51">
        <v>0</v>
      </c>
      <c r="AN355" s="51">
        <v>0</v>
      </c>
      <c r="AO355" s="51">
        <v>0</v>
      </c>
      <c r="AP355" s="51">
        <v>0</v>
      </c>
      <c r="AQ355" s="51">
        <v>0</v>
      </c>
      <c r="AR355" s="51">
        <f t="shared" ref="AR355:AS355" si="1139">+(280.931+78.407)*AQ355/SUM(AQ$354:AQ$356)</f>
        <v>0</v>
      </c>
      <c r="AS355" s="51">
        <f t="shared" si="1139"/>
        <v>0</v>
      </c>
      <c r="AT355" s="51">
        <f t="shared" ref="AT355" si="1140">+(346.441+37.052)*AS355/SUM(AS$354:AS$356)</f>
        <v>0</v>
      </c>
      <c r="AU355" s="50">
        <f t="shared" ref="AU355:BF355" si="1141">+AT355+MAX(AU38,0)</f>
        <v>19.407247626962693</v>
      </c>
      <c r="AV355" s="50">
        <f t="shared" si="1141"/>
        <v>34.176741152386398</v>
      </c>
      <c r="AW355" s="50">
        <f t="shared" si="1141"/>
        <v>43.738559954387334</v>
      </c>
      <c r="AX355" s="50">
        <f t="shared" si="1141"/>
        <v>49.589060156221471</v>
      </c>
      <c r="AY355" s="50">
        <f t="shared" si="1141"/>
        <v>52.57200067424462</v>
      </c>
      <c r="AZ355" s="50">
        <f t="shared" si="1141"/>
        <v>52.57200067424462</v>
      </c>
      <c r="BA355" s="50">
        <f t="shared" si="1141"/>
        <v>52.57200067424462</v>
      </c>
      <c r="BB355" s="50">
        <f t="shared" si="1141"/>
        <v>52.57200067424462</v>
      </c>
      <c r="BC355" s="50">
        <f t="shared" si="1141"/>
        <v>52.57200067424462</v>
      </c>
      <c r="BD355" s="50">
        <f t="shared" si="1141"/>
        <v>52.57200067424462</v>
      </c>
      <c r="BE355" s="50">
        <f t="shared" si="1141"/>
        <v>52.57200067424462</v>
      </c>
      <c r="BF355" s="50">
        <f t="shared" si="1141"/>
        <v>52.57200067424462</v>
      </c>
      <c r="BJ355" s="116">
        <f t="shared" si="1107"/>
        <v>346</v>
      </c>
    </row>
    <row r="356" spans="1:62" outlineLevel="1">
      <c r="B356" s="12" t="s">
        <v>118</v>
      </c>
      <c r="C356" s="50">
        <f t="shared" si="1135"/>
        <v>504.88400000000001</v>
      </c>
      <c r="D356" s="50">
        <f t="shared" si="1133"/>
        <v>571.54399999999998</v>
      </c>
      <c r="E356" s="50">
        <f t="shared" si="1133"/>
        <v>610.41700000000003</v>
      </c>
      <c r="F356" s="50">
        <f t="shared" si="1133"/>
        <v>516.04500000000007</v>
      </c>
      <c r="G356" s="50">
        <f t="shared" si="1133"/>
        <v>339.90499999999997</v>
      </c>
      <c r="H356" s="50">
        <f t="shared" si="1133"/>
        <v>262.81299999999999</v>
      </c>
      <c r="I356" s="50">
        <f t="shared" si="1133"/>
        <v>248.68700000000001</v>
      </c>
      <c r="J356" s="50">
        <f t="shared" si="1133"/>
        <v>217.18599999999998</v>
      </c>
      <c r="K356" s="50">
        <f t="shared" si="1133"/>
        <v>217.18599999999998</v>
      </c>
      <c r="L356" s="50">
        <f t="shared" si="1133"/>
        <v>217.18599999999998</v>
      </c>
      <c r="M356" s="50">
        <f t="shared" si="1133"/>
        <v>217.18599999999998</v>
      </c>
      <c r="O356" s="51">
        <v>132.03299999999999</v>
      </c>
      <c r="P356" s="51">
        <v>133.839</v>
      </c>
      <c r="Q356" s="51">
        <v>618.18299999999999</v>
      </c>
      <c r="R356" s="51">
        <v>504.88400000000001</v>
      </c>
      <c r="S356" s="51">
        <v>521.42499999999995</v>
      </c>
      <c r="T356" s="51">
        <v>450.00900000000001</v>
      </c>
      <c r="U356" s="51">
        <v>434.613</v>
      </c>
      <c r="V356" s="51">
        <v>571.54399999999998</v>
      </c>
      <c r="W356" s="51">
        <v>607.05200000000002</v>
      </c>
      <c r="X356" s="51">
        <v>582.33500000000004</v>
      </c>
      <c r="Y356" s="51">
        <v>616.02299999999991</v>
      </c>
      <c r="Z356" s="51">
        <v>610.41700000000003</v>
      </c>
      <c r="AA356" s="51">
        <v>655.88300000000004</v>
      </c>
      <c r="AB356" s="51">
        <v>603.66499999999996</v>
      </c>
      <c r="AC356" s="51">
        <v>633.41800000000001</v>
      </c>
      <c r="AD356" s="51">
        <v>516.04500000000007</v>
      </c>
      <c r="AE356" s="51">
        <v>484.09500000000003</v>
      </c>
      <c r="AF356" s="51">
        <v>571.98500000000001</v>
      </c>
      <c r="AG356" s="51">
        <v>368.49900000000002</v>
      </c>
      <c r="AH356" s="51">
        <v>339.90499999999997</v>
      </c>
      <c r="AI356" s="51">
        <v>296.08699999999999</v>
      </c>
      <c r="AJ356" s="51">
        <v>406.91999999999996</v>
      </c>
      <c r="AK356" s="51">
        <v>353.92600000000004</v>
      </c>
      <c r="AL356" s="51">
        <v>262.81299999999999</v>
      </c>
      <c r="AM356" s="51">
        <v>289.54300000000001</v>
      </c>
      <c r="AN356" s="51">
        <v>279.53499999999997</v>
      </c>
      <c r="AO356" s="51">
        <v>225.53</v>
      </c>
      <c r="AP356" s="51">
        <v>248.68700000000001</v>
      </c>
      <c r="AQ356" s="51">
        <v>270.154</v>
      </c>
      <c r="AR356" s="51">
        <f>78.407+172.79</f>
        <v>251.197</v>
      </c>
      <c r="AS356" s="51">
        <f>37.275+176.63</f>
        <v>213.905</v>
      </c>
      <c r="AT356" s="51">
        <f>37.052+180.134</f>
        <v>217.18599999999998</v>
      </c>
      <c r="AU356" s="51">
        <f t="shared" ref="AU356:BF356" si="1142">AT356</f>
        <v>217.18599999999998</v>
      </c>
      <c r="AV356" s="51">
        <f t="shared" si="1142"/>
        <v>217.18599999999998</v>
      </c>
      <c r="AW356" s="51">
        <f t="shared" si="1142"/>
        <v>217.18599999999998</v>
      </c>
      <c r="AX356" s="51">
        <f t="shared" si="1142"/>
        <v>217.18599999999998</v>
      </c>
      <c r="AY356" s="51">
        <f t="shared" si="1142"/>
        <v>217.18599999999998</v>
      </c>
      <c r="AZ356" s="51">
        <f t="shared" si="1142"/>
        <v>217.18599999999998</v>
      </c>
      <c r="BA356" s="51">
        <f t="shared" si="1142"/>
        <v>217.18599999999998</v>
      </c>
      <c r="BB356" s="51">
        <f t="shared" si="1142"/>
        <v>217.18599999999998</v>
      </c>
      <c r="BC356" s="51">
        <f t="shared" si="1142"/>
        <v>217.18599999999998</v>
      </c>
      <c r="BD356" s="51">
        <f t="shared" si="1142"/>
        <v>217.18599999999998</v>
      </c>
      <c r="BE356" s="51">
        <f t="shared" si="1142"/>
        <v>217.18599999999998</v>
      </c>
      <c r="BF356" s="51">
        <f t="shared" si="1142"/>
        <v>217.18599999999998</v>
      </c>
      <c r="BJ356" s="116">
        <f t="shared" si="1107"/>
        <v>347</v>
      </c>
    </row>
    <row r="357" spans="1:62" outlineLevel="1">
      <c r="B357" s="84" t="s">
        <v>119</v>
      </c>
      <c r="C357" s="63">
        <f t="shared" ref="C357:M357" si="1143">SUM(C351:C356)</f>
        <v>2612.9300000000003</v>
      </c>
      <c r="D357" s="63">
        <f t="shared" si="1143"/>
        <v>3088.3139999999994</v>
      </c>
      <c r="E357" s="63">
        <f t="shared" si="1143"/>
        <v>3132.857</v>
      </c>
      <c r="F357" s="63">
        <f t="shared" si="1143"/>
        <v>2753.83</v>
      </c>
      <c r="G357" s="63">
        <f t="shared" si="1143"/>
        <v>2741.8739999999998</v>
      </c>
      <c r="H357" s="63">
        <f t="shared" si="1143"/>
        <v>1475.8969999999999</v>
      </c>
      <c r="I357" s="63">
        <f t="shared" si="1143"/>
        <v>1155.8389999999999</v>
      </c>
      <c r="J357" s="63">
        <f t="shared" si="1143"/>
        <v>1447.3359999999998</v>
      </c>
      <c r="K357" s="63">
        <f t="shared" si="1143"/>
        <v>1380.1538039519251</v>
      </c>
      <c r="L357" s="63">
        <f t="shared" si="1143"/>
        <v>1588.2967848828475</v>
      </c>
      <c r="M357" s="63">
        <f t="shared" si="1143"/>
        <v>1545.7147518052905</v>
      </c>
      <c r="N357" s="273"/>
      <c r="O357" s="63">
        <f>SUM(O351:O356)</f>
        <v>2154.701</v>
      </c>
      <c r="P357" s="63">
        <f t="shared" ref="P357:AQ357" si="1144">SUM(P351:P356)</f>
        <v>2025.4080000000001</v>
      </c>
      <c r="Q357" s="63">
        <f t="shared" si="1144"/>
        <v>2565.924</v>
      </c>
      <c r="R357" s="63">
        <f t="shared" si="1144"/>
        <v>2612.9300000000003</v>
      </c>
      <c r="S357" s="63">
        <f t="shared" si="1144"/>
        <v>2711.13</v>
      </c>
      <c r="T357" s="63">
        <f t="shared" si="1144"/>
        <v>2552.9410000000003</v>
      </c>
      <c r="U357" s="63">
        <f t="shared" si="1144"/>
        <v>2544.3439999999996</v>
      </c>
      <c r="V357" s="63">
        <f t="shared" si="1144"/>
        <v>3088.3139999999994</v>
      </c>
      <c r="W357" s="63">
        <f t="shared" si="1144"/>
        <v>3129.2239999999997</v>
      </c>
      <c r="X357" s="63">
        <f t="shared" si="1144"/>
        <v>2975.1700000000005</v>
      </c>
      <c r="Y357" s="63">
        <f t="shared" si="1144"/>
        <v>3133.6490000000003</v>
      </c>
      <c r="Z357" s="63">
        <f t="shared" si="1144"/>
        <v>3132.857</v>
      </c>
      <c r="AA357" s="63">
        <f t="shared" si="1144"/>
        <v>3118.6980000000003</v>
      </c>
      <c r="AB357" s="63">
        <f t="shared" si="1144"/>
        <v>2892.8319999999999</v>
      </c>
      <c r="AC357" s="63">
        <f t="shared" si="1144"/>
        <v>2956.4549999999999</v>
      </c>
      <c r="AD357" s="63">
        <f t="shared" si="1144"/>
        <v>2753.83</v>
      </c>
      <c r="AE357" s="63">
        <f t="shared" si="1144"/>
        <v>2691.268</v>
      </c>
      <c r="AF357" s="63">
        <f t="shared" si="1144"/>
        <v>2810.6379999999999</v>
      </c>
      <c r="AG357" s="63">
        <f t="shared" si="1144"/>
        <v>2792.4710000000005</v>
      </c>
      <c r="AH357" s="63">
        <f t="shared" si="1144"/>
        <v>2741.8739999999998</v>
      </c>
      <c r="AI357" s="63">
        <f t="shared" si="1144"/>
        <v>2170.3319999999999</v>
      </c>
      <c r="AJ357" s="63">
        <f t="shared" si="1144"/>
        <v>1969.1550000000002</v>
      </c>
      <c r="AK357" s="63">
        <f t="shared" si="1144"/>
        <v>1719.0750000000003</v>
      </c>
      <c r="AL357" s="63">
        <f t="shared" si="1144"/>
        <v>1475.8969999999999</v>
      </c>
      <c r="AM357" s="63">
        <f t="shared" si="1144"/>
        <v>1259.3869999999999</v>
      </c>
      <c r="AN357" s="63">
        <f t="shared" si="1144"/>
        <v>1191.2429999999999</v>
      </c>
      <c r="AO357" s="63">
        <f t="shared" si="1144"/>
        <v>1072.08</v>
      </c>
      <c r="AP357" s="63">
        <f t="shared" si="1144"/>
        <v>1155.8389999999999</v>
      </c>
      <c r="AQ357" s="63">
        <f t="shared" si="1144"/>
        <v>1122.6559999999999</v>
      </c>
      <c r="AR357" s="63">
        <f t="shared" ref="AR357" si="1145">SUM(AR351:AR356)</f>
        <v>1174.1680000000001</v>
      </c>
      <c r="AS357" s="63">
        <f t="shared" ref="AS357" si="1146">SUM(AS351:AS356)</f>
        <v>1174.921</v>
      </c>
      <c r="AT357" s="63">
        <f t="shared" ref="AT357" si="1147">SUM(AT351:AT356)</f>
        <v>1447.3359999999998</v>
      </c>
      <c r="AU357" s="63">
        <f t="shared" ref="AU357" si="1148">SUM(AU351:AU356)</f>
        <v>1248.8272981819314</v>
      </c>
      <c r="AV357" s="63">
        <f t="shared" ref="AV357" si="1149">SUM(AV351:AV356)</f>
        <v>1282.7346497300953</v>
      </c>
      <c r="AW357" s="63">
        <f t="shared" ref="AW357" si="1150">SUM(AW351:AW356)</f>
        <v>1340.8474693440696</v>
      </c>
      <c r="AX357" s="63">
        <f t="shared" ref="AX357" si="1151">SUM(AX351:AX356)</f>
        <v>1380.1538039519251</v>
      </c>
      <c r="AY357" s="63">
        <f t="shared" ref="AY357" si="1152">SUM(AY351:AY356)</f>
        <v>1432.2842822906528</v>
      </c>
      <c r="AZ357" s="63">
        <f t="shared" ref="AZ357" si="1153">SUM(AZ351:AZ356)</f>
        <v>1440.0779045073391</v>
      </c>
      <c r="BA357" s="63">
        <f t="shared" ref="BA357" si="1154">SUM(BA351:BA356)</f>
        <v>1499.292813487669</v>
      </c>
      <c r="BB357" s="63">
        <f t="shared" ref="BB357" si="1155">SUM(BB351:BB356)</f>
        <v>1588.2967848828475</v>
      </c>
      <c r="BC357" s="63">
        <f t="shared" ref="BC357" si="1156">SUM(BC351:BC356)</f>
        <v>1689.7671787813663</v>
      </c>
      <c r="BD357" s="63">
        <f t="shared" ref="BD357" si="1157">SUM(BD351:BD356)</f>
        <v>1794.8563346234605</v>
      </c>
      <c r="BE357" s="63">
        <f t="shared" ref="BE357" si="1158">SUM(BE351:BE356)</f>
        <v>1536.2202503147528</v>
      </c>
      <c r="BF357" s="63">
        <f t="shared" ref="BF357" si="1159">SUM(BF351:BF356)</f>
        <v>1545.7147518052905</v>
      </c>
      <c r="BG357" s="80"/>
      <c r="BH357" s="80"/>
      <c r="BI357" s="80"/>
      <c r="BJ357" s="116">
        <f t="shared" si="1107"/>
        <v>348</v>
      </c>
    </row>
    <row r="358" spans="1:62" hidden="1" outlineLevel="2">
      <c r="A358" s="87"/>
      <c r="B358" s="41" t="s">
        <v>120</v>
      </c>
      <c r="C358" s="86">
        <f t="shared" ref="C358:C362" si="1160">INDEX($O358:$BG358,1,MATCH(C$4,$O$4:$BG$4,0))</f>
        <v>0</v>
      </c>
      <c r="D358" s="86">
        <f t="shared" si="1133"/>
        <v>0</v>
      </c>
      <c r="E358" s="86">
        <f t="shared" si="1133"/>
        <v>0</v>
      </c>
      <c r="F358" s="86">
        <f t="shared" si="1133"/>
        <v>15244.630999999999</v>
      </c>
      <c r="G358" s="86">
        <f t="shared" si="1133"/>
        <v>15427.115</v>
      </c>
      <c r="H358" s="86">
        <f t="shared" si="1133"/>
        <v>14826.251</v>
      </c>
      <c r="I358" s="86">
        <f t="shared" si="1133"/>
        <v>13556.735000000001</v>
      </c>
      <c r="J358" s="86">
        <f t="shared" si="1133"/>
        <v>14241.66</v>
      </c>
      <c r="K358" s="86">
        <f t="shared" si="1133"/>
        <v>14679.41</v>
      </c>
      <c r="L358" s="86">
        <f t="shared" si="1133"/>
        <v>15072.682000000001</v>
      </c>
      <c r="M358" s="86">
        <f t="shared" si="1133"/>
        <v>15521.470000000001</v>
      </c>
      <c r="N358" s="232"/>
      <c r="O358" s="86"/>
      <c r="P358" s="86"/>
      <c r="Q358" s="86"/>
      <c r="R358" s="86"/>
      <c r="S358" s="86"/>
      <c r="T358" s="86"/>
      <c r="U358" s="86"/>
      <c r="V358" s="86"/>
      <c r="W358" s="86"/>
      <c r="X358" s="86"/>
      <c r="Y358" s="86"/>
      <c r="Z358" s="86"/>
      <c r="AA358" s="86"/>
      <c r="AB358" s="86"/>
      <c r="AC358" s="86"/>
      <c r="AD358" s="89">
        <v>15244.630999999999</v>
      </c>
      <c r="AE358" s="89">
        <f>+AE360-AE359</f>
        <v>15619.704000000002</v>
      </c>
      <c r="AF358" s="89">
        <f>+AF360-AF359</f>
        <v>16044.731</v>
      </c>
      <c r="AG358" s="89">
        <f>+AG360-AG359</f>
        <v>16514.853999999999</v>
      </c>
      <c r="AH358" s="89">
        <v>15427.115</v>
      </c>
      <c r="AI358" s="89">
        <f t="shared" ref="AI358:AN358" si="1161">+AI360-AI359</f>
        <v>14442.816999999999</v>
      </c>
      <c r="AJ358" s="89">
        <f t="shared" si="1161"/>
        <v>14732.646000000001</v>
      </c>
      <c r="AK358" s="89">
        <f t="shared" si="1161"/>
        <v>14854.843000000001</v>
      </c>
      <c r="AL358" s="89">
        <f t="shared" si="1161"/>
        <v>14826.251</v>
      </c>
      <c r="AM358" s="89">
        <f t="shared" si="1161"/>
        <v>14956.581999999999</v>
      </c>
      <c r="AN358" s="89">
        <f t="shared" si="1161"/>
        <v>14992.937</v>
      </c>
      <c r="AO358" s="89">
        <f>+AO360-AO359</f>
        <v>15065.103999999999</v>
      </c>
      <c r="AP358" s="89">
        <v>13556.735000000001</v>
      </c>
      <c r="AQ358" s="89">
        <f>+AQ360-AQ359</f>
        <v>13711.522999999999</v>
      </c>
      <c r="AR358" s="89">
        <f>+AR360-AR359</f>
        <v>13843.130000000001</v>
      </c>
      <c r="AS358" s="89">
        <f>+AS360-AS359</f>
        <v>13969.594999999999</v>
      </c>
      <c r="AT358" s="89">
        <f>+AT360-AT359</f>
        <v>14241.66</v>
      </c>
      <c r="AU358" s="86">
        <f t="shared" ref="AU358:BF358" si="1162">+AT358-AU335-AU337-AU338</f>
        <v>14342.01</v>
      </c>
      <c r="AV358" s="86">
        <f t="shared" si="1162"/>
        <v>14450.978000000001</v>
      </c>
      <c r="AW358" s="86">
        <f t="shared" si="1162"/>
        <v>14564.458000000001</v>
      </c>
      <c r="AX358" s="86">
        <f t="shared" si="1162"/>
        <v>14679.41</v>
      </c>
      <c r="AY358" s="86">
        <f>+AX358-AY335-AY338</f>
        <v>14775.11</v>
      </c>
      <c r="AZ358" s="86">
        <f t="shared" si="1162"/>
        <v>14870.266000000001</v>
      </c>
      <c r="BA358" s="86">
        <f t="shared" si="1162"/>
        <v>14970.738000000001</v>
      </c>
      <c r="BB358" s="86">
        <f t="shared" si="1162"/>
        <v>15072.682000000001</v>
      </c>
      <c r="BC358" s="86">
        <f t="shared" si="1162"/>
        <v>15185.300000000001</v>
      </c>
      <c r="BD358" s="86">
        <f t="shared" si="1162"/>
        <v>15295.006000000001</v>
      </c>
      <c r="BE358" s="86">
        <f t="shared" si="1162"/>
        <v>15408.238000000001</v>
      </c>
      <c r="BF358" s="86">
        <f t="shared" si="1162"/>
        <v>15521.470000000001</v>
      </c>
      <c r="BG358" s="88"/>
      <c r="BH358" s="88"/>
      <c r="BI358" s="88"/>
      <c r="BJ358" s="116">
        <f t="shared" si="1107"/>
        <v>349</v>
      </c>
    </row>
    <row r="359" spans="1:62" hidden="1" outlineLevel="2">
      <c r="A359" s="87"/>
      <c r="B359" s="42" t="s">
        <v>121</v>
      </c>
      <c r="C359" s="86">
        <f t="shared" si="1160"/>
        <v>0</v>
      </c>
      <c r="D359" s="86">
        <f t="shared" si="1133"/>
        <v>0</v>
      </c>
      <c r="E359" s="86">
        <f t="shared" si="1133"/>
        <v>0</v>
      </c>
      <c r="F359" s="86">
        <f t="shared" si="1133"/>
        <v>-6646.8180000000002</v>
      </c>
      <c r="G359" s="86">
        <f t="shared" si="1133"/>
        <v>-6827.99</v>
      </c>
      <c r="H359" s="86">
        <f t="shared" si="1133"/>
        <v>-7798.4489999999996</v>
      </c>
      <c r="I359" s="86">
        <f t="shared" si="1133"/>
        <v>-7289.152</v>
      </c>
      <c r="J359" s="86">
        <f t="shared" si="1133"/>
        <v>-8132.0949999999993</v>
      </c>
      <c r="K359" s="86">
        <f t="shared" si="1133"/>
        <v>-8976.4796984786608</v>
      </c>
      <c r="L359" s="86">
        <f t="shared" si="1133"/>
        <v>-9764.2220323842994</v>
      </c>
      <c r="M359" s="86">
        <f t="shared" si="1133"/>
        <v>-10502.068654705256</v>
      </c>
      <c r="N359" s="232"/>
      <c r="O359" s="86"/>
      <c r="P359" s="86"/>
      <c r="Q359" s="86"/>
      <c r="R359" s="86"/>
      <c r="S359" s="86"/>
      <c r="T359" s="86"/>
      <c r="U359" s="86"/>
      <c r="V359" s="86"/>
      <c r="W359" s="86"/>
      <c r="X359" s="86"/>
      <c r="Y359" s="86"/>
      <c r="Z359" s="86"/>
      <c r="AA359" s="86"/>
      <c r="AB359" s="86"/>
      <c r="AC359" s="86"/>
      <c r="AD359" s="89">
        <v>-6646.8180000000002</v>
      </c>
      <c r="AE359" s="89">
        <f>+AD359-AE324</f>
        <v>-6928.9450000000006</v>
      </c>
      <c r="AF359" s="89">
        <f>+AE359-AF324</f>
        <v>-7211.7650000000003</v>
      </c>
      <c r="AG359" s="89">
        <f>+AF359-AG324</f>
        <v>-7498.3460000000005</v>
      </c>
      <c r="AH359" s="89">
        <v>-6827.99</v>
      </c>
      <c r="AI359" s="89">
        <f t="shared" ref="AI359:AO359" si="1163">+AH359-AI324</f>
        <v>-7109.009</v>
      </c>
      <c r="AJ359" s="89">
        <f t="shared" si="1163"/>
        <v>-7327.2049999999999</v>
      </c>
      <c r="AK359" s="89">
        <f t="shared" si="1163"/>
        <v>-7567.3119999999999</v>
      </c>
      <c r="AL359" s="89">
        <f t="shared" si="1163"/>
        <v>-7798.4489999999996</v>
      </c>
      <c r="AM359" s="89">
        <f t="shared" si="1163"/>
        <v>-8014.2669999999998</v>
      </c>
      <c r="AN359" s="89">
        <f t="shared" si="1163"/>
        <v>-8227.68</v>
      </c>
      <c r="AO359" s="89">
        <f t="shared" si="1163"/>
        <v>-8448.393</v>
      </c>
      <c r="AP359" s="89">
        <v>-7289.152</v>
      </c>
      <c r="AQ359" s="89">
        <f>+AP359-AQ324</f>
        <v>-7492.8239999999996</v>
      </c>
      <c r="AR359" s="89">
        <f>+AQ359-AR324</f>
        <v>-7700.9139999999998</v>
      </c>
      <c r="AS359" s="89">
        <f>+AR359-AS324</f>
        <v>-7917.9889999999996</v>
      </c>
      <c r="AT359" s="89">
        <f t="shared" ref="AT359:BF359" si="1164">+AS359-AT324</f>
        <v>-8132.0949999999993</v>
      </c>
      <c r="AU359" s="89">
        <f t="shared" si="1164"/>
        <v>-8348.9845574999999</v>
      </c>
      <c r="AV359" s="89">
        <f t="shared" si="1164"/>
        <v>-8561.7369607087494</v>
      </c>
      <c r="AW359" s="89">
        <f t="shared" si="1164"/>
        <v>-8770.8050176035886</v>
      </c>
      <c r="AX359" s="89">
        <f t="shared" si="1164"/>
        <v>-8976.4796984786608</v>
      </c>
      <c r="AY359" s="89">
        <f t="shared" si="1164"/>
        <v>-9178.9337241826688</v>
      </c>
      <c r="AZ359" s="89">
        <f t="shared" si="1164"/>
        <v>-9377.5979819741842</v>
      </c>
      <c r="BA359" s="89">
        <f t="shared" si="1164"/>
        <v>-9572.5876966141004</v>
      </c>
      <c r="BB359" s="89">
        <f t="shared" si="1164"/>
        <v>-9764.2220323842994</v>
      </c>
      <c r="BC359" s="89">
        <f t="shared" si="1164"/>
        <v>-9952.6723612346559</v>
      </c>
      <c r="BD359" s="89">
        <f t="shared" si="1164"/>
        <v>-10138.430642410825</v>
      </c>
      <c r="BE359" s="89">
        <f t="shared" si="1164"/>
        <v>-10321.489067605242</v>
      </c>
      <c r="BF359" s="89">
        <f t="shared" si="1164"/>
        <v>-10502.068654705256</v>
      </c>
      <c r="BG359" s="88"/>
      <c r="BH359" s="88"/>
      <c r="BI359" s="88"/>
      <c r="BJ359" s="116">
        <f t="shared" si="1107"/>
        <v>350</v>
      </c>
    </row>
    <row r="360" spans="1:62" outlineLevel="1" collapsed="1">
      <c r="B360" s="10" t="s">
        <v>122</v>
      </c>
      <c r="C360" s="50">
        <f t="shared" si="1160"/>
        <v>7815.4189999999999</v>
      </c>
      <c r="D360" s="50">
        <f t="shared" si="1133"/>
        <v>8629.9459999999999</v>
      </c>
      <c r="E360" s="50">
        <f t="shared" si="1133"/>
        <v>8712.0879999999997</v>
      </c>
      <c r="F360" s="50">
        <f t="shared" si="1133"/>
        <v>8597.8130000000001</v>
      </c>
      <c r="G360" s="50">
        <f t="shared" si="1133"/>
        <v>8599.125</v>
      </c>
      <c r="H360" s="50">
        <f t="shared" si="1133"/>
        <v>7027.8019999999997</v>
      </c>
      <c r="I360" s="50">
        <f t="shared" si="1133"/>
        <v>6267.5829999999996</v>
      </c>
      <c r="J360" s="50">
        <f t="shared" si="1133"/>
        <v>6109.5649999999996</v>
      </c>
      <c r="K360" s="50">
        <f t="shared" si="1133"/>
        <v>5702.9303015213391</v>
      </c>
      <c r="L360" s="50">
        <f t="shared" si="1133"/>
        <v>5308.4599676157013</v>
      </c>
      <c r="M360" s="50">
        <f t="shared" si="1133"/>
        <v>5019.4013452947456</v>
      </c>
      <c r="O360" s="85">
        <v>7646.6080000000002</v>
      </c>
      <c r="P360" s="85">
        <v>7641.5630000000001</v>
      </c>
      <c r="Q360" s="85">
        <v>7884.8739999999998</v>
      </c>
      <c r="R360" s="85">
        <v>7815.4189999999999</v>
      </c>
      <c r="S360" s="85">
        <v>7975.9570000000003</v>
      </c>
      <c r="T360" s="85">
        <v>8372.4050000000007</v>
      </c>
      <c r="U360" s="85">
        <v>8577.2129999999997</v>
      </c>
      <c r="V360" s="85">
        <v>8629.9459999999999</v>
      </c>
      <c r="W360" s="85">
        <v>8814.0810000000001</v>
      </c>
      <c r="X360" s="85">
        <v>8904.3240000000005</v>
      </c>
      <c r="Y360" s="85">
        <v>8894.0840000000007</v>
      </c>
      <c r="Z360" s="85">
        <v>8712.0879999999997</v>
      </c>
      <c r="AA360" s="85">
        <v>8641.9470000000001</v>
      </c>
      <c r="AB360" s="85">
        <v>8577.5859999999993</v>
      </c>
      <c r="AC360" s="85">
        <v>8463.8040000000001</v>
      </c>
      <c r="AD360" s="85">
        <v>8597.8130000000001</v>
      </c>
      <c r="AE360" s="85">
        <v>8690.759</v>
      </c>
      <c r="AF360" s="85">
        <v>8832.9660000000003</v>
      </c>
      <c r="AG360" s="85">
        <v>9016.5079999999998</v>
      </c>
      <c r="AH360" s="85">
        <v>8599.125</v>
      </c>
      <c r="AI360" s="85">
        <v>7333.808</v>
      </c>
      <c r="AJ360" s="85">
        <v>7405.4409999999998</v>
      </c>
      <c r="AK360" s="85">
        <v>7287.5309999999999</v>
      </c>
      <c r="AL360" s="85">
        <v>7027.8019999999997</v>
      </c>
      <c r="AM360" s="85">
        <v>6942.3149999999996</v>
      </c>
      <c r="AN360" s="85">
        <v>6765.2569999999996</v>
      </c>
      <c r="AO360" s="85">
        <v>6616.7110000000002</v>
      </c>
      <c r="AP360" s="85">
        <v>6267.5829999999996</v>
      </c>
      <c r="AQ360" s="85">
        <v>6218.6989999999996</v>
      </c>
      <c r="AR360" s="85">
        <v>6142.2160000000003</v>
      </c>
      <c r="AS360" s="85">
        <v>6051.6059999999998</v>
      </c>
      <c r="AT360" s="85">
        <v>6109.5649999999996</v>
      </c>
      <c r="AU360" s="50">
        <f t="shared" ref="AU360:BF360" si="1165">+AU358+AU359</f>
        <v>5993.0254425000003</v>
      </c>
      <c r="AV360" s="50">
        <f t="shared" si="1165"/>
        <v>5889.2410392912516</v>
      </c>
      <c r="AW360" s="50">
        <f t="shared" si="1165"/>
        <v>5793.652982396412</v>
      </c>
      <c r="AX360" s="50">
        <f t="shared" si="1165"/>
        <v>5702.9303015213391</v>
      </c>
      <c r="AY360" s="50">
        <f t="shared" si="1165"/>
        <v>5596.1762758173318</v>
      </c>
      <c r="AZ360" s="50">
        <f t="shared" si="1165"/>
        <v>5492.6680180258172</v>
      </c>
      <c r="BA360" s="50">
        <f t="shared" si="1165"/>
        <v>5398.1503033859008</v>
      </c>
      <c r="BB360" s="50">
        <f t="shared" si="1165"/>
        <v>5308.4599676157013</v>
      </c>
      <c r="BC360" s="50">
        <f t="shared" si="1165"/>
        <v>5232.6276387653452</v>
      </c>
      <c r="BD360" s="50">
        <f t="shared" si="1165"/>
        <v>5156.5753575891758</v>
      </c>
      <c r="BE360" s="50">
        <f t="shared" si="1165"/>
        <v>5086.7489323947593</v>
      </c>
      <c r="BF360" s="50">
        <f t="shared" si="1165"/>
        <v>5019.4013452947456</v>
      </c>
      <c r="BJ360" s="116">
        <f t="shared" si="1107"/>
        <v>351</v>
      </c>
    </row>
    <row r="361" spans="1:62" outlineLevel="1">
      <c r="B361" s="10" t="s">
        <v>123</v>
      </c>
      <c r="C361" s="50">
        <f t="shared" si="1160"/>
        <v>494.37200000000001</v>
      </c>
      <c r="D361" s="50">
        <f t="shared" si="1133"/>
        <v>501.25799999999998</v>
      </c>
      <c r="E361" s="50">
        <f t="shared" si="1133"/>
        <v>472.32600000000002</v>
      </c>
      <c r="F361" s="50">
        <f t="shared" si="1133"/>
        <v>512.96400000000006</v>
      </c>
      <c r="G361" s="50">
        <f t="shared" si="1133"/>
        <v>173.928</v>
      </c>
      <c r="H361" s="50">
        <f t="shared" si="1133"/>
        <v>166.65899999999999</v>
      </c>
      <c r="I361" s="50">
        <f t="shared" si="1133"/>
        <v>166.917</v>
      </c>
      <c r="J361" s="50">
        <f t="shared" si="1133"/>
        <v>173.226</v>
      </c>
      <c r="K361" s="50">
        <f t="shared" si="1133"/>
        <v>173.226</v>
      </c>
      <c r="L361" s="50">
        <f t="shared" si="1133"/>
        <v>173.226</v>
      </c>
      <c r="M361" s="50">
        <f t="shared" si="1133"/>
        <v>173.226</v>
      </c>
      <c r="O361" s="51">
        <v>164.756</v>
      </c>
      <c r="P361" s="51">
        <v>164.078</v>
      </c>
      <c r="Q361" s="51">
        <v>463.42700000000002</v>
      </c>
      <c r="R361" s="51">
        <v>494.37200000000001</v>
      </c>
      <c r="S361" s="51">
        <v>494.005</v>
      </c>
      <c r="T361" s="51">
        <v>494.1</v>
      </c>
      <c r="U361" s="51">
        <v>501.29700000000003</v>
      </c>
      <c r="V361" s="51">
        <v>501.25799999999998</v>
      </c>
      <c r="W361" s="51">
        <v>501.536</v>
      </c>
      <c r="X361" s="51">
        <v>471.91300000000001</v>
      </c>
      <c r="Y361" s="51">
        <v>472.46199999999999</v>
      </c>
      <c r="Z361" s="51">
        <v>472.32600000000002</v>
      </c>
      <c r="AA361" s="51">
        <v>487.76</v>
      </c>
      <c r="AB361" s="51">
        <v>487.25200000000001</v>
      </c>
      <c r="AC361" s="51">
        <v>479.55700000000002</v>
      </c>
      <c r="AD361" s="51">
        <v>512.96400000000006</v>
      </c>
      <c r="AE361" s="51">
        <v>512.39099999999996</v>
      </c>
      <c r="AF361" s="51">
        <v>512.89700000000005</v>
      </c>
      <c r="AG361" s="51">
        <v>512.20299999999997</v>
      </c>
      <c r="AH361" s="51">
        <v>173.928</v>
      </c>
      <c r="AI361" s="51">
        <v>80.947000000000003</v>
      </c>
      <c r="AJ361" s="51">
        <v>139.756</v>
      </c>
      <c r="AK361" s="51">
        <v>150.03200000000001</v>
      </c>
      <c r="AL361" s="51">
        <v>166.65899999999999</v>
      </c>
      <c r="AM361" s="51">
        <v>167.21700000000001</v>
      </c>
      <c r="AN361" s="51">
        <v>167.27500000000001</v>
      </c>
      <c r="AO361" s="51">
        <v>167.131</v>
      </c>
      <c r="AP361" s="51">
        <v>166.917</v>
      </c>
      <c r="AQ361" s="51">
        <v>166.999</v>
      </c>
      <c r="AR361" s="51">
        <v>167.24600000000001</v>
      </c>
      <c r="AS361" s="51">
        <v>173.321</v>
      </c>
      <c r="AT361" s="51">
        <v>173.226</v>
      </c>
      <c r="AU361" s="51">
        <f t="shared" ref="AU361:BF362" si="1166">AT361</f>
        <v>173.226</v>
      </c>
      <c r="AV361" s="51">
        <f t="shared" si="1166"/>
        <v>173.226</v>
      </c>
      <c r="AW361" s="51">
        <f t="shared" si="1166"/>
        <v>173.226</v>
      </c>
      <c r="AX361" s="51">
        <f t="shared" si="1166"/>
        <v>173.226</v>
      </c>
      <c r="AY361" s="51">
        <f t="shared" si="1166"/>
        <v>173.226</v>
      </c>
      <c r="AZ361" s="51">
        <f t="shared" si="1166"/>
        <v>173.226</v>
      </c>
      <c r="BA361" s="51">
        <f t="shared" si="1166"/>
        <v>173.226</v>
      </c>
      <c r="BB361" s="51">
        <f t="shared" si="1166"/>
        <v>173.226</v>
      </c>
      <c r="BC361" s="51">
        <f t="shared" si="1166"/>
        <v>173.226</v>
      </c>
      <c r="BD361" s="51">
        <f t="shared" si="1166"/>
        <v>173.226</v>
      </c>
      <c r="BE361" s="51">
        <f t="shared" si="1166"/>
        <v>173.226</v>
      </c>
      <c r="BF361" s="51">
        <f t="shared" si="1166"/>
        <v>173.226</v>
      </c>
      <c r="BJ361" s="116">
        <f t="shared" si="1107"/>
        <v>352</v>
      </c>
    </row>
    <row r="362" spans="1:62" outlineLevel="1">
      <c r="B362" s="10" t="s">
        <v>334</v>
      </c>
      <c r="C362" s="50">
        <f t="shared" si="1160"/>
        <v>723.84799999999996</v>
      </c>
      <c r="D362" s="50">
        <f t="shared" si="1133"/>
        <v>692.62200000000007</v>
      </c>
      <c r="E362" s="50">
        <f t="shared" si="1133"/>
        <v>338.75099999999998</v>
      </c>
      <c r="F362" s="50">
        <f t="shared" si="1133"/>
        <v>295.20400000000001</v>
      </c>
      <c r="G362" s="50">
        <f t="shared" si="1133"/>
        <v>365.01499999999999</v>
      </c>
      <c r="H362" s="50">
        <f t="shared" si="1133"/>
        <v>867.48199999999997</v>
      </c>
      <c r="I362" s="50">
        <f t="shared" si="1133"/>
        <v>596.67600000000004</v>
      </c>
      <c r="J362" s="50">
        <f t="shared" si="1133"/>
        <v>671.85699999999997</v>
      </c>
      <c r="K362" s="50">
        <f t="shared" si="1133"/>
        <v>671.85699999999997</v>
      </c>
      <c r="L362" s="50">
        <f t="shared" si="1133"/>
        <v>671.85699999999997</v>
      </c>
      <c r="M362" s="50">
        <f t="shared" si="1133"/>
        <v>671.85699999999997</v>
      </c>
      <c r="O362" s="51">
        <v>658.65999999999985</v>
      </c>
      <c r="P362" s="51">
        <v>669.09199999999998</v>
      </c>
      <c r="Q362" s="51">
        <v>706.50300000000004</v>
      </c>
      <c r="R362" s="51">
        <v>723.84799999999996</v>
      </c>
      <c r="S362" s="51">
        <v>709.31600000000003</v>
      </c>
      <c r="T362" s="51">
        <v>696.20600000000002</v>
      </c>
      <c r="U362" s="51">
        <v>695.49199999999996</v>
      </c>
      <c r="V362" s="51">
        <v>692.62200000000007</v>
      </c>
      <c r="W362" s="51">
        <v>703.35300000000007</v>
      </c>
      <c r="X362" s="51">
        <v>492.065</v>
      </c>
      <c r="Y362" s="51">
        <v>424.36599999999993</v>
      </c>
      <c r="Z362" s="51">
        <v>338.75099999999998</v>
      </c>
      <c r="AA362" s="51">
        <v>337.05200000000002</v>
      </c>
      <c r="AB362" s="51">
        <v>309.233</v>
      </c>
      <c r="AC362" s="51">
        <v>302.29999999999995</v>
      </c>
      <c r="AD362" s="51">
        <v>295.20400000000001</v>
      </c>
      <c r="AE362" s="51">
        <v>292.65500000000003</v>
      </c>
      <c r="AF362" s="51">
        <v>279.49799999999999</v>
      </c>
      <c r="AG362" s="51">
        <v>298.15800000000002</v>
      </c>
      <c r="AH362" s="51">
        <v>365.01499999999999</v>
      </c>
      <c r="AI362" s="51">
        <v>1019.511</v>
      </c>
      <c r="AJ362" s="51">
        <v>1002.931</v>
      </c>
      <c r="AK362" s="51">
        <v>772.54300000000001</v>
      </c>
      <c r="AL362" s="51">
        <v>867.48199999999997</v>
      </c>
      <c r="AM362" s="51">
        <v>581.41200000000003</v>
      </c>
      <c r="AN362" s="51">
        <v>532.53000000000009</v>
      </c>
      <c r="AO362" s="51">
        <v>568.58199999999999</v>
      </c>
      <c r="AP362" s="51">
        <v>596.67600000000004</v>
      </c>
      <c r="AQ362" s="51">
        <v>586.95800000000008</v>
      </c>
      <c r="AR362" s="51">
        <v>608.82799999999997</v>
      </c>
      <c r="AS362" s="51">
        <v>688.73699999999997</v>
      </c>
      <c r="AT362" s="51">
        <v>671.85699999999997</v>
      </c>
      <c r="AU362" s="51">
        <f t="shared" si="1166"/>
        <v>671.85699999999997</v>
      </c>
      <c r="AV362" s="51">
        <f t="shared" si="1166"/>
        <v>671.85699999999997</v>
      </c>
      <c r="AW362" s="51">
        <f t="shared" si="1166"/>
        <v>671.85699999999997</v>
      </c>
      <c r="AX362" s="51">
        <f t="shared" si="1166"/>
        <v>671.85699999999997</v>
      </c>
      <c r="AY362" s="51">
        <f t="shared" si="1166"/>
        <v>671.85699999999997</v>
      </c>
      <c r="AZ362" s="51">
        <f t="shared" si="1166"/>
        <v>671.85699999999997</v>
      </c>
      <c r="BA362" s="51">
        <f t="shared" si="1166"/>
        <v>671.85699999999997</v>
      </c>
      <c r="BB362" s="51">
        <f t="shared" si="1166"/>
        <v>671.85699999999997</v>
      </c>
      <c r="BC362" s="51">
        <f t="shared" si="1166"/>
        <v>671.85699999999997</v>
      </c>
      <c r="BD362" s="51">
        <f t="shared" si="1166"/>
        <v>671.85699999999997</v>
      </c>
      <c r="BE362" s="51">
        <f t="shared" si="1166"/>
        <v>671.85699999999997</v>
      </c>
      <c r="BF362" s="51">
        <f t="shared" si="1166"/>
        <v>671.85699999999997</v>
      </c>
      <c r="BJ362" s="116">
        <f t="shared" si="1107"/>
        <v>353</v>
      </c>
    </row>
    <row r="363" spans="1:62" outlineLevel="1">
      <c r="B363" s="84" t="s">
        <v>124</v>
      </c>
      <c r="C363" s="63">
        <f t="shared" ref="C363:M363" si="1167">C357+SUM(C360:C362)</f>
        <v>11646.569</v>
      </c>
      <c r="D363" s="63">
        <f t="shared" si="1167"/>
        <v>12912.14</v>
      </c>
      <c r="E363" s="63">
        <f t="shared" si="1167"/>
        <v>12656.022000000001</v>
      </c>
      <c r="F363" s="63">
        <f t="shared" si="1167"/>
        <v>12159.811</v>
      </c>
      <c r="G363" s="63">
        <f t="shared" si="1167"/>
        <v>11879.941999999999</v>
      </c>
      <c r="H363" s="63">
        <f t="shared" si="1167"/>
        <v>9537.84</v>
      </c>
      <c r="I363" s="63">
        <f t="shared" si="1167"/>
        <v>8187.0150000000003</v>
      </c>
      <c r="J363" s="63">
        <f t="shared" si="1167"/>
        <v>8401.9839999999986</v>
      </c>
      <c r="K363" s="63">
        <f t="shared" si="1167"/>
        <v>7928.1671054732633</v>
      </c>
      <c r="L363" s="63">
        <f t="shared" si="1167"/>
        <v>7741.8397524985485</v>
      </c>
      <c r="M363" s="63">
        <f t="shared" si="1167"/>
        <v>7410.1990971000359</v>
      </c>
      <c r="N363" s="273"/>
      <c r="O363" s="63">
        <f>O357+SUM(O360:O362)</f>
        <v>10624.725000000002</v>
      </c>
      <c r="P363" s="63">
        <f t="shared" ref="P363:BF363" si="1168">P357+SUM(P360:P362)</f>
        <v>10500.141</v>
      </c>
      <c r="Q363" s="63">
        <f t="shared" si="1168"/>
        <v>11620.727999999999</v>
      </c>
      <c r="R363" s="63">
        <f t="shared" si="1168"/>
        <v>11646.569</v>
      </c>
      <c r="S363" s="63">
        <f t="shared" si="1168"/>
        <v>11890.407999999999</v>
      </c>
      <c r="T363" s="63">
        <f t="shared" si="1168"/>
        <v>12115.652000000002</v>
      </c>
      <c r="U363" s="63">
        <f t="shared" si="1168"/>
        <v>12318.346</v>
      </c>
      <c r="V363" s="63">
        <f t="shared" si="1168"/>
        <v>12912.14</v>
      </c>
      <c r="W363" s="63">
        <f t="shared" si="1168"/>
        <v>13148.194000000001</v>
      </c>
      <c r="X363" s="63">
        <f t="shared" si="1168"/>
        <v>12843.472000000002</v>
      </c>
      <c r="Y363" s="63">
        <f t="shared" si="1168"/>
        <v>12924.561000000002</v>
      </c>
      <c r="Z363" s="63">
        <f t="shared" si="1168"/>
        <v>12656.022000000001</v>
      </c>
      <c r="AA363" s="63">
        <f t="shared" si="1168"/>
        <v>12585.457</v>
      </c>
      <c r="AB363" s="63">
        <f t="shared" si="1168"/>
        <v>12266.903</v>
      </c>
      <c r="AC363" s="63">
        <f t="shared" si="1168"/>
        <v>12202.116</v>
      </c>
      <c r="AD363" s="63">
        <f t="shared" si="1168"/>
        <v>12159.811</v>
      </c>
      <c r="AE363" s="63">
        <f t="shared" si="1168"/>
        <v>12187.073</v>
      </c>
      <c r="AF363" s="63">
        <f t="shared" si="1168"/>
        <v>12435.999</v>
      </c>
      <c r="AG363" s="63">
        <f t="shared" si="1168"/>
        <v>12619.34</v>
      </c>
      <c r="AH363" s="63">
        <f t="shared" si="1168"/>
        <v>11879.941999999999</v>
      </c>
      <c r="AI363" s="63">
        <f t="shared" si="1168"/>
        <v>10604.598</v>
      </c>
      <c r="AJ363" s="63">
        <f t="shared" si="1168"/>
        <v>10517.283000000001</v>
      </c>
      <c r="AK363" s="63">
        <f t="shared" si="1168"/>
        <v>9929.1810000000005</v>
      </c>
      <c r="AL363" s="63">
        <f t="shared" si="1168"/>
        <v>9537.84</v>
      </c>
      <c r="AM363" s="63">
        <f t="shared" si="1168"/>
        <v>8950.3310000000001</v>
      </c>
      <c r="AN363" s="63">
        <f t="shared" si="1168"/>
        <v>8656.3049999999985</v>
      </c>
      <c r="AO363" s="63">
        <f t="shared" si="1168"/>
        <v>8424.5040000000008</v>
      </c>
      <c r="AP363" s="63">
        <f t="shared" si="1168"/>
        <v>8187.0150000000003</v>
      </c>
      <c r="AQ363" s="63">
        <f t="shared" si="1168"/>
        <v>8095.311999999999</v>
      </c>
      <c r="AR363" s="63">
        <f t="shared" si="1168"/>
        <v>8092.4580000000005</v>
      </c>
      <c r="AS363" s="63">
        <f t="shared" si="1168"/>
        <v>8088.585</v>
      </c>
      <c r="AT363" s="63">
        <f t="shared" si="1168"/>
        <v>8401.9839999999986</v>
      </c>
      <c r="AU363" s="63">
        <f t="shared" si="1168"/>
        <v>8086.9357406819308</v>
      </c>
      <c r="AV363" s="63">
        <f t="shared" si="1168"/>
        <v>8017.0586890213463</v>
      </c>
      <c r="AW363" s="63">
        <f t="shared" si="1168"/>
        <v>7979.583451740481</v>
      </c>
      <c r="AX363" s="63">
        <f t="shared" si="1168"/>
        <v>7928.1671054732633</v>
      </c>
      <c r="AY363" s="63">
        <f t="shared" si="1168"/>
        <v>7873.5435581079837</v>
      </c>
      <c r="AZ363" s="63">
        <f t="shared" si="1168"/>
        <v>7777.8289225331555</v>
      </c>
      <c r="BA363" s="63">
        <f t="shared" si="1168"/>
        <v>7742.5261168735697</v>
      </c>
      <c r="BB363" s="63">
        <f t="shared" si="1168"/>
        <v>7741.8397524985485</v>
      </c>
      <c r="BC363" s="63">
        <f t="shared" si="1168"/>
        <v>7767.4778175467109</v>
      </c>
      <c r="BD363" s="63">
        <f t="shared" si="1168"/>
        <v>7796.514692212636</v>
      </c>
      <c r="BE363" s="63">
        <f t="shared" si="1168"/>
        <v>7468.0521827095117</v>
      </c>
      <c r="BF363" s="63">
        <f t="shared" si="1168"/>
        <v>7410.1990971000359</v>
      </c>
      <c r="BG363" s="80"/>
      <c r="BH363" s="80"/>
      <c r="BI363" s="80"/>
      <c r="BJ363" s="116">
        <f t="shared" si="1107"/>
        <v>354</v>
      </c>
    </row>
    <row r="364" spans="1:62" outlineLevel="1">
      <c r="B364" s="11"/>
      <c r="O364" s="50"/>
      <c r="P364" s="50"/>
      <c r="Q364" s="50"/>
      <c r="R364" s="50"/>
      <c r="S364" s="50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D364" s="50"/>
      <c r="AE364" s="50"/>
      <c r="AF364" s="50"/>
      <c r="AG364" s="50"/>
      <c r="AH364" s="50"/>
      <c r="AI364" s="50"/>
      <c r="AJ364" s="50"/>
      <c r="AK364" s="50"/>
      <c r="AL364" s="50"/>
      <c r="AM364" s="50"/>
      <c r="AN364" s="50"/>
      <c r="AO364" s="50"/>
      <c r="AP364" s="50"/>
      <c r="AQ364" s="50"/>
      <c r="AR364" s="50"/>
      <c r="AS364" s="262"/>
      <c r="AT364" s="262"/>
      <c r="AU364" s="50"/>
      <c r="AV364" s="50"/>
      <c r="AW364" s="50"/>
      <c r="AX364" s="50"/>
      <c r="AY364" s="50"/>
      <c r="AZ364" s="50"/>
      <c r="BA364" s="50"/>
      <c r="BB364" s="50"/>
      <c r="BC364" s="50"/>
      <c r="BD364" s="50"/>
      <c r="BE364" s="50"/>
      <c r="BF364" s="50"/>
      <c r="BJ364" s="116">
        <f t="shared" si="1107"/>
        <v>355</v>
      </c>
    </row>
    <row r="365" spans="1:62" outlineLevel="1">
      <c r="B365" s="11" t="s">
        <v>336</v>
      </c>
      <c r="O365" s="50"/>
      <c r="P365" s="50"/>
      <c r="Q365" s="50"/>
      <c r="R365" s="50"/>
      <c r="S365" s="50"/>
      <c r="T365" s="50"/>
      <c r="U365" s="50"/>
      <c r="V365" s="50"/>
      <c r="W365" s="50"/>
      <c r="X365" s="50"/>
      <c r="Y365" s="50"/>
      <c r="Z365" s="50"/>
      <c r="AA365" s="50"/>
      <c r="AB365" s="50"/>
      <c r="AC365" s="50"/>
      <c r="AD365" s="50"/>
      <c r="AE365" s="50"/>
      <c r="AF365" s="50"/>
      <c r="AG365" s="50"/>
      <c r="AH365" s="50"/>
      <c r="AI365" s="50"/>
      <c r="AJ365" s="50"/>
      <c r="AK365" s="50"/>
      <c r="AL365" s="50"/>
      <c r="AM365" s="50"/>
      <c r="AN365" s="50"/>
      <c r="AO365" s="50"/>
      <c r="AP365" s="50"/>
      <c r="AQ365" s="50"/>
      <c r="AR365" s="50"/>
      <c r="AS365" s="262"/>
      <c r="AT365" s="262"/>
      <c r="AU365" s="50"/>
      <c r="AV365" s="50"/>
      <c r="AW365" s="50"/>
      <c r="AX365" s="50"/>
      <c r="AY365" s="50"/>
      <c r="AZ365" s="50"/>
      <c r="BA365" s="50"/>
      <c r="BB365" s="50"/>
      <c r="BC365" s="50"/>
      <c r="BD365" s="50"/>
      <c r="BE365" s="50"/>
      <c r="BF365" s="50"/>
      <c r="BJ365" s="116">
        <f t="shared" si="1107"/>
        <v>356</v>
      </c>
    </row>
    <row r="366" spans="1:62" outlineLevel="1">
      <c r="B366" s="10" t="s">
        <v>125</v>
      </c>
      <c r="C366" s="50">
        <f t="shared" ref="C366:M380" si="1169">INDEX($O366:$BG366,1,MATCH(C$4,$O$4:$BG$4,0))</f>
        <v>1379.018</v>
      </c>
      <c r="D366" s="50">
        <f t="shared" si="1169"/>
        <v>275.32600000000002</v>
      </c>
      <c r="E366" s="50">
        <f t="shared" si="1169"/>
        <v>0.36399999999999999</v>
      </c>
      <c r="F366" s="50">
        <f t="shared" si="1169"/>
        <v>10.185</v>
      </c>
      <c r="G366" s="50">
        <f t="shared" si="1169"/>
        <v>6.19</v>
      </c>
      <c r="H366" s="50">
        <f t="shared" si="1169"/>
        <v>6.508</v>
      </c>
      <c r="I366" s="50">
        <f t="shared" si="1169"/>
        <v>0.29699999999999999</v>
      </c>
      <c r="J366" s="50">
        <f t="shared" si="1169"/>
        <v>0.18099999999999999</v>
      </c>
      <c r="K366" s="50">
        <f t="shared" si="1169"/>
        <v>303.48900000000049</v>
      </c>
      <c r="L366" s="50">
        <f t="shared" si="1169"/>
        <v>669.84599999999955</v>
      </c>
      <c r="M366" s="50">
        <f t="shared" si="1169"/>
        <v>0</v>
      </c>
      <c r="O366" s="51">
        <v>0.20899999999999999</v>
      </c>
      <c r="P366" s="51">
        <v>1345.819</v>
      </c>
      <c r="Q366" s="51">
        <v>1442.7139999999999</v>
      </c>
      <c r="R366" s="51">
        <v>1379.018</v>
      </c>
      <c r="S366" s="51">
        <v>1391.2239999999999</v>
      </c>
      <c r="T366" s="51">
        <v>0.88100000000000001</v>
      </c>
      <c r="U366" s="51">
        <v>275.22699999999998</v>
      </c>
      <c r="V366" s="51">
        <v>275.32600000000002</v>
      </c>
      <c r="W366" s="51">
        <v>275.61599999999999</v>
      </c>
      <c r="X366" s="51">
        <v>275.32299999999998</v>
      </c>
      <c r="Y366" s="51">
        <v>0.38900000000000001</v>
      </c>
      <c r="Z366" s="51">
        <v>0.36399999999999999</v>
      </c>
      <c r="AA366" s="51">
        <v>0.435</v>
      </c>
      <c r="AB366" s="51">
        <v>11.445</v>
      </c>
      <c r="AC366" s="51">
        <v>11.441000000000001</v>
      </c>
      <c r="AD366" s="51">
        <v>10.185</v>
      </c>
      <c r="AE366" s="51">
        <v>5.2960000000000003</v>
      </c>
      <c r="AF366" s="51">
        <v>0.20699999999999999</v>
      </c>
      <c r="AG366" s="51">
        <v>0.19600000000000001</v>
      </c>
      <c r="AH366" s="51">
        <v>6.19</v>
      </c>
      <c r="AI366" s="51">
        <v>8.7390000000000008</v>
      </c>
      <c r="AJ366" s="51">
        <v>66.358999999999995</v>
      </c>
      <c r="AK366" s="51">
        <v>8.9819999999999993</v>
      </c>
      <c r="AL366" s="51">
        <v>6.508</v>
      </c>
      <c r="AM366" s="51">
        <v>5.88</v>
      </c>
      <c r="AN366" s="51">
        <v>0.17499999999999999</v>
      </c>
      <c r="AO366" s="51">
        <v>0.12</v>
      </c>
      <c r="AP366" s="51">
        <v>0.29699999999999999</v>
      </c>
      <c r="AQ366" s="51">
        <v>0.313</v>
      </c>
      <c r="AR366" s="51">
        <v>0.124</v>
      </c>
      <c r="AS366" s="51">
        <v>0.19600000000000001</v>
      </c>
      <c r="AT366" s="51">
        <v>0.18099999999999999</v>
      </c>
      <c r="AU366" s="95">
        <f t="shared" ref="AU366:BF366" si="1170">AU477</f>
        <v>303.48900000000049</v>
      </c>
      <c r="AV366" s="95">
        <f t="shared" si="1170"/>
        <v>303.48900000000049</v>
      </c>
      <c r="AW366" s="95">
        <f t="shared" si="1170"/>
        <v>303.48900000000049</v>
      </c>
      <c r="AX366" s="95">
        <f t="shared" si="1170"/>
        <v>303.48900000000049</v>
      </c>
      <c r="AY366" s="95">
        <f t="shared" si="1170"/>
        <v>0</v>
      </c>
      <c r="AZ366" s="95">
        <f t="shared" si="1170"/>
        <v>0</v>
      </c>
      <c r="BA366" s="95">
        <f t="shared" si="1170"/>
        <v>669.84599999999955</v>
      </c>
      <c r="BB366" s="95">
        <f t="shared" si="1170"/>
        <v>669.84599999999955</v>
      </c>
      <c r="BC366" s="95">
        <f t="shared" si="1170"/>
        <v>0</v>
      </c>
      <c r="BD366" s="95">
        <f t="shared" si="1170"/>
        <v>0</v>
      </c>
      <c r="BE366" s="95">
        <f t="shared" si="1170"/>
        <v>0</v>
      </c>
      <c r="BF366" s="95">
        <f t="shared" si="1170"/>
        <v>0</v>
      </c>
      <c r="BJ366" s="116">
        <f t="shared" si="1107"/>
        <v>357</v>
      </c>
    </row>
    <row r="367" spans="1:62" outlineLevel="1">
      <c r="B367" s="10" t="s">
        <v>126</v>
      </c>
      <c r="C367" s="50">
        <f t="shared" si="1169"/>
        <v>355.28199999999998</v>
      </c>
      <c r="D367" s="50">
        <f t="shared" si="1169"/>
        <v>782.75300000000004</v>
      </c>
      <c r="E367" s="50">
        <f t="shared" si="1169"/>
        <v>499.01</v>
      </c>
      <c r="F367" s="50">
        <f t="shared" si="1169"/>
        <v>545.51199999999994</v>
      </c>
      <c r="G367" s="50">
        <f t="shared" si="1169"/>
        <v>780.06</v>
      </c>
      <c r="H367" s="50">
        <f t="shared" si="1169"/>
        <v>271.98399999999998</v>
      </c>
      <c r="I367" s="50">
        <f t="shared" si="1169"/>
        <v>264.57799999999997</v>
      </c>
      <c r="J367" s="50">
        <f t="shared" si="1169"/>
        <v>363.416</v>
      </c>
      <c r="K367" s="50">
        <f t="shared" si="1169"/>
        <v>333.17967913536438</v>
      </c>
      <c r="L367" s="50">
        <f t="shared" si="1169"/>
        <v>380.10962984034899</v>
      </c>
      <c r="M367" s="50">
        <f t="shared" si="1169"/>
        <v>377.98565691669222</v>
      </c>
      <c r="O367" s="51">
        <v>249.04</v>
      </c>
      <c r="P367" s="51">
        <v>255.476</v>
      </c>
      <c r="Q367" s="51">
        <v>368.78</v>
      </c>
      <c r="R367" s="51">
        <v>355.28199999999998</v>
      </c>
      <c r="S367" s="51">
        <v>433.69499999999999</v>
      </c>
      <c r="T367" s="51">
        <v>551.01</v>
      </c>
      <c r="U367" s="51">
        <v>658.69200000000001</v>
      </c>
      <c r="V367" s="51">
        <v>782.75300000000004</v>
      </c>
      <c r="W367" s="51">
        <v>687.57600000000002</v>
      </c>
      <c r="X367" s="51">
        <v>606.57100000000003</v>
      </c>
      <c r="Y367" s="51">
        <v>560.64099999999996</v>
      </c>
      <c r="Z367" s="51">
        <v>499.01</v>
      </c>
      <c r="AA367" s="51">
        <v>492.89400000000001</v>
      </c>
      <c r="AB367" s="51">
        <v>498.08100000000002</v>
      </c>
      <c r="AC367" s="51">
        <v>521.13300000000004</v>
      </c>
      <c r="AD367" s="51">
        <v>545.51199999999994</v>
      </c>
      <c r="AE367" s="51">
        <v>631.01499999999999</v>
      </c>
      <c r="AF367" s="51">
        <v>617.827</v>
      </c>
      <c r="AG367" s="51">
        <v>693.93100000000004</v>
      </c>
      <c r="AH367" s="51">
        <v>780.06</v>
      </c>
      <c r="AI367" s="51">
        <v>403.03800000000001</v>
      </c>
      <c r="AJ367" s="51">
        <v>363.05799999999999</v>
      </c>
      <c r="AK367" s="51">
        <v>302.41500000000002</v>
      </c>
      <c r="AL367" s="51">
        <v>271.98399999999998</v>
      </c>
      <c r="AM367" s="51">
        <v>250.078</v>
      </c>
      <c r="AN367" s="51">
        <v>199.619</v>
      </c>
      <c r="AO367" s="51">
        <v>215.62700000000001</v>
      </c>
      <c r="AP367" s="51">
        <v>264.57799999999997</v>
      </c>
      <c r="AQ367" s="51">
        <v>241.33199999999999</v>
      </c>
      <c r="AR367" s="51">
        <v>261.11500000000001</v>
      </c>
      <c r="AS367" s="51">
        <v>317.31400000000002</v>
      </c>
      <c r="AT367" s="51">
        <v>363.416</v>
      </c>
      <c r="AU367" s="95">
        <f t="shared" ref="AU367:BF367" si="1171">+AU410*-AU127/AU6</f>
        <v>308.43422028401733</v>
      </c>
      <c r="AV367" s="95">
        <f t="shared" si="1171"/>
        <v>310.02780706104664</v>
      </c>
      <c r="AW367" s="95">
        <f t="shared" si="1171"/>
        <v>324.40509964996409</v>
      </c>
      <c r="AX367" s="95">
        <f t="shared" si="1171"/>
        <v>333.17967913536438</v>
      </c>
      <c r="AY367" s="95">
        <f t="shared" si="1171"/>
        <v>349.01508495395552</v>
      </c>
      <c r="AZ367" s="95">
        <f t="shared" si="1171"/>
        <v>348.34067976411325</v>
      </c>
      <c r="BA367" s="95">
        <f t="shared" si="1171"/>
        <v>368.67344064102798</v>
      </c>
      <c r="BB367" s="95">
        <f t="shared" si="1171"/>
        <v>380.10962984034899</v>
      </c>
      <c r="BC367" s="95">
        <f t="shared" si="1171"/>
        <v>368.5633101957938</v>
      </c>
      <c r="BD367" s="95">
        <f t="shared" si="1171"/>
        <v>362.42133126663765</v>
      </c>
      <c r="BE367" s="95">
        <f t="shared" si="1171"/>
        <v>374.15588011858478</v>
      </c>
      <c r="BF367" s="95">
        <f t="shared" si="1171"/>
        <v>377.98565691669222</v>
      </c>
      <c r="BJ367" s="116">
        <f t="shared" si="1107"/>
        <v>358</v>
      </c>
    </row>
    <row r="368" spans="1:62" outlineLevel="1">
      <c r="B368" s="10" t="s">
        <v>339</v>
      </c>
      <c r="C368" s="50">
        <f t="shared" si="1169"/>
        <v>420.08</v>
      </c>
      <c r="D368" s="50">
        <f t="shared" si="1169"/>
        <v>744.48300000000006</v>
      </c>
      <c r="E368" s="50">
        <f t="shared" si="1169"/>
        <v>633.00800000000004</v>
      </c>
      <c r="F368" s="50">
        <f t="shared" si="1169"/>
        <v>755.72699999999998</v>
      </c>
      <c r="G368" s="50">
        <f t="shared" si="1169"/>
        <v>781.22500000000002</v>
      </c>
      <c r="H368" s="50">
        <f t="shared" si="1169"/>
        <v>728.00700000000006</v>
      </c>
      <c r="I368" s="50">
        <f t="shared" si="1169"/>
        <v>557.05900000000008</v>
      </c>
      <c r="J368" s="50">
        <f t="shared" si="1169"/>
        <v>555.87900000000002</v>
      </c>
      <c r="K368" s="50">
        <f t="shared" si="1169"/>
        <v>455.87900000000002</v>
      </c>
      <c r="L368" s="50">
        <f t="shared" si="1169"/>
        <v>455.87900000000002</v>
      </c>
      <c r="M368" s="50">
        <f t="shared" si="1169"/>
        <v>455.87900000000002</v>
      </c>
      <c r="O368" s="51">
        <v>330.03500000000003</v>
      </c>
      <c r="P368" s="51">
        <v>386.78699999999998</v>
      </c>
      <c r="Q368" s="51">
        <v>450.02600000000001</v>
      </c>
      <c r="R368" s="51">
        <v>420.08</v>
      </c>
      <c r="S368" s="51">
        <v>405.673</v>
      </c>
      <c r="T368" s="51">
        <v>473.05900000000003</v>
      </c>
      <c r="U368" s="51">
        <v>481.846</v>
      </c>
      <c r="V368" s="51">
        <v>744.48300000000006</v>
      </c>
      <c r="W368" s="51">
        <v>617.84899999999993</v>
      </c>
      <c r="X368" s="51">
        <v>604.62699999999995</v>
      </c>
      <c r="Y368" s="51">
        <v>573.63599999999997</v>
      </c>
      <c r="Z368" s="51">
        <v>633.00800000000004</v>
      </c>
      <c r="AA368" s="51">
        <v>597.81700000000001</v>
      </c>
      <c r="AB368" s="51">
        <v>670.63</v>
      </c>
      <c r="AC368" s="51">
        <v>592.84799999999996</v>
      </c>
      <c r="AD368" s="51">
        <v>755.72699999999998</v>
      </c>
      <c r="AE368" s="51">
        <v>601.83100000000002</v>
      </c>
      <c r="AF368" s="51">
        <v>701.55200000000002</v>
      </c>
      <c r="AG368" s="51">
        <v>721.45400000000006</v>
      </c>
      <c r="AH368" s="51">
        <v>781.22500000000002</v>
      </c>
      <c r="AI368" s="51">
        <v>744.81899999999996</v>
      </c>
      <c r="AJ368" s="51">
        <v>793.33600000000001</v>
      </c>
      <c r="AK368" s="51">
        <v>738.154</v>
      </c>
      <c r="AL368" s="51">
        <v>728.00700000000006</v>
      </c>
      <c r="AM368" s="51">
        <v>615.30999999999995</v>
      </c>
      <c r="AN368" s="51">
        <v>668.38099999999997</v>
      </c>
      <c r="AO368" s="51">
        <v>572.11500000000001</v>
      </c>
      <c r="AP368" s="51">
        <v>557.05900000000008</v>
      </c>
      <c r="AQ368" s="51">
        <v>530.00400000000002</v>
      </c>
      <c r="AR368" s="51">
        <f>592.06+23.268</f>
        <v>615.32799999999997</v>
      </c>
      <c r="AS368" s="51">
        <f>485.347+27.817</f>
        <v>513.16399999999999</v>
      </c>
      <c r="AT368" s="51">
        <f>533.044+22.835</f>
        <v>555.87900000000002</v>
      </c>
      <c r="AU368" s="51">
        <f>AT368-25</f>
        <v>530.87900000000002</v>
      </c>
      <c r="AV368" s="51">
        <f>AU368-25</f>
        <v>505.87900000000002</v>
      </c>
      <c r="AW368" s="51">
        <f>AV368-25</f>
        <v>480.87900000000002</v>
      </c>
      <c r="AX368" s="51">
        <f>AW368-25</f>
        <v>455.87900000000002</v>
      </c>
      <c r="AY368" s="51">
        <f t="shared" ref="AY368:BF368" si="1172">AX368</f>
        <v>455.87900000000002</v>
      </c>
      <c r="AZ368" s="51">
        <f t="shared" si="1172"/>
        <v>455.87900000000002</v>
      </c>
      <c r="BA368" s="51">
        <f t="shared" si="1172"/>
        <v>455.87900000000002</v>
      </c>
      <c r="BB368" s="51">
        <f t="shared" si="1172"/>
        <v>455.87900000000002</v>
      </c>
      <c r="BC368" s="51">
        <f t="shared" si="1172"/>
        <v>455.87900000000002</v>
      </c>
      <c r="BD368" s="51">
        <f t="shared" si="1172"/>
        <v>455.87900000000002</v>
      </c>
      <c r="BE368" s="51">
        <f t="shared" si="1172"/>
        <v>455.87900000000002</v>
      </c>
      <c r="BF368" s="51">
        <f t="shared" si="1172"/>
        <v>455.87900000000002</v>
      </c>
      <c r="BJ368" s="116">
        <f t="shared" si="1107"/>
        <v>359</v>
      </c>
    </row>
    <row r="369" spans="1:62" outlineLevel="1">
      <c r="B369" s="84" t="s">
        <v>127</v>
      </c>
      <c r="C369" s="63">
        <f t="shared" ref="C369:M369" si="1173">SUM(C366:C368)</f>
        <v>2154.38</v>
      </c>
      <c r="D369" s="63">
        <f t="shared" si="1173"/>
        <v>1802.5620000000004</v>
      </c>
      <c r="E369" s="63">
        <f t="shared" si="1173"/>
        <v>1132.3820000000001</v>
      </c>
      <c r="F369" s="63">
        <f t="shared" si="1173"/>
        <v>1311.424</v>
      </c>
      <c r="G369" s="63">
        <f t="shared" si="1173"/>
        <v>1567.4749999999999</v>
      </c>
      <c r="H369" s="63">
        <f t="shared" si="1173"/>
        <v>1006.499</v>
      </c>
      <c r="I369" s="63">
        <f t="shared" si="1173"/>
        <v>821.93400000000008</v>
      </c>
      <c r="J369" s="63">
        <f t="shared" si="1173"/>
        <v>919.476</v>
      </c>
      <c r="K369" s="63">
        <f t="shared" si="1173"/>
        <v>1092.5476791353649</v>
      </c>
      <c r="L369" s="63">
        <f t="shared" si="1173"/>
        <v>1505.8346298403485</v>
      </c>
      <c r="M369" s="63">
        <f t="shared" si="1173"/>
        <v>833.86465691669218</v>
      </c>
      <c r="N369" s="273"/>
      <c r="O369" s="63">
        <f>SUM(O366:O368)</f>
        <v>579.28399999999999</v>
      </c>
      <c r="P369" s="63">
        <f t="shared" ref="P369:AQ369" si="1174">SUM(P366:P368)</f>
        <v>1988.0820000000001</v>
      </c>
      <c r="Q369" s="63">
        <f t="shared" si="1174"/>
        <v>2261.52</v>
      </c>
      <c r="R369" s="63">
        <f t="shared" si="1174"/>
        <v>2154.38</v>
      </c>
      <c r="S369" s="63">
        <f t="shared" si="1174"/>
        <v>2230.5919999999996</v>
      </c>
      <c r="T369" s="63">
        <f t="shared" si="1174"/>
        <v>1024.95</v>
      </c>
      <c r="U369" s="63">
        <f t="shared" si="1174"/>
        <v>1415.7649999999999</v>
      </c>
      <c r="V369" s="63">
        <f t="shared" si="1174"/>
        <v>1802.5620000000004</v>
      </c>
      <c r="W369" s="63">
        <f t="shared" si="1174"/>
        <v>1581.0409999999999</v>
      </c>
      <c r="X369" s="63">
        <f t="shared" si="1174"/>
        <v>1486.521</v>
      </c>
      <c r="Y369" s="63">
        <f t="shared" si="1174"/>
        <v>1134.6659999999999</v>
      </c>
      <c r="Z369" s="63">
        <f t="shared" si="1174"/>
        <v>1132.3820000000001</v>
      </c>
      <c r="AA369" s="63">
        <f t="shared" si="1174"/>
        <v>1091.146</v>
      </c>
      <c r="AB369" s="63">
        <f t="shared" si="1174"/>
        <v>1180.1559999999999</v>
      </c>
      <c r="AC369" s="63">
        <f t="shared" si="1174"/>
        <v>1125.422</v>
      </c>
      <c r="AD369" s="63">
        <f t="shared" si="1174"/>
        <v>1311.424</v>
      </c>
      <c r="AE369" s="63">
        <f t="shared" si="1174"/>
        <v>1238.1420000000001</v>
      </c>
      <c r="AF369" s="63">
        <f t="shared" si="1174"/>
        <v>1319.586</v>
      </c>
      <c r="AG369" s="63">
        <f t="shared" si="1174"/>
        <v>1415.5810000000001</v>
      </c>
      <c r="AH369" s="63">
        <f t="shared" si="1174"/>
        <v>1567.4749999999999</v>
      </c>
      <c r="AI369" s="63">
        <f t="shared" si="1174"/>
        <v>1156.596</v>
      </c>
      <c r="AJ369" s="63">
        <f t="shared" si="1174"/>
        <v>1222.7529999999999</v>
      </c>
      <c r="AK369" s="63">
        <f t="shared" si="1174"/>
        <v>1049.5509999999999</v>
      </c>
      <c r="AL369" s="63">
        <f t="shared" si="1174"/>
        <v>1006.499</v>
      </c>
      <c r="AM369" s="63">
        <f t="shared" si="1174"/>
        <v>871.26799999999992</v>
      </c>
      <c r="AN369" s="63">
        <f t="shared" si="1174"/>
        <v>868.17499999999995</v>
      </c>
      <c r="AO369" s="63">
        <f t="shared" si="1174"/>
        <v>787.86200000000008</v>
      </c>
      <c r="AP369" s="63">
        <f t="shared" si="1174"/>
        <v>821.93400000000008</v>
      </c>
      <c r="AQ369" s="63">
        <f t="shared" si="1174"/>
        <v>771.649</v>
      </c>
      <c r="AR369" s="63">
        <f t="shared" ref="AR369:AS369" si="1175">SUM(AR366:AR368)</f>
        <v>876.56700000000001</v>
      </c>
      <c r="AS369" s="63">
        <f t="shared" si="1175"/>
        <v>830.67399999999998</v>
      </c>
      <c r="AT369" s="63">
        <f t="shared" ref="AT369" si="1176">SUM(AT366:AT368)</f>
        <v>919.476</v>
      </c>
      <c r="AU369" s="63">
        <f t="shared" ref="AU369" si="1177">SUM(AU366:AU368)</f>
        <v>1142.8022202840179</v>
      </c>
      <c r="AV369" s="63">
        <f t="shared" ref="AV369" si="1178">SUM(AV366:AV368)</f>
        <v>1119.395807061047</v>
      </c>
      <c r="AW369" s="63">
        <f t="shared" ref="AW369" si="1179">SUM(AW366:AW368)</f>
        <v>1108.7730996499645</v>
      </c>
      <c r="AX369" s="63">
        <f t="shared" ref="AX369" si="1180">SUM(AX366:AX368)</f>
        <v>1092.5476791353649</v>
      </c>
      <c r="AY369" s="63">
        <f t="shared" ref="AY369" si="1181">SUM(AY366:AY368)</f>
        <v>804.8940849539556</v>
      </c>
      <c r="AZ369" s="63">
        <f t="shared" ref="AZ369" si="1182">SUM(AZ366:AZ368)</f>
        <v>804.21967976411327</v>
      </c>
      <c r="BA369" s="63">
        <f t="shared" ref="BA369" si="1183">SUM(BA366:BA368)</f>
        <v>1494.3984406410277</v>
      </c>
      <c r="BB369" s="63">
        <f t="shared" ref="BB369" si="1184">SUM(BB366:BB368)</f>
        <v>1505.8346298403485</v>
      </c>
      <c r="BC369" s="63">
        <f t="shared" ref="BC369" si="1185">SUM(BC366:BC368)</f>
        <v>824.44231019579388</v>
      </c>
      <c r="BD369" s="63">
        <f t="shared" ref="BD369" si="1186">SUM(BD366:BD368)</f>
        <v>818.30033126663761</v>
      </c>
      <c r="BE369" s="63">
        <f t="shared" ref="BE369" si="1187">SUM(BE366:BE368)</f>
        <v>830.03488011858485</v>
      </c>
      <c r="BF369" s="63">
        <f t="shared" ref="BF369" si="1188">SUM(BF366:BF368)</f>
        <v>833.86465691669218</v>
      </c>
      <c r="BG369" s="80"/>
      <c r="BH369" s="80"/>
      <c r="BI369" s="80"/>
      <c r="BJ369" s="116">
        <f t="shared" si="1107"/>
        <v>360</v>
      </c>
    </row>
    <row r="370" spans="1:62" outlineLevel="1">
      <c r="B370" s="10" t="s">
        <v>128</v>
      </c>
      <c r="C370" s="50">
        <f t="shared" si="1169"/>
        <v>3064.1260000000002</v>
      </c>
      <c r="D370" s="50">
        <f t="shared" si="1169"/>
        <v>4348.49</v>
      </c>
      <c r="E370" s="50">
        <f t="shared" si="1169"/>
        <v>4379.3360000000002</v>
      </c>
      <c r="F370" s="50">
        <f t="shared" si="1169"/>
        <v>3904.1170000000002</v>
      </c>
      <c r="G370" s="50">
        <f t="shared" si="1169"/>
        <v>4348.8590000000004</v>
      </c>
      <c r="H370" s="50">
        <f t="shared" si="1169"/>
        <v>3655.2</v>
      </c>
      <c r="I370" s="50">
        <f t="shared" si="1169"/>
        <v>3578.335</v>
      </c>
      <c r="J370" s="50">
        <f t="shared" si="1169"/>
        <v>4027.7660000000001</v>
      </c>
      <c r="K370" s="50">
        <f t="shared" si="1169"/>
        <v>3647.5691448273519</v>
      </c>
      <c r="L370" s="50">
        <f t="shared" si="1169"/>
        <v>2883.8500000000004</v>
      </c>
      <c r="M370" s="50">
        <f t="shared" si="1169"/>
        <v>3049.8379102627205</v>
      </c>
      <c r="O370" s="51">
        <v>3855.8969999999999</v>
      </c>
      <c r="P370" s="51">
        <v>2364.703</v>
      </c>
      <c r="Q370" s="51">
        <v>3066.748</v>
      </c>
      <c r="R370" s="51">
        <v>3064.1260000000002</v>
      </c>
      <c r="S370" s="51">
        <v>3064.0349999999999</v>
      </c>
      <c r="T370" s="51">
        <v>4264.5860000000002</v>
      </c>
      <c r="U370" s="51">
        <v>4088.1329999999998</v>
      </c>
      <c r="V370" s="51">
        <v>4348.49</v>
      </c>
      <c r="W370" s="51">
        <v>4497.7250000000004</v>
      </c>
      <c r="X370" s="51">
        <v>4398.4520000000002</v>
      </c>
      <c r="Y370" s="51">
        <v>4678.8959999999997</v>
      </c>
      <c r="Z370" s="51">
        <v>4379.3360000000002</v>
      </c>
      <c r="AA370" s="51">
        <v>4379.7579999999998</v>
      </c>
      <c r="AB370" s="51">
        <v>4071.1909999999998</v>
      </c>
      <c r="AC370" s="51">
        <v>4036.027</v>
      </c>
      <c r="AD370" s="51">
        <v>3904.1170000000002</v>
      </c>
      <c r="AE370" s="51">
        <v>3812.4760000000001</v>
      </c>
      <c r="AF370" s="51">
        <v>3956.29</v>
      </c>
      <c r="AG370" s="51">
        <v>4255.1360000000004</v>
      </c>
      <c r="AH370" s="51">
        <v>4348.8590000000004</v>
      </c>
      <c r="AI370" s="51">
        <v>3816.7170000000001</v>
      </c>
      <c r="AJ370" s="51">
        <v>3691.357</v>
      </c>
      <c r="AK370" s="51">
        <v>3737.7730000000001</v>
      </c>
      <c r="AL370" s="51">
        <v>3655.2</v>
      </c>
      <c r="AM370" s="51">
        <v>3584.402</v>
      </c>
      <c r="AN370" s="51">
        <v>3503.172</v>
      </c>
      <c r="AO370" s="51">
        <v>3475.9780000000001</v>
      </c>
      <c r="AP370" s="51">
        <v>3578.335</v>
      </c>
      <c r="AQ370" s="51">
        <v>3661.665</v>
      </c>
      <c r="AR370" s="51">
        <v>3740.248</v>
      </c>
      <c r="AS370" s="51">
        <v>3958.6149999999998</v>
      </c>
      <c r="AT370" s="51">
        <v>4027.7660000000001</v>
      </c>
      <c r="AU370" s="95">
        <f t="shared" ref="AU370:BF370" si="1189">AU478</f>
        <v>3587.9988151429661</v>
      </c>
      <c r="AV370" s="95">
        <f t="shared" si="1189"/>
        <v>3619.0079249878363</v>
      </c>
      <c r="AW370" s="95">
        <f t="shared" si="1189"/>
        <v>3645.911291882725</v>
      </c>
      <c r="AX370" s="95">
        <f t="shared" si="1189"/>
        <v>3647.5691448273519</v>
      </c>
      <c r="AY370" s="95">
        <f t="shared" si="1189"/>
        <v>3754.3846428922534</v>
      </c>
      <c r="AZ370" s="95">
        <f t="shared" si="1189"/>
        <v>3667.4455921816725</v>
      </c>
      <c r="BA370" s="95">
        <f t="shared" si="1189"/>
        <v>2924.9943263750556</v>
      </c>
      <c r="BB370" s="95">
        <f t="shared" si="1189"/>
        <v>2883.8500000000004</v>
      </c>
      <c r="BC370" s="95">
        <f t="shared" si="1189"/>
        <v>3553.6959999999999</v>
      </c>
      <c r="BD370" s="95">
        <f t="shared" si="1189"/>
        <v>3553.6959999999999</v>
      </c>
      <c r="BE370" s="95">
        <f t="shared" si="1189"/>
        <v>3166.1790686736385</v>
      </c>
      <c r="BF370" s="95">
        <f t="shared" si="1189"/>
        <v>3049.8379102627205</v>
      </c>
      <c r="BJ370" s="116">
        <f t="shared" si="1107"/>
        <v>361</v>
      </c>
    </row>
    <row r="371" spans="1:62" outlineLevel="1">
      <c r="B371" s="10" t="s">
        <v>117</v>
      </c>
      <c r="C371" s="50">
        <f t="shared" si="1169"/>
        <v>770.24699999999996</v>
      </c>
      <c r="D371" s="50">
        <f t="shared" si="1169"/>
        <v>797.92499999999995</v>
      </c>
      <c r="E371" s="50">
        <f t="shared" si="1169"/>
        <v>599.33500000000004</v>
      </c>
      <c r="F371" s="50">
        <f t="shared" si="1169"/>
        <v>516.16099999999994</v>
      </c>
      <c r="G371" s="50">
        <f t="shared" si="1169"/>
        <v>443.00299999999999</v>
      </c>
      <c r="H371" s="50">
        <f t="shared" si="1169"/>
        <v>29.326000000000001</v>
      </c>
      <c r="I371" s="50">
        <f t="shared" si="1169"/>
        <v>9.4949999999999992</v>
      </c>
      <c r="J371" s="50">
        <f t="shared" si="1169"/>
        <v>10.337999999999999</v>
      </c>
      <c r="K371" s="50">
        <f t="shared" si="1169"/>
        <v>10.337999999999999</v>
      </c>
      <c r="L371" s="50">
        <f t="shared" si="1169"/>
        <v>10.337999999999999</v>
      </c>
      <c r="M371" s="50">
        <f t="shared" si="1169"/>
        <v>10.337999999999999</v>
      </c>
      <c r="O371" s="51">
        <v>688.10500000000002</v>
      </c>
      <c r="P371" s="51">
        <v>674.79600000000005</v>
      </c>
      <c r="Q371" s="51">
        <v>768.86199999999997</v>
      </c>
      <c r="R371" s="51">
        <v>770.24699999999996</v>
      </c>
      <c r="S371" s="51">
        <v>789.74300000000005</v>
      </c>
      <c r="T371" s="51">
        <v>830.75699999999995</v>
      </c>
      <c r="U371" s="51">
        <v>881.65899999999999</v>
      </c>
      <c r="V371" s="51">
        <v>797.92499999999995</v>
      </c>
      <c r="W371" s="51">
        <v>855.05700000000002</v>
      </c>
      <c r="X371" s="51">
        <v>834.20699999999999</v>
      </c>
      <c r="Y371" s="51">
        <v>737.26900000000001</v>
      </c>
      <c r="Z371" s="51">
        <v>599.33500000000004</v>
      </c>
      <c r="AA371" s="51">
        <v>570.12099999999998</v>
      </c>
      <c r="AB371" s="51">
        <v>548.61800000000005</v>
      </c>
      <c r="AC371" s="51">
        <v>692.51400000000001</v>
      </c>
      <c r="AD371" s="51">
        <v>516.16099999999994</v>
      </c>
      <c r="AE371" s="51">
        <v>526.005</v>
      </c>
      <c r="AF371" s="51">
        <v>481.67099999999999</v>
      </c>
      <c r="AG371" s="51">
        <v>478.42099999999999</v>
      </c>
      <c r="AH371" s="51">
        <v>443.00299999999999</v>
      </c>
      <c r="AI371" s="51">
        <v>58.997</v>
      </c>
      <c r="AJ371" s="51">
        <v>37.286999999999999</v>
      </c>
      <c r="AK371" s="51">
        <v>0</v>
      </c>
      <c r="AL371" s="51">
        <v>29.326000000000001</v>
      </c>
      <c r="AM371" s="51">
        <v>13.378</v>
      </c>
      <c r="AN371" s="51">
        <v>44.225000000000001</v>
      </c>
      <c r="AO371" s="51">
        <v>10.965999999999999</v>
      </c>
      <c r="AP371" s="51">
        <v>9.4949999999999992</v>
      </c>
      <c r="AQ371" s="51">
        <v>8.3559999999999999</v>
      </c>
      <c r="AR371" s="51">
        <v>12.364000000000001</v>
      </c>
      <c r="AS371" s="51">
        <v>20.288</v>
      </c>
      <c r="AT371" s="51">
        <v>10.337999999999999</v>
      </c>
      <c r="AU371" s="96">
        <f t="shared" ref="AU371:BF371" si="1190">AT371</f>
        <v>10.337999999999999</v>
      </c>
      <c r="AV371" s="96">
        <f t="shared" si="1190"/>
        <v>10.337999999999999</v>
      </c>
      <c r="AW371" s="96">
        <f t="shared" si="1190"/>
        <v>10.337999999999999</v>
      </c>
      <c r="AX371" s="96">
        <f t="shared" si="1190"/>
        <v>10.337999999999999</v>
      </c>
      <c r="AY371" s="96">
        <f t="shared" si="1190"/>
        <v>10.337999999999999</v>
      </c>
      <c r="AZ371" s="96">
        <f t="shared" si="1190"/>
        <v>10.337999999999999</v>
      </c>
      <c r="BA371" s="96">
        <f t="shared" si="1190"/>
        <v>10.337999999999999</v>
      </c>
      <c r="BB371" s="96">
        <f t="shared" si="1190"/>
        <v>10.337999999999999</v>
      </c>
      <c r="BC371" s="96">
        <f t="shared" si="1190"/>
        <v>10.337999999999999</v>
      </c>
      <c r="BD371" s="96">
        <f t="shared" si="1190"/>
        <v>10.337999999999999</v>
      </c>
      <c r="BE371" s="96">
        <f t="shared" si="1190"/>
        <v>10.337999999999999</v>
      </c>
      <c r="BF371" s="96">
        <f t="shared" si="1190"/>
        <v>10.337999999999999</v>
      </c>
      <c r="BJ371" s="116">
        <f t="shared" si="1107"/>
        <v>362</v>
      </c>
    </row>
    <row r="372" spans="1:62" outlineLevel="1">
      <c r="B372" s="10" t="s">
        <v>129</v>
      </c>
      <c r="C372" s="50">
        <f t="shared" si="1169"/>
        <v>314.95299999999997</v>
      </c>
      <c r="D372" s="50">
        <f t="shared" si="1169"/>
        <v>361.94599999999997</v>
      </c>
      <c r="E372" s="50">
        <f t="shared" si="1169"/>
        <v>587.85199999999998</v>
      </c>
      <c r="F372" s="50">
        <f t="shared" si="1169"/>
        <v>446.93200000000002</v>
      </c>
      <c r="G372" s="50">
        <f t="shared" si="1169"/>
        <v>601.81600000000003</v>
      </c>
      <c r="H372" s="50">
        <f t="shared" si="1169"/>
        <v>552.947</v>
      </c>
      <c r="I372" s="50">
        <f t="shared" si="1169"/>
        <v>522.45600000000002</v>
      </c>
      <c r="J372" s="50">
        <f t="shared" si="1169"/>
        <v>301.63299999999998</v>
      </c>
      <c r="K372" s="50">
        <f t="shared" si="1169"/>
        <v>301.63299999999998</v>
      </c>
      <c r="L372" s="50">
        <f t="shared" si="1169"/>
        <v>301.63299999999998</v>
      </c>
      <c r="M372" s="50">
        <f t="shared" si="1169"/>
        <v>301.63299999999998</v>
      </c>
      <c r="O372" s="51">
        <v>242.756</v>
      </c>
      <c r="P372" s="51">
        <v>244.15100000000001</v>
      </c>
      <c r="Q372" s="51">
        <v>303.02800000000002</v>
      </c>
      <c r="R372" s="51">
        <v>314.95299999999997</v>
      </c>
      <c r="S372" s="51">
        <v>331.74399999999997</v>
      </c>
      <c r="T372" s="51">
        <v>326.88400000000001</v>
      </c>
      <c r="U372" s="51">
        <v>289.25</v>
      </c>
      <c r="V372" s="51">
        <v>361.94599999999997</v>
      </c>
      <c r="W372" s="51">
        <v>391.19099999999997</v>
      </c>
      <c r="X372" s="51">
        <v>395.39</v>
      </c>
      <c r="Y372" s="51">
        <v>517.60599999999999</v>
      </c>
      <c r="Z372" s="51">
        <v>587.85199999999998</v>
      </c>
      <c r="AA372" s="51">
        <v>559.74700000000007</v>
      </c>
      <c r="AB372" s="51">
        <v>533.65300000000002</v>
      </c>
      <c r="AC372" s="51">
        <v>510.56</v>
      </c>
      <c r="AD372" s="51">
        <v>446.93200000000002</v>
      </c>
      <c r="AE372" s="51">
        <v>639.18100000000004</v>
      </c>
      <c r="AF372" s="51">
        <v>596.53</v>
      </c>
      <c r="AG372" s="51">
        <v>596.96799999999996</v>
      </c>
      <c r="AH372" s="51">
        <v>601.81600000000003</v>
      </c>
      <c r="AI372" s="51">
        <v>604.52599999999995</v>
      </c>
      <c r="AJ372" s="51">
        <v>626.51099999999997</v>
      </c>
      <c r="AK372" s="51">
        <v>630.45799999999997</v>
      </c>
      <c r="AL372" s="51">
        <v>552.947</v>
      </c>
      <c r="AM372" s="51">
        <v>565.08600000000001</v>
      </c>
      <c r="AN372" s="51">
        <v>518.03499999999997</v>
      </c>
      <c r="AO372" s="51">
        <v>551.00400000000002</v>
      </c>
      <c r="AP372" s="51">
        <v>522.45600000000002</v>
      </c>
      <c r="AQ372" s="51">
        <v>467.24799999999999</v>
      </c>
      <c r="AR372" s="51">
        <v>390.50099999999998</v>
      </c>
      <c r="AS372" s="51">
        <v>351.78699999999998</v>
      </c>
      <c r="AT372" s="51">
        <v>301.63299999999998</v>
      </c>
      <c r="AU372" s="51">
        <f t="shared" ref="AU372:BF372" si="1191">AT372</f>
        <v>301.63299999999998</v>
      </c>
      <c r="AV372" s="51">
        <f t="shared" si="1191"/>
        <v>301.63299999999998</v>
      </c>
      <c r="AW372" s="51">
        <f t="shared" si="1191"/>
        <v>301.63299999999998</v>
      </c>
      <c r="AX372" s="51">
        <f t="shared" si="1191"/>
        <v>301.63299999999998</v>
      </c>
      <c r="AY372" s="51">
        <f t="shared" si="1191"/>
        <v>301.63299999999998</v>
      </c>
      <c r="AZ372" s="51">
        <f t="shared" si="1191"/>
        <v>301.63299999999998</v>
      </c>
      <c r="BA372" s="51">
        <f t="shared" si="1191"/>
        <v>301.63299999999998</v>
      </c>
      <c r="BB372" s="51">
        <f t="shared" si="1191"/>
        <v>301.63299999999998</v>
      </c>
      <c r="BC372" s="51">
        <f t="shared" si="1191"/>
        <v>301.63299999999998</v>
      </c>
      <c r="BD372" s="51">
        <f t="shared" si="1191"/>
        <v>301.63299999999998</v>
      </c>
      <c r="BE372" s="51">
        <f t="shared" si="1191"/>
        <v>301.63299999999998</v>
      </c>
      <c r="BF372" s="51">
        <f t="shared" si="1191"/>
        <v>301.63299999999998</v>
      </c>
      <c r="BJ372" s="116">
        <f t="shared" si="1107"/>
        <v>363</v>
      </c>
    </row>
    <row r="373" spans="1:62" outlineLevel="1">
      <c r="B373" s="10" t="s">
        <v>417</v>
      </c>
      <c r="C373" s="50">
        <f t="shared" si="1169"/>
        <v>0</v>
      </c>
      <c r="D373" s="50">
        <f t="shared" si="1169"/>
        <v>0</v>
      </c>
      <c r="E373" s="50">
        <f t="shared" si="1169"/>
        <v>0</v>
      </c>
      <c r="F373" s="50">
        <f t="shared" si="1169"/>
        <v>0</v>
      </c>
      <c r="G373" s="50">
        <f t="shared" si="1169"/>
        <v>0</v>
      </c>
      <c r="H373" s="50">
        <f t="shared" si="1169"/>
        <v>0</v>
      </c>
      <c r="I373" s="50">
        <f t="shared" si="1169"/>
        <v>0</v>
      </c>
      <c r="J373" s="50">
        <f t="shared" si="1169"/>
        <v>203.99799999999999</v>
      </c>
      <c r="K373" s="50">
        <f t="shared" si="1169"/>
        <v>220.37548594335692</v>
      </c>
      <c r="L373" s="50">
        <f t="shared" si="1169"/>
        <v>323.63300235452601</v>
      </c>
      <c r="M373" s="50">
        <f t="shared" si="1169"/>
        <v>352.68394699521622</v>
      </c>
      <c r="O373" s="51">
        <v>0</v>
      </c>
      <c r="P373" s="51">
        <v>0</v>
      </c>
      <c r="Q373" s="51">
        <v>0</v>
      </c>
      <c r="R373" s="51">
        <v>0</v>
      </c>
      <c r="S373" s="51">
        <v>0</v>
      </c>
      <c r="T373" s="51">
        <v>0</v>
      </c>
      <c r="U373" s="51">
        <v>0</v>
      </c>
      <c r="V373" s="51">
        <v>0</v>
      </c>
      <c r="W373" s="51">
        <v>0</v>
      </c>
      <c r="X373" s="51">
        <v>0</v>
      </c>
      <c r="Y373" s="51">
        <v>0</v>
      </c>
      <c r="Z373" s="51">
        <v>0</v>
      </c>
      <c r="AA373" s="51">
        <v>0</v>
      </c>
      <c r="AB373" s="51">
        <v>0</v>
      </c>
      <c r="AC373" s="51">
        <v>0</v>
      </c>
      <c r="AD373" s="51">
        <v>0</v>
      </c>
      <c r="AE373" s="51">
        <v>0</v>
      </c>
      <c r="AF373" s="51">
        <v>0</v>
      </c>
      <c r="AG373" s="51">
        <v>0</v>
      </c>
      <c r="AH373" s="51">
        <v>0</v>
      </c>
      <c r="AI373" s="51">
        <v>0</v>
      </c>
      <c r="AJ373" s="51">
        <v>0</v>
      </c>
      <c r="AK373" s="51">
        <v>0</v>
      </c>
      <c r="AL373" s="51">
        <v>0</v>
      </c>
      <c r="AM373" s="51">
        <v>0</v>
      </c>
      <c r="AN373" s="51">
        <v>0</v>
      </c>
      <c r="AO373" s="51">
        <v>0</v>
      </c>
      <c r="AP373" s="51">
        <v>0</v>
      </c>
      <c r="AQ373" s="51">
        <v>0</v>
      </c>
      <c r="AR373" s="51">
        <v>0</v>
      </c>
      <c r="AS373" s="51">
        <v>0</v>
      </c>
      <c r="AT373" s="51">
        <v>203.99799999999999</v>
      </c>
      <c r="AU373" s="227">
        <f>+AT373+AU311</f>
        <v>208.42657142857141</v>
      </c>
      <c r="AV373" s="227">
        <f t="shared" ref="AV373:BF373" si="1192">+AU373+AV311</f>
        <v>212.18983673469387</v>
      </c>
      <c r="AW373" s="227">
        <f t="shared" si="1192"/>
        <v>216.20798542274051</v>
      </c>
      <c r="AX373" s="227">
        <f t="shared" si="1192"/>
        <v>220.37548594335692</v>
      </c>
      <c r="AY373" s="267">
        <f>+AX373+AY311+75</f>
        <v>303.98700430252273</v>
      </c>
      <c r="AZ373" s="227">
        <f t="shared" si="1192"/>
        <v>310.20882557743266</v>
      </c>
      <c r="BA373" s="227">
        <f t="shared" si="1192"/>
        <v>316.81022466395291</v>
      </c>
      <c r="BB373" s="227">
        <f t="shared" si="1192"/>
        <v>323.63300235452601</v>
      </c>
      <c r="BC373" s="227">
        <f t="shared" si="1192"/>
        <v>330.5192522704358</v>
      </c>
      <c r="BD373" s="227">
        <f t="shared" si="1192"/>
        <v>337.6113504036345</v>
      </c>
      <c r="BE373" s="227">
        <f t="shared" si="1192"/>
        <v>345.05194503207611</v>
      </c>
      <c r="BF373" s="227">
        <f t="shared" si="1192"/>
        <v>352.68394699521622</v>
      </c>
      <c r="BJ373" s="116">
        <f t="shared" si="1107"/>
        <v>364</v>
      </c>
    </row>
    <row r="374" spans="1:62" hidden="1" outlineLevel="2">
      <c r="A374" s="87"/>
      <c r="B374" s="83" t="s">
        <v>130</v>
      </c>
      <c r="C374" s="86">
        <f t="shared" si="1169"/>
        <v>0.315</v>
      </c>
      <c r="D374" s="86">
        <f t="shared" si="1169"/>
        <v>0.317</v>
      </c>
      <c r="E374" s="86">
        <f t="shared" si="1169"/>
        <v>0.31900000000000001</v>
      </c>
      <c r="F374" s="86">
        <f t="shared" si="1169"/>
        <v>0.32400000000000001</v>
      </c>
      <c r="G374" s="86">
        <f t="shared" si="1169"/>
        <v>0.32800000000000001</v>
      </c>
      <c r="H374" s="86">
        <f t="shared" si="1169"/>
        <v>0.33100000000000002</v>
      </c>
      <c r="I374" s="86">
        <f t="shared" si="1169"/>
        <v>0.33400000000000002</v>
      </c>
      <c r="J374" s="86">
        <f t="shared" si="1169"/>
        <v>0.36799999999999999</v>
      </c>
      <c r="K374" s="86">
        <f t="shared" si="1169"/>
        <v>0.36799999999999999</v>
      </c>
      <c r="L374" s="86">
        <f t="shared" si="1169"/>
        <v>0.36799999999999999</v>
      </c>
      <c r="M374" s="86">
        <f t="shared" si="1169"/>
        <v>0.36799999999999999</v>
      </c>
      <c r="N374" s="232"/>
      <c r="O374" s="86">
        <v>0.314</v>
      </c>
      <c r="P374" s="86">
        <v>0.314</v>
      </c>
      <c r="Q374" s="86">
        <v>0.314</v>
      </c>
      <c r="R374" s="86">
        <v>0.315</v>
      </c>
      <c r="S374" s="86">
        <v>0.316</v>
      </c>
      <c r="T374" s="86">
        <v>0.316</v>
      </c>
      <c r="U374" s="86">
        <v>0.317</v>
      </c>
      <c r="V374" s="86">
        <v>0.317</v>
      </c>
      <c r="W374" s="86">
        <v>0.318</v>
      </c>
      <c r="X374" s="86">
        <v>0.31900000000000001</v>
      </c>
      <c r="Y374" s="86">
        <v>0.31900000000000001</v>
      </c>
      <c r="Z374" s="86">
        <v>0.31900000000000001</v>
      </c>
      <c r="AA374" s="86">
        <v>0.32300000000000001</v>
      </c>
      <c r="AB374" s="86">
        <v>0.32300000000000001</v>
      </c>
      <c r="AC374" s="86">
        <v>0.32300000000000001</v>
      </c>
      <c r="AD374" s="86">
        <v>0.32400000000000001</v>
      </c>
      <c r="AE374" s="86">
        <v>0.32600000000000001</v>
      </c>
      <c r="AF374" s="86">
        <v>0.32800000000000001</v>
      </c>
      <c r="AG374" s="86">
        <v>0.32800000000000001</v>
      </c>
      <c r="AH374" s="86">
        <v>0.32800000000000001</v>
      </c>
      <c r="AI374" s="86">
        <v>0.33</v>
      </c>
      <c r="AJ374" s="86">
        <v>0.33100000000000002</v>
      </c>
      <c r="AK374" s="86">
        <v>0.33100000000000002</v>
      </c>
      <c r="AL374" s="86">
        <v>0.33100000000000002</v>
      </c>
      <c r="AM374" s="86">
        <v>0.33200000000000002</v>
      </c>
      <c r="AN374" s="86">
        <v>0.33300000000000002</v>
      </c>
      <c r="AO374" s="86">
        <v>0.33300000000000002</v>
      </c>
      <c r="AP374" s="86">
        <v>0.33400000000000002</v>
      </c>
      <c r="AQ374" s="86">
        <v>0.33600000000000002</v>
      </c>
      <c r="AR374" s="86">
        <v>0.33600000000000002</v>
      </c>
      <c r="AS374" s="86">
        <v>0.33600000000000002</v>
      </c>
      <c r="AT374" s="86">
        <v>0.36799999999999999</v>
      </c>
      <c r="AU374" s="86">
        <f t="shared" ref="AU374:BF374" si="1193">AT374</f>
        <v>0.36799999999999999</v>
      </c>
      <c r="AV374" s="86">
        <f t="shared" si="1193"/>
        <v>0.36799999999999999</v>
      </c>
      <c r="AW374" s="86">
        <f t="shared" si="1193"/>
        <v>0.36799999999999999</v>
      </c>
      <c r="AX374" s="86">
        <f t="shared" si="1193"/>
        <v>0.36799999999999999</v>
      </c>
      <c r="AY374" s="86">
        <f t="shared" si="1193"/>
        <v>0.36799999999999999</v>
      </c>
      <c r="AZ374" s="86">
        <f t="shared" si="1193"/>
        <v>0.36799999999999999</v>
      </c>
      <c r="BA374" s="86">
        <f t="shared" si="1193"/>
        <v>0.36799999999999999</v>
      </c>
      <c r="BB374" s="86">
        <f t="shared" si="1193"/>
        <v>0.36799999999999999</v>
      </c>
      <c r="BC374" s="86">
        <f t="shared" si="1193"/>
        <v>0.36799999999999999</v>
      </c>
      <c r="BD374" s="86">
        <f t="shared" si="1193"/>
        <v>0.36799999999999999</v>
      </c>
      <c r="BE374" s="86">
        <f t="shared" si="1193"/>
        <v>0.36799999999999999</v>
      </c>
      <c r="BF374" s="86">
        <f t="shared" si="1193"/>
        <v>0.36799999999999999</v>
      </c>
      <c r="BG374" s="88"/>
      <c r="BH374" s="88"/>
      <c r="BI374" s="88"/>
      <c r="BJ374" s="116">
        <f t="shared" si="1107"/>
        <v>365</v>
      </c>
    </row>
    <row r="375" spans="1:62" hidden="1" outlineLevel="2">
      <c r="A375" s="87"/>
      <c r="B375" s="83" t="s">
        <v>337</v>
      </c>
      <c r="C375" s="86">
        <f t="shared" si="1169"/>
        <v>2255.7869999999998</v>
      </c>
      <c r="D375" s="86">
        <f t="shared" si="1169"/>
        <v>2287.7429999999999</v>
      </c>
      <c r="E375" s="86">
        <f t="shared" si="1169"/>
        <v>2337.2440000000001</v>
      </c>
      <c r="F375" s="86">
        <f t="shared" si="1169"/>
        <v>2392.585</v>
      </c>
      <c r="G375" s="86">
        <f t="shared" si="1169"/>
        <v>2452.261</v>
      </c>
      <c r="H375" s="86">
        <f t="shared" si="1169"/>
        <v>2493.1</v>
      </c>
      <c r="I375" s="86">
        <f t="shared" si="1169"/>
        <v>2521.3319999999999</v>
      </c>
      <c r="J375" s="86">
        <f t="shared" si="1169"/>
        <v>2791.1289999999999</v>
      </c>
      <c r="K375" s="86">
        <f t="shared" si="1169"/>
        <v>2818.4849999999997</v>
      </c>
      <c r="L375" s="86">
        <f t="shared" si="1169"/>
        <v>2920.8409999999994</v>
      </c>
      <c r="M375" s="86">
        <f t="shared" si="1169"/>
        <v>2948.1969999999992</v>
      </c>
      <c r="N375" s="232"/>
      <c r="O375" s="86">
        <v>2241.4580000000001</v>
      </c>
      <c r="P375" s="86">
        <v>2245.5920000000001</v>
      </c>
      <c r="Q375" s="86">
        <v>2249.7959999999998</v>
      </c>
      <c r="R375" s="86">
        <v>2255.7869999999998</v>
      </c>
      <c r="S375" s="86">
        <v>2266.8000000000002</v>
      </c>
      <c r="T375" s="86">
        <v>2273.0160000000001</v>
      </c>
      <c r="U375" s="86">
        <v>2282.8029999999999</v>
      </c>
      <c r="V375" s="86">
        <v>2287.7429999999999</v>
      </c>
      <c r="W375" s="86">
        <v>2322.3150000000001</v>
      </c>
      <c r="X375" s="86">
        <v>2326.59</v>
      </c>
      <c r="Y375" s="86">
        <v>2332.3870000000002</v>
      </c>
      <c r="Z375" s="86">
        <v>2337.2440000000001</v>
      </c>
      <c r="AA375" s="86">
        <v>2368.3470000000002</v>
      </c>
      <c r="AB375" s="86">
        <v>2376.2449999999999</v>
      </c>
      <c r="AC375" s="86">
        <v>2384.4209999999998</v>
      </c>
      <c r="AD375" s="86">
        <v>2392.585</v>
      </c>
      <c r="AE375" s="86">
        <v>2401.614</v>
      </c>
      <c r="AF375" s="86">
        <v>2433.6260000000002</v>
      </c>
      <c r="AG375" s="86">
        <v>2443.3809999999999</v>
      </c>
      <c r="AH375" s="86">
        <v>2452.261</v>
      </c>
      <c r="AI375" s="86">
        <v>2459.0430000000001</v>
      </c>
      <c r="AJ375" s="86">
        <v>2476.1320000000001</v>
      </c>
      <c r="AK375" s="86">
        <v>2484.9459999999999</v>
      </c>
      <c r="AL375" s="86">
        <v>2493.1</v>
      </c>
      <c r="AM375" s="86">
        <v>2497.2829999999999</v>
      </c>
      <c r="AN375" s="86">
        <v>2505.451</v>
      </c>
      <c r="AO375" s="86">
        <v>2513.4169999999999</v>
      </c>
      <c r="AP375" s="86">
        <v>2521.3319999999999</v>
      </c>
      <c r="AQ375" s="86">
        <v>2612.4569999999999</v>
      </c>
      <c r="AR375" s="86">
        <v>2617.7190000000001</v>
      </c>
      <c r="AS375" s="86">
        <v>2624.7109999999998</v>
      </c>
      <c r="AT375" s="86">
        <v>2791.1289999999999</v>
      </c>
      <c r="AU375" s="86">
        <f t="shared" ref="AU375:BF375" si="1194">+AT375+AU342+AU326</f>
        <v>2797.9679999999998</v>
      </c>
      <c r="AV375" s="86">
        <f t="shared" si="1194"/>
        <v>2804.8069999999998</v>
      </c>
      <c r="AW375" s="86">
        <f t="shared" si="1194"/>
        <v>2811.6459999999997</v>
      </c>
      <c r="AX375" s="86">
        <f t="shared" si="1194"/>
        <v>2818.4849999999997</v>
      </c>
      <c r="AY375" s="265">
        <f>+AX375+AY342+AY326+75</f>
        <v>2900.3239999999996</v>
      </c>
      <c r="AZ375" s="86">
        <f t="shared" si="1194"/>
        <v>2907.1629999999996</v>
      </c>
      <c r="BA375" s="86">
        <f t="shared" si="1194"/>
        <v>2914.0019999999995</v>
      </c>
      <c r="BB375" s="86">
        <f t="shared" si="1194"/>
        <v>2920.8409999999994</v>
      </c>
      <c r="BC375" s="86">
        <f t="shared" si="1194"/>
        <v>2927.6799999999994</v>
      </c>
      <c r="BD375" s="86">
        <f t="shared" si="1194"/>
        <v>2934.5189999999993</v>
      </c>
      <c r="BE375" s="86">
        <f t="shared" si="1194"/>
        <v>2941.3579999999993</v>
      </c>
      <c r="BF375" s="86">
        <f t="shared" si="1194"/>
        <v>2948.1969999999992</v>
      </c>
      <c r="BG375" s="88"/>
      <c r="BH375" s="88"/>
      <c r="BI375" s="88"/>
      <c r="BJ375" s="116">
        <f t="shared" si="1107"/>
        <v>366</v>
      </c>
    </row>
    <row r="376" spans="1:62" hidden="1" outlineLevel="2">
      <c r="A376" s="87"/>
      <c r="B376" s="83" t="s">
        <v>131</v>
      </c>
      <c r="C376" s="86">
        <f t="shared" si="1169"/>
        <v>3707.8809999999999</v>
      </c>
      <c r="D376" s="86">
        <f t="shared" si="1169"/>
        <v>3956.364</v>
      </c>
      <c r="E376" s="86">
        <f t="shared" si="1169"/>
        <v>4120.3980000000001</v>
      </c>
      <c r="F376" s="86">
        <f t="shared" si="1169"/>
        <v>4213.2120000000004</v>
      </c>
      <c r="G376" s="86">
        <f t="shared" si="1169"/>
        <v>3573.172</v>
      </c>
      <c r="H376" s="86">
        <f t="shared" si="1169"/>
        <v>3131.134</v>
      </c>
      <c r="I376" s="86">
        <f t="shared" si="1169"/>
        <v>2033.4269999999999</v>
      </c>
      <c r="J376" s="86">
        <f t="shared" si="1169"/>
        <v>1423.154</v>
      </c>
      <c r="K376" s="86">
        <f t="shared" si="1169"/>
        <v>1104.72879556719</v>
      </c>
      <c r="L376" s="86">
        <f t="shared" si="1169"/>
        <v>1055.2201203036725</v>
      </c>
      <c r="M376" s="86">
        <f t="shared" si="1169"/>
        <v>1165.1545829254048</v>
      </c>
      <c r="N376" s="232"/>
      <c r="O376" s="86">
        <v>3653.386</v>
      </c>
      <c r="P376" s="86">
        <v>3697.0070000000001</v>
      </c>
      <c r="Q376" s="86">
        <v>3657.4</v>
      </c>
      <c r="R376" s="86">
        <v>3707.8809999999999</v>
      </c>
      <c r="S376" s="86">
        <v>3790.7060000000001</v>
      </c>
      <c r="T376" s="86">
        <v>3983.154</v>
      </c>
      <c r="U376" s="86">
        <v>4057.41</v>
      </c>
      <c r="V376" s="86">
        <v>3956.364</v>
      </c>
      <c r="W376" s="86">
        <v>4090.4540000000002</v>
      </c>
      <c r="X376" s="86">
        <v>4017.665</v>
      </c>
      <c r="Y376" s="86">
        <v>4093.3209999999999</v>
      </c>
      <c r="Z376" s="86">
        <v>4120.3980000000001</v>
      </c>
      <c r="AA376" s="86">
        <v>4206.6279999999997</v>
      </c>
      <c r="AB376" s="86">
        <v>4191.6059999999998</v>
      </c>
      <c r="AC376" s="86">
        <v>4074.42</v>
      </c>
      <c r="AD376" s="86">
        <v>4213.2120000000004</v>
      </c>
      <c r="AE376" s="86">
        <v>4342.6899999999996</v>
      </c>
      <c r="AF376" s="86">
        <v>4393.5469999999996</v>
      </c>
      <c r="AG376" s="86">
        <v>4481.6059999999998</v>
      </c>
      <c r="AH376" s="86">
        <v>3573.172</v>
      </c>
      <c r="AI376" s="86">
        <v>3679.3359999999998</v>
      </c>
      <c r="AJ376" s="86">
        <v>3625.0050000000001</v>
      </c>
      <c r="AK376" s="86">
        <v>3311.6619999999998</v>
      </c>
      <c r="AL376" s="86">
        <v>3131.134</v>
      </c>
      <c r="AM376" s="86">
        <v>2715.9180000000001</v>
      </c>
      <c r="AN376" s="86">
        <v>2514.2649999999999</v>
      </c>
      <c r="AO376" s="86">
        <v>2386.0529999999999</v>
      </c>
      <c r="AP376" s="86">
        <v>2033.4269999999999</v>
      </c>
      <c r="AQ376" s="86">
        <v>1872.44</v>
      </c>
      <c r="AR376" s="86">
        <v>1722.335</v>
      </c>
      <c r="AS376" s="86">
        <v>1556.65</v>
      </c>
      <c r="AT376" s="86">
        <v>1423.154</v>
      </c>
      <c r="AU376" s="86">
        <f t="shared" ref="AU376:BF376" si="1195">+AT376+AU49+AU341</f>
        <v>1311.2791338263764</v>
      </c>
      <c r="AV376" s="86">
        <f t="shared" si="1195"/>
        <v>1221.1971202377683</v>
      </c>
      <c r="AW376" s="86">
        <f t="shared" si="1195"/>
        <v>1154.5840747850507</v>
      </c>
      <c r="AX376" s="86">
        <f t="shared" si="1195"/>
        <v>1104.72879556719</v>
      </c>
      <c r="AY376" s="266">
        <f t="shared" si="1195"/>
        <v>1063.4928259592521</v>
      </c>
      <c r="AZ376" s="86">
        <f t="shared" si="1195"/>
        <v>1040.3308250099365</v>
      </c>
      <c r="BA376" s="86">
        <f t="shared" si="1195"/>
        <v>1041.8601251935324</v>
      </c>
      <c r="BB376" s="86">
        <f t="shared" si="1195"/>
        <v>1055.2201203036725</v>
      </c>
      <c r="BC376" s="86">
        <f t="shared" si="1195"/>
        <v>1076.6792550804792</v>
      </c>
      <c r="BD376" s="86">
        <f t="shared" si="1195"/>
        <v>1095.9270105423611</v>
      </c>
      <c r="BE376" s="86">
        <f t="shared" si="1195"/>
        <v>1126.9672888852106</v>
      </c>
      <c r="BF376" s="86">
        <f t="shared" si="1195"/>
        <v>1165.1545829254048</v>
      </c>
      <c r="BG376" s="88"/>
      <c r="BH376" s="88"/>
      <c r="BI376" s="88"/>
      <c r="BJ376" s="116">
        <f t="shared" si="1107"/>
        <v>367</v>
      </c>
    </row>
    <row r="377" spans="1:62" hidden="1" outlineLevel="2">
      <c r="A377" s="87"/>
      <c r="B377" s="83" t="s">
        <v>132</v>
      </c>
      <c r="C377" s="86">
        <f t="shared" si="1169"/>
        <v>-977.87300000000005</v>
      </c>
      <c r="D377" s="86">
        <f t="shared" si="1169"/>
        <v>-977.87300000000005</v>
      </c>
      <c r="E377" s="86">
        <f t="shared" si="1169"/>
        <v>-944.62699999999995</v>
      </c>
      <c r="F377" s="86">
        <f t="shared" si="1169"/>
        <v>-944.62699999999995</v>
      </c>
      <c r="G377" s="86">
        <f t="shared" si="1169"/>
        <v>-1194.664</v>
      </c>
      <c r="H377" s="86">
        <f t="shared" si="1169"/>
        <v>-1294.2619999999999</v>
      </c>
      <c r="I377" s="86">
        <f t="shared" si="1169"/>
        <v>-1295.9490000000001</v>
      </c>
      <c r="J377" s="86">
        <f t="shared" si="1169"/>
        <v>-1314.02</v>
      </c>
      <c r="K377" s="86">
        <f t="shared" si="1169"/>
        <v>-1314.02</v>
      </c>
      <c r="L377" s="86">
        <f t="shared" si="1169"/>
        <v>-1314.02</v>
      </c>
      <c r="M377" s="86">
        <f t="shared" si="1169"/>
        <v>-1314.02</v>
      </c>
      <c r="N377" s="232"/>
      <c r="O377" s="86">
        <v>-977.87300000000005</v>
      </c>
      <c r="P377" s="86">
        <v>-977.87300000000005</v>
      </c>
      <c r="Q377" s="86">
        <v>-977.87300000000005</v>
      </c>
      <c r="R377" s="86">
        <v>-977.87300000000005</v>
      </c>
      <c r="S377" s="86">
        <v>-977.87300000000005</v>
      </c>
      <c r="T377" s="86">
        <v>-977.87300000000005</v>
      </c>
      <c r="U377" s="86">
        <v>-977.87300000000005</v>
      </c>
      <c r="V377" s="86">
        <v>-977.87300000000005</v>
      </c>
      <c r="W377" s="86">
        <v>-944.62699999999995</v>
      </c>
      <c r="X377" s="86">
        <v>-944.62699999999995</v>
      </c>
      <c r="Y377" s="86">
        <v>-944.62699999999995</v>
      </c>
      <c r="Z377" s="86">
        <v>-944.62699999999995</v>
      </c>
      <c r="AA377" s="86">
        <v>-944.62699999999995</v>
      </c>
      <c r="AB377" s="86">
        <v>-944.62699999999995</v>
      </c>
      <c r="AC377" s="86">
        <v>-944.62699999999995</v>
      </c>
      <c r="AD377" s="86">
        <v>-944.62699999999995</v>
      </c>
      <c r="AE377" s="86">
        <v>-944.62699999999995</v>
      </c>
      <c r="AF377" s="86">
        <v>-944.62699999999995</v>
      </c>
      <c r="AG377" s="86">
        <v>-1194.664</v>
      </c>
      <c r="AH377" s="86">
        <v>-1194.664</v>
      </c>
      <c r="AI377" s="86">
        <v>-1194.664</v>
      </c>
      <c r="AJ377" s="86">
        <v>-1194.664</v>
      </c>
      <c r="AK377" s="86">
        <v>-1273.0630000000001</v>
      </c>
      <c r="AL377" s="86">
        <v>-1294.2619999999999</v>
      </c>
      <c r="AM377" s="86">
        <v>-1295.9490000000001</v>
      </c>
      <c r="AN377" s="86">
        <v>-1295.9490000000001</v>
      </c>
      <c r="AO377" s="86">
        <v>-1295.9490000000001</v>
      </c>
      <c r="AP377" s="86">
        <v>-1295.9490000000001</v>
      </c>
      <c r="AQ377" s="86">
        <v>-1295.9490000000001</v>
      </c>
      <c r="AR377" s="86">
        <v>-1295.9490000000001</v>
      </c>
      <c r="AS377" s="86">
        <v>-1295.9490000000001</v>
      </c>
      <c r="AT377" s="86">
        <v>-1314.02</v>
      </c>
      <c r="AU377" s="86">
        <f t="shared" ref="AU377:BF377" si="1196">+AT377+AU343</f>
        <v>-1314.02</v>
      </c>
      <c r="AV377" s="86">
        <f t="shared" si="1196"/>
        <v>-1314.02</v>
      </c>
      <c r="AW377" s="86">
        <f t="shared" si="1196"/>
        <v>-1314.02</v>
      </c>
      <c r="AX377" s="86">
        <f t="shared" si="1196"/>
        <v>-1314.02</v>
      </c>
      <c r="AY377" s="266">
        <f t="shared" si="1196"/>
        <v>-1314.02</v>
      </c>
      <c r="AZ377" s="86">
        <f t="shared" si="1196"/>
        <v>-1314.02</v>
      </c>
      <c r="BA377" s="86">
        <f t="shared" si="1196"/>
        <v>-1314.02</v>
      </c>
      <c r="BB377" s="86">
        <f t="shared" si="1196"/>
        <v>-1314.02</v>
      </c>
      <c r="BC377" s="86">
        <f t="shared" si="1196"/>
        <v>-1314.02</v>
      </c>
      <c r="BD377" s="86">
        <f t="shared" si="1196"/>
        <v>-1314.02</v>
      </c>
      <c r="BE377" s="86">
        <f t="shared" si="1196"/>
        <v>-1314.02</v>
      </c>
      <c r="BF377" s="86">
        <f t="shared" si="1196"/>
        <v>-1314.02</v>
      </c>
      <c r="BG377" s="88"/>
      <c r="BH377" s="88"/>
      <c r="BI377" s="88"/>
      <c r="BJ377" s="116">
        <f t="shared" si="1107"/>
        <v>368</v>
      </c>
    </row>
    <row r="378" spans="1:62" hidden="1" outlineLevel="2">
      <c r="A378" s="87"/>
      <c r="B378" s="83" t="s">
        <v>338</v>
      </c>
      <c r="C378" s="86">
        <f t="shared" si="1169"/>
        <v>342.05200000000002</v>
      </c>
      <c r="D378" s="86">
        <f t="shared" si="1169"/>
        <v>321.26400000000001</v>
      </c>
      <c r="E378" s="86">
        <f t="shared" si="1169"/>
        <v>431.59500000000003</v>
      </c>
      <c r="F378" s="86">
        <f t="shared" si="1169"/>
        <v>307.59199999999998</v>
      </c>
      <c r="G378" s="86">
        <f t="shared" si="1169"/>
        <v>77.522000000000006</v>
      </c>
      <c r="H378" s="86">
        <f t="shared" si="1169"/>
        <v>-47.593000000000004</v>
      </c>
      <c r="I378" s="86">
        <f t="shared" si="1169"/>
        <v>-12.119</v>
      </c>
      <c r="J378" s="86">
        <f t="shared" si="1169"/>
        <v>11.185</v>
      </c>
      <c r="K378" s="86">
        <f t="shared" si="1169"/>
        <v>11.185</v>
      </c>
      <c r="L378" s="86">
        <f t="shared" si="1169"/>
        <v>11.185</v>
      </c>
      <c r="M378" s="86">
        <f t="shared" si="1169"/>
        <v>11.185</v>
      </c>
      <c r="N378" s="232"/>
      <c r="O378" s="86">
        <v>327.74599999999998</v>
      </c>
      <c r="P378" s="86">
        <v>251.268</v>
      </c>
      <c r="Q378" s="86">
        <v>277.995</v>
      </c>
      <c r="R378" s="86">
        <v>342.05200000000002</v>
      </c>
      <c r="S378" s="86">
        <v>379.95600000000002</v>
      </c>
      <c r="T378" s="86">
        <v>376.89100000000002</v>
      </c>
      <c r="U378" s="86">
        <v>269.15499999999997</v>
      </c>
      <c r="V378" s="86">
        <v>321.26400000000001</v>
      </c>
      <c r="W378" s="86">
        <v>342.46300000000002</v>
      </c>
      <c r="X378" s="86">
        <v>318.08800000000002</v>
      </c>
      <c r="Y378" s="86">
        <v>362.48</v>
      </c>
      <c r="Z378" s="86">
        <v>431.59500000000003</v>
      </c>
      <c r="AA378" s="86">
        <v>343.14299999999997</v>
      </c>
      <c r="AB378" s="86">
        <v>299.01600000000002</v>
      </c>
      <c r="AC378" s="86">
        <v>311.63099999999997</v>
      </c>
      <c r="AD378" s="86">
        <v>307.59199999999998</v>
      </c>
      <c r="AE378" s="86">
        <v>160.46600000000001</v>
      </c>
      <c r="AF378" s="86">
        <v>188.55199999999999</v>
      </c>
      <c r="AG378" s="86">
        <v>132.22200000000001</v>
      </c>
      <c r="AH378" s="86">
        <v>77.522000000000006</v>
      </c>
      <c r="AI378" s="86">
        <v>14.768000000000001</v>
      </c>
      <c r="AJ378" s="86">
        <v>25.155999999999999</v>
      </c>
      <c r="AK378" s="86">
        <v>-21.562999999999999</v>
      </c>
      <c r="AL378" s="86">
        <v>-47.593000000000004</v>
      </c>
      <c r="AM378" s="86">
        <v>-13.263999999999999</v>
      </c>
      <c r="AN378" s="86">
        <v>-8.25</v>
      </c>
      <c r="AO378" s="86">
        <v>-11.925000000000001</v>
      </c>
      <c r="AP378" s="86">
        <v>-12.119</v>
      </c>
      <c r="AQ378" s="86">
        <v>-11.336</v>
      </c>
      <c r="AR378" s="86">
        <v>4.7939999999999996</v>
      </c>
      <c r="AS378" s="86">
        <v>15.657</v>
      </c>
      <c r="AT378" s="86">
        <v>11.185</v>
      </c>
      <c r="AU378" s="86">
        <f t="shared" ref="AU378:BF378" si="1197">AT378</f>
        <v>11.185</v>
      </c>
      <c r="AV378" s="86">
        <f t="shared" si="1197"/>
        <v>11.185</v>
      </c>
      <c r="AW378" s="86">
        <f t="shared" si="1197"/>
        <v>11.185</v>
      </c>
      <c r="AX378" s="86">
        <f t="shared" si="1197"/>
        <v>11.185</v>
      </c>
      <c r="AY378" s="266">
        <f t="shared" si="1197"/>
        <v>11.185</v>
      </c>
      <c r="AZ378" s="86">
        <f t="shared" si="1197"/>
        <v>11.185</v>
      </c>
      <c r="BA378" s="86">
        <f t="shared" si="1197"/>
        <v>11.185</v>
      </c>
      <c r="BB378" s="86">
        <f t="shared" si="1197"/>
        <v>11.185</v>
      </c>
      <c r="BC378" s="86">
        <f t="shared" si="1197"/>
        <v>11.185</v>
      </c>
      <c r="BD378" s="86">
        <f t="shared" si="1197"/>
        <v>11.185</v>
      </c>
      <c r="BE378" s="86">
        <f t="shared" si="1197"/>
        <v>11.185</v>
      </c>
      <c r="BF378" s="86">
        <f t="shared" si="1197"/>
        <v>11.185</v>
      </c>
      <c r="BG378" s="88"/>
      <c r="BH378" s="88"/>
      <c r="BI378" s="88"/>
      <c r="BJ378" s="116">
        <f t="shared" si="1107"/>
        <v>369</v>
      </c>
    </row>
    <row r="379" spans="1:62" outlineLevel="1" collapsed="1">
      <c r="B379" s="10" t="s">
        <v>133</v>
      </c>
      <c r="C379" s="50">
        <f t="shared" si="1169"/>
        <v>5328.1620000000003</v>
      </c>
      <c r="D379" s="50">
        <f t="shared" si="1169"/>
        <v>5587.8149999999996</v>
      </c>
      <c r="E379" s="50">
        <f t="shared" si="1169"/>
        <v>5944.929000000001</v>
      </c>
      <c r="F379" s="50">
        <f t="shared" si="1169"/>
        <v>5969.0860000000002</v>
      </c>
      <c r="G379" s="50">
        <f t="shared" si="1169"/>
        <v>4908.6190000000006</v>
      </c>
      <c r="H379" s="50">
        <f t="shared" si="1169"/>
        <v>4282.7100000000009</v>
      </c>
      <c r="I379" s="50">
        <f t="shared" si="1169"/>
        <v>3247.0249999999996</v>
      </c>
      <c r="J379" s="50">
        <f t="shared" si="1169"/>
        <v>2911.8159999999998</v>
      </c>
      <c r="K379" s="50">
        <f t="shared" si="1169"/>
        <v>2620.7467955671896</v>
      </c>
      <c r="L379" s="50">
        <f t="shared" si="1169"/>
        <v>2673.5941203036718</v>
      </c>
      <c r="M379" s="50">
        <f t="shared" si="1169"/>
        <v>2810.8845829254042</v>
      </c>
      <c r="O379" s="50">
        <f>SUM(O374:O378)</f>
        <v>5245.0309999999999</v>
      </c>
      <c r="P379" s="50">
        <f t="shared" ref="P379:AQ379" si="1198">SUM(P374:P378)</f>
        <v>5216.3080000000009</v>
      </c>
      <c r="Q379" s="50">
        <f t="shared" si="1198"/>
        <v>5207.6320000000005</v>
      </c>
      <c r="R379" s="50">
        <f t="shared" si="1198"/>
        <v>5328.1620000000003</v>
      </c>
      <c r="S379" s="50">
        <f t="shared" si="1198"/>
        <v>5459.9050000000007</v>
      </c>
      <c r="T379" s="50">
        <f t="shared" si="1198"/>
        <v>5655.503999999999</v>
      </c>
      <c r="U379" s="50">
        <f t="shared" si="1198"/>
        <v>5631.811999999999</v>
      </c>
      <c r="V379" s="50">
        <f t="shared" si="1198"/>
        <v>5587.8149999999996</v>
      </c>
      <c r="W379" s="50">
        <f t="shared" si="1198"/>
        <v>5810.9230000000007</v>
      </c>
      <c r="X379" s="50">
        <f t="shared" si="1198"/>
        <v>5718.0349999999999</v>
      </c>
      <c r="Y379" s="50">
        <f t="shared" si="1198"/>
        <v>5843.8799999999992</v>
      </c>
      <c r="Z379" s="50">
        <f t="shared" si="1198"/>
        <v>5944.929000000001</v>
      </c>
      <c r="AA379" s="50">
        <f t="shared" si="1198"/>
        <v>5973.8140000000003</v>
      </c>
      <c r="AB379" s="50">
        <f t="shared" si="1198"/>
        <v>5922.5629999999983</v>
      </c>
      <c r="AC379" s="50">
        <f t="shared" si="1198"/>
        <v>5826.1680000000006</v>
      </c>
      <c r="AD379" s="50">
        <f t="shared" si="1198"/>
        <v>5969.0860000000002</v>
      </c>
      <c r="AE379" s="50">
        <f t="shared" si="1198"/>
        <v>5960.4689999999991</v>
      </c>
      <c r="AF379" s="50">
        <f t="shared" si="1198"/>
        <v>6071.4259999999995</v>
      </c>
      <c r="AG379" s="50">
        <f t="shared" si="1198"/>
        <v>5862.8729999999996</v>
      </c>
      <c r="AH379" s="50">
        <f t="shared" si="1198"/>
        <v>4908.6190000000006</v>
      </c>
      <c r="AI379" s="50">
        <f t="shared" si="1198"/>
        <v>4958.8130000000001</v>
      </c>
      <c r="AJ379" s="50">
        <f t="shared" si="1198"/>
        <v>4931.9600000000009</v>
      </c>
      <c r="AK379" s="50">
        <f t="shared" si="1198"/>
        <v>4502.3130000000001</v>
      </c>
      <c r="AL379" s="50">
        <f t="shared" si="1198"/>
        <v>4282.7100000000009</v>
      </c>
      <c r="AM379" s="50">
        <f t="shared" si="1198"/>
        <v>3904.3199999999993</v>
      </c>
      <c r="AN379" s="50">
        <f t="shared" si="1198"/>
        <v>3715.85</v>
      </c>
      <c r="AO379" s="50">
        <f t="shared" si="1198"/>
        <v>3591.9289999999996</v>
      </c>
      <c r="AP379" s="50">
        <f t="shared" si="1198"/>
        <v>3247.0249999999996</v>
      </c>
      <c r="AQ379" s="50">
        <f t="shared" si="1198"/>
        <v>3177.9480000000003</v>
      </c>
      <c r="AR379" s="50">
        <f t="shared" ref="AR379:AS379" si="1199">SUM(AR374:AR378)</f>
        <v>3049.2349999999992</v>
      </c>
      <c r="AS379" s="50">
        <f t="shared" si="1199"/>
        <v>2901.4050000000002</v>
      </c>
      <c r="AT379" s="50">
        <f t="shared" ref="AT379" si="1200">SUM(AT374:AT378)</f>
        <v>2911.8159999999998</v>
      </c>
      <c r="AU379" s="50">
        <f t="shared" ref="AU379" si="1201">SUM(AU374:AU378)</f>
        <v>2806.7801338263762</v>
      </c>
      <c r="AV379" s="50">
        <f t="shared" ref="AV379" si="1202">SUM(AV374:AV378)</f>
        <v>2723.5371202377682</v>
      </c>
      <c r="AW379" s="50">
        <f t="shared" ref="AW379" si="1203">SUM(AW374:AW378)</f>
        <v>2663.7630747850503</v>
      </c>
      <c r="AX379" s="50">
        <f t="shared" ref="AX379" si="1204">SUM(AX374:AX378)</f>
        <v>2620.7467955671896</v>
      </c>
      <c r="AY379" s="95">
        <f t="shared" ref="AY379" si="1205">SUM(AY374:AY378)</f>
        <v>2661.3498259592516</v>
      </c>
      <c r="AZ379" s="50">
        <f t="shared" ref="AZ379" si="1206">SUM(AZ374:AZ378)</f>
        <v>2645.0268250099361</v>
      </c>
      <c r="BA379" s="50">
        <f t="shared" ref="BA379" si="1207">SUM(BA374:BA378)</f>
        <v>2653.3951251935318</v>
      </c>
      <c r="BB379" s="50">
        <f t="shared" ref="BB379" si="1208">SUM(BB374:BB378)</f>
        <v>2673.5941203036718</v>
      </c>
      <c r="BC379" s="50">
        <f t="shared" ref="BC379" si="1209">SUM(BC374:BC378)</f>
        <v>2701.8922550804782</v>
      </c>
      <c r="BD379" s="50">
        <f t="shared" ref="BD379" si="1210">SUM(BD374:BD378)</f>
        <v>2727.9790105423604</v>
      </c>
      <c r="BE379" s="50">
        <f t="shared" ref="BE379" si="1211">SUM(BE374:BE378)</f>
        <v>2765.8582888852097</v>
      </c>
      <c r="BF379" s="50">
        <f t="shared" ref="BF379" si="1212">SUM(BF374:BF378)</f>
        <v>2810.8845829254042</v>
      </c>
      <c r="BJ379" s="116">
        <f t="shared" si="1107"/>
        <v>370</v>
      </c>
    </row>
    <row r="380" spans="1:62" outlineLevel="1">
      <c r="B380" s="10" t="s">
        <v>12</v>
      </c>
      <c r="C380" s="50">
        <f t="shared" si="1169"/>
        <v>14.701000000000001</v>
      </c>
      <c r="D380" s="50">
        <f t="shared" si="1169"/>
        <v>13.401999999999999</v>
      </c>
      <c r="E380" s="50">
        <f t="shared" si="1169"/>
        <v>12.188000000000001</v>
      </c>
      <c r="F380" s="50">
        <f t="shared" si="1169"/>
        <v>12.090999999999999</v>
      </c>
      <c r="G380" s="50">
        <f t="shared" si="1169"/>
        <v>10.17</v>
      </c>
      <c r="H380" s="50">
        <f t="shared" si="1169"/>
        <v>11.157999999999999</v>
      </c>
      <c r="I380" s="50">
        <f t="shared" si="1169"/>
        <v>7.77</v>
      </c>
      <c r="J380" s="50">
        <f t="shared" si="1169"/>
        <v>26.957000000000001</v>
      </c>
      <c r="K380" s="50">
        <f t="shared" si="1169"/>
        <v>34.957000000000001</v>
      </c>
      <c r="L380" s="50">
        <f t="shared" si="1169"/>
        <v>42.957000000000001</v>
      </c>
      <c r="M380" s="50">
        <f t="shared" si="1169"/>
        <v>50.957000000000001</v>
      </c>
      <c r="O380" s="51">
        <v>13.651999999999999</v>
      </c>
      <c r="P380" s="51">
        <v>12.101000000000001</v>
      </c>
      <c r="Q380" s="51">
        <v>12.938000000000001</v>
      </c>
      <c r="R380" s="51">
        <v>14.701000000000001</v>
      </c>
      <c r="S380" s="51">
        <v>14.388999999999999</v>
      </c>
      <c r="T380" s="51">
        <v>12.971</v>
      </c>
      <c r="U380" s="51">
        <v>11.727</v>
      </c>
      <c r="V380" s="51">
        <v>13.401999999999999</v>
      </c>
      <c r="W380" s="51">
        <v>12.257</v>
      </c>
      <c r="X380" s="51">
        <v>10.867000000000001</v>
      </c>
      <c r="Y380" s="51">
        <v>12.244</v>
      </c>
      <c r="Z380" s="51">
        <v>12.188000000000001</v>
      </c>
      <c r="AA380" s="51">
        <v>10.871</v>
      </c>
      <c r="AB380" s="51">
        <v>10.722</v>
      </c>
      <c r="AC380" s="51">
        <v>11.425000000000001</v>
      </c>
      <c r="AD380" s="51">
        <v>12.090999999999999</v>
      </c>
      <c r="AE380" s="51">
        <v>10.8</v>
      </c>
      <c r="AF380" s="51">
        <v>10.496</v>
      </c>
      <c r="AG380" s="51">
        <v>10.361000000000001</v>
      </c>
      <c r="AH380" s="51">
        <v>10.17</v>
      </c>
      <c r="AI380" s="51">
        <v>8.9489999999999998</v>
      </c>
      <c r="AJ380" s="51">
        <v>7.415</v>
      </c>
      <c r="AK380" s="51">
        <v>9.0860000000000003</v>
      </c>
      <c r="AL380" s="51">
        <v>11.157999999999999</v>
      </c>
      <c r="AM380" s="51">
        <v>11.877000000000001</v>
      </c>
      <c r="AN380" s="51">
        <v>6.8479999999999999</v>
      </c>
      <c r="AO380" s="51">
        <v>6.7649999999999997</v>
      </c>
      <c r="AP380" s="51">
        <v>7.77</v>
      </c>
      <c r="AQ380" s="51">
        <v>8.4459999999999997</v>
      </c>
      <c r="AR380" s="51">
        <v>23.542999999999999</v>
      </c>
      <c r="AS380" s="51">
        <v>25.815999999999999</v>
      </c>
      <c r="AT380" s="51">
        <v>26.957000000000001</v>
      </c>
      <c r="AU380" s="50">
        <f>+AT380+AU312</f>
        <v>28.957000000000001</v>
      </c>
      <c r="AV380" s="50">
        <f t="shared" ref="AV380:BF380" si="1213">+AU380+AV312</f>
        <v>30.957000000000001</v>
      </c>
      <c r="AW380" s="50">
        <f t="shared" si="1213"/>
        <v>32.957000000000001</v>
      </c>
      <c r="AX380" s="50">
        <f t="shared" si="1213"/>
        <v>34.957000000000001</v>
      </c>
      <c r="AY380" s="50">
        <f t="shared" si="1213"/>
        <v>36.957000000000001</v>
      </c>
      <c r="AZ380" s="50">
        <f t="shared" si="1213"/>
        <v>38.957000000000001</v>
      </c>
      <c r="BA380" s="50">
        <f t="shared" si="1213"/>
        <v>40.957000000000001</v>
      </c>
      <c r="BB380" s="50">
        <f t="shared" si="1213"/>
        <v>42.957000000000001</v>
      </c>
      <c r="BC380" s="50">
        <f t="shared" si="1213"/>
        <v>44.957000000000001</v>
      </c>
      <c r="BD380" s="50">
        <f t="shared" si="1213"/>
        <v>46.957000000000001</v>
      </c>
      <c r="BE380" s="50">
        <f t="shared" si="1213"/>
        <v>48.957000000000001</v>
      </c>
      <c r="BF380" s="50">
        <f t="shared" si="1213"/>
        <v>50.957000000000001</v>
      </c>
      <c r="BJ380" s="116">
        <f t="shared" si="1107"/>
        <v>371</v>
      </c>
    </row>
    <row r="381" spans="1:62" outlineLevel="1">
      <c r="B381" s="84" t="s">
        <v>134</v>
      </c>
      <c r="C381" s="90">
        <f t="shared" ref="C381:M381" si="1214">+C369+SUM(C370:C373)+C379+C380</f>
        <v>11646.569</v>
      </c>
      <c r="D381" s="90">
        <f t="shared" si="1214"/>
        <v>12912.140000000001</v>
      </c>
      <c r="E381" s="90">
        <f t="shared" si="1214"/>
        <v>12656.022000000003</v>
      </c>
      <c r="F381" s="90">
        <f t="shared" si="1214"/>
        <v>12159.811000000002</v>
      </c>
      <c r="G381" s="90">
        <f t="shared" si="1214"/>
        <v>11879.942000000001</v>
      </c>
      <c r="H381" s="90">
        <f t="shared" si="1214"/>
        <v>9537.84</v>
      </c>
      <c r="I381" s="90">
        <f t="shared" si="1214"/>
        <v>8187.0150000000003</v>
      </c>
      <c r="J381" s="90">
        <f t="shared" si="1214"/>
        <v>8401.9839999999986</v>
      </c>
      <c r="K381" s="90">
        <f t="shared" si="1214"/>
        <v>7928.1671054732633</v>
      </c>
      <c r="L381" s="90">
        <f t="shared" si="1214"/>
        <v>7741.8397524985476</v>
      </c>
      <c r="M381" s="90">
        <f t="shared" si="1214"/>
        <v>7410.1990971000332</v>
      </c>
      <c r="N381" s="273"/>
      <c r="O381" s="90">
        <f t="shared" ref="O381:BF381" si="1215">+O369+SUM(O370:O373)+O379+O380</f>
        <v>10624.725</v>
      </c>
      <c r="P381" s="90">
        <f t="shared" si="1215"/>
        <v>10500.141000000001</v>
      </c>
      <c r="Q381" s="90">
        <f t="shared" si="1215"/>
        <v>11620.728000000001</v>
      </c>
      <c r="R381" s="90">
        <f t="shared" si="1215"/>
        <v>11646.569</v>
      </c>
      <c r="S381" s="90">
        <f t="shared" si="1215"/>
        <v>11890.407999999999</v>
      </c>
      <c r="T381" s="90">
        <f t="shared" si="1215"/>
        <v>12115.651999999998</v>
      </c>
      <c r="U381" s="90">
        <f t="shared" si="1215"/>
        <v>12318.346</v>
      </c>
      <c r="V381" s="90">
        <f t="shared" si="1215"/>
        <v>12912.140000000001</v>
      </c>
      <c r="W381" s="90">
        <f t="shared" si="1215"/>
        <v>13148.194000000001</v>
      </c>
      <c r="X381" s="90">
        <f t="shared" si="1215"/>
        <v>12843.472</v>
      </c>
      <c r="Y381" s="90">
        <f t="shared" si="1215"/>
        <v>12924.561</v>
      </c>
      <c r="Z381" s="90">
        <f t="shared" si="1215"/>
        <v>12656.022000000003</v>
      </c>
      <c r="AA381" s="90">
        <f t="shared" si="1215"/>
        <v>12585.456999999999</v>
      </c>
      <c r="AB381" s="90">
        <f t="shared" si="1215"/>
        <v>12266.902999999998</v>
      </c>
      <c r="AC381" s="90">
        <f t="shared" si="1215"/>
        <v>12202.116000000002</v>
      </c>
      <c r="AD381" s="90">
        <f t="shared" si="1215"/>
        <v>12159.811000000002</v>
      </c>
      <c r="AE381" s="90">
        <f t="shared" si="1215"/>
        <v>12187.072999999999</v>
      </c>
      <c r="AF381" s="90">
        <f t="shared" si="1215"/>
        <v>12435.999</v>
      </c>
      <c r="AG381" s="90">
        <f t="shared" si="1215"/>
        <v>12619.34</v>
      </c>
      <c r="AH381" s="90">
        <f t="shared" si="1215"/>
        <v>11879.942000000001</v>
      </c>
      <c r="AI381" s="90">
        <f t="shared" si="1215"/>
        <v>10604.598</v>
      </c>
      <c r="AJ381" s="90">
        <f t="shared" si="1215"/>
        <v>10517.283000000001</v>
      </c>
      <c r="AK381" s="90">
        <f t="shared" si="1215"/>
        <v>9929.1809999999987</v>
      </c>
      <c r="AL381" s="90">
        <f t="shared" si="1215"/>
        <v>9537.84</v>
      </c>
      <c r="AM381" s="90">
        <f t="shared" si="1215"/>
        <v>8950.3310000000001</v>
      </c>
      <c r="AN381" s="90">
        <f t="shared" si="1215"/>
        <v>8656.3050000000003</v>
      </c>
      <c r="AO381" s="90">
        <f t="shared" si="1215"/>
        <v>8424.503999999999</v>
      </c>
      <c r="AP381" s="90">
        <f t="shared" si="1215"/>
        <v>8187.0150000000003</v>
      </c>
      <c r="AQ381" s="90">
        <f t="shared" si="1215"/>
        <v>8095.3120000000008</v>
      </c>
      <c r="AR381" s="90">
        <f t="shared" si="1215"/>
        <v>8092.4579999999987</v>
      </c>
      <c r="AS381" s="90">
        <f t="shared" si="1215"/>
        <v>8088.585</v>
      </c>
      <c r="AT381" s="90">
        <f t="shared" si="1215"/>
        <v>8401.9839999999986</v>
      </c>
      <c r="AU381" s="90">
        <f t="shared" si="1215"/>
        <v>8086.9357406819327</v>
      </c>
      <c r="AV381" s="90">
        <f t="shared" si="1215"/>
        <v>8017.0586890213453</v>
      </c>
      <c r="AW381" s="90">
        <f t="shared" si="1215"/>
        <v>7979.5834517404819</v>
      </c>
      <c r="AX381" s="90">
        <f t="shared" si="1215"/>
        <v>7928.1671054732633</v>
      </c>
      <c r="AY381" s="90">
        <f t="shared" si="1215"/>
        <v>7873.5435581079837</v>
      </c>
      <c r="AZ381" s="90">
        <f t="shared" si="1215"/>
        <v>7777.8289225331555</v>
      </c>
      <c r="BA381" s="90">
        <f t="shared" si="1215"/>
        <v>7742.5261168735688</v>
      </c>
      <c r="BB381" s="90">
        <f t="shared" si="1215"/>
        <v>7741.8397524985476</v>
      </c>
      <c r="BC381" s="90">
        <f t="shared" si="1215"/>
        <v>7767.4778175467081</v>
      </c>
      <c r="BD381" s="90">
        <f t="shared" si="1215"/>
        <v>7796.5146922126332</v>
      </c>
      <c r="BE381" s="90">
        <f t="shared" si="1215"/>
        <v>7468.0521827095099</v>
      </c>
      <c r="BF381" s="90">
        <f t="shared" si="1215"/>
        <v>7410.1990971000332</v>
      </c>
      <c r="BG381" s="80"/>
      <c r="BH381" s="80"/>
      <c r="BI381" s="80"/>
      <c r="BJ381" s="116">
        <f t="shared" si="1107"/>
        <v>372</v>
      </c>
    </row>
    <row r="382" spans="1:62" outlineLevel="1">
      <c r="B382" s="43"/>
      <c r="C382" s="91">
        <f t="shared" ref="C382:E382" si="1216">+C381-C363</f>
        <v>0</v>
      </c>
      <c r="D382" s="91">
        <f t="shared" si="1216"/>
        <v>0</v>
      </c>
      <c r="E382" s="91">
        <f t="shared" si="1216"/>
        <v>0</v>
      </c>
      <c r="F382" s="91">
        <f t="shared" ref="F382:M382" si="1217">ROUND(F381-F363,3)</f>
        <v>0</v>
      </c>
      <c r="G382" s="91">
        <f t="shared" si="1217"/>
        <v>0</v>
      </c>
      <c r="H382" s="91">
        <f t="shared" si="1217"/>
        <v>0</v>
      </c>
      <c r="I382" s="91">
        <f t="shared" si="1217"/>
        <v>0</v>
      </c>
      <c r="J382" s="91">
        <f t="shared" si="1217"/>
        <v>0</v>
      </c>
      <c r="K382" s="91">
        <f t="shared" si="1217"/>
        <v>0</v>
      </c>
      <c r="L382" s="91">
        <f t="shared" si="1217"/>
        <v>0</v>
      </c>
      <c r="M382" s="91">
        <f t="shared" si="1217"/>
        <v>0</v>
      </c>
      <c r="O382" s="91">
        <f>+O381-O363</f>
        <v>0</v>
      </c>
      <c r="P382" s="91">
        <f t="shared" ref="P382:AL382" si="1218">+P381-P363</f>
        <v>0</v>
      </c>
      <c r="Q382" s="91">
        <f t="shared" si="1218"/>
        <v>0</v>
      </c>
      <c r="R382" s="91">
        <f t="shared" si="1218"/>
        <v>0</v>
      </c>
      <c r="S382" s="91">
        <f t="shared" si="1218"/>
        <v>0</v>
      </c>
      <c r="T382" s="91">
        <f t="shared" si="1218"/>
        <v>0</v>
      </c>
      <c r="U382" s="91">
        <f t="shared" si="1218"/>
        <v>0</v>
      </c>
      <c r="V382" s="91">
        <f t="shared" si="1218"/>
        <v>0</v>
      </c>
      <c r="W382" s="91">
        <f t="shared" si="1218"/>
        <v>0</v>
      </c>
      <c r="X382" s="91">
        <f t="shared" si="1218"/>
        <v>0</v>
      </c>
      <c r="Y382" s="91">
        <f t="shared" si="1218"/>
        <v>0</v>
      </c>
      <c r="Z382" s="91">
        <f t="shared" si="1218"/>
        <v>0</v>
      </c>
      <c r="AA382" s="91">
        <f t="shared" si="1218"/>
        <v>0</v>
      </c>
      <c r="AB382" s="91">
        <f t="shared" si="1218"/>
        <v>0</v>
      </c>
      <c r="AC382" s="91">
        <f t="shared" si="1218"/>
        <v>0</v>
      </c>
      <c r="AD382" s="91">
        <f t="shared" si="1218"/>
        <v>0</v>
      </c>
      <c r="AE382" s="91">
        <f t="shared" si="1218"/>
        <v>0</v>
      </c>
      <c r="AF382" s="91">
        <f t="shared" si="1218"/>
        <v>0</v>
      </c>
      <c r="AG382" s="91">
        <f t="shared" si="1218"/>
        <v>0</v>
      </c>
      <c r="AH382" s="91">
        <f t="shared" si="1218"/>
        <v>0</v>
      </c>
      <c r="AI382" s="91">
        <f t="shared" si="1218"/>
        <v>0</v>
      </c>
      <c r="AJ382" s="91">
        <f t="shared" si="1218"/>
        <v>0</v>
      </c>
      <c r="AK382" s="91">
        <f t="shared" si="1218"/>
        <v>0</v>
      </c>
      <c r="AL382" s="91">
        <f t="shared" si="1218"/>
        <v>0</v>
      </c>
      <c r="AM382" s="91">
        <f t="shared" ref="AM382:AV382" si="1219">ROUND(AM381-AM363,3)</f>
        <v>0</v>
      </c>
      <c r="AN382" s="91">
        <f t="shared" si="1219"/>
        <v>0</v>
      </c>
      <c r="AO382" s="91">
        <f t="shared" si="1219"/>
        <v>0</v>
      </c>
      <c r="AP382" s="91">
        <f t="shared" si="1219"/>
        <v>0</v>
      </c>
      <c r="AQ382" s="91">
        <f t="shared" si="1219"/>
        <v>0</v>
      </c>
      <c r="AR382" s="91">
        <f t="shared" si="1219"/>
        <v>0</v>
      </c>
      <c r="AS382" s="235">
        <f t="shared" si="1219"/>
        <v>0</v>
      </c>
      <c r="AT382" s="235">
        <f t="shared" si="1219"/>
        <v>0</v>
      </c>
      <c r="AU382" s="91">
        <f t="shared" si="1219"/>
        <v>0</v>
      </c>
      <c r="AV382" s="91">
        <f t="shared" si="1219"/>
        <v>0</v>
      </c>
      <c r="AW382" s="91">
        <f>ROUND(AW381-AW363,3)</f>
        <v>0</v>
      </c>
      <c r="AX382" s="91">
        <f t="shared" ref="AX382:BF382" si="1220">ROUND(AX381-AX363,3)</f>
        <v>0</v>
      </c>
      <c r="AY382" s="91">
        <f t="shared" si="1220"/>
        <v>0</v>
      </c>
      <c r="AZ382" s="91">
        <f t="shared" si="1220"/>
        <v>0</v>
      </c>
      <c r="BA382" s="91">
        <f t="shared" si="1220"/>
        <v>0</v>
      </c>
      <c r="BB382" s="91">
        <f t="shared" si="1220"/>
        <v>0</v>
      </c>
      <c r="BC382" s="91">
        <f t="shared" si="1220"/>
        <v>0</v>
      </c>
      <c r="BD382" s="91">
        <f t="shared" si="1220"/>
        <v>0</v>
      </c>
      <c r="BE382" s="91">
        <f t="shared" si="1220"/>
        <v>0</v>
      </c>
      <c r="BF382" s="91">
        <f t="shared" si="1220"/>
        <v>0</v>
      </c>
      <c r="BJ382" s="116">
        <f t="shared" si="1107"/>
        <v>373</v>
      </c>
    </row>
    <row r="383" spans="1:62">
      <c r="A383" s="72" t="s">
        <v>322</v>
      </c>
      <c r="B383" s="2" t="s">
        <v>135</v>
      </c>
      <c r="BJ383" s="116">
        <f t="shared" si="1107"/>
        <v>374</v>
      </c>
    </row>
    <row r="384" spans="1:62" outlineLevel="1">
      <c r="B384" s="4" t="s">
        <v>2</v>
      </c>
      <c r="C384" s="57">
        <f>C$8</f>
        <v>2010</v>
      </c>
      <c r="D384" s="57">
        <f t="shared" ref="D384:BF384" si="1221">D$8</f>
        <v>2011</v>
      </c>
      <c r="E384" s="57">
        <f t="shared" si="1221"/>
        <v>2012</v>
      </c>
      <c r="F384" s="57">
        <f t="shared" si="1221"/>
        <v>2013</v>
      </c>
      <c r="G384" s="57">
        <f t="shared" si="1221"/>
        <v>2014</v>
      </c>
      <c r="H384" s="57">
        <f t="shared" si="1221"/>
        <v>2015</v>
      </c>
      <c r="I384" s="57">
        <f t="shared" si="1221"/>
        <v>2016</v>
      </c>
      <c r="J384" s="57">
        <f t="shared" si="1221"/>
        <v>2017</v>
      </c>
      <c r="K384" s="57" t="str">
        <f t="shared" si="1221"/>
        <v>2018E</v>
      </c>
      <c r="L384" s="57" t="str">
        <f t="shared" si="1221"/>
        <v>2019E</v>
      </c>
      <c r="M384" s="57" t="str">
        <f t="shared" si="1221"/>
        <v>2020E</v>
      </c>
      <c r="O384" s="57" t="str">
        <f t="shared" si="1221"/>
        <v>1Q10</v>
      </c>
      <c r="P384" s="57" t="str">
        <f t="shared" si="1221"/>
        <v>2Q10</v>
      </c>
      <c r="Q384" s="57" t="str">
        <f t="shared" si="1221"/>
        <v>3Q10</v>
      </c>
      <c r="R384" s="57" t="str">
        <f t="shared" si="1221"/>
        <v>4Q10</v>
      </c>
      <c r="S384" s="57" t="str">
        <f t="shared" si="1221"/>
        <v>1Q11</v>
      </c>
      <c r="T384" s="57" t="str">
        <f t="shared" si="1221"/>
        <v>2Q11</v>
      </c>
      <c r="U384" s="57" t="str">
        <f t="shared" si="1221"/>
        <v>3Q11</v>
      </c>
      <c r="V384" s="57" t="str">
        <f t="shared" si="1221"/>
        <v>4Q11</v>
      </c>
      <c r="W384" s="57" t="str">
        <f t="shared" si="1221"/>
        <v>1Q12</v>
      </c>
      <c r="X384" s="57" t="str">
        <f t="shared" si="1221"/>
        <v>2Q12</v>
      </c>
      <c r="Y384" s="57" t="str">
        <f t="shared" si="1221"/>
        <v>3Q12</v>
      </c>
      <c r="Z384" s="57" t="str">
        <f t="shared" si="1221"/>
        <v>4Q12</v>
      </c>
      <c r="AA384" s="57" t="str">
        <f t="shared" si="1221"/>
        <v>1Q13</v>
      </c>
      <c r="AB384" s="57" t="str">
        <f t="shared" si="1221"/>
        <v>2Q13</v>
      </c>
      <c r="AC384" s="57" t="str">
        <f t="shared" si="1221"/>
        <v>3Q13</v>
      </c>
      <c r="AD384" s="57" t="str">
        <f t="shared" si="1221"/>
        <v>4Q13</v>
      </c>
      <c r="AE384" s="57" t="str">
        <f t="shared" si="1221"/>
        <v>1Q14</v>
      </c>
      <c r="AF384" s="57" t="str">
        <f t="shared" si="1221"/>
        <v>2Q14</v>
      </c>
      <c r="AG384" s="57" t="str">
        <f t="shared" si="1221"/>
        <v>3Q14</v>
      </c>
      <c r="AH384" s="57" t="str">
        <f t="shared" si="1221"/>
        <v>4Q14</v>
      </c>
      <c r="AI384" s="57" t="str">
        <f t="shared" si="1221"/>
        <v>1Q15</v>
      </c>
      <c r="AJ384" s="57" t="str">
        <f t="shared" si="1221"/>
        <v>2Q15</v>
      </c>
      <c r="AK384" s="57" t="str">
        <f t="shared" si="1221"/>
        <v>3Q15</v>
      </c>
      <c r="AL384" s="57" t="str">
        <f t="shared" si="1221"/>
        <v>4Q15</v>
      </c>
      <c r="AM384" s="57" t="str">
        <f t="shared" si="1221"/>
        <v>1Q16</v>
      </c>
      <c r="AN384" s="57" t="str">
        <f t="shared" si="1221"/>
        <v>2Q16</v>
      </c>
      <c r="AO384" s="57" t="str">
        <f t="shared" si="1221"/>
        <v>3Q16</v>
      </c>
      <c r="AP384" s="57" t="str">
        <f t="shared" si="1221"/>
        <v>4Q16</v>
      </c>
      <c r="AQ384" s="57" t="str">
        <f t="shared" si="1221"/>
        <v>1Q17</v>
      </c>
      <c r="AR384" s="57" t="str">
        <f t="shared" si="1221"/>
        <v>2Q17</v>
      </c>
      <c r="AS384" s="57" t="str">
        <f t="shared" si="1221"/>
        <v>3Q17</v>
      </c>
      <c r="AT384" s="57" t="str">
        <f t="shared" si="1221"/>
        <v>4Q17</v>
      </c>
      <c r="AU384" s="57" t="str">
        <f t="shared" si="1221"/>
        <v>1Q18E</v>
      </c>
      <c r="AV384" s="57" t="str">
        <f t="shared" si="1221"/>
        <v>2Q18E</v>
      </c>
      <c r="AW384" s="57" t="str">
        <f t="shared" si="1221"/>
        <v>3Q18E</v>
      </c>
      <c r="AX384" s="57" t="str">
        <f t="shared" si="1221"/>
        <v>4Q18E</v>
      </c>
      <c r="AY384" s="57" t="str">
        <f t="shared" si="1221"/>
        <v>1Q19E</v>
      </c>
      <c r="AZ384" s="57" t="str">
        <f t="shared" si="1221"/>
        <v>2Q19E</v>
      </c>
      <c r="BA384" s="57" t="str">
        <f t="shared" si="1221"/>
        <v>3Q19E</v>
      </c>
      <c r="BB384" s="57" t="str">
        <f t="shared" si="1221"/>
        <v>4Q19E</v>
      </c>
      <c r="BC384" s="57" t="str">
        <f t="shared" si="1221"/>
        <v>1Q20E</v>
      </c>
      <c r="BD384" s="57" t="str">
        <f t="shared" si="1221"/>
        <v>2Q20E</v>
      </c>
      <c r="BE384" s="57" t="str">
        <f t="shared" si="1221"/>
        <v>3Q20E</v>
      </c>
      <c r="BF384" s="57" t="str">
        <f t="shared" si="1221"/>
        <v>4Q20E</v>
      </c>
      <c r="BJ384" s="116">
        <f t="shared" si="1107"/>
        <v>375</v>
      </c>
    </row>
    <row r="385" spans="2:62" outlineLevel="1">
      <c r="B385" s="19" t="s">
        <v>136</v>
      </c>
      <c r="BJ385" s="116">
        <f t="shared" si="1107"/>
        <v>376</v>
      </c>
    </row>
    <row r="386" spans="2:62" outlineLevel="1">
      <c r="B386" s="13" t="s">
        <v>137</v>
      </c>
      <c r="C386" s="50">
        <f t="shared" ref="C386" si="1222">C387+C379+C380</f>
        <v>9786.0069999999996</v>
      </c>
      <c r="D386" s="50">
        <f t="shared" ref="D386" si="1223">D387+D379+D380</f>
        <v>10225.032999999999</v>
      </c>
      <c r="E386" s="50">
        <f t="shared" ref="E386" si="1224">E387+E379+E380</f>
        <v>10336.817000000001</v>
      </c>
      <c r="F386" s="50">
        <f t="shared" ref="F386" si="1225">F387+F379+F380</f>
        <v>9895.4790000000012</v>
      </c>
      <c r="G386" s="50">
        <f t="shared" ref="G386" si="1226">G387+G379+G380</f>
        <v>9273.8380000000016</v>
      </c>
      <c r="H386" s="50">
        <f t="shared" ref="H386" si="1227">H387+H379+H380</f>
        <v>7955.5760000000009</v>
      </c>
      <c r="I386" s="50">
        <f t="shared" ref="I386" si="1228">I387+I379+I380</f>
        <v>6833.4269999999997</v>
      </c>
      <c r="J386" s="50">
        <f t="shared" ref="J386" si="1229">J387+J379+J380</f>
        <v>6966.72</v>
      </c>
      <c r="K386" s="50">
        <f t="shared" ref="K386" si="1230">K387+K379+K380</f>
        <v>6606.7619403945428</v>
      </c>
      <c r="L386" s="50">
        <f t="shared" ref="L386" si="1231">L387+L379+L380</f>
        <v>6270.2471203036721</v>
      </c>
      <c r="M386" s="50">
        <f t="shared" ref="M386" si="1232">M387+M379+M380</f>
        <v>5911.679493188125</v>
      </c>
      <c r="O386" s="50">
        <f>O387+O379+O380</f>
        <v>9114.7889999999989</v>
      </c>
      <c r="P386" s="50">
        <f t="shared" ref="P386:BF386" si="1233">P387+P379+P380</f>
        <v>8938.9310000000023</v>
      </c>
      <c r="Q386" s="50">
        <f t="shared" si="1233"/>
        <v>9730.0320000000011</v>
      </c>
      <c r="R386" s="50">
        <f t="shared" si="1233"/>
        <v>9786.0069999999996</v>
      </c>
      <c r="S386" s="50">
        <f t="shared" si="1233"/>
        <v>9929.5529999999999</v>
      </c>
      <c r="T386" s="50">
        <f t="shared" si="1233"/>
        <v>9933.9419999999991</v>
      </c>
      <c r="U386" s="50">
        <f t="shared" si="1233"/>
        <v>10006.898999999999</v>
      </c>
      <c r="V386" s="50">
        <f t="shared" si="1233"/>
        <v>10225.032999999999</v>
      </c>
      <c r="W386" s="50">
        <f t="shared" si="1233"/>
        <v>10596.521000000001</v>
      </c>
      <c r="X386" s="50">
        <f t="shared" si="1233"/>
        <v>10402.677000000001</v>
      </c>
      <c r="Y386" s="50">
        <f t="shared" si="1233"/>
        <v>10535.409</v>
      </c>
      <c r="Z386" s="50">
        <f t="shared" si="1233"/>
        <v>10336.817000000001</v>
      </c>
      <c r="AA386" s="50">
        <f t="shared" si="1233"/>
        <v>10364.878000000001</v>
      </c>
      <c r="AB386" s="50">
        <f t="shared" si="1233"/>
        <v>10015.920999999998</v>
      </c>
      <c r="AC386" s="50">
        <f t="shared" si="1233"/>
        <v>9885.0609999999997</v>
      </c>
      <c r="AD386" s="50">
        <f t="shared" si="1233"/>
        <v>9895.4790000000012</v>
      </c>
      <c r="AE386" s="50">
        <f t="shared" si="1233"/>
        <v>9789.0409999999974</v>
      </c>
      <c r="AF386" s="50">
        <f t="shared" si="1233"/>
        <v>10038.418999999998</v>
      </c>
      <c r="AG386" s="50">
        <f t="shared" si="1233"/>
        <v>10128.566000000001</v>
      </c>
      <c r="AH386" s="50">
        <f t="shared" si="1233"/>
        <v>9273.8380000000016</v>
      </c>
      <c r="AI386" s="50">
        <f t="shared" si="1233"/>
        <v>8793.2180000000008</v>
      </c>
      <c r="AJ386" s="50">
        <f t="shared" si="1233"/>
        <v>8697.0910000000022</v>
      </c>
      <c r="AK386" s="50">
        <f t="shared" si="1233"/>
        <v>8258.1539999999986</v>
      </c>
      <c r="AL386" s="50">
        <f t="shared" si="1233"/>
        <v>7955.5760000000009</v>
      </c>
      <c r="AM386" s="50">
        <f t="shared" si="1233"/>
        <v>7506.4789999999994</v>
      </c>
      <c r="AN386" s="50">
        <f t="shared" si="1233"/>
        <v>7226.0450000000001</v>
      </c>
      <c r="AO386" s="50">
        <f t="shared" si="1233"/>
        <v>7074.7920000000004</v>
      </c>
      <c r="AP386" s="50">
        <f t="shared" si="1233"/>
        <v>6833.4269999999997</v>
      </c>
      <c r="AQ386" s="50">
        <f t="shared" si="1233"/>
        <v>6848.3720000000003</v>
      </c>
      <c r="AR386" s="50">
        <f t="shared" ref="AR386:AS386" si="1234">AR387+AR379+AR380</f>
        <v>6813.1499999999987</v>
      </c>
      <c r="AS386" s="50">
        <f t="shared" si="1234"/>
        <v>6886.0320000000002</v>
      </c>
      <c r="AT386" s="50">
        <f t="shared" ref="AT386" si="1235">AT387+AT379+AT380</f>
        <v>6966.72</v>
      </c>
      <c r="AU386" s="50">
        <f t="shared" si="1233"/>
        <v>6727.2249489693431</v>
      </c>
      <c r="AV386" s="50">
        <f t="shared" si="1233"/>
        <v>6676.9910452256054</v>
      </c>
      <c r="AW386" s="50">
        <f t="shared" si="1233"/>
        <v>6646.1203666677757</v>
      </c>
      <c r="AX386" s="50">
        <f t="shared" si="1233"/>
        <v>6606.7619403945428</v>
      </c>
      <c r="AY386" s="50">
        <f t="shared" si="1233"/>
        <v>6452.6914688515053</v>
      </c>
      <c r="AZ386" s="50">
        <f t="shared" si="1233"/>
        <v>6351.429417191609</v>
      </c>
      <c r="BA386" s="50">
        <f t="shared" si="1233"/>
        <v>6289.1924515685878</v>
      </c>
      <c r="BB386" s="50">
        <f t="shared" si="1233"/>
        <v>6270.2471203036721</v>
      </c>
      <c r="BC386" s="50">
        <f t="shared" si="1233"/>
        <v>6300.5452550804785</v>
      </c>
      <c r="BD386" s="50">
        <f t="shared" si="1233"/>
        <v>6328.6320105423601</v>
      </c>
      <c r="BE386" s="50">
        <f t="shared" si="1233"/>
        <v>5980.9943575588486</v>
      </c>
      <c r="BF386" s="50">
        <f t="shared" si="1233"/>
        <v>5911.679493188125</v>
      </c>
      <c r="BJ386" s="116">
        <f t="shared" si="1107"/>
        <v>377</v>
      </c>
    </row>
    <row r="387" spans="2:62" outlineLevel="1">
      <c r="B387" s="13" t="s">
        <v>138</v>
      </c>
      <c r="C387" s="50">
        <f t="shared" ref="C387:L387" si="1236">C370+C366</f>
        <v>4443.1440000000002</v>
      </c>
      <c r="D387" s="50">
        <f t="shared" si="1236"/>
        <v>4623.8159999999998</v>
      </c>
      <c r="E387" s="50">
        <f t="shared" si="1236"/>
        <v>4379.7</v>
      </c>
      <c r="F387" s="50">
        <f t="shared" si="1236"/>
        <v>3914.3020000000001</v>
      </c>
      <c r="G387" s="50">
        <f t="shared" si="1236"/>
        <v>4355.049</v>
      </c>
      <c r="H387" s="50">
        <f t="shared" si="1236"/>
        <v>3661.7079999999996</v>
      </c>
      <c r="I387" s="50">
        <f t="shared" si="1236"/>
        <v>3578.6320000000001</v>
      </c>
      <c r="J387" s="50">
        <f t="shared" si="1236"/>
        <v>4027.9470000000001</v>
      </c>
      <c r="K387" s="50">
        <f t="shared" si="1236"/>
        <v>3951.0581448273524</v>
      </c>
      <c r="L387" s="50">
        <f t="shared" si="1236"/>
        <v>3553.6959999999999</v>
      </c>
      <c r="M387" s="50">
        <f t="shared" ref="M387" si="1237">M370+M366</f>
        <v>3049.8379102627205</v>
      </c>
      <c r="O387" s="50">
        <f>O370+O366</f>
        <v>3856.1059999999998</v>
      </c>
      <c r="P387" s="50">
        <f t="shared" ref="P387:BF387" si="1238">P370+P366</f>
        <v>3710.5219999999999</v>
      </c>
      <c r="Q387" s="50">
        <f t="shared" si="1238"/>
        <v>4509.4619999999995</v>
      </c>
      <c r="R387" s="50">
        <f t="shared" si="1238"/>
        <v>4443.1440000000002</v>
      </c>
      <c r="S387" s="50">
        <f t="shared" si="1238"/>
        <v>4455.259</v>
      </c>
      <c r="T387" s="50">
        <f t="shared" si="1238"/>
        <v>4265.4670000000006</v>
      </c>
      <c r="U387" s="50">
        <f t="shared" si="1238"/>
        <v>4363.3599999999997</v>
      </c>
      <c r="V387" s="50">
        <f t="shared" si="1238"/>
        <v>4623.8159999999998</v>
      </c>
      <c r="W387" s="50">
        <f t="shared" si="1238"/>
        <v>4773.3410000000003</v>
      </c>
      <c r="X387" s="50">
        <f t="shared" si="1238"/>
        <v>4673.7750000000005</v>
      </c>
      <c r="Y387" s="50">
        <f t="shared" si="1238"/>
        <v>4679.2849999999999</v>
      </c>
      <c r="Z387" s="50">
        <f t="shared" si="1238"/>
        <v>4379.7</v>
      </c>
      <c r="AA387" s="50">
        <f t="shared" si="1238"/>
        <v>4380.1930000000002</v>
      </c>
      <c r="AB387" s="50">
        <f t="shared" si="1238"/>
        <v>4082.636</v>
      </c>
      <c r="AC387" s="50">
        <f t="shared" si="1238"/>
        <v>4047.4679999999998</v>
      </c>
      <c r="AD387" s="50">
        <f t="shared" si="1238"/>
        <v>3914.3020000000001</v>
      </c>
      <c r="AE387" s="50">
        <f t="shared" si="1238"/>
        <v>3817.7719999999999</v>
      </c>
      <c r="AF387" s="50">
        <f t="shared" si="1238"/>
        <v>3956.4969999999998</v>
      </c>
      <c r="AG387" s="50">
        <f t="shared" si="1238"/>
        <v>4255.3320000000003</v>
      </c>
      <c r="AH387" s="50">
        <f t="shared" si="1238"/>
        <v>4355.049</v>
      </c>
      <c r="AI387" s="50">
        <f t="shared" si="1238"/>
        <v>3825.4560000000001</v>
      </c>
      <c r="AJ387" s="50">
        <f t="shared" si="1238"/>
        <v>3757.7159999999999</v>
      </c>
      <c r="AK387" s="50">
        <f t="shared" si="1238"/>
        <v>3746.7550000000001</v>
      </c>
      <c r="AL387" s="50">
        <f t="shared" si="1238"/>
        <v>3661.7079999999996</v>
      </c>
      <c r="AM387" s="50">
        <f t="shared" si="1238"/>
        <v>3590.2820000000002</v>
      </c>
      <c r="AN387" s="50">
        <f t="shared" si="1238"/>
        <v>3503.3470000000002</v>
      </c>
      <c r="AO387" s="50">
        <f t="shared" si="1238"/>
        <v>3476.098</v>
      </c>
      <c r="AP387" s="50">
        <f t="shared" si="1238"/>
        <v>3578.6320000000001</v>
      </c>
      <c r="AQ387" s="50">
        <f t="shared" si="1238"/>
        <v>3661.9780000000001</v>
      </c>
      <c r="AR387" s="50">
        <f t="shared" ref="AR387:AS387" si="1239">AR370+AR366</f>
        <v>3740.3719999999998</v>
      </c>
      <c r="AS387" s="50">
        <f t="shared" si="1239"/>
        <v>3958.8109999999997</v>
      </c>
      <c r="AT387" s="50">
        <f t="shared" ref="AT387" si="1240">AT370+AT366</f>
        <v>4027.9470000000001</v>
      </c>
      <c r="AU387" s="50">
        <f t="shared" si="1238"/>
        <v>3891.4878151429666</v>
      </c>
      <c r="AV387" s="50">
        <f t="shared" si="1238"/>
        <v>3922.4969249878368</v>
      </c>
      <c r="AW387" s="50">
        <f t="shared" si="1238"/>
        <v>3949.4002918827255</v>
      </c>
      <c r="AX387" s="50">
        <f t="shared" si="1238"/>
        <v>3951.0581448273524</v>
      </c>
      <c r="AY387" s="50">
        <f t="shared" si="1238"/>
        <v>3754.3846428922534</v>
      </c>
      <c r="AZ387" s="50">
        <f t="shared" si="1238"/>
        <v>3667.4455921816725</v>
      </c>
      <c r="BA387" s="50">
        <f t="shared" si="1238"/>
        <v>3594.8403263750552</v>
      </c>
      <c r="BB387" s="50">
        <f t="shared" si="1238"/>
        <v>3553.6959999999999</v>
      </c>
      <c r="BC387" s="50">
        <f t="shared" si="1238"/>
        <v>3553.6959999999999</v>
      </c>
      <c r="BD387" s="50">
        <f t="shared" si="1238"/>
        <v>3553.6959999999999</v>
      </c>
      <c r="BE387" s="50">
        <f t="shared" si="1238"/>
        <v>3166.1790686736385</v>
      </c>
      <c r="BF387" s="50">
        <f t="shared" si="1238"/>
        <v>3049.8379102627205</v>
      </c>
      <c r="BJ387" s="116">
        <f t="shared" si="1107"/>
        <v>378</v>
      </c>
    </row>
    <row r="388" spans="2:62" outlineLevel="1">
      <c r="B388" s="13" t="s">
        <v>139</v>
      </c>
      <c r="C388" s="50">
        <f t="shared" ref="C388" si="1241">C387-C351-C352</f>
        <v>3641.9540000000002</v>
      </c>
      <c r="D388" s="50">
        <f t="shared" ref="D388" si="1242">D387-D351-D352</f>
        <v>4084.3270000000002</v>
      </c>
      <c r="E388" s="50">
        <f t="shared" ref="E388" si="1243">E387-E351-E352</f>
        <v>3601.4959999999996</v>
      </c>
      <c r="F388" s="50">
        <f t="shared" ref="F388" si="1244">F387-F351-F352</f>
        <v>3407.1690000000003</v>
      </c>
      <c r="G388" s="50">
        <f t="shared" ref="G388" si="1245">G387-G351-G352</f>
        <v>3818.88</v>
      </c>
      <c r="H388" s="50">
        <f t="shared" ref="H388" si="1246">H387-H351-H352</f>
        <v>3387.1189999999992</v>
      </c>
      <c r="I388" s="50">
        <f t="shared" ref="I388" si="1247">I387-I351-I352</f>
        <v>3283.4300000000003</v>
      </c>
      <c r="J388" s="50">
        <f t="shared" ref="J388" si="1248">J387-J351-J352</f>
        <v>3662.5810000000001</v>
      </c>
      <c r="K388" s="50">
        <f t="shared" ref="K388" si="1249">K387-K351-K352</f>
        <v>3751.0581448273506</v>
      </c>
      <c r="L388" s="50">
        <f t="shared" ref="L388" si="1250">L387-L351-L352</f>
        <v>3296.9290661942655</v>
      </c>
      <c r="M388" s="50">
        <f t="shared" ref="M388" si="1251">M387-M351-M352</f>
        <v>2849.8379102627173</v>
      </c>
      <c r="O388" s="50">
        <f>O387-O351-O352</f>
        <v>2795.0919999999996</v>
      </c>
      <c r="P388" s="50">
        <f t="shared" ref="P388:BF388" si="1252">P387-P351-P352</f>
        <v>2817.6460000000002</v>
      </c>
      <c r="Q388" s="50">
        <f t="shared" si="1252"/>
        <v>3736.9929999999995</v>
      </c>
      <c r="R388" s="50">
        <f t="shared" si="1252"/>
        <v>3641.9540000000002</v>
      </c>
      <c r="S388" s="50">
        <f t="shared" si="1252"/>
        <v>3724.9520000000002</v>
      </c>
      <c r="T388" s="50">
        <f t="shared" si="1252"/>
        <v>3592.4250000000006</v>
      </c>
      <c r="U388" s="50">
        <f t="shared" si="1252"/>
        <v>3968.0399999999995</v>
      </c>
      <c r="V388" s="50">
        <f t="shared" si="1252"/>
        <v>4084.3270000000002</v>
      </c>
      <c r="W388" s="50">
        <f t="shared" si="1252"/>
        <v>4279.3690000000006</v>
      </c>
      <c r="X388" s="50">
        <f t="shared" si="1252"/>
        <v>4218.5930000000008</v>
      </c>
      <c r="Y388" s="50">
        <f t="shared" si="1252"/>
        <v>4059.7219999999998</v>
      </c>
      <c r="Z388" s="50">
        <f t="shared" si="1252"/>
        <v>3601.4959999999996</v>
      </c>
      <c r="AA388" s="50">
        <f t="shared" si="1252"/>
        <v>3689.7130000000002</v>
      </c>
      <c r="AB388" s="50">
        <f t="shared" si="1252"/>
        <v>3474.6759999999999</v>
      </c>
      <c r="AC388" s="50">
        <f t="shared" si="1252"/>
        <v>3555.53</v>
      </c>
      <c r="AD388" s="50">
        <f t="shared" si="1252"/>
        <v>3407.1690000000003</v>
      </c>
      <c r="AE388" s="50">
        <f t="shared" si="1252"/>
        <v>3393.0050000000001</v>
      </c>
      <c r="AF388" s="50">
        <f t="shared" si="1252"/>
        <v>3470.1529999999998</v>
      </c>
      <c r="AG388" s="50">
        <f t="shared" si="1252"/>
        <v>3790.5140000000006</v>
      </c>
      <c r="AH388" s="50">
        <f t="shared" si="1252"/>
        <v>3818.88</v>
      </c>
      <c r="AI388" s="50">
        <f t="shared" si="1252"/>
        <v>3204.2849999999999</v>
      </c>
      <c r="AJ388" s="50">
        <f t="shared" si="1252"/>
        <v>3287.8189999999995</v>
      </c>
      <c r="AK388" s="50">
        <f t="shared" si="1252"/>
        <v>3470.1930000000002</v>
      </c>
      <c r="AL388" s="50">
        <f t="shared" si="1252"/>
        <v>3387.1189999999992</v>
      </c>
      <c r="AM388" s="50">
        <f t="shared" si="1252"/>
        <v>3368.7809999999999</v>
      </c>
      <c r="AN388" s="50">
        <f t="shared" si="1252"/>
        <v>3247.4910000000004</v>
      </c>
      <c r="AO388" s="50">
        <f t="shared" si="1252"/>
        <v>3275.4479999999999</v>
      </c>
      <c r="AP388" s="50">
        <f t="shared" si="1252"/>
        <v>3283.4300000000003</v>
      </c>
      <c r="AQ388" s="50">
        <f t="shared" si="1252"/>
        <v>3433.3829999999998</v>
      </c>
      <c r="AR388" s="50">
        <f t="shared" ref="AR388:AS388" si="1253">AR387-AR351-AR352</f>
        <v>3508.3289999999997</v>
      </c>
      <c r="AS388" s="50">
        <f t="shared" si="1253"/>
        <v>3738.4849999999997</v>
      </c>
      <c r="AT388" s="50">
        <f t="shared" ref="AT388" si="1254">AT387-AT351-AT352</f>
        <v>3662.5810000000001</v>
      </c>
      <c r="AU388" s="50">
        <f t="shared" si="1252"/>
        <v>3691.4878151429671</v>
      </c>
      <c r="AV388" s="50">
        <f t="shared" si="1252"/>
        <v>3722.4969249878368</v>
      </c>
      <c r="AW388" s="50">
        <f t="shared" si="1252"/>
        <v>3749.4002918827241</v>
      </c>
      <c r="AX388" s="50">
        <f t="shared" si="1252"/>
        <v>3751.0581448273506</v>
      </c>
      <c r="AY388" s="50">
        <f t="shared" si="1252"/>
        <v>3554.3846428922529</v>
      </c>
      <c r="AZ388" s="50">
        <f t="shared" si="1252"/>
        <v>3467.4455921816716</v>
      </c>
      <c r="BA388" s="50">
        <f t="shared" si="1252"/>
        <v>3394.8403263750538</v>
      </c>
      <c r="BB388" s="50">
        <f t="shared" si="1252"/>
        <v>3296.9290661942655</v>
      </c>
      <c r="BC388" s="50">
        <f t="shared" si="1252"/>
        <v>3184.0535756076938</v>
      </c>
      <c r="BD388" s="50">
        <f t="shared" si="1252"/>
        <v>3064.2877071038756</v>
      </c>
      <c r="BE388" s="50">
        <f t="shared" si="1252"/>
        <v>2966.1790686736363</v>
      </c>
      <c r="BF388" s="50">
        <f t="shared" si="1252"/>
        <v>2849.8379102627173</v>
      </c>
      <c r="BJ388" s="116">
        <f t="shared" si="1107"/>
        <v>379</v>
      </c>
    </row>
    <row r="389" spans="2:62" outlineLevel="1">
      <c r="B389" s="13" t="s">
        <v>341</v>
      </c>
      <c r="C389" s="93">
        <f t="shared" ref="C389:L389" si="1255">C387/C386</f>
        <v>0.45403033126790127</v>
      </c>
      <c r="D389" s="93">
        <f t="shared" si="1255"/>
        <v>0.45220548432459828</v>
      </c>
      <c r="E389" s="93">
        <f t="shared" si="1255"/>
        <v>0.42369909421826851</v>
      </c>
      <c r="F389" s="93">
        <f t="shared" si="1255"/>
        <v>0.39556468160864167</v>
      </c>
      <c r="G389" s="93">
        <f t="shared" si="1255"/>
        <v>0.46960589563889288</v>
      </c>
      <c r="H389" s="93">
        <f t="shared" si="1255"/>
        <v>0.46026937584406197</v>
      </c>
      <c r="I389" s="93">
        <f t="shared" si="1255"/>
        <v>0.52369506544812727</v>
      </c>
      <c r="J389" s="93">
        <f t="shared" si="1255"/>
        <v>0.57816978434614852</v>
      </c>
      <c r="K389" s="93">
        <f t="shared" si="1255"/>
        <v>0.59803246741343963</v>
      </c>
      <c r="L389" s="93">
        <f t="shared" si="1255"/>
        <v>0.56675533385164123</v>
      </c>
      <c r="M389" s="93">
        <f t="shared" ref="M389" si="1256">M387/M386</f>
        <v>0.51590041607921566</v>
      </c>
      <c r="O389" s="93">
        <f>O387/O386</f>
        <v>0.42306036925265084</v>
      </c>
      <c r="P389" s="93">
        <f t="shared" ref="P389:BF389" si="1257">P387/P386</f>
        <v>0.41509683876069731</v>
      </c>
      <c r="Q389" s="93">
        <f t="shared" si="1257"/>
        <v>0.46345808523548526</v>
      </c>
      <c r="R389" s="93">
        <f t="shared" si="1257"/>
        <v>0.45403033126790127</v>
      </c>
      <c r="S389" s="93">
        <f t="shared" si="1257"/>
        <v>0.4486867636438418</v>
      </c>
      <c r="T389" s="93">
        <f t="shared" si="1257"/>
        <v>0.42938311900754011</v>
      </c>
      <c r="U389" s="93">
        <f t="shared" si="1257"/>
        <v>0.43603517932978036</v>
      </c>
      <c r="V389" s="93">
        <f t="shared" si="1257"/>
        <v>0.45220548432459828</v>
      </c>
      <c r="W389" s="93">
        <f t="shared" si="1257"/>
        <v>0.45046303404674043</v>
      </c>
      <c r="X389" s="93">
        <f t="shared" si="1257"/>
        <v>0.44928579441618727</v>
      </c>
      <c r="Y389" s="93">
        <f t="shared" si="1257"/>
        <v>0.44414839518807481</v>
      </c>
      <c r="Z389" s="93">
        <f t="shared" si="1257"/>
        <v>0.42369909421826851</v>
      </c>
      <c r="AA389" s="93">
        <f t="shared" si="1257"/>
        <v>0.42259957136012599</v>
      </c>
      <c r="AB389" s="93">
        <f t="shared" si="1257"/>
        <v>0.40761463673685133</v>
      </c>
      <c r="AC389" s="93">
        <f t="shared" si="1257"/>
        <v>0.40945301197433176</v>
      </c>
      <c r="AD389" s="93">
        <f t="shared" si="1257"/>
        <v>0.39556468160864167</v>
      </c>
      <c r="AE389" s="93">
        <f t="shared" si="1257"/>
        <v>0.39000470015397842</v>
      </c>
      <c r="AF389" s="93">
        <f t="shared" si="1257"/>
        <v>0.39413547093421791</v>
      </c>
      <c r="AG389" s="93">
        <f t="shared" si="1257"/>
        <v>0.42013173434422996</v>
      </c>
      <c r="AH389" s="93">
        <f t="shared" si="1257"/>
        <v>0.46960589563889288</v>
      </c>
      <c r="AI389" s="93">
        <f t="shared" si="1257"/>
        <v>0.43504619128059829</v>
      </c>
      <c r="AJ389" s="93">
        <f t="shared" si="1257"/>
        <v>0.4320658482244234</v>
      </c>
      <c r="AK389" s="93">
        <f t="shared" si="1257"/>
        <v>0.45370369697634616</v>
      </c>
      <c r="AL389" s="93">
        <f t="shared" si="1257"/>
        <v>0.46026937584406197</v>
      </c>
      <c r="AM389" s="93">
        <f t="shared" si="1257"/>
        <v>0.47829108693969574</v>
      </c>
      <c r="AN389" s="93">
        <f t="shared" si="1257"/>
        <v>0.48482219526725895</v>
      </c>
      <c r="AO389" s="93">
        <f t="shared" si="1257"/>
        <v>0.49133571700765194</v>
      </c>
      <c r="AP389" s="93">
        <f t="shared" si="1257"/>
        <v>0.52369506544812727</v>
      </c>
      <c r="AQ389" s="93">
        <f t="shared" si="1257"/>
        <v>0.53472241285958177</v>
      </c>
      <c r="AR389" s="93">
        <f t="shared" ref="AR389:AS389" si="1258">AR387/AR386</f>
        <v>0.54899305020438427</v>
      </c>
      <c r="AS389" s="93">
        <f t="shared" si="1258"/>
        <v>0.57490453137597963</v>
      </c>
      <c r="AT389" s="93">
        <f t="shared" ref="AT389" si="1259">AT387/AT386</f>
        <v>0.57816978434614852</v>
      </c>
      <c r="AU389" s="93">
        <f t="shared" si="1257"/>
        <v>0.57846851334132499</v>
      </c>
      <c r="AV389" s="93">
        <f t="shared" si="1257"/>
        <v>0.58746475746625804</v>
      </c>
      <c r="AW389" s="93">
        <f t="shared" si="1257"/>
        <v>0.59424146328888583</v>
      </c>
      <c r="AX389" s="93">
        <f t="shared" si="1257"/>
        <v>0.59803246741343963</v>
      </c>
      <c r="AY389" s="93">
        <f t="shared" si="1257"/>
        <v>0.58183235027049651</v>
      </c>
      <c r="AZ389" s="93">
        <f t="shared" si="1257"/>
        <v>0.57742050667443223</v>
      </c>
      <c r="BA389" s="93">
        <f t="shared" si="1257"/>
        <v>0.57159012926667019</v>
      </c>
      <c r="BB389" s="93">
        <f t="shared" si="1257"/>
        <v>0.56675533385164123</v>
      </c>
      <c r="BC389" s="93">
        <f t="shared" si="1257"/>
        <v>0.56402991425773163</v>
      </c>
      <c r="BD389" s="93">
        <f t="shared" si="1257"/>
        <v>0.56152672395553782</v>
      </c>
      <c r="BE389" s="93">
        <f t="shared" si="1257"/>
        <v>0.52937335823970233</v>
      </c>
      <c r="BF389" s="93">
        <f t="shared" si="1257"/>
        <v>0.51590041607921566</v>
      </c>
      <c r="BJ389" s="116">
        <f t="shared" si="1107"/>
        <v>380</v>
      </c>
    </row>
    <row r="390" spans="2:62" outlineLevel="1">
      <c r="B390" s="13" t="s">
        <v>340</v>
      </c>
      <c r="C390" s="93">
        <f t="shared" ref="C390:L390" si="1260">C388/(C386-C351-C352)</f>
        <v>0.40534537320014419</v>
      </c>
      <c r="D390" s="93">
        <f t="shared" si="1260"/>
        <v>0.42169309230333379</v>
      </c>
      <c r="E390" s="93">
        <f t="shared" si="1260"/>
        <v>0.37678018766948712</v>
      </c>
      <c r="F390" s="93">
        <f t="shared" si="1260"/>
        <v>0.36291472427624638</v>
      </c>
      <c r="G390" s="93">
        <f t="shared" si="1260"/>
        <v>0.43705935759296893</v>
      </c>
      <c r="H390" s="93">
        <f t="shared" si="1260"/>
        <v>0.44097444768491323</v>
      </c>
      <c r="I390" s="93">
        <f t="shared" si="1260"/>
        <v>0.50218981451387812</v>
      </c>
      <c r="J390" s="93">
        <f t="shared" si="1260"/>
        <v>0.55482269243552151</v>
      </c>
      <c r="K390" s="93">
        <f t="shared" si="1260"/>
        <v>0.58548423988988618</v>
      </c>
      <c r="L390" s="93">
        <f t="shared" si="1260"/>
        <v>0.54825641125364599</v>
      </c>
      <c r="M390" s="93">
        <f t="shared" ref="M390" si="1261">M388/(M386-M351-M352)</f>
        <v>0.49894919938373611</v>
      </c>
      <c r="O390" s="93">
        <f>O388/(O386-O351-O352)</f>
        <v>0.34705364875477651</v>
      </c>
      <c r="P390" s="93">
        <f t="shared" ref="P390:BF390" si="1262">P388/(P386-P351-P352)</f>
        <v>0.35018975137505265</v>
      </c>
      <c r="Q390" s="93">
        <f t="shared" si="1262"/>
        <v>0.41718858131391301</v>
      </c>
      <c r="R390" s="93">
        <f t="shared" si="1262"/>
        <v>0.40534537320014419</v>
      </c>
      <c r="S390" s="93">
        <f t="shared" si="1262"/>
        <v>0.40491927273170003</v>
      </c>
      <c r="T390" s="93">
        <f t="shared" si="1262"/>
        <v>0.38791316178773128</v>
      </c>
      <c r="U390" s="93">
        <f t="shared" si="1262"/>
        <v>0.41283955529055105</v>
      </c>
      <c r="V390" s="93">
        <f t="shared" si="1262"/>
        <v>0.42169309230333379</v>
      </c>
      <c r="W390" s="93">
        <f t="shared" si="1262"/>
        <v>0.42359299618343854</v>
      </c>
      <c r="X390" s="93">
        <f t="shared" si="1262"/>
        <v>0.42408596335057214</v>
      </c>
      <c r="Y390" s="93">
        <f t="shared" si="1262"/>
        <v>0.40941761298027418</v>
      </c>
      <c r="Z390" s="93">
        <f t="shared" si="1262"/>
        <v>0.37678018766948712</v>
      </c>
      <c r="AA390" s="93">
        <f t="shared" si="1262"/>
        <v>0.38138941565149587</v>
      </c>
      <c r="AB390" s="93">
        <f t="shared" si="1262"/>
        <v>0.36933358886160356</v>
      </c>
      <c r="AC390" s="93">
        <f t="shared" si="1262"/>
        <v>0.37852479947297618</v>
      </c>
      <c r="AD390" s="93">
        <f t="shared" si="1262"/>
        <v>0.36291472427624638</v>
      </c>
      <c r="AE390" s="93">
        <f t="shared" si="1262"/>
        <v>0.36233508331772446</v>
      </c>
      <c r="AF390" s="93">
        <f t="shared" si="1262"/>
        <v>0.36328787200686768</v>
      </c>
      <c r="AG390" s="93">
        <f t="shared" si="1262"/>
        <v>0.39224056753135533</v>
      </c>
      <c r="AH390" s="93">
        <f t="shared" si="1262"/>
        <v>0.43705935759296893</v>
      </c>
      <c r="AI390" s="93">
        <f t="shared" si="1262"/>
        <v>0.39210310464440545</v>
      </c>
      <c r="AJ390" s="93">
        <f t="shared" si="1262"/>
        <v>0.3996282329066263</v>
      </c>
      <c r="AK390" s="93">
        <f t="shared" si="1262"/>
        <v>0.43477454121934583</v>
      </c>
      <c r="AL390" s="93">
        <f t="shared" si="1262"/>
        <v>0.44097444768491323</v>
      </c>
      <c r="AM390" s="93">
        <f t="shared" si="1262"/>
        <v>0.46242843835629982</v>
      </c>
      <c r="AN390" s="93">
        <f t="shared" si="1262"/>
        <v>0.46591146954551743</v>
      </c>
      <c r="AO390" s="93">
        <f t="shared" si="1262"/>
        <v>0.47648826573556374</v>
      </c>
      <c r="AP390" s="93">
        <f t="shared" si="1262"/>
        <v>0.50218981451387812</v>
      </c>
      <c r="AQ390" s="93">
        <f t="shared" si="1262"/>
        <v>0.51865538672979461</v>
      </c>
      <c r="AR390" s="93">
        <f t="shared" ref="AR390:AS390" si="1263">AR388/(AR386-AR351-AR352)</f>
        <v>0.5330910134115735</v>
      </c>
      <c r="AS390" s="93">
        <f t="shared" si="1263"/>
        <v>0.56085356899929273</v>
      </c>
      <c r="AT390" s="93">
        <f t="shared" ref="AT390" si="1264">AT388/(AT386-AT351-AT352)</f>
        <v>0.55482269243552151</v>
      </c>
      <c r="AU390" s="93">
        <f t="shared" si="1262"/>
        <v>0.56555241224310138</v>
      </c>
      <c r="AV390" s="93">
        <f t="shared" si="1262"/>
        <v>0.57472627320240099</v>
      </c>
      <c r="AW390" s="93">
        <f t="shared" si="1262"/>
        <v>0.5816522308938703</v>
      </c>
      <c r="AX390" s="93">
        <f t="shared" si="1262"/>
        <v>0.58548423988988618</v>
      </c>
      <c r="AY390" s="93">
        <f t="shared" si="1262"/>
        <v>0.56845674548293723</v>
      </c>
      <c r="AZ390" s="93">
        <f t="shared" si="1262"/>
        <v>0.5636812774752944</v>
      </c>
      <c r="BA390" s="93">
        <f t="shared" si="1262"/>
        <v>0.55751897371884462</v>
      </c>
      <c r="BB390" s="93">
        <f t="shared" si="1262"/>
        <v>0.54825641125364599</v>
      </c>
      <c r="BC390" s="93">
        <f t="shared" si="1262"/>
        <v>0.5368581591208168</v>
      </c>
      <c r="BD390" s="93">
        <f t="shared" si="1262"/>
        <v>0.52477655511700028</v>
      </c>
      <c r="BE390" s="93">
        <f t="shared" si="1262"/>
        <v>0.51309150039132212</v>
      </c>
      <c r="BF390" s="93">
        <f t="shared" si="1262"/>
        <v>0.49894919938373611</v>
      </c>
      <c r="BJ390" s="116">
        <f t="shared" si="1107"/>
        <v>381</v>
      </c>
    </row>
    <row r="391" spans="2:62" outlineLevel="1">
      <c r="B391" s="13" t="s">
        <v>140</v>
      </c>
      <c r="C391" s="93">
        <f t="shared" ref="C391:L391" si="1265">C388/C379</f>
        <v>0.68352914194425773</v>
      </c>
      <c r="D391" s="93">
        <f t="shared" si="1265"/>
        <v>0.73093454239268851</v>
      </c>
      <c r="E391" s="93">
        <f t="shared" si="1265"/>
        <v>0.60580975819896232</v>
      </c>
      <c r="F391" s="93">
        <f t="shared" si="1265"/>
        <v>0.57080246456492667</v>
      </c>
      <c r="G391" s="93">
        <f t="shared" si="1265"/>
        <v>0.77799478835085789</v>
      </c>
      <c r="H391" s="93">
        <f t="shared" si="1265"/>
        <v>0.79088217507139136</v>
      </c>
      <c r="I391" s="93">
        <f t="shared" si="1265"/>
        <v>1.0112118015722087</v>
      </c>
      <c r="J391" s="93">
        <f t="shared" si="1265"/>
        <v>1.2578339428040783</v>
      </c>
      <c r="K391" s="93">
        <f t="shared" si="1265"/>
        <v>1.4312936111081025</v>
      </c>
      <c r="L391" s="93">
        <f t="shared" si="1265"/>
        <v>1.2331449419180329</v>
      </c>
      <c r="M391" s="93">
        <f t="shared" ref="M391" si="1266">M388/M379</f>
        <v>1.013858031586901</v>
      </c>
      <c r="O391" s="93">
        <f>O388/O379</f>
        <v>0.53290285605556953</v>
      </c>
      <c r="P391" s="93">
        <f t="shared" ref="P391:BF391" si="1267">P388/P379</f>
        <v>0.54016097208983815</v>
      </c>
      <c r="Q391" s="93">
        <f t="shared" si="1267"/>
        <v>0.71759928504932746</v>
      </c>
      <c r="R391" s="93">
        <f t="shared" si="1267"/>
        <v>0.68352914194425773</v>
      </c>
      <c r="S391" s="93">
        <f t="shared" si="1267"/>
        <v>0.68223751145853262</v>
      </c>
      <c r="T391" s="93">
        <f t="shared" si="1267"/>
        <v>0.63520863923003168</v>
      </c>
      <c r="U391" s="93">
        <f t="shared" si="1267"/>
        <v>0.70457607604799311</v>
      </c>
      <c r="V391" s="93">
        <f t="shared" si="1267"/>
        <v>0.73093454239268851</v>
      </c>
      <c r="W391" s="93">
        <f t="shared" si="1267"/>
        <v>0.73643533049740983</v>
      </c>
      <c r="X391" s="93">
        <f t="shared" si="1267"/>
        <v>0.73776970585174817</v>
      </c>
      <c r="Y391" s="93">
        <f t="shared" si="1267"/>
        <v>0.69469633188908742</v>
      </c>
      <c r="Z391" s="93">
        <f t="shared" si="1267"/>
        <v>0.60580975819896232</v>
      </c>
      <c r="AA391" s="93">
        <f t="shared" si="1267"/>
        <v>0.61764778749388582</v>
      </c>
      <c r="AB391" s="93">
        <f t="shared" si="1267"/>
        <v>0.58668451479536832</v>
      </c>
      <c r="AC391" s="93">
        <f t="shared" si="1267"/>
        <v>0.61026904819771755</v>
      </c>
      <c r="AD391" s="93">
        <f t="shared" si="1267"/>
        <v>0.57080246456492667</v>
      </c>
      <c r="AE391" s="93">
        <f t="shared" si="1267"/>
        <v>0.56925134582530346</v>
      </c>
      <c r="AF391" s="93">
        <f t="shared" si="1267"/>
        <v>0.57155485383499693</v>
      </c>
      <c r="AG391" s="93">
        <f t="shared" si="1267"/>
        <v>0.64652841704058761</v>
      </c>
      <c r="AH391" s="93">
        <f t="shared" si="1267"/>
        <v>0.77799478835085789</v>
      </c>
      <c r="AI391" s="93">
        <f t="shared" si="1267"/>
        <v>0.64617984182908283</v>
      </c>
      <c r="AJ391" s="93">
        <f t="shared" si="1267"/>
        <v>0.66663537417172869</v>
      </c>
      <c r="AK391" s="93">
        <f t="shared" si="1267"/>
        <v>0.7707578304751358</v>
      </c>
      <c r="AL391" s="93">
        <f t="shared" si="1267"/>
        <v>0.79088217507139136</v>
      </c>
      <c r="AM391" s="93">
        <f t="shared" si="1267"/>
        <v>0.86283424514384077</v>
      </c>
      <c r="AN391" s="93">
        <f t="shared" si="1267"/>
        <v>0.8739564298881819</v>
      </c>
      <c r="AO391" s="93">
        <f t="shared" si="1267"/>
        <v>0.91189107579799045</v>
      </c>
      <c r="AP391" s="93">
        <f t="shared" si="1267"/>
        <v>1.0112118015722087</v>
      </c>
      <c r="AQ391" s="93">
        <f t="shared" si="1267"/>
        <v>1.080377337829316</v>
      </c>
      <c r="AR391" s="93">
        <f t="shared" ref="AR391:AS391" si="1268">AR388/AR379</f>
        <v>1.1505603864575871</v>
      </c>
      <c r="AS391" s="93">
        <f t="shared" si="1268"/>
        <v>1.2885084984688451</v>
      </c>
      <c r="AT391" s="93">
        <f t="shared" ref="AT391" si="1269">AT388/AT379</f>
        <v>1.2578339428040783</v>
      </c>
      <c r="AU391" s="93">
        <f t="shared" si="1267"/>
        <v>1.3152037705605757</v>
      </c>
      <c r="AV391" s="93">
        <f t="shared" si="1267"/>
        <v>1.3667876590802104</v>
      </c>
      <c r="AW391" s="93">
        <f t="shared" si="1267"/>
        <v>1.4075577243990733</v>
      </c>
      <c r="AX391" s="93">
        <f t="shared" si="1267"/>
        <v>1.4312936111081025</v>
      </c>
      <c r="AY391" s="93">
        <f t="shared" si="1267"/>
        <v>1.3355570952086757</v>
      </c>
      <c r="AZ391" s="93">
        <f t="shared" si="1267"/>
        <v>1.3109302179453874</v>
      </c>
      <c r="BA391" s="93">
        <f t="shared" si="1267"/>
        <v>1.2794326386378068</v>
      </c>
      <c r="BB391" s="93">
        <f t="shared" si="1267"/>
        <v>1.2331449419180329</v>
      </c>
      <c r="BC391" s="93">
        <f t="shared" si="1267"/>
        <v>1.178453200574741</v>
      </c>
      <c r="BD391" s="93">
        <f t="shared" si="1267"/>
        <v>1.1232812625250561</v>
      </c>
      <c r="BE391" s="93">
        <f t="shared" si="1267"/>
        <v>1.0724262629771848</v>
      </c>
      <c r="BF391" s="93">
        <f t="shared" si="1267"/>
        <v>1.013858031586901</v>
      </c>
      <c r="BJ391" s="116">
        <f t="shared" si="1107"/>
        <v>382</v>
      </c>
    </row>
    <row r="392" spans="2:62" outlineLevel="1">
      <c r="B392" s="13"/>
      <c r="AR392" s="236"/>
      <c r="AS392" s="236"/>
      <c r="AT392" s="236"/>
      <c r="AU392" s="236"/>
      <c r="BJ392" s="116">
        <f t="shared" si="1107"/>
        <v>383</v>
      </c>
    </row>
    <row r="393" spans="2:62" outlineLevel="1">
      <c r="B393" s="13" t="s">
        <v>141</v>
      </c>
      <c r="C393" s="94">
        <f t="shared" ref="C393:M393" si="1270">C388/C31</f>
        <v>2.5573616008920688</v>
      </c>
      <c r="D393" s="94">
        <f t="shared" si="1270"/>
        <v>2.2544342673068072</v>
      </c>
      <c r="E393" s="94">
        <f t="shared" si="1270"/>
        <v>1.8300042783987609</v>
      </c>
      <c r="F393" s="94">
        <f t="shared" si="1270"/>
        <v>2.1154709188399825</v>
      </c>
      <c r="G393" s="94">
        <f t="shared" si="1270"/>
        <v>2.2292244810279391</v>
      </c>
      <c r="H393" s="94">
        <f t="shared" si="1270"/>
        <v>3.0102212394885912</v>
      </c>
      <c r="I393" s="94">
        <f t="shared" si="1270"/>
        <v>5.8091185732988926</v>
      </c>
      <c r="J393" s="94">
        <f t="shared" si="1270"/>
        <v>6.7331436145473136</v>
      </c>
      <c r="K393" s="94">
        <f t="shared" si="1270"/>
        <v>4.5241443890207362</v>
      </c>
      <c r="L393" s="94">
        <f t="shared" si="1270"/>
        <v>2.9902536875354349</v>
      </c>
      <c r="M393" s="94">
        <f t="shared" si="1270"/>
        <v>2.3151229366556763</v>
      </c>
      <c r="S393" s="94">
        <f t="shared" ref="S393:BF393" si="1271">S388/SUM(P31:S31)</f>
        <v>2.428102470503879</v>
      </c>
      <c r="T393" s="94">
        <f t="shared" si="1271"/>
        <v>2.1952764364465667</v>
      </c>
      <c r="U393" s="94">
        <f t="shared" si="1271"/>
        <v>2.2763604529957528</v>
      </c>
      <c r="V393" s="94">
        <f t="shared" si="1271"/>
        <v>2.2544342673068072</v>
      </c>
      <c r="W393" s="94">
        <f t="shared" si="1271"/>
        <v>2.1899224151650949</v>
      </c>
      <c r="X393" s="94">
        <f t="shared" si="1271"/>
        <v>2.0709528087460671</v>
      </c>
      <c r="Y393" s="94">
        <f t="shared" si="1271"/>
        <v>1.9770375229432411</v>
      </c>
      <c r="Z393" s="94">
        <f t="shared" si="1271"/>
        <v>1.8300042783987609</v>
      </c>
      <c r="AA393" s="94">
        <f t="shared" si="1271"/>
        <v>2.0302464217562504</v>
      </c>
      <c r="AB393" s="94">
        <f t="shared" si="1271"/>
        <v>2.0598936580779372</v>
      </c>
      <c r="AC393" s="94">
        <f t="shared" si="1271"/>
        <v>2.221667495632309</v>
      </c>
      <c r="AD393" s="94">
        <f t="shared" si="1271"/>
        <v>2.1154709188399825</v>
      </c>
      <c r="AE393" s="94">
        <f t="shared" si="1271"/>
        <v>2.1349576941735813</v>
      </c>
      <c r="AF393" s="94">
        <f t="shared" si="1271"/>
        <v>2.1034710591509982</v>
      </c>
      <c r="AG393" s="94">
        <f t="shared" si="1271"/>
        <v>2.2236344394854544</v>
      </c>
      <c r="AH393" s="94">
        <f t="shared" si="1271"/>
        <v>2.2292244810279391</v>
      </c>
      <c r="AI393" s="94">
        <f t="shared" si="1271"/>
        <v>1.8904380895294146</v>
      </c>
      <c r="AJ393" s="94">
        <f t="shared" si="1271"/>
        <v>2.1058308722321817</v>
      </c>
      <c r="AK393" s="94">
        <f t="shared" si="1271"/>
        <v>2.5724836652665819</v>
      </c>
      <c r="AL393" s="94">
        <f t="shared" si="1271"/>
        <v>3.0102212394885903</v>
      </c>
      <c r="AM393" s="94">
        <f t="shared" si="1271"/>
        <v>3.6991441672925642</v>
      </c>
      <c r="AN393" s="94">
        <f t="shared" si="1271"/>
        <v>4.2943562943734861</v>
      </c>
      <c r="AO393" s="94">
        <f t="shared" si="1271"/>
        <v>5.0771827737312254</v>
      </c>
      <c r="AP393" s="94">
        <f t="shared" si="1271"/>
        <v>5.8091185732988935</v>
      </c>
      <c r="AQ393" s="94">
        <f t="shared" si="1271"/>
        <v>6.7798751204562331</v>
      </c>
      <c r="AR393" s="94">
        <f t="shared" si="1271"/>
        <v>6.7846763463650861</v>
      </c>
      <c r="AS393" s="94">
        <f t="shared" si="1271"/>
        <v>7.1423235713862683</v>
      </c>
      <c r="AT393" s="94">
        <f t="shared" si="1271"/>
        <v>6.7331436145473136</v>
      </c>
      <c r="AU393" s="94">
        <f t="shared" si="1271"/>
        <v>5.9583014276476209</v>
      </c>
      <c r="AV393" s="94">
        <f t="shared" si="1271"/>
        <v>5.5093441837655686</v>
      </c>
      <c r="AW393" s="94">
        <f t="shared" si="1271"/>
        <v>4.9764811340571447</v>
      </c>
      <c r="AX393" s="94">
        <f t="shared" si="1271"/>
        <v>4.5241443890207362</v>
      </c>
      <c r="AY393" s="94">
        <f t="shared" si="1271"/>
        <v>3.9284640425648769</v>
      </c>
      <c r="AZ393" s="94">
        <f t="shared" si="1271"/>
        <v>3.5627838942927368</v>
      </c>
      <c r="BA393" s="94">
        <f t="shared" si="1271"/>
        <v>3.2592956137334284</v>
      </c>
      <c r="BB393" s="94">
        <f t="shared" si="1271"/>
        <v>2.9902536875354349</v>
      </c>
      <c r="BC393" s="94">
        <f t="shared" si="1271"/>
        <v>2.7521155272607545</v>
      </c>
      <c r="BD393" s="94">
        <f t="shared" si="1271"/>
        <v>2.5668095566523053</v>
      </c>
      <c r="BE393" s="94">
        <f t="shared" si="1271"/>
        <v>2.4369137220551718</v>
      </c>
      <c r="BF393" s="94">
        <f t="shared" si="1271"/>
        <v>2.3151229366556758</v>
      </c>
      <c r="BJ393" s="116">
        <f t="shared" si="1107"/>
        <v>384</v>
      </c>
    </row>
    <row r="394" spans="2:62" outlineLevel="1">
      <c r="B394" s="13" t="s">
        <v>142</v>
      </c>
      <c r="C394" s="94">
        <f t="shared" ref="C394:M394" si="1272">C388/C33</f>
        <v>5.6009725699592154</v>
      </c>
      <c r="D394" s="94">
        <f t="shared" si="1272"/>
        <v>4.7107590242912227</v>
      </c>
      <c r="E394" s="94">
        <f t="shared" si="1272"/>
        <v>3.913521031871082</v>
      </c>
      <c r="F394" s="94">
        <f t="shared" si="1272"/>
        <v>6.5032361872732229</v>
      </c>
      <c r="G394" s="94">
        <f t="shared" si="1272"/>
        <v>6.723403955647731</v>
      </c>
      <c r="H394" s="94">
        <f t="shared" si="1272"/>
        <v>21.888107685447878</v>
      </c>
      <c r="I394" s="94">
        <f t="shared" si="1272"/>
        <v>-10.911631678469721</v>
      </c>
      <c r="J394" s="94">
        <f t="shared" si="1272"/>
        <v>-12.250254197605191</v>
      </c>
      <c r="K394" s="94">
        <f t="shared" si="1272"/>
        <v>-245.73257400232291</v>
      </c>
      <c r="L394" s="94">
        <f t="shared" si="1272"/>
        <v>10.472559423718984</v>
      </c>
      <c r="M394" s="94">
        <f t="shared" si="1272"/>
        <v>5.7792034075055687</v>
      </c>
      <c r="S394" s="94">
        <f t="shared" ref="S394:BF394" si="1273">S388/SUM(P33:S33)</f>
        <v>5.2999406683560295</v>
      </c>
      <c r="T394" s="94">
        <f t="shared" si="1273"/>
        <v>4.7723758359304638</v>
      </c>
      <c r="U394" s="94">
        <f t="shared" si="1273"/>
        <v>4.8581681413653905</v>
      </c>
      <c r="V394" s="94">
        <f t="shared" si="1273"/>
        <v>4.7107590242912227</v>
      </c>
      <c r="W394" s="94">
        <f t="shared" si="1273"/>
        <v>4.3160206473371883</v>
      </c>
      <c r="X394" s="94">
        <f t="shared" si="1273"/>
        <v>4.0485032336448779</v>
      </c>
      <c r="Y394" s="94">
        <f t="shared" si="1273"/>
        <v>3.9058096643659934</v>
      </c>
      <c r="Z394" s="94">
        <f t="shared" si="1273"/>
        <v>3.9135210318710811</v>
      </c>
      <c r="AA394" s="94">
        <f t="shared" si="1273"/>
        <v>4.9336156454580475</v>
      </c>
      <c r="AB394" s="94">
        <f t="shared" si="1273"/>
        <v>5.6763786718159093</v>
      </c>
      <c r="AC394" s="94">
        <f t="shared" si="1273"/>
        <v>6.8654552054791891</v>
      </c>
      <c r="AD394" s="94">
        <f t="shared" si="1273"/>
        <v>6.5032361872732247</v>
      </c>
      <c r="AE394" s="94">
        <f t="shared" si="1273"/>
        <v>6.9270163447129773</v>
      </c>
      <c r="AF394" s="94">
        <f t="shared" si="1273"/>
        <v>6.5023347411735166</v>
      </c>
      <c r="AG394" s="94">
        <f t="shared" si="1273"/>
        <v>6.5869058252325967</v>
      </c>
      <c r="AH394" s="94">
        <f t="shared" si="1273"/>
        <v>6.723403955647731</v>
      </c>
      <c r="AI394" s="94">
        <f t="shared" si="1273"/>
        <v>5.8153570572990407</v>
      </c>
      <c r="AJ394" s="94">
        <f t="shared" si="1273"/>
        <v>6.822262800228251</v>
      </c>
      <c r="AK394" s="94">
        <f t="shared" si="1273"/>
        <v>10.979121845655424</v>
      </c>
      <c r="AL394" s="94">
        <f t="shared" si="1273"/>
        <v>21.888107685447871</v>
      </c>
      <c r="AM394" s="94">
        <f t="shared" si="1273"/>
        <v>619.94497607656183</v>
      </c>
      <c r="AN394" s="94">
        <f t="shared" si="1273"/>
        <v>-22.512623741785212</v>
      </c>
      <c r="AO394" s="94">
        <f t="shared" si="1273"/>
        <v>-13.88195804195804</v>
      </c>
      <c r="AP394" s="94">
        <f t="shared" si="1273"/>
        <v>-10.911631678469714</v>
      </c>
      <c r="AQ394" s="94">
        <f t="shared" si="1273"/>
        <v>-9.8780500435874643</v>
      </c>
      <c r="AR394" s="94">
        <f t="shared" si="1273"/>
        <v>-10.58108792819529</v>
      </c>
      <c r="AS394" s="94">
        <f t="shared" si="1273"/>
        <v>-11.624750852775367</v>
      </c>
      <c r="AT394" s="94">
        <f t="shared" si="1273"/>
        <v>-12.250254197605191</v>
      </c>
      <c r="AU394" s="94">
        <f t="shared" si="1273"/>
        <v>-15.601779966057663</v>
      </c>
      <c r="AV394" s="94">
        <f t="shared" si="1273"/>
        <v>-20.104949195748944</v>
      </c>
      <c r="AW394" s="94">
        <f t="shared" si="1273"/>
        <v>-37.723351979312845</v>
      </c>
      <c r="AX394" s="94">
        <f t="shared" si="1273"/>
        <v>-245.73257400232245</v>
      </c>
      <c r="AY394" s="94">
        <f t="shared" si="1273"/>
        <v>47.500717796822961</v>
      </c>
      <c r="AZ394" s="94">
        <f t="shared" si="1273"/>
        <v>22.032386538109247</v>
      </c>
      <c r="BA394" s="94">
        <f t="shared" si="1273"/>
        <v>14.156703415453942</v>
      </c>
      <c r="BB394" s="94">
        <f t="shared" si="1273"/>
        <v>10.472559423718987</v>
      </c>
      <c r="BC394" s="94">
        <f t="shared" si="1273"/>
        <v>8.3089215464363217</v>
      </c>
      <c r="BD394" s="94">
        <f t="shared" si="1273"/>
        <v>7.0772167948217222</v>
      </c>
      <c r="BE394" s="94">
        <f t="shared" si="1273"/>
        <v>6.3341271494877338</v>
      </c>
      <c r="BF394" s="94">
        <f t="shared" si="1273"/>
        <v>5.7792034075055643</v>
      </c>
      <c r="BJ394" s="116">
        <f t="shared" si="1107"/>
        <v>385</v>
      </c>
    </row>
    <row r="395" spans="2:62" outlineLevel="1">
      <c r="B395" s="13"/>
      <c r="BJ395" s="116">
        <f t="shared" si="1107"/>
        <v>386</v>
      </c>
    </row>
    <row r="396" spans="2:62" outlineLevel="1">
      <c r="B396" s="13" t="s">
        <v>143</v>
      </c>
      <c r="C396" s="94">
        <f t="shared" ref="C396:M396" si="1274">C31/-C34</f>
        <v>5.2174037288470902</v>
      </c>
      <c r="D396" s="94">
        <f t="shared" si="1274"/>
        <v>7.0652518114670357</v>
      </c>
      <c r="E396" s="94">
        <f t="shared" si="1274"/>
        <v>7.8181587049359402</v>
      </c>
      <c r="F396" s="94">
        <f t="shared" si="1274"/>
        <v>7.2088909577563127</v>
      </c>
      <c r="G396" s="94">
        <f t="shared" si="1274"/>
        <v>9.6269584372962882</v>
      </c>
      <c r="H396" s="94">
        <f t="shared" si="1274"/>
        <v>6.184897322017501</v>
      </c>
      <c r="I396" s="94">
        <f t="shared" si="1274"/>
        <v>3.0493094518774275</v>
      </c>
      <c r="J396" s="94">
        <f t="shared" si="1274"/>
        <v>2.4405107475021199</v>
      </c>
      <c r="K396" s="94">
        <f t="shared" si="1274"/>
        <v>3.5003164969757994</v>
      </c>
      <c r="L396" s="94">
        <f t="shared" si="1274"/>
        <v>4.9108244201741265</v>
      </c>
      <c r="M396" s="94">
        <f t="shared" si="1274"/>
        <v>5.9349695009573606</v>
      </c>
      <c r="S396" s="94">
        <f t="shared" ref="S396:BF396" si="1275">S31/-S34</f>
        <v>5.6913045830853308</v>
      </c>
      <c r="T396" s="94">
        <f t="shared" si="1275"/>
        <v>6.3297510158615609</v>
      </c>
      <c r="U396" s="94">
        <f t="shared" si="1275"/>
        <v>8.2039304401885804</v>
      </c>
      <c r="V396" s="94">
        <f t="shared" si="1275"/>
        <v>8.4211693945967259</v>
      </c>
      <c r="W396" s="94">
        <f t="shared" si="1275"/>
        <v>8.9883646694544641</v>
      </c>
      <c r="X396" s="94">
        <f t="shared" si="1275"/>
        <v>7.664208386517279</v>
      </c>
      <c r="Y396" s="94">
        <f t="shared" si="1275"/>
        <v>7.7062217762167569</v>
      </c>
      <c r="Z396" s="94">
        <f t="shared" si="1275"/>
        <v>6.9059124134808201</v>
      </c>
      <c r="AA396" s="94">
        <f t="shared" si="1275"/>
        <v>6.8737898052023789</v>
      </c>
      <c r="AB396" s="94">
        <f t="shared" si="1275"/>
        <v>5.9033729862459143</v>
      </c>
      <c r="AC396" s="94">
        <f t="shared" si="1275"/>
        <v>7.225191316291764</v>
      </c>
      <c r="AD396" s="94">
        <f t="shared" si="1275"/>
        <v>9.2881996813595311</v>
      </c>
      <c r="AE396" s="94">
        <f t="shared" si="1275"/>
        <v>8.7294800267797363</v>
      </c>
      <c r="AF396" s="94">
        <f t="shared" si="1275"/>
        <v>8.9903461978705508</v>
      </c>
      <c r="AG396" s="94">
        <f t="shared" si="1275"/>
        <v>10.662478557188557</v>
      </c>
      <c r="AH396" s="94">
        <f t="shared" si="1275"/>
        <v>10.199601803327459</v>
      </c>
      <c r="AI396" s="94">
        <f t="shared" si="1275"/>
        <v>8.0055363618806474</v>
      </c>
      <c r="AJ396" s="94">
        <f t="shared" si="1275"/>
        <v>6.3544716544109363</v>
      </c>
      <c r="AK396" s="94">
        <f t="shared" si="1275"/>
        <v>5.5712517998560118</v>
      </c>
      <c r="AL396" s="94">
        <f t="shared" si="1275"/>
        <v>4.781986640810171</v>
      </c>
      <c r="AM396" s="94">
        <f t="shared" si="1275"/>
        <v>3.4671331729717911</v>
      </c>
      <c r="AN396" s="94">
        <f t="shared" si="1275"/>
        <v>2.8319296151380509</v>
      </c>
      <c r="AO396" s="94">
        <f t="shared" si="1275"/>
        <v>2.9152574942352034</v>
      </c>
      <c r="AP396" s="94">
        <f t="shared" si="1275"/>
        <v>2.9863321908446694</v>
      </c>
      <c r="AQ396" s="94">
        <f t="shared" si="1275"/>
        <v>1.7647475140663154</v>
      </c>
      <c r="AR396" s="94">
        <f t="shared" si="1275"/>
        <v>2.5379607957870092</v>
      </c>
      <c r="AS396" s="94">
        <f t="shared" si="1275"/>
        <v>2.6163312395846687</v>
      </c>
      <c r="AT396" s="94">
        <f t="shared" si="1275"/>
        <v>2.848079753311374</v>
      </c>
      <c r="AU396" s="94">
        <f t="shared" si="1275"/>
        <v>2.9019037924776567</v>
      </c>
      <c r="AV396" s="94">
        <f t="shared" si="1275"/>
        <v>3.3391166889867163</v>
      </c>
      <c r="AW396" s="94">
        <f t="shared" si="1275"/>
        <v>3.7497253989335584</v>
      </c>
      <c r="AX396" s="94">
        <f t="shared" si="1275"/>
        <v>4.0217567013726194</v>
      </c>
      <c r="AY396" s="94">
        <f t="shared" si="1275"/>
        <v>4.2349500127066992</v>
      </c>
      <c r="AZ396" s="94">
        <f t="shared" si="1275"/>
        <v>4.6767592415491466</v>
      </c>
      <c r="BA396" s="94">
        <f t="shared" si="1275"/>
        <v>5.2529006464098575</v>
      </c>
      <c r="BB396" s="94">
        <f t="shared" si="1275"/>
        <v>5.5491403502687149</v>
      </c>
      <c r="BC396" s="94">
        <f t="shared" si="1275"/>
        <v>5.7288212150353166</v>
      </c>
      <c r="BD396" s="94">
        <f t="shared" si="1275"/>
        <v>5.6324367314732067</v>
      </c>
      <c r="BE396" s="94">
        <f t="shared" si="1275"/>
        <v>5.8595479833219208</v>
      </c>
      <c r="BF396" s="94">
        <f t="shared" si="1275"/>
        <v>6.5905619145214303</v>
      </c>
      <c r="BJ396" s="116">
        <f t="shared" ref="BJ396:BJ459" si="1276">BJ395+1</f>
        <v>387</v>
      </c>
    </row>
    <row r="397" spans="2:62" outlineLevel="1">
      <c r="B397" s="13" t="s">
        <v>144</v>
      </c>
      <c r="C397" s="94">
        <f t="shared" ref="C397:M397" si="1277">(C31+C335)/-C34</f>
        <v>1.8092089114243108</v>
      </c>
      <c r="D397" s="94">
        <f t="shared" si="1277"/>
        <v>-0.90058965299389315</v>
      </c>
      <c r="E397" s="94">
        <f t="shared" si="1277"/>
        <v>1.7852736120766715</v>
      </c>
      <c r="F397" s="94">
        <f t="shared" si="1277"/>
        <v>1.9353454063683322</v>
      </c>
      <c r="G397" s="94">
        <f t="shared" si="1277"/>
        <v>-0.60813833254658722</v>
      </c>
      <c r="H397" s="94">
        <f t="shared" si="1277"/>
        <v>1.4186931093619448</v>
      </c>
      <c r="I397" s="94">
        <f t="shared" si="1277"/>
        <v>0.91586642209753977</v>
      </c>
      <c r="J397" s="94">
        <f t="shared" si="1277"/>
        <v>-0.13685735949284183</v>
      </c>
      <c r="K397" s="94">
        <f t="shared" si="1277"/>
        <v>1.3894538246086321</v>
      </c>
      <c r="L397" s="94">
        <f t="shared" si="1277"/>
        <v>3.1591803432515251</v>
      </c>
      <c r="M397" s="94">
        <f t="shared" si="1277"/>
        <v>3.7711868929115928</v>
      </c>
      <c r="S397" s="94">
        <f t="shared" ref="S397:BF397" si="1278">(S31+S335)/-S34</f>
        <v>0.84072831556733985</v>
      </c>
      <c r="T397" s="94">
        <f t="shared" si="1278"/>
        <v>-3.7844804593733832</v>
      </c>
      <c r="U397" s="94">
        <f t="shared" si="1278"/>
        <v>-0.93748596888113367</v>
      </c>
      <c r="V397" s="94">
        <f t="shared" si="1278"/>
        <v>3.9850785512389041E-2</v>
      </c>
      <c r="W397" s="94">
        <f t="shared" si="1278"/>
        <v>1.4280014045392158</v>
      </c>
      <c r="X397" s="94">
        <f t="shared" si="1278"/>
        <v>-0.12308734773633245</v>
      </c>
      <c r="Y397" s="94">
        <f t="shared" si="1278"/>
        <v>3.7249749121926725</v>
      </c>
      <c r="Z397" s="94">
        <f t="shared" si="1278"/>
        <v>2.1051652758910695</v>
      </c>
      <c r="AA397" s="94">
        <f t="shared" si="1278"/>
        <v>2.9488593757811068</v>
      </c>
      <c r="AB397" s="94">
        <f t="shared" si="1278"/>
        <v>1.5095482222554046</v>
      </c>
      <c r="AC397" s="94">
        <f t="shared" si="1278"/>
        <v>2.2243350755454059</v>
      </c>
      <c r="AD397" s="94">
        <f t="shared" si="1278"/>
        <v>0.84435475305363872</v>
      </c>
      <c r="AE397" s="94">
        <f t="shared" si="1278"/>
        <v>-0.11821022093282679</v>
      </c>
      <c r="AF397" s="94">
        <f t="shared" si="1278"/>
        <v>-1.0784398419108889</v>
      </c>
      <c r="AG397" s="94">
        <f t="shared" si="1278"/>
        <v>-0.50034772126663674</v>
      </c>
      <c r="AH397" s="94">
        <f t="shared" si="1278"/>
        <v>-0.7186076847380829</v>
      </c>
      <c r="AI397" s="94">
        <f t="shared" si="1278"/>
        <v>0.18952382996073155</v>
      </c>
      <c r="AJ397" s="94">
        <f t="shared" si="1278"/>
        <v>1.8021318221682496</v>
      </c>
      <c r="AK397" s="94">
        <f t="shared" si="1278"/>
        <v>1.5806335493160559</v>
      </c>
      <c r="AL397" s="94">
        <f t="shared" si="1278"/>
        <v>2.1304244774833023</v>
      </c>
      <c r="AM397" s="94">
        <f t="shared" si="1278"/>
        <v>0.62709381150229593</v>
      </c>
      <c r="AN397" s="94">
        <f t="shared" si="1278"/>
        <v>1.4313283374229058</v>
      </c>
      <c r="AO397" s="94">
        <f t="shared" si="1278"/>
        <v>0.9570202408403794</v>
      </c>
      <c r="AP397" s="94">
        <f t="shared" si="1278"/>
        <v>0.66269949744516965</v>
      </c>
      <c r="AQ397" s="94">
        <f t="shared" si="1278"/>
        <v>-1.4807141087795035</v>
      </c>
      <c r="AR397" s="94">
        <f t="shared" si="1278"/>
        <v>0.11801492100643561</v>
      </c>
      <c r="AS397" s="94">
        <f t="shared" si="1278"/>
        <v>0.1790063544966774</v>
      </c>
      <c r="AT397" s="94">
        <f t="shared" si="1278"/>
        <v>0.64745251944775206</v>
      </c>
      <c r="AU397" s="94">
        <f t="shared" si="1278"/>
        <v>0.21070651505568413</v>
      </c>
      <c r="AV397" s="94">
        <f t="shared" si="1278"/>
        <v>1.4723413890449262</v>
      </c>
      <c r="AW397" s="94">
        <f t="shared" si="1278"/>
        <v>1.821021953651242</v>
      </c>
      <c r="AX397" s="94">
        <f t="shared" si="1278"/>
        <v>2.0813439550583168</v>
      </c>
      <c r="AY397" s="94">
        <f t="shared" si="1278"/>
        <v>2.6201927081723251</v>
      </c>
      <c r="AZ397" s="94">
        <f t="shared" si="1278"/>
        <v>2.9870726652567581</v>
      </c>
      <c r="BA397" s="94">
        <f t="shared" si="1278"/>
        <v>3.4265249947539647</v>
      </c>
      <c r="BB397" s="94">
        <f t="shared" si="1278"/>
        <v>3.658578865019146</v>
      </c>
      <c r="BC397" s="94">
        <f t="shared" si="1278"/>
        <v>3.6161287768901662</v>
      </c>
      <c r="BD397" s="94">
        <f t="shared" si="1278"/>
        <v>3.574372864070555</v>
      </c>
      <c r="BE397" s="94">
        <f t="shared" si="1278"/>
        <v>3.7353370209886205</v>
      </c>
      <c r="BF397" s="94">
        <f t="shared" si="1278"/>
        <v>4.2063632206799264</v>
      </c>
      <c r="BJ397" s="116">
        <f t="shared" si="1276"/>
        <v>388</v>
      </c>
    </row>
    <row r="398" spans="2:62" outlineLevel="1">
      <c r="B398" s="13" t="s">
        <v>145</v>
      </c>
      <c r="C398" s="94">
        <f t="shared" ref="C398:M398" si="1279">C33/-C34</f>
        <v>2.3822269768055304</v>
      </c>
      <c r="D398" s="94">
        <f t="shared" si="1279"/>
        <v>3.3812270398015771</v>
      </c>
      <c r="E398" s="94">
        <f t="shared" si="1279"/>
        <v>3.6558546032376587</v>
      </c>
      <c r="F398" s="94">
        <f t="shared" si="1279"/>
        <v>2.3450169637182325</v>
      </c>
      <c r="G398" s="94">
        <f t="shared" si="1279"/>
        <v>3.1919324746555175</v>
      </c>
      <c r="H398" s="94">
        <f t="shared" si="1279"/>
        <v>0.85059474077657016</v>
      </c>
      <c r="I398" s="94">
        <f t="shared" si="1279"/>
        <v>-1.6233869227449278</v>
      </c>
      <c r="J398" s="94">
        <f t="shared" si="1279"/>
        <v>-1.3413851737860552</v>
      </c>
      <c r="K398" s="94">
        <f t="shared" si="1279"/>
        <v>-6.4443785297426975E-2</v>
      </c>
      <c r="L398" s="94">
        <f t="shared" si="1279"/>
        <v>1.4021988548478428</v>
      </c>
      <c r="M398" s="94">
        <f t="shared" si="1279"/>
        <v>2.3775221343089643</v>
      </c>
      <c r="S398" s="94">
        <f t="shared" ref="S398:BF398" si="1280">S33/-S34</f>
        <v>2.584397489313349</v>
      </c>
      <c r="T398" s="94">
        <f t="shared" si="1280"/>
        <v>2.7430929258381838</v>
      </c>
      <c r="U398" s="94">
        <f t="shared" si="1280"/>
        <v>3.9449807449876539</v>
      </c>
      <c r="V398" s="94">
        <f t="shared" si="1280"/>
        <v>4.4811674225990918</v>
      </c>
      <c r="W398" s="94">
        <f t="shared" si="1280"/>
        <v>5.0361668847958638</v>
      </c>
      <c r="X398" s="94">
        <f t="shared" si="1280"/>
        <v>3.5510644668210976</v>
      </c>
      <c r="Y398" s="94">
        <f t="shared" si="1280"/>
        <v>3.541065604616155</v>
      </c>
      <c r="Z398" s="94">
        <f t="shared" si="1280"/>
        <v>2.483213661944498</v>
      </c>
      <c r="AA398" s="94">
        <f t="shared" si="1280"/>
        <v>2.385196047391311</v>
      </c>
      <c r="AB398" s="94">
        <f t="shared" si="1280"/>
        <v>1.4866358070777956</v>
      </c>
      <c r="AC398" s="94">
        <f t="shared" si="1280"/>
        <v>2.3474018444852747</v>
      </c>
      <c r="AD398" s="94">
        <f t="shared" si="1280"/>
        <v>3.3899946893255444</v>
      </c>
      <c r="AE398" s="94">
        <f t="shared" si="1280"/>
        <v>2.4334077214907386</v>
      </c>
      <c r="AF398" s="94">
        <f t="shared" si="1280"/>
        <v>2.8823186402608898</v>
      </c>
      <c r="AG398" s="94">
        <f t="shared" si="1280"/>
        <v>4.0191246696647971</v>
      </c>
      <c r="AH398" s="94">
        <f t="shared" si="1280"/>
        <v>3.4812458521179943</v>
      </c>
      <c r="AI398" s="94">
        <f t="shared" si="1280"/>
        <v>1.9752151241389664</v>
      </c>
      <c r="AJ398" s="94">
        <f t="shared" si="1280"/>
        <v>1.4477726056353852</v>
      </c>
      <c r="AK398" s="94">
        <f t="shared" si="1280"/>
        <v>0.16927645788336934</v>
      </c>
      <c r="AL398" s="94">
        <f t="shared" si="1280"/>
        <v>-0.19834087481146334</v>
      </c>
      <c r="AM398" s="94">
        <f t="shared" si="1280"/>
        <v>-1.2522632844959545</v>
      </c>
      <c r="AN398" s="94">
        <f t="shared" si="1280"/>
        <v>-1.8857351283241595</v>
      </c>
      <c r="AO398" s="94">
        <f t="shared" si="1280"/>
        <v>-1.7972072764540099</v>
      </c>
      <c r="AP398" s="94">
        <f t="shared" si="1280"/>
        <v>-1.5595180520217842</v>
      </c>
      <c r="AQ398" s="94">
        <f t="shared" si="1280"/>
        <v>-1.8389185746133974</v>
      </c>
      <c r="AR398" s="94">
        <f t="shared" si="1280"/>
        <v>-1.2670787009947344</v>
      </c>
      <c r="AS398" s="94">
        <f t="shared" si="1280"/>
        <v>-1.3588917171791159</v>
      </c>
      <c r="AT398" s="94">
        <f t="shared" si="1280"/>
        <v>-0.90316420211647641</v>
      </c>
      <c r="AU398" s="94">
        <f t="shared" si="1280"/>
        <v>-0.68784151284372208</v>
      </c>
      <c r="AV398" s="94">
        <f t="shared" si="1280"/>
        <v>-0.30563159778876781</v>
      </c>
      <c r="AW398" s="94">
        <f t="shared" si="1280"/>
        <v>0.19640955797871046</v>
      </c>
      <c r="AX398" s="94">
        <f t="shared" si="1280"/>
        <v>0.54992696057543999</v>
      </c>
      <c r="AY398" s="94">
        <f t="shared" si="1280"/>
        <v>0.81891953373140047</v>
      </c>
      <c r="AZ398" s="94">
        <f t="shared" si="1280"/>
        <v>1.149074917077606</v>
      </c>
      <c r="BA398" s="94">
        <f t="shared" si="1280"/>
        <v>1.7083860837289706</v>
      </c>
      <c r="BB398" s="94">
        <f t="shared" si="1280"/>
        <v>1.9952627855417782</v>
      </c>
      <c r="BC398" s="94">
        <f t="shared" si="1280"/>
        <v>2.1935285910487701</v>
      </c>
      <c r="BD398" s="94">
        <f t="shared" si="1280"/>
        <v>2.1476464140840301</v>
      </c>
      <c r="BE398" s="94">
        <f t="shared" si="1280"/>
        <v>2.4254064549072649</v>
      </c>
      <c r="BF398" s="94">
        <f t="shared" si="1280"/>
        <v>2.7883009308923201</v>
      </c>
      <c r="BJ398" s="116">
        <f t="shared" si="1276"/>
        <v>389</v>
      </c>
    </row>
    <row r="399" spans="2:62" outlineLevel="1">
      <c r="B399" s="13" t="s">
        <v>146</v>
      </c>
      <c r="C399" s="93">
        <f t="shared" ref="C399:L399" si="1281">-C335/C324</f>
        <v>1.2021101735433601</v>
      </c>
      <c r="D399" s="93">
        <f t="shared" si="1281"/>
        <v>2.1622659884721038</v>
      </c>
      <c r="E399" s="93">
        <f t="shared" si="1281"/>
        <v>1.4494099771320799</v>
      </c>
      <c r="F399" s="93">
        <f t="shared" si="1281"/>
        <v>1.0842274199233075</v>
      </c>
      <c r="G399" s="93">
        <f t="shared" si="1281"/>
        <v>1.5905292114225833</v>
      </c>
      <c r="H399" s="93">
        <f t="shared" si="1281"/>
        <v>0.89350091039394752</v>
      </c>
      <c r="I399" s="93">
        <f t="shared" si="1281"/>
        <v>0.45657643012431159</v>
      </c>
      <c r="J399" s="93">
        <f t="shared" si="1281"/>
        <v>0.68150159619333694</v>
      </c>
      <c r="K399" s="93">
        <f t="shared" si="1281"/>
        <v>0.5921471586361714</v>
      </c>
      <c r="L399" s="93">
        <f t="shared" si="1281"/>
        <v>0.49923938713583077</v>
      </c>
      <c r="M399" s="93">
        <f>-M335/M324</f>
        <v>0.60824023099584124</v>
      </c>
      <c r="S399" s="93">
        <f>-S335/S324</f>
        <v>1.5612234679438337</v>
      </c>
      <c r="T399" s="93">
        <f t="shared" ref="T399:BF399" si="1282">-T335/T324</f>
        <v>2.8199597567910417</v>
      </c>
      <c r="U399" s="93">
        <f t="shared" si="1282"/>
        <v>2.1464015927143856</v>
      </c>
      <c r="V399" s="93">
        <f t="shared" si="1282"/>
        <v>2.1272371609588041</v>
      </c>
      <c r="W399" s="93">
        <f t="shared" si="1282"/>
        <v>1.9129516478812378</v>
      </c>
      <c r="X399" s="93">
        <f t="shared" si="1282"/>
        <v>1.8932709105955188</v>
      </c>
      <c r="Y399" s="93">
        <f t="shared" si="1282"/>
        <v>0.95584575943863248</v>
      </c>
      <c r="Z399" s="93">
        <f t="shared" si="1282"/>
        <v>1.0854791174556271</v>
      </c>
      <c r="AA399" s="93">
        <f t="shared" si="1282"/>
        <v>0.87442318044289336</v>
      </c>
      <c r="AB399" s="93">
        <f t="shared" si="1282"/>
        <v>0.99481236617707813</v>
      </c>
      <c r="AC399" s="93">
        <f t="shared" si="1282"/>
        <v>1.0252300288176011</v>
      </c>
      <c r="AD399" s="93">
        <f t="shared" si="1282"/>
        <v>1.431595704067594</v>
      </c>
      <c r="AE399" s="93">
        <f t="shared" si="1282"/>
        <v>1.40527138487277</v>
      </c>
      <c r="AF399" s="93">
        <f t="shared" si="1282"/>
        <v>1.6484513117884159</v>
      </c>
      <c r="AG399" s="93">
        <f t="shared" si="1282"/>
        <v>1.680299810524774</v>
      </c>
      <c r="AH399" s="93">
        <f t="shared" si="1282"/>
        <v>1.6251311432970448</v>
      </c>
      <c r="AI399" s="93">
        <f t="shared" si="1282"/>
        <v>1.2961187677701504</v>
      </c>
      <c r="AJ399" s="93">
        <f t="shared" si="1282"/>
        <v>0.92778052759903962</v>
      </c>
      <c r="AK399" s="93">
        <f t="shared" si="1282"/>
        <v>0.73873314813812152</v>
      </c>
      <c r="AL399" s="93">
        <f t="shared" si="1282"/>
        <v>0.53240718707952406</v>
      </c>
      <c r="AM399" s="93">
        <f t="shared" si="1282"/>
        <v>0.6017802036901464</v>
      </c>
      <c r="AN399" s="93">
        <f t="shared" si="1282"/>
        <v>0.29688444471517672</v>
      </c>
      <c r="AO399" s="93">
        <f t="shared" si="1282"/>
        <v>0.41554416821845558</v>
      </c>
      <c r="AP399" s="93">
        <f t="shared" si="1282"/>
        <v>0.51115469477813213</v>
      </c>
      <c r="AQ399" s="93">
        <f t="shared" si="1282"/>
        <v>0.90059998428846377</v>
      </c>
      <c r="AR399" s="93">
        <f t="shared" ref="AR399:AS399" si="1283">-AR335/AR324</f>
        <v>0.63598442981402281</v>
      </c>
      <c r="AS399" s="93">
        <f t="shared" si="1283"/>
        <v>0.61312910284463873</v>
      </c>
      <c r="AT399" s="93">
        <f t="shared" ref="AT399" si="1284">-AT335/AT324</f>
        <v>0.58663932818323683</v>
      </c>
      <c r="AU399" s="93">
        <f t="shared" si="1282"/>
        <v>0.74969031185376478</v>
      </c>
      <c r="AV399" s="93">
        <f t="shared" si="1282"/>
        <v>0.51218222852731754</v>
      </c>
      <c r="AW399" s="93">
        <f t="shared" si="1282"/>
        <v>0.54278975796422158</v>
      </c>
      <c r="AX399" s="93">
        <f t="shared" si="1282"/>
        <v>0.55890204623593009</v>
      </c>
      <c r="AY399" s="93">
        <f t="shared" si="1282"/>
        <v>0.47269991133649092</v>
      </c>
      <c r="AZ399" s="93">
        <f t="shared" si="1282"/>
        <v>0.47897896208315338</v>
      </c>
      <c r="BA399" s="93">
        <f t="shared" si="1282"/>
        <v>0.5152682036872539</v>
      </c>
      <c r="BB399" s="93">
        <f t="shared" si="1282"/>
        <v>0.53197147364158859</v>
      </c>
      <c r="BC399" s="93">
        <f t="shared" si="1282"/>
        <v>0.59760044297628412</v>
      </c>
      <c r="BD399" s="93">
        <f t="shared" si="1282"/>
        <v>0.59058470667026064</v>
      </c>
      <c r="BE399" s="93">
        <f t="shared" si="1282"/>
        <v>0.61855661589868305</v>
      </c>
      <c r="BF399" s="93">
        <f t="shared" si="1282"/>
        <v>0.62704761827418787</v>
      </c>
      <c r="BJ399" s="116">
        <f t="shared" si="1276"/>
        <v>390</v>
      </c>
    </row>
    <row r="400" spans="2:62" outlineLevel="1">
      <c r="B400" s="44"/>
      <c r="BJ400" s="116">
        <f t="shared" si="1276"/>
        <v>391</v>
      </c>
    </row>
    <row r="401" spans="1:62" outlineLevel="1">
      <c r="A401" s="72" t="s">
        <v>322</v>
      </c>
      <c r="B401" s="19" t="s">
        <v>363</v>
      </c>
      <c r="BJ401" s="116">
        <f t="shared" si="1276"/>
        <v>392</v>
      </c>
    </row>
    <row r="402" spans="1:62" hidden="1" outlineLevel="2">
      <c r="B402" s="13" t="s">
        <v>342</v>
      </c>
      <c r="C402" s="50">
        <f t="shared" ref="C402:M402" si="1285">C357-C369</f>
        <v>458.55000000000018</v>
      </c>
      <c r="D402" s="50">
        <f t="shared" si="1285"/>
        <v>1285.751999999999</v>
      </c>
      <c r="E402" s="50">
        <f t="shared" si="1285"/>
        <v>2000.4749999999999</v>
      </c>
      <c r="F402" s="50">
        <f t="shared" si="1285"/>
        <v>1442.4059999999999</v>
      </c>
      <c r="G402" s="50">
        <f t="shared" si="1285"/>
        <v>1174.3989999999999</v>
      </c>
      <c r="H402" s="50">
        <f t="shared" si="1285"/>
        <v>469.39799999999991</v>
      </c>
      <c r="I402" s="50">
        <f t="shared" si="1285"/>
        <v>333.90499999999986</v>
      </c>
      <c r="J402" s="50">
        <f t="shared" si="1285"/>
        <v>527.85999999999979</v>
      </c>
      <c r="K402" s="50">
        <f t="shared" si="1285"/>
        <v>287.60612481656017</v>
      </c>
      <c r="L402" s="50">
        <f t="shared" si="1285"/>
        <v>82.462155042499035</v>
      </c>
      <c r="M402" s="50">
        <f t="shared" si="1285"/>
        <v>711.85009488859828</v>
      </c>
      <c r="O402" s="50">
        <f>O357-O369</f>
        <v>1575.4169999999999</v>
      </c>
      <c r="P402" s="50">
        <f t="shared" ref="P402:BF402" si="1286">P357-P369</f>
        <v>37.326000000000022</v>
      </c>
      <c r="Q402" s="50">
        <f t="shared" si="1286"/>
        <v>304.404</v>
      </c>
      <c r="R402" s="50">
        <f t="shared" si="1286"/>
        <v>458.55000000000018</v>
      </c>
      <c r="S402" s="50">
        <f t="shared" si="1286"/>
        <v>480.53800000000047</v>
      </c>
      <c r="T402" s="50">
        <f t="shared" si="1286"/>
        <v>1527.9910000000002</v>
      </c>
      <c r="U402" s="50">
        <f t="shared" si="1286"/>
        <v>1128.5789999999997</v>
      </c>
      <c r="V402" s="50">
        <f t="shared" si="1286"/>
        <v>1285.751999999999</v>
      </c>
      <c r="W402" s="50">
        <f t="shared" si="1286"/>
        <v>1548.1829999999998</v>
      </c>
      <c r="X402" s="50">
        <f t="shared" si="1286"/>
        <v>1488.6490000000006</v>
      </c>
      <c r="Y402" s="50">
        <f t="shared" si="1286"/>
        <v>1998.9830000000004</v>
      </c>
      <c r="Z402" s="50">
        <f t="shared" si="1286"/>
        <v>2000.4749999999999</v>
      </c>
      <c r="AA402" s="50">
        <f t="shared" si="1286"/>
        <v>2027.5520000000004</v>
      </c>
      <c r="AB402" s="50">
        <f t="shared" si="1286"/>
        <v>1712.6759999999999</v>
      </c>
      <c r="AC402" s="50">
        <f t="shared" si="1286"/>
        <v>1831.0329999999999</v>
      </c>
      <c r="AD402" s="50">
        <f t="shared" si="1286"/>
        <v>1442.4059999999999</v>
      </c>
      <c r="AE402" s="50">
        <f t="shared" si="1286"/>
        <v>1453.126</v>
      </c>
      <c r="AF402" s="50">
        <f t="shared" si="1286"/>
        <v>1491.0519999999999</v>
      </c>
      <c r="AG402" s="50">
        <f t="shared" si="1286"/>
        <v>1376.8900000000003</v>
      </c>
      <c r="AH402" s="50">
        <f t="shared" si="1286"/>
        <v>1174.3989999999999</v>
      </c>
      <c r="AI402" s="50">
        <f t="shared" si="1286"/>
        <v>1013.7359999999999</v>
      </c>
      <c r="AJ402" s="50">
        <f t="shared" si="1286"/>
        <v>746.40200000000027</v>
      </c>
      <c r="AK402" s="50">
        <f t="shared" si="1286"/>
        <v>669.52400000000034</v>
      </c>
      <c r="AL402" s="50">
        <f t="shared" si="1286"/>
        <v>469.39799999999991</v>
      </c>
      <c r="AM402" s="50">
        <f t="shared" si="1286"/>
        <v>388.11900000000003</v>
      </c>
      <c r="AN402" s="50">
        <f t="shared" si="1286"/>
        <v>323.06799999999998</v>
      </c>
      <c r="AO402" s="50">
        <f t="shared" si="1286"/>
        <v>284.21799999999985</v>
      </c>
      <c r="AP402" s="50">
        <f t="shared" si="1286"/>
        <v>333.90499999999986</v>
      </c>
      <c r="AQ402" s="50">
        <f t="shared" si="1286"/>
        <v>351.00699999999995</v>
      </c>
      <c r="AR402" s="50">
        <f t="shared" ref="AR402:AS402" si="1287">AR357-AR369</f>
        <v>297.60100000000011</v>
      </c>
      <c r="AS402" s="50">
        <f t="shared" si="1287"/>
        <v>344.24700000000007</v>
      </c>
      <c r="AT402" s="50">
        <f t="shared" ref="AT402" si="1288">AT357-AT369</f>
        <v>527.85999999999979</v>
      </c>
      <c r="AU402" s="50">
        <f t="shared" si="1286"/>
        <v>106.02507789791343</v>
      </c>
      <c r="AV402" s="50">
        <f t="shared" si="1286"/>
        <v>163.33884266904829</v>
      </c>
      <c r="AW402" s="50">
        <f t="shared" si="1286"/>
        <v>232.07436969410514</v>
      </c>
      <c r="AX402" s="50">
        <f t="shared" si="1286"/>
        <v>287.60612481656017</v>
      </c>
      <c r="AY402" s="50">
        <f t="shared" si="1286"/>
        <v>627.39019733669716</v>
      </c>
      <c r="AZ402" s="50">
        <f t="shared" si="1286"/>
        <v>635.85822474322583</v>
      </c>
      <c r="BA402" s="50">
        <f t="shared" si="1286"/>
        <v>4.8943728466413177</v>
      </c>
      <c r="BB402" s="50">
        <f t="shared" si="1286"/>
        <v>82.462155042499035</v>
      </c>
      <c r="BC402" s="50">
        <f t="shared" si="1286"/>
        <v>865.3248685855724</v>
      </c>
      <c r="BD402" s="50">
        <f t="shared" si="1286"/>
        <v>976.55600335682288</v>
      </c>
      <c r="BE402" s="50">
        <f t="shared" si="1286"/>
        <v>706.18537019616792</v>
      </c>
      <c r="BF402" s="50">
        <f t="shared" si="1286"/>
        <v>711.85009488859828</v>
      </c>
      <c r="BJ402" s="116">
        <f t="shared" si="1276"/>
        <v>393</v>
      </c>
    </row>
    <row r="403" spans="1:62" hidden="1" outlineLevel="2">
      <c r="B403" s="13" t="s">
        <v>343</v>
      </c>
      <c r="C403" s="50">
        <f t="shared" ref="C403:M403" si="1289">(C357-C351-C352)-(C369-C366)</f>
        <v>1036.3780000000002</v>
      </c>
      <c r="D403" s="50">
        <f t="shared" si="1289"/>
        <v>1021.5889999999995</v>
      </c>
      <c r="E403" s="50">
        <f t="shared" si="1289"/>
        <v>1222.6349999999998</v>
      </c>
      <c r="F403" s="50">
        <f t="shared" si="1289"/>
        <v>945.45800000000008</v>
      </c>
      <c r="G403" s="50">
        <f t="shared" si="1289"/>
        <v>644.42000000000007</v>
      </c>
      <c r="H403" s="50">
        <f t="shared" si="1289"/>
        <v>201.31700000000001</v>
      </c>
      <c r="I403" s="50">
        <f t="shared" si="1289"/>
        <v>38.999999999999773</v>
      </c>
      <c r="J403" s="50">
        <f t="shared" si="1289"/>
        <v>162.67499999999984</v>
      </c>
      <c r="K403" s="50">
        <f t="shared" si="1289"/>
        <v>391.09512481655906</v>
      </c>
      <c r="L403" s="50">
        <f t="shared" si="1289"/>
        <v>495.54122123676439</v>
      </c>
      <c r="M403" s="50">
        <f t="shared" si="1289"/>
        <v>511.85009488859509</v>
      </c>
      <c r="O403" s="50">
        <f>(O357-O351-O352)-(O369-O366)</f>
        <v>514.61200000000008</v>
      </c>
      <c r="P403" s="50">
        <f t="shared" ref="P403:BF403" si="1290">(P357-P351-P352)-(P369-P366)</f>
        <v>490.26900000000001</v>
      </c>
      <c r="Q403" s="50">
        <f t="shared" si="1290"/>
        <v>974.64899999999989</v>
      </c>
      <c r="R403" s="50">
        <f t="shared" si="1290"/>
        <v>1036.3780000000002</v>
      </c>
      <c r="S403" s="50">
        <f t="shared" si="1290"/>
        <v>1141.4550000000006</v>
      </c>
      <c r="T403" s="50">
        <f t="shared" si="1290"/>
        <v>855.83000000000015</v>
      </c>
      <c r="U403" s="50">
        <f t="shared" si="1290"/>
        <v>1008.4859999999999</v>
      </c>
      <c r="V403" s="50">
        <f t="shared" si="1290"/>
        <v>1021.5889999999995</v>
      </c>
      <c r="W403" s="50">
        <f t="shared" si="1290"/>
        <v>1329.827</v>
      </c>
      <c r="X403" s="50">
        <f t="shared" si="1290"/>
        <v>1308.7900000000004</v>
      </c>
      <c r="Y403" s="50">
        <f t="shared" si="1290"/>
        <v>1379.8090000000002</v>
      </c>
      <c r="Z403" s="50">
        <f t="shared" si="1290"/>
        <v>1222.6349999999998</v>
      </c>
      <c r="AA403" s="50">
        <f t="shared" si="1290"/>
        <v>1337.5070000000003</v>
      </c>
      <c r="AB403" s="50">
        <f t="shared" si="1290"/>
        <v>1116.1609999999998</v>
      </c>
      <c r="AC403" s="50">
        <f t="shared" si="1290"/>
        <v>1350.5360000000003</v>
      </c>
      <c r="AD403" s="50">
        <f t="shared" si="1290"/>
        <v>945.45800000000008</v>
      </c>
      <c r="AE403" s="50">
        <f t="shared" si="1290"/>
        <v>1033.6550000000002</v>
      </c>
      <c r="AF403" s="50">
        <f t="shared" si="1290"/>
        <v>1004.915</v>
      </c>
      <c r="AG403" s="50">
        <f t="shared" si="1290"/>
        <v>912.26800000000048</v>
      </c>
      <c r="AH403" s="50">
        <f t="shared" si="1290"/>
        <v>644.42000000000007</v>
      </c>
      <c r="AI403" s="50">
        <f t="shared" si="1290"/>
        <v>401.30399999999986</v>
      </c>
      <c r="AJ403" s="50">
        <f t="shared" si="1290"/>
        <v>342.86400000000026</v>
      </c>
      <c r="AK403" s="50">
        <f t="shared" si="1290"/>
        <v>401.94400000000041</v>
      </c>
      <c r="AL403" s="50">
        <f t="shared" si="1290"/>
        <v>201.31700000000001</v>
      </c>
      <c r="AM403" s="50">
        <f t="shared" si="1290"/>
        <v>172.49800000000005</v>
      </c>
      <c r="AN403" s="50">
        <f t="shared" si="1290"/>
        <v>67.386999999999944</v>
      </c>
      <c r="AO403" s="50">
        <f t="shared" si="1290"/>
        <v>83.687999999999874</v>
      </c>
      <c r="AP403" s="50">
        <f t="shared" si="1290"/>
        <v>38.999999999999773</v>
      </c>
      <c r="AQ403" s="50">
        <f t="shared" si="1290"/>
        <v>122.72499999999991</v>
      </c>
      <c r="AR403" s="50">
        <f t="shared" ref="AR403:AS403" si="1291">(AR357-AR351-AR352)-(AR369-AR366)</f>
        <v>65.68200000000013</v>
      </c>
      <c r="AS403" s="50">
        <f t="shared" si="1291"/>
        <v>124.11700000000008</v>
      </c>
      <c r="AT403" s="50">
        <f t="shared" ref="AT403" si="1292">(AT357-AT351-AT352)-(AT369-AT366)</f>
        <v>162.67499999999984</v>
      </c>
      <c r="AU403" s="50">
        <f t="shared" si="1290"/>
        <v>209.51407789791438</v>
      </c>
      <c r="AV403" s="50">
        <f t="shared" si="1290"/>
        <v>266.82784266904923</v>
      </c>
      <c r="AW403" s="50">
        <f t="shared" si="1290"/>
        <v>335.56336969410449</v>
      </c>
      <c r="AX403" s="50">
        <f t="shared" si="1290"/>
        <v>391.09512481655906</v>
      </c>
      <c r="AY403" s="50">
        <f t="shared" si="1290"/>
        <v>427.39019733669693</v>
      </c>
      <c r="AZ403" s="50">
        <f t="shared" si="1290"/>
        <v>435.85822474322515</v>
      </c>
      <c r="BA403" s="50">
        <f t="shared" si="1290"/>
        <v>474.74037284663996</v>
      </c>
      <c r="BB403" s="50">
        <f t="shared" si="1290"/>
        <v>495.54122123676439</v>
      </c>
      <c r="BC403" s="50">
        <f t="shared" si="1290"/>
        <v>495.68244419326675</v>
      </c>
      <c r="BD403" s="50">
        <f t="shared" si="1290"/>
        <v>487.14771046069882</v>
      </c>
      <c r="BE403" s="50">
        <f t="shared" si="1290"/>
        <v>506.1853701961661</v>
      </c>
      <c r="BF403" s="50">
        <f t="shared" si="1290"/>
        <v>511.85009488859509</v>
      </c>
      <c r="BJ403" s="116">
        <f t="shared" si="1276"/>
        <v>394</v>
      </c>
    </row>
    <row r="404" spans="1:62" hidden="1" outlineLevel="2">
      <c r="B404" s="13" t="s">
        <v>147</v>
      </c>
      <c r="C404" s="94">
        <f t="shared" ref="C404:M404" si="1293">C357/C369</f>
        <v>1.2128454590183719</v>
      </c>
      <c r="D404" s="94">
        <f t="shared" si="1293"/>
        <v>1.7132914152190042</v>
      </c>
      <c r="E404" s="94">
        <f t="shared" si="1293"/>
        <v>2.7666079114645057</v>
      </c>
      <c r="F404" s="94">
        <f t="shared" si="1293"/>
        <v>2.0998776902054561</v>
      </c>
      <c r="G404" s="94">
        <f t="shared" si="1293"/>
        <v>1.7492298122777077</v>
      </c>
      <c r="H404" s="94">
        <f t="shared" si="1293"/>
        <v>1.4663670803448388</v>
      </c>
      <c r="I404" s="94">
        <f t="shared" si="1293"/>
        <v>1.4062430803446504</v>
      </c>
      <c r="J404" s="94">
        <f t="shared" si="1293"/>
        <v>1.5740878500363249</v>
      </c>
      <c r="K404" s="94">
        <f t="shared" si="1293"/>
        <v>1.2632435456218898</v>
      </c>
      <c r="L404" s="94">
        <f t="shared" si="1293"/>
        <v>1.0547617602945165</v>
      </c>
      <c r="M404" s="94">
        <f t="shared" si="1293"/>
        <v>1.8536758201513703</v>
      </c>
      <c r="O404" s="94">
        <f>O357/O369</f>
        <v>3.7195934981805125</v>
      </c>
      <c r="P404" s="94">
        <f t="shared" ref="P404:BF404" si="1294">P357/P369</f>
        <v>1.0187748795069822</v>
      </c>
      <c r="Q404" s="94">
        <f t="shared" si="1294"/>
        <v>1.1346015069510771</v>
      </c>
      <c r="R404" s="94">
        <f t="shared" si="1294"/>
        <v>1.2128454590183719</v>
      </c>
      <c r="S404" s="94">
        <f t="shared" si="1294"/>
        <v>1.215430701804723</v>
      </c>
      <c r="T404" s="94">
        <f t="shared" si="1294"/>
        <v>2.490795648568223</v>
      </c>
      <c r="U404" s="94">
        <f t="shared" si="1294"/>
        <v>1.7971513633971739</v>
      </c>
      <c r="V404" s="94">
        <f t="shared" si="1294"/>
        <v>1.7132914152190042</v>
      </c>
      <c r="W404" s="94">
        <f t="shared" si="1294"/>
        <v>1.9792174902485133</v>
      </c>
      <c r="X404" s="94">
        <f t="shared" si="1294"/>
        <v>2.0014315303988308</v>
      </c>
      <c r="Y404" s="94">
        <f t="shared" si="1294"/>
        <v>2.7617369340405022</v>
      </c>
      <c r="Z404" s="94">
        <f t="shared" si="1294"/>
        <v>2.7666079114645057</v>
      </c>
      <c r="AA404" s="94">
        <f t="shared" si="1294"/>
        <v>2.8581857973176827</v>
      </c>
      <c r="AB404" s="94">
        <f t="shared" si="1294"/>
        <v>2.4512284816583572</v>
      </c>
      <c r="AC404" s="94">
        <f t="shared" si="1294"/>
        <v>2.6269745926416932</v>
      </c>
      <c r="AD404" s="94">
        <f t="shared" si="1294"/>
        <v>2.0998776902054561</v>
      </c>
      <c r="AE404" s="94">
        <f t="shared" si="1294"/>
        <v>2.1736343650405203</v>
      </c>
      <c r="AF404" s="94">
        <f t="shared" si="1294"/>
        <v>2.1299392385187477</v>
      </c>
      <c r="AG404" s="94">
        <f t="shared" si="1294"/>
        <v>1.9726677597396407</v>
      </c>
      <c r="AH404" s="94">
        <f t="shared" si="1294"/>
        <v>1.7492298122777077</v>
      </c>
      <c r="AI404" s="94">
        <f t="shared" si="1294"/>
        <v>1.8764823672224353</v>
      </c>
      <c r="AJ404" s="94">
        <f t="shared" si="1294"/>
        <v>1.6104274534595298</v>
      </c>
      <c r="AK404" s="94">
        <f t="shared" si="1294"/>
        <v>1.6379146892337775</v>
      </c>
      <c r="AL404" s="94">
        <f t="shared" si="1294"/>
        <v>1.4663670803448388</v>
      </c>
      <c r="AM404" s="94">
        <f t="shared" si="1294"/>
        <v>1.4454645413351577</v>
      </c>
      <c r="AN404" s="94">
        <f t="shared" si="1294"/>
        <v>1.3721231318570564</v>
      </c>
      <c r="AO404" s="94">
        <f t="shared" si="1294"/>
        <v>1.3607459174322405</v>
      </c>
      <c r="AP404" s="94">
        <f t="shared" si="1294"/>
        <v>1.4062430803446504</v>
      </c>
      <c r="AQ404" s="94">
        <f t="shared" si="1294"/>
        <v>1.4548790965840686</v>
      </c>
      <c r="AR404" s="94">
        <f t="shared" ref="AR404:AS404" si="1295">AR357/AR369</f>
        <v>1.33950741928455</v>
      </c>
      <c r="AS404" s="94">
        <f t="shared" si="1295"/>
        <v>1.4144188935731707</v>
      </c>
      <c r="AT404" s="94">
        <f t="shared" ref="AT404" si="1296">AT357/AT369</f>
        <v>1.5740878500363249</v>
      </c>
      <c r="AU404" s="94">
        <f t="shared" si="1294"/>
        <v>1.0927764017395445</v>
      </c>
      <c r="AV404" s="94">
        <f t="shared" si="1294"/>
        <v>1.1459169684563062</v>
      </c>
      <c r="AW404" s="94">
        <f t="shared" si="1294"/>
        <v>1.2093073594294181</v>
      </c>
      <c r="AX404" s="94">
        <f t="shared" si="1294"/>
        <v>1.2632435456218898</v>
      </c>
      <c r="AY404" s="94">
        <f t="shared" si="1294"/>
        <v>1.7794692606948246</v>
      </c>
      <c r="AZ404" s="94">
        <f t="shared" si="1294"/>
        <v>1.7906524059815725</v>
      </c>
      <c r="BA404" s="94">
        <f t="shared" si="1294"/>
        <v>1.0032751458470084</v>
      </c>
      <c r="BB404" s="94">
        <f t="shared" si="1294"/>
        <v>1.0547617602945165</v>
      </c>
      <c r="BC404" s="94">
        <f t="shared" si="1294"/>
        <v>2.0495881371979436</v>
      </c>
      <c r="BD404" s="94">
        <f t="shared" si="1294"/>
        <v>2.193395586001075</v>
      </c>
      <c r="BE404" s="94">
        <f t="shared" si="1294"/>
        <v>1.8507899934220562</v>
      </c>
      <c r="BF404" s="94">
        <f t="shared" si="1294"/>
        <v>1.8536758201513703</v>
      </c>
      <c r="BJ404" s="116">
        <f t="shared" si="1276"/>
        <v>395</v>
      </c>
    </row>
    <row r="405" spans="1:62" hidden="1" outlineLevel="2">
      <c r="B405" s="13" t="s">
        <v>359</v>
      </c>
      <c r="C405" s="94">
        <f t="shared" ref="C405:M405" si="1297">C20/AVERAGE(B353:C353)</f>
        <v>3.7841273253262395</v>
      </c>
      <c r="D405" s="94">
        <f t="shared" si="1297"/>
        <v>4.5487420467014354</v>
      </c>
      <c r="E405" s="94">
        <f t="shared" si="1297"/>
        <v>4.6860269980379687</v>
      </c>
      <c r="F405" s="94">
        <f t="shared" si="1297"/>
        <v>4.3972509188883766</v>
      </c>
      <c r="G405" s="94">
        <f t="shared" si="1297"/>
        <v>4.6445595989915827</v>
      </c>
      <c r="H405" s="94">
        <f t="shared" si="1297"/>
        <v>3.3503297318100191</v>
      </c>
      <c r="I405" s="94">
        <f t="shared" si="1297"/>
        <v>3.3424525106223699</v>
      </c>
      <c r="J405" s="94">
        <f t="shared" si="1297"/>
        <v>4.2496138650615833</v>
      </c>
      <c r="K405" s="94">
        <f t="shared" si="1297"/>
        <v>4.4644815797113822</v>
      </c>
      <c r="L405" s="94">
        <f t="shared" si="1297"/>
        <v>4.6538580465027017</v>
      </c>
      <c r="M405" s="94">
        <f t="shared" si="1297"/>
        <v>4.5345646729886742</v>
      </c>
      <c r="O405" s="94">
        <f t="shared" ref="O405:BF405" si="1298">4*O20/AVERAGE(N353:O353)</f>
        <v>4.9261386504802624</v>
      </c>
      <c r="P405" s="94">
        <f t="shared" si="1298"/>
        <v>4.8879207968379603</v>
      </c>
      <c r="Q405" s="94">
        <f t="shared" si="1298"/>
        <v>4.8986210064438369</v>
      </c>
      <c r="R405" s="94">
        <f t="shared" si="1298"/>
        <v>4.9933927314384077</v>
      </c>
      <c r="S405" s="94">
        <f t="shared" si="1298"/>
        <v>4.73854400830019</v>
      </c>
      <c r="T405" s="94">
        <f t="shared" si="1298"/>
        <v>4.4836015736179089</v>
      </c>
      <c r="U405" s="94">
        <f t="shared" si="1298"/>
        <v>5.0408454224118522</v>
      </c>
      <c r="V405" s="94">
        <f t="shared" si="1298"/>
        <v>4.6585499683957128</v>
      </c>
      <c r="W405" s="94">
        <f t="shared" si="1298"/>
        <v>4.5912961113320563</v>
      </c>
      <c r="X405" s="94">
        <f t="shared" si="1298"/>
        <v>4.1944960850241388</v>
      </c>
      <c r="Y405" s="94">
        <f t="shared" si="1298"/>
        <v>4.4102664814161843</v>
      </c>
      <c r="Z405" s="94">
        <f t="shared" si="1298"/>
        <v>4.3149181535481667</v>
      </c>
      <c r="AA405" s="94">
        <f t="shared" si="1298"/>
        <v>4.3603680737254953</v>
      </c>
      <c r="AB405" s="94">
        <f t="shared" si="1298"/>
        <v>4.2002451640596972</v>
      </c>
      <c r="AC405" s="94">
        <f t="shared" si="1298"/>
        <v>4.485382391434551</v>
      </c>
      <c r="AD405" s="94">
        <f t="shared" si="1298"/>
        <v>4.6545731553883325</v>
      </c>
      <c r="AE405" s="94">
        <f t="shared" si="1298"/>
        <v>4.4559707713379977</v>
      </c>
      <c r="AF405" s="94">
        <f t="shared" si="1298"/>
        <v>4.4562132972128712</v>
      </c>
      <c r="AG405" s="94">
        <f t="shared" si="1298"/>
        <v>4.643774455312025</v>
      </c>
      <c r="AH405" s="94">
        <f t="shared" si="1298"/>
        <v>4.541993109998141</v>
      </c>
      <c r="AI405" s="94">
        <f t="shared" si="1298"/>
        <v>4.542379908593615</v>
      </c>
      <c r="AJ405" s="94">
        <f t="shared" si="1298"/>
        <v>3.6515495456779301</v>
      </c>
      <c r="AK405" s="94">
        <f t="shared" si="1298"/>
        <v>3.8093382503309088</v>
      </c>
      <c r="AL405" s="94">
        <f t="shared" si="1298"/>
        <v>3.5625461940900554</v>
      </c>
      <c r="AM405" s="94">
        <f t="shared" si="1298"/>
        <v>3.4459449367267578</v>
      </c>
      <c r="AN405" s="94">
        <f t="shared" si="1298"/>
        <v>3.8404412869047571</v>
      </c>
      <c r="AO405" s="94">
        <f t="shared" si="1298"/>
        <v>4.0277482106808584</v>
      </c>
      <c r="AP405" s="94">
        <f t="shared" si="1298"/>
        <v>4.2037891143224329</v>
      </c>
      <c r="AQ405" s="94">
        <f t="shared" si="1298"/>
        <v>4.4000739146715739</v>
      </c>
      <c r="AR405" s="94">
        <f t="shared" si="1298"/>
        <v>4.6032519984360656</v>
      </c>
      <c r="AS405" s="94">
        <f t="shared" si="1298"/>
        <v>4.3977957983339797</v>
      </c>
      <c r="AT405" s="94">
        <f t="shared" si="1298"/>
        <v>4.2922074331290334</v>
      </c>
      <c r="AU405" s="94">
        <f t="shared" si="1298"/>
        <v>4.4131847771442114</v>
      </c>
      <c r="AV405" s="94">
        <f t="shared" si="1298"/>
        <v>4.6114915486701671</v>
      </c>
      <c r="AW405" s="94">
        <f t="shared" si="1298"/>
        <v>4.7358287920942148</v>
      </c>
      <c r="AX405" s="94">
        <f t="shared" si="1298"/>
        <v>4.6907053247643908</v>
      </c>
      <c r="AY405" s="94">
        <f t="shared" si="1298"/>
        <v>4.6205590296377821</v>
      </c>
      <c r="AZ405" s="94">
        <f t="shared" si="1298"/>
        <v>4.5728086778040238</v>
      </c>
      <c r="BA405" s="94">
        <f t="shared" si="1298"/>
        <v>4.73732555264636</v>
      </c>
      <c r="BB405" s="94">
        <f t="shared" si="1298"/>
        <v>4.6710347466551667</v>
      </c>
      <c r="BC405" s="94">
        <f t="shared" si="1298"/>
        <v>4.5341896465605629</v>
      </c>
      <c r="BD405" s="94">
        <f t="shared" si="1298"/>
        <v>4.5191660454627272</v>
      </c>
      <c r="BE405" s="94">
        <f t="shared" si="1298"/>
        <v>4.6662102305422053</v>
      </c>
      <c r="BF405" s="94">
        <f t="shared" si="1298"/>
        <v>4.6198090913743428</v>
      </c>
      <c r="BJ405" s="116">
        <f t="shared" si="1276"/>
        <v>396</v>
      </c>
    </row>
    <row r="406" spans="1:62" hidden="1" outlineLevel="2">
      <c r="B406" s="13" t="s">
        <v>148</v>
      </c>
      <c r="C406" s="50">
        <f t="shared" ref="C406:M406" si="1299">C353/(C20/C6)</f>
        <v>96.455528215751144</v>
      </c>
      <c r="D406" s="50">
        <f t="shared" si="1299"/>
        <v>93.949363341789905</v>
      </c>
      <c r="E406" s="50">
        <f t="shared" si="1299"/>
        <v>72.985902431046028</v>
      </c>
      <c r="F406" s="50">
        <f t="shared" si="1299"/>
        <v>83.511218270700979</v>
      </c>
      <c r="G406" s="50">
        <f t="shared" si="1299"/>
        <v>81.764465220010578</v>
      </c>
      <c r="H406" s="50">
        <f t="shared" si="1299"/>
        <v>74.265099295453098</v>
      </c>
      <c r="I406" s="50">
        <f t="shared" si="1299"/>
        <v>86.100500754533087</v>
      </c>
      <c r="J406" s="50">
        <f t="shared" si="1299"/>
        <v>99.42112713680423</v>
      </c>
      <c r="K406" s="50">
        <f t="shared" si="1299"/>
        <v>85.30881884281149</v>
      </c>
      <c r="L406" s="50">
        <f t="shared" si="1299"/>
        <v>84.465769181268811</v>
      </c>
      <c r="M406" s="50">
        <f t="shared" si="1299"/>
        <v>81.395322803218235</v>
      </c>
      <c r="O406" s="50">
        <f t="shared" ref="O406:AS406" si="1300">O353/(O20/O6)</f>
        <v>73.079550849609689</v>
      </c>
      <c r="P406" s="50">
        <f t="shared" si="1300"/>
        <v>75.819314611111849</v>
      </c>
      <c r="Q406" s="50">
        <f t="shared" si="1300"/>
        <v>85.35135690123883</v>
      </c>
      <c r="R406" s="50">
        <f t="shared" si="1300"/>
        <v>77.645191306852141</v>
      </c>
      <c r="S406" s="50">
        <f t="shared" si="1300"/>
        <v>80.044091351097251</v>
      </c>
      <c r="T406" s="50">
        <f t="shared" si="1300"/>
        <v>79.458003594749201</v>
      </c>
      <c r="U406" s="50">
        <f t="shared" si="1300"/>
        <v>78.827856567062142</v>
      </c>
      <c r="V406" s="50">
        <f t="shared" si="1300"/>
        <v>83.744121608864788</v>
      </c>
      <c r="W406" s="50">
        <f t="shared" si="1300"/>
        <v>82.669792417158874</v>
      </c>
      <c r="X406" s="50">
        <f t="shared" si="1300"/>
        <v>83.91050985210795</v>
      </c>
      <c r="Y406" s="50">
        <f t="shared" si="1300"/>
        <v>81.361649563233541</v>
      </c>
      <c r="Z406" s="50">
        <f t="shared" si="1300"/>
        <v>80.99147051482538</v>
      </c>
      <c r="AA406" s="50">
        <f t="shared" si="1300"/>
        <v>84.083067292400159</v>
      </c>
      <c r="AB406" s="50">
        <f t="shared" si="1300"/>
        <v>83.785990894163518</v>
      </c>
      <c r="AC406" s="50">
        <f t="shared" si="1300"/>
        <v>82.652395387067344</v>
      </c>
      <c r="AD406" s="50">
        <f t="shared" si="1300"/>
        <v>80.124280481748968</v>
      </c>
      <c r="AE406" s="50">
        <f t="shared" si="1300"/>
        <v>82.342499896201488</v>
      </c>
      <c r="AF406" s="50">
        <f t="shared" si="1300"/>
        <v>81.51889292453032</v>
      </c>
      <c r="AG406" s="50">
        <f t="shared" si="1300"/>
        <v>83.782798377810494</v>
      </c>
      <c r="AH406" s="50">
        <f t="shared" si="1300"/>
        <v>78.264075845537377</v>
      </c>
      <c r="AI406" s="50">
        <f t="shared" si="1300"/>
        <v>61.871971199463388</v>
      </c>
      <c r="AJ406" s="50">
        <f t="shared" si="1300"/>
        <v>96.341520341090373</v>
      </c>
      <c r="AK406" s="50">
        <f t="shared" si="1300"/>
        <v>94.5869107890598</v>
      </c>
      <c r="AL406" s="50">
        <f t="shared" si="1300"/>
        <v>97.888098802395191</v>
      </c>
      <c r="AM406" s="50">
        <f t="shared" si="1300"/>
        <v>91.066633449537164</v>
      </c>
      <c r="AN406" s="50">
        <f t="shared" si="1300"/>
        <v>86.981023566955045</v>
      </c>
      <c r="AO406" s="50">
        <f t="shared" si="1300"/>
        <v>91.354133458383657</v>
      </c>
      <c r="AP406" s="50">
        <f t="shared" si="1300"/>
        <v>87.919608683555552</v>
      </c>
      <c r="AQ406" s="50">
        <f t="shared" si="1300"/>
        <v>82.304044084970215</v>
      </c>
      <c r="AR406" s="50">
        <f t="shared" si="1300"/>
        <v>83.999678469323925</v>
      </c>
      <c r="AS406" s="50">
        <f t="shared" si="1300"/>
        <v>86.377617983908848</v>
      </c>
      <c r="AT406" s="50">
        <f t="shared" ref="AT406" si="1301">AT353/(AT20/AT6)</f>
        <v>90.727051704347303</v>
      </c>
      <c r="AU406" s="51">
        <v>80</v>
      </c>
      <c r="AV406" s="51">
        <v>80</v>
      </c>
      <c r="AW406" s="51">
        <v>80</v>
      </c>
      <c r="AX406" s="51">
        <v>80</v>
      </c>
      <c r="AY406" s="51">
        <v>80</v>
      </c>
      <c r="AZ406" s="51">
        <v>80</v>
      </c>
      <c r="BA406" s="51">
        <v>80</v>
      </c>
      <c r="BB406" s="51">
        <v>80</v>
      </c>
      <c r="BC406" s="51">
        <v>80</v>
      </c>
      <c r="BD406" s="51">
        <v>80</v>
      </c>
      <c r="BE406" s="51">
        <v>80</v>
      </c>
      <c r="BF406" s="51">
        <v>80</v>
      </c>
      <c r="BJ406" s="116">
        <f t="shared" si="1276"/>
        <v>397</v>
      </c>
    </row>
    <row r="407" spans="1:62" hidden="1" outlineLevel="2">
      <c r="B407" s="13" t="s">
        <v>360</v>
      </c>
      <c r="C407" s="94">
        <f t="shared" ref="C407:M407" si="1302">-C126/AVERAGE(B354:C354)</f>
        <v>15.444817295827143</v>
      </c>
      <c r="D407" s="94">
        <f t="shared" si="1302"/>
        <v>17.676307889030966</v>
      </c>
      <c r="E407" s="94">
        <f t="shared" si="1302"/>
        <v>15.758447283796292</v>
      </c>
      <c r="F407" s="94">
        <f t="shared" si="1302"/>
        <v>17.27415680608167</v>
      </c>
      <c r="G407" s="94">
        <f t="shared" si="1302"/>
        <v>20.484081298595001</v>
      </c>
      <c r="H407" s="94">
        <f t="shared" si="1302"/>
        <v>12.358903959717731</v>
      </c>
      <c r="I407" s="94">
        <f t="shared" si="1302"/>
        <v>10.368325570373596</v>
      </c>
      <c r="J407" s="94">
        <f t="shared" si="1302"/>
        <v>12.731109810227418</v>
      </c>
      <c r="K407" s="94">
        <f t="shared" si="1302"/>
        <v>13.328782053674372</v>
      </c>
      <c r="L407" s="94">
        <f t="shared" si="1302"/>
        <v>14.804472780137672</v>
      </c>
      <c r="M407" s="94">
        <f t="shared" si="1302"/>
        <v>14.321853851474691</v>
      </c>
      <c r="O407" s="94">
        <f t="shared" ref="O407:BF407" si="1303">4*-O126/AVERAGE(N354:O354)</f>
        <v>20.802059542412955</v>
      </c>
      <c r="P407" s="94">
        <f t="shared" si="1303"/>
        <v>20.567835391581511</v>
      </c>
      <c r="Q407" s="94">
        <f t="shared" si="1303"/>
        <v>19.976241607523495</v>
      </c>
      <c r="R407" s="94">
        <f t="shared" si="1303"/>
        <v>20.551090259071135</v>
      </c>
      <c r="S407" s="94">
        <f t="shared" si="1303"/>
        <v>19.394598747126238</v>
      </c>
      <c r="T407" s="94">
        <f t="shared" si="1303"/>
        <v>16.90813886097958</v>
      </c>
      <c r="U407" s="94">
        <f t="shared" si="1303"/>
        <v>19.092431388029002</v>
      </c>
      <c r="V407" s="94">
        <f t="shared" si="1303"/>
        <v>17.196388422404425</v>
      </c>
      <c r="W407" s="94">
        <f t="shared" si="1303"/>
        <v>16.667994705173601</v>
      </c>
      <c r="X407" s="94">
        <f t="shared" si="1303"/>
        <v>14.95553991592643</v>
      </c>
      <c r="Y407" s="94">
        <f t="shared" si="1303"/>
        <v>15.598144269688127</v>
      </c>
      <c r="Z407" s="94">
        <f t="shared" si="1303"/>
        <v>15.979696669821019</v>
      </c>
      <c r="AA407" s="94">
        <f t="shared" si="1303"/>
        <v>16.027964593216655</v>
      </c>
      <c r="AB407" s="94">
        <f t="shared" si="1303"/>
        <v>16.187057396204658</v>
      </c>
      <c r="AC407" s="94">
        <f t="shared" si="1303"/>
        <v>16.892744588148176</v>
      </c>
      <c r="AD407" s="94">
        <f t="shared" si="1303"/>
        <v>18.809407061898032</v>
      </c>
      <c r="AE407" s="94">
        <f t="shared" si="1303"/>
        <v>21.016003404558543</v>
      </c>
      <c r="AF407" s="94">
        <f t="shared" si="1303"/>
        <v>20.768375059333273</v>
      </c>
      <c r="AG407" s="94">
        <f t="shared" si="1303"/>
        <v>20.586710789863275</v>
      </c>
      <c r="AH407" s="94">
        <f t="shared" si="1303"/>
        <v>20.211213613479842</v>
      </c>
      <c r="AI407" s="94">
        <f t="shared" si="1303"/>
        <v>17.495968988560961</v>
      </c>
      <c r="AJ407" s="94">
        <f t="shared" si="1303"/>
        <v>10.461242443839895</v>
      </c>
      <c r="AK407" s="94">
        <f t="shared" si="1303"/>
        <v>11.483207570166982</v>
      </c>
      <c r="AL407" s="94">
        <f t="shared" si="1303"/>
        <v>10.756966575541092</v>
      </c>
      <c r="AM407" s="94">
        <f t="shared" si="1303"/>
        <v>9.491563766613254</v>
      </c>
      <c r="AN407" s="94">
        <f t="shared" si="1303"/>
        <v>8.7562812919270936</v>
      </c>
      <c r="AO407" s="94">
        <f t="shared" si="1303"/>
        <v>8.3472812892637407</v>
      </c>
      <c r="AP407" s="94">
        <f t="shared" si="1303"/>
        <v>10.705505255998274</v>
      </c>
      <c r="AQ407" s="94">
        <f t="shared" si="1303"/>
        <v>14.555647341544011</v>
      </c>
      <c r="AR407" s="94">
        <f t="shared" si="1303"/>
        <v>15.349895681105874</v>
      </c>
      <c r="AS407" s="94">
        <f t="shared" si="1303"/>
        <v>15.538185931661028</v>
      </c>
      <c r="AT407" s="94">
        <f t="shared" si="1303"/>
        <v>13.222510749692491</v>
      </c>
      <c r="AU407" s="94">
        <f t="shared" si="1303"/>
        <v>13.173333550303264</v>
      </c>
      <c r="AV407" s="94">
        <f t="shared" si="1303"/>
        <v>14.597516650089496</v>
      </c>
      <c r="AW407" s="94">
        <f t="shared" si="1303"/>
        <v>15.053579397711262</v>
      </c>
      <c r="AX407" s="94">
        <f t="shared" si="1303"/>
        <v>14.916418491108745</v>
      </c>
      <c r="AY407" s="94">
        <f t="shared" si="1303"/>
        <v>14.734259152651392</v>
      </c>
      <c r="AZ407" s="94">
        <f t="shared" si="1303"/>
        <v>14.545919182057563</v>
      </c>
      <c r="BA407" s="94">
        <f t="shared" si="1303"/>
        <v>15.137423076604225</v>
      </c>
      <c r="BB407" s="94">
        <f t="shared" si="1303"/>
        <v>14.944819058617046</v>
      </c>
      <c r="BC407" s="94">
        <f t="shared" si="1303"/>
        <v>14.335450126437578</v>
      </c>
      <c r="BD407" s="94">
        <f t="shared" si="1303"/>
        <v>14.437661980654473</v>
      </c>
      <c r="BE407" s="94">
        <f t="shared" si="1303"/>
        <v>14.954507063795552</v>
      </c>
      <c r="BF407" s="94">
        <f t="shared" si="1303"/>
        <v>14.794951736730766</v>
      </c>
      <c r="BJ407" s="116">
        <f t="shared" si="1276"/>
        <v>398</v>
      </c>
    </row>
    <row r="408" spans="1:62" hidden="1" outlineLevel="2">
      <c r="B408" s="13" t="s">
        <v>149</v>
      </c>
      <c r="C408" s="50">
        <f t="shared" ref="C408:M408" si="1304">C354/(-C127/C6)</f>
        <v>23.632523001655397</v>
      </c>
      <c r="D408" s="50">
        <f t="shared" si="1304"/>
        <v>26.102882454312535</v>
      </c>
      <c r="E408" s="50">
        <f t="shared" si="1304"/>
        <v>20.723394306147711</v>
      </c>
      <c r="F408" s="50">
        <f t="shared" si="1304"/>
        <v>19.234904917464519</v>
      </c>
      <c r="G408" s="50">
        <f t="shared" si="1304"/>
        <v>18.613979361013797</v>
      </c>
      <c r="H408" s="50">
        <f t="shared" si="1304"/>
        <v>23.732913336833313</v>
      </c>
      <c r="I408" s="50">
        <f t="shared" si="1304"/>
        <v>28.412009609606002</v>
      </c>
      <c r="J408" s="50">
        <f t="shared" si="1304"/>
        <v>35.331558278509185</v>
      </c>
      <c r="K408" s="50">
        <f t="shared" si="1304"/>
        <v>26.103545766165706</v>
      </c>
      <c r="L408" s="50">
        <f t="shared" si="1304"/>
        <v>26.27683608314225</v>
      </c>
      <c r="M408" s="50">
        <f t="shared" si="1304"/>
        <v>25.483751838579721</v>
      </c>
      <c r="O408" s="50">
        <f t="shared" ref="O408:AS408" si="1305">O354/(-O127/O6)</f>
        <v>17.305978730904133</v>
      </c>
      <c r="P408" s="50">
        <f t="shared" si="1305"/>
        <v>18.356445132998982</v>
      </c>
      <c r="Q408" s="50">
        <f t="shared" si="1305"/>
        <v>21.026751987416095</v>
      </c>
      <c r="R408" s="50">
        <f t="shared" si="1305"/>
        <v>18.847758260212327</v>
      </c>
      <c r="S408" s="50">
        <f t="shared" si="1305"/>
        <v>20.469820159348348</v>
      </c>
      <c r="T408" s="50">
        <f t="shared" si="1305"/>
        <v>21.78247827836266</v>
      </c>
      <c r="U408" s="50">
        <f t="shared" si="1305"/>
        <v>20.760707570165053</v>
      </c>
      <c r="V408" s="50">
        <f t="shared" si="1305"/>
        <v>23.072171353886141</v>
      </c>
      <c r="W408" s="50">
        <f t="shared" si="1305"/>
        <v>20.309135855130847</v>
      </c>
      <c r="X408" s="50">
        <f t="shared" si="1305"/>
        <v>21.059146801797628</v>
      </c>
      <c r="Y408" s="50">
        <f t="shared" si="1305"/>
        <v>21.371140129643948</v>
      </c>
      <c r="Z408" s="50">
        <f t="shared" si="1305"/>
        <v>22.783018226031199</v>
      </c>
      <c r="AA408" s="50">
        <f t="shared" si="1305"/>
        <v>22.270554189761683</v>
      </c>
      <c r="AB408" s="50">
        <f t="shared" si="1305"/>
        <v>22.028757402543903</v>
      </c>
      <c r="AC408" s="50">
        <f t="shared" si="1305"/>
        <v>21.466813212287462</v>
      </c>
      <c r="AD408" s="50">
        <f t="shared" si="1305"/>
        <v>18.658560423189989</v>
      </c>
      <c r="AE408" s="50">
        <f t="shared" si="1305"/>
        <v>16.438313299203902</v>
      </c>
      <c r="AF408" s="50">
        <f t="shared" si="1305"/>
        <v>18.458381869622546</v>
      </c>
      <c r="AG408" s="50">
        <f t="shared" si="1305"/>
        <v>18.858789858858223</v>
      </c>
      <c r="AH408" s="50">
        <f t="shared" si="1305"/>
        <v>17.708225652215024</v>
      </c>
      <c r="AI408" s="50">
        <f t="shared" si="1305"/>
        <v>18.768940804373635</v>
      </c>
      <c r="AJ408" s="50">
        <f t="shared" si="1305"/>
        <v>34.1769325720078</v>
      </c>
      <c r="AK408" s="50">
        <f t="shared" si="1305"/>
        <v>31.46497508558901</v>
      </c>
      <c r="AL408" s="50">
        <f t="shared" si="1305"/>
        <v>31.792528025520632</v>
      </c>
      <c r="AM408" s="50">
        <f t="shared" si="1305"/>
        <v>38.351465524090258</v>
      </c>
      <c r="AN408" s="50">
        <f t="shared" si="1305"/>
        <v>41.286666726461142</v>
      </c>
      <c r="AO408" s="50">
        <f t="shared" si="1305"/>
        <v>42.612251824198196</v>
      </c>
      <c r="AP408" s="50">
        <f t="shared" si="1305"/>
        <v>29.007608960311661</v>
      </c>
      <c r="AQ408" s="50">
        <f t="shared" si="1305"/>
        <v>25.413755920380552</v>
      </c>
      <c r="AR408" s="50">
        <f t="shared" si="1305"/>
        <v>23.56966715446648</v>
      </c>
      <c r="AS408" s="50">
        <f t="shared" si="1305"/>
        <v>24.821025102943143</v>
      </c>
      <c r="AT408" s="50">
        <f t="shared" ref="AT408" si="1306">AT354/(-AT127/AT6)</f>
        <v>32.440445169101075</v>
      </c>
      <c r="AU408" s="51">
        <v>25</v>
      </c>
      <c r="AV408" s="51">
        <v>25</v>
      </c>
      <c r="AW408" s="51">
        <v>25</v>
      </c>
      <c r="AX408" s="51">
        <v>25</v>
      </c>
      <c r="AY408" s="51">
        <v>25</v>
      </c>
      <c r="AZ408" s="51">
        <v>25</v>
      </c>
      <c r="BA408" s="51">
        <v>25</v>
      </c>
      <c r="BB408" s="51">
        <v>25</v>
      </c>
      <c r="BC408" s="51">
        <v>25</v>
      </c>
      <c r="BD408" s="51">
        <v>25</v>
      </c>
      <c r="BE408" s="51">
        <v>25</v>
      </c>
      <c r="BF408" s="51">
        <v>25</v>
      </c>
      <c r="BJ408" s="116">
        <f t="shared" si="1276"/>
        <v>399</v>
      </c>
    </row>
    <row r="409" spans="1:62" hidden="1" outlineLevel="2">
      <c r="B409" s="13" t="s">
        <v>361</v>
      </c>
      <c r="C409" s="94">
        <f t="shared" ref="C409:M409" si="1307">-C126/AVERAGE(B367:C367)</f>
        <v>6.9049177836197737</v>
      </c>
      <c r="D409" s="94">
        <f t="shared" si="1307"/>
        <v>6.7051101240295763</v>
      </c>
      <c r="E409" s="94">
        <f t="shared" si="1307"/>
        <v>6.4420567608832533</v>
      </c>
      <c r="F409" s="94">
        <f t="shared" si="1307"/>
        <v>7.6227288654523315</v>
      </c>
      <c r="G409" s="94">
        <f t="shared" si="1307"/>
        <v>6.797162281641433</v>
      </c>
      <c r="H409" s="94">
        <f t="shared" si="1307"/>
        <v>4.5097657512423437</v>
      </c>
      <c r="I409" s="94">
        <f t="shared" si="1307"/>
        <v>4.9742695159180128</v>
      </c>
      <c r="J409" s="94">
        <f t="shared" si="1307"/>
        <v>5.4716318945722424</v>
      </c>
      <c r="K409" s="94">
        <f t="shared" si="1307"/>
        <v>6.0799275627764384</v>
      </c>
      <c r="L409" s="94">
        <f t="shared" si="1307"/>
        <v>6.7293058091534874</v>
      </c>
      <c r="M409" s="94">
        <f t="shared" si="1307"/>
        <v>6.5099335688521318</v>
      </c>
      <c r="O409" s="94">
        <f t="shared" ref="O409:BF409" si="1308">4*-O126/AVERAGE(N367:O367)</f>
        <v>8.3385319627369121</v>
      </c>
      <c r="P409" s="94">
        <f t="shared" si="1308"/>
        <v>8.4542333642540566</v>
      </c>
      <c r="Q409" s="94">
        <f t="shared" si="1308"/>
        <v>8.0167239081402517</v>
      </c>
      <c r="R409" s="94">
        <f t="shared" si="1308"/>
        <v>8.5662609003096435</v>
      </c>
      <c r="S409" s="94">
        <f t="shared" si="1308"/>
        <v>8.7036352137007782</v>
      </c>
      <c r="T409" s="94">
        <f t="shared" si="1308"/>
        <v>6.7846674892480507</v>
      </c>
      <c r="U409" s="94">
        <f t="shared" si="1308"/>
        <v>6.8370425112961701</v>
      </c>
      <c r="V409" s="94">
        <f t="shared" si="1308"/>
        <v>6.03835179281901</v>
      </c>
      <c r="W409" s="94">
        <f t="shared" si="1308"/>
        <v>6.1061381500330878</v>
      </c>
      <c r="X409" s="94">
        <f t="shared" si="1308"/>
        <v>6.075489105951644</v>
      </c>
      <c r="Y409" s="94">
        <f t="shared" si="1308"/>
        <v>6.9103264873904662</v>
      </c>
      <c r="Z409" s="94">
        <f t="shared" si="1308"/>
        <v>7.6651048316851469</v>
      </c>
      <c r="AA409" s="94">
        <f t="shared" si="1308"/>
        <v>8.0249056360292954</v>
      </c>
      <c r="AB409" s="94">
        <f t="shared" si="1308"/>
        <v>7.8493201140291102</v>
      </c>
      <c r="AC409" s="94">
        <f t="shared" si="1308"/>
        <v>7.6993526384056734</v>
      </c>
      <c r="AD409" s="94">
        <f t="shared" si="1308"/>
        <v>7.7464648500672677</v>
      </c>
      <c r="AE409" s="94">
        <f t="shared" si="1308"/>
        <v>7.2194790259807027</v>
      </c>
      <c r="AF409" s="94">
        <f t="shared" si="1308"/>
        <v>6.8318970694451329</v>
      </c>
      <c r="AG409" s="94">
        <f t="shared" si="1308"/>
        <v>7.2085613352462872</v>
      </c>
      <c r="AH409" s="94">
        <f t="shared" si="1308"/>
        <v>6.4849459732115031</v>
      </c>
      <c r="AI409" s="94">
        <f t="shared" si="1308"/>
        <v>6.218318347254411</v>
      </c>
      <c r="AJ409" s="94">
        <f t="shared" si="1308"/>
        <v>5.1097721434389429</v>
      </c>
      <c r="AK409" s="94">
        <f t="shared" si="1308"/>
        <v>6.2292414568284515</v>
      </c>
      <c r="AL409" s="94">
        <f t="shared" si="1308"/>
        <v>6.1995929658651932</v>
      </c>
      <c r="AM409" s="94">
        <f t="shared" si="1308"/>
        <v>5.5935578532817942</v>
      </c>
      <c r="AN409" s="94">
        <f t="shared" si="1308"/>
        <v>5.9502998685781767</v>
      </c>
      <c r="AO409" s="94">
        <f t="shared" si="1308"/>
        <v>5.9037004570784557</v>
      </c>
      <c r="AP409" s="94">
        <f t="shared" si="1308"/>
        <v>5.4737289282702184</v>
      </c>
      <c r="AQ409" s="94">
        <f t="shared" si="1308"/>
        <v>6.129880808839518</v>
      </c>
      <c r="AR409" s="94">
        <f t="shared" si="1308"/>
        <v>6.6478016586824094</v>
      </c>
      <c r="AS409" s="94">
        <f t="shared" si="1308"/>
        <v>6.1029720155801312</v>
      </c>
      <c r="AT409" s="94">
        <f t="shared" si="1308"/>
        <v>5.5427790754043453</v>
      </c>
      <c r="AU409" s="94">
        <f t="shared" si="1308"/>
        <v>6.0097983395117636</v>
      </c>
      <c r="AV409" s="94">
        <f t="shared" si="1308"/>
        <v>6.6352348409497717</v>
      </c>
      <c r="AW409" s="94">
        <f t="shared" si="1308"/>
        <v>6.8425360898687568</v>
      </c>
      <c r="AX409" s="94">
        <f t="shared" si="1308"/>
        <v>6.7801902232312479</v>
      </c>
      <c r="AY409" s="94">
        <f t="shared" si="1308"/>
        <v>6.6973905239324507</v>
      </c>
      <c r="AZ409" s="94">
        <f t="shared" si="1308"/>
        <v>6.6117814463898021</v>
      </c>
      <c r="BA409" s="94">
        <f t="shared" si="1308"/>
        <v>6.8806468530019202</v>
      </c>
      <c r="BB409" s="94">
        <f t="shared" si="1308"/>
        <v>6.793099572098658</v>
      </c>
      <c r="BC409" s="94">
        <f t="shared" si="1308"/>
        <v>6.5161136938352628</v>
      </c>
      <c r="BD409" s="94">
        <f t="shared" si="1308"/>
        <v>6.5625736275702149</v>
      </c>
      <c r="BE409" s="94">
        <f t="shared" si="1308"/>
        <v>6.797503210816159</v>
      </c>
      <c r="BF409" s="94">
        <f t="shared" si="1308"/>
        <v>6.724978062150349</v>
      </c>
      <c r="BJ409" s="116">
        <f t="shared" si="1276"/>
        <v>400</v>
      </c>
    </row>
    <row r="410" spans="1:62" hidden="1" outlineLevel="2">
      <c r="B410" s="13" t="s">
        <v>150</v>
      </c>
      <c r="C410" s="50">
        <f t="shared" ref="C410:M410" si="1309">C367/(-C127/C6)</f>
        <v>52.860875601715804</v>
      </c>
      <c r="D410" s="50">
        <f t="shared" si="1309"/>
        <v>74.883488300472436</v>
      </c>
      <c r="E410" s="50">
        <f t="shared" si="1309"/>
        <v>41.178104799889972</v>
      </c>
      <c r="F410" s="50">
        <f t="shared" si="1309"/>
        <v>50.015355380474574</v>
      </c>
      <c r="G410" s="50">
        <f t="shared" si="1309"/>
        <v>63.112140117237246</v>
      </c>
      <c r="H410" s="50">
        <f t="shared" si="1309"/>
        <v>41.963365281134742</v>
      </c>
      <c r="I410" s="50">
        <f t="shared" si="1309"/>
        <v>72.563276977560079</v>
      </c>
      <c r="J410" s="50">
        <f t="shared" si="1309"/>
        <v>77.206934063765786</v>
      </c>
      <c r="K410" s="50">
        <f t="shared" si="1309"/>
        <v>57.427800685564549</v>
      </c>
      <c r="L410" s="50">
        <f t="shared" si="1309"/>
        <v>57.809039382912957</v>
      </c>
      <c r="M410" s="50">
        <f t="shared" si="1309"/>
        <v>56.064254044875383</v>
      </c>
      <c r="O410" s="50">
        <f t="shared" ref="O410:AS410" si="1310">O367/(-O127/O6)</f>
        <v>43.173067106867464</v>
      </c>
      <c r="P410" s="50">
        <f t="shared" si="1310"/>
        <v>43.604600477903531</v>
      </c>
      <c r="Q410" s="50">
        <f t="shared" si="1310"/>
        <v>54.235734005156957</v>
      </c>
      <c r="R410" s="50">
        <f t="shared" si="1310"/>
        <v>42.158385065128527</v>
      </c>
      <c r="S410" s="50">
        <f t="shared" si="1310"/>
        <v>45.472820027703641</v>
      </c>
      <c r="T410" s="50">
        <f t="shared" si="1310"/>
        <v>60.042138060523612</v>
      </c>
      <c r="U410" s="50">
        <f t="shared" si="1310"/>
        <v>58.615641757782576</v>
      </c>
      <c r="V410" s="50">
        <f t="shared" si="1310"/>
        <v>66.189037807193799</v>
      </c>
      <c r="W410" s="50">
        <f t="shared" si="1310"/>
        <v>52.538590656154923</v>
      </c>
      <c r="X410" s="50">
        <f t="shared" si="1310"/>
        <v>49.141033744756314</v>
      </c>
      <c r="Y410" s="50">
        <f t="shared" si="1310"/>
        <v>46.592123804912582</v>
      </c>
      <c r="Z410" s="50">
        <f t="shared" si="1310"/>
        <v>45.270649118084151</v>
      </c>
      <c r="AA410" s="50">
        <f t="shared" si="1310"/>
        <v>44.713833425562207</v>
      </c>
      <c r="AB410" s="50">
        <f t="shared" si="1310"/>
        <v>46.681467634790678</v>
      </c>
      <c r="AC410" s="50">
        <f t="shared" si="1310"/>
        <v>48.746654682732462</v>
      </c>
      <c r="AD410" s="50">
        <f t="shared" si="1310"/>
        <v>48.516721785642119</v>
      </c>
      <c r="AE410" s="50">
        <f t="shared" si="1310"/>
        <v>53.366100223269676</v>
      </c>
      <c r="AF410" s="50">
        <f t="shared" si="1310"/>
        <v>52.688393743246706</v>
      </c>
      <c r="AG410" s="50">
        <f t="shared" si="1310"/>
        <v>53.882223461961438</v>
      </c>
      <c r="AH410" s="50">
        <f t="shared" si="1310"/>
        <v>60.041111946810489</v>
      </c>
      <c r="AI410" s="50">
        <f t="shared" si="1310"/>
        <v>39.725224179396086</v>
      </c>
      <c r="AJ410" s="50">
        <f t="shared" si="1310"/>
        <v>67.518480673258097</v>
      </c>
      <c r="AK410" s="50">
        <f t="shared" si="1310"/>
        <v>53.692736416724884</v>
      </c>
      <c r="AL410" s="50">
        <f t="shared" si="1310"/>
        <v>56.213977939029036</v>
      </c>
      <c r="AM410" s="50">
        <f t="shared" si="1310"/>
        <v>62.344285154634093</v>
      </c>
      <c r="AN410" s="50">
        <f t="shared" si="1310"/>
        <v>54.309325847063633</v>
      </c>
      <c r="AO410" s="50">
        <f t="shared" si="1310"/>
        <v>64.736793327154771</v>
      </c>
      <c r="AP410" s="50">
        <f t="shared" si="1310"/>
        <v>74.084416849281709</v>
      </c>
      <c r="AQ410" s="50">
        <f t="shared" si="1310"/>
        <v>56.030481575878888</v>
      </c>
      <c r="AR410" s="50">
        <f t="shared" si="1310"/>
        <v>56.910826042282899</v>
      </c>
      <c r="AS410" s="50">
        <f t="shared" si="1310"/>
        <v>66.157570428519961</v>
      </c>
      <c r="AT410" s="50">
        <f t="shared" ref="AT410" si="1311">AT367/(-AT127/AT6)</f>
        <v>70.889239909168197</v>
      </c>
      <c r="AU410" s="51">
        <v>55</v>
      </c>
      <c r="AV410" s="51">
        <v>55</v>
      </c>
      <c r="AW410" s="51">
        <v>55</v>
      </c>
      <c r="AX410" s="51">
        <v>55</v>
      </c>
      <c r="AY410" s="51">
        <v>55</v>
      </c>
      <c r="AZ410" s="51">
        <v>55</v>
      </c>
      <c r="BA410" s="51">
        <v>55</v>
      </c>
      <c r="BB410" s="51">
        <v>55</v>
      </c>
      <c r="BC410" s="51">
        <v>55</v>
      </c>
      <c r="BD410" s="51">
        <v>55</v>
      </c>
      <c r="BE410" s="51">
        <v>55</v>
      </c>
      <c r="BF410" s="51">
        <v>55</v>
      </c>
      <c r="BJ410" s="116">
        <f t="shared" si="1276"/>
        <v>401</v>
      </c>
    </row>
    <row r="411" spans="1:62" hidden="1" outlineLevel="2">
      <c r="B411" s="13" t="s">
        <v>151</v>
      </c>
      <c r="C411" s="50">
        <f t="shared" ref="C411:M411" si="1312">+C406+C408-C410</f>
        <v>67.22717561569074</v>
      </c>
      <c r="D411" s="50">
        <f t="shared" si="1312"/>
        <v>45.168757495630004</v>
      </c>
      <c r="E411" s="50">
        <f t="shared" si="1312"/>
        <v>52.531191937303767</v>
      </c>
      <c r="F411" s="50">
        <f t="shared" si="1312"/>
        <v>52.730767807690924</v>
      </c>
      <c r="G411" s="50">
        <f t="shared" si="1312"/>
        <v>37.266304463787137</v>
      </c>
      <c r="H411" s="50">
        <f t="shared" si="1312"/>
        <v>56.034647351151676</v>
      </c>
      <c r="I411" s="50">
        <f t="shared" si="1312"/>
        <v>41.94923338657901</v>
      </c>
      <c r="J411" s="50">
        <f t="shared" si="1312"/>
        <v>57.545751351547622</v>
      </c>
      <c r="K411" s="50">
        <f t="shared" si="1312"/>
        <v>53.984563923412651</v>
      </c>
      <c r="L411" s="50">
        <f t="shared" si="1312"/>
        <v>52.933565881498097</v>
      </c>
      <c r="M411" s="50">
        <f t="shared" si="1312"/>
        <v>50.814820596922573</v>
      </c>
      <c r="O411" s="50">
        <f t="shared" ref="O411:AP411" si="1313">+O406+O408-O410</f>
        <v>47.212462473646355</v>
      </c>
      <c r="P411" s="50">
        <f t="shared" si="1313"/>
        <v>50.571159266207303</v>
      </c>
      <c r="Q411" s="50">
        <f t="shared" si="1313"/>
        <v>52.142374883497965</v>
      </c>
      <c r="R411" s="50">
        <f t="shared" si="1313"/>
        <v>54.334564501935944</v>
      </c>
      <c r="S411" s="50">
        <f t="shared" si="1313"/>
        <v>55.041091482741955</v>
      </c>
      <c r="T411" s="50">
        <f t="shared" si="1313"/>
        <v>41.198343812588249</v>
      </c>
      <c r="U411" s="50">
        <f t="shared" si="1313"/>
        <v>40.972922379444618</v>
      </c>
      <c r="V411" s="50">
        <f t="shared" si="1313"/>
        <v>40.627255155557137</v>
      </c>
      <c r="W411" s="50">
        <f t="shared" si="1313"/>
        <v>50.440337616134798</v>
      </c>
      <c r="X411" s="50">
        <f t="shared" si="1313"/>
        <v>55.82862290914926</v>
      </c>
      <c r="Y411" s="50">
        <f t="shared" si="1313"/>
        <v>56.140665887964907</v>
      </c>
      <c r="Z411" s="50">
        <f t="shared" si="1313"/>
        <v>58.503839622772432</v>
      </c>
      <c r="AA411" s="50">
        <f t="shared" si="1313"/>
        <v>61.639788056599635</v>
      </c>
      <c r="AB411" s="50">
        <f t="shared" si="1313"/>
        <v>59.133280661916743</v>
      </c>
      <c r="AC411" s="50">
        <f t="shared" si="1313"/>
        <v>55.372553916622344</v>
      </c>
      <c r="AD411" s="50">
        <f t="shared" si="1313"/>
        <v>50.266119119296832</v>
      </c>
      <c r="AE411" s="50">
        <f t="shared" si="1313"/>
        <v>45.41471297213571</v>
      </c>
      <c r="AF411" s="50">
        <f t="shared" si="1313"/>
        <v>47.288881050906156</v>
      </c>
      <c r="AG411" s="50">
        <f t="shared" si="1313"/>
        <v>48.759364774707286</v>
      </c>
      <c r="AH411" s="50">
        <f t="shared" si="1313"/>
        <v>35.931189550941909</v>
      </c>
      <c r="AI411" s="50">
        <f t="shared" si="1313"/>
        <v>40.915687824440944</v>
      </c>
      <c r="AJ411" s="50">
        <f t="shared" si="1313"/>
        <v>62.999972239840076</v>
      </c>
      <c r="AK411" s="50">
        <f t="shared" si="1313"/>
        <v>72.35914945792392</v>
      </c>
      <c r="AL411" s="50">
        <f t="shared" si="1313"/>
        <v>73.466648888886795</v>
      </c>
      <c r="AM411" s="50">
        <f t="shared" si="1313"/>
        <v>67.07381381899333</v>
      </c>
      <c r="AN411" s="50">
        <f t="shared" si="1313"/>
        <v>73.958364446352562</v>
      </c>
      <c r="AO411" s="50">
        <f t="shared" si="1313"/>
        <v>69.229591955427082</v>
      </c>
      <c r="AP411" s="50">
        <f t="shared" si="1313"/>
        <v>42.8428007945855</v>
      </c>
      <c r="AQ411" s="50">
        <f>+AQ406+AQ408-AQ410</f>
        <v>51.68731842947188</v>
      </c>
      <c r="AR411" s="50">
        <f>+AR406+AR408-AR410</f>
        <v>50.658519581507512</v>
      </c>
      <c r="AS411" s="50">
        <f>+AS406+AS408-AS410</f>
        <v>45.041072658332027</v>
      </c>
      <c r="AT411" s="50">
        <f>+AT406+AT408-AT410</f>
        <v>52.278256964280189</v>
      </c>
      <c r="AU411" s="50">
        <f t="shared" ref="AU411:BF411" si="1314">+AU406+AU408-AU410</f>
        <v>50</v>
      </c>
      <c r="AV411" s="50">
        <f t="shared" si="1314"/>
        <v>50</v>
      </c>
      <c r="AW411" s="50">
        <f t="shared" si="1314"/>
        <v>50</v>
      </c>
      <c r="AX411" s="50">
        <f t="shared" si="1314"/>
        <v>50</v>
      </c>
      <c r="AY411" s="50">
        <f t="shared" si="1314"/>
        <v>50</v>
      </c>
      <c r="AZ411" s="50">
        <f t="shared" si="1314"/>
        <v>50</v>
      </c>
      <c r="BA411" s="50">
        <f t="shared" si="1314"/>
        <v>50</v>
      </c>
      <c r="BB411" s="50">
        <f t="shared" si="1314"/>
        <v>50</v>
      </c>
      <c r="BC411" s="50">
        <f t="shared" si="1314"/>
        <v>50</v>
      </c>
      <c r="BD411" s="50">
        <f t="shared" si="1314"/>
        <v>50</v>
      </c>
      <c r="BE411" s="50">
        <f t="shared" si="1314"/>
        <v>50</v>
      </c>
      <c r="BF411" s="50">
        <f t="shared" si="1314"/>
        <v>50</v>
      </c>
      <c r="BJ411" s="116">
        <f t="shared" si="1276"/>
        <v>402</v>
      </c>
    </row>
    <row r="412" spans="1:62" hidden="1" outlineLevel="2">
      <c r="B412" s="13"/>
      <c r="BJ412" s="116">
        <f t="shared" si="1276"/>
        <v>403</v>
      </c>
    </row>
    <row r="413" spans="1:62" hidden="1" outlineLevel="2">
      <c r="B413" s="12" t="s">
        <v>152</v>
      </c>
      <c r="C413" s="93">
        <f>C356/(C$20)</f>
        <v>0.11949871905810536</v>
      </c>
      <c r="D413" s="93">
        <f t="shared" ref="D413:M413" si="1315">D356/(D$20)</f>
        <v>9.3312864314601604E-2</v>
      </c>
      <c r="E413" s="93">
        <f t="shared" si="1315"/>
        <v>8.8040143110286254E-2</v>
      </c>
      <c r="F413" s="93">
        <f t="shared" si="1315"/>
        <v>8.4363246269663239E-2</v>
      </c>
      <c r="G413" s="93">
        <f t="shared" si="1315"/>
        <v>5.0176426814868239E-2</v>
      </c>
      <c r="H413" s="93">
        <f t="shared" si="1315"/>
        <v>6.8147690625825721E-2</v>
      </c>
      <c r="I413" s="93">
        <f t="shared" si="1315"/>
        <v>0.11508284130185997</v>
      </c>
      <c r="J413" s="93">
        <f t="shared" si="1315"/>
        <v>8.4696513843040069E-2</v>
      </c>
      <c r="K413" s="93">
        <f t="shared" si="1315"/>
        <v>6.6621722874861705E-2</v>
      </c>
      <c r="L413" s="93">
        <f t="shared" si="1315"/>
        <v>5.6535405227852893E-2</v>
      </c>
      <c r="M413" s="93">
        <f t="shared" si="1315"/>
        <v>5.3421006176060194E-2</v>
      </c>
      <c r="O413" s="93">
        <f>O356/(4*O$20)</f>
        <v>3.644461251393933E-2</v>
      </c>
      <c r="P413" s="93">
        <f t="shared" ref="P413:BF413" si="1316">P356/(4*P$20)</f>
        <v>3.6557005755640921E-2</v>
      </c>
      <c r="Q413" s="93">
        <f t="shared" si="1316"/>
        <v>0.14295192039981389</v>
      </c>
      <c r="R413" s="93">
        <f t="shared" si="1316"/>
        <v>9.5410404353377012E-2</v>
      </c>
      <c r="S413" s="93">
        <f t="shared" si="1316"/>
        <v>9.3274637884931733E-2</v>
      </c>
      <c r="T413" s="93">
        <f t="shared" si="1316"/>
        <v>8.2466837998786097E-2</v>
      </c>
      <c r="U413" s="93">
        <f t="shared" si="1316"/>
        <v>6.6605927229147571E-2</v>
      </c>
      <c r="V413" s="93">
        <f t="shared" si="1316"/>
        <v>8.249869080398782E-2</v>
      </c>
      <c r="W413" s="93">
        <f t="shared" si="1316"/>
        <v>8.027978878834717E-2</v>
      </c>
      <c r="X413" s="93">
        <f t="shared" si="1316"/>
        <v>8.3513745453126981E-2</v>
      </c>
      <c r="Y413" s="93">
        <f t="shared" si="1316"/>
        <v>8.906262198665843E-2</v>
      </c>
      <c r="Z413" s="93">
        <f t="shared" si="1316"/>
        <v>9.7165996413999686E-2</v>
      </c>
      <c r="AA413" s="93">
        <f t="shared" si="1316"/>
        <v>0.10678808162669866</v>
      </c>
      <c r="AB413" s="93">
        <f t="shared" si="1316"/>
        <v>0.10351150163995594</v>
      </c>
      <c r="AC413" s="93">
        <f t="shared" si="1316"/>
        <v>0.10441972701957575</v>
      </c>
      <c r="AD413" s="93">
        <f t="shared" si="1316"/>
        <v>8.0281901805749678E-2</v>
      </c>
      <c r="AE413" s="93">
        <f t="shared" si="1316"/>
        <v>7.6133857316663514E-2</v>
      </c>
      <c r="AF413" s="93">
        <f t="shared" si="1316"/>
        <v>8.8434094154476756E-2</v>
      </c>
      <c r="AG413" s="93">
        <f t="shared" si="1316"/>
        <v>5.1646323892985728E-2</v>
      </c>
      <c r="AH413" s="93">
        <f t="shared" si="1316"/>
        <v>4.7636806298336845E-2</v>
      </c>
      <c r="AI413" s="93">
        <f t="shared" si="1316"/>
        <v>5.2374855569242915E-2</v>
      </c>
      <c r="AJ413" s="93">
        <f t="shared" si="1316"/>
        <v>0.1185403215375634</v>
      </c>
      <c r="AK413" s="93">
        <f t="shared" si="1316"/>
        <v>0.10439642122675516</v>
      </c>
      <c r="AL413" s="93">
        <f t="shared" si="1316"/>
        <v>8.9092535038618401E-2</v>
      </c>
      <c r="AM413" s="93">
        <f t="shared" si="1316"/>
        <v>0.12184696778667869</v>
      </c>
      <c r="AN413" s="93">
        <f t="shared" si="1316"/>
        <v>0.13250842354154693</v>
      </c>
      <c r="AO413" s="93">
        <f t="shared" si="1316"/>
        <v>0.11109217404325664</v>
      </c>
      <c r="AP413" s="93">
        <f t="shared" si="1316"/>
        <v>0.11687561566168123</v>
      </c>
      <c r="AQ413" s="93">
        <f t="shared" si="1316"/>
        <v>0.12005777264243177</v>
      </c>
      <c r="AR413" s="93">
        <f t="shared" ref="AR413:AS413" si="1317">AR356/(4*AR$20)</f>
        <v>9.9467415321015912E-2</v>
      </c>
      <c r="AS413" s="93">
        <f t="shared" si="1317"/>
        <v>8.0767267328497219E-2</v>
      </c>
      <c r="AT413" s="93">
        <f t="shared" ref="AT413" si="1318">AT356/(4*AT$20)</f>
        <v>7.6659979075982973E-2</v>
      </c>
      <c r="AU413" s="93">
        <f t="shared" si="1316"/>
        <v>7.1816847438796058E-2</v>
      </c>
      <c r="AV413" s="93">
        <f t="shared" si="1316"/>
        <v>6.913342675188712E-2</v>
      </c>
      <c r="AW413" s="93">
        <f t="shared" si="1316"/>
        <v>6.4459435477684915E-2</v>
      </c>
      <c r="AX413" s="93">
        <f t="shared" si="1316"/>
        <v>6.1966499501398105E-2</v>
      </c>
      <c r="AY413" s="93">
        <f t="shared" si="1316"/>
        <v>6.0038030263435412E-2</v>
      </c>
      <c r="AZ413" s="93">
        <f t="shared" si="1316"/>
        <v>5.8785926824962871E-2</v>
      </c>
      <c r="BA413" s="93">
        <f t="shared" si="1316"/>
        <v>5.4775822816976301E-2</v>
      </c>
      <c r="BB413" s="93">
        <f t="shared" si="1316"/>
        <v>5.3109816500316598E-2</v>
      </c>
      <c r="BC413" s="93">
        <f t="shared" si="1316"/>
        <v>5.4067890249089041E-2</v>
      </c>
      <c r="BD413" s="93">
        <f t="shared" si="1316"/>
        <v>5.4805693132672167E-2</v>
      </c>
      <c r="BE413" s="93">
        <f t="shared" si="1316"/>
        <v>5.2671576375317108E-2</v>
      </c>
      <c r="BF413" s="93">
        <f t="shared" si="1316"/>
        <v>5.2219879758157131E-2</v>
      </c>
      <c r="BJ413" s="116">
        <f t="shared" si="1276"/>
        <v>404</v>
      </c>
    </row>
    <row r="414" spans="1:62" hidden="1" outlineLevel="2">
      <c r="B414" s="97" t="s">
        <v>153</v>
      </c>
      <c r="C414" s="93">
        <f>C362/(C$20)</f>
        <v>0.17132432161203651</v>
      </c>
      <c r="D414" s="93">
        <f t="shared" ref="D414:M414" si="1319">D362/(D$20)</f>
        <v>0.11308060745508307</v>
      </c>
      <c r="E414" s="93">
        <f t="shared" si="1319"/>
        <v>4.8857889801156545E-2</v>
      </c>
      <c r="F414" s="93">
        <f t="shared" si="1319"/>
        <v>4.8260069861716832E-2</v>
      </c>
      <c r="G414" s="93">
        <f t="shared" si="1319"/>
        <v>5.3883139211924301E-2</v>
      </c>
      <c r="H414" s="93">
        <f t="shared" si="1319"/>
        <v>0.22493900590713758</v>
      </c>
      <c r="I414" s="93">
        <f t="shared" si="1319"/>
        <v>0.27611885388712959</v>
      </c>
      <c r="J414" s="93">
        <f t="shared" si="1319"/>
        <v>0.26200558830239229</v>
      </c>
      <c r="K414" s="93">
        <f t="shared" si="1319"/>
        <v>0.2060918791521367</v>
      </c>
      <c r="L414" s="93">
        <f t="shared" si="1319"/>
        <v>0.17489022197641452</v>
      </c>
      <c r="M414" s="93">
        <f t="shared" si="1319"/>
        <v>0.16525594166488297</v>
      </c>
      <c r="O414" s="93">
        <f>O362/(4*O$20)</f>
        <v>0.18180764262291454</v>
      </c>
      <c r="P414" s="93">
        <f t="shared" ref="P414:BF414" si="1320">P362/(4*P$20)</f>
        <v>0.18275689518789962</v>
      </c>
      <c r="Q414" s="93">
        <f t="shared" si="1320"/>
        <v>0.16337550631160952</v>
      </c>
      <c r="R414" s="93">
        <f t="shared" si="1320"/>
        <v>0.13678910476541786</v>
      </c>
      <c r="S414" s="93">
        <f t="shared" si="1320"/>
        <v>0.12688534889195618</v>
      </c>
      <c r="T414" s="93">
        <f t="shared" si="1320"/>
        <v>0.12758390924577703</v>
      </c>
      <c r="U414" s="93">
        <f t="shared" si="1320"/>
        <v>0.1065865253465826</v>
      </c>
      <c r="V414" s="93">
        <f t="shared" si="1320"/>
        <v>9.9975519333663998E-2</v>
      </c>
      <c r="W414" s="93">
        <f t="shared" si="1320"/>
        <v>9.3015145792535656E-2</v>
      </c>
      <c r="X414" s="93">
        <f t="shared" si="1320"/>
        <v>7.0567956857123346E-2</v>
      </c>
      <c r="Y414" s="93">
        <f t="shared" si="1320"/>
        <v>6.135346998730614E-2</v>
      </c>
      <c r="Z414" s="93">
        <f t="shared" si="1320"/>
        <v>5.3922283375526577E-2</v>
      </c>
      <c r="AA414" s="93">
        <f t="shared" si="1320"/>
        <v>5.4877373690798564E-2</v>
      </c>
      <c r="AB414" s="93">
        <f t="shared" si="1320"/>
        <v>5.3024727599957751E-2</v>
      </c>
      <c r="AC414" s="93">
        <f t="shared" si="1320"/>
        <v>4.9834522350198043E-2</v>
      </c>
      <c r="AD414" s="93">
        <f t="shared" si="1320"/>
        <v>4.5925333140839512E-2</v>
      </c>
      <c r="AE414" s="93">
        <f t="shared" si="1320"/>
        <v>4.6025994924566799E-2</v>
      </c>
      <c r="AF414" s="93">
        <f t="shared" si="1320"/>
        <v>4.3212938185420845E-2</v>
      </c>
      <c r="AG414" s="93">
        <f t="shared" si="1320"/>
        <v>4.1787805772294739E-2</v>
      </c>
      <c r="AH414" s="93">
        <f t="shared" si="1320"/>
        <v>5.1155907830092009E-2</v>
      </c>
      <c r="AI414" s="93">
        <f t="shared" si="1320"/>
        <v>0.18034139079478131</v>
      </c>
      <c r="AJ414" s="93">
        <f t="shared" si="1320"/>
        <v>0.29216495433989487</v>
      </c>
      <c r="AK414" s="93">
        <f t="shared" si="1320"/>
        <v>0.22787453999926849</v>
      </c>
      <c r="AL414" s="93">
        <f t="shared" si="1320"/>
        <v>0.29407285971535185</v>
      </c>
      <c r="AM414" s="93">
        <f t="shared" si="1320"/>
        <v>0.24467277480301178</v>
      </c>
      <c r="AN414" s="93">
        <f t="shared" si="1320"/>
        <v>0.25243604839673034</v>
      </c>
      <c r="AO414" s="93">
        <f t="shared" si="1320"/>
        <v>0.28007365096378728</v>
      </c>
      <c r="AP414" s="93">
        <f t="shared" si="1320"/>
        <v>0.28042026664260422</v>
      </c>
      <c r="AQ414" s="93">
        <f t="shared" si="1320"/>
        <v>0.26084703581903829</v>
      </c>
      <c r="AR414" s="93">
        <f t="shared" ref="AR414:AS414" si="1321">AR362/(4*AR$20)</f>
        <v>0.24107989958105977</v>
      </c>
      <c r="AS414" s="93">
        <f t="shared" si="1321"/>
        <v>0.2600565924032967</v>
      </c>
      <c r="AT414" s="93">
        <f t="shared" ref="AT414" si="1322">AT362/(4*AT$20)</f>
        <v>0.23714485999121809</v>
      </c>
      <c r="AU414" s="93">
        <f t="shared" si="1320"/>
        <v>0.22216280823665982</v>
      </c>
      <c r="AV414" s="93">
        <f t="shared" si="1320"/>
        <v>0.21386174383819689</v>
      </c>
      <c r="AW414" s="93">
        <f t="shared" si="1320"/>
        <v>0.19940292165116977</v>
      </c>
      <c r="AX414" s="93">
        <f t="shared" si="1320"/>
        <v>0.19169111478415196</v>
      </c>
      <c r="AY414" s="93">
        <f t="shared" si="1320"/>
        <v>0.18572546526341904</v>
      </c>
      <c r="AZ414" s="93">
        <f t="shared" si="1320"/>
        <v>0.18185212876906928</v>
      </c>
      <c r="BA414" s="93">
        <f t="shared" si="1320"/>
        <v>0.1694470177191221</v>
      </c>
      <c r="BB414" s="93">
        <f t="shared" si="1320"/>
        <v>0.16429328770939752</v>
      </c>
      <c r="BC414" s="93">
        <f t="shared" si="1320"/>
        <v>0.16725705404161512</v>
      </c>
      <c r="BD414" s="93">
        <f t="shared" si="1320"/>
        <v>0.16953942045545167</v>
      </c>
      <c r="BE414" s="93">
        <f t="shared" si="1320"/>
        <v>0.16293760780525185</v>
      </c>
      <c r="BF414" s="93">
        <f t="shared" si="1320"/>
        <v>0.16154030073152129</v>
      </c>
      <c r="BJ414" s="116">
        <f t="shared" si="1276"/>
        <v>405</v>
      </c>
    </row>
    <row r="415" spans="1:62" hidden="1" outlineLevel="2">
      <c r="B415" s="13" t="s">
        <v>154</v>
      </c>
      <c r="C415" s="93">
        <f>C368/(C$20)</f>
        <v>9.942684240722402E-2</v>
      </c>
      <c r="D415" s="93">
        <f t="shared" ref="D415:M415" si="1323">D368/(D$20)</f>
        <v>0.12154766940695301</v>
      </c>
      <c r="E415" s="93">
        <f t="shared" si="1323"/>
        <v>9.1298431907951574E-2</v>
      </c>
      <c r="F415" s="93">
        <f t="shared" si="1323"/>
        <v>0.12354655701272907</v>
      </c>
      <c r="G415" s="93">
        <f t="shared" si="1323"/>
        <v>0.11532363171605432</v>
      </c>
      <c r="H415" s="93">
        <f t="shared" si="1323"/>
        <v>0.18877298995649192</v>
      </c>
      <c r="I415" s="93">
        <f t="shared" si="1323"/>
        <v>0.25778562004758115</v>
      </c>
      <c r="J415" s="93">
        <f t="shared" si="1323"/>
        <v>0.21677738628896556</v>
      </c>
      <c r="K415" s="93">
        <f t="shared" si="1323"/>
        <v>0.13984070981770963</v>
      </c>
      <c r="L415" s="93">
        <f t="shared" si="1323"/>
        <v>0.11866926965765912</v>
      </c>
      <c r="M415" s="93">
        <f t="shared" si="1323"/>
        <v>0.11213206594594563</v>
      </c>
      <c r="O415" s="93">
        <f>O368/(4*O$20)</f>
        <v>9.109842002406951E-2</v>
      </c>
      <c r="P415" s="93">
        <f t="shared" ref="P415:BF415" si="1324">P368/(4*P$20)</f>
        <v>0.10564764071165419</v>
      </c>
      <c r="Q415" s="93">
        <f t="shared" si="1324"/>
        <v>0.10406640255368822</v>
      </c>
      <c r="R415" s="93">
        <f t="shared" si="1324"/>
        <v>7.9384576775589272E-2</v>
      </c>
      <c r="S415" s="93">
        <f t="shared" si="1324"/>
        <v>7.2568446420278876E-2</v>
      </c>
      <c r="T415" s="93">
        <f t="shared" si="1324"/>
        <v>8.66908882197195E-2</v>
      </c>
      <c r="U415" s="93">
        <f t="shared" si="1324"/>
        <v>7.3844545864150041E-2</v>
      </c>
      <c r="V415" s="93">
        <f t="shared" si="1324"/>
        <v>0.107461320258502</v>
      </c>
      <c r="W415" s="93">
        <f t="shared" si="1324"/>
        <v>8.1707641558040348E-2</v>
      </c>
      <c r="X415" s="93">
        <f t="shared" si="1324"/>
        <v>8.6710682634716776E-2</v>
      </c>
      <c r="Y415" s="93">
        <f t="shared" si="1324"/>
        <v>8.2934445996235201E-2</v>
      </c>
      <c r="Z415" s="93">
        <f t="shared" si="1324"/>
        <v>0.10076202507143987</v>
      </c>
      <c r="AA415" s="93">
        <f t="shared" si="1324"/>
        <v>9.733402236958133E-2</v>
      </c>
      <c r="AB415" s="93">
        <f t="shared" si="1324"/>
        <v>0.11499410823023308</v>
      </c>
      <c r="AC415" s="93">
        <f t="shared" si="1324"/>
        <v>9.773171321955082E-2</v>
      </c>
      <c r="AD415" s="93">
        <f t="shared" si="1324"/>
        <v>0.11756959336095453</v>
      </c>
      <c r="AE415" s="93">
        <f t="shared" si="1324"/>
        <v>9.4650255595998559E-2</v>
      </c>
      <c r="AF415" s="93">
        <f t="shared" si="1324"/>
        <v>0.10846633324695837</v>
      </c>
      <c r="AG415" s="93">
        <f t="shared" si="1324"/>
        <v>0.10111410602984032</v>
      </c>
      <c r="AH415" s="93">
        <f t="shared" si="1324"/>
        <v>0.10948666245103252</v>
      </c>
      <c r="AI415" s="93">
        <f t="shared" si="1324"/>
        <v>0.13175109866433832</v>
      </c>
      <c r="AJ415" s="93">
        <f t="shared" si="1324"/>
        <v>0.23110759984106066</v>
      </c>
      <c r="AK415" s="93">
        <f t="shared" si="1324"/>
        <v>0.21773092656152476</v>
      </c>
      <c r="AL415" s="93">
        <f t="shared" si="1324"/>
        <v>0.24679140360583179</v>
      </c>
      <c r="AM415" s="93">
        <f t="shared" si="1324"/>
        <v>0.25893790472855932</v>
      </c>
      <c r="AN415" s="93">
        <f t="shared" si="1324"/>
        <v>0.31683371540280353</v>
      </c>
      <c r="AO415" s="93">
        <f t="shared" si="1324"/>
        <v>0.28181394560704909</v>
      </c>
      <c r="AP415" s="93">
        <f t="shared" si="1324"/>
        <v>0.26180143547865586</v>
      </c>
      <c r="AQ415" s="93">
        <f t="shared" si="1324"/>
        <v>0.23553639676473201</v>
      </c>
      <c r="AR415" s="93">
        <f t="shared" ref="AR415:AS415" si="1325">AR368/(4*AR$20)</f>
        <v>0.24365372888470035</v>
      </c>
      <c r="AS415" s="93">
        <f t="shared" si="1325"/>
        <v>0.19376290395905166</v>
      </c>
      <c r="AT415" s="93">
        <f t="shared" ref="AT415" si="1326">AT368/(4*AT$20)</f>
        <v>0.19620819255743163</v>
      </c>
      <c r="AU415" s="93">
        <f t="shared" si="1324"/>
        <v>0.17554564360253708</v>
      </c>
      <c r="AV415" s="93">
        <f t="shared" si="1324"/>
        <v>0.16102855981425096</v>
      </c>
      <c r="AW415" s="93">
        <f t="shared" si="1324"/>
        <v>0.1427218553363184</v>
      </c>
      <c r="AX415" s="93">
        <f t="shared" si="1324"/>
        <v>0.13006927622497708</v>
      </c>
      <c r="AY415" s="93">
        <f t="shared" si="1324"/>
        <v>0.12602136969447697</v>
      </c>
      <c r="AZ415" s="93">
        <f t="shared" si="1324"/>
        <v>0.12339317237316057</v>
      </c>
      <c r="BA415" s="93">
        <f t="shared" si="1324"/>
        <v>0.11497586092096335</v>
      </c>
      <c r="BB415" s="93">
        <f t="shared" si="1324"/>
        <v>0.11147887081279564</v>
      </c>
      <c r="BC415" s="93">
        <f t="shared" si="1324"/>
        <v>0.11348989225302029</v>
      </c>
      <c r="BD415" s="93">
        <f t="shared" si="1324"/>
        <v>0.11503855948187018</v>
      </c>
      <c r="BE415" s="93">
        <f t="shared" si="1324"/>
        <v>0.11055899351893396</v>
      </c>
      <c r="BF415" s="93">
        <f t="shared" si="1324"/>
        <v>0.10961087070192793</v>
      </c>
      <c r="BJ415" s="116">
        <f t="shared" si="1276"/>
        <v>406</v>
      </c>
    </row>
    <row r="416" spans="1:62" hidden="1" outlineLevel="2">
      <c r="B416" s="13" t="s">
        <v>155</v>
      </c>
      <c r="C416" s="93">
        <f>C372/(C$20)</f>
        <v>7.454480645753768E-2</v>
      </c>
      <c r="D416" s="93">
        <f t="shared" ref="D416:M416" si="1327">D372/(D$20)</f>
        <v>5.9092944702792416E-2</v>
      </c>
      <c r="E416" s="93">
        <f t="shared" si="1327"/>
        <v>8.4785604279808705E-2</v>
      </c>
      <c r="F416" s="93">
        <f t="shared" si="1327"/>
        <v>7.3064624948973686E-2</v>
      </c>
      <c r="G416" s="93">
        <f t="shared" si="1327"/>
        <v>8.8839459496084933E-2</v>
      </c>
      <c r="H416" s="93">
        <f t="shared" si="1327"/>
        <v>0.14337974563084191</v>
      </c>
      <c r="I416" s="93">
        <f t="shared" si="1327"/>
        <v>0.24177267382374049</v>
      </c>
      <c r="J416" s="93">
        <f t="shared" si="1327"/>
        <v>0.1176285007321729</v>
      </c>
      <c r="K416" s="93">
        <f t="shared" si="1327"/>
        <v>9.2525807998274118E-2</v>
      </c>
      <c r="L416" s="93">
        <f t="shared" si="1327"/>
        <v>7.8517693981623823E-2</v>
      </c>
      <c r="M416" s="93">
        <f t="shared" si="1327"/>
        <v>7.4192343686533962E-2</v>
      </c>
      <c r="O416" s="93">
        <f>O372/(4*O$20)</f>
        <v>6.7007099402678544E-2</v>
      </c>
      <c r="P416" s="93">
        <f t="shared" ref="P416:BF416" si="1328">P372/(4*P$20)</f>
        <v>6.6687807830643445E-2</v>
      </c>
      <c r="Q416" s="93">
        <f t="shared" si="1328"/>
        <v>7.0073804253618754E-2</v>
      </c>
      <c r="R416" s="93">
        <f t="shared" si="1328"/>
        <v>5.9518212267192359E-2</v>
      </c>
      <c r="S416" s="93">
        <f t="shared" si="1328"/>
        <v>5.934372435249325E-2</v>
      </c>
      <c r="T416" s="93">
        <f t="shared" si="1328"/>
        <v>5.9903446091956372E-2</v>
      </c>
      <c r="U416" s="93">
        <f t="shared" si="1328"/>
        <v>4.4328550805040196E-2</v>
      </c>
      <c r="V416" s="93">
        <f t="shared" si="1328"/>
        <v>5.2244571094684174E-2</v>
      </c>
      <c r="W416" s="93">
        <f t="shared" si="1328"/>
        <v>5.1733180775126869E-2</v>
      </c>
      <c r="X416" s="93">
        <f t="shared" si="1328"/>
        <v>5.6703615298259374E-2</v>
      </c>
      <c r="Y416" s="93">
        <f t="shared" si="1328"/>
        <v>7.4833808990940817E-2</v>
      </c>
      <c r="Z416" s="93">
        <f t="shared" si="1328"/>
        <v>9.3574106428822496E-2</v>
      </c>
      <c r="AA416" s="93">
        <f t="shared" si="1328"/>
        <v>9.1135626821094162E-2</v>
      </c>
      <c r="AB416" s="93">
        <f t="shared" si="1328"/>
        <v>9.1506420588683149E-2</v>
      </c>
      <c r="AC416" s="93">
        <f t="shared" si="1328"/>
        <v>8.4166436424469457E-2</v>
      </c>
      <c r="AD416" s="93">
        <f t="shared" si="1328"/>
        <v>6.952988777693285E-2</v>
      </c>
      <c r="AE416" s="93">
        <f t="shared" si="1328"/>
        <v>0.10052430835584401</v>
      </c>
      <c r="AF416" s="93">
        <f t="shared" si="1328"/>
        <v>9.2228974861176455E-2</v>
      </c>
      <c r="AG416" s="93">
        <f t="shared" si="1328"/>
        <v>8.3666991448410721E-2</v>
      </c>
      <c r="AH416" s="93">
        <f t="shared" si="1328"/>
        <v>8.4342955294096564E-2</v>
      </c>
      <c r="AI416" s="93">
        <f t="shared" si="1328"/>
        <v>0.10693465750894886</v>
      </c>
      <c r="AJ416" s="93">
        <f t="shared" si="1328"/>
        <v>0.18250962200634127</v>
      </c>
      <c r="AK416" s="93">
        <f t="shared" si="1328"/>
        <v>0.18596418159100375</v>
      </c>
      <c r="AL416" s="93">
        <f t="shared" si="1328"/>
        <v>0.1874467776403714</v>
      </c>
      <c r="AM416" s="93">
        <f t="shared" si="1328"/>
        <v>0.23780238389014108</v>
      </c>
      <c r="AN416" s="93">
        <f t="shared" si="1328"/>
        <v>0.24556496034251624</v>
      </c>
      <c r="AO416" s="93">
        <f t="shared" si="1328"/>
        <v>0.27141503244149595</v>
      </c>
      <c r="AP416" s="93">
        <f t="shared" si="1328"/>
        <v>0.24553903765029667</v>
      </c>
      <c r="AQ416" s="93">
        <f t="shared" si="1328"/>
        <v>0.20764732023820101</v>
      </c>
      <c r="AR416" s="93">
        <f t="shared" ref="AR416:AS416" si="1329">AR372/(4*AR$20)</f>
        <v>0.15462814106168477</v>
      </c>
      <c r="AS416" s="93">
        <f t="shared" si="1329"/>
        <v>0.13282940871737478</v>
      </c>
      <c r="AT416" s="93">
        <f t="shared" ref="AT416" si="1330">AT372/(4*AT$20)</f>
        <v>0.10646717315400611</v>
      </c>
      <c r="AU416" s="93">
        <f t="shared" si="1328"/>
        <v>9.974091858363969E-2</v>
      </c>
      <c r="AV416" s="93">
        <f t="shared" si="1328"/>
        <v>9.6014121128672983E-2</v>
      </c>
      <c r="AW416" s="93">
        <f t="shared" si="1328"/>
        <v>8.9522772653120072E-2</v>
      </c>
      <c r="AX416" s="93">
        <f t="shared" si="1328"/>
        <v>8.6060524822526394E-2</v>
      </c>
      <c r="AY416" s="93">
        <f t="shared" si="1328"/>
        <v>8.3382221609361623E-2</v>
      </c>
      <c r="AZ416" s="93">
        <f t="shared" si="1328"/>
        <v>8.1643271048750965E-2</v>
      </c>
      <c r="BA416" s="93">
        <f t="shared" si="1328"/>
        <v>7.6073944746682637E-2</v>
      </c>
      <c r="BB416" s="93">
        <f t="shared" si="1328"/>
        <v>7.3760156181521819E-2</v>
      </c>
      <c r="BC416" s="93">
        <f t="shared" si="1328"/>
        <v>7.5090751427363989E-2</v>
      </c>
      <c r="BD416" s="93">
        <f t="shared" si="1328"/>
        <v>7.6115429340230509E-2</v>
      </c>
      <c r="BE416" s="93">
        <f t="shared" si="1328"/>
        <v>7.3151518038989741E-2</v>
      </c>
      <c r="BF416" s="93">
        <f t="shared" si="1328"/>
        <v>7.252419120519836E-2</v>
      </c>
      <c r="BJ416" s="116">
        <f t="shared" si="1276"/>
        <v>407</v>
      </c>
    </row>
    <row r="417" spans="1:62" hidden="1" outlineLevel="2">
      <c r="B417" s="13" t="s">
        <v>156</v>
      </c>
      <c r="C417" s="93">
        <f>C355/(C$20)</f>
        <v>7.457959922518638E-3</v>
      </c>
      <c r="D417" s="93">
        <f t="shared" ref="D417:M417" si="1331">D355/(D$20)</f>
        <v>2.0877288907530069E-2</v>
      </c>
      <c r="E417" s="93">
        <f t="shared" si="1331"/>
        <v>1.5934475957950753E-2</v>
      </c>
      <c r="F417" s="93">
        <f t="shared" si="1331"/>
        <v>1.9832788970827086E-2</v>
      </c>
      <c r="G417" s="93">
        <f t="shared" si="1331"/>
        <v>1.7452991107285484E-2</v>
      </c>
      <c r="H417" s="93">
        <f t="shared" si="1331"/>
        <v>0</v>
      </c>
      <c r="I417" s="93">
        <f t="shared" si="1331"/>
        <v>0</v>
      </c>
      <c r="J417" s="93">
        <f t="shared" si="1331"/>
        <v>0</v>
      </c>
      <c r="K417" s="93">
        <f t="shared" si="1331"/>
        <v>1.5211425337510858E-2</v>
      </c>
      <c r="L417" s="93">
        <f t="shared" si="1331"/>
        <v>1.3684949130042338E-2</v>
      </c>
      <c r="M417" s="93">
        <f t="shared" si="1331"/>
        <v>1.2931078304801703E-2</v>
      </c>
      <c r="O417" s="93">
        <f>O355/(4*O$20)</f>
        <v>3.4888098839584408E-2</v>
      </c>
      <c r="P417" s="93">
        <f t="shared" ref="P417:BF417" si="1332">P355/(4*P$20)</f>
        <v>3.5113725258829033E-2</v>
      </c>
      <c r="Q417" s="93">
        <f t="shared" si="1332"/>
        <v>6.781268759775895E-3</v>
      </c>
      <c r="R417" s="93">
        <f t="shared" si="1332"/>
        <v>5.9545991577766568E-3</v>
      </c>
      <c r="S417" s="93">
        <f t="shared" si="1332"/>
        <v>3.7948471363876721E-3</v>
      </c>
      <c r="T417" s="93">
        <f t="shared" si="1332"/>
        <v>7.1119811290327297E-3</v>
      </c>
      <c r="U417" s="93">
        <f t="shared" si="1332"/>
        <v>1.2779495918861511E-2</v>
      </c>
      <c r="V417" s="93">
        <f t="shared" si="1332"/>
        <v>1.8457787305735232E-2</v>
      </c>
      <c r="W417" s="93">
        <f t="shared" si="1332"/>
        <v>5.956064929280489E-3</v>
      </c>
      <c r="X417" s="93">
        <f t="shared" si="1332"/>
        <v>1.0080132810855243E-2</v>
      </c>
      <c r="Y417" s="93">
        <f t="shared" si="1332"/>
        <v>1.6145322796577578E-2</v>
      </c>
      <c r="Z417" s="93">
        <f t="shared" si="1332"/>
        <v>1.7586173523703771E-2</v>
      </c>
      <c r="AA417" s="93">
        <f t="shared" si="1332"/>
        <v>1.5029521751532748E-2</v>
      </c>
      <c r="AB417" s="93">
        <f t="shared" si="1332"/>
        <v>1.7795168062904074E-2</v>
      </c>
      <c r="AC417" s="93">
        <f t="shared" si="1332"/>
        <v>3.9427629986831685E-2</v>
      </c>
      <c r="AD417" s="93">
        <f t="shared" si="1332"/>
        <v>1.8873313760362619E-2</v>
      </c>
      <c r="AE417" s="93">
        <f t="shared" si="1332"/>
        <v>2.1021874437758006E-2</v>
      </c>
      <c r="AF417" s="93">
        <f t="shared" si="1332"/>
        <v>1.3505724557060348E-2</v>
      </c>
      <c r="AG417" s="93">
        <f t="shared" si="1332"/>
        <v>1.2871251882257836E-2</v>
      </c>
      <c r="AH417" s="93">
        <f t="shared" si="1332"/>
        <v>1.6569628598144676E-2</v>
      </c>
      <c r="AI417" s="93">
        <f t="shared" si="1332"/>
        <v>1.6105842538103893E-2</v>
      </c>
      <c r="AJ417" s="93">
        <f t="shared" si="1332"/>
        <v>0</v>
      </c>
      <c r="AK417" s="93">
        <f t="shared" si="1332"/>
        <v>1.1793067808148872E-2</v>
      </c>
      <c r="AL417" s="93">
        <f t="shared" si="1332"/>
        <v>0</v>
      </c>
      <c r="AM417" s="93">
        <f t="shared" si="1332"/>
        <v>0</v>
      </c>
      <c r="AN417" s="93">
        <f t="shared" si="1332"/>
        <v>0</v>
      </c>
      <c r="AO417" s="93">
        <f t="shared" si="1332"/>
        <v>0</v>
      </c>
      <c r="AP417" s="93">
        <f t="shared" si="1332"/>
        <v>0</v>
      </c>
      <c r="AQ417" s="93">
        <f t="shared" si="1332"/>
        <v>0</v>
      </c>
      <c r="AR417" s="93">
        <f t="shared" ref="AR417:AS417" si="1333">AR355/(4*AR$20)</f>
        <v>0</v>
      </c>
      <c r="AS417" s="93">
        <f t="shared" si="1333"/>
        <v>0</v>
      </c>
      <c r="AT417" s="93">
        <f t="shared" ref="AT417" si="1334">AT355/(4*AT$20)</f>
        <v>0</v>
      </c>
      <c r="AU417" s="93">
        <f t="shared" si="1332"/>
        <v>6.4173903568025409E-3</v>
      </c>
      <c r="AV417" s="93">
        <f t="shared" si="1332"/>
        <v>1.087894814157778E-2</v>
      </c>
      <c r="AW417" s="93">
        <f t="shared" si="1332"/>
        <v>1.2981328829973774E-2</v>
      </c>
      <c r="AX417" s="93">
        <f t="shared" si="1332"/>
        <v>1.4148520030965618E-2</v>
      </c>
      <c r="AY417" s="93">
        <f t="shared" si="1332"/>
        <v>1.4532793860974676E-2</v>
      </c>
      <c r="AZ417" s="93">
        <f t="shared" si="1332"/>
        <v>1.4229709947593506E-2</v>
      </c>
      <c r="BA417" s="93">
        <f t="shared" si="1332"/>
        <v>1.3259024955873687E-2</v>
      </c>
      <c r="BB417" s="93">
        <f t="shared" si="1332"/>
        <v>1.285575179276589E-2</v>
      </c>
      <c r="BC417" s="93">
        <f t="shared" si="1332"/>
        <v>1.3087662936976109E-2</v>
      </c>
      <c r="BD417" s="93">
        <f t="shared" si="1332"/>
        <v>1.3266255358647819E-2</v>
      </c>
      <c r="BE417" s="93">
        <f t="shared" si="1332"/>
        <v>1.2749671473836703E-2</v>
      </c>
      <c r="BF417" s="93">
        <f t="shared" si="1332"/>
        <v>1.2640333879047498E-2</v>
      </c>
      <c r="BJ417" s="116">
        <f t="shared" si="1276"/>
        <v>408</v>
      </c>
    </row>
    <row r="418" spans="1:62" hidden="1" outlineLevel="2">
      <c r="B418" s="13" t="s">
        <v>157</v>
      </c>
      <c r="C418" s="93">
        <f t="shared" ref="C418:M418" si="1335">C371/C360</f>
        <v>9.8554792775665645E-2</v>
      </c>
      <c r="D418" s="93">
        <f t="shared" si="1335"/>
        <v>9.2460022345446882E-2</v>
      </c>
      <c r="E418" s="93">
        <f t="shared" si="1335"/>
        <v>6.8793497035383483E-2</v>
      </c>
      <c r="F418" s="93">
        <f t="shared" si="1335"/>
        <v>6.0033987712921871E-2</v>
      </c>
      <c r="G418" s="93">
        <f t="shared" si="1335"/>
        <v>5.1517218321631558E-2</v>
      </c>
      <c r="H418" s="93">
        <f t="shared" si="1335"/>
        <v>4.1728551828864842E-3</v>
      </c>
      <c r="I418" s="93">
        <f t="shared" si="1335"/>
        <v>1.514938055068437E-3</v>
      </c>
      <c r="J418" s="93">
        <f t="shared" si="1335"/>
        <v>1.6921008287824092E-3</v>
      </c>
      <c r="K418" s="93">
        <f t="shared" si="1335"/>
        <v>1.8127522963488065E-3</v>
      </c>
      <c r="L418" s="93">
        <f t="shared" si="1335"/>
        <v>1.9474574665848557E-3</v>
      </c>
      <c r="M418" s="93">
        <f t="shared" si="1335"/>
        <v>2.059608166159293E-3</v>
      </c>
      <c r="O418" s="93">
        <f>O371/O360</f>
        <v>8.9988266692891797E-2</v>
      </c>
      <c r="P418" s="93">
        <f t="shared" ref="P418:BF418" si="1336">P371/P360</f>
        <v>8.8306018022752675E-2</v>
      </c>
      <c r="Q418" s="93">
        <f t="shared" si="1336"/>
        <v>9.7511006517035023E-2</v>
      </c>
      <c r="R418" s="93">
        <f t="shared" si="1336"/>
        <v>9.8554792775665645E-2</v>
      </c>
      <c r="S418" s="93">
        <f t="shared" si="1336"/>
        <v>9.9015453568769243E-2</v>
      </c>
      <c r="T418" s="93">
        <f t="shared" si="1336"/>
        <v>9.9225610801197489E-2</v>
      </c>
      <c r="U418" s="93">
        <f t="shared" si="1336"/>
        <v>0.10279084826271657</v>
      </c>
      <c r="V418" s="93">
        <f t="shared" si="1336"/>
        <v>9.2460022345446882E-2</v>
      </c>
      <c r="W418" s="93">
        <f t="shared" si="1336"/>
        <v>9.7010340612935148E-2</v>
      </c>
      <c r="X418" s="93">
        <f t="shared" si="1336"/>
        <v>9.3685607127503442E-2</v>
      </c>
      <c r="Y418" s="93">
        <f t="shared" si="1336"/>
        <v>8.2894314917646372E-2</v>
      </c>
      <c r="Z418" s="93">
        <f t="shared" si="1336"/>
        <v>6.8793497035383483E-2</v>
      </c>
      <c r="AA418" s="93">
        <f t="shared" si="1336"/>
        <v>6.5971360389041958E-2</v>
      </c>
      <c r="AB418" s="93">
        <f t="shared" si="1336"/>
        <v>6.3959486969877077E-2</v>
      </c>
      <c r="AC418" s="93">
        <f t="shared" si="1336"/>
        <v>8.1820656527490473E-2</v>
      </c>
      <c r="AD418" s="93">
        <f t="shared" si="1336"/>
        <v>6.0033987712921871E-2</v>
      </c>
      <c r="AE418" s="93">
        <f t="shared" si="1336"/>
        <v>6.0524633118925517E-2</v>
      </c>
      <c r="AF418" s="93">
        <f t="shared" si="1336"/>
        <v>5.4531060121820914E-2</v>
      </c>
      <c r="AG418" s="93">
        <f t="shared" si="1336"/>
        <v>5.3060564023233829E-2</v>
      </c>
      <c r="AH418" s="93">
        <f t="shared" si="1336"/>
        <v>5.1517218321631558E-2</v>
      </c>
      <c r="AI418" s="93">
        <f t="shared" si="1336"/>
        <v>8.0445247543977152E-3</v>
      </c>
      <c r="AJ418" s="93">
        <f t="shared" si="1336"/>
        <v>5.0350816379470175E-3</v>
      </c>
      <c r="AK418" s="93">
        <f t="shared" si="1336"/>
        <v>0</v>
      </c>
      <c r="AL418" s="93">
        <f t="shared" si="1336"/>
        <v>4.1728551828864842E-3</v>
      </c>
      <c r="AM418" s="93">
        <f t="shared" si="1336"/>
        <v>1.9270229023027623E-3</v>
      </c>
      <c r="AN418" s="93">
        <f t="shared" si="1336"/>
        <v>6.5370761229026483E-3</v>
      </c>
      <c r="AO418" s="93">
        <f t="shared" si="1336"/>
        <v>1.6573188703571909E-3</v>
      </c>
      <c r="AP418" s="93">
        <f t="shared" si="1336"/>
        <v>1.514938055068437E-3</v>
      </c>
      <c r="AQ418" s="93">
        <f t="shared" si="1336"/>
        <v>1.3436894115634154E-3</v>
      </c>
      <c r="AR418" s="93">
        <f t="shared" ref="AR418:AS418" si="1337">AR371/AR360</f>
        <v>2.0129542822981154E-3</v>
      </c>
      <c r="AS418" s="93">
        <f t="shared" si="1337"/>
        <v>3.3524984937882605E-3</v>
      </c>
      <c r="AT418" s="93">
        <f t="shared" ref="AT418" si="1338">AT371/AT360</f>
        <v>1.6921008287824092E-3</v>
      </c>
      <c r="AU418" s="93">
        <f t="shared" si="1336"/>
        <v>1.7250051913157715E-3</v>
      </c>
      <c r="AV418" s="93">
        <f t="shared" si="1336"/>
        <v>1.7554044623115204E-3</v>
      </c>
      <c r="AW418" s="93">
        <f t="shared" si="1336"/>
        <v>1.7843664491834859E-3</v>
      </c>
      <c r="AX418" s="93">
        <f t="shared" si="1336"/>
        <v>1.8127522963488065E-3</v>
      </c>
      <c r="AY418" s="93">
        <f t="shared" si="1336"/>
        <v>1.8473328019836394E-3</v>
      </c>
      <c r="AZ418" s="93">
        <f t="shared" si="1336"/>
        <v>1.8821454284280044E-3</v>
      </c>
      <c r="BA418" s="93">
        <f t="shared" si="1336"/>
        <v>1.9151004360726412E-3</v>
      </c>
      <c r="BB418" s="93">
        <f t="shared" si="1336"/>
        <v>1.9474574665848557E-3</v>
      </c>
      <c r="BC418" s="93">
        <f t="shared" si="1336"/>
        <v>1.9756804255307726E-3</v>
      </c>
      <c r="BD418" s="93">
        <f t="shared" si="1336"/>
        <v>2.0048189511639881E-3</v>
      </c>
      <c r="BE418" s="93">
        <f t="shared" si="1336"/>
        <v>2.0323393462891113E-3</v>
      </c>
      <c r="BF418" s="93">
        <f t="shared" si="1336"/>
        <v>2.059608166159293E-3</v>
      </c>
      <c r="BJ418" s="116">
        <f t="shared" si="1276"/>
        <v>409</v>
      </c>
    </row>
    <row r="419" spans="1:62" hidden="1" outlineLevel="2">
      <c r="B419" s="11"/>
      <c r="BJ419" s="116">
        <f t="shared" si="1276"/>
        <v>410</v>
      </c>
    </row>
    <row r="420" spans="1:62" outlineLevel="1" collapsed="1">
      <c r="A420" s="72" t="s">
        <v>322</v>
      </c>
      <c r="B420" s="19" t="s">
        <v>158</v>
      </c>
      <c r="BJ420" s="116">
        <f t="shared" si="1276"/>
        <v>411</v>
      </c>
    </row>
    <row r="421" spans="1:62" hidden="1" outlineLevel="2">
      <c r="B421" s="13" t="s">
        <v>159</v>
      </c>
      <c r="C421" s="50">
        <f>C324</f>
        <v>773.87</v>
      </c>
      <c r="D421" s="50">
        <f t="shared" ref="D421:M421" si="1339">D324</f>
        <v>944.66499999999996</v>
      </c>
      <c r="E421" s="50">
        <f t="shared" si="1339"/>
        <v>1047.7560000000001</v>
      </c>
      <c r="F421" s="50">
        <f t="shared" si="1339"/>
        <v>1086.6769999999999</v>
      </c>
      <c r="G421" s="50">
        <f t="shared" si="1339"/>
        <v>1145.0999999999999</v>
      </c>
      <c r="H421" s="50">
        <f t="shared" si="1339"/>
        <v>970.45900000000006</v>
      </c>
      <c r="I421" s="50">
        <f t="shared" si="1339"/>
        <v>866.13099999999986</v>
      </c>
      <c r="J421" s="50">
        <f t="shared" si="1339"/>
        <v>842.94299999999998</v>
      </c>
      <c r="K421" s="50">
        <f t="shared" si="1339"/>
        <v>844.3846984786619</v>
      </c>
      <c r="L421" s="50">
        <f t="shared" si="1339"/>
        <v>787.74233390563859</v>
      </c>
      <c r="M421" s="50">
        <f t="shared" si="1339"/>
        <v>737.84662232095684</v>
      </c>
      <c r="O421" s="50">
        <f>O324</f>
        <v>172.274</v>
      </c>
      <c r="P421" s="50">
        <f t="shared" ref="P421:BF421" si="1340">P324</f>
        <v>176.20099999999999</v>
      </c>
      <c r="Q421" s="50">
        <f t="shared" si="1340"/>
        <v>203.929</v>
      </c>
      <c r="R421" s="50">
        <f t="shared" si="1340"/>
        <v>221.46600000000001</v>
      </c>
      <c r="S421" s="50">
        <f t="shared" si="1340"/>
        <v>229.67500000000001</v>
      </c>
      <c r="T421" s="50">
        <f t="shared" si="1340"/>
        <v>228.61</v>
      </c>
      <c r="U421" s="50">
        <f t="shared" si="1340"/>
        <v>246.62299999999999</v>
      </c>
      <c r="V421" s="50">
        <f t="shared" si="1340"/>
        <v>239.75700000000001</v>
      </c>
      <c r="W421" s="50">
        <f t="shared" si="1340"/>
        <v>247.62100000000001</v>
      </c>
      <c r="X421" s="50">
        <f t="shared" si="1340"/>
        <v>261.01600000000002</v>
      </c>
      <c r="Y421" s="50">
        <f t="shared" si="1340"/>
        <v>265.637</v>
      </c>
      <c r="Z421" s="50">
        <f t="shared" si="1340"/>
        <v>273.48200000000003</v>
      </c>
      <c r="AA421" s="50">
        <f t="shared" si="1340"/>
        <v>269.36500000000001</v>
      </c>
      <c r="AB421" s="50">
        <f t="shared" si="1340"/>
        <v>266.21000000000004</v>
      </c>
      <c r="AC421" s="50">
        <f t="shared" si="1340"/>
        <v>273.44399999999996</v>
      </c>
      <c r="AD421" s="50">
        <f t="shared" si="1340"/>
        <v>277.65799999999996</v>
      </c>
      <c r="AE421" s="50">
        <f t="shared" si="1340"/>
        <v>282.12700000000001</v>
      </c>
      <c r="AF421" s="50">
        <f t="shared" si="1340"/>
        <v>282.82000000000011</v>
      </c>
      <c r="AG421" s="50">
        <f t="shared" si="1340"/>
        <v>286.5809999999999</v>
      </c>
      <c r="AH421" s="50">
        <f t="shared" si="1340"/>
        <v>293.572</v>
      </c>
      <c r="AI421" s="50">
        <f t="shared" si="1340"/>
        <v>281.01900000000006</v>
      </c>
      <c r="AJ421" s="50">
        <f t="shared" si="1340"/>
        <v>218.196</v>
      </c>
      <c r="AK421" s="50">
        <f t="shared" si="1340"/>
        <v>240.107</v>
      </c>
      <c r="AL421" s="50">
        <f t="shared" si="1340"/>
        <v>231.13700000000003</v>
      </c>
      <c r="AM421" s="50">
        <f t="shared" si="1340"/>
        <v>215.81799999999998</v>
      </c>
      <c r="AN421" s="50">
        <f t="shared" si="1340"/>
        <v>213.41300000000001</v>
      </c>
      <c r="AO421" s="50">
        <f t="shared" si="1340"/>
        <v>220.71299999999999</v>
      </c>
      <c r="AP421" s="50">
        <f t="shared" si="1340"/>
        <v>216.18699999999995</v>
      </c>
      <c r="AQ421" s="50">
        <f t="shared" si="1340"/>
        <v>203.672</v>
      </c>
      <c r="AR421" s="50">
        <f t="shared" ref="AR421:AS421" si="1341">AR324</f>
        <v>208.09</v>
      </c>
      <c r="AS421" s="50">
        <f t="shared" si="1341"/>
        <v>217.07499999999999</v>
      </c>
      <c r="AT421" s="50">
        <f t="shared" ref="AT421" si="1342">AT324</f>
        <v>214.10599999999999</v>
      </c>
      <c r="AU421" s="50">
        <f t="shared" si="1340"/>
        <v>216.88955749999997</v>
      </c>
      <c r="AV421" s="50">
        <f t="shared" si="1340"/>
        <v>212.75240320875</v>
      </c>
      <c r="AW421" s="50">
        <f t="shared" si="1340"/>
        <v>209.0680568948394</v>
      </c>
      <c r="AX421" s="50">
        <f t="shared" si="1340"/>
        <v>205.6746808750726</v>
      </c>
      <c r="AY421" s="50">
        <f t="shared" si="1340"/>
        <v>202.45402570400751</v>
      </c>
      <c r="AZ421" s="50">
        <f t="shared" si="1340"/>
        <v>198.66425779151527</v>
      </c>
      <c r="BA421" s="50">
        <f t="shared" si="1340"/>
        <v>194.98971463991649</v>
      </c>
      <c r="BB421" s="50">
        <f t="shared" si="1340"/>
        <v>191.63433577019947</v>
      </c>
      <c r="BC421" s="50">
        <f t="shared" si="1340"/>
        <v>188.45032885035738</v>
      </c>
      <c r="BD421" s="50">
        <f t="shared" si="1340"/>
        <v>185.75828117616973</v>
      </c>
      <c r="BE421" s="50">
        <f t="shared" si="1340"/>
        <v>183.05842519441572</v>
      </c>
      <c r="BF421" s="50">
        <f t="shared" si="1340"/>
        <v>180.57958710001395</v>
      </c>
      <c r="BJ421" s="116">
        <f t="shared" si="1276"/>
        <v>412</v>
      </c>
    </row>
    <row r="422" spans="1:62" hidden="1" outlineLevel="2">
      <c r="B422" s="13" t="s">
        <v>362</v>
      </c>
      <c r="C422" s="176">
        <f>-C335</f>
        <v>930.27700000000004</v>
      </c>
      <c r="D422" s="176">
        <f t="shared" ref="D422:M422" si="1343">-D335</f>
        <v>2042.617</v>
      </c>
      <c r="E422" s="176">
        <f t="shared" si="1343"/>
        <v>1518.6279999999997</v>
      </c>
      <c r="F422" s="176">
        <f t="shared" si="1343"/>
        <v>1178.2049999999999</v>
      </c>
      <c r="G422" s="176">
        <f t="shared" si="1343"/>
        <v>1821.3150000000001</v>
      </c>
      <c r="H422" s="176">
        <f t="shared" si="1343"/>
        <v>867.10599999999999</v>
      </c>
      <c r="I422" s="176">
        <f t="shared" si="1343"/>
        <v>395.45500000000004</v>
      </c>
      <c r="J422" s="176">
        <f t="shared" si="1343"/>
        <v>574.46699999999998</v>
      </c>
      <c r="K422" s="176">
        <f t="shared" si="1343"/>
        <v>500</v>
      </c>
      <c r="L422" s="176">
        <f t="shared" si="1343"/>
        <v>393.27199999999999</v>
      </c>
      <c r="M422" s="176">
        <f t="shared" si="1343"/>
        <v>448.78800000000001</v>
      </c>
      <c r="O422" s="176">
        <f>-O335</f>
        <v>150.74</v>
      </c>
      <c r="P422" s="176">
        <f t="shared" ref="P422:BF422" si="1344">-P335</f>
        <v>218.71499999999997</v>
      </c>
      <c r="Q422" s="176">
        <f t="shared" si="1344"/>
        <v>271.49799999999999</v>
      </c>
      <c r="R422" s="176">
        <f t="shared" si="1344"/>
        <v>289.32400000000007</v>
      </c>
      <c r="S422" s="176">
        <f t="shared" si="1344"/>
        <v>358.57400000000001</v>
      </c>
      <c r="T422" s="176">
        <f t="shared" si="1344"/>
        <v>644.67100000000005</v>
      </c>
      <c r="U422" s="176">
        <f t="shared" si="1344"/>
        <v>529.35199999999986</v>
      </c>
      <c r="V422" s="176">
        <f t="shared" si="1344"/>
        <v>510.02000000000004</v>
      </c>
      <c r="W422" s="176">
        <f t="shared" si="1344"/>
        <v>473.68700000000001</v>
      </c>
      <c r="X422" s="176">
        <f t="shared" si="1344"/>
        <v>494.17399999999998</v>
      </c>
      <c r="Y422" s="176">
        <f t="shared" si="1344"/>
        <v>253.90800000000002</v>
      </c>
      <c r="Z422" s="176">
        <f t="shared" si="1344"/>
        <v>296.85899999999981</v>
      </c>
      <c r="AA422" s="176">
        <f t="shared" si="1344"/>
        <v>235.53899999999999</v>
      </c>
      <c r="AB422" s="176">
        <f t="shared" si="1344"/>
        <v>264.82900000000001</v>
      </c>
      <c r="AC422" s="176">
        <f t="shared" si="1344"/>
        <v>280.34300000000007</v>
      </c>
      <c r="AD422" s="176">
        <f t="shared" si="1344"/>
        <v>397.49399999999991</v>
      </c>
      <c r="AE422" s="176">
        <f t="shared" si="1344"/>
        <v>396.46499999999997</v>
      </c>
      <c r="AF422" s="176">
        <f t="shared" si="1344"/>
        <v>466.21499999999997</v>
      </c>
      <c r="AG422" s="176">
        <f t="shared" si="1344"/>
        <v>481.54200000000009</v>
      </c>
      <c r="AH422" s="176">
        <f t="shared" si="1344"/>
        <v>477.09300000000002</v>
      </c>
      <c r="AI422" s="176">
        <f t="shared" si="1344"/>
        <v>364.23399999999998</v>
      </c>
      <c r="AJ422" s="176">
        <f t="shared" si="1344"/>
        <v>202.43800000000005</v>
      </c>
      <c r="AK422" s="176">
        <f t="shared" si="1344"/>
        <v>177.37499999999994</v>
      </c>
      <c r="AL422" s="176">
        <f t="shared" si="1344"/>
        <v>123.05899999999997</v>
      </c>
      <c r="AM422" s="176">
        <f t="shared" si="1344"/>
        <v>129.875</v>
      </c>
      <c r="AN422" s="176">
        <f t="shared" si="1344"/>
        <v>63.359000000000009</v>
      </c>
      <c r="AO422" s="176">
        <f t="shared" si="1344"/>
        <v>91.71599999999998</v>
      </c>
      <c r="AP422" s="176">
        <f t="shared" si="1344"/>
        <v>110.50500000000002</v>
      </c>
      <c r="AQ422" s="176">
        <f t="shared" si="1344"/>
        <v>183.42699999999999</v>
      </c>
      <c r="AR422" s="176">
        <f t="shared" ref="AR422:AS422" si="1345">-AR335</f>
        <v>132.34200000000001</v>
      </c>
      <c r="AS422" s="176">
        <f t="shared" si="1345"/>
        <v>133.09499999999994</v>
      </c>
      <c r="AT422" s="176">
        <f t="shared" ref="AT422" si="1346">-AT335</f>
        <v>125.60300000000009</v>
      </c>
      <c r="AU422" s="176">
        <f t="shared" si="1344"/>
        <v>162.60000000000002</v>
      </c>
      <c r="AV422" s="176">
        <f t="shared" si="1344"/>
        <v>108.968</v>
      </c>
      <c r="AW422" s="176">
        <f t="shared" si="1344"/>
        <v>113.47999999999999</v>
      </c>
      <c r="AX422" s="176">
        <f t="shared" si="1344"/>
        <v>114.952</v>
      </c>
      <c r="AY422" s="176">
        <f t="shared" si="1344"/>
        <v>95.7</v>
      </c>
      <c r="AZ422" s="176">
        <f t="shared" si="1344"/>
        <v>95.156000000000006</v>
      </c>
      <c r="BA422" s="176">
        <f t="shared" si="1344"/>
        <v>100.47199999999999</v>
      </c>
      <c r="BB422" s="176">
        <f t="shared" si="1344"/>
        <v>101.944</v>
      </c>
      <c r="BC422" s="176">
        <f t="shared" si="1344"/>
        <v>112.61799999999999</v>
      </c>
      <c r="BD422" s="176">
        <f t="shared" si="1344"/>
        <v>109.706</v>
      </c>
      <c r="BE422" s="176">
        <f t="shared" si="1344"/>
        <v>113.232</v>
      </c>
      <c r="BF422" s="176">
        <f t="shared" si="1344"/>
        <v>113.232</v>
      </c>
      <c r="BJ422" s="116">
        <f t="shared" si="1276"/>
        <v>413</v>
      </c>
    </row>
    <row r="423" spans="1:62" hidden="1" outlineLevel="2">
      <c r="B423" s="13" t="s">
        <v>29</v>
      </c>
      <c r="C423" s="50">
        <f t="shared" ref="C423:M423" si="1347">C20</f>
        <v>4225.0159999999996</v>
      </c>
      <c r="D423" s="50">
        <f t="shared" si="1347"/>
        <v>6125.0290000000005</v>
      </c>
      <c r="E423" s="50">
        <f t="shared" si="1347"/>
        <v>6933.3940000000002</v>
      </c>
      <c r="F423" s="50">
        <f t="shared" si="1347"/>
        <v>6116.9409999999998</v>
      </c>
      <c r="G423" s="50">
        <f t="shared" si="1347"/>
        <v>6774.1970000000001</v>
      </c>
      <c r="H423" s="50">
        <f t="shared" si="1347"/>
        <v>3856.5209999999993</v>
      </c>
      <c r="I423" s="50">
        <f t="shared" si="1347"/>
        <v>2160.9390000000003</v>
      </c>
      <c r="J423" s="50">
        <f t="shared" si="1347"/>
        <v>2564.2849999999999</v>
      </c>
      <c r="K423" s="50">
        <f t="shared" si="1347"/>
        <v>3259.9877431562268</v>
      </c>
      <c r="L423" s="50">
        <f t="shared" si="1347"/>
        <v>3841.5926997371289</v>
      </c>
      <c r="M423" s="50">
        <f t="shared" si="1347"/>
        <v>4065.5542743657375</v>
      </c>
      <c r="O423" s="50">
        <f t="shared" ref="O423:BF423" si="1348">O20</f>
        <v>905.71000000000015</v>
      </c>
      <c r="P423" s="50">
        <f t="shared" si="1348"/>
        <v>915.27599999999995</v>
      </c>
      <c r="Q423" s="50">
        <f t="shared" si="1348"/>
        <v>1081.1030000000001</v>
      </c>
      <c r="R423" s="50">
        <f t="shared" si="1348"/>
        <v>1322.9270000000001</v>
      </c>
      <c r="S423" s="50">
        <f t="shared" si="1348"/>
        <v>1397.5529999999999</v>
      </c>
      <c r="T423" s="50">
        <f t="shared" si="1348"/>
        <v>1364.2120000000002</v>
      </c>
      <c r="U423" s="50">
        <f t="shared" si="1348"/>
        <v>1631.2850000000001</v>
      </c>
      <c r="V423" s="50">
        <f t="shared" si="1348"/>
        <v>1731.9789999999998</v>
      </c>
      <c r="W423" s="50">
        <f t="shared" si="1348"/>
        <v>1890.4260000000002</v>
      </c>
      <c r="X423" s="50">
        <f t="shared" si="1348"/>
        <v>1743.2310000000002</v>
      </c>
      <c r="Y423" s="50">
        <f t="shared" si="1348"/>
        <v>1729.1850000000002</v>
      </c>
      <c r="Z423" s="50">
        <f t="shared" si="1348"/>
        <v>1570.5519999999997</v>
      </c>
      <c r="AA423" s="50">
        <f t="shared" si="1348"/>
        <v>1535.4780000000001</v>
      </c>
      <c r="AB423" s="50">
        <f t="shared" si="1348"/>
        <v>1457.9659999999999</v>
      </c>
      <c r="AC423" s="50">
        <f t="shared" si="1348"/>
        <v>1516.519</v>
      </c>
      <c r="AD423" s="50">
        <f t="shared" si="1348"/>
        <v>1606.9780000000001</v>
      </c>
      <c r="AE423" s="50">
        <f t="shared" si="1348"/>
        <v>1589.6179999999997</v>
      </c>
      <c r="AF423" s="50">
        <f t="shared" si="1348"/>
        <v>1616.9810000000002</v>
      </c>
      <c r="AG423" s="50">
        <f t="shared" si="1348"/>
        <v>1783.7619999999999</v>
      </c>
      <c r="AH423" s="50">
        <f t="shared" si="1348"/>
        <v>1783.8359999999998</v>
      </c>
      <c r="AI423" s="50">
        <f t="shared" si="1348"/>
        <v>1413.307</v>
      </c>
      <c r="AJ423" s="50">
        <f t="shared" si="1348"/>
        <v>858.18899999999996</v>
      </c>
      <c r="AK423" s="50">
        <f t="shared" si="1348"/>
        <v>847.553</v>
      </c>
      <c r="AL423" s="50">
        <f t="shared" si="1348"/>
        <v>737.47200000000009</v>
      </c>
      <c r="AM423" s="50">
        <f t="shared" si="1348"/>
        <v>594.07100000000003</v>
      </c>
      <c r="AN423" s="50">
        <f t="shared" si="1348"/>
        <v>527.39100000000008</v>
      </c>
      <c r="AO423" s="50">
        <f t="shared" si="1348"/>
        <v>507.529</v>
      </c>
      <c r="AP423" s="50">
        <f t="shared" si="1348"/>
        <v>531.94799999999998</v>
      </c>
      <c r="AQ423" s="50">
        <f t="shared" si="1348"/>
        <v>562.55000000000007</v>
      </c>
      <c r="AR423" s="50">
        <f t="shared" si="1348"/>
        <v>631.35500000000002</v>
      </c>
      <c r="AS423" s="50">
        <f t="shared" si="1348"/>
        <v>662.10300000000007</v>
      </c>
      <c r="AT423" s="50">
        <f t="shared" si="1348"/>
        <v>708.27700000000004</v>
      </c>
      <c r="AU423" s="50">
        <f t="shared" si="1348"/>
        <v>756.04126241092251</v>
      </c>
      <c r="AV423" s="50">
        <f t="shared" si="1348"/>
        <v>785.38707758353485</v>
      </c>
      <c r="AW423" s="50">
        <f t="shared" si="1348"/>
        <v>842.33595279928863</v>
      </c>
      <c r="AX423" s="50">
        <f t="shared" si="1348"/>
        <v>876.22345036248078</v>
      </c>
      <c r="AY423" s="50">
        <f t="shared" si="1348"/>
        <v>904.36844383064067</v>
      </c>
      <c r="AZ423" s="50">
        <f t="shared" si="1348"/>
        <v>923.63092550483555</v>
      </c>
      <c r="BA423" s="50">
        <f t="shared" si="1348"/>
        <v>991.24937258217221</v>
      </c>
      <c r="BB423" s="50">
        <f t="shared" si="1348"/>
        <v>1022.34395781948</v>
      </c>
      <c r="BC423" s="50">
        <f t="shared" si="1348"/>
        <v>1004.2281981016414</v>
      </c>
      <c r="BD423" s="50">
        <f t="shared" si="1348"/>
        <v>990.70911973616444</v>
      </c>
      <c r="BE423" s="50">
        <f t="shared" si="1348"/>
        <v>1030.8501042973219</v>
      </c>
      <c r="BF423" s="50">
        <f t="shared" si="1348"/>
        <v>1039.7668522306101</v>
      </c>
      <c r="BJ423" s="116">
        <f t="shared" si="1276"/>
        <v>414</v>
      </c>
    </row>
    <row r="424" spans="1:62" hidden="1" outlineLevel="2">
      <c r="B424" s="12" t="s">
        <v>160</v>
      </c>
      <c r="C424" s="93">
        <f>C421/C423</f>
        <v>0.18316380340334806</v>
      </c>
      <c r="D424" s="93">
        <f t="shared" ref="D424:M424" si="1349">D421/D423</f>
        <v>0.15423029017495263</v>
      </c>
      <c r="E424" s="93">
        <f t="shared" si="1349"/>
        <v>0.15111733156950263</v>
      </c>
      <c r="F424" s="93">
        <f t="shared" si="1349"/>
        <v>0.17765039747808586</v>
      </c>
      <c r="G424" s="93">
        <f t="shared" si="1349"/>
        <v>0.16903848529943843</v>
      </c>
      <c r="H424" s="93">
        <f t="shared" si="1349"/>
        <v>0.25164105161102462</v>
      </c>
      <c r="I424" s="93">
        <f t="shared" si="1349"/>
        <v>0.40081233204639266</v>
      </c>
      <c r="J424" s="93">
        <f t="shared" si="1349"/>
        <v>0.32872438126027337</v>
      </c>
      <c r="K424" s="93">
        <f t="shared" si="1349"/>
        <v>0.25901468502490527</v>
      </c>
      <c r="L424" s="93">
        <f t="shared" si="1349"/>
        <v>0.20505618254625013</v>
      </c>
      <c r="M424" s="93">
        <f t="shared" si="1349"/>
        <v>0.1814873378946755</v>
      </c>
      <c r="O424" s="93">
        <f>O421/O423</f>
        <v>0.19020878647690759</v>
      </c>
      <c r="P424" s="93">
        <f t="shared" ref="P424:BF424" si="1350">P421/P423</f>
        <v>0.19251132991578496</v>
      </c>
      <c r="Q424" s="93">
        <f t="shared" si="1350"/>
        <v>0.18863050051660202</v>
      </c>
      <c r="R424" s="93">
        <f t="shared" si="1350"/>
        <v>0.16740606246603176</v>
      </c>
      <c r="S424" s="93">
        <f t="shared" si="1350"/>
        <v>0.16434081569715067</v>
      </c>
      <c r="T424" s="93">
        <f t="shared" si="1350"/>
        <v>0.16757659366725991</v>
      </c>
      <c r="U424" s="93">
        <f t="shared" si="1350"/>
        <v>0.1511832696309964</v>
      </c>
      <c r="V424" s="93">
        <f t="shared" si="1350"/>
        <v>0.13842950751712349</v>
      </c>
      <c r="W424" s="93">
        <f t="shared" si="1350"/>
        <v>0.130986878089912</v>
      </c>
      <c r="X424" s="93">
        <f t="shared" si="1350"/>
        <v>0.14973116012737267</v>
      </c>
      <c r="Y424" s="93">
        <f t="shared" si="1350"/>
        <v>0.15361976885064349</v>
      </c>
      <c r="Z424" s="93">
        <f t="shared" si="1350"/>
        <v>0.17413113351229381</v>
      </c>
      <c r="AA424" s="93">
        <f t="shared" si="1350"/>
        <v>0.17542745646632515</v>
      </c>
      <c r="AB424" s="93">
        <f t="shared" si="1350"/>
        <v>0.18258999181050864</v>
      </c>
      <c r="AC424" s="93">
        <f t="shared" si="1350"/>
        <v>0.18031030273936557</v>
      </c>
      <c r="AD424" s="93">
        <f t="shared" si="1350"/>
        <v>0.17278270144333024</v>
      </c>
      <c r="AE424" s="93">
        <f t="shared" si="1350"/>
        <v>0.17748100487035254</v>
      </c>
      <c r="AF424" s="93">
        <f t="shared" si="1350"/>
        <v>0.17490619865044801</v>
      </c>
      <c r="AG424" s="93">
        <f t="shared" si="1350"/>
        <v>0.16066100746624265</v>
      </c>
      <c r="AH424" s="93">
        <f t="shared" si="1350"/>
        <v>0.16457342491125868</v>
      </c>
      <c r="AI424" s="93">
        <f t="shared" si="1350"/>
        <v>0.1988379028760206</v>
      </c>
      <c r="AJ424" s="93">
        <f t="shared" si="1350"/>
        <v>0.25425168581745977</v>
      </c>
      <c r="AK424" s="93">
        <f t="shared" si="1350"/>
        <v>0.28329437805069418</v>
      </c>
      <c r="AL424" s="93">
        <f t="shared" si="1350"/>
        <v>0.31341800095461253</v>
      </c>
      <c r="AM424" s="93">
        <f t="shared" si="1350"/>
        <v>0.36328654319096537</v>
      </c>
      <c r="AN424" s="93">
        <f t="shared" si="1350"/>
        <v>0.40465802412252005</v>
      </c>
      <c r="AO424" s="93">
        <f t="shared" si="1350"/>
        <v>0.43487761290487831</v>
      </c>
      <c r="AP424" s="93">
        <f t="shared" si="1350"/>
        <v>0.40640626527404927</v>
      </c>
      <c r="AQ424" s="93">
        <f t="shared" si="1350"/>
        <v>0.36205137321127007</v>
      </c>
      <c r="AR424" s="93">
        <f t="shared" ref="AR424:AS424" si="1351">AR421/AR423</f>
        <v>0.32959270141204233</v>
      </c>
      <c r="AS424" s="93">
        <f t="shared" si="1351"/>
        <v>0.32785684402577842</v>
      </c>
      <c r="AT424" s="93">
        <f t="shared" ref="AT424" si="1352">AT421/AT423</f>
        <v>0.30229133516971463</v>
      </c>
      <c r="AU424" s="93">
        <f t="shared" si="1350"/>
        <v>0.28687529144687934</v>
      </c>
      <c r="AV424" s="93">
        <f t="shared" si="1350"/>
        <v>0.27088859656736758</v>
      </c>
      <c r="AW424" s="93">
        <f t="shared" si="1350"/>
        <v>0.24820032458552321</v>
      </c>
      <c r="AX424" s="93">
        <f t="shared" si="1350"/>
        <v>0.23472857384721671</v>
      </c>
      <c r="AY424" s="93">
        <f t="shared" si="1350"/>
        <v>0.22386232855103985</v>
      </c>
      <c r="AZ424" s="93">
        <f t="shared" si="1350"/>
        <v>0.21509052188018707</v>
      </c>
      <c r="BA424" s="93">
        <f t="shared" si="1350"/>
        <v>0.19671105983348536</v>
      </c>
      <c r="BB424" s="93">
        <f t="shared" si="1350"/>
        <v>0.18744604915446395</v>
      </c>
      <c r="BC424" s="93">
        <f t="shared" si="1350"/>
        <v>0.18765687839337455</v>
      </c>
      <c r="BD424" s="93">
        <f t="shared" si="1350"/>
        <v>0.18750032423809623</v>
      </c>
      <c r="BE424" s="93">
        <f t="shared" si="1350"/>
        <v>0.17758006176775559</v>
      </c>
      <c r="BF424" s="93">
        <f t="shared" si="1350"/>
        <v>0.1736731525078116</v>
      </c>
      <c r="BJ424" s="116">
        <f t="shared" si="1276"/>
        <v>415</v>
      </c>
    </row>
    <row r="425" spans="1:62" hidden="1" outlineLevel="2">
      <c r="B425" s="12" t="s">
        <v>161</v>
      </c>
      <c r="C425" s="93">
        <f>C422/C423</f>
        <v>0.22018307149606064</v>
      </c>
      <c r="D425" s="93">
        <f t="shared" ref="D425:M425" si="1353">D422/D423</f>
        <v>0.33348691083748333</v>
      </c>
      <c r="E425" s="93">
        <f t="shared" si="1353"/>
        <v>0.21903096809441375</v>
      </c>
      <c r="F425" s="93">
        <f t="shared" si="1353"/>
        <v>0.19261343210601509</v>
      </c>
      <c r="G425" s="93">
        <f t="shared" si="1353"/>
        <v>0.26886064872338372</v>
      </c>
      <c r="H425" s="93">
        <f t="shared" si="1353"/>
        <v>0.22484150870694083</v>
      </c>
      <c r="I425" s="93">
        <f t="shared" si="1353"/>
        <v>0.18300146371554218</v>
      </c>
      <c r="J425" s="93">
        <f t="shared" si="1353"/>
        <v>0.22402619053654332</v>
      </c>
      <c r="K425" s="93">
        <f t="shared" si="1353"/>
        <v>0.15337480978254056</v>
      </c>
      <c r="L425" s="93">
        <f t="shared" si="1353"/>
        <v>0.10237212290280297</v>
      </c>
      <c r="M425" s="93">
        <f t="shared" si="1353"/>
        <v>0.11038790032387771</v>
      </c>
      <c r="O425" s="93">
        <f>O422/O423</f>
        <v>0.16643296419383685</v>
      </c>
      <c r="P425" s="93">
        <f t="shared" ref="P425:BF425" si="1354">P422/P423</f>
        <v>0.23896070693430177</v>
      </c>
      <c r="Q425" s="93">
        <f t="shared" si="1354"/>
        <v>0.25113055832792985</v>
      </c>
      <c r="R425" s="93">
        <f t="shared" si="1354"/>
        <v>0.218699898029143</v>
      </c>
      <c r="S425" s="93">
        <f t="shared" si="1354"/>
        <v>0.25657273820742399</v>
      </c>
      <c r="T425" s="93">
        <f t="shared" si="1354"/>
        <v>0.47255925032179746</v>
      </c>
      <c r="U425" s="93">
        <f t="shared" si="1354"/>
        <v>0.3245000107277391</v>
      </c>
      <c r="V425" s="93">
        <f t="shared" si="1354"/>
        <v>0.29447239256365121</v>
      </c>
      <c r="W425" s="93">
        <f t="shared" si="1354"/>
        <v>0.25057156429291599</v>
      </c>
      <c r="X425" s="93">
        <f t="shared" si="1354"/>
        <v>0.28348164987887431</v>
      </c>
      <c r="Y425" s="93">
        <f t="shared" si="1354"/>
        <v>0.14683680462183052</v>
      </c>
      <c r="Z425" s="93">
        <f t="shared" si="1354"/>
        <v>0.18901570912647264</v>
      </c>
      <c r="AA425" s="93">
        <f t="shared" si="1354"/>
        <v>0.15339783442029126</v>
      </c>
      <c r="AB425" s="93">
        <f t="shared" si="1354"/>
        <v>0.18164278179326543</v>
      </c>
      <c r="AC425" s="93">
        <f t="shared" si="1354"/>
        <v>0.18485953687359016</v>
      </c>
      <c r="AD425" s="93">
        <f t="shared" si="1354"/>
        <v>0.24735497312346522</v>
      </c>
      <c r="AE425" s="93">
        <f t="shared" si="1354"/>
        <v>0.24940897750277113</v>
      </c>
      <c r="AF425" s="93">
        <f t="shared" si="1354"/>
        <v>0.2883243526052563</v>
      </c>
      <c r="AG425" s="93">
        <f t="shared" si="1354"/>
        <v>0.26995866040424682</v>
      </c>
      <c r="AH425" s="93">
        <f t="shared" si="1354"/>
        <v>0.26745339818234415</v>
      </c>
      <c r="AI425" s="93">
        <f t="shared" si="1354"/>
        <v>0.25771753766166866</v>
      </c>
      <c r="AJ425" s="93">
        <f t="shared" si="1354"/>
        <v>0.2358897632106681</v>
      </c>
      <c r="AK425" s="93">
        <f t="shared" si="1354"/>
        <v>0.20927894774722047</v>
      </c>
      <c r="AL425" s="93">
        <f t="shared" si="1354"/>
        <v>0.16686599626833284</v>
      </c>
      <c r="AM425" s="93">
        <f t="shared" si="1354"/>
        <v>0.21861864995934829</v>
      </c>
      <c r="AN425" s="93">
        <f t="shared" si="1354"/>
        <v>0.12013667279115495</v>
      </c>
      <c r="AO425" s="93">
        <f t="shared" si="1354"/>
        <v>0.18071085593138517</v>
      </c>
      <c r="AP425" s="93">
        <f t="shared" si="1354"/>
        <v>0.20773647048207725</v>
      </c>
      <c r="AQ425" s="93">
        <f t="shared" si="1354"/>
        <v>0.32606346102568656</v>
      </c>
      <c r="AR425" s="93">
        <f t="shared" ref="AR425:AS425" si="1355">AR422/AR423</f>
        <v>0.20961582627840122</v>
      </c>
      <c r="AS425" s="93">
        <f t="shared" si="1355"/>
        <v>0.20101857263900016</v>
      </c>
      <c r="AT425" s="93">
        <f t="shared" ref="AT425" si="1356">AT422/AT423</f>
        <v>0.17733598577957507</v>
      </c>
      <c r="AU425" s="93">
        <f t="shared" si="1354"/>
        <v>0.21506762670795063</v>
      </c>
      <c r="AV425" s="93">
        <f t="shared" si="1354"/>
        <v>0.1387443250725118</v>
      </c>
      <c r="AW425" s="93">
        <f t="shared" si="1354"/>
        <v>0.13472059410841739</v>
      </c>
      <c r="AX425" s="93">
        <f t="shared" si="1354"/>
        <v>0.13119028023325105</v>
      </c>
      <c r="AY425" s="93">
        <f t="shared" si="1354"/>
        <v>0.10581970285765693</v>
      </c>
      <c r="AZ425" s="93">
        <f t="shared" si="1354"/>
        <v>0.10302383492409581</v>
      </c>
      <c r="BA425" s="93">
        <f t="shared" si="1354"/>
        <v>0.10135895444581591</v>
      </c>
      <c r="BB425" s="93">
        <f t="shared" si="1354"/>
        <v>9.9715950996993832E-2</v>
      </c>
      <c r="BC425" s="93">
        <f t="shared" si="1354"/>
        <v>0.11214383365542732</v>
      </c>
      <c r="BD425" s="93">
        <f t="shared" si="1354"/>
        <v>0.11073482399073482</v>
      </c>
      <c r="BE425" s="93">
        <f t="shared" si="1354"/>
        <v>0.109843322058142</v>
      </c>
      <c r="BF425" s="93">
        <f t="shared" si="1354"/>
        <v>0.10890133663819306</v>
      </c>
      <c r="BJ425" s="116">
        <f t="shared" si="1276"/>
        <v>416</v>
      </c>
    </row>
    <row r="426" spans="1:62" hidden="1" outlineLevel="2">
      <c r="B426" s="13" t="s">
        <v>162</v>
      </c>
      <c r="C426" s="93">
        <f>C422/C421</f>
        <v>1.2021101735433601</v>
      </c>
      <c r="D426" s="93">
        <f t="shared" ref="D426:M426" si="1357">D422/D421</f>
        <v>2.1622659884721038</v>
      </c>
      <c r="E426" s="93">
        <f t="shared" si="1357"/>
        <v>1.4494099771320799</v>
      </c>
      <c r="F426" s="93">
        <f t="shared" si="1357"/>
        <v>1.0842274199233075</v>
      </c>
      <c r="G426" s="93">
        <f t="shared" si="1357"/>
        <v>1.5905292114225833</v>
      </c>
      <c r="H426" s="93">
        <f t="shared" si="1357"/>
        <v>0.89350091039394752</v>
      </c>
      <c r="I426" s="93">
        <f t="shared" si="1357"/>
        <v>0.45657643012431159</v>
      </c>
      <c r="J426" s="93">
        <f t="shared" si="1357"/>
        <v>0.68150159619333694</v>
      </c>
      <c r="K426" s="93">
        <f t="shared" si="1357"/>
        <v>0.5921471586361714</v>
      </c>
      <c r="L426" s="93">
        <f t="shared" si="1357"/>
        <v>0.49923938713583077</v>
      </c>
      <c r="M426" s="93">
        <f t="shared" si="1357"/>
        <v>0.60824023099584124</v>
      </c>
      <c r="O426" s="93">
        <f>O422/O421</f>
        <v>0.8750014511766141</v>
      </c>
      <c r="P426" s="93">
        <f t="shared" ref="P426:BF426" si="1358">P422/P421</f>
        <v>1.2412812640109874</v>
      </c>
      <c r="Q426" s="93">
        <f t="shared" si="1358"/>
        <v>1.3313359061241903</v>
      </c>
      <c r="R426" s="93">
        <f t="shared" si="1358"/>
        <v>1.3064036917630699</v>
      </c>
      <c r="S426" s="93">
        <f t="shared" si="1358"/>
        <v>1.5612234679438337</v>
      </c>
      <c r="T426" s="93">
        <f t="shared" si="1358"/>
        <v>2.8199597567910417</v>
      </c>
      <c r="U426" s="93">
        <f t="shared" si="1358"/>
        <v>2.1464015927143856</v>
      </c>
      <c r="V426" s="93">
        <f t="shared" si="1358"/>
        <v>2.1272371609588041</v>
      </c>
      <c r="W426" s="93">
        <f t="shared" si="1358"/>
        <v>1.9129516478812378</v>
      </c>
      <c r="X426" s="93">
        <f t="shared" si="1358"/>
        <v>1.8932709105955188</v>
      </c>
      <c r="Y426" s="93">
        <f t="shared" si="1358"/>
        <v>0.95584575943863248</v>
      </c>
      <c r="Z426" s="93">
        <f t="shared" si="1358"/>
        <v>1.0854791174556271</v>
      </c>
      <c r="AA426" s="93">
        <f t="shared" si="1358"/>
        <v>0.87442318044289336</v>
      </c>
      <c r="AB426" s="93">
        <f t="shared" si="1358"/>
        <v>0.99481236617707813</v>
      </c>
      <c r="AC426" s="93">
        <f t="shared" si="1358"/>
        <v>1.0252300288176011</v>
      </c>
      <c r="AD426" s="93">
        <f t="shared" si="1358"/>
        <v>1.431595704067594</v>
      </c>
      <c r="AE426" s="93">
        <f t="shared" si="1358"/>
        <v>1.40527138487277</v>
      </c>
      <c r="AF426" s="93">
        <f t="shared" si="1358"/>
        <v>1.6484513117884159</v>
      </c>
      <c r="AG426" s="93">
        <f t="shared" si="1358"/>
        <v>1.680299810524774</v>
      </c>
      <c r="AH426" s="93">
        <f t="shared" si="1358"/>
        <v>1.6251311432970448</v>
      </c>
      <c r="AI426" s="93">
        <f t="shared" si="1358"/>
        <v>1.2961187677701504</v>
      </c>
      <c r="AJ426" s="93">
        <f t="shared" si="1358"/>
        <v>0.92778052759903962</v>
      </c>
      <c r="AK426" s="93">
        <f t="shared" si="1358"/>
        <v>0.73873314813812152</v>
      </c>
      <c r="AL426" s="93">
        <f t="shared" si="1358"/>
        <v>0.53240718707952406</v>
      </c>
      <c r="AM426" s="93">
        <f t="shared" si="1358"/>
        <v>0.6017802036901464</v>
      </c>
      <c r="AN426" s="93">
        <f t="shared" si="1358"/>
        <v>0.29688444471517672</v>
      </c>
      <c r="AO426" s="93">
        <f t="shared" si="1358"/>
        <v>0.41554416821845558</v>
      </c>
      <c r="AP426" s="93">
        <f t="shared" si="1358"/>
        <v>0.51115469477813213</v>
      </c>
      <c r="AQ426" s="93">
        <f t="shared" si="1358"/>
        <v>0.90059998428846377</v>
      </c>
      <c r="AR426" s="93">
        <f t="shared" ref="AR426:AS426" si="1359">AR422/AR421</f>
        <v>0.63598442981402281</v>
      </c>
      <c r="AS426" s="93">
        <f t="shared" si="1359"/>
        <v>0.61312910284463873</v>
      </c>
      <c r="AT426" s="93">
        <f t="shared" ref="AT426" si="1360">AT422/AT421</f>
        <v>0.58663932818323683</v>
      </c>
      <c r="AU426" s="93">
        <f t="shared" si="1358"/>
        <v>0.74969031185376478</v>
      </c>
      <c r="AV426" s="93">
        <f t="shared" si="1358"/>
        <v>0.51218222852731754</v>
      </c>
      <c r="AW426" s="93">
        <f t="shared" si="1358"/>
        <v>0.54278975796422158</v>
      </c>
      <c r="AX426" s="93">
        <f t="shared" si="1358"/>
        <v>0.55890204623593009</v>
      </c>
      <c r="AY426" s="93">
        <f t="shared" si="1358"/>
        <v>0.47269991133649092</v>
      </c>
      <c r="AZ426" s="93">
        <f t="shared" si="1358"/>
        <v>0.47897896208315338</v>
      </c>
      <c r="BA426" s="93">
        <f t="shared" si="1358"/>
        <v>0.5152682036872539</v>
      </c>
      <c r="BB426" s="93">
        <f t="shared" si="1358"/>
        <v>0.53197147364158859</v>
      </c>
      <c r="BC426" s="93">
        <f t="shared" si="1358"/>
        <v>0.59760044297628412</v>
      </c>
      <c r="BD426" s="93">
        <f t="shared" si="1358"/>
        <v>0.59058470667026064</v>
      </c>
      <c r="BE426" s="93">
        <f t="shared" si="1358"/>
        <v>0.61855661589868305</v>
      </c>
      <c r="BF426" s="93">
        <f t="shared" si="1358"/>
        <v>0.62704761827418787</v>
      </c>
      <c r="BJ426" s="116">
        <f t="shared" si="1276"/>
        <v>417</v>
      </c>
    </row>
    <row r="427" spans="1:62" hidden="1" outlineLevel="2">
      <c r="B427" s="13"/>
      <c r="BJ427" s="116">
        <f t="shared" si="1276"/>
        <v>418</v>
      </c>
    </row>
    <row r="428" spans="1:62" hidden="1" outlineLevel="2">
      <c r="B428" s="13" t="s">
        <v>163</v>
      </c>
      <c r="C428" s="50">
        <f>C358/(C421)</f>
        <v>0</v>
      </c>
      <c r="D428" s="50">
        <f t="shared" ref="D428:M428" si="1361">D358/(D421)</f>
        <v>0</v>
      </c>
      <c r="E428" s="50">
        <f t="shared" si="1361"/>
        <v>0</v>
      </c>
      <c r="F428" s="50">
        <f t="shared" si="1361"/>
        <v>14.028668132296902</v>
      </c>
      <c r="G428" s="50">
        <f t="shared" si="1361"/>
        <v>13.472286263208455</v>
      </c>
      <c r="H428" s="50">
        <f t="shared" si="1361"/>
        <v>15.277565564336051</v>
      </c>
      <c r="I428" s="50">
        <f t="shared" si="1361"/>
        <v>15.652060715988693</v>
      </c>
      <c r="J428" s="50">
        <f t="shared" si="1361"/>
        <v>16.895163729931916</v>
      </c>
      <c r="K428" s="50">
        <f t="shared" si="1361"/>
        <v>17.384741843910803</v>
      </c>
      <c r="L428" s="50">
        <f t="shared" si="1361"/>
        <v>19.134025621384865</v>
      </c>
      <c r="M428" s="50">
        <f t="shared" si="1361"/>
        <v>21.036174091542154</v>
      </c>
      <c r="O428" s="50">
        <f t="shared" ref="O428:AC428" si="1362">O358/(O421*4)</f>
        <v>0</v>
      </c>
      <c r="P428" s="50">
        <f t="shared" si="1362"/>
        <v>0</v>
      </c>
      <c r="Q428" s="50">
        <f t="shared" si="1362"/>
        <v>0</v>
      </c>
      <c r="R428" s="50">
        <f t="shared" si="1362"/>
        <v>0</v>
      </c>
      <c r="S428" s="50">
        <f t="shared" si="1362"/>
        <v>0</v>
      </c>
      <c r="T428" s="50">
        <f t="shared" si="1362"/>
        <v>0</v>
      </c>
      <c r="U428" s="50">
        <f t="shared" si="1362"/>
        <v>0</v>
      </c>
      <c r="V428" s="50">
        <f t="shared" si="1362"/>
        <v>0</v>
      </c>
      <c r="W428" s="50">
        <f t="shared" si="1362"/>
        <v>0</v>
      </c>
      <c r="X428" s="50">
        <f t="shared" si="1362"/>
        <v>0</v>
      </c>
      <c r="Y428" s="50">
        <f t="shared" si="1362"/>
        <v>0</v>
      </c>
      <c r="Z428" s="50">
        <f t="shared" si="1362"/>
        <v>0</v>
      </c>
      <c r="AA428" s="50">
        <f t="shared" si="1362"/>
        <v>0</v>
      </c>
      <c r="AB428" s="50">
        <f t="shared" si="1362"/>
        <v>0</v>
      </c>
      <c r="AC428" s="50">
        <f t="shared" si="1362"/>
        <v>0</v>
      </c>
      <c r="AD428" s="50">
        <f>AD358/(AD421*4)</f>
        <v>13.726086588536978</v>
      </c>
      <c r="AE428" s="50">
        <f t="shared" ref="AE428:BF428" si="1363">AE358/(AE421*4)</f>
        <v>13.841021951107127</v>
      </c>
      <c r="AF428" s="50">
        <f t="shared" si="1363"/>
        <v>14.182811505551228</v>
      </c>
      <c r="AG428" s="50">
        <f t="shared" si="1363"/>
        <v>14.406794239673953</v>
      </c>
      <c r="AH428" s="50">
        <f t="shared" si="1363"/>
        <v>13.137420292125952</v>
      </c>
      <c r="AI428" s="50">
        <f t="shared" si="1363"/>
        <v>12.848612549329401</v>
      </c>
      <c r="AJ428" s="50">
        <f t="shared" si="1363"/>
        <v>16.880059671121376</v>
      </c>
      <c r="AK428" s="50">
        <f t="shared" si="1363"/>
        <v>15.466899132470108</v>
      </c>
      <c r="AL428" s="50">
        <f t="shared" si="1363"/>
        <v>16.036215534509836</v>
      </c>
      <c r="AM428" s="50">
        <f t="shared" si="1363"/>
        <v>17.325457098110444</v>
      </c>
      <c r="AN428" s="50">
        <f t="shared" si="1363"/>
        <v>17.563289256043443</v>
      </c>
      <c r="AO428" s="50">
        <f t="shared" si="1363"/>
        <v>17.064133059674781</v>
      </c>
      <c r="AP428" s="50">
        <f t="shared" si="1363"/>
        <v>15.677093210970137</v>
      </c>
      <c r="AQ428" s="50">
        <f t="shared" si="1363"/>
        <v>16.830397649161394</v>
      </c>
      <c r="AR428" s="50">
        <f t="shared" ref="AR428:AS428" si="1364">AR358/(AR421*4)</f>
        <v>16.631181219664569</v>
      </c>
      <c r="AS428" s="50">
        <f t="shared" si="1364"/>
        <v>16.088442934469654</v>
      </c>
      <c r="AT428" s="50">
        <f t="shared" ref="AT428" si="1365">AT358/(AT421*4)</f>
        <v>16.629216369461854</v>
      </c>
      <c r="AU428" s="50">
        <f t="shared" si="1363"/>
        <v>16.531466712038455</v>
      </c>
      <c r="AV428" s="50">
        <f t="shared" si="1363"/>
        <v>16.980980922012055</v>
      </c>
      <c r="AW428" s="50">
        <f t="shared" si="1363"/>
        <v>17.415929310671643</v>
      </c>
      <c r="AX428" s="50">
        <f t="shared" si="1363"/>
        <v>17.842995960349047</v>
      </c>
      <c r="AY428" s="50">
        <f t="shared" si="1363"/>
        <v>18.245018774782917</v>
      </c>
      <c r="AZ428" s="50">
        <f t="shared" si="1363"/>
        <v>18.712809950450854</v>
      </c>
      <c r="BA428" s="50">
        <f t="shared" si="1363"/>
        <v>19.194266256102477</v>
      </c>
      <c r="BB428" s="50">
        <f t="shared" si="1363"/>
        <v>19.663336869435785</v>
      </c>
      <c r="BC428" s="50">
        <f t="shared" si="1363"/>
        <v>20.144963519880857</v>
      </c>
      <c r="BD428" s="50">
        <f t="shared" si="1363"/>
        <v>20.584554700813715</v>
      </c>
      <c r="BE428" s="50">
        <f t="shared" si="1363"/>
        <v>21.042787273565541</v>
      </c>
      <c r="BF428" s="50">
        <f t="shared" si="1363"/>
        <v>21.488406094598389</v>
      </c>
      <c r="BJ428" s="116">
        <f t="shared" si="1276"/>
        <v>419</v>
      </c>
    </row>
    <row r="429" spans="1:62" hidden="1" outlineLevel="2">
      <c r="B429" s="13" t="s">
        <v>164</v>
      </c>
      <c r="C429" s="50">
        <f>-C359/(C421)</f>
        <v>0</v>
      </c>
      <c r="D429" s="50">
        <f t="shared" ref="D429:M429" si="1366">-D359/(D421)</f>
        <v>0</v>
      </c>
      <c r="E429" s="50">
        <f t="shared" si="1366"/>
        <v>0</v>
      </c>
      <c r="F429" s="50">
        <f t="shared" si="1366"/>
        <v>6.1166455165610394</v>
      </c>
      <c r="G429" s="50">
        <f t="shared" si="1366"/>
        <v>5.9627892760457604</v>
      </c>
      <c r="H429" s="50">
        <f t="shared" si="1366"/>
        <v>8.0358356200519534</v>
      </c>
      <c r="I429" s="50">
        <f t="shared" si="1366"/>
        <v>8.4157615880276779</v>
      </c>
      <c r="J429" s="50">
        <f t="shared" si="1366"/>
        <v>9.6472655920981598</v>
      </c>
      <c r="K429" s="50">
        <f t="shared" si="1366"/>
        <v>10.630793896018831</v>
      </c>
      <c r="L429" s="50">
        <f t="shared" si="1366"/>
        <v>12.395197785008122</v>
      </c>
      <c r="M429" s="50">
        <f t="shared" si="1366"/>
        <v>14.233403443211735</v>
      </c>
      <c r="O429" s="50">
        <f t="shared" ref="O429:AC429" si="1367">-O359/(O421*4)</f>
        <v>0</v>
      </c>
      <c r="P429" s="50">
        <f t="shared" si="1367"/>
        <v>0</v>
      </c>
      <c r="Q429" s="50">
        <f t="shared" si="1367"/>
        <v>0</v>
      </c>
      <c r="R429" s="50">
        <f t="shared" si="1367"/>
        <v>0</v>
      </c>
      <c r="S429" s="50">
        <f t="shared" si="1367"/>
        <v>0</v>
      </c>
      <c r="T429" s="50">
        <f t="shared" si="1367"/>
        <v>0</v>
      </c>
      <c r="U429" s="50">
        <f t="shared" si="1367"/>
        <v>0</v>
      </c>
      <c r="V429" s="50">
        <f t="shared" si="1367"/>
        <v>0</v>
      </c>
      <c r="W429" s="50">
        <f t="shared" si="1367"/>
        <v>0</v>
      </c>
      <c r="X429" s="50">
        <f t="shared" si="1367"/>
        <v>0</v>
      </c>
      <c r="Y429" s="50">
        <f t="shared" si="1367"/>
        <v>0</v>
      </c>
      <c r="Z429" s="50">
        <f t="shared" si="1367"/>
        <v>0</v>
      </c>
      <c r="AA429" s="50">
        <f t="shared" si="1367"/>
        <v>0</v>
      </c>
      <c r="AB429" s="50">
        <f t="shared" si="1367"/>
        <v>0</v>
      </c>
      <c r="AC429" s="50">
        <f t="shared" si="1367"/>
        <v>0</v>
      </c>
      <c r="AD429" s="50">
        <f t="shared" ref="AD429" si="1368">-AD359/(AD421*4)</f>
        <v>5.9847168098884254</v>
      </c>
      <c r="AE429" s="50">
        <f t="shared" ref="AE429:BF429" si="1369">-AE359/(AE421*4)</f>
        <v>6.139916597844234</v>
      </c>
      <c r="AF429" s="50">
        <f t="shared" si="1369"/>
        <v>6.3748718266034912</v>
      </c>
      <c r="AG429" s="50">
        <f t="shared" si="1369"/>
        <v>6.5412099894968643</v>
      </c>
      <c r="AH429" s="50">
        <f t="shared" si="1369"/>
        <v>5.8145787064161434</v>
      </c>
      <c r="AI429" s="50">
        <f t="shared" si="1369"/>
        <v>6.3243134805831618</v>
      </c>
      <c r="AJ429" s="50">
        <f t="shared" si="1369"/>
        <v>8.3952100405140335</v>
      </c>
      <c r="AK429" s="50">
        <f t="shared" si="1369"/>
        <v>7.8791038995114677</v>
      </c>
      <c r="AL429" s="50">
        <f t="shared" si="1369"/>
        <v>8.4348773671026258</v>
      </c>
      <c r="AM429" s="50">
        <f t="shared" si="1369"/>
        <v>9.2835942785124512</v>
      </c>
      <c r="AN429" s="50">
        <f t="shared" si="1369"/>
        <v>9.6382132297470164</v>
      </c>
      <c r="AO429" s="50">
        <f t="shared" si="1369"/>
        <v>9.5694329287355071</v>
      </c>
      <c r="AP429" s="50">
        <f t="shared" si="1369"/>
        <v>8.4292209984874216</v>
      </c>
      <c r="AQ429" s="50">
        <f t="shared" si="1369"/>
        <v>9.1971699595427943</v>
      </c>
      <c r="AR429" s="50">
        <f t="shared" ref="AR429:AS429" si="1370">-AR359/(AR421*4)</f>
        <v>9.2519030227305485</v>
      </c>
      <c r="AS429" s="50">
        <f t="shared" si="1370"/>
        <v>9.1189554301508693</v>
      </c>
      <c r="AT429" s="50">
        <f t="shared" ref="AT429" si="1371">-AT359/(AT421*4)</f>
        <v>9.4954076485479142</v>
      </c>
      <c r="AU429" s="50">
        <f t="shared" si="1369"/>
        <v>9.6235437216704192</v>
      </c>
      <c r="AV429" s="50">
        <f t="shared" si="1369"/>
        <v>10.060681843753464</v>
      </c>
      <c r="AW429" s="50">
        <f t="shared" si="1369"/>
        <v>10.487978350053826</v>
      </c>
      <c r="AX429" s="50">
        <f t="shared" si="1369"/>
        <v>10.911016927663304</v>
      </c>
      <c r="AY429" s="50">
        <f t="shared" si="1369"/>
        <v>11.334590275822032</v>
      </c>
      <c r="AZ429" s="50">
        <f t="shared" si="1369"/>
        <v>11.800811688803304</v>
      </c>
      <c r="BA429" s="50">
        <f t="shared" si="1369"/>
        <v>12.273195684053903</v>
      </c>
      <c r="BB429" s="50">
        <f t="shared" si="1369"/>
        <v>12.738090479898627</v>
      </c>
      <c r="BC429" s="50">
        <f t="shared" si="1369"/>
        <v>13.203309888010022</v>
      </c>
      <c r="BD429" s="50">
        <f t="shared" si="1369"/>
        <v>13.644655003019388</v>
      </c>
      <c r="BE429" s="50">
        <f t="shared" si="1369"/>
        <v>14.095894598464108</v>
      </c>
      <c r="BF429" s="50">
        <f t="shared" si="1369"/>
        <v>14.53939066890308</v>
      </c>
      <c r="BJ429" s="116">
        <f t="shared" si="1276"/>
        <v>420</v>
      </c>
    </row>
    <row r="430" spans="1:62" hidden="1" outlineLevel="2">
      <c r="B430" s="13" t="s">
        <v>165</v>
      </c>
      <c r="C430" s="50">
        <f>C360/(C421)</f>
        <v>10.099136805923475</v>
      </c>
      <c r="D430" s="50">
        <f t="shared" ref="D430:M430" si="1372">D360/(D421)</f>
        <v>9.135456484573897</v>
      </c>
      <c r="E430" s="50">
        <f t="shared" si="1372"/>
        <v>8.3149970031190463</v>
      </c>
      <c r="F430" s="50">
        <f t="shared" si="1372"/>
        <v>7.9120226157358635</v>
      </c>
      <c r="G430" s="50">
        <f t="shared" si="1372"/>
        <v>7.5094969871626942</v>
      </c>
      <c r="H430" s="50">
        <f t="shared" si="1372"/>
        <v>7.2417299442840957</v>
      </c>
      <c r="I430" s="50">
        <f t="shared" si="1372"/>
        <v>7.2362991279610132</v>
      </c>
      <c r="J430" s="50">
        <f t="shared" si="1372"/>
        <v>7.2478981378337561</v>
      </c>
      <c r="K430" s="50">
        <f t="shared" si="1372"/>
        <v>6.7539479478919704</v>
      </c>
      <c r="L430" s="50">
        <f t="shared" si="1372"/>
        <v>6.7388278363767444</v>
      </c>
      <c r="M430" s="50">
        <f t="shared" si="1372"/>
        <v>6.8027706483304193</v>
      </c>
      <c r="O430" s="50">
        <f t="shared" ref="O430:AC430" si="1373">O360/(O421*4)</f>
        <v>11.096578706014837</v>
      </c>
      <c r="P430" s="50">
        <f t="shared" si="1373"/>
        <v>10.842110714468136</v>
      </c>
      <c r="Q430" s="50">
        <f t="shared" si="1373"/>
        <v>9.6662000009807336</v>
      </c>
      <c r="R430" s="50">
        <f t="shared" si="1373"/>
        <v>8.822368896354293</v>
      </c>
      <c r="S430" s="50">
        <f t="shared" si="1373"/>
        <v>8.6817862196582123</v>
      </c>
      <c r="T430" s="50">
        <f t="shared" si="1373"/>
        <v>9.1557729320677144</v>
      </c>
      <c r="U430" s="50">
        <f t="shared" si="1373"/>
        <v>8.6946604736784483</v>
      </c>
      <c r="V430" s="50">
        <f t="shared" si="1373"/>
        <v>8.9986382045154052</v>
      </c>
      <c r="W430" s="50">
        <f t="shared" si="1373"/>
        <v>8.8987616155334166</v>
      </c>
      <c r="X430" s="50">
        <f t="shared" si="1373"/>
        <v>8.5285231556686174</v>
      </c>
      <c r="Y430" s="50">
        <f t="shared" si="1373"/>
        <v>8.3705244374842369</v>
      </c>
      <c r="Z430" s="50">
        <f t="shared" si="1373"/>
        <v>7.9640415091303991</v>
      </c>
      <c r="AA430" s="50">
        <f t="shared" si="1373"/>
        <v>8.0206661964249246</v>
      </c>
      <c r="AB430" s="50">
        <f t="shared" si="1373"/>
        <v>8.0552815446452026</v>
      </c>
      <c r="AC430" s="50">
        <f t="shared" si="1373"/>
        <v>7.7381511388072157</v>
      </c>
      <c r="AD430" s="50">
        <f>AD360/(AD421*4)</f>
        <v>7.7413697786485542</v>
      </c>
      <c r="AE430" s="50">
        <f t="shared" ref="AE430:BF430" si="1374">AE360/(AE421*4)</f>
        <v>7.7011053532628919</v>
      </c>
      <c r="AF430" s="50">
        <f t="shared" si="1374"/>
        <v>7.8079396789477382</v>
      </c>
      <c r="AG430" s="50">
        <f t="shared" si="1374"/>
        <v>7.8655842501770898</v>
      </c>
      <c r="AH430" s="50">
        <f t="shared" si="1374"/>
        <v>7.322841585709809</v>
      </c>
      <c r="AI430" s="50">
        <f t="shared" si="1374"/>
        <v>6.5242990687462399</v>
      </c>
      <c r="AJ430" s="50">
        <f t="shared" si="1374"/>
        <v>8.4848496306073429</v>
      </c>
      <c r="AK430" s="50">
        <f t="shared" si="1374"/>
        <v>7.5877952329586389</v>
      </c>
      <c r="AL430" s="50">
        <f t="shared" si="1374"/>
        <v>7.6013381674072074</v>
      </c>
      <c r="AM430" s="50">
        <f t="shared" si="1374"/>
        <v>8.0418628195979949</v>
      </c>
      <c r="AN430" s="50">
        <f t="shared" si="1374"/>
        <v>7.9250760262964288</v>
      </c>
      <c r="AO430" s="50">
        <f t="shared" si="1374"/>
        <v>7.4947001309392745</v>
      </c>
      <c r="AP430" s="50">
        <f t="shared" si="1374"/>
        <v>7.2478722124827124</v>
      </c>
      <c r="AQ430" s="50">
        <f t="shared" si="1374"/>
        <v>7.633227689618602</v>
      </c>
      <c r="AR430" s="50">
        <f t="shared" ref="AR430:AS430" si="1375">AR360/(AR421*4)</f>
        <v>7.3792781969340195</v>
      </c>
      <c r="AS430" s="50">
        <f t="shared" si="1375"/>
        <v>6.9694875043187841</v>
      </c>
      <c r="AT430" s="50">
        <f t="shared" ref="AT430" si="1376">AT360/(AT421*4)</f>
        <v>7.1338087209139394</v>
      </c>
      <c r="AU430" s="50">
        <f t="shared" si="1374"/>
        <v>6.9079229903680366</v>
      </c>
      <c r="AV430" s="50">
        <f t="shared" si="1374"/>
        <v>6.9202990782585916</v>
      </c>
      <c r="AW430" s="50">
        <f t="shared" si="1374"/>
        <v>6.9279509606178165</v>
      </c>
      <c r="AX430" s="50">
        <f t="shared" si="1374"/>
        <v>6.931979032685744</v>
      </c>
      <c r="AY430" s="50">
        <f t="shared" si="1374"/>
        <v>6.9104284989608846</v>
      </c>
      <c r="AZ430" s="50">
        <f t="shared" si="1374"/>
        <v>6.9119982616475504</v>
      </c>
      <c r="BA430" s="50">
        <f t="shared" si="1374"/>
        <v>6.921070572048575</v>
      </c>
      <c r="BB430" s="50">
        <f t="shared" si="1374"/>
        <v>6.9252463895371577</v>
      </c>
      <c r="BC430" s="50">
        <f t="shared" si="1374"/>
        <v>6.9416536318708335</v>
      </c>
      <c r="BD430" s="50">
        <f t="shared" si="1374"/>
        <v>6.9398996977943268</v>
      </c>
      <c r="BE430" s="50">
        <f t="shared" si="1374"/>
        <v>6.9468926751014308</v>
      </c>
      <c r="BF430" s="50">
        <f t="shared" si="1374"/>
        <v>6.9490154256953076</v>
      </c>
      <c r="BJ430" s="116">
        <f t="shared" si="1276"/>
        <v>421</v>
      </c>
    </row>
    <row r="431" spans="1:62" hidden="1" outlineLevel="2">
      <c r="B431" s="44"/>
      <c r="BJ431" s="116">
        <f t="shared" si="1276"/>
        <v>422</v>
      </c>
    </row>
    <row r="432" spans="1:62" outlineLevel="1" collapsed="1">
      <c r="A432" s="72" t="s">
        <v>322</v>
      </c>
      <c r="B432" s="19" t="s">
        <v>166</v>
      </c>
      <c r="BJ432" s="116">
        <f t="shared" si="1276"/>
        <v>423</v>
      </c>
    </row>
    <row r="433" spans="1:62" hidden="1" outlineLevel="2">
      <c r="B433" s="10" t="s">
        <v>167</v>
      </c>
      <c r="C433" s="50">
        <f>AVERAGEIFS($O433:$BG433,$O$5:$BG$5,C$5)</f>
        <v>285.14449999999999</v>
      </c>
      <c r="D433" s="50">
        <f t="shared" ref="D433:M434" si="1377">AVERAGEIFS($O433:$BG433,$O$5:$BG$5,D$5)</f>
        <v>287.11824999999999</v>
      </c>
      <c r="E433" s="50">
        <f t="shared" si="1377"/>
        <v>289.90249999999997</v>
      </c>
      <c r="F433" s="50">
        <f t="shared" si="1377"/>
        <v>294.18200000000002</v>
      </c>
      <c r="G433" s="50">
        <f t="shared" si="1377"/>
        <v>292.93824999999998</v>
      </c>
      <c r="H433" s="50">
        <f t="shared" si="1377"/>
        <v>282.98225000000002</v>
      </c>
      <c r="I433" s="50">
        <f t="shared" si="1377"/>
        <v>276.47525000000002</v>
      </c>
      <c r="J433" s="50">
        <f t="shared" si="1377"/>
        <v>279.16575</v>
      </c>
      <c r="K433" s="50">
        <f t="shared" si="1377"/>
        <v>283.92500000000001</v>
      </c>
      <c r="L433" s="50">
        <f t="shared" si="1377"/>
        <v>283.92500000000001</v>
      </c>
      <c r="M433" s="50">
        <f t="shared" si="1377"/>
        <v>283.92500000000001</v>
      </c>
      <c r="O433" s="51">
        <v>284.67200000000003</v>
      </c>
      <c r="P433" s="51">
        <v>285.18099999999998</v>
      </c>
      <c r="Q433" s="51">
        <v>285.28199999999998</v>
      </c>
      <c r="R433" s="51">
        <v>285.44299999999998</v>
      </c>
      <c r="S433" s="51">
        <v>286.11399999999998</v>
      </c>
      <c r="T433" s="51">
        <v>287.31099999999998</v>
      </c>
      <c r="U433" s="51">
        <v>287.48700000000002</v>
      </c>
      <c r="V433" s="51">
        <v>287.56099999999998</v>
      </c>
      <c r="W433" s="51">
        <v>288.53800000000001</v>
      </c>
      <c r="X433" s="51">
        <v>290.31099999999998</v>
      </c>
      <c r="Y433" s="51">
        <v>290.36700000000002</v>
      </c>
      <c r="Z433" s="51">
        <v>290.39400000000001</v>
      </c>
      <c r="AA433" s="51">
        <v>291.68700000000001</v>
      </c>
      <c r="AB433" s="51">
        <v>294.74700000000001</v>
      </c>
      <c r="AC433" s="51">
        <v>295.07600000000002</v>
      </c>
      <c r="AD433" s="51">
        <v>295.21800000000002</v>
      </c>
      <c r="AE433" s="51">
        <v>296.20999999999998</v>
      </c>
      <c r="AF433" s="51">
        <v>297.98399999999998</v>
      </c>
      <c r="AG433" s="51">
        <v>292.62099999999998</v>
      </c>
      <c r="AH433" s="51">
        <v>284.93799999999999</v>
      </c>
      <c r="AI433" s="51">
        <v>285.36099999999999</v>
      </c>
      <c r="AJ433" s="51">
        <v>286.08499999999998</v>
      </c>
      <c r="AK433" s="51">
        <v>284.11200000000002</v>
      </c>
      <c r="AL433" s="51">
        <v>276.37099999999998</v>
      </c>
      <c r="AM433" s="51">
        <v>275.851</v>
      </c>
      <c r="AN433" s="51">
        <v>276.55</v>
      </c>
      <c r="AO433" s="51">
        <v>276.70699999999999</v>
      </c>
      <c r="AP433" s="51">
        <v>276.79300000000001</v>
      </c>
      <c r="AQ433" s="51">
        <v>277.78100000000001</v>
      </c>
      <c r="AR433" s="51">
        <v>278.916</v>
      </c>
      <c r="AS433" s="96">
        <v>279.31299999999999</v>
      </c>
      <c r="AT433" s="96">
        <v>280.65300000000002</v>
      </c>
      <c r="AU433" s="50">
        <f>AVERAGE(AT435:AU435)</f>
        <v>283.92500000000001</v>
      </c>
      <c r="AV433" s="50">
        <f t="shared" ref="AV433:BF433" si="1378">AU433/AU435*AVERAGE(AU435:AV435)</f>
        <v>283.92500000000001</v>
      </c>
      <c r="AW433" s="50">
        <f t="shared" si="1378"/>
        <v>283.92500000000001</v>
      </c>
      <c r="AX433" s="50">
        <f t="shared" si="1378"/>
        <v>283.92500000000001</v>
      </c>
      <c r="AY433" s="50">
        <f t="shared" si="1378"/>
        <v>283.92500000000001</v>
      </c>
      <c r="AZ433" s="50">
        <f t="shared" si="1378"/>
        <v>283.92500000000001</v>
      </c>
      <c r="BA433" s="50">
        <f t="shared" si="1378"/>
        <v>283.92500000000001</v>
      </c>
      <c r="BB433" s="50">
        <f t="shared" si="1378"/>
        <v>283.92500000000001</v>
      </c>
      <c r="BC433" s="50">
        <f t="shared" si="1378"/>
        <v>283.92500000000001</v>
      </c>
      <c r="BD433" s="50">
        <f t="shared" si="1378"/>
        <v>283.92500000000001</v>
      </c>
      <c r="BE433" s="50">
        <f t="shared" si="1378"/>
        <v>283.92500000000001</v>
      </c>
      <c r="BF433" s="50">
        <f t="shared" si="1378"/>
        <v>283.92500000000001</v>
      </c>
      <c r="BJ433" s="116">
        <f t="shared" si="1276"/>
        <v>424</v>
      </c>
    </row>
    <row r="434" spans="1:62" hidden="1" outlineLevel="2">
      <c r="B434" s="10" t="s">
        <v>13</v>
      </c>
      <c r="C434" s="50">
        <f>AVERAGEIFS($O434:$BG434,$O$5:$BG$5,C$5)</f>
        <v>289.06399999999996</v>
      </c>
      <c r="D434" s="50">
        <f t="shared" si="1377"/>
        <v>292.48425000000003</v>
      </c>
      <c r="E434" s="50">
        <f t="shared" si="1377"/>
        <v>291.7355</v>
      </c>
      <c r="F434" s="50">
        <f t="shared" si="1377"/>
        <v>296.02774999999997</v>
      </c>
      <c r="G434" s="50">
        <f t="shared" si="1377"/>
        <v>294.99349999999998</v>
      </c>
      <c r="H434" s="50">
        <f t="shared" si="1377"/>
        <v>283.18525</v>
      </c>
      <c r="I434" s="50">
        <f t="shared" si="1377"/>
        <v>276.47525000000002</v>
      </c>
      <c r="J434" s="50">
        <f t="shared" si="1377"/>
        <v>279.16575</v>
      </c>
      <c r="K434" s="50">
        <f t="shared" si="1377"/>
        <v>283.92500000000001</v>
      </c>
      <c r="L434" s="50">
        <f t="shared" si="1377"/>
        <v>286.76425</v>
      </c>
      <c r="M434" s="50">
        <f t="shared" si="1377"/>
        <v>289.6035</v>
      </c>
      <c r="O434" s="51">
        <v>290.73599999999999</v>
      </c>
      <c r="P434" s="51">
        <v>289.79599999999999</v>
      </c>
      <c r="Q434" s="51">
        <v>285.28199999999998</v>
      </c>
      <c r="R434" s="51">
        <v>290.44200000000001</v>
      </c>
      <c r="S434" s="51">
        <v>292.68900000000002</v>
      </c>
      <c r="T434" s="51">
        <v>294.298</v>
      </c>
      <c r="U434" s="51">
        <v>291.98599999999999</v>
      </c>
      <c r="V434" s="51">
        <v>290.964</v>
      </c>
      <c r="W434" s="51">
        <v>291.709</v>
      </c>
      <c r="X434" s="51">
        <v>290.31099999999998</v>
      </c>
      <c r="Y434" s="51">
        <v>292.50099999999998</v>
      </c>
      <c r="Z434" s="51">
        <v>292.42099999999999</v>
      </c>
      <c r="AA434" s="51">
        <v>294.17</v>
      </c>
      <c r="AB434" s="51">
        <v>297.11900000000003</v>
      </c>
      <c r="AC434" s="51">
        <v>295.07600000000002</v>
      </c>
      <c r="AD434" s="51">
        <v>297.74599999999998</v>
      </c>
      <c r="AE434" s="51">
        <v>299.05</v>
      </c>
      <c r="AF434" s="51">
        <v>300.98099999999999</v>
      </c>
      <c r="AG434" s="51">
        <v>295.005</v>
      </c>
      <c r="AH434" s="51">
        <v>284.93799999999999</v>
      </c>
      <c r="AI434" s="51">
        <v>286.173</v>
      </c>
      <c r="AJ434" s="51">
        <v>286.08499999999998</v>
      </c>
      <c r="AK434" s="51">
        <v>284.11200000000002</v>
      </c>
      <c r="AL434" s="51">
        <v>276.37099999999998</v>
      </c>
      <c r="AM434" s="51">
        <v>275.851</v>
      </c>
      <c r="AN434" s="51">
        <v>276.55</v>
      </c>
      <c r="AO434" s="51">
        <v>276.70699999999999</v>
      </c>
      <c r="AP434" s="51">
        <v>276.79300000000001</v>
      </c>
      <c r="AQ434" s="51">
        <v>277.78100000000001</v>
      </c>
      <c r="AR434" s="51">
        <v>278.916</v>
      </c>
      <c r="AS434" s="96">
        <v>279.31299999999999</v>
      </c>
      <c r="AT434" s="96">
        <v>280.65300000000002</v>
      </c>
      <c r="AU434" s="50">
        <f t="shared" ref="AU434:BF434" si="1379">AU436*AU433</f>
        <v>283.92500000000001</v>
      </c>
      <c r="AV434" s="50">
        <f t="shared" si="1379"/>
        <v>283.92500000000001</v>
      </c>
      <c r="AW434" s="50">
        <f t="shared" si="1379"/>
        <v>283.92500000000001</v>
      </c>
      <c r="AX434" s="50">
        <f t="shared" si="1379"/>
        <v>283.92500000000001</v>
      </c>
      <c r="AY434" s="50">
        <f t="shared" si="1379"/>
        <v>283.92500000000001</v>
      </c>
      <c r="AZ434" s="50">
        <f t="shared" si="1379"/>
        <v>283.92500000000001</v>
      </c>
      <c r="BA434" s="50">
        <f t="shared" si="1379"/>
        <v>289.6035</v>
      </c>
      <c r="BB434" s="50">
        <f t="shared" si="1379"/>
        <v>289.6035</v>
      </c>
      <c r="BC434" s="50">
        <f t="shared" si="1379"/>
        <v>289.6035</v>
      </c>
      <c r="BD434" s="50">
        <f t="shared" si="1379"/>
        <v>289.6035</v>
      </c>
      <c r="BE434" s="50">
        <f t="shared" si="1379"/>
        <v>289.6035</v>
      </c>
      <c r="BF434" s="50">
        <f t="shared" si="1379"/>
        <v>289.6035</v>
      </c>
      <c r="BJ434" s="116">
        <f t="shared" si="1276"/>
        <v>425</v>
      </c>
    </row>
    <row r="435" spans="1:62" hidden="1" outlineLevel="2">
      <c r="B435" s="13" t="s">
        <v>168</v>
      </c>
      <c r="C435" s="50">
        <f t="shared" ref="C435:M435" si="1380">INDEX($O435:$BG435,1,MATCH(C$4,$O$4:$BG$4,0))</f>
        <v>285.62</v>
      </c>
      <c r="D435" s="50">
        <f t="shared" si="1380"/>
        <v>287.62799999999999</v>
      </c>
      <c r="E435" s="50">
        <f t="shared" si="1380"/>
        <v>290.399</v>
      </c>
      <c r="F435" s="50">
        <f t="shared" si="1380"/>
        <v>323.71100000000001</v>
      </c>
      <c r="G435" s="50">
        <f t="shared" si="1380"/>
        <v>289.40800000000002</v>
      </c>
      <c r="H435" s="50">
        <f t="shared" si="1380"/>
        <v>281.18400000000003</v>
      </c>
      <c r="I435" s="50">
        <f t="shared" si="1380"/>
        <v>283.92500000000001</v>
      </c>
      <c r="J435" s="50">
        <f t="shared" si="1380"/>
        <v>283.92500000000001</v>
      </c>
      <c r="K435" s="50">
        <f t="shared" si="1380"/>
        <v>283.92500000000001</v>
      </c>
      <c r="L435" s="50">
        <f t="shared" si="1380"/>
        <v>283.92500000000001</v>
      </c>
      <c r="M435" s="50">
        <f t="shared" si="1380"/>
        <v>283.92500000000001</v>
      </c>
      <c r="O435" s="51">
        <v>285.01499999999999</v>
      </c>
      <c r="P435" s="51">
        <v>285.26400000000001</v>
      </c>
      <c r="Q435" s="51">
        <v>285.32</v>
      </c>
      <c r="R435" s="51">
        <v>285.62</v>
      </c>
      <c r="S435" s="51">
        <v>287.02100000000002</v>
      </c>
      <c r="T435" s="51">
        <v>287.44400000000002</v>
      </c>
      <c r="U435" s="51">
        <v>287.50800000000004</v>
      </c>
      <c r="V435" s="51">
        <v>287.62799999999999</v>
      </c>
      <c r="W435" s="51">
        <v>290.31700000000001</v>
      </c>
      <c r="X435" s="51">
        <v>290.30500000000001</v>
      </c>
      <c r="Y435" s="51">
        <v>290.38300000000004</v>
      </c>
      <c r="Z435" s="51">
        <v>290.399</v>
      </c>
      <c r="AA435" s="51">
        <v>294.60500000000002</v>
      </c>
      <c r="AB435" s="51">
        <v>295.00700000000001</v>
      </c>
      <c r="AC435" s="51">
        <v>295.12</v>
      </c>
      <c r="AD435" s="51">
        <v>323.71100000000001</v>
      </c>
      <c r="AE435" s="51">
        <v>297.358</v>
      </c>
      <c r="AF435" s="51">
        <v>299.72000000000003</v>
      </c>
      <c r="AG435" s="51">
        <v>289.44200000000001</v>
      </c>
      <c r="AH435" s="51">
        <v>289.40800000000002</v>
      </c>
      <c r="AI435" s="51">
        <v>290.76900000000001</v>
      </c>
      <c r="AJ435" s="51">
        <v>291.85499999999996</v>
      </c>
      <c r="AK435" s="51">
        <v>283.52500000000003</v>
      </c>
      <c r="AL435" s="51">
        <v>281.18400000000003</v>
      </c>
      <c r="AM435" s="51">
        <v>282.00200000000001</v>
      </c>
      <c r="AN435" s="51">
        <v>283.38099999999997</v>
      </c>
      <c r="AO435" s="51">
        <v>283.37</v>
      </c>
      <c r="AP435" s="51">
        <v>283.92500000000001</v>
      </c>
      <c r="AQ435" s="51">
        <v>285.89400000000001</v>
      </c>
      <c r="AR435" s="51">
        <f>335.499-49.673</f>
        <v>285.82600000000002</v>
      </c>
      <c r="AS435" s="51">
        <f>335.55-49.673</f>
        <v>285.87700000000001</v>
      </c>
      <c r="AT435" s="51">
        <f>333.598-49.673</f>
        <v>283.92500000000001</v>
      </c>
      <c r="AU435" s="51">
        <f t="shared" ref="AU435:BF435" si="1381">AT435</f>
        <v>283.92500000000001</v>
      </c>
      <c r="AV435" s="51">
        <f t="shared" si="1381"/>
        <v>283.92500000000001</v>
      </c>
      <c r="AW435" s="51">
        <f t="shared" si="1381"/>
        <v>283.92500000000001</v>
      </c>
      <c r="AX435" s="51">
        <f t="shared" si="1381"/>
        <v>283.92500000000001</v>
      </c>
      <c r="AY435" s="51">
        <f t="shared" si="1381"/>
        <v>283.92500000000001</v>
      </c>
      <c r="AZ435" s="51">
        <f t="shared" si="1381"/>
        <v>283.92500000000001</v>
      </c>
      <c r="BA435" s="51">
        <f t="shared" si="1381"/>
        <v>283.92500000000001</v>
      </c>
      <c r="BB435" s="51">
        <f t="shared" si="1381"/>
        <v>283.92500000000001</v>
      </c>
      <c r="BC435" s="51">
        <f t="shared" si="1381"/>
        <v>283.92500000000001</v>
      </c>
      <c r="BD435" s="51">
        <f t="shared" si="1381"/>
        <v>283.92500000000001</v>
      </c>
      <c r="BE435" s="51">
        <f t="shared" si="1381"/>
        <v>283.92500000000001</v>
      </c>
      <c r="BF435" s="51">
        <f t="shared" si="1381"/>
        <v>283.92500000000001</v>
      </c>
      <c r="BJ435" s="116">
        <f t="shared" si="1276"/>
        <v>426</v>
      </c>
    </row>
    <row r="436" spans="1:62" hidden="1" outlineLevel="2">
      <c r="B436" s="13" t="s">
        <v>169</v>
      </c>
      <c r="C436" s="93">
        <f t="shared" ref="C436:M436" si="1382">C434/C433</f>
        <v>1.0137456622870158</v>
      </c>
      <c r="D436" s="93">
        <f t="shared" si="1382"/>
        <v>1.0186891637853046</v>
      </c>
      <c r="E436" s="93">
        <f t="shared" si="1382"/>
        <v>1.0063228154293256</v>
      </c>
      <c r="F436" s="93">
        <f t="shared" si="1382"/>
        <v>1.0062741772100263</v>
      </c>
      <c r="G436" s="93">
        <f t="shared" si="1382"/>
        <v>1.0070159837440142</v>
      </c>
      <c r="H436" s="93">
        <f t="shared" si="1382"/>
        <v>1.0007173594810275</v>
      </c>
      <c r="I436" s="93">
        <f t="shared" si="1382"/>
        <v>1</v>
      </c>
      <c r="J436" s="93">
        <f t="shared" si="1382"/>
        <v>1</v>
      </c>
      <c r="K436" s="93">
        <f t="shared" si="1382"/>
        <v>1</v>
      </c>
      <c r="L436" s="93">
        <f t="shared" si="1382"/>
        <v>1.01</v>
      </c>
      <c r="M436" s="93">
        <f t="shared" si="1382"/>
        <v>1.02</v>
      </c>
      <c r="O436" s="93">
        <f>O434/O433</f>
        <v>1.0213017086330933</v>
      </c>
      <c r="P436" s="93">
        <f t="shared" ref="P436:AS436" si="1383">P434/P433</f>
        <v>1.0161827050189178</v>
      </c>
      <c r="Q436" s="93">
        <f t="shared" si="1383"/>
        <v>1</v>
      </c>
      <c r="R436" s="93">
        <f t="shared" si="1383"/>
        <v>1.0175131287157158</v>
      </c>
      <c r="S436" s="93">
        <f t="shared" si="1383"/>
        <v>1.0229803504896651</v>
      </c>
      <c r="T436" s="93">
        <f t="shared" si="1383"/>
        <v>1.0243185955288869</v>
      </c>
      <c r="U436" s="93">
        <f t="shared" si="1383"/>
        <v>1.0156494032773655</v>
      </c>
      <c r="V436" s="93">
        <f t="shared" si="1383"/>
        <v>1.0118340108707371</v>
      </c>
      <c r="W436" s="93">
        <f t="shared" si="1383"/>
        <v>1.0109898869472997</v>
      </c>
      <c r="X436" s="93">
        <f t="shared" si="1383"/>
        <v>1</v>
      </c>
      <c r="Y436" s="93">
        <f t="shared" si="1383"/>
        <v>1.0073493199984844</v>
      </c>
      <c r="Z436" s="93">
        <f t="shared" si="1383"/>
        <v>1.0069801717666342</v>
      </c>
      <c r="AA436" s="93">
        <f t="shared" si="1383"/>
        <v>1.0085125494108411</v>
      </c>
      <c r="AB436" s="93">
        <f t="shared" si="1383"/>
        <v>1.008047579788768</v>
      </c>
      <c r="AC436" s="93">
        <f t="shared" si="1383"/>
        <v>1</v>
      </c>
      <c r="AD436" s="93">
        <f t="shared" si="1383"/>
        <v>1.0085631634927408</v>
      </c>
      <c r="AE436" s="93">
        <f t="shared" si="1383"/>
        <v>1.0095877924445495</v>
      </c>
      <c r="AF436" s="93">
        <f t="shared" si="1383"/>
        <v>1.0100575869845361</v>
      </c>
      <c r="AG436" s="93">
        <f t="shared" si="1383"/>
        <v>1.0081470571148345</v>
      </c>
      <c r="AH436" s="93">
        <f t="shared" si="1383"/>
        <v>1</v>
      </c>
      <c r="AI436" s="93">
        <f t="shared" si="1383"/>
        <v>1.0028455184836049</v>
      </c>
      <c r="AJ436" s="93">
        <f t="shared" si="1383"/>
        <v>1</v>
      </c>
      <c r="AK436" s="93">
        <f t="shared" si="1383"/>
        <v>1</v>
      </c>
      <c r="AL436" s="93">
        <f t="shared" si="1383"/>
        <v>1</v>
      </c>
      <c r="AM436" s="93">
        <f t="shared" si="1383"/>
        <v>1</v>
      </c>
      <c r="AN436" s="93">
        <f t="shared" si="1383"/>
        <v>1</v>
      </c>
      <c r="AO436" s="93">
        <f t="shared" si="1383"/>
        <v>1</v>
      </c>
      <c r="AP436" s="93">
        <f t="shared" si="1383"/>
        <v>1</v>
      </c>
      <c r="AQ436" s="93">
        <f t="shared" si="1383"/>
        <v>1</v>
      </c>
      <c r="AR436" s="93">
        <f t="shared" si="1383"/>
        <v>1</v>
      </c>
      <c r="AS436" s="93">
        <f t="shared" si="1383"/>
        <v>1</v>
      </c>
      <c r="AT436" s="93">
        <f t="shared" ref="AT436:BF436" si="1384">IF(AT49&gt;0,1.02,1)</f>
        <v>1</v>
      </c>
      <c r="AU436" s="181">
        <f t="shared" si="1384"/>
        <v>1</v>
      </c>
      <c r="AV436" s="181">
        <f t="shared" si="1384"/>
        <v>1</v>
      </c>
      <c r="AW436" s="181">
        <f t="shared" si="1384"/>
        <v>1</v>
      </c>
      <c r="AX436" s="181">
        <f t="shared" si="1384"/>
        <v>1</v>
      </c>
      <c r="AY436" s="181">
        <f t="shared" si="1384"/>
        <v>1</v>
      </c>
      <c r="AZ436" s="181">
        <f t="shared" si="1384"/>
        <v>1</v>
      </c>
      <c r="BA436" s="181">
        <f t="shared" si="1384"/>
        <v>1.02</v>
      </c>
      <c r="BB436" s="181">
        <f t="shared" si="1384"/>
        <v>1.02</v>
      </c>
      <c r="BC436" s="181">
        <f t="shared" si="1384"/>
        <v>1.02</v>
      </c>
      <c r="BD436" s="181">
        <f t="shared" si="1384"/>
        <v>1.02</v>
      </c>
      <c r="BE436" s="181">
        <f t="shared" si="1384"/>
        <v>1.02</v>
      </c>
      <c r="BF436" s="181">
        <f t="shared" si="1384"/>
        <v>1.02</v>
      </c>
      <c r="BJ436" s="116">
        <f t="shared" si="1276"/>
        <v>427</v>
      </c>
    </row>
    <row r="437" spans="1:62" hidden="1" outlineLevel="2">
      <c r="B437" s="13"/>
      <c r="BJ437" s="116">
        <f t="shared" si="1276"/>
        <v>428</v>
      </c>
    </row>
    <row r="438" spans="1:62" hidden="1" outlineLevel="2">
      <c r="B438" s="10" t="s">
        <v>170</v>
      </c>
      <c r="C438" s="69">
        <f t="shared" ref="C438:M438" si="1385">C49/C433</f>
        <v>0.332094780015045</v>
      </c>
      <c r="D438" s="69">
        <f t="shared" si="1385"/>
        <v>0.84870606448736718</v>
      </c>
      <c r="E438" s="69">
        <f t="shared" si="1385"/>
        <v>0.56544527901622021</v>
      </c>
      <c r="F438" s="69">
        <f t="shared" si="1385"/>
        <v>0.47583468737040352</v>
      </c>
      <c r="G438" s="69">
        <f t="shared" si="1385"/>
        <v>-2.2894210639955688</v>
      </c>
      <c r="H438" s="69">
        <f t="shared" si="1385"/>
        <v>-1.3268500056098929</v>
      </c>
      <c r="I438" s="69">
        <f t="shared" si="1385"/>
        <v>-4.3481034920847339</v>
      </c>
      <c r="J438" s="69">
        <f t="shared" si="1385"/>
        <v>-1.9587324018078867</v>
      </c>
      <c r="K438" s="69">
        <f t="shared" si="1385"/>
        <v>-0.88151168242602895</v>
      </c>
      <c r="L438" s="69">
        <f t="shared" si="1385"/>
        <v>6.5627629608109528E-2</v>
      </c>
      <c r="M438" s="69">
        <f t="shared" si="1385"/>
        <v>0.6271954305599432</v>
      </c>
      <c r="O438" s="69">
        <f t="shared" ref="O438:BF438" si="1386">O49/O433</f>
        <v>0.14121515287769787</v>
      </c>
      <c r="P438" s="69">
        <f t="shared" si="1386"/>
        <v>0.15295899796971052</v>
      </c>
      <c r="Q438" s="69">
        <f t="shared" si="1386"/>
        <v>-0.13883455668426326</v>
      </c>
      <c r="R438" s="69">
        <f t="shared" si="1386"/>
        <v>0.17685142042369228</v>
      </c>
      <c r="S438" s="69">
        <f t="shared" si="1386"/>
        <v>0.28948251396296598</v>
      </c>
      <c r="T438" s="69">
        <f t="shared" si="1386"/>
        <v>0.66982468474927859</v>
      </c>
      <c r="U438" s="69">
        <f t="shared" si="1386"/>
        <v>0.25829341848500997</v>
      </c>
      <c r="V438" s="69">
        <f t="shared" si="1386"/>
        <v>-0.36809581271452002</v>
      </c>
      <c r="W438" s="69">
        <f t="shared" si="1386"/>
        <v>0.46472215098184672</v>
      </c>
      <c r="X438" s="69">
        <f t="shared" si="1386"/>
        <v>-0.25072766791475348</v>
      </c>
      <c r="Y438" s="69">
        <f t="shared" si="1386"/>
        <v>0.26055302427617427</v>
      </c>
      <c r="Z438" s="69">
        <f t="shared" si="1386"/>
        <v>9.2863488915060077E-2</v>
      </c>
      <c r="AA438" s="69">
        <f t="shared" si="1386"/>
        <v>0.33981973828110262</v>
      </c>
      <c r="AB438" s="69">
        <f t="shared" si="1386"/>
        <v>-1.4795740075386773E-2</v>
      </c>
      <c r="AC438" s="69">
        <f t="shared" si="1386"/>
        <v>-0.35713172199704479</v>
      </c>
      <c r="AD438" s="69">
        <f t="shared" si="1386"/>
        <v>0.51014165802898193</v>
      </c>
      <c r="AE438" s="69">
        <f t="shared" si="1386"/>
        <v>0.16852570811248777</v>
      </c>
      <c r="AF438" s="69">
        <f t="shared" si="1386"/>
        <v>0.2162666451890034</v>
      </c>
      <c r="AG438" s="69">
        <f t="shared" si="1386"/>
        <v>0.36240734602096231</v>
      </c>
      <c r="AH438" s="69">
        <f t="shared" si="1386"/>
        <v>-3.1272417157416701</v>
      </c>
      <c r="AI438" s="69">
        <f t="shared" si="1386"/>
        <v>0.43325471946061295</v>
      </c>
      <c r="AJ438" s="69">
        <f t="shared" si="1386"/>
        <v>-0.13849380428893529</v>
      </c>
      <c r="AK438" s="69">
        <f t="shared" si="1386"/>
        <v>-1.041258376978093</v>
      </c>
      <c r="AL438" s="69">
        <f t="shared" si="1386"/>
        <v>-0.59215330117848841</v>
      </c>
      <c r="AM438" s="69">
        <f t="shared" si="1386"/>
        <v>-2.0688523877020568</v>
      </c>
      <c r="AN438" s="69">
        <f t="shared" si="1386"/>
        <v>-0.6676911950822636</v>
      </c>
      <c r="AO438" s="69">
        <f t="shared" si="1386"/>
        <v>-0.40190887834424133</v>
      </c>
      <c r="AP438" s="69">
        <f t="shared" si="1386"/>
        <v>-1.2124114410407778</v>
      </c>
      <c r="AQ438" s="69">
        <f t="shared" si="1386"/>
        <v>-0.53633617850032933</v>
      </c>
      <c r="AR438" s="69">
        <f t="shared" si="1386"/>
        <v>-0.47667039538785888</v>
      </c>
      <c r="AS438" s="69">
        <f t="shared" si="1386"/>
        <v>-0.5317761794116278</v>
      </c>
      <c r="AT438" s="69">
        <f t="shared" si="1386"/>
        <v>-0.41454750171920479</v>
      </c>
      <c r="AU438" s="69">
        <f t="shared" si="1386"/>
        <v>-0.33402964224222487</v>
      </c>
      <c r="AV438" s="69">
        <f t="shared" si="1386"/>
        <v>-0.25727397583378786</v>
      </c>
      <c r="AW438" s="69">
        <f t="shared" si="1386"/>
        <v>-0.17461493511567341</v>
      </c>
      <c r="AX438" s="69">
        <f t="shared" si="1386"/>
        <v>-0.11559312923434288</v>
      </c>
      <c r="AY438" s="69">
        <f t="shared" si="1386"/>
        <v>-8.5235430511360205E-2</v>
      </c>
      <c r="AZ438" s="69">
        <f t="shared" si="1386"/>
        <v>-2.1577884826329927E-2</v>
      </c>
      <c r="BA438" s="69">
        <f t="shared" si="1386"/>
        <v>6.5386282235082971E-2</v>
      </c>
      <c r="BB438" s="69">
        <f t="shared" si="1386"/>
        <v>0.10705466271071622</v>
      </c>
      <c r="BC438" s="69">
        <f t="shared" si="1386"/>
        <v>0.13558029330565013</v>
      </c>
      <c r="BD438" s="69">
        <f t="shared" si="1386"/>
        <v>0.12779168957253442</v>
      </c>
      <c r="BE438" s="69">
        <f t="shared" si="1386"/>
        <v>0.16932562593237421</v>
      </c>
      <c r="BF438" s="69">
        <f t="shared" si="1386"/>
        <v>0.19449782174938551</v>
      </c>
      <c r="BJ438" s="116">
        <f t="shared" si="1276"/>
        <v>429</v>
      </c>
    </row>
    <row r="439" spans="1:62" hidden="1" outlineLevel="2">
      <c r="B439" s="10" t="s">
        <v>171</v>
      </c>
      <c r="C439" s="69">
        <f t="shared" ref="C439:M439" si="1387">C41/C433</f>
        <v>1.1560557892577272</v>
      </c>
      <c r="D439" s="69">
        <f t="shared" si="1387"/>
        <v>1.5308004628754879</v>
      </c>
      <c r="E439" s="69">
        <f t="shared" si="1387"/>
        <v>2.2109262596907575</v>
      </c>
      <c r="F439" s="69">
        <f t="shared" si="1387"/>
        <v>1.1319199339184589</v>
      </c>
      <c r="G439" s="69">
        <f t="shared" si="1387"/>
        <v>1.068649792234371</v>
      </c>
      <c r="H439" s="69">
        <f t="shared" si="1387"/>
        <v>-5.1330145265295342E-2</v>
      </c>
      <c r="I439" s="69">
        <f t="shared" si="1387"/>
        <v>-1.3634710521104503</v>
      </c>
      <c r="J439" s="69">
        <f t="shared" si="1387"/>
        <v>-1.6965833380348414</v>
      </c>
      <c r="K439" s="69">
        <f t="shared" si="1387"/>
        <v>-0.88151168242602895</v>
      </c>
      <c r="L439" s="69">
        <f t="shared" si="1387"/>
        <v>6.5627629608109528E-2</v>
      </c>
      <c r="M439" s="69">
        <f t="shared" si="1387"/>
        <v>0.6271954305599432</v>
      </c>
      <c r="O439" s="69">
        <f t="shared" ref="O439:BF439" si="1388">O41/O433</f>
        <v>0.18758729344649283</v>
      </c>
      <c r="P439" s="69">
        <f t="shared" si="1388"/>
        <v>0.21572895810029424</v>
      </c>
      <c r="Q439" s="69">
        <f t="shared" si="1388"/>
        <v>0.29537089616589907</v>
      </c>
      <c r="R439" s="69">
        <f t="shared" si="1388"/>
        <v>0.45703100093538818</v>
      </c>
      <c r="S439" s="69">
        <f t="shared" si="1388"/>
        <v>0.31076371656053198</v>
      </c>
      <c r="T439" s="69">
        <f t="shared" si="1388"/>
        <v>0.25116963847538026</v>
      </c>
      <c r="U439" s="69">
        <f t="shared" si="1388"/>
        <v>0.42318087426561918</v>
      </c>
      <c r="V439" s="69">
        <f t="shared" si="1388"/>
        <v>0.54522031847155883</v>
      </c>
      <c r="W439" s="69">
        <f t="shared" si="1388"/>
        <v>0.70788249727938812</v>
      </c>
      <c r="X439" s="69">
        <f t="shared" si="1388"/>
        <v>0.50825166803875854</v>
      </c>
      <c r="Y439" s="69">
        <f t="shared" si="1388"/>
        <v>0.58183746775632184</v>
      </c>
      <c r="Z439" s="69">
        <f t="shared" si="1388"/>
        <v>0.41393623835203192</v>
      </c>
      <c r="AA439" s="69">
        <f t="shared" si="1388"/>
        <v>0.44890259079081335</v>
      </c>
      <c r="AB439" s="69">
        <f t="shared" si="1388"/>
        <v>9.6758575999077098E-2</v>
      </c>
      <c r="AC439" s="69">
        <f t="shared" si="1388"/>
        <v>0.13239409508058947</v>
      </c>
      <c r="AD439" s="69">
        <f t="shared" si="1388"/>
        <v>0.45547967942334128</v>
      </c>
      <c r="AE439" s="69">
        <f t="shared" si="1388"/>
        <v>0.16665001181594141</v>
      </c>
      <c r="AF439" s="69">
        <f t="shared" si="1388"/>
        <v>0.24753006872852232</v>
      </c>
      <c r="AG439" s="69">
        <f t="shared" si="1388"/>
        <v>0.32069810437391716</v>
      </c>
      <c r="AH439" s="69">
        <f t="shared" si="1388"/>
        <v>0.33720318104289387</v>
      </c>
      <c r="AI439" s="69">
        <f t="shared" si="1388"/>
        <v>0.20074922641846635</v>
      </c>
      <c r="AJ439" s="69">
        <f t="shared" si="1388"/>
        <v>-0.15815579285876594</v>
      </c>
      <c r="AK439" s="69">
        <f t="shared" si="1388"/>
        <v>-3.5586388466520173E-2</v>
      </c>
      <c r="AL439" s="69">
        <f t="shared" si="1388"/>
        <v>-5.9539532005890669E-2</v>
      </c>
      <c r="AM439" s="69">
        <f t="shared" si="1388"/>
        <v>-0.30248576224120988</v>
      </c>
      <c r="AN439" s="69">
        <f t="shared" si="1388"/>
        <v>-0.34724281323449646</v>
      </c>
      <c r="AO439" s="69">
        <f t="shared" si="1388"/>
        <v>-0.39093336995450056</v>
      </c>
      <c r="AP439" s="69">
        <f t="shared" si="1388"/>
        <v>-0.32269963474509827</v>
      </c>
      <c r="AQ439" s="69">
        <f t="shared" si="1388"/>
        <v>-0.50667612255697825</v>
      </c>
      <c r="AR439" s="69">
        <f t="shared" si="1388"/>
        <v>-0.40185202713361745</v>
      </c>
      <c r="AS439" s="69">
        <f t="shared" si="1388"/>
        <v>-0.43463068314041953</v>
      </c>
      <c r="AT439" s="69">
        <f t="shared" si="1388"/>
        <v>-0.35418114183707283</v>
      </c>
      <c r="AU439" s="69">
        <f t="shared" si="1388"/>
        <v>-0.33402964224222487</v>
      </c>
      <c r="AV439" s="69">
        <f t="shared" si="1388"/>
        <v>-0.25727397583378786</v>
      </c>
      <c r="AW439" s="69">
        <f t="shared" si="1388"/>
        <v>-0.17461493511567341</v>
      </c>
      <c r="AX439" s="69">
        <f t="shared" si="1388"/>
        <v>-0.11559312923434288</v>
      </c>
      <c r="AY439" s="69">
        <f t="shared" si="1388"/>
        <v>-8.5235430511360205E-2</v>
      </c>
      <c r="AZ439" s="69">
        <f t="shared" si="1388"/>
        <v>-2.1577884826329927E-2</v>
      </c>
      <c r="BA439" s="69">
        <f t="shared" si="1388"/>
        <v>6.5386282235082971E-2</v>
      </c>
      <c r="BB439" s="69">
        <f t="shared" si="1388"/>
        <v>0.10705466271071622</v>
      </c>
      <c r="BC439" s="69">
        <f t="shared" si="1388"/>
        <v>0.13558029330565013</v>
      </c>
      <c r="BD439" s="69">
        <f t="shared" si="1388"/>
        <v>0.12779168957253442</v>
      </c>
      <c r="BE439" s="69">
        <f t="shared" si="1388"/>
        <v>0.16932562593237421</v>
      </c>
      <c r="BF439" s="69">
        <f t="shared" si="1388"/>
        <v>0.19449782174938551</v>
      </c>
      <c r="BJ439" s="116">
        <f t="shared" si="1276"/>
        <v>430</v>
      </c>
    </row>
    <row r="440" spans="1:62" hidden="1" outlineLevel="2">
      <c r="B440" s="13"/>
      <c r="BJ440" s="116">
        <f t="shared" si="1276"/>
        <v>431</v>
      </c>
    </row>
    <row r="441" spans="1:62" hidden="1" outlineLevel="2">
      <c r="B441" s="13" t="s">
        <v>172</v>
      </c>
      <c r="C441" s="50">
        <f t="shared" ref="C441:M444" si="1389">INDEX($O441:$BG441,1,MATCH(C$4,$O$4:$BG$4,0))</f>
        <v>18.654723058609342</v>
      </c>
      <c r="D441" s="50">
        <f t="shared" si="1389"/>
        <v>19.427228920689224</v>
      </c>
      <c r="E441" s="50">
        <f t="shared" si="1389"/>
        <v>20.471589089494113</v>
      </c>
      <c r="F441" s="50">
        <f t="shared" si="1389"/>
        <v>18.439552563860975</v>
      </c>
      <c r="G441" s="50">
        <f t="shared" si="1389"/>
        <v>16.960896036045998</v>
      </c>
      <c r="H441" s="50">
        <f t="shared" si="1389"/>
        <v>15.230987538409016</v>
      </c>
      <c r="I441" s="50">
        <f t="shared" si="1389"/>
        <v>11.436206744738925</v>
      </c>
      <c r="J441" s="50">
        <f t="shared" si="1389"/>
        <v>10.255581579642509</v>
      </c>
      <c r="K441" s="50">
        <f t="shared" si="1389"/>
        <v>9.2304192852590976</v>
      </c>
      <c r="L441" s="50">
        <f t="shared" si="1389"/>
        <v>9.4165505690012203</v>
      </c>
      <c r="M441" s="50">
        <f t="shared" si="1389"/>
        <v>9.9000953876037823</v>
      </c>
      <c r="O441" s="50">
        <f>O379/O435</f>
        <v>18.40264898338684</v>
      </c>
      <c r="P441" s="50">
        <f t="shared" ref="P441:AQ441" si="1390">P379/P435</f>
        <v>18.28589657299905</v>
      </c>
      <c r="Q441" s="50">
        <f t="shared" si="1390"/>
        <v>18.251899621477641</v>
      </c>
      <c r="R441" s="50">
        <f t="shared" si="1390"/>
        <v>18.654723058609342</v>
      </c>
      <c r="S441" s="50">
        <f t="shared" si="1390"/>
        <v>19.022667330961848</v>
      </c>
      <c r="T441" s="50">
        <f t="shared" si="1390"/>
        <v>19.675150638037316</v>
      </c>
      <c r="U441" s="50">
        <f t="shared" si="1390"/>
        <v>19.58836623676558</v>
      </c>
      <c r="V441" s="50">
        <f t="shared" si="1390"/>
        <v>19.427228920689224</v>
      </c>
      <c r="W441" s="50">
        <f t="shared" si="1390"/>
        <v>20.015786192334588</v>
      </c>
      <c r="X441" s="50">
        <f t="shared" si="1390"/>
        <v>19.696646630268166</v>
      </c>
      <c r="Y441" s="50">
        <f t="shared" si="1390"/>
        <v>20.124731819700184</v>
      </c>
      <c r="Z441" s="50">
        <f t="shared" si="1390"/>
        <v>20.471589089494113</v>
      </c>
      <c r="AA441" s="50">
        <f t="shared" si="1390"/>
        <v>20.277368001221976</v>
      </c>
      <c r="AB441" s="50">
        <f t="shared" si="1390"/>
        <v>20.076008365903174</v>
      </c>
      <c r="AC441" s="50">
        <f t="shared" si="1390"/>
        <v>19.741691515315804</v>
      </c>
      <c r="AD441" s="50">
        <f t="shared" si="1390"/>
        <v>18.439552563860975</v>
      </c>
      <c r="AE441" s="50">
        <f t="shared" si="1390"/>
        <v>20.044757497696377</v>
      </c>
      <c r="AF441" s="50">
        <f t="shared" si="1390"/>
        <v>20.2569931936474</v>
      </c>
      <c r="AG441" s="50">
        <f t="shared" si="1390"/>
        <v>20.255778359740464</v>
      </c>
      <c r="AH441" s="50">
        <f t="shared" si="1390"/>
        <v>16.960896036045998</v>
      </c>
      <c r="AI441" s="50">
        <f t="shared" si="1390"/>
        <v>17.054132318094432</v>
      </c>
      <c r="AJ441" s="50">
        <f t="shared" si="1390"/>
        <v>16.898665433177438</v>
      </c>
      <c r="AK441" s="50">
        <f t="shared" si="1390"/>
        <v>15.879774270346529</v>
      </c>
      <c r="AL441" s="50">
        <f t="shared" si="1390"/>
        <v>15.230987538409016</v>
      </c>
      <c r="AM441" s="50">
        <f t="shared" si="1390"/>
        <v>13.845008191431264</v>
      </c>
      <c r="AN441" s="50">
        <f t="shared" si="1390"/>
        <v>13.112558710711022</v>
      </c>
      <c r="AO441" s="50">
        <f t="shared" si="1390"/>
        <v>12.675756078625117</v>
      </c>
      <c r="AP441" s="50">
        <f t="shared" si="1390"/>
        <v>11.436206744738925</v>
      </c>
      <c r="AQ441" s="50">
        <f t="shared" si="1390"/>
        <v>11.115826145354573</v>
      </c>
      <c r="AR441" s="50">
        <f t="shared" ref="AR441:AS441" si="1391">AR379/AR435</f>
        <v>10.668151252860127</v>
      </c>
      <c r="AS441" s="50">
        <f t="shared" si="1391"/>
        <v>10.149137566156075</v>
      </c>
      <c r="AT441" s="50">
        <f t="shared" ref="AT441" si="1392">AT379/AT435</f>
        <v>10.255581579642509</v>
      </c>
      <c r="AU441" s="50">
        <f t="shared" ref="AU441:BF441" si="1393">AU379/AU435</f>
        <v>9.8856392844109404</v>
      </c>
      <c r="AV441" s="50">
        <f t="shared" si="1393"/>
        <v>9.5924526555878078</v>
      </c>
      <c r="AW441" s="50">
        <f t="shared" si="1393"/>
        <v>9.3819250674827863</v>
      </c>
      <c r="AX441" s="50">
        <f t="shared" si="1393"/>
        <v>9.2304192852590976</v>
      </c>
      <c r="AY441" s="50">
        <f t="shared" si="1393"/>
        <v>9.3734254678497901</v>
      </c>
      <c r="AZ441" s="50">
        <f t="shared" si="1393"/>
        <v>9.3159349300341141</v>
      </c>
      <c r="BA441" s="50">
        <f t="shared" si="1393"/>
        <v>9.3454085592798517</v>
      </c>
      <c r="BB441" s="50">
        <f t="shared" si="1393"/>
        <v>9.4165505690012203</v>
      </c>
      <c r="BC441" s="50">
        <f t="shared" si="1393"/>
        <v>9.5162182093175236</v>
      </c>
      <c r="BD441" s="50">
        <f t="shared" si="1393"/>
        <v>9.6080972459007139</v>
      </c>
      <c r="BE441" s="50">
        <f t="shared" si="1393"/>
        <v>9.741510218843743</v>
      </c>
      <c r="BF441" s="50">
        <f t="shared" si="1393"/>
        <v>9.9000953876037823</v>
      </c>
      <c r="BJ441" s="116">
        <f t="shared" si="1276"/>
        <v>432</v>
      </c>
    </row>
    <row r="442" spans="1:62" hidden="1" outlineLevel="2">
      <c r="B442" s="13" t="s">
        <v>173</v>
      </c>
      <c r="C442" s="50">
        <f t="shared" si="1389"/>
        <v>16.92384987045725</v>
      </c>
      <c r="D442" s="50">
        <f t="shared" si="1389"/>
        <v>17.684498727523049</v>
      </c>
      <c r="E442" s="50">
        <f t="shared" si="1389"/>
        <v>18.845116546544585</v>
      </c>
      <c r="F442" s="50">
        <f t="shared" si="1389"/>
        <v>16.854916885740675</v>
      </c>
      <c r="G442" s="50">
        <f t="shared" si="1389"/>
        <v>16.359917486731536</v>
      </c>
      <c r="H442" s="50">
        <f t="shared" si="1389"/>
        <v>14.638283117104818</v>
      </c>
      <c r="I442" s="50">
        <f t="shared" si="1389"/>
        <v>10.848315576296557</v>
      </c>
      <c r="J442" s="50">
        <f t="shared" si="1389"/>
        <v>9.6454697543365313</v>
      </c>
      <c r="K442" s="50">
        <f t="shared" si="1389"/>
        <v>8.6203074599531195</v>
      </c>
      <c r="L442" s="50">
        <f t="shared" si="1389"/>
        <v>8.8064387436952423</v>
      </c>
      <c r="M442" s="50">
        <f t="shared" si="1389"/>
        <v>9.2899835622978042</v>
      </c>
      <c r="O442" s="50">
        <f>(O379-O361)/O435</f>
        <v>17.824588179569496</v>
      </c>
      <c r="P442" s="50">
        <f t="shared" ref="P442:AQ442" si="1394">(P379-P361)/P435</f>
        <v>17.710717090134054</v>
      </c>
      <c r="Q442" s="50">
        <f t="shared" si="1394"/>
        <v>16.627663675872707</v>
      </c>
      <c r="R442" s="50">
        <f t="shared" si="1394"/>
        <v>16.92384987045725</v>
      </c>
      <c r="S442" s="50">
        <f t="shared" si="1394"/>
        <v>17.301521491458814</v>
      </c>
      <c r="T442" s="50">
        <f t="shared" si="1394"/>
        <v>17.956207122082905</v>
      </c>
      <c r="U442" s="50">
        <f t="shared" si="1394"/>
        <v>17.84477301501175</v>
      </c>
      <c r="V442" s="50">
        <f t="shared" si="1394"/>
        <v>17.684498727523049</v>
      </c>
      <c r="W442" s="50">
        <f t="shared" si="1394"/>
        <v>18.288240096170739</v>
      </c>
      <c r="X442" s="50">
        <f t="shared" si="1394"/>
        <v>18.071070081466043</v>
      </c>
      <c r="Y442" s="50">
        <f t="shared" si="1394"/>
        <v>18.497701311715904</v>
      </c>
      <c r="Z442" s="50">
        <f t="shared" si="1394"/>
        <v>18.845116546544585</v>
      </c>
      <c r="AA442" s="50">
        <f t="shared" si="1394"/>
        <v>18.621727397702006</v>
      </c>
      <c r="AB442" s="50">
        <f t="shared" si="1394"/>
        <v>18.424345862979514</v>
      </c>
      <c r="AC442" s="50">
        <f t="shared" si="1394"/>
        <v>18.116735565193821</v>
      </c>
      <c r="AD442" s="50">
        <f t="shared" si="1394"/>
        <v>16.854916885740675</v>
      </c>
      <c r="AE442" s="50">
        <f t="shared" si="1394"/>
        <v>18.321612332609178</v>
      </c>
      <c r="AF442" s="50">
        <f t="shared" si="1394"/>
        <v>18.545739356732948</v>
      </c>
      <c r="AG442" s="50">
        <f t="shared" si="1394"/>
        <v>18.486156121088161</v>
      </c>
      <c r="AH442" s="50">
        <f t="shared" si="1394"/>
        <v>16.359917486731536</v>
      </c>
      <c r="AI442" s="50">
        <f t="shared" si="1394"/>
        <v>16.775742943711332</v>
      </c>
      <c r="AJ442" s="50">
        <f t="shared" si="1394"/>
        <v>16.419811207620228</v>
      </c>
      <c r="AK442" s="50">
        <f t="shared" si="1394"/>
        <v>15.350607530200156</v>
      </c>
      <c r="AL442" s="50">
        <f t="shared" si="1394"/>
        <v>14.638283117104818</v>
      </c>
      <c r="AM442" s="50">
        <f t="shared" si="1394"/>
        <v>13.252044311742466</v>
      </c>
      <c r="AN442" s="50">
        <f t="shared" si="1394"/>
        <v>12.522275664211787</v>
      </c>
      <c r="AO442" s="50">
        <f t="shared" si="1394"/>
        <v>12.085958287750996</v>
      </c>
      <c r="AP442" s="50">
        <f t="shared" si="1394"/>
        <v>10.848315576296557</v>
      </c>
      <c r="AQ442" s="50">
        <f t="shared" si="1394"/>
        <v>10.531697062547659</v>
      </c>
      <c r="AR442" s="50">
        <f t="shared" ref="AR442:AS442" si="1395">(AR379-AR361)/AR435</f>
        <v>10.083019039555531</v>
      </c>
      <c r="AS442" s="50">
        <f t="shared" si="1395"/>
        <v>9.5428593416049559</v>
      </c>
      <c r="AT442" s="50">
        <f t="shared" ref="AT442" si="1396">(AT379-AT361)/AT435</f>
        <v>9.6454697543365313</v>
      </c>
      <c r="AU442" s="50">
        <f t="shared" ref="AU442:BF442" si="1397">(AU379-AU361)/AU435</f>
        <v>9.2755274591049606</v>
      </c>
      <c r="AV442" s="50">
        <f t="shared" si="1397"/>
        <v>8.9823408302818279</v>
      </c>
      <c r="AW442" s="50">
        <f t="shared" si="1397"/>
        <v>8.7718132421768082</v>
      </c>
      <c r="AX442" s="50">
        <f t="shared" si="1397"/>
        <v>8.6203074599531195</v>
      </c>
      <c r="AY442" s="50">
        <f t="shared" si="1397"/>
        <v>8.7633136425438103</v>
      </c>
      <c r="AZ442" s="50">
        <f t="shared" si="1397"/>
        <v>8.705823104728136</v>
      </c>
      <c r="BA442" s="50">
        <f t="shared" si="1397"/>
        <v>8.7352967339738719</v>
      </c>
      <c r="BB442" s="50">
        <f t="shared" si="1397"/>
        <v>8.8064387436952423</v>
      </c>
      <c r="BC442" s="50">
        <f t="shared" si="1397"/>
        <v>8.9061063840115455</v>
      </c>
      <c r="BD442" s="50">
        <f t="shared" si="1397"/>
        <v>8.9979854205947358</v>
      </c>
      <c r="BE442" s="50">
        <f t="shared" si="1397"/>
        <v>9.1313983935377632</v>
      </c>
      <c r="BF442" s="50">
        <f t="shared" si="1397"/>
        <v>9.2899835622978042</v>
      </c>
      <c r="BJ442" s="116">
        <f t="shared" si="1276"/>
        <v>433</v>
      </c>
    </row>
    <row r="443" spans="1:62" hidden="1" outlineLevel="2">
      <c r="B443" s="13" t="s">
        <v>174</v>
      </c>
      <c r="C443" s="50">
        <f t="shared" si="1389"/>
        <v>7.9897355371900822</v>
      </c>
      <c r="D443" s="50">
        <f t="shared" si="1389"/>
        <v>8.8770628272251297</v>
      </c>
      <c r="E443" s="50">
        <f t="shared" si="1389"/>
        <v>10.463868068833653</v>
      </c>
      <c r="F443" s="50">
        <f t="shared" si="1389"/>
        <v>10.353172675521822</v>
      </c>
      <c r="G443" s="50">
        <f t="shared" si="1389"/>
        <v>9.5074116465863465</v>
      </c>
      <c r="H443" s="50">
        <f t="shared" si="1389"/>
        <v>8.7204470338983082</v>
      </c>
      <c r="I443" s="50">
        <f t="shared" si="1389"/>
        <v>6.9371801801801798</v>
      </c>
      <c r="J443" s="50">
        <f t="shared" si="1389"/>
        <v>6.1541348314606736</v>
      </c>
      <c r="K443" s="50">
        <f t="shared" si="1389"/>
        <v>5.4632160615339052</v>
      </c>
      <c r="L443" s="50">
        <f t="shared" si="1389"/>
        <v>5.5811788399635534</v>
      </c>
      <c r="M443" s="50">
        <f t="shared" si="1389"/>
        <v>5.887630765458491</v>
      </c>
      <c r="O443" s="50">
        <f t="shared" ref="O443:BF443" si="1398">(O379-O361)/(O139+O226+O244)</f>
        <v>8.4110513245033101</v>
      </c>
      <c r="P443" s="50">
        <f t="shared" si="1398"/>
        <v>8.3646192052980144</v>
      </c>
      <c r="Q443" s="50">
        <f t="shared" si="1398"/>
        <v>7.8546440397351009</v>
      </c>
      <c r="R443" s="50">
        <f t="shared" si="1398"/>
        <v>7.9897355371900822</v>
      </c>
      <c r="S443" s="50">
        <f t="shared" si="1398"/>
        <v>8.1675986842105264</v>
      </c>
      <c r="T443" s="50">
        <f t="shared" si="1398"/>
        <v>8.4336666666666638</v>
      </c>
      <c r="U443" s="50">
        <f t="shared" si="1398"/>
        <v>9.1780232558139527</v>
      </c>
      <c r="V443" s="50">
        <f t="shared" si="1398"/>
        <v>8.8770628272251297</v>
      </c>
      <c r="W443" s="50">
        <f t="shared" si="1398"/>
        <v>9.0758752136752143</v>
      </c>
      <c r="X443" s="50">
        <f t="shared" si="1398"/>
        <v>8.8022181208053674</v>
      </c>
      <c r="Y443" s="50">
        <f t="shared" si="1398"/>
        <v>9.1976335616438352</v>
      </c>
      <c r="Z443" s="50">
        <f t="shared" si="1398"/>
        <v>10.463868068833653</v>
      </c>
      <c r="AA443" s="50">
        <f t="shared" si="1398"/>
        <v>10.611323017408123</v>
      </c>
      <c r="AB443" s="50">
        <f t="shared" si="1398"/>
        <v>10.432458733205371</v>
      </c>
      <c r="AC443" s="50">
        <f t="shared" si="1398"/>
        <v>10.145371916508541</v>
      </c>
      <c r="AD443" s="50">
        <f t="shared" si="1398"/>
        <v>10.353172675521822</v>
      </c>
      <c r="AE443" s="50">
        <f t="shared" si="1398"/>
        <v>10.456963531669865</v>
      </c>
      <c r="AF443" s="50">
        <f t="shared" si="1398"/>
        <v>10.71007514450867</v>
      </c>
      <c r="AG443" s="50">
        <f t="shared" si="1398"/>
        <v>10.172376425855514</v>
      </c>
      <c r="AH443" s="50">
        <f t="shared" si="1398"/>
        <v>9.5074116465863465</v>
      </c>
      <c r="AI443" s="50">
        <f t="shared" si="1398"/>
        <v>9.32670363288719</v>
      </c>
      <c r="AJ443" s="50">
        <f t="shared" si="1398"/>
        <v>9.1280076190476205</v>
      </c>
      <c r="AK443" s="50">
        <f t="shared" si="1398"/>
        <v>8.1963860640301309</v>
      </c>
      <c r="AL443" s="50">
        <f t="shared" si="1398"/>
        <v>8.7204470338983082</v>
      </c>
      <c r="AM443" s="50">
        <f t="shared" si="1398"/>
        <v>7.9344012738853484</v>
      </c>
      <c r="AN443" s="50">
        <f t="shared" si="1398"/>
        <v>7.5501595744680845</v>
      </c>
      <c r="AO443" s="50">
        <f t="shared" si="1398"/>
        <v>7.2405877378435513</v>
      </c>
      <c r="AP443" s="50">
        <f t="shared" si="1398"/>
        <v>6.9371801801801798</v>
      </c>
      <c r="AQ443" s="50">
        <f t="shared" si="1398"/>
        <v>6.7510067264574003</v>
      </c>
      <c r="AR443" s="50">
        <f t="shared" si="1398"/>
        <v>6.4474026845637562</v>
      </c>
      <c r="AS443" s="50">
        <f t="shared" si="1398"/>
        <v>6.1030961968680097</v>
      </c>
      <c r="AT443" s="50">
        <f t="shared" ref="AT443" si="1399">(AT379-AT361)/(AT139+AT226+AT244)</f>
        <v>6.1541348314606736</v>
      </c>
      <c r="AU443" s="50">
        <f t="shared" si="1398"/>
        <v>5.8784690487195892</v>
      </c>
      <c r="AV443" s="50">
        <f t="shared" si="1398"/>
        <v>5.6926587505307324</v>
      </c>
      <c r="AW443" s="50">
        <f t="shared" si="1398"/>
        <v>5.5592345419309153</v>
      </c>
      <c r="AX443" s="50">
        <f t="shared" si="1398"/>
        <v>5.4632160615339052</v>
      </c>
      <c r="AY443" s="50">
        <f t="shared" si="1398"/>
        <v>5.5538478258019008</v>
      </c>
      <c r="AZ443" s="50">
        <f t="shared" si="1398"/>
        <v>5.5174125558257501</v>
      </c>
      <c r="BA443" s="50">
        <f t="shared" si="1398"/>
        <v>5.5360917973069901</v>
      </c>
      <c r="BB443" s="50">
        <f t="shared" si="1398"/>
        <v>5.5811788399635534</v>
      </c>
      <c r="BC443" s="50">
        <f t="shared" si="1398"/>
        <v>5.6443443193760672</v>
      </c>
      <c r="BD443" s="50">
        <f t="shared" si="1398"/>
        <v>5.7025736842463397</v>
      </c>
      <c r="BE443" s="50">
        <f t="shared" si="1398"/>
        <v>5.7871256448330568</v>
      </c>
      <c r="BF443" s="50">
        <f t="shared" si="1398"/>
        <v>5.887630765458491</v>
      </c>
      <c r="BJ443" s="116">
        <f t="shared" si="1276"/>
        <v>434</v>
      </c>
    </row>
    <row r="444" spans="1:62" hidden="1" outlineLevel="2">
      <c r="B444" s="13" t="s">
        <v>175</v>
      </c>
      <c r="C444" s="50">
        <f t="shared" si="1389"/>
        <v>12.918047933884298</v>
      </c>
      <c r="D444" s="50">
        <f t="shared" si="1389"/>
        <v>15.060987783595113</v>
      </c>
      <c r="E444" s="50">
        <f t="shared" si="1389"/>
        <v>16.657912045889102</v>
      </c>
      <c r="F444" s="50">
        <f t="shared" si="1389"/>
        <v>16.314635673624288</v>
      </c>
      <c r="G444" s="50">
        <f t="shared" si="1389"/>
        <v>17.267319277108435</v>
      </c>
      <c r="H444" s="50">
        <f t="shared" si="1389"/>
        <v>14.889411016949152</v>
      </c>
      <c r="I444" s="50">
        <f t="shared" si="1389"/>
        <v>14.116177927927927</v>
      </c>
      <c r="J444" s="50">
        <f t="shared" si="1389"/>
        <v>13.729359550561798</v>
      </c>
      <c r="K444" s="50">
        <f t="shared" si="1389"/>
        <v>12.729755137324418</v>
      </c>
      <c r="L444" s="50">
        <f t="shared" si="1389"/>
        <v>11.849240999142191</v>
      </c>
      <c r="M444" s="50">
        <f t="shared" si="1389"/>
        <v>11.204020860032914</v>
      </c>
      <c r="O444" s="50">
        <f t="shared" ref="O444:BF444" si="1400">O360/(O139+O226+O244)</f>
        <v>12.65994701986755</v>
      </c>
      <c r="P444" s="50">
        <f t="shared" si="1400"/>
        <v>12.651594370860927</v>
      </c>
      <c r="Q444" s="50">
        <f t="shared" si="1400"/>
        <v>13.05442715231788</v>
      </c>
      <c r="R444" s="50">
        <f t="shared" si="1400"/>
        <v>12.918047933884298</v>
      </c>
      <c r="S444" s="50">
        <f t="shared" si="1400"/>
        <v>13.118350328947368</v>
      </c>
      <c r="T444" s="50">
        <f t="shared" si="1400"/>
        <v>13.680400326797386</v>
      </c>
      <c r="U444" s="50">
        <f t="shared" si="1400"/>
        <v>15.34385152057245</v>
      </c>
      <c r="V444" s="50">
        <f t="shared" si="1400"/>
        <v>15.060987783595113</v>
      </c>
      <c r="W444" s="50">
        <f t="shared" si="1400"/>
        <v>15.066805128205129</v>
      </c>
      <c r="X444" s="50">
        <f t="shared" si="1400"/>
        <v>14.940140939597317</v>
      </c>
      <c r="Y444" s="50">
        <f t="shared" si="1400"/>
        <v>15.229595890410961</v>
      </c>
      <c r="Z444" s="50">
        <f t="shared" si="1400"/>
        <v>16.657912045889102</v>
      </c>
      <c r="AA444" s="50">
        <f t="shared" si="1400"/>
        <v>16.715564796905223</v>
      </c>
      <c r="AB444" s="50">
        <f t="shared" si="1400"/>
        <v>16.463696737044145</v>
      </c>
      <c r="AC444" s="50">
        <f t="shared" si="1400"/>
        <v>16.060349146110056</v>
      </c>
      <c r="AD444" s="50">
        <f t="shared" si="1400"/>
        <v>16.314635673624288</v>
      </c>
      <c r="AE444" s="50">
        <f t="shared" si="1400"/>
        <v>16.680919385796546</v>
      </c>
      <c r="AF444" s="50">
        <f t="shared" si="1400"/>
        <v>17.019202312138727</v>
      </c>
      <c r="AG444" s="50">
        <f t="shared" si="1400"/>
        <v>17.141650190114067</v>
      </c>
      <c r="AH444" s="50">
        <f t="shared" si="1400"/>
        <v>17.267319277108435</v>
      </c>
      <c r="AI444" s="50">
        <f t="shared" si="1400"/>
        <v>14.022577437858509</v>
      </c>
      <c r="AJ444" s="50">
        <f t="shared" si="1400"/>
        <v>14.105601904761905</v>
      </c>
      <c r="AK444" s="50">
        <f t="shared" si="1400"/>
        <v>13.724163841807909</v>
      </c>
      <c r="AL444" s="50">
        <f t="shared" si="1400"/>
        <v>14.889411016949152</v>
      </c>
      <c r="AM444" s="50">
        <f t="shared" si="1400"/>
        <v>14.73952229299363</v>
      </c>
      <c r="AN444" s="50">
        <f t="shared" si="1400"/>
        <v>14.394163829787233</v>
      </c>
      <c r="AO444" s="50">
        <f t="shared" si="1400"/>
        <v>13.988818181818182</v>
      </c>
      <c r="AP444" s="50">
        <f t="shared" si="1400"/>
        <v>14.116177927927927</v>
      </c>
      <c r="AQ444" s="50">
        <f t="shared" si="1400"/>
        <v>13.94327130044843</v>
      </c>
      <c r="AR444" s="50">
        <f t="shared" si="1400"/>
        <v>13.740975391498882</v>
      </c>
      <c r="AS444" s="50">
        <f t="shared" si="1400"/>
        <v>13.538268456375839</v>
      </c>
      <c r="AT444" s="50">
        <f t="shared" ref="AT444" si="1401">AT360/(AT139+AT226+AT244)</f>
        <v>13.729359550561798</v>
      </c>
      <c r="AU444" s="50">
        <f t="shared" si="1400"/>
        <v>13.377288934151787</v>
      </c>
      <c r="AV444" s="50">
        <f t="shared" si="1400"/>
        <v>13.145627319846543</v>
      </c>
      <c r="AW444" s="50">
        <f t="shared" si="1400"/>
        <v>12.932261121420563</v>
      </c>
      <c r="AX444" s="50">
        <f t="shared" si="1400"/>
        <v>12.729755137324418</v>
      </c>
      <c r="AY444" s="50">
        <f t="shared" si="1400"/>
        <v>12.491464901377972</v>
      </c>
      <c r="AZ444" s="50">
        <f t="shared" si="1400"/>
        <v>12.260419683093343</v>
      </c>
      <c r="BA444" s="50">
        <f t="shared" si="1400"/>
        <v>12.049442641486385</v>
      </c>
      <c r="BB444" s="50">
        <f t="shared" si="1400"/>
        <v>11.849240999142191</v>
      </c>
      <c r="BC444" s="50">
        <f t="shared" si="1400"/>
        <v>11.67997240795836</v>
      </c>
      <c r="BD444" s="50">
        <f t="shared" si="1400"/>
        <v>11.510212851761553</v>
      </c>
      <c r="BE444" s="50">
        <f t="shared" si="1400"/>
        <v>11.354350295524016</v>
      </c>
      <c r="BF444" s="50">
        <f t="shared" si="1400"/>
        <v>11.204020860032914</v>
      </c>
      <c r="BJ444" s="116">
        <f t="shared" si="1276"/>
        <v>435</v>
      </c>
    </row>
    <row r="445" spans="1:62" hidden="1" outlineLevel="2">
      <c r="B445" s="44"/>
      <c r="BJ445" s="116">
        <f t="shared" si="1276"/>
        <v>436</v>
      </c>
    </row>
    <row r="446" spans="1:62" outlineLevel="1" collapsed="1">
      <c r="A446" s="72" t="s">
        <v>322</v>
      </c>
      <c r="B446" s="45" t="s">
        <v>176</v>
      </c>
      <c r="BJ446" s="116">
        <f t="shared" si="1276"/>
        <v>437</v>
      </c>
    </row>
    <row r="447" spans="1:62" hidden="1" outlineLevel="2">
      <c r="B447" s="46" t="s">
        <v>177</v>
      </c>
      <c r="BJ447" s="116">
        <f t="shared" si="1276"/>
        <v>438</v>
      </c>
    </row>
    <row r="448" spans="1:62" hidden="1" outlineLevel="2">
      <c r="B448" s="13" t="s">
        <v>178</v>
      </c>
      <c r="C448" s="50">
        <f t="shared" ref="C448:M450" si="1402">INDEX($O448:$BG448,1,MATCH(C$4,$O$4:$BG$4,0))</f>
        <v>8984.8169999999991</v>
      </c>
      <c r="D448" s="50">
        <f t="shared" si="1402"/>
        <v>9685.5439999999999</v>
      </c>
      <c r="E448" s="50">
        <f t="shared" si="1402"/>
        <v>9558.6129999999994</v>
      </c>
      <c r="F448" s="50">
        <f t="shared" si="1402"/>
        <v>9388.3459999999995</v>
      </c>
      <c r="G448" s="50">
        <f t="shared" si="1402"/>
        <v>8737.6689999999999</v>
      </c>
      <c r="H448" s="50">
        <f t="shared" si="1402"/>
        <v>7680.9870000000001</v>
      </c>
      <c r="I448" s="50">
        <f t="shared" si="1402"/>
        <v>6538.2250000000004</v>
      </c>
      <c r="J448" s="50">
        <f t="shared" si="1402"/>
        <v>6805.351999999999</v>
      </c>
      <c r="K448" s="50">
        <f t="shared" si="1402"/>
        <v>6627.1374263378984</v>
      </c>
      <c r="L448" s="50">
        <f t="shared" si="1402"/>
        <v>6337.1131888524651</v>
      </c>
      <c r="M448" s="50">
        <f t="shared" si="1402"/>
        <v>6064.3634401833406</v>
      </c>
      <c r="O448" s="50">
        <f>SUM(O353:O356,O360:O362)-SUM(O367:O368,O371:O372)</f>
        <v>8053.7749999999996</v>
      </c>
      <c r="P448" s="50">
        <f>SUM(P353:P356,P360:P362)-SUM(P367:P368,P371:P372)</f>
        <v>8046.0549999999994</v>
      </c>
      <c r="Q448" s="50">
        <f>SUM(Q353:Q356,Q360:Q362)-SUM(Q367:Q368,Q371:Q372)</f>
        <v>8957.5630000000001</v>
      </c>
      <c r="R448" s="50">
        <f t="shared" ref="R448:BB448" si="1403">SUM(R353:R356,R360:R362)-SUM(R367:R368,R371:R372)</f>
        <v>8984.8169999999991</v>
      </c>
      <c r="S448" s="50">
        <f t="shared" si="1403"/>
        <v>9199.246000000001</v>
      </c>
      <c r="T448" s="50">
        <f t="shared" si="1403"/>
        <v>9260.9000000000015</v>
      </c>
      <c r="U448" s="50">
        <f t="shared" si="1403"/>
        <v>9611.5789999999997</v>
      </c>
      <c r="V448" s="50">
        <f t="shared" si="1403"/>
        <v>9685.5439999999999</v>
      </c>
      <c r="W448" s="50">
        <f t="shared" si="1403"/>
        <v>10102.549000000003</v>
      </c>
      <c r="X448" s="50">
        <f t="shared" si="1403"/>
        <v>9947.4950000000026</v>
      </c>
      <c r="Y448" s="50">
        <f t="shared" si="1403"/>
        <v>9915.8459999999995</v>
      </c>
      <c r="Z448" s="50">
        <f t="shared" si="1403"/>
        <v>9558.6129999999994</v>
      </c>
      <c r="AA448" s="50">
        <f t="shared" si="1403"/>
        <v>9674.398000000001</v>
      </c>
      <c r="AB448" s="50">
        <f t="shared" si="1403"/>
        <v>9407.9609999999993</v>
      </c>
      <c r="AC448" s="50">
        <f t="shared" si="1403"/>
        <v>9393.1229999999996</v>
      </c>
      <c r="AD448" s="50">
        <f t="shared" si="1403"/>
        <v>9388.3459999999995</v>
      </c>
      <c r="AE448" s="50">
        <f t="shared" si="1403"/>
        <v>9364.2740000000013</v>
      </c>
      <c r="AF448" s="50">
        <f t="shared" si="1403"/>
        <v>9552.0750000000007</v>
      </c>
      <c r="AG448" s="50">
        <f t="shared" si="1403"/>
        <v>9663.7479999999996</v>
      </c>
      <c r="AH448" s="50">
        <f t="shared" si="1403"/>
        <v>8737.6689999999999</v>
      </c>
      <c r="AI448" s="50">
        <f t="shared" si="1403"/>
        <v>8172.0469999999996</v>
      </c>
      <c r="AJ448" s="50">
        <f t="shared" si="1403"/>
        <v>8227.1939999999995</v>
      </c>
      <c r="AK448" s="50">
        <f t="shared" si="1403"/>
        <v>7981.5919999999987</v>
      </c>
      <c r="AL448" s="50">
        <f t="shared" si="1403"/>
        <v>7680.9870000000001</v>
      </c>
      <c r="AM448" s="50">
        <f t="shared" si="1403"/>
        <v>7284.9779999999982</v>
      </c>
      <c r="AN448" s="50">
        <f t="shared" si="1403"/>
        <v>6970.1889999999985</v>
      </c>
      <c r="AO448" s="50">
        <f t="shared" si="1403"/>
        <v>6874.1420000000016</v>
      </c>
      <c r="AP448" s="50">
        <f t="shared" si="1403"/>
        <v>6538.2250000000004</v>
      </c>
      <c r="AQ448" s="50">
        <f>SUM(AQ353:AQ356,AQ360:AQ362)-SUM(AQ367:AQ368,AQ371:AQ372)</f>
        <v>6619.7769999999982</v>
      </c>
      <c r="AR448" s="50">
        <f>SUM(AR353:AR356,AR360:AR362)-SUM(AR367:AR368,AR371:AR372)</f>
        <v>6581.1070000000009</v>
      </c>
      <c r="AS448" s="50">
        <f>SUM(AS353:AS356,AS360:AS362)-SUM(AS367:AS368,AS371:AS372)</f>
        <v>6665.7060000000001</v>
      </c>
      <c r="AT448" s="50">
        <f>SUM(AT353:AT356,AT360:AT362)-SUM(AT367:AT368,AT371:AT372)</f>
        <v>6805.351999999999</v>
      </c>
      <c r="AU448" s="50">
        <f t="shared" si="1403"/>
        <v>6735.6515203979143</v>
      </c>
      <c r="AV448" s="50">
        <f t="shared" si="1403"/>
        <v>6689.1808819602993</v>
      </c>
      <c r="AW448" s="50">
        <f t="shared" si="1403"/>
        <v>6662.3283520905161</v>
      </c>
      <c r="AX448" s="50">
        <f t="shared" si="1403"/>
        <v>6627.1374263378984</v>
      </c>
      <c r="AY448" s="50">
        <f t="shared" si="1403"/>
        <v>6556.6784731540283</v>
      </c>
      <c r="AZ448" s="50">
        <f t="shared" si="1403"/>
        <v>6461.6382427690414</v>
      </c>
      <c r="BA448" s="50">
        <f t="shared" si="1403"/>
        <v>6406.0026762325397</v>
      </c>
      <c r="BB448" s="50">
        <f t="shared" si="1403"/>
        <v>6337.1131888524651</v>
      </c>
      <c r="BC448" s="50">
        <f t="shared" ref="BC448:BF448" si="1404">SUM(BC353:BC356,BC360:BC362)-SUM(BC367:BC368,BC371:BC372)</f>
        <v>6261.4220829586111</v>
      </c>
      <c r="BD448" s="50">
        <f t="shared" si="1404"/>
        <v>6176.8350680498743</v>
      </c>
      <c r="BE448" s="50">
        <f t="shared" si="1404"/>
        <v>6126.0463025909248</v>
      </c>
      <c r="BF448" s="50">
        <f t="shared" si="1404"/>
        <v>6064.3634401833406</v>
      </c>
      <c r="BJ448" s="116">
        <f t="shared" si="1276"/>
        <v>439</v>
      </c>
    </row>
    <row r="449" spans="1:62" hidden="1" outlineLevel="2">
      <c r="B449" s="13" t="s">
        <v>179</v>
      </c>
      <c r="C449" s="50">
        <f t="shared" si="1402"/>
        <v>801.19</v>
      </c>
      <c r="D449" s="50">
        <f t="shared" si="1402"/>
        <v>539.48900000000003</v>
      </c>
      <c r="E449" s="50">
        <f t="shared" si="1402"/>
        <v>778.20400000000006</v>
      </c>
      <c r="F449" s="50">
        <f t="shared" si="1402"/>
        <v>507.13300000000004</v>
      </c>
      <c r="G449" s="50">
        <f t="shared" si="1402"/>
        <v>536.16899999999998</v>
      </c>
      <c r="H449" s="50">
        <f t="shared" si="1402"/>
        <v>274.589</v>
      </c>
      <c r="I449" s="50">
        <f t="shared" si="1402"/>
        <v>295.202</v>
      </c>
      <c r="J449" s="50">
        <f t="shared" si="1402"/>
        <v>365.36599999999999</v>
      </c>
      <c r="K449" s="50">
        <f t="shared" si="1402"/>
        <v>200</v>
      </c>
      <c r="L449" s="50">
        <f t="shared" si="1402"/>
        <v>200</v>
      </c>
      <c r="M449" s="50">
        <f t="shared" si="1402"/>
        <v>200</v>
      </c>
      <c r="O449" s="50">
        <f>O351+O352</f>
        <v>1061.0140000000001</v>
      </c>
      <c r="P449" s="50">
        <f>P351+P352</f>
        <v>892.87599999999998</v>
      </c>
      <c r="Q449" s="50">
        <f>Q351+Q352</f>
        <v>772.46900000000005</v>
      </c>
      <c r="R449" s="50">
        <f t="shared" ref="R449:AQ449" si="1405">R351+R352</f>
        <v>801.19</v>
      </c>
      <c r="S449" s="50">
        <f t="shared" si="1405"/>
        <v>730.30700000000002</v>
      </c>
      <c r="T449" s="50">
        <f t="shared" si="1405"/>
        <v>673.04200000000003</v>
      </c>
      <c r="U449" s="50">
        <f t="shared" si="1405"/>
        <v>395.32</v>
      </c>
      <c r="V449" s="50">
        <f t="shared" si="1405"/>
        <v>539.48900000000003</v>
      </c>
      <c r="W449" s="50">
        <f t="shared" si="1405"/>
        <v>493.97199999999998</v>
      </c>
      <c r="X449" s="50">
        <f t="shared" si="1405"/>
        <v>455.18200000000002</v>
      </c>
      <c r="Y449" s="50">
        <f t="shared" si="1405"/>
        <v>619.56299999999999</v>
      </c>
      <c r="Z449" s="50">
        <f t="shared" si="1405"/>
        <v>778.20400000000006</v>
      </c>
      <c r="AA449" s="50">
        <f t="shared" si="1405"/>
        <v>690.48</v>
      </c>
      <c r="AB449" s="50">
        <f t="shared" si="1405"/>
        <v>607.96</v>
      </c>
      <c r="AC449" s="50">
        <f t="shared" si="1405"/>
        <v>491.93799999999999</v>
      </c>
      <c r="AD449" s="50">
        <f t="shared" si="1405"/>
        <v>507.13300000000004</v>
      </c>
      <c r="AE449" s="50">
        <f t="shared" si="1405"/>
        <v>424.76699999999994</v>
      </c>
      <c r="AF449" s="50">
        <f t="shared" si="1405"/>
        <v>486.34400000000005</v>
      </c>
      <c r="AG449" s="50">
        <f t="shared" si="1405"/>
        <v>464.81799999999998</v>
      </c>
      <c r="AH449" s="50">
        <f t="shared" si="1405"/>
        <v>536.16899999999998</v>
      </c>
      <c r="AI449" s="50">
        <f t="shared" si="1405"/>
        <v>621.17099999999994</v>
      </c>
      <c r="AJ449" s="50">
        <f t="shared" si="1405"/>
        <v>469.89699999999999</v>
      </c>
      <c r="AK449" s="50">
        <f t="shared" si="1405"/>
        <v>276.56200000000001</v>
      </c>
      <c r="AL449" s="50">
        <f t="shared" si="1405"/>
        <v>274.589</v>
      </c>
      <c r="AM449" s="50">
        <f t="shared" si="1405"/>
        <v>221.501</v>
      </c>
      <c r="AN449" s="50">
        <f t="shared" si="1405"/>
        <v>255.85599999999999</v>
      </c>
      <c r="AO449" s="50">
        <f t="shared" si="1405"/>
        <v>200.65</v>
      </c>
      <c r="AP449" s="50">
        <f t="shared" si="1405"/>
        <v>295.202</v>
      </c>
      <c r="AQ449" s="50">
        <f t="shared" si="1405"/>
        <v>228.595</v>
      </c>
      <c r="AR449" s="50">
        <f t="shared" ref="AR449" si="1406">AR351+AR352</f>
        <v>232.04300000000001</v>
      </c>
      <c r="AS449" s="50">
        <f t="shared" ref="AS449:AT449" si="1407">AS351+AS352</f>
        <v>220.32600000000002</v>
      </c>
      <c r="AT449" s="50">
        <f t="shared" si="1407"/>
        <v>365.36599999999999</v>
      </c>
      <c r="AU449" s="51">
        <v>200</v>
      </c>
      <c r="AV449" s="51">
        <v>200</v>
      </c>
      <c r="AW449" s="51">
        <v>200</v>
      </c>
      <c r="AX449" s="51">
        <v>200</v>
      </c>
      <c r="AY449" s="51">
        <v>200</v>
      </c>
      <c r="AZ449" s="51">
        <v>200</v>
      </c>
      <c r="BA449" s="51">
        <v>200</v>
      </c>
      <c r="BB449" s="51">
        <v>200</v>
      </c>
      <c r="BC449" s="51">
        <v>200</v>
      </c>
      <c r="BD449" s="51">
        <v>200</v>
      </c>
      <c r="BE449" s="51">
        <v>200</v>
      </c>
      <c r="BF449" s="51">
        <v>200</v>
      </c>
      <c r="BJ449" s="116">
        <f t="shared" si="1276"/>
        <v>440</v>
      </c>
    </row>
    <row r="450" spans="1:62" hidden="1" outlineLevel="2">
      <c r="B450" s="13" t="s">
        <v>180</v>
      </c>
      <c r="C450" s="50">
        <f t="shared" si="1402"/>
        <v>9786.0069999999996</v>
      </c>
      <c r="D450" s="50">
        <f t="shared" si="1402"/>
        <v>10225.032999999999</v>
      </c>
      <c r="E450" s="50">
        <f t="shared" si="1402"/>
        <v>10336.816999999999</v>
      </c>
      <c r="F450" s="50">
        <f t="shared" si="1402"/>
        <v>9895.4789999999994</v>
      </c>
      <c r="G450" s="50">
        <f t="shared" si="1402"/>
        <v>9273.8379999999997</v>
      </c>
      <c r="H450" s="50">
        <f t="shared" si="1402"/>
        <v>7955.576</v>
      </c>
      <c r="I450" s="50">
        <f t="shared" si="1402"/>
        <v>6833.4270000000006</v>
      </c>
      <c r="J450" s="50">
        <f t="shared" si="1402"/>
        <v>7170.7179999999989</v>
      </c>
      <c r="K450" s="50">
        <f t="shared" si="1402"/>
        <v>6827.1374263378984</v>
      </c>
      <c r="L450" s="50">
        <f t="shared" si="1402"/>
        <v>6537.1131888524651</v>
      </c>
      <c r="M450" s="50">
        <f t="shared" si="1402"/>
        <v>6264.3634401833406</v>
      </c>
      <c r="O450" s="50">
        <f>O448+O449</f>
        <v>9114.7890000000007</v>
      </c>
      <c r="P450" s="50">
        <f>P448+P449</f>
        <v>8938.9309999999987</v>
      </c>
      <c r="Q450" s="50">
        <f>Q448+Q449</f>
        <v>9730.0319999999992</v>
      </c>
      <c r="R450" s="50">
        <f t="shared" ref="R450:BB450" si="1408">R448+R449</f>
        <v>9786.0069999999996</v>
      </c>
      <c r="S450" s="50">
        <f t="shared" si="1408"/>
        <v>9929.5530000000017</v>
      </c>
      <c r="T450" s="50">
        <f t="shared" si="1408"/>
        <v>9933.9420000000009</v>
      </c>
      <c r="U450" s="50">
        <f t="shared" si="1408"/>
        <v>10006.898999999999</v>
      </c>
      <c r="V450" s="50">
        <f t="shared" si="1408"/>
        <v>10225.032999999999</v>
      </c>
      <c r="W450" s="50">
        <f t="shared" si="1408"/>
        <v>10596.521000000002</v>
      </c>
      <c r="X450" s="50">
        <f t="shared" si="1408"/>
        <v>10402.677000000003</v>
      </c>
      <c r="Y450" s="50">
        <f t="shared" si="1408"/>
        <v>10535.409</v>
      </c>
      <c r="Z450" s="50">
        <f t="shared" si="1408"/>
        <v>10336.816999999999</v>
      </c>
      <c r="AA450" s="50">
        <f t="shared" si="1408"/>
        <v>10364.878000000001</v>
      </c>
      <c r="AB450" s="50">
        <f t="shared" si="1408"/>
        <v>10015.920999999998</v>
      </c>
      <c r="AC450" s="50">
        <f t="shared" si="1408"/>
        <v>9885.0609999999997</v>
      </c>
      <c r="AD450" s="50">
        <f t="shared" si="1408"/>
        <v>9895.4789999999994</v>
      </c>
      <c r="AE450" s="50">
        <f t="shared" si="1408"/>
        <v>9789.0410000000011</v>
      </c>
      <c r="AF450" s="50">
        <f t="shared" si="1408"/>
        <v>10038.419000000002</v>
      </c>
      <c r="AG450" s="50">
        <f t="shared" si="1408"/>
        <v>10128.565999999999</v>
      </c>
      <c r="AH450" s="50">
        <f t="shared" si="1408"/>
        <v>9273.8379999999997</v>
      </c>
      <c r="AI450" s="50">
        <f t="shared" si="1408"/>
        <v>8793.2179999999989</v>
      </c>
      <c r="AJ450" s="50">
        <f t="shared" si="1408"/>
        <v>8697.0910000000003</v>
      </c>
      <c r="AK450" s="50">
        <f t="shared" si="1408"/>
        <v>8258.1539999999986</v>
      </c>
      <c r="AL450" s="50">
        <f t="shared" si="1408"/>
        <v>7955.576</v>
      </c>
      <c r="AM450" s="50">
        <f t="shared" si="1408"/>
        <v>7506.4789999999985</v>
      </c>
      <c r="AN450" s="50">
        <f t="shared" si="1408"/>
        <v>7226.0449999999983</v>
      </c>
      <c r="AO450" s="50">
        <f t="shared" si="1408"/>
        <v>7074.7920000000013</v>
      </c>
      <c r="AP450" s="50">
        <f t="shared" si="1408"/>
        <v>6833.4270000000006</v>
      </c>
      <c r="AQ450" s="50">
        <f t="shared" si="1408"/>
        <v>6848.3719999999985</v>
      </c>
      <c r="AR450" s="50">
        <f t="shared" ref="AR450" si="1409">AR448+AR449</f>
        <v>6813.1500000000005</v>
      </c>
      <c r="AS450" s="50">
        <f t="shared" ref="AS450:AT450" si="1410">AS448+AS449</f>
        <v>6886.0320000000002</v>
      </c>
      <c r="AT450" s="50">
        <f t="shared" si="1410"/>
        <v>7170.7179999999989</v>
      </c>
      <c r="AU450" s="50">
        <f t="shared" si="1408"/>
        <v>6935.6515203979143</v>
      </c>
      <c r="AV450" s="50">
        <f t="shared" si="1408"/>
        <v>6889.1808819602993</v>
      </c>
      <c r="AW450" s="50">
        <f t="shared" si="1408"/>
        <v>6862.3283520905161</v>
      </c>
      <c r="AX450" s="50">
        <f t="shared" si="1408"/>
        <v>6827.1374263378984</v>
      </c>
      <c r="AY450" s="50">
        <f t="shared" si="1408"/>
        <v>6756.6784731540283</v>
      </c>
      <c r="AZ450" s="50">
        <f t="shared" si="1408"/>
        <v>6661.6382427690414</v>
      </c>
      <c r="BA450" s="50">
        <f t="shared" si="1408"/>
        <v>6606.0026762325397</v>
      </c>
      <c r="BB450" s="50">
        <f t="shared" si="1408"/>
        <v>6537.1131888524651</v>
      </c>
      <c r="BC450" s="50">
        <f t="shared" ref="BC450" si="1411">BC448+BC449</f>
        <v>6461.4220829586111</v>
      </c>
      <c r="BD450" s="50">
        <f t="shared" ref="BD450" si="1412">BD448+BD449</f>
        <v>6376.8350680498743</v>
      </c>
      <c r="BE450" s="50">
        <f t="shared" ref="BE450" si="1413">BE448+BE449</f>
        <v>6326.0463025909248</v>
      </c>
      <c r="BF450" s="50">
        <f t="shared" ref="BF450" si="1414">BF448+BF449</f>
        <v>6264.3634401833406</v>
      </c>
      <c r="BJ450" s="116">
        <f t="shared" si="1276"/>
        <v>441</v>
      </c>
    </row>
    <row r="451" spans="1:62" hidden="1" outlineLevel="2">
      <c r="B451" s="44"/>
      <c r="BJ451" s="116">
        <f t="shared" si="1276"/>
        <v>442</v>
      </c>
    </row>
    <row r="452" spans="1:62" hidden="1" outlineLevel="2">
      <c r="B452" s="44" t="s">
        <v>181</v>
      </c>
      <c r="BJ452" s="116">
        <f t="shared" si="1276"/>
        <v>443</v>
      </c>
    </row>
    <row r="453" spans="1:62" hidden="1" outlineLevel="2">
      <c r="B453" s="13" t="s">
        <v>133</v>
      </c>
      <c r="C453" s="50">
        <f t="shared" ref="C453:M456" si="1415">INDEX($O453:$BG453,1,MATCH(C$4,$O$4:$BG$4,0))</f>
        <v>5328.1620000000003</v>
      </c>
      <c r="D453" s="50">
        <f t="shared" si="1415"/>
        <v>5587.8149999999996</v>
      </c>
      <c r="E453" s="50">
        <f t="shared" si="1415"/>
        <v>5944.929000000001</v>
      </c>
      <c r="F453" s="50">
        <f t="shared" si="1415"/>
        <v>5969.0860000000002</v>
      </c>
      <c r="G453" s="50">
        <f t="shared" si="1415"/>
        <v>4908.6190000000006</v>
      </c>
      <c r="H453" s="50">
        <f t="shared" si="1415"/>
        <v>4282.7100000000009</v>
      </c>
      <c r="I453" s="50">
        <f t="shared" si="1415"/>
        <v>3247.0249999999996</v>
      </c>
      <c r="J453" s="50">
        <f t="shared" si="1415"/>
        <v>2911.8159999999998</v>
      </c>
      <c r="K453" s="50">
        <f t="shared" si="1415"/>
        <v>2620.7467955671896</v>
      </c>
      <c r="L453" s="50">
        <f t="shared" si="1415"/>
        <v>2673.5941203036718</v>
      </c>
      <c r="M453" s="50">
        <f t="shared" si="1415"/>
        <v>2810.8845829254042</v>
      </c>
      <c r="O453" s="50">
        <f t="shared" ref="O453:Q454" si="1416">O379</f>
        <v>5245.0309999999999</v>
      </c>
      <c r="P453" s="50">
        <f t="shared" si="1416"/>
        <v>5216.3080000000009</v>
      </c>
      <c r="Q453" s="50">
        <f t="shared" si="1416"/>
        <v>5207.6320000000005</v>
      </c>
      <c r="R453" s="50">
        <f t="shared" ref="R453:BB453" si="1417">R379</f>
        <v>5328.1620000000003</v>
      </c>
      <c r="S453" s="50">
        <f t="shared" si="1417"/>
        <v>5459.9050000000007</v>
      </c>
      <c r="T453" s="50">
        <f t="shared" si="1417"/>
        <v>5655.503999999999</v>
      </c>
      <c r="U453" s="50">
        <f t="shared" si="1417"/>
        <v>5631.811999999999</v>
      </c>
      <c r="V453" s="50">
        <f t="shared" si="1417"/>
        <v>5587.8149999999996</v>
      </c>
      <c r="W453" s="50">
        <f t="shared" si="1417"/>
        <v>5810.9230000000007</v>
      </c>
      <c r="X453" s="50">
        <f t="shared" si="1417"/>
        <v>5718.0349999999999</v>
      </c>
      <c r="Y453" s="50">
        <f t="shared" si="1417"/>
        <v>5843.8799999999992</v>
      </c>
      <c r="Z453" s="50">
        <f t="shared" si="1417"/>
        <v>5944.929000000001</v>
      </c>
      <c r="AA453" s="50">
        <f t="shared" si="1417"/>
        <v>5973.8140000000003</v>
      </c>
      <c r="AB453" s="50">
        <f t="shared" si="1417"/>
        <v>5922.5629999999983</v>
      </c>
      <c r="AC453" s="50">
        <f t="shared" si="1417"/>
        <v>5826.1680000000006</v>
      </c>
      <c r="AD453" s="50">
        <f t="shared" si="1417"/>
        <v>5969.0860000000002</v>
      </c>
      <c r="AE453" s="50">
        <f t="shared" si="1417"/>
        <v>5960.4689999999991</v>
      </c>
      <c r="AF453" s="50">
        <f t="shared" si="1417"/>
        <v>6071.4259999999995</v>
      </c>
      <c r="AG453" s="50">
        <f t="shared" si="1417"/>
        <v>5862.8729999999996</v>
      </c>
      <c r="AH453" s="50">
        <f t="shared" si="1417"/>
        <v>4908.6190000000006</v>
      </c>
      <c r="AI453" s="50">
        <f t="shared" si="1417"/>
        <v>4958.8130000000001</v>
      </c>
      <c r="AJ453" s="50">
        <f t="shared" si="1417"/>
        <v>4931.9600000000009</v>
      </c>
      <c r="AK453" s="50">
        <f t="shared" si="1417"/>
        <v>4502.3130000000001</v>
      </c>
      <c r="AL453" s="50">
        <f t="shared" si="1417"/>
        <v>4282.7100000000009</v>
      </c>
      <c r="AM453" s="50">
        <f t="shared" si="1417"/>
        <v>3904.3199999999993</v>
      </c>
      <c r="AN453" s="50">
        <f t="shared" si="1417"/>
        <v>3715.85</v>
      </c>
      <c r="AO453" s="50">
        <f t="shared" si="1417"/>
        <v>3591.9289999999996</v>
      </c>
      <c r="AP453" s="50">
        <f t="shared" si="1417"/>
        <v>3247.0249999999996</v>
      </c>
      <c r="AQ453" s="50">
        <f t="shared" si="1417"/>
        <v>3177.9480000000003</v>
      </c>
      <c r="AR453" s="50">
        <f t="shared" ref="AR453" si="1418">AR379</f>
        <v>3049.2349999999992</v>
      </c>
      <c r="AS453" s="50">
        <f t="shared" ref="AS453:AT453" si="1419">AS379</f>
        <v>2901.4050000000002</v>
      </c>
      <c r="AT453" s="50">
        <f t="shared" si="1419"/>
        <v>2911.8159999999998</v>
      </c>
      <c r="AU453" s="50">
        <f t="shared" si="1417"/>
        <v>2806.7801338263762</v>
      </c>
      <c r="AV453" s="50">
        <f t="shared" si="1417"/>
        <v>2723.5371202377682</v>
      </c>
      <c r="AW453" s="50">
        <f t="shared" si="1417"/>
        <v>2663.7630747850503</v>
      </c>
      <c r="AX453" s="50">
        <f t="shared" si="1417"/>
        <v>2620.7467955671896</v>
      </c>
      <c r="AY453" s="50">
        <f t="shared" si="1417"/>
        <v>2661.3498259592516</v>
      </c>
      <c r="AZ453" s="50">
        <f t="shared" si="1417"/>
        <v>2645.0268250099361</v>
      </c>
      <c r="BA453" s="50">
        <f t="shared" si="1417"/>
        <v>2653.3951251935318</v>
      </c>
      <c r="BB453" s="50">
        <f t="shared" si="1417"/>
        <v>2673.5941203036718</v>
      </c>
      <c r="BC453" s="50">
        <f t="shared" ref="BC453:BF453" si="1420">BC379</f>
        <v>2701.8922550804782</v>
      </c>
      <c r="BD453" s="50">
        <f t="shared" si="1420"/>
        <v>2727.9790105423604</v>
      </c>
      <c r="BE453" s="50">
        <f t="shared" si="1420"/>
        <v>2765.8582888852097</v>
      </c>
      <c r="BF453" s="50">
        <f t="shared" si="1420"/>
        <v>2810.8845829254042</v>
      </c>
      <c r="BJ453" s="116">
        <f t="shared" si="1276"/>
        <v>444</v>
      </c>
    </row>
    <row r="454" spans="1:62" hidden="1" outlineLevel="2">
      <c r="B454" s="13" t="s">
        <v>182</v>
      </c>
      <c r="C454" s="50">
        <f t="shared" si="1415"/>
        <v>14.701000000000001</v>
      </c>
      <c r="D454" s="50">
        <f t="shared" si="1415"/>
        <v>13.401999999999999</v>
      </c>
      <c r="E454" s="50">
        <f t="shared" si="1415"/>
        <v>12.188000000000001</v>
      </c>
      <c r="F454" s="50">
        <f t="shared" si="1415"/>
        <v>12.090999999999999</v>
      </c>
      <c r="G454" s="50">
        <f t="shared" si="1415"/>
        <v>10.17</v>
      </c>
      <c r="H454" s="50">
        <f t="shared" si="1415"/>
        <v>11.157999999999999</v>
      </c>
      <c r="I454" s="50">
        <f t="shared" si="1415"/>
        <v>7.77</v>
      </c>
      <c r="J454" s="50">
        <f t="shared" si="1415"/>
        <v>230.95499999999998</v>
      </c>
      <c r="K454" s="50">
        <f t="shared" si="1415"/>
        <v>255.33248594335691</v>
      </c>
      <c r="L454" s="50">
        <f t="shared" si="1415"/>
        <v>366.59000235452601</v>
      </c>
      <c r="M454" s="50">
        <f t="shared" si="1415"/>
        <v>403.64094699521621</v>
      </c>
      <c r="O454" s="50">
        <f t="shared" si="1416"/>
        <v>13.651999999999999</v>
      </c>
      <c r="P454" s="50">
        <f t="shared" si="1416"/>
        <v>12.101000000000001</v>
      </c>
      <c r="Q454" s="50">
        <f t="shared" si="1416"/>
        <v>12.938000000000001</v>
      </c>
      <c r="R454" s="50">
        <f t="shared" ref="R454:AQ454" si="1421">R380</f>
        <v>14.701000000000001</v>
      </c>
      <c r="S454" s="50">
        <f t="shared" si="1421"/>
        <v>14.388999999999999</v>
      </c>
      <c r="T454" s="50">
        <f t="shared" si="1421"/>
        <v>12.971</v>
      </c>
      <c r="U454" s="50">
        <f t="shared" si="1421"/>
        <v>11.727</v>
      </c>
      <c r="V454" s="50">
        <f t="shared" si="1421"/>
        <v>13.401999999999999</v>
      </c>
      <c r="W454" s="50">
        <f t="shared" si="1421"/>
        <v>12.257</v>
      </c>
      <c r="X454" s="50">
        <f t="shared" si="1421"/>
        <v>10.867000000000001</v>
      </c>
      <c r="Y454" s="50">
        <f t="shared" si="1421"/>
        <v>12.244</v>
      </c>
      <c r="Z454" s="50">
        <f t="shared" si="1421"/>
        <v>12.188000000000001</v>
      </c>
      <c r="AA454" s="50">
        <f t="shared" si="1421"/>
        <v>10.871</v>
      </c>
      <c r="AB454" s="50">
        <f t="shared" si="1421"/>
        <v>10.722</v>
      </c>
      <c r="AC454" s="50">
        <f t="shared" si="1421"/>
        <v>11.425000000000001</v>
      </c>
      <c r="AD454" s="50">
        <f t="shared" si="1421"/>
        <v>12.090999999999999</v>
      </c>
      <c r="AE454" s="50">
        <f t="shared" si="1421"/>
        <v>10.8</v>
      </c>
      <c r="AF454" s="50">
        <f t="shared" si="1421"/>
        <v>10.496</v>
      </c>
      <c r="AG454" s="50">
        <f t="shared" si="1421"/>
        <v>10.361000000000001</v>
      </c>
      <c r="AH454" s="50">
        <f t="shared" si="1421"/>
        <v>10.17</v>
      </c>
      <c r="AI454" s="50">
        <f t="shared" si="1421"/>
        <v>8.9489999999999998</v>
      </c>
      <c r="AJ454" s="50">
        <f t="shared" si="1421"/>
        <v>7.415</v>
      </c>
      <c r="AK454" s="50">
        <f t="shared" si="1421"/>
        <v>9.0860000000000003</v>
      </c>
      <c r="AL454" s="50">
        <f t="shared" si="1421"/>
        <v>11.157999999999999</v>
      </c>
      <c r="AM454" s="50">
        <f t="shared" si="1421"/>
        <v>11.877000000000001</v>
      </c>
      <c r="AN454" s="50">
        <f t="shared" si="1421"/>
        <v>6.8479999999999999</v>
      </c>
      <c r="AO454" s="50">
        <f t="shared" si="1421"/>
        <v>6.7649999999999997</v>
      </c>
      <c r="AP454" s="50">
        <f t="shared" si="1421"/>
        <v>7.77</v>
      </c>
      <c r="AQ454" s="50">
        <f t="shared" si="1421"/>
        <v>8.4459999999999997</v>
      </c>
      <c r="AR454" s="50">
        <f t="shared" ref="AR454:AS454" si="1422">AR380</f>
        <v>23.542999999999999</v>
      </c>
      <c r="AS454" s="50">
        <f t="shared" si="1422"/>
        <v>25.815999999999999</v>
      </c>
      <c r="AT454" s="50">
        <f>AT380+AT373</f>
        <v>230.95499999999998</v>
      </c>
      <c r="AU454" s="50">
        <f t="shared" ref="AU454:BF454" si="1423">AU380+AU373</f>
        <v>237.3835714285714</v>
      </c>
      <c r="AV454" s="50">
        <f t="shared" si="1423"/>
        <v>243.14683673469386</v>
      </c>
      <c r="AW454" s="50">
        <f t="shared" si="1423"/>
        <v>249.1649854227405</v>
      </c>
      <c r="AX454" s="50">
        <f t="shared" si="1423"/>
        <v>255.33248594335691</v>
      </c>
      <c r="AY454" s="50">
        <f t="shared" si="1423"/>
        <v>340.94400430252273</v>
      </c>
      <c r="AZ454" s="50">
        <f t="shared" si="1423"/>
        <v>349.16582557743266</v>
      </c>
      <c r="BA454" s="50">
        <f t="shared" si="1423"/>
        <v>357.7672246639529</v>
      </c>
      <c r="BB454" s="50">
        <f t="shared" si="1423"/>
        <v>366.59000235452601</v>
      </c>
      <c r="BC454" s="50">
        <f t="shared" si="1423"/>
        <v>375.47625227043579</v>
      </c>
      <c r="BD454" s="50">
        <f t="shared" si="1423"/>
        <v>384.5683504036345</v>
      </c>
      <c r="BE454" s="50">
        <f t="shared" si="1423"/>
        <v>394.0089450320761</v>
      </c>
      <c r="BF454" s="50">
        <f t="shared" si="1423"/>
        <v>403.64094699521621</v>
      </c>
      <c r="BJ454" s="116">
        <f t="shared" si="1276"/>
        <v>445</v>
      </c>
    </row>
    <row r="455" spans="1:62" hidden="1" outlineLevel="2">
      <c r="B455" s="13" t="s">
        <v>183</v>
      </c>
      <c r="C455" s="50">
        <f t="shared" si="1415"/>
        <v>4443.1440000000011</v>
      </c>
      <c r="D455" s="50">
        <f t="shared" si="1415"/>
        <v>3763.8159999999993</v>
      </c>
      <c r="E455" s="50">
        <f t="shared" si="1415"/>
        <v>3489.7000000000003</v>
      </c>
      <c r="F455" s="50">
        <f t="shared" si="1415"/>
        <v>3744.3020000000001</v>
      </c>
      <c r="G455" s="50">
        <f t="shared" si="1415"/>
        <v>3905.049</v>
      </c>
      <c r="H455" s="50">
        <f t="shared" si="1415"/>
        <v>3661.7080000000005</v>
      </c>
      <c r="I455" s="50">
        <f t="shared" si="1415"/>
        <v>3578.6320000000001</v>
      </c>
      <c r="J455" s="50">
        <f t="shared" si="1415"/>
        <v>3517.9470000000001</v>
      </c>
      <c r="K455" s="50">
        <f t="shared" si="1415"/>
        <v>3857.1850000000004</v>
      </c>
      <c r="L455" s="50">
        <f t="shared" si="1415"/>
        <v>3553.6959999999999</v>
      </c>
      <c r="M455" s="50">
        <f t="shared" si="1415"/>
        <v>2883.8500000000004</v>
      </c>
      <c r="O455" s="206"/>
      <c r="P455" s="205">
        <f>P470</f>
        <v>3710.5219999999999</v>
      </c>
      <c r="Q455" s="205">
        <f>Q470</f>
        <v>4506.4620000000004</v>
      </c>
      <c r="R455" s="205">
        <f t="shared" ref="R455:BB455" si="1424">R470</f>
        <v>4443.1440000000011</v>
      </c>
      <c r="S455" s="205">
        <f t="shared" si="1424"/>
        <v>4455.259</v>
      </c>
      <c r="T455" s="205">
        <f t="shared" si="1424"/>
        <v>3065.4670000000001</v>
      </c>
      <c r="U455" s="205">
        <f t="shared" si="1424"/>
        <v>3763.36</v>
      </c>
      <c r="V455" s="205">
        <f t="shared" si="1424"/>
        <v>3763.8159999999993</v>
      </c>
      <c r="W455" s="205">
        <f t="shared" si="1424"/>
        <v>3763.3409999999994</v>
      </c>
      <c r="X455" s="205">
        <f t="shared" si="1424"/>
        <v>3763.7750000000001</v>
      </c>
      <c r="Y455" s="205">
        <f t="shared" si="1424"/>
        <v>3489.2850000000003</v>
      </c>
      <c r="Z455" s="205">
        <f t="shared" si="1424"/>
        <v>3489.7000000000003</v>
      </c>
      <c r="AA455" s="205">
        <f t="shared" si="1424"/>
        <v>3490.1929999999998</v>
      </c>
      <c r="AB455" s="205">
        <f t="shared" si="1424"/>
        <v>3782.6360000000004</v>
      </c>
      <c r="AC455" s="205">
        <f t="shared" si="1424"/>
        <v>3747.4680000000003</v>
      </c>
      <c r="AD455" s="205">
        <f t="shared" si="1424"/>
        <v>3744.3020000000001</v>
      </c>
      <c r="AE455" s="205">
        <f t="shared" si="1424"/>
        <v>3700.2719999999999</v>
      </c>
      <c r="AF455" s="205">
        <f t="shared" si="1424"/>
        <v>3846.4970000000003</v>
      </c>
      <c r="AG455" s="205">
        <f t="shared" si="1424"/>
        <v>4155.3320000000003</v>
      </c>
      <c r="AH455" s="205">
        <f t="shared" si="1424"/>
        <v>3905.049</v>
      </c>
      <c r="AI455" s="205">
        <f t="shared" si="1424"/>
        <v>3625.4560000000001</v>
      </c>
      <c r="AJ455" s="205">
        <f t="shared" si="1424"/>
        <v>3757.7159999999999</v>
      </c>
      <c r="AK455" s="205">
        <f t="shared" si="1424"/>
        <v>3746.7549999999997</v>
      </c>
      <c r="AL455" s="205">
        <f t="shared" si="1424"/>
        <v>3661.7080000000005</v>
      </c>
      <c r="AM455" s="205">
        <f t="shared" si="1424"/>
        <v>3510.2819999999997</v>
      </c>
      <c r="AN455" s="205">
        <f t="shared" si="1424"/>
        <v>3503.3470000000002</v>
      </c>
      <c r="AO455" s="205">
        <f t="shared" si="1424"/>
        <v>3176.098</v>
      </c>
      <c r="AP455" s="205">
        <f t="shared" si="1424"/>
        <v>3578.6320000000001</v>
      </c>
      <c r="AQ455" s="205">
        <f t="shared" si="1424"/>
        <v>3661.9780000000001</v>
      </c>
      <c r="AR455" s="205">
        <f t="shared" ref="AR455:AS455" si="1425">AR470</f>
        <v>3640.3720000000003</v>
      </c>
      <c r="AS455" s="205">
        <f t="shared" si="1425"/>
        <v>3548.8110000000001</v>
      </c>
      <c r="AT455" s="205">
        <f t="shared" ref="AT455" si="1426">AT470</f>
        <v>3517.9470000000001</v>
      </c>
      <c r="AU455" s="205">
        <f t="shared" si="1424"/>
        <v>3857.1850000000004</v>
      </c>
      <c r="AV455" s="205">
        <f t="shared" si="1424"/>
        <v>3857.1850000000004</v>
      </c>
      <c r="AW455" s="205">
        <f t="shared" si="1424"/>
        <v>3857.1850000000004</v>
      </c>
      <c r="AX455" s="205">
        <f t="shared" si="1424"/>
        <v>3857.1850000000004</v>
      </c>
      <c r="AY455" s="205">
        <f t="shared" si="1424"/>
        <v>3553.6959999999999</v>
      </c>
      <c r="AZ455" s="205">
        <f t="shared" si="1424"/>
        <v>3553.6959999999999</v>
      </c>
      <c r="BA455" s="205">
        <f t="shared" si="1424"/>
        <v>3553.6959999999999</v>
      </c>
      <c r="BB455" s="205">
        <f t="shared" si="1424"/>
        <v>3553.6959999999999</v>
      </c>
      <c r="BC455" s="205">
        <f t="shared" ref="BC455:BF455" si="1427">BC470</f>
        <v>3553.6959999999999</v>
      </c>
      <c r="BD455" s="205">
        <f t="shared" si="1427"/>
        <v>3553.6959999999999</v>
      </c>
      <c r="BE455" s="205">
        <f t="shared" si="1427"/>
        <v>2883.8500000000004</v>
      </c>
      <c r="BF455" s="205">
        <f t="shared" si="1427"/>
        <v>2883.8500000000004</v>
      </c>
      <c r="BJ455" s="116">
        <f t="shared" si="1276"/>
        <v>446</v>
      </c>
    </row>
    <row r="456" spans="1:62" hidden="1" outlineLevel="2">
      <c r="B456" s="13" t="s">
        <v>184</v>
      </c>
      <c r="C456" s="50">
        <f t="shared" si="1415"/>
        <v>0</v>
      </c>
      <c r="D456" s="50">
        <f t="shared" si="1415"/>
        <v>860</v>
      </c>
      <c r="E456" s="50">
        <f t="shared" si="1415"/>
        <v>889.99999999999818</v>
      </c>
      <c r="F456" s="50">
        <f t="shared" si="1415"/>
        <v>169.99999999999818</v>
      </c>
      <c r="G456" s="50">
        <f t="shared" si="1415"/>
        <v>450</v>
      </c>
      <c r="H456" s="50">
        <f t="shared" si="1415"/>
        <v>0</v>
      </c>
      <c r="I456" s="50">
        <f t="shared" si="1415"/>
        <v>9.0949470177292824E-13</v>
      </c>
      <c r="J456" s="50">
        <f t="shared" si="1415"/>
        <v>509.99999999999909</v>
      </c>
      <c r="K456" s="50">
        <f t="shared" si="1415"/>
        <v>93.873144827352007</v>
      </c>
      <c r="L456" s="50">
        <f t="shared" si="1415"/>
        <v>0</v>
      </c>
      <c r="M456" s="50">
        <f t="shared" si="1415"/>
        <v>165.98791026272011</v>
      </c>
      <c r="O456" s="207"/>
      <c r="P456" s="50">
        <f>MAX(P450-SUM(P453:P455),0)</f>
        <v>0</v>
      </c>
      <c r="Q456" s="50">
        <f>MAX(Q450-SUM(Q453:Q455),0)</f>
        <v>2.999999999998181</v>
      </c>
      <c r="R456" s="50">
        <f t="shared" ref="R456:BB456" si="1428">MAX(R450-SUM(R453:R455),0)</f>
        <v>0</v>
      </c>
      <c r="S456" s="50">
        <f t="shared" si="1428"/>
        <v>1.8189894035458565E-12</v>
      </c>
      <c r="T456" s="50">
        <f t="shared" si="1428"/>
        <v>1200.0000000000018</v>
      </c>
      <c r="U456" s="50">
        <f t="shared" si="1428"/>
        <v>600</v>
      </c>
      <c r="V456" s="50">
        <f t="shared" si="1428"/>
        <v>860</v>
      </c>
      <c r="W456" s="50">
        <f t="shared" si="1428"/>
        <v>1010.0000000000018</v>
      </c>
      <c r="X456" s="50">
        <f t="shared" si="1428"/>
        <v>910.00000000000364</v>
      </c>
      <c r="Y456" s="50">
        <f t="shared" si="1428"/>
        <v>1190</v>
      </c>
      <c r="Z456" s="50">
        <f t="shared" si="1428"/>
        <v>889.99999999999818</v>
      </c>
      <c r="AA456" s="50">
        <f t="shared" si="1428"/>
        <v>890</v>
      </c>
      <c r="AB456" s="50">
        <f t="shared" si="1428"/>
        <v>300</v>
      </c>
      <c r="AC456" s="50">
        <f t="shared" si="1428"/>
        <v>299.99999999999818</v>
      </c>
      <c r="AD456" s="50">
        <f t="shared" si="1428"/>
        <v>169.99999999999818</v>
      </c>
      <c r="AE456" s="50">
        <f t="shared" si="1428"/>
        <v>117.50000000000182</v>
      </c>
      <c r="AF456" s="50">
        <f t="shared" si="1428"/>
        <v>110.00000000000182</v>
      </c>
      <c r="AG456" s="50">
        <f t="shared" si="1428"/>
        <v>100</v>
      </c>
      <c r="AH456" s="50">
        <f t="shared" si="1428"/>
        <v>450</v>
      </c>
      <c r="AI456" s="50">
        <f t="shared" si="1428"/>
        <v>199.99999999999818</v>
      </c>
      <c r="AJ456" s="50">
        <f t="shared" si="1428"/>
        <v>0</v>
      </c>
      <c r="AK456" s="50">
        <f t="shared" si="1428"/>
        <v>0</v>
      </c>
      <c r="AL456" s="50">
        <f t="shared" si="1428"/>
        <v>0</v>
      </c>
      <c r="AM456" s="50">
        <f t="shared" si="1428"/>
        <v>79.999999999999091</v>
      </c>
      <c r="AN456" s="50">
        <f t="shared" si="1428"/>
        <v>0</v>
      </c>
      <c r="AO456" s="50">
        <f t="shared" si="1428"/>
        <v>300.00000000000182</v>
      </c>
      <c r="AP456" s="50">
        <f t="shared" si="1428"/>
        <v>9.0949470177292824E-13</v>
      </c>
      <c r="AQ456" s="50">
        <f t="shared" si="1428"/>
        <v>0</v>
      </c>
      <c r="AR456" s="50">
        <f t="shared" ref="AR456:AS456" si="1429">MAX(AR450-SUM(AR453:AR455),0)</f>
        <v>100.00000000000091</v>
      </c>
      <c r="AS456" s="50">
        <f t="shared" si="1429"/>
        <v>410</v>
      </c>
      <c r="AT456" s="50">
        <f t="shared" ref="AT456" si="1430">MAX(AT450-SUM(AT453:AT455),0)</f>
        <v>509.99999999999909</v>
      </c>
      <c r="AU456" s="50">
        <f t="shared" si="1428"/>
        <v>34.30281514296621</v>
      </c>
      <c r="AV456" s="50">
        <f t="shared" si="1428"/>
        <v>65.311924987836392</v>
      </c>
      <c r="AW456" s="50">
        <f t="shared" si="1428"/>
        <v>92.215291882725069</v>
      </c>
      <c r="AX456" s="50">
        <f t="shared" si="1428"/>
        <v>93.873144827352007</v>
      </c>
      <c r="AY456" s="50">
        <f t="shared" si="1428"/>
        <v>200.68864289225348</v>
      </c>
      <c r="AZ456" s="50">
        <f t="shared" si="1428"/>
        <v>113.7495921816726</v>
      </c>
      <c r="BA456" s="50">
        <f t="shared" si="1428"/>
        <v>41.144326375055243</v>
      </c>
      <c r="BB456" s="50">
        <f t="shared" si="1428"/>
        <v>0</v>
      </c>
      <c r="BC456" s="50">
        <f t="shared" ref="BC456" si="1431">MAX(BC450-SUM(BC453:BC455),0)</f>
        <v>0</v>
      </c>
      <c r="BD456" s="50">
        <f t="shared" ref="BD456" si="1432">MAX(BD450-SUM(BD453:BD455),0)</f>
        <v>0</v>
      </c>
      <c r="BE456" s="50">
        <f t="shared" ref="BE456" si="1433">MAX(BE450-SUM(BE453:BE455),0)</f>
        <v>282.32906867363818</v>
      </c>
      <c r="BF456" s="50">
        <f t="shared" ref="BF456" si="1434">MAX(BF450-SUM(BF453:BF455),0)</f>
        <v>165.98791026272011</v>
      </c>
      <c r="BJ456" s="116">
        <f t="shared" si="1276"/>
        <v>447</v>
      </c>
    </row>
    <row r="457" spans="1:62" hidden="1" outlineLevel="2">
      <c r="B457" s="47"/>
      <c r="BJ457" s="116">
        <f t="shared" si="1276"/>
        <v>448</v>
      </c>
    </row>
    <row r="458" spans="1:62" outlineLevel="1" collapsed="1">
      <c r="A458" s="72" t="s">
        <v>322</v>
      </c>
      <c r="B458" s="45" t="s">
        <v>185</v>
      </c>
      <c r="BJ458" s="116">
        <f t="shared" si="1276"/>
        <v>449</v>
      </c>
    </row>
    <row r="459" spans="1:62" hidden="1" outlineLevel="2">
      <c r="B459" s="17" t="s">
        <v>186</v>
      </c>
      <c r="C459" s="50">
        <f t="shared" ref="C459:M472" si="1435">INDEX($O459:$BG459,1,MATCH(C$4,$O$4:$BG$4,0))</f>
        <v>966.27599999999995</v>
      </c>
      <c r="D459" s="50">
        <f t="shared" si="1435"/>
        <v>967.49</v>
      </c>
      <c r="E459" s="50">
        <f t="shared" si="1435"/>
        <v>968.70799999999997</v>
      </c>
      <c r="F459" s="50">
        <f t="shared" si="1435"/>
        <v>969.928</v>
      </c>
      <c r="G459" s="50">
        <f t="shared" si="1435"/>
        <v>930.69299999999998</v>
      </c>
      <c r="H459" s="50">
        <f t="shared" si="1435"/>
        <v>921.16200000000003</v>
      </c>
      <c r="I459" s="50">
        <f t="shared" si="1435"/>
        <v>827.53899999999999</v>
      </c>
      <c r="J459" s="50">
        <f t="shared" si="1435"/>
        <v>460.762</v>
      </c>
      <c r="K459" s="50">
        <f t="shared" si="1435"/>
        <v>0</v>
      </c>
      <c r="L459" s="50">
        <f t="shared" si="1435"/>
        <v>0</v>
      </c>
      <c r="M459" s="50">
        <f t="shared" si="1435"/>
        <v>0</v>
      </c>
      <c r="O459" s="202"/>
      <c r="P459" s="208">
        <v>965.67100000000005</v>
      </c>
      <c r="Q459" s="208">
        <v>965.97299999999996</v>
      </c>
      <c r="R459" s="208">
        <v>966.27599999999995</v>
      </c>
      <c r="S459" s="208">
        <v>966.57899999999995</v>
      </c>
      <c r="T459" s="208">
        <v>966.88300000000004</v>
      </c>
      <c r="U459" s="208">
        <v>967.18600000000004</v>
      </c>
      <c r="V459" s="208">
        <v>967.49</v>
      </c>
      <c r="W459" s="208">
        <v>967.79399999999998</v>
      </c>
      <c r="X459" s="208">
        <v>968.09799999999996</v>
      </c>
      <c r="Y459" s="208">
        <v>968.40300000000002</v>
      </c>
      <c r="Z459" s="208">
        <v>968.70799999999997</v>
      </c>
      <c r="AA459" s="208">
        <v>969.01199999999994</v>
      </c>
      <c r="AB459" s="208">
        <v>969.31799999999998</v>
      </c>
      <c r="AC459" s="208">
        <v>969.62300000000005</v>
      </c>
      <c r="AD459" s="208">
        <v>969.928</v>
      </c>
      <c r="AE459" s="208">
        <v>970.23400000000004</v>
      </c>
      <c r="AF459" s="208">
        <v>970.54100000000005</v>
      </c>
      <c r="AG459" s="208">
        <v>948.9</v>
      </c>
      <c r="AH459" s="208">
        <v>930.69299999999998</v>
      </c>
      <c r="AI459" s="208">
        <v>931</v>
      </c>
      <c r="AJ459" s="208">
        <v>931.30700000000002</v>
      </c>
      <c r="AK459" s="208">
        <v>931.61400000000003</v>
      </c>
      <c r="AL459" s="208">
        <v>921.16200000000003</v>
      </c>
      <c r="AM459" s="208">
        <v>827.56100000000004</v>
      </c>
      <c r="AN459" s="208">
        <v>827.86800000000005</v>
      </c>
      <c r="AO459" s="208">
        <v>828.17600000000004</v>
      </c>
      <c r="AP459" s="208">
        <v>827.53899999999999</v>
      </c>
      <c r="AQ459" s="208">
        <v>665.22199999999998</v>
      </c>
      <c r="AR459" s="208">
        <v>465.08300000000003</v>
      </c>
      <c r="AS459" s="208">
        <v>460.53699999999998</v>
      </c>
      <c r="AT459" s="208">
        <v>460.762</v>
      </c>
      <c r="AU459" s="210">
        <v>0</v>
      </c>
      <c r="AV459" s="209">
        <f t="shared" ref="AV459" si="1436">AU459</f>
        <v>0</v>
      </c>
      <c r="AW459" s="209">
        <f t="shared" ref="AW459" si="1437">AV459</f>
        <v>0</v>
      </c>
      <c r="AX459" s="209">
        <f t="shared" ref="AX459" si="1438">AW459</f>
        <v>0</v>
      </c>
      <c r="AY459" s="209">
        <f t="shared" ref="AY459" si="1439">AX459</f>
        <v>0</v>
      </c>
      <c r="AZ459" s="209">
        <f t="shared" ref="AZ459" si="1440">AY459</f>
        <v>0</v>
      </c>
      <c r="BA459" s="209">
        <f t="shared" ref="BA459" si="1441">AZ459</f>
        <v>0</v>
      </c>
      <c r="BB459" s="209">
        <f t="shared" ref="BB459" si="1442">BA459</f>
        <v>0</v>
      </c>
      <c r="BC459" s="209">
        <f t="shared" ref="BC459" si="1443">BB459</f>
        <v>0</v>
      </c>
      <c r="BD459" s="209">
        <f t="shared" ref="BD459" si="1444">BC459</f>
        <v>0</v>
      </c>
      <c r="BE459" s="209">
        <f t="shared" ref="BE459" si="1445">BD459</f>
        <v>0</v>
      </c>
      <c r="BF459" s="209">
        <f t="shared" ref="BF459" si="1446">BE459</f>
        <v>0</v>
      </c>
      <c r="BJ459" s="116">
        <f t="shared" si="1276"/>
        <v>450</v>
      </c>
    </row>
    <row r="460" spans="1:62" hidden="1" outlineLevel="2">
      <c r="B460" s="17" t="s">
        <v>187</v>
      </c>
      <c r="C460" s="50">
        <f t="shared" si="1435"/>
        <v>1125</v>
      </c>
      <c r="D460" s="50">
        <f t="shared" si="1435"/>
        <v>1125</v>
      </c>
      <c r="E460" s="50">
        <f t="shared" si="1435"/>
        <v>1125</v>
      </c>
      <c r="F460" s="50">
        <f t="shared" si="1435"/>
        <v>339.60700000000003</v>
      </c>
      <c r="G460" s="50">
        <f t="shared" si="1435"/>
        <v>339.60700000000003</v>
      </c>
      <c r="H460" s="50">
        <f t="shared" si="1435"/>
        <v>339.60700000000003</v>
      </c>
      <c r="I460" s="50">
        <f t="shared" si="1435"/>
        <v>303.48899999999998</v>
      </c>
      <c r="J460" s="50">
        <f t="shared" si="1435"/>
        <v>303.48899999999998</v>
      </c>
      <c r="K460" s="50">
        <f t="shared" si="1435"/>
        <v>303.48899999999998</v>
      </c>
      <c r="L460" s="50">
        <f t="shared" si="1435"/>
        <v>0</v>
      </c>
      <c r="M460" s="50">
        <f t="shared" si="1435"/>
        <v>0</v>
      </c>
      <c r="O460" s="202"/>
      <c r="P460" s="208">
        <v>1125</v>
      </c>
      <c r="Q460" s="208">
        <v>1125</v>
      </c>
      <c r="R460" s="208">
        <v>1125</v>
      </c>
      <c r="S460" s="208">
        <v>1125</v>
      </c>
      <c r="T460" s="208">
        <v>1125</v>
      </c>
      <c r="U460" s="208">
        <v>1125</v>
      </c>
      <c r="V460" s="208">
        <v>1125</v>
      </c>
      <c r="W460" s="208">
        <v>1125</v>
      </c>
      <c r="X460" s="208">
        <v>1125</v>
      </c>
      <c r="Y460" s="208">
        <v>1125</v>
      </c>
      <c r="Z460" s="208">
        <v>1125</v>
      </c>
      <c r="AA460" s="208">
        <v>1125</v>
      </c>
      <c r="AB460" s="208">
        <v>1111</v>
      </c>
      <c r="AC460" s="208">
        <v>339.60700000000003</v>
      </c>
      <c r="AD460" s="208">
        <v>339.60700000000003</v>
      </c>
      <c r="AE460" s="208">
        <v>339.60700000000003</v>
      </c>
      <c r="AF460" s="208">
        <v>339.60700000000003</v>
      </c>
      <c r="AG460" s="208">
        <v>339.60700000000003</v>
      </c>
      <c r="AH460" s="208">
        <v>339.60700000000003</v>
      </c>
      <c r="AI460" s="208">
        <v>339.60700000000003</v>
      </c>
      <c r="AJ460" s="208">
        <v>339.60700000000003</v>
      </c>
      <c r="AK460" s="208">
        <v>339.60700000000003</v>
      </c>
      <c r="AL460" s="208">
        <v>339.60700000000003</v>
      </c>
      <c r="AM460" s="208">
        <v>303.48899999999998</v>
      </c>
      <c r="AN460" s="208">
        <v>303.48899999999998</v>
      </c>
      <c r="AO460" s="208">
        <v>303.48899999999998</v>
      </c>
      <c r="AP460" s="208">
        <v>303.48899999999998</v>
      </c>
      <c r="AQ460" s="208">
        <v>303.48899999999998</v>
      </c>
      <c r="AR460" s="208">
        <v>303.48899999999998</v>
      </c>
      <c r="AS460" s="208">
        <v>303.48899999999998</v>
      </c>
      <c r="AT460" s="208">
        <v>303.48899999999998</v>
      </c>
      <c r="AU460" s="209">
        <f t="shared" ref="AU460:BB469" si="1447">AT460</f>
        <v>303.48899999999998</v>
      </c>
      <c r="AV460" s="209">
        <f t="shared" si="1447"/>
        <v>303.48899999999998</v>
      </c>
      <c r="AW460" s="209">
        <f t="shared" si="1447"/>
        <v>303.48899999999998</v>
      </c>
      <c r="AX460" s="209">
        <f t="shared" si="1447"/>
        <v>303.48899999999998</v>
      </c>
      <c r="AY460" s="211">
        <v>0</v>
      </c>
      <c r="AZ460" s="209">
        <f t="shared" ref="AZ460:BB469" si="1448">AY460</f>
        <v>0</v>
      </c>
      <c r="BA460" s="209">
        <f t="shared" si="1448"/>
        <v>0</v>
      </c>
      <c r="BB460" s="209">
        <f t="shared" si="1448"/>
        <v>0</v>
      </c>
      <c r="BC460" s="209">
        <f t="shared" ref="BC460:BC467" si="1449">BB460</f>
        <v>0</v>
      </c>
      <c r="BD460" s="209">
        <f t="shared" ref="BD460:BD467" si="1450">BC460</f>
        <v>0</v>
      </c>
      <c r="BE460" s="209">
        <f t="shared" ref="BE460:BE467" si="1451">BD460</f>
        <v>0</v>
      </c>
      <c r="BF460" s="209">
        <f t="shared" ref="BF460:BF467" si="1452">BE460</f>
        <v>0</v>
      </c>
      <c r="BJ460" s="116">
        <f t="shared" ref="BJ460:BJ523" si="1453">BJ459+1</f>
        <v>451</v>
      </c>
    </row>
    <row r="461" spans="1:62" hidden="1" outlineLevel="2">
      <c r="B461" s="17" t="s">
        <v>188</v>
      </c>
      <c r="C461" s="50">
        <f t="shared" si="1435"/>
        <v>697.03700000000003</v>
      </c>
      <c r="D461" s="50">
        <f t="shared" si="1435"/>
        <v>697.34299999999996</v>
      </c>
      <c r="E461" s="50">
        <f t="shared" si="1435"/>
        <v>697.64800000000002</v>
      </c>
      <c r="F461" s="50">
        <f t="shared" si="1435"/>
        <v>697.947</v>
      </c>
      <c r="G461" s="50">
        <f t="shared" si="1435"/>
        <v>698.25300000000004</v>
      </c>
      <c r="H461" s="50">
        <f t="shared" si="1435"/>
        <v>683.83900000000006</v>
      </c>
      <c r="I461" s="50">
        <f t="shared" si="1435"/>
        <v>669.54</v>
      </c>
      <c r="J461" s="50">
        <f t="shared" si="1435"/>
        <v>669.846</v>
      </c>
      <c r="K461" s="50">
        <f t="shared" si="1435"/>
        <v>669.846</v>
      </c>
      <c r="L461" s="50">
        <f t="shared" si="1435"/>
        <v>669.846</v>
      </c>
      <c r="M461" s="50">
        <f t="shared" si="1435"/>
        <v>0</v>
      </c>
      <c r="O461" s="202"/>
      <c r="P461" s="208">
        <v>0</v>
      </c>
      <c r="Q461" s="208">
        <v>696.96100000000001</v>
      </c>
      <c r="R461" s="208">
        <v>697.03700000000003</v>
      </c>
      <c r="S461" s="208">
        <v>697.11400000000003</v>
      </c>
      <c r="T461" s="208">
        <v>697.19</v>
      </c>
      <c r="U461" s="208">
        <v>697.26599999999996</v>
      </c>
      <c r="V461" s="208">
        <v>697.34299999999996</v>
      </c>
      <c r="W461" s="208">
        <v>697.41899999999998</v>
      </c>
      <c r="X461" s="208">
        <v>697.495</v>
      </c>
      <c r="Y461" s="208">
        <v>697.572</v>
      </c>
      <c r="Z461" s="208">
        <v>697.64800000000002</v>
      </c>
      <c r="AA461" s="208">
        <v>697.72400000000005</v>
      </c>
      <c r="AB461" s="208">
        <v>697.79499999999996</v>
      </c>
      <c r="AC461" s="208">
        <v>697.87099999999998</v>
      </c>
      <c r="AD461" s="208">
        <v>697.947</v>
      </c>
      <c r="AE461" s="208">
        <v>698.20799999999997</v>
      </c>
      <c r="AF461" s="208">
        <v>698.1</v>
      </c>
      <c r="AG461" s="208">
        <v>698.17700000000002</v>
      </c>
      <c r="AH461" s="208">
        <v>698.25300000000004</v>
      </c>
      <c r="AI461" s="208">
        <v>698.32899999999995</v>
      </c>
      <c r="AJ461" s="208">
        <v>698.40599999999995</v>
      </c>
      <c r="AK461" s="208">
        <v>698.48199999999997</v>
      </c>
      <c r="AL461" s="208">
        <v>683.83900000000006</v>
      </c>
      <c r="AM461" s="208">
        <v>669.31</v>
      </c>
      <c r="AN461" s="208">
        <v>669.38699999999994</v>
      </c>
      <c r="AO461" s="208">
        <v>669.46299999999997</v>
      </c>
      <c r="AP461" s="208">
        <v>669.54</v>
      </c>
      <c r="AQ461" s="208">
        <v>669.61599999999999</v>
      </c>
      <c r="AR461" s="208">
        <v>669.69299999999998</v>
      </c>
      <c r="AS461" s="208">
        <v>669.76900000000001</v>
      </c>
      <c r="AT461" s="208">
        <v>669.846</v>
      </c>
      <c r="AU461" s="209">
        <f t="shared" si="1447"/>
        <v>669.846</v>
      </c>
      <c r="AV461" s="209">
        <f t="shared" si="1447"/>
        <v>669.846</v>
      </c>
      <c r="AW461" s="209">
        <f t="shared" si="1447"/>
        <v>669.846</v>
      </c>
      <c r="AX461" s="209">
        <f t="shared" si="1447"/>
        <v>669.846</v>
      </c>
      <c r="AY461" s="209">
        <f t="shared" si="1447"/>
        <v>669.846</v>
      </c>
      <c r="AZ461" s="209">
        <f t="shared" si="1448"/>
        <v>669.846</v>
      </c>
      <c r="BA461" s="209">
        <f t="shared" si="1448"/>
        <v>669.846</v>
      </c>
      <c r="BB461" s="209">
        <f t="shared" si="1448"/>
        <v>669.846</v>
      </c>
      <c r="BC461" s="209">
        <f t="shared" si="1449"/>
        <v>669.846</v>
      </c>
      <c r="BD461" s="209">
        <f t="shared" si="1450"/>
        <v>669.846</v>
      </c>
      <c r="BE461" s="211">
        <v>0</v>
      </c>
      <c r="BF461" s="209">
        <f t="shared" si="1452"/>
        <v>0</v>
      </c>
      <c r="BJ461" s="116">
        <f t="shared" si="1453"/>
        <v>452</v>
      </c>
    </row>
    <row r="462" spans="1:62" hidden="1" outlineLevel="2">
      <c r="B462" s="17" t="s">
        <v>189</v>
      </c>
      <c r="C462" s="50">
        <f t="shared" si="1435"/>
        <v>0</v>
      </c>
      <c r="D462" s="50">
        <f t="shared" si="1435"/>
        <v>697.66700000000003</v>
      </c>
      <c r="E462" s="50">
        <f t="shared" si="1435"/>
        <v>697.90700000000004</v>
      </c>
      <c r="F462" s="50">
        <f t="shared" si="1435"/>
        <v>698.14800000000002</v>
      </c>
      <c r="G462" s="50">
        <f t="shared" si="1435"/>
        <v>698.38800000000003</v>
      </c>
      <c r="H462" s="50">
        <f t="shared" si="1435"/>
        <v>698.62800000000004</v>
      </c>
      <c r="I462" s="50">
        <f t="shared" si="1435"/>
        <v>694.86800000000005</v>
      </c>
      <c r="J462" s="50">
        <f t="shared" si="1435"/>
        <v>695.10799999999995</v>
      </c>
      <c r="K462" s="50">
        <f t="shared" si="1435"/>
        <v>695.10799999999995</v>
      </c>
      <c r="L462" s="50">
        <f t="shared" si="1435"/>
        <v>695.10799999999995</v>
      </c>
      <c r="M462" s="50">
        <f t="shared" si="1435"/>
        <v>695.10799999999995</v>
      </c>
      <c r="O462" s="202"/>
      <c r="P462" s="208">
        <v>0</v>
      </c>
      <c r="Q462" s="208">
        <v>0</v>
      </c>
      <c r="R462" s="208">
        <v>0</v>
      </c>
      <c r="S462" s="208">
        <v>0</v>
      </c>
      <c r="T462" s="208">
        <v>0</v>
      </c>
      <c r="U462" s="208">
        <v>697.60699999999997</v>
      </c>
      <c r="V462" s="208">
        <v>697.66700000000003</v>
      </c>
      <c r="W462" s="208">
        <v>697.72699999999998</v>
      </c>
      <c r="X462" s="208">
        <v>697.78700000000003</v>
      </c>
      <c r="Y462" s="208">
        <v>697.84699999999998</v>
      </c>
      <c r="Z462" s="208">
        <v>697.90700000000004</v>
      </c>
      <c r="AA462" s="208">
        <v>697.96699999999998</v>
      </c>
      <c r="AB462" s="208">
        <v>698.02700000000004</v>
      </c>
      <c r="AC462" s="208">
        <v>698.08699999999999</v>
      </c>
      <c r="AD462" s="208">
        <v>698.14800000000002</v>
      </c>
      <c r="AE462" s="208">
        <v>698.024</v>
      </c>
      <c r="AF462" s="208">
        <v>698.26800000000003</v>
      </c>
      <c r="AG462" s="208">
        <v>698.32799999999997</v>
      </c>
      <c r="AH462" s="208">
        <v>698.38800000000003</v>
      </c>
      <c r="AI462" s="208">
        <v>698.44799999999998</v>
      </c>
      <c r="AJ462" s="208">
        <v>698.50800000000004</v>
      </c>
      <c r="AK462" s="208">
        <v>698.56799999999998</v>
      </c>
      <c r="AL462" s="208">
        <v>698.62800000000004</v>
      </c>
      <c r="AM462" s="208">
        <v>698.68799999999999</v>
      </c>
      <c r="AN462" s="208">
        <v>698.74800000000005</v>
      </c>
      <c r="AO462" s="208">
        <v>694.80799999999999</v>
      </c>
      <c r="AP462" s="208">
        <v>694.86800000000005</v>
      </c>
      <c r="AQ462" s="208">
        <v>694.928</v>
      </c>
      <c r="AR462" s="208">
        <v>694.98800000000006</v>
      </c>
      <c r="AS462" s="208">
        <v>695.048</v>
      </c>
      <c r="AT462" s="208">
        <v>695.10799999999995</v>
      </c>
      <c r="AU462" s="209">
        <f t="shared" si="1447"/>
        <v>695.10799999999995</v>
      </c>
      <c r="AV462" s="209">
        <f t="shared" si="1447"/>
        <v>695.10799999999995</v>
      </c>
      <c r="AW462" s="209">
        <f t="shared" si="1447"/>
        <v>695.10799999999995</v>
      </c>
      <c r="AX462" s="209">
        <f t="shared" si="1447"/>
        <v>695.10799999999995</v>
      </c>
      <c r="AY462" s="209">
        <f t="shared" si="1447"/>
        <v>695.10799999999995</v>
      </c>
      <c r="AZ462" s="209">
        <f t="shared" si="1448"/>
        <v>695.10799999999995</v>
      </c>
      <c r="BA462" s="209">
        <f t="shared" si="1448"/>
        <v>695.10799999999995</v>
      </c>
      <c r="BB462" s="209">
        <f t="shared" si="1448"/>
        <v>695.10799999999995</v>
      </c>
      <c r="BC462" s="209">
        <f t="shared" si="1449"/>
        <v>695.10799999999995</v>
      </c>
      <c r="BD462" s="209">
        <f t="shared" si="1450"/>
        <v>695.10799999999995</v>
      </c>
      <c r="BE462" s="209">
        <f t="shared" si="1451"/>
        <v>695.10799999999995</v>
      </c>
      <c r="BF462" s="209">
        <f t="shared" si="1452"/>
        <v>695.10799999999995</v>
      </c>
      <c r="BJ462" s="116">
        <f t="shared" si="1453"/>
        <v>453</v>
      </c>
    </row>
    <row r="463" spans="1:62" hidden="1" outlineLevel="2">
      <c r="B463" s="17" t="s">
        <v>190</v>
      </c>
      <c r="C463" s="50">
        <f t="shared" si="1435"/>
        <v>0</v>
      </c>
      <c r="D463" s="50">
        <f t="shared" si="1435"/>
        <v>0</v>
      </c>
      <c r="E463" s="50">
        <f t="shared" si="1435"/>
        <v>0</v>
      </c>
      <c r="F463" s="50">
        <f t="shared" si="1435"/>
        <v>348.76499999999999</v>
      </c>
      <c r="G463" s="50">
        <f t="shared" si="1435"/>
        <v>348.89299999999997</v>
      </c>
      <c r="H463" s="50">
        <f t="shared" si="1435"/>
        <v>349.02100000000002</v>
      </c>
      <c r="I463" s="50">
        <f t="shared" si="1435"/>
        <v>346.44799999999998</v>
      </c>
      <c r="J463" s="50">
        <f t="shared" si="1435"/>
        <v>346.57600000000002</v>
      </c>
      <c r="K463" s="50">
        <f t="shared" si="1435"/>
        <v>346.57600000000002</v>
      </c>
      <c r="L463" s="50">
        <f t="shared" si="1435"/>
        <v>346.57600000000002</v>
      </c>
      <c r="M463" s="50">
        <f t="shared" si="1435"/>
        <v>346.57600000000002</v>
      </c>
      <c r="O463" s="202"/>
      <c r="P463" s="208">
        <v>0</v>
      </c>
      <c r="Q463" s="208">
        <v>0</v>
      </c>
      <c r="R463" s="208">
        <v>0</v>
      </c>
      <c r="S463" s="208">
        <v>0</v>
      </c>
      <c r="T463" s="208">
        <v>0</v>
      </c>
      <c r="U463" s="208">
        <v>0</v>
      </c>
      <c r="V463" s="208">
        <v>0</v>
      </c>
      <c r="W463" s="208">
        <v>0</v>
      </c>
      <c r="X463" s="208">
        <v>0</v>
      </c>
      <c r="Y463" s="208">
        <v>0</v>
      </c>
      <c r="Z463" s="208">
        <v>0</v>
      </c>
      <c r="AA463" s="208">
        <v>0</v>
      </c>
      <c r="AB463" s="208">
        <v>0</v>
      </c>
      <c r="AC463" s="208">
        <v>348.733</v>
      </c>
      <c r="AD463" s="208">
        <v>348.76499999999999</v>
      </c>
      <c r="AE463" s="208">
        <v>348.79700000000003</v>
      </c>
      <c r="AF463" s="208">
        <v>348.82900000000001</v>
      </c>
      <c r="AG463" s="208">
        <v>348.86099999999999</v>
      </c>
      <c r="AH463" s="208">
        <v>348.89299999999997</v>
      </c>
      <c r="AI463" s="208">
        <v>348.92500000000001</v>
      </c>
      <c r="AJ463" s="208">
        <v>348.95699999999999</v>
      </c>
      <c r="AK463" s="208">
        <v>348.98899999999998</v>
      </c>
      <c r="AL463" s="208">
        <v>349.02100000000002</v>
      </c>
      <c r="AM463" s="208">
        <v>349.053</v>
      </c>
      <c r="AN463" s="208">
        <v>349.084</v>
      </c>
      <c r="AO463" s="208">
        <v>346.416</v>
      </c>
      <c r="AP463" s="208">
        <v>346.44799999999998</v>
      </c>
      <c r="AQ463" s="208">
        <v>346.48</v>
      </c>
      <c r="AR463" s="208">
        <v>346.512</v>
      </c>
      <c r="AS463" s="208">
        <v>346.54399999999998</v>
      </c>
      <c r="AT463" s="208">
        <v>346.57600000000002</v>
      </c>
      <c r="AU463" s="209">
        <f t="shared" si="1447"/>
        <v>346.57600000000002</v>
      </c>
      <c r="AV463" s="209">
        <f t="shared" si="1447"/>
        <v>346.57600000000002</v>
      </c>
      <c r="AW463" s="209">
        <f t="shared" si="1447"/>
        <v>346.57600000000002</v>
      </c>
      <c r="AX463" s="209">
        <f t="shared" si="1447"/>
        <v>346.57600000000002</v>
      </c>
      <c r="AY463" s="209">
        <f t="shared" si="1447"/>
        <v>346.57600000000002</v>
      </c>
      <c r="AZ463" s="209">
        <f t="shared" si="1448"/>
        <v>346.57600000000002</v>
      </c>
      <c r="BA463" s="209">
        <f t="shared" si="1448"/>
        <v>346.57600000000002</v>
      </c>
      <c r="BB463" s="209">
        <f t="shared" si="1448"/>
        <v>346.57600000000002</v>
      </c>
      <c r="BC463" s="209">
        <f t="shared" si="1449"/>
        <v>346.57600000000002</v>
      </c>
      <c r="BD463" s="209">
        <f t="shared" si="1450"/>
        <v>346.57600000000002</v>
      </c>
      <c r="BE463" s="209">
        <f t="shared" si="1451"/>
        <v>346.57600000000002</v>
      </c>
      <c r="BF463" s="209">
        <f t="shared" si="1452"/>
        <v>346.57600000000002</v>
      </c>
      <c r="BJ463" s="116">
        <f t="shared" si="1453"/>
        <v>454</v>
      </c>
    </row>
    <row r="464" spans="1:62" hidden="1" outlineLevel="2">
      <c r="B464" s="17" t="s">
        <v>191</v>
      </c>
      <c r="C464" s="50">
        <f t="shared" si="1435"/>
        <v>0</v>
      </c>
      <c r="D464" s="50">
        <f t="shared" si="1435"/>
        <v>0</v>
      </c>
      <c r="E464" s="50">
        <f t="shared" si="1435"/>
        <v>0</v>
      </c>
      <c r="F464" s="50">
        <f t="shared" si="1435"/>
        <v>0</v>
      </c>
      <c r="G464" s="50">
        <f t="shared" si="1435"/>
        <v>0</v>
      </c>
      <c r="H464" s="50">
        <f t="shared" si="1435"/>
        <v>0</v>
      </c>
      <c r="I464" s="50">
        <f t="shared" si="1435"/>
        <v>600</v>
      </c>
      <c r="J464" s="50">
        <f t="shared" si="1435"/>
        <v>600</v>
      </c>
      <c r="K464" s="50">
        <f t="shared" si="1435"/>
        <v>600</v>
      </c>
      <c r="L464" s="50">
        <f t="shared" si="1435"/>
        <v>600</v>
      </c>
      <c r="M464" s="50">
        <f t="shared" si="1435"/>
        <v>600</v>
      </c>
      <c r="O464" s="202"/>
      <c r="P464" s="208">
        <v>0</v>
      </c>
      <c r="Q464" s="208">
        <v>0</v>
      </c>
      <c r="R464" s="208">
        <v>0</v>
      </c>
      <c r="S464" s="208">
        <v>0</v>
      </c>
      <c r="T464" s="208">
        <v>0</v>
      </c>
      <c r="U464" s="208">
        <v>0</v>
      </c>
      <c r="V464" s="208">
        <v>0</v>
      </c>
      <c r="W464" s="208">
        <v>0</v>
      </c>
      <c r="X464" s="208">
        <v>0</v>
      </c>
      <c r="Y464" s="208">
        <v>0</v>
      </c>
      <c r="Z464" s="208">
        <v>0</v>
      </c>
      <c r="AA464" s="208">
        <v>0</v>
      </c>
      <c r="AB464" s="208">
        <v>0</v>
      </c>
      <c r="AC464" s="208">
        <v>0</v>
      </c>
      <c r="AD464" s="208">
        <v>0</v>
      </c>
      <c r="AE464" s="208">
        <v>0</v>
      </c>
      <c r="AF464" s="208">
        <v>0</v>
      </c>
      <c r="AG464" s="208">
        <v>0</v>
      </c>
      <c r="AH464" s="208">
        <v>0</v>
      </c>
      <c r="AI464" s="208">
        <v>0</v>
      </c>
      <c r="AJ464" s="208">
        <v>0</v>
      </c>
      <c r="AK464" s="208">
        <v>0</v>
      </c>
      <c r="AL464" s="208">
        <v>0</v>
      </c>
      <c r="AM464" s="208">
        <v>0</v>
      </c>
      <c r="AN464" s="208">
        <v>0</v>
      </c>
      <c r="AO464" s="208">
        <v>0</v>
      </c>
      <c r="AP464" s="208">
        <v>600</v>
      </c>
      <c r="AQ464" s="208">
        <v>600</v>
      </c>
      <c r="AR464" s="208">
        <v>600</v>
      </c>
      <c r="AS464" s="208">
        <v>600</v>
      </c>
      <c r="AT464" s="208">
        <v>600</v>
      </c>
      <c r="AU464" s="209">
        <f t="shared" si="1447"/>
        <v>600</v>
      </c>
      <c r="AV464" s="209">
        <f t="shared" si="1447"/>
        <v>600</v>
      </c>
      <c r="AW464" s="209">
        <f t="shared" si="1447"/>
        <v>600</v>
      </c>
      <c r="AX464" s="209">
        <f t="shared" si="1447"/>
        <v>600</v>
      </c>
      <c r="AY464" s="209">
        <f t="shared" si="1447"/>
        <v>600</v>
      </c>
      <c r="AZ464" s="209">
        <f t="shared" si="1448"/>
        <v>600</v>
      </c>
      <c r="BA464" s="209">
        <f t="shared" si="1448"/>
        <v>600</v>
      </c>
      <c r="BB464" s="209">
        <f t="shared" si="1448"/>
        <v>600</v>
      </c>
      <c r="BC464" s="209">
        <f t="shared" si="1449"/>
        <v>600</v>
      </c>
      <c r="BD464" s="209">
        <f t="shared" si="1450"/>
        <v>600</v>
      </c>
      <c r="BE464" s="209">
        <f t="shared" si="1451"/>
        <v>600</v>
      </c>
      <c r="BF464" s="209">
        <f t="shared" si="1452"/>
        <v>600</v>
      </c>
      <c r="BJ464" s="116">
        <f t="shared" si="1453"/>
        <v>455</v>
      </c>
    </row>
    <row r="465" spans="2:62" hidden="1" outlineLevel="2">
      <c r="B465" s="17" t="s">
        <v>192</v>
      </c>
      <c r="C465" s="50">
        <f t="shared" si="1435"/>
        <v>0</v>
      </c>
      <c r="D465" s="50">
        <f t="shared" si="1435"/>
        <v>0</v>
      </c>
      <c r="E465" s="50">
        <f t="shared" si="1435"/>
        <v>0</v>
      </c>
      <c r="F465" s="50">
        <f t="shared" si="1435"/>
        <v>0</v>
      </c>
      <c r="G465" s="50">
        <f t="shared" si="1435"/>
        <v>0</v>
      </c>
      <c r="H465" s="50">
        <f t="shared" si="1435"/>
        <v>0</v>
      </c>
      <c r="I465" s="50">
        <f t="shared" si="1435"/>
        <v>0</v>
      </c>
      <c r="J465" s="50">
        <f t="shared" si="1435"/>
        <v>429.98200000000003</v>
      </c>
      <c r="K465" s="50">
        <f t="shared" si="1435"/>
        <v>429.98200000000003</v>
      </c>
      <c r="L465" s="50">
        <f t="shared" si="1435"/>
        <v>429.98200000000003</v>
      </c>
      <c r="M465" s="50">
        <f t="shared" si="1435"/>
        <v>429.98200000000003</v>
      </c>
      <c r="O465" s="202"/>
      <c r="P465" s="208"/>
      <c r="Q465" s="208"/>
      <c r="R465" s="208"/>
      <c r="S465" s="208"/>
      <c r="T465" s="208"/>
      <c r="U465" s="208"/>
      <c r="V465" s="208"/>
      <c r="W465" s="208"/>
      <c r="X465" s="208"/>
      <c r="Y465" s="208"/>
      <c r="Z465" s="208"/>
      <c r="AA465" s="208"/>
      <c r="AB465" s="208"/>
      <c r="AC465" s="208"/>
      <c r="AD465" s="208"/>
      <c r="AE465" s="208"/>
      <c r="AF465" s="208"/>
      <c r="AG465" s="208"/>
      <c r="AH465" s="208"/>
      <c r="AI465" s="208">
        <v>0</v>
      </c>
      <c r="AJ465" s="208">
        <v>0</v>
      </c>
      <c r="AK465" s="208">
        <v>0</v>
      </c>
      <c r="AL465" s="208">
        <v>0</v>
      </c>
      <c r="AM465" s="208">
        <v>0</v>
      </c>
      <c r="AN465" s="208">
        <v>0</v>
      </c>
      <c r="AO465" s="208">
        <v>0</v>
      </c>
      <c r="AP465" s="208">
        <v>0</v>
      </c>
      <c r="AQ465" s="208">
        <v>415.22800000000001</v>
      </c>
      <c r="AR465" s="208">
        <v>420.06099999999998</v>
      </c>
      <c r="AS465" s="208">
        <v>425.01</v>
      </c>
      <c r="AT465" s="208">
        <v>429.98200000000003</v>
      </c>
      <c r="AU465" s="209">
        <f t="shared" si="1447"/>
        <v>429.98200000000003</v>
      </c>
      <c r="AV465" s="209">
        <f t="shared" si="1447"/>
        <v>429.98200000000003</v>
      </c>
      <c r="AW465" s="209">
        <f t="shared" si="1447"/>
        <v>429.98200000000003</v>
      </c>
      <c r="AX465" s="209">
        <f t="shared" si="1447"/>
        <v>429.98200000000003</v>
      </c>
      <c r="AY465" s="209">
        <f t="shared" si="1447"/>
        <v>429.98200000000003</v>
      </c>
      <c r="AZ465" s="209">
        <f t="shared" si="1447"/>
        <v>429.98200000000003</v>
      </c>
      <c r="BA465" s="209">
        <f t="shared" si="1447"/>
        <v>429.98200000000003</v>
      </c>
      <c r="BB465" s="209">
        <f t="shared" si="1447"/>
        <v>429.98200000000003</v>
      </c>
      <c r="BC465" s="209">
        <f t="shared" si="1449"/>
        <v>429.98200000000003</v>
      </c>
      <c r="BD465" s="209">
        <f t="shared" si="1450"/>
        <v>429.98200000000003</v>
      </c>
      <c r="BE465" s="209">
        <f t="shared" si="1451"/>
        <v>429.98200000000003</v>
      </c>
      <c r="BF465" s="209">
        <f t="shared" si="1452"/>
        <v>429.98200000000003</v>
      </c>
      <c r="BJ465" s="116">
        <f t="shared" si="1453"/>
        <v>456</v>
      </c>
    </row>
    <row r="466" spans="2:62" hidden="1" outlineLevel="2">
      <c r="B466" s="17" t="s">
        <v>415</v>
      </c>
      <c r="C466" s="50"/>
      <c r="D466" s="50"/>
      <c r="E466" s="50"/>
      <c r="F466" s="50">
        <f t="shared" si="1435"/>
        <v>0</v>
      </c>
      <c r="G466" s="50">
        <f t="shared" si="1435"/>
        <v>0</v>
      </c>
      <c r="H466" s="50">
        <f t="shared" si="1435"/>
        <v>0</v>
      </c>
      <c r="I466" s="50">
        <f t="shared" si="1435"/>
        <v>0</v>
      </c>
      <c r="J466" s="50">
        <f t="shared" si="1435"/>
        <v>0</v>
      </c>
      <c r="K466" s="50">
        <f t="shared" si="1435"/>
        <v>800</v>
      </c>
      <c r="L466" s="50">
        <f t="shared" si="1435"/>
        <v>800</v>
      </c>
      <c r="M466" s="50">
        <f t="shared" si="1435"/>
        <v>800</v>
      </c>
      <c r="O466" s="202"/>
      <c r="P466" s="208"/>
      <c r="Q466" s="208"/>
      <c r="R466" s="208"/>
      <c r="S466" s="208"/>
      <c r="T466" s="208"/>
      <c r="U466" s="208"/>
      <c r="V466" s="208"/>
      <c r="W466" s="208"/>
      <c r="X466" s="208"/>
      <c r="Y466" s="208"/>
      <c r="Z466" s="208"/>
      <c r="AA466" s="208"/>
      <c r="AB466" s="208"/>
      <c r="AC466" s="208"/>
      <c r="AD466" s="208"/>
      <c r="AE466" s="208"/>
      <c r="AF466" s="208"/>
      <c r="AG466" s="208"/>
      <c r="AH466" s="208"/>
      <c r="AI466" s="208"/>
      <c r="AJ466" s="208"/>
      <c r="AK466" s="208"/>
      <c r="AL466" s="208"/>
      <c r="AM466" s="208"/>
      <c r="AN466" s="208"/>
      <c r="AO466" s="208"/>
      <c r="AP466" s="208"/>
      <c r="AQ466" s="208">
        <v>0</v>
      </c>
      <c r="AR466" s="208">
        <v>0</v>
      </c>
      <c r="AS466" s="208">
        <v>0</v>
      </c>
      <c r="AT466" s="208">
        <v>0</v>
      </c>
      <c r="AU466" s="210">
        <v>800</v>
      </c>
      <c r="AV466" s="209">
        <f t="shared" si="1447"/>
        <v>800</v>
      </c>
      <c r="AW466" s="209">
        <f t="shared" si="1447"/>
        <v>800</v>
      </c>
      <c r="AX466" s="209">
        <f t="shared" si="1447"/>
        <v>800</v>
      </c>
      <c r="AY466" s="209">
        <f t="shared" si="1447"/>
        <v>800</v>
      </c>
      <c r="AZ466" s="209">
        <f t="shared" si="1447"/>
        <v>800</v>
      </c>
      <c r="BA466" s="209">
        <f t="shared" si="1447"/>
        <v>800</v>
      </c>
      <c r="BB466" s="209">
        <f t="shared" si="1447"/>
        <v>800</v>
      </c>
      <c r="BC466" s="209">
        <f t="shared" si="1449"/>
        <v>800</v>
      </c>
      <c r="BD466" s="209">
        <f t="shared" si="1450"/>
        <v>800</v>
      </c>
      <c r="BE466" s="209">
        <f t="shared" si="1451"/>
        <v>800</v>
      </c>
      <c r="BF466" s="209">
        <f t="shared" si="1452"/>
        <v>800</v>
      </c>
      <c r="BJ466" s="116">
        <f t="shared" si="1453"/>
        <v>457</v>
      </c>
    </row>
    <row r="467" spans="2:62" hidden="1" outlineLevel="2">
      <c r="B467" s="17" t="s">
        <v>193</v>
      </c>
      <c r="C467" s="50">
        <f t="shared" si="1435"/>
        <v>0</v>
      </c>
      <c r="D467" s="50">
        <f t="shared" si="1435"/>
        <v>0</v>
      </c>
      <c r="E467" s="50">
        <f t="shared" si="1435"/>
        <v>0</v>
      </c>
      <c r="F467" s="50">
        <f t="shared" si="1435"/>
        <v>329.84399999999999</v>
      </c>
      <c r="G467" s="50">
        <f t="shared" si="1435"/>
        <v>533.11900000000003</v>
      </c>
      <c r="H467" s="50">
        <f t="shared" si="1435"/>
        <v>8</v>
      </c>
      <c r="I467" s="50">
        <f t="shared" si="1435"/>
        <v>0.29699999999999999</v>
      </c>
      <c r="J467" s="50">
        <f t="shared" si="1435"/>
        <v>40</v>
      </c>
      <c r="K467" s="50">
        <f t="shared" si="1435"/>
        <v>40</v>
      </c>
      <c r="L467" s="50">
        <f t="shared" si="1435"/>
        <v>40</v>
      </c>
      <c r="M467" s="50">
        <f t="shared" si="1435"/>
        <v>40</v>
      </c>
      <c r="O467" s="202"/>
      <c r="P467" s="208">
        <v>0</v>
      </c>
      <c r="Q467" s="208">
        <v>0</v>
      </c>
      <c r="R467" s="208">
        <v>0</v>
      </c>
      <c r="S467" s="208">
        <v>0</v>
      </c>
      <c r="T467" s="208">
        <v>0</v>
      </c>
      <c r="U467" s="208">
        <v>0</v>
      </c>
      <c r="V467" s="208">
        <v>0</v>
      </c>
      <c r="W467" s="208">
        <v>0</v>
      </c>
      <c r="X467" s="208">
        <v>0</v>
      </c>
      <c r="Y467" s="208">
        <v>0</v>
      </c>
      <c r="Z467" s="208">
        <v>0</v>
      </c>
      <c r="AA467" s="208">
        <v>0</v>
      </c>
      <c r="AB467" s="208">
        <v>295</v>
      </c>
      <c r="AC467" s="208">
        <v>332.25</v>
      </c>
      <c r="AD467" s="208">
        <v>329.84399999999999</v>
      </c>
      <c r="AE467" s="208">
        <v>290.25</v>
      </c>
      <c r="AF467" s="208">
        <v>441.072</v>
      </c>
      <c r="AG467" s="208">
        <v>771.37400000000002</v>
      </c>
      <c r="AH467" s="208">
        <v>533.11900000000003</v>
      </c>
      <c r="AI467" s="208">
        <v>250.50399999999999</v>
      </c>
      <c r="AJ467" s="208">
        <v>324.65199999999999</v>
      </c>
      <c r="AK467" s="208">
        <v>370.57499999999999</v>
      </c>
      <c r="AL467" s="208">
        <v>8</v>
      </c>
      <c r="AM467" s="208">
        <v>9.3249999999999993</v>
      </c>
      <c r="AN467" s="208">
        <v>6.5</v>
      </c>
      <c r="AO467" s="208">
        <v>23</v>
      </c>
      <c r="AP467" s="208">
        <v>0.29699999999999999</v>
      </c>
      <c r="AQ467" s="208">
        <v>0.313</v>
      </c>
      <c r="AR467" s="208">
        <v>171.98500000000001</v>
      </c>
      <c r="AS467" s="208">
        <v>78</v>
      </c>
      <c r="AT467" s="208">
        <v>40</v>
      </c>
      <c r="AU467" s="209">
        <f t="shared" si="1447"/>
        <v>40</v>
      </c>
      <c r="AV467" s="209">
        <f t="shared" si="1447"/>
        <v>40</v>
      </c>
      <c r="AW467" s="209">
        <f>AV467</f>
        <v>40</v>
      </c>
      <c r="AX467" s="209">
        <f>AW467</f>
        <v>40</v>
      </c>
      <c r="AY467" s="209">
        <f t="shared" si="1447"/>
        <v>40</v>
      </c>
      <c r="AZ467" s="209">
        <f t="shared" si="1448"/>
        <v>40</v>
      </c>
      <c r="BA467" s="209">
        <f t="shared" si="1448"/>
        <v>40</v>
      </c>
      <c r="BB467" s="209">
        <f t="shared" si="1448"/>
        <v>40</v>
      </c>
      <c r="BC467" s="209">
        <f t="shared" si="1449"/>
        <v>40</v>
      </c>
      <c r="BD467" s="209">
        <f t="shared" si="1450"/>
        <v>40</v>
      </c>
      <c r="BE467" s="209">
        <f t="shared" si="1451"/>
        <v>40</v>
      </c>
      <c r="BF467" s="209">
        <f t="shared" si="1452"/>
        <v>40</v>
      </c>
      <c r="BJ467" s="116">
        <f t="shared" si="1453"/>
        <v>458</v>
      </c>
    </row>
    <row r="468" spans="2:62" hidden="1" outlineLevel="2">
      <c r="B468" s="17" t="s">
        <v>364</v>
      </c>
      <c r="C468" s="50">
        <f t="shared" si="1435"/>
        <v>1652.1550000000002</v>
      </c>
      <c r="D468" s="50">
        <f t="shared" si="1435"/>
        <v>274.60399999999998</v>
      </c>
      <c r="E468" s="50">
        <f t="shared" si="1435"/>
        <v>0</v>
      </c>
      <c r="F468" s="50">
        <f t="shared" si="1435"/>
        <v>349.82</v>
      </c>
      <c r="G468" s="50">
        <f t="shared" si="1435"/>
        <v>349.887</v>
      </c>
      <c r="H468" s="50">
        <f t="shared" si="1435"/>
        <v>672.95499999999993</v>
      </c>
      <c r="I468" s="50">
        <f t="shared" si="1435"/>
        <v>162.5</v>
      </c>
      <c r="J468" s="50">
        <f t="shared" si="1435"/>
        <v>0</v>
      </c>
      <c r="K468" s="50">
        <f t="shared" si="1435"/>
        <v>0</v>
      </c>
      <c r="L468" s="50">
        <f t="shared" si="1435"/>
        <v>0</v>
      </c>
      <c r="M468" s="50">
        <f t="shared" si="1435"/>
        <v>0</v>
      </c>
      <c r="O468" s="202"/>
      <c r="P468" s="208">
        <v>1619.173</v>
      </c>
      <c r="Q468" s="208">
        <v>1635.5319999999999</v>
      </c>
      <c r="R468" s="208">
        <v>1652.1550000000002</v>
      </c>
      <c r="S468" s="208">
        <v>1664.4590000000001</v>
      </c>
      <c r="T468" s="208">
        <v>274.291</v>
      </c>
      <c r="U468" s="208">
        <v>274.44799999999998</v>
      </c>
      <c r="V468" s="208">
        <v>274.60399999999998</v>
      </c>
      <c r="W468" s="208">
        <v>274.76100000000002</v>
      </c>
      <c r="X468" s="208">
        <v>274.91800000000001</v>
      </c>
      <c r="Y468" s="208">
        <v>0</v>
      </c>
      <c r="Z468" s="208">
        <v>0</v>
      </c>
      <c r="AA468" s="208">
        <v>0</v>
      </c>
      <c r="AB468" s="208">
        <v>0</v>
      </c>
      <c r="AC468" s="208">
        <v>349.803</v>
      </c>
      <c r="AD468" s="208">
        <v>349.82</v>
      </c>
      <c r="AE468" s="208">
        <v>349.83600000000001</v>
      </c>
      <c r="AF468" s="208">
        <v>349.85300000000001</v>
      </c>
      <c r="AG468" s="208">
        <v>349.87</v>
      </c>
      <c r="AH468" s="208">
        <v>349.887</v>
      </c>
      <c r="AI468" s="208">
        <v>349.904</v>
      </c>
      <c r="AJ468" s="208">
        <v>349.92099999999999</v>
      </c>
      <c r="AK468" s="208">
        <v>349.93799999999999</v>
      </c>
      <c r="AL468" s="208">
        <v>672.95499999999993</v>
      </c>
      <c r="AM468" s="208">
        <v>663.53199999999993</v>
      </c>
      <c r="AN468" s="208">
        <v>663.54899999999998</v>
      </c>
      <c r="AO468" s="208">
        <v>325</v>
      </c>
      <c r="AP468" s="208">
        <v>162.5</v>
      </c>
      <c r="AQ468" s="208">
        <v>0</v>
      </c>
      <c r="AR468" s="208">
        <v>0</v>
      </c>
      <c r="AS468" s="208">
        <v>0</v>
      </c>
      <c r="AT468" s="208">
        <v>0</v>
      </c>
      <c r="AU468" s="208">
        <v>0</v>
      </c>
      <c r="AV468" s="208">
        <v>0</v>
      </c>
      <c r="AW468" s="208">
        <v>0</v>
      </c>
      <c r="AX468" s="208">
        <v>0</v>
      </c>
      <c r="AY468" s="208">
        <v>0</v>
      </c>
      <c r="AZ468" s="208">
        <v>0</v>
      </c>
      <c r="BA468" s="208">
        <v>0</v>
      </c>
      <c r="BB468" s="208">
        <v>0</v>
      </c>
      <c r="BC468" s="208">
        <v>0</v>
      </c>
      <c r="BD468" s="208">
        <v>0</v>
      </c>
      <c r="BE468" s="208">
        <v>0</v>
      </c>
      <c r="BF468" s="208">
        <v>0</v>
      </c>
      <c r="BJ468" s="116">
        <f t="shared" si="1453"/>
        <v>459</v>
      </c>
    </row>
    <row r="469" spans="2:62" hidden="1" outlineLevel="2">
      <c r="B469" s="17" t="s">
        <v>35</v>
      </c>
      <c r="C469" s="50">
        <f t="shared" si="1435"/>
        <v>2.6760000000000002</v>
      </c>
      <c r="D469" s="50">
        <f t="shared" si="1435"/>
        <v>1.712</v>
      </c>
      <c r="E469" s="50">
        <f t="shared" si="1435"/>
        <v>0.437</v>
      </c>
      <c r="F469" s="50">
        <f t="shared" si="1435"/>
        <v>10.243</v>
      </c>
      <c r="G469" s="50">
        <f t="shared" si="1435"/>
        <v>6.2089999999999996</v>
      </c>
      <c r="H469" s="50">
        <f t="shared" si="1435"/>
        <v>-11.504000000000001</v>
      </c>
      <c r="I469" s="50">
        <f t="shared" si="1435"/>
        <v>-26.048999999999999</v>
      </c>
      <c r="J469" s="50">
        <f t="shared" si="1435"/>
        <v>-27.815999999999999</v>
      </c>
      <c r="K469" s="50">
        <f t="shared" si="1435"/>
        <v>-27.815999999999999</v>
      </c>
      <c r="L469" s="50">
        <f t="shared" si="1435"/>
        <v>-27.815999999999999</v>
      </c>
      <c r="M469" s="50">
        <f t="shared" si="1435"/>
        <v>-27.815999999999999</v>
      </c>
      <c r="O469" s="202"/>
      <c r="P469" s="208">
        <v>0.67800000000000005</v>
      </c>
      <c r="Q469" s="208">
        <v>82.995999999999995</v>
      </c>
      <c r="R469" s="208">
        <v>2.6760000000000002</v>
      </c>
      <c r="S469" s="208">
        <v>2.1070000000000002</v>
      </c>
      <c r="T469" s="208">
        <v>2.1030000000000002</v>
      </c>
      <c r="U469" s="208">
        <v>1.853</v>
      </c>
      <c r="V469" s="208">
        <v>1.712</v>
      </c>
      <c r="W469" s="208">
        <v>0.64</v>
      </c>
      <c r="X469" s="208">
        <v>0.47699999999999998</v>
      </c>
      <c r="Y469" s="208">
        <v>0.46300000000000002</v>
      </c>
      <c r="Z469" s="208">
        <v>0.437</v>
      </c>
      <c r="AA469" s="208">
        <v>0.49</v>
      </c>
      <c r="AB469" s="208">
        <v>11.496</v>
      </c>
      <c r="AC469" s="208">
        <v>11.494</v>
      </c>
      <c r="AD469" s="208">
        <v>10.243</v>
      </c>
      <c r="AE469" s="208">
        <v>5.3159999999999998</v>
      </c>
      <c r="AF469" s="208">
        <v>0.22700000000000001</v>
      </c>
      <c r="AG469" s="208">
        <v>0.215</v>
      </c>
      <c r="AH469" s="208">
        <v>6.2089999999999996</v>
      </c>
      <c r="AI469" s="208">
        <v>8.7390000000000008</v>
      </c>
      <c r="AJ469" s="208">
        <v>66.358000000000004</v>
      </c>
      <c r="AK469" s="208">
        <v>8.9819999999999993</v>
      </c>
      <c r="AL469" s="208">
        <f>6.508-18.012</f>
        <v>-11.504000000000001</v>
      </c>
      <c r="AM469" s="208">
        <f>5.88-16.556</f>
        <v>-10.676000000000002</v>
      </c>
      <c r="AN469" s="208">
        <f>0.175-15.453</f>
        <v>-15.277999999999999</v>
      </c>
      <c r="AO469" s="208">
        <f>0.12-14.374</f>
        <v>-14.254000000000001</v>
      </c>
      <c r="AP469" s="208">
        <v>-26.048999999999999</v>
      </c>
      <c r="AQ469" s="208">
        <v>-33.298000000000002</v>
      </c>
      <c r="AR469" s="208">
        <f>-31.563+0.124</f>
        <v>-31.439</v>
      </c>
      <c r="AS469" s="208">
        <f>-29.782+0.196</f>
        <v>-29.585999999999999</v>
      </c>
      <c r="AT469" s="208">
        <f>-27.997+0.181</f>
        <v>-27.815999999999999</v>
      </c>
      <c r="AU469" s="209">
        <f t="shared" si="1447"/>
        <v>-27.815999999999999</v>
      </c>
      <c r="AV469" s="209">
        <f t="shared" si="1447"/>
        <v>-27.815999999999999</v>
      </c>
      <c r="AW469" s="209">
        <f>AV469</f>
        <v>-27.815999999999999</v>
      </c>
      <c r="AX469" s="209">
        <f>AW469</f>
        <v>-27.815999999999999</v>
      </c>
      <c r="AY469" s="209">
        <f t="shared" si="1447"/>
        <v>-27.815999999999999</v>
      </c>
      <c r="AZ469" s="209">
        <f t="shared" si="1448"/>
        <v>-27.815999999999999</v>
      </c>
      <c r="BA469" s="209">
        <f t="shared" si="1448"/>
        <v>-27.815999999999999</v>
      </c>
      <c r="BB469" s="209">
        <f t="shared" si="1448"/>
        <v>-27.815999999999999</v>
      </c>
      <c r="BC469" s="209">
        <f t="shared" ref="BC469" si="1454">BB469</f>
        <v>-27.815999999999999</v>
      </c>
      <c r="BD469" s="209">
        <f t="shared" ref="BD469" si="1455">BC469</f>
        <v>-27.815999999999999</v>
      </c>
      <c r="BE469" s="209">
        <f t="shared" ref="BE469" si="1456">BD469</f>
        <v>-27.815999999999999</v>
      </c>
      <c r="BF469" s="209">
        <f t="shared" ref="BF469" si="1457">BE469</f>
        <v>-27.815999999999999</v>
      </c>
      <c r="BJ469" s="116">
        <f t="shared" si="1453"/>
        <v>460</v>
      </c>
    </row>
    <row r="470" spans="2:62" hidden="1" outlineLevel="2">
      <c r="B470" s="17" t="s">
        <v>194</v>
      </c>
      <c r="C470" s="50">
        <f t="shared" si="1435"/>
        <v>4443.1440000000011</v>
      </c>
      <c r="D470" s="50">
        <f t="shared" si="1435"/>
        <v>3763.8159999999993</v>
      </c>
      <c r="E470" s="50">
        <f t="shared" si="1435"/>
        <v>3489.7000000000003</v>
      </c>
      <c r="F470" s="50">
        <f t="shared" si="1435"/>
        <v>3744.3020000000001</v>
      </c>
      <c r="G470" s="50">
        <f t="shared" si="1435"/>
        <v>3905.049</v>
      </c>
      <c r="H470" s="50">
        <f t="shared" si="1435"/>
        <v>3661.7080000000005</v>
      </c>
      <c r="I470" s="50">
        <f t="shared" si="1435"/>
        <v>3578.6320000000001</v>
      </c>
      <c r="J470" s="50">
        <f t="shared" si="1435"/>
        <v>3517.9470000000001</v>
      </c>
      <c r="K470" s="50">
        <f t="shared" si="1435"/>
        <v>3857.1850000000004</v>
      </c>
      <c r="L470" s="50">
        <f t="shared" si="1435"/>
        <v>3553.6959999999999</v>
      </c>
      <c r="M470" s="50">
        <f t="shared" si="1435"/>
        <v>2883.8500000000004</v>
      </c>
      <c r="O470" s="204"/>
      <c r="P470" s="209">
        <f t="shared" ref="P470:BB470" si="1458">SUM(P459:P469)</f>
        <v>3710.5219999999999</v>
      </c>
      <c r="Q470" s="209">
        <f t="shared" si="1458"/>
        <v>4506.4620000000004</v>
      </c>
      <c r="R470" s="209">
        <f t="shared" si="1458"/>
        <v>4443.1440000000011</v>
      </c>
      <c r="S470" s="209">
        <f t="shared" si="1458"/>
        <v>4455.259</v>
      </c>
      <c r="T470" s="209">
        <f t="shared" si="1458"/>
        <v>3065.4670000000001</v>
      </c>
      <c r="U470" s="209">
        <f t="shared" si="1458"/>
        <v>3763.36</v>
      </c>
      <c r="V470" s="209">
        <f t="shared" si="1458"/>
        <v>3763.8159999999993</v>
      </c>
      <c r="W470" s="209">
        <f t="shared" si="1458"/>
        <v>3763.3409999999994</v>
      </c>
      <c r="X470" s="209">
        <f t="shared" si="1458"/>
        <v>3763.7750000000001</v>
      </c>
      <c r="Y470" s="209">
        <f t="shared" si="1458"/>
        <v>3489.2850000000003</v>
      </c>
      <c r="Z470" s="209">
        <f t="shared" si="1458"/>
        <v>3489.7000000000003</v>
      </c>
      <c r="AA470" s="209">
        <f t="shared" si="1458"/>
        <v>3490.1929999999998</v>
      </c>
      <c r="AB470" s="209">
        <f t="shared" si="1458"/>
        <v>3782.6360000000004</v>
      </c>
      <c r="AC470" s="209">
        <f t="shared" si="1458"/>
        <v>3747.4680000000003</v>
      </c>
      <c r="AD470" s="209">
        <f t="shared" si="1458"/>
        <v>3744.3020000000001</v>
      </c>
      <c r="AE470" s="209">
        <f t="shared" si="1458"/>
        <v>3700.2719999999999</v>
      </c>
      <c r="AF470" s="209">
        <f t="shared" si="1458"/>
        <v>3846.4970000000003</v>
      </c>
      <c r="AG470" s="209">
        <f t="shared" si="1458"/>
        <v>4155.3320000000003</v>
      </c>
      <c r="AH470" s="209">
        <f t="shared" si="1458"/>
        <v>3905.049</v>
      </c>
      <c r="AI470" s="209">
        <f t="shared" si="1458"/>
        <v>3625.4560000000001</v>
      </c>
      <c r="AJ470" s="209">
        <f t="shared" si="1458"/>
        <v>3757.7159999999999</v>
      </c>
      <c r="AK470" s="209">
        <f t="shared" si="1458"/>
        <v>3746.7549999999997</v>
      </c>
      <c r="AL470" s="209">
        <f t="shared" si="1458"/>
        <v>3661.7080000000005</v>
      </c>
      <c r="AM470" s="209">
        <f t="shared" si="1458"/>
        <v>3510.2819999999997</v>
      </c>
      <c r="AN470" s="209">
        <f t="shared" si="1458"/>
        <v>3503.3470000000002</v>
      </c>
      <c r="AO470" s="209">
        <f t="shared" si="1458"/>
        <v>3176.098</v>
      </c>
      <c r="AP470" s="209">
        <f t="shared" si="1458"/>
        <v>3578.6320000000001</v>
      </c>
      <c r="AQ470" s="209">
        <f t="shared" si="1458"/>
        <v>3661.9780000000001</v>
      </c>
      <c r="AR470" s="209">
        <f t="shared" si="1458"/>
        <v>3640.3720000000003</v>
      </c>
      <c r="AS470" s="209">
        <f t="shared" si="1458"/>
        <v>3548.8110000000001</v>
      </c>
      <c r="AT470" s="209">
        <f t="shared" si="1458"/>
        <v>3517.9470000000001</v>
      </c>
      <c r="AU470" s="209">
        <f t="shared" si="1458"/>
        <v>3857.1850000000004</v>
      </c>
      <c r="AV470" s="209">
        <f t="shared" si="1458"/>
        <v>3857.1850000000004</v>
      </c>
      <c r="AW470" s="209">
        <f t="shared" si="1458"/>
        <v>3857.1850000000004</v>
      </c>
      <c r="AX470" s="209">
        <f t="shared" si="1458"/>
        <v>3857.1850000000004</v>
      </c>
      <c r="AY470" s="209">
        <f t="shared" si="1458"/>
        <v>3553.6959999999999</v>
      </c>
      <c r="AZ470" s="209">
        <f t="shared" si="1458"/>
        <v>3553.6959999999999</v>
      </c>
      <c r="BA470" s="209">
        <f t="shared" si="1458"/>
        <v>3553.6959999999999</v>
      </c>
      <c r="BB470" s="209">
        <f t="shared" si="1458"/>
        <v>3553.6959999999999</v>
      </c>
      <c r="BC470" s="209">
        <f t="shared" ref="BC470:BF470" si="1459">SUM(BC459:BC469)</f>
        <v>3553.6959999999999</v>
      </c>
      <c r="BD470" s="209">
        <f t="shared" si="1459"/>
        <v>3553.6959999999999</v>
      </c>
      <c r="BE470" s="209">
        <f t="shared" si="1459"/>
        <v>2883.8500000000004</v>
      </c>
      <c r="BF470" s="209">
        <f t="shared" si="1459"/>
        <v>2883.8500000000004</v>
      </c>
      <c r="BJ470" s="116">
        <f t="shared" si="1453"/>
        <v>461</v>
      </c>
    </row>
    <row r="471" spans="2:62" hidden="1" outlineLevel="2">
      <c r="B471" s="17" t="s">
        <v>195</v>
      </c>
      <c r="C471" s="50">
        <f t="shared" si="1435"/>
        <v>0</v>
      </c>
      <c r="D471" s="50">
        <f t="shared" si="1435"/>
        <v>860</v>
      </c>
      <c r="E471" s="50">
        <f t="shared" si="1435"/>
        <v>890</v>
      </c>
      <c r="F471" s="50">
        <f t="shared" si="1435"/>
        <v>170</v>
      </c>
      <c r="G471" s="50">
        <f t="shared" si="1435"/>
        <v>450</v>
      </c>
      <c r="H471" s="50">
        <f t="shared" si="1435"/>
        <v>0</v>
      </c>
      <c r="I471" s="50">
        <f t="shared" si="1435"/>
        <v>9.0949470177292824E-13</v>
      </c>
      <c r="J471" s="50">
        <f t="shared" si="1435"/>
        <v>510</v>
      </c>
      <c r="K471" s="50">
        <f t="shared" si="1435"/>
        <v>93.873144827352007</v>
      </c>
      <c r="L471" s="50">
        <f t="shared" si="1435"/>
        <v>0</v>
      </c>
      <c r="M471" s="50">
        <f t="shared" si="1435"/>
        <v>165.98791026272011</v>
      </c>
      <c r="O471" s="204"/>
      <c r="P471" s="208">
        <v>0</v>
      </c>
      <c r="Q471" s="208">
        <v>3</v>
      </c>
      <c r="R471" s="208">
        <v>0</v>
      </c>
      <c r="S471" s="208">
        <v>0</v>
      </c>
      <c r="T471" s="208">
        <v>1200</v>
      </c>
      <c r="U471" s="208">
        <v>600</v>
      </c>
      <c r="V471" s="208">
        <v>860</v>
      </c>
      <c r="W471" s="208">
        <v>1010</v>
      </c>
      <c r="X471" s="208">
        <v>910</v>
      </c>
      <c r="Y471" s="208">
        <v>1190</v>
      </c>
      <c r="Z471" s="208">
        <v>890</v>
      </c>
      <c r="AA471" s="208">
        <v>890</v>
      </c>
      <c r="AB471" s="208">
        <v>300</v>
      </c>
      <c r="AC471" s="208">
        <v>300</v>
      </c>
      <c r="AD471" s="208">
        <v>170</v>
      </c>
      <c r="AE471" s="208">
        <v>117.5</v>
      </c>
      <c r="AF471" s="208">
        <v>110</v>
      </c>
      <c r="AG471" s="208">
        <v>100</v>
      </c>
      <c r="AH471" s="208">
        <v>450</v>
      </c>
      <c r="AI471" s="208">
        <v>200</v>
      </c>
      <c r="AJ471" s="212">
        <f>MIN(AJ456,AJ474)</f>
        <v>0</v>
      </c>
      <c r="AK471" s="212">
        <v>0</v>
      </c>
      <c r="AL471" s="212">
        <v>0</v>
      </c>
      <c r="AM471" s="212">
        <v>80</v>
      </c>
      <c r="AN471" s="212">
        <v>0</v>
      </c>
      <c r="AO471" s="208">
        <v>300</v>
      </c>
      <c r="AP471" s="212">
        <f t="shared" ref="AP471:BB471" si="1460">MIN(AP456,AP474)</f>
        <v>9.0949470177292824E-13</v>
      </c>
      <c r="AQ471" s="212">
        <f t="shared" si="1460"/>
        <v>0</v>
      </c>
      <c r="AR471" s="208">
        <v>100</v>
      </c>
      <c r="AS471" s="208">
        <v>410</v>
      </c>
      <c r="AT471" s="208">
        <v>510</v>
      </c>
      <c r="AU471" s="212">
        <f t="shared" si="1460"/>
        <v>34.30281514296621</v>
      </c>
      <c r="AV471" s="212">
        <f t="shared" si="1460"/>
        <v>65.311924987836392</v>
      </c>
      <c r="AW471" s="212">
        <f t="shared" si="1460"/>
        <v>92.215291882725069</v>
      </c>
      <c r="AX471" s="212">
        <f t="shared" si="1460"/>
        <v>93.873144827352007</v>
      </c>
      <c r="AY471" s="212">
        <f t="shared" si="1460"/>
        <v>200.68864289225348</v>
      </c>
      <c r="AZ471" s="212">
        <f t="shared" si="1460"/>
        <v>113.7495921816726</v>
      </c>
      <c r="BA471" s="212">
        <f t="shared" si="1460"/>
        <v>41.144326375055243</v>
      </c>
      <c r="BB471" s="212">
        <f t="shared" si="1460"/>
        <v>0</v>
      </c>
      <c r="BC471" s="212">
        <f t="shared" ref="BC471:BF471" si="1461">MIN(BC456,BC474)</f>
        <v>0</v>
      </c>
      <c r="BD471" s="212">
        <f t="shared" si="1461"/>
        <v>0</v>
      </c>
      <c r="BE471" s="212">
        <f t="shared" si="1461"/>
        <v>282.32906867363818</v>
      </c>
      <c r="BF471" s="212">
        <f t="shared" si="1461"/>
        <v>165.98791026272011</v>
      </c>
      <c r="BJ471" s="116">
        <f t="shared" si="1453"/>
        <v>462</v>
      </c>
    </row>
    <row r="472" spans="2:62" hidden="1" outlineLevel="2">
      <c r="B472" s="17" t="s">
        <v>138</v>
      </c>
      <c r="C472" s="50">
        <f t="shared" si="1435"/>
        <v>4443.1440000000011</v>
      </c>
      <c r="D472" s="50">
        <f t="shared" si="1435"/>
        <v>4623.8159999999989</v>
      </c>
      <c r="E472" s="50">
        <f t="shared" si="1435"/>
        <v>4379.7000000000007</v>
      </c>
      <c r="F472" s="50">
        <f t="shared" si="1435"/>
        <v>3914.3020000000001</v>
      </c>
      <c r="G472" s="50">
        <f t="shared" si="1435"/>
        <v>4355.049</v>
      </c>
      <c r="H472" s="50">
        <f t="shared" si="1435"/>
        <v>3661.7080000000005</v>
      </c>
      <c r="I472" s="50">
        <f t="shared" si="1435"/>
        <v>3578.632000000001</v>
      </c>
      <c r="J472" s="50">
        <f t="shared" si="1435"/>
        <v>4027.9470000000001</v>
      </c>
      <c r="K472" s="50">
        <f t="shared" si="1435"/>
        <v>3951.0581448273524</v>
      </c>
      <c r="L472" s="50">
        <f t="shared" si="1435"/>
        <v>3553.6959999999999</v>
      </c>
      <c r="M472" s="50">
        <f t="shared" si="1435"/>
        <v>3049.8379102627205</v>
      </c>
      <c r="O472" s="204"/>
      <c r="P472" s="209">
        <f t="shared" ref="P472:BB472" si="1462">P470+P471</f>
        <v>3710.5219999999999</v>
      </c>
      <c r="Q472" s="209">
        <f t="shared" si="1462"/>
        <v>4509.4620000000004</v>
      </c>
      <c r="R472" s="209">
        <f t="shared" si="1462"/>
        <v>4443.1440000000011</v>
      </c>
      <c r="S472" s="209">
        <f t="shared" si="1462"/>
        <v>4455.259</v>
      </c>
      <c r="T472" s="209">
        <f t="shared" si="1462"/>
        <v>4265.4670000000006</v>
      </c>
      <c r="U472" s="209">
        <f t="shared" si="1462"/>
        <v>4363.3600000000006</v>
      </c>
      <c r="V472" s="209">
        <f t="shared" si="1462"/>
        <v>4623.8159999999989</v>
      </c>
      <c r="W472" s="209">
        <f t="shared" si="1462"/>
        <v>4773.3409999999994</v>
      </c>
      <c r="X472" s="209">
        <f t="shared" si="1462"/>
        <v>4673.7749999999996</v>
      </c>
      <c r="Y472" s="209">
        <f t="shared" si="1462"/>
        <v>4679.2849999999999</v>
      </c>
      <c r="Z472" s="209">
        <f t="shared" si="1462"/>
        <v>4379.7000000000007</v>
      </c>
      <c r="AA472" s="209">
        <f t="shared" si="1462"/>
        <v>4380.1929999999993</v>
      </c>
      <c r="AB472" s="209">
        <f t="shared" si="1462"/>
        <v>4082.6360000000004</v>
      </c>
      <c r="AC472" s="209">
        <f t="shared" si="1462"/>
        <v>4047.4680000000003</v>
      </c>
      <c r="AD472" s="209">
        <f t="shared" si="1462"/>
        <v>3914.3020000000001</v>
      </c>
      <c r="AE472" s="209">
        <f t="shared" si="1462"/>
        <v>3817.7719999999999</v>
      </c>
      <c r="AF472" s="209">
        <f t="shared" si="1462"/>
        <v>3956.4970000000003</v>
      </c>
      <c r="AG472" s="209">
        <f t="shared" si="1462"/>
        <v>4255.3320000000003</v>
      </c>
      <c r="AH472" s="209">
        <f t="shared" si="1462"/>
        <v>4355.049</v>
      </c>
      <c r="AI472" s="209">
        <f t="shared" si="1462"/>
        <v>3825.4560000000001</v>
      </c>
      <c r="AJ472" s="209">
        <f t="shared" si="1462"/>
        <v>3757.7159999999999</v>
      </c>
      <c r="AK472" s="209">
        <f t="shared" si="1462"/>
        <v>3746.7549999999997</v>
      </c>
      <c r="AL472" s="209">
        <f t="shared" si="1462"/>
        <v>3661.7080000000005</v>
      </c>
      <c r="AM472" s="209">
        <f t="shared" si="1462"/>
        <v>3590.2819999999997</v>
      </c>
      <c r="AN472" s="209">
        <f t="shared" si="1462"/>
        <v>3503.3470000000002</v>
      </c>
      <c r="AO472" s="209">
        <f t="shared" si="1462"/>
        <v>3476.098</v>
      </c>
      <c r="AP472" s="209">
        <f t="shared" si="1462"/>
        <v>3578.632000000001</v>
      </c>
      <c r="AQ472" s="209">
        <f t="shared" si="1462"/>
        <v>3661.9780000000001</v>
      </c>
      <c r="AR472" s="209">
        <f t="shared" si="1462"/>
        <v>3740.3720000000003</v>
      </c>
      <c r="AS472" s="209">
        <f t="shared" si="1462"/>
        <v>3958.8110000000001</v>
      </c>
      <c r="AT472" s="209">
        <f t="shared" si="1462"/>
        <v>4027.9470000000001</v>
      </c>
      <c r="AU472" s="209">
        <f t="shared" si="1462"/>
        <v>3891.4878151429666</v>
      </c>
      <c r="AV472" s="209">
        <f t="shared" si="1462"/>
        <v>3922.4969249878368</v>
      </c>
      <c r="AW472" s="209">
        <f t="shared" si="1462"/>
        <v>3949.4002918827255</v>
      </c>
      <c r="AX472" s="209">
        <f t="shared" si="1462"/>
        <v>3951.0581448273524</v>
      </c>
      <c r="AY472" s="209">
        <f t="shared" si="1462"/>
        <v>3754.3846428922534</v>
      </c>
      <c r="AZ472" s="209">
        <f t="shared" si="1462"/>
        <v>3667.4455921816725</v>
      </c>
      <c r="BA472" s="209">
        <f t="shared" si="1462"/>
        <v>3594.8403263750552</v>
      </c>
      <c r="BB472" s="209">
        <f t="shared" si="1462"/>
        <v>3553.6959999999999</v>
      </c>
      <c r="BC472" s="209">
        <f t="shared" ref="BC472:BF472" si="1463">BC470+BC471</f>
        <v>3553.6959999999999</v>
      </c>
      <c r="BD472" s="209">
        <f t="shared" si="1463"/>
        <v>3553.6959999999999</v>
      </c>
      <c r="BE472" s="209">
        <f t="shared" si="1463"/>
        <v>3166.1790686736385</v>
      </c>
      <c r="BF472" s="209">
        <f t="shared" si="1463"/>
        <v>3049.8379102627205</v>
      </c>
      <c r="BJ472" s="116">
        <f t="shared" si="1453"/>
        <v>463</v>
      </c>
    </row>
    <row r="473" spans="2:62" hidden="1" outlineLevel="2">
      <c r="B473" s="47"/>
      <c r="P473" s="91">
        <f>ROUND(P472-P387,2)</f>
        <v>0</v>
      </c>
      <c r="Q473" s="91">
        <f t="shared" ref="Q473:BF473" si="1464">ROUND(Q472-Q387,2)</f>
        <v>0</v>
      </c>
      <c r="R473" s="91">
        <f t="shared" si="1464"/>
        <v>0</v>
      </c>
      <c r="S473" s="91">
        <f t="shared" si="1464"/>
        <v>0</v>
      </c>
      <c r="T473" s="91">
        <f t="shared" si="1464"/>
        <v>0</v>
      </c>
      <c r="U473" s="91">
        <f t="shared" si="1464"/>
        <v>0</v>
      </c>
      <c r="V473" s="91">
        <f t="shared" si="1464"/>
        <v>0</v>
      </c>
      <c r="W473" s="91">
        <f t="shared" si="1464"/>
        <v>0</v>
      </c>
      <c r="X473" s="91">
        <f t="shared" si="1464"/>
        <v>0</v>
      </c>
      <c r="Y473" s="91">
        <f t="shared" si="1464"/>
        <v>0</v>
      </c>
      <c r="Z473" s="91">
        <f t="shared" si="1464"/>
        <v>0</v>
      </c>
      <c r="AA473" s="91">
        <f t="shared" si="1464"/>
        <v>0</v>
      </c>
      <c r="AB473" s="91">
        <f t="shared" si="1464"/>
        <v>0</v>
      </c>
      <c r="AC473" s="91">
        <f t="shared" si="1464"/>
        <v>0</v>
      </c>
      <c r="AD473" s="91">
        <f t="shared" si="1464"/>
        <v>0</v>
      </c>
      <c r="AE473" s="91">
        <f t="shared" si="1464"/>
        <v>0</v>
      </c>
      <c r="AF473" s="91">
        <f t="shared" si="1464"/>
        <v>0</v>
      </c>
      <c r="AG473" s="91">
        <f t="shared" si="1464"/>
        <v>0</v>
      </c>
      <c r="AH473" s="91">
        <f t="shared" si="1464"/>
        <v>0</v>
      </c>
      <c r="AI473" s="91">
        <f t="shared" si="1464"/>
        <v>0</v>
      </c>
      <c r="AJ473" s="91">
        <f t="shared" si="1464"/>
        <v>0</v>
      </c>
      <c r="AK473" s="91">
        <f t="shared" si="1464"/>
        <v>0</v>
      </c>
      <c r="AL473" s="91">
        <f t="shared" si="1464"/>
        <v>0</v>
      </c>
      <c r="AM473" s="91">
        <f t="shared" si="1464"/>
        <v>0</v>
      </c>
      <c r="AN473" s="91">
        <f t="shared" si="1464"/>
        <v>0</v>
      </c>
      <c r="AO473" s="91">
        <f t="shared" si="1464"/>
        <v>0</v>
      </c>
      <c r="AP473" s="91">
        <f t="shared" si="1464"/>
        <v>0</v>
      </c>
      <c r="AQ473" s="91">
        <f t="shared" si="1464"/>
        <v>0</v>
      </c>
      <c r="AR473" s="235">
        <f t="shared" si="1464"/>
        <v>0</v>
      </c>
      <c r="AS473" s="235">
        <f t="shared" si="1464"/>
        <v>0</v>
      </c>
      <c r="AT473" s="235">
        <f t="shared" si="1464"/>
        <v>0</v>
      </c>
      <c r="AU473" s="91">
        <f t="shared" si="1464"/>
        <v>0</v>
      </c>
      <c r="AV473" s="91">
        <f t="shared" si="1464"/>
        <v>0</v>
      </c>
      <c r="AW473" s="91">
        <f t="shared" si="1464"/>
        <v>0</v>
      </c>
      <c r="AX473" s="91">
        <f t="shared" si="1464"/>
        <v>0</v>
      </c>
      <c r="AY473" s="91">
        <f t="shared" si="1464"/>
        <v>0</v>
      </c>
      <c r="AZ473" s="91">
        <f t="shared" si="1464"/>
        <v>0</v>
      </c>
      <c r="BA473" s="91">
        <f t="shared" si="1464"/>
        <v>0</v>
      </c>
      <c r="BB473" s="91">
        <f t="shared" si="1464"/>
        <v>0</v>
      </c>
      <c r="BC473" s="91">
        <f t="shared" si="1464"/>
        <v>0</v>
      </c>
      <c r="BD473" s="91">
        <f t="shared" si="1464"/>
        <v>0</v>
      </c>
      <c r="BE473" s="91">
        <f t="shared" si="1464"/>
        <v>0</v>
      </c>
      <c r="BF473" s="91">
        <f t="shared" si="1464"/>
        <v>0</v>
      </c>
      <c r="BJ473" s="116">
        <f t="shared" si="1453"/>
        <v>464</v>
      </c>
    </row>
    <row r="474" spans="2:62" hidden="1" outlineLevel="2">
      <c r="B474" s="17" t="s">
        <v>196</v>
      </c>
      <c r="C474" s="50">
        <f t="shared" ref="C474:M475" si="1465">INDEX($O474:$BG474,1,MATCH(C$4,$O$4:$BG$4,0))</f>
        <v>0</v>
      </c>
      <c r="D474" s="50">
        <f t="shared" si="1465"/>
        <v>0</v>
      </c>
      <c r="E474" s="50">
        <f t="shared" si="1465"/>
        <v>0</v>
      </c>
      <c r="F474" s="50">
        <f t="shared" si="1465"/>
        <v>0</v>
      </c>
      <c r="G474" s="50">
        <f t="shared" si="1465"/>
        <v>1725</v>
      </c>
      <c r="H474" s="50">
        <f t="shared" si="1465"/>
        <v>2250</v>
      </c>
      <c r="I474" s="50">
        <f t="shared" si="1465"/>
        <v>2250</v>
      </c>
      <c r="J474" s="50">
        <f t="shared" si="1465"/>
        <v>2250</v>
      </c>
      <c r="K474" s="50">
        <f t="shared" si="1465"/>
        <v>2250</v>
      </c>
      <c r="L474" s="50">
        <f t="shared" si="1465"/>
        <v>2250</v>
      </c>
      <c r="M474" s="50">
        <f t="shared" si="1465"/>
        <v>2250</v>
      </c>
      <c r="P474" s="204"/>
      <c r="Q474" s="204"/>
      <c r="R474" s="204"/>
      <c r="S474" s="204"/>
      <c r="T474" s="204"/>
      <c r="U474" s="204"/>
      <c r="V474" s="204"/>
      <c r="W474" s="204"/>
      <c r="X474" s="204"/>
      <c r="Y474" s="204"/>
      <c r="Z474" s="204"/>
      <c r="AA474" s="204"/>
      <c r="AB474" s="204"/>
      <c r="AC474" s="204"/>
      <c r="AD474" s="204"/>
      <c r="AE474" s="204"/>
      <c r="AF474" s="204"/>
      <c r="AG474" s="204"/>
      <c r="AH474" s="203">
        <v>1725</v>
      </c>
      <c r="AI474" s="203">
        <v>1725</v>
      </c>
      <c r="AJ474" s="203">
        <v>2250</v>
      </c>
      <c r="AK474" s="203">
        <v>2250</v>
      </c>
      <c r="AL474" s="203">
        <v>2250</v>
      </c>
      <c r="AM474" s="203">
        <v>2250</v>
      </c>
      <c r="AN474" s="203">
        <v>2250</v>
      </c>
      <c r="AO474" s="203">
        <v>2250</v>
      </c>
      <c r="AP474" s="203">
        <v>2250</v>
      </c>
      <c r="AQ474" s="203">
        <v>2250</v>
      </c>
      <c r="AR474" s="203">
        <v>2250</v>
      </c>
      <c r="AS474" s="203">
        <v>2250</v>
      </c>
      <c r="AT474" s="203">
        <v>2250</v>
      </c>
      <c r="AU474" s="203">
        <v>2250</v>
      </c>
      <c r="AV474" s="203">
        <v>2250</v>
      </c>
      <c r="AW474" s="203">
        <v>2250</v>
      </c>
      <c r="AX474" s="203">
        <v>2250</v>
      </c>
      <c r="AY474" s="203">
        <v>2250</v>
      </c>
      <c r="AZ474" s="203">
        <v>2250</v>
      </c>
      <c r="BA474" s="203">
        <v>2250</v>
      </c>
      <c r="BB474" s="203">
        <v>2250</v>
      </c>
      <c r="BC474" s="203">
        <v>2250</v>
      </c>
      <c r="BD474" s="203">
        <v>2250</v>
      </c>
      <c r="BE474" s="203">
        <v>2250</v>
      </c>
      <c r="BF474" s="203">
        <v>2250</v>
      </c>
      <c r="BJ474" s="116">
        <f t="shared" si="1453"/>
        <v>465</v>
      </c>
    </row>
    <row r="475" spans="2:62" hidden="1" outlineLevel="2">
      <c r="B475" s="17" t="s">
        <v>197</v>
      </c>
      <c r="C475" s="50">
        <f t="shared" si="1465"/>
        <v>0</v>
      </c>
      <c r="D475" s="50">
        <f t="shared" si="1465"/>
        <v>0</v>
      </c>
      <c r="E475" s="50">
        <f t="shared" si="1465"/>
        <v>0</v>
      </c>
      <c r="F475" s="50">
        <f t="shared" si="1465"/>
        <v>0</v>
      </c>
      <c r="G475" s="50">
        <f t="shared" si="1465"/>
        <v>1275</v>
      </c>
      <c r="H475" s="50">
        <f t="shared" si="1465"/>
        <v>2250</v>
      </c>
      <c r="I475" s="50">
        <f t="shared" si="1465"/>
        <v>2249.9999999999991</v>
      </c>
      <c r="J475" s="50">
        <f t="shared" si="1465"/>
        <v>1740</v>
      </c>
      <c r="K475" s="50">
        <f t="shared" si="1465"/>
        <v>2156.126855172648</v>
      </c>
      <c r="L475" s="50">
        <f t="shared" si="1465"/>
        <v>2250</v>
      </c>
      <c r="M475" s="50">
        <f t="shared" si="1465"/>
        <v>2084.0120897372799</v>
      </c>
      <c r="P475" s="204"/>
      <c r="Q475" s="204"/>
      <c r="R475" s="204"/>
      <c r="S475" s="204"/>
      <c r="T475" s="204"/>
      <c r="U475" s="204"/>
      <c r="V475" s="204"/>
      <c r="W475" s="204"/>
      <c r="X475" s="204"/>
      <c r="Y475" s="204"/>
      <c r="Z475" s="204"/>
      <c r="AA475" s="204"/>
      <c r="AB475" s="204"/>
      <c r="AC475" s="204"/>
      <c r="AD475" s="204"/>
      <c r="AE475" s="204"/>
      <c r="AF475" s="204"/>
      <c r="AG475" s="204"/>
      <c r="AH475" s="204">
        <f t="shared" ref="AH475:BB475" si="1466">AH474-AH471</f>
        <v>1275</v>
      </c>
      <c r="AI475" s="204">
        <f t="shared" si="1466"/>
        <v>1525</v>
      </c>
      <c r="AJ475" s="204">
        <f t="shared" si="1466"/>
        <v>2250</v>
      </c>
      <c r="AK475" s="204">
        <f t="shared" si="1466"/>
        <v>2250</v>
      </c>
      <c r="AL475" s="204">
        <f t="shared" si="1466"/>
        <v>2250</v>
      </c>
      <c r="AM475" s="204">
        <f t="shared" si="1466"/>
        <v>2170</v>
      </c>
      <c r="AN475" s="204">
        <f t="shared" si="1466"/>
        <v>2250</v>
      </c>
      <c r="AO475" s="204">
        <f t="shared" si="1466"/>
        <v>1950</v>
      </c>
      <c r="AP475" s="204">
        <f t="shared" si="1466"/>
        <v>2249.9999999999991</v>
      </c>
      <c r="AQ475" s="204">
        <f t="shared" si="1466"/>
        <v>2250</v>
      </c>
      <c r="AR475" s="204">
        <f t="shared" si="1466"/>
        <v>2150</v>
      </c>
      <c r="AS475" s="204">
        <f t="shared" si="1466"/>
        <v>1840</v>
      </c>
      <c r="AT475" s="204">
        <f t="shared" si="1466"/>
        <v>1740</v>
      </c>
      <c r="AU475" s="204">
        <f t="shared" si="1466"/>
        <v>2215.6971848570338</v>
      </c>
      <c r="AV475" s="204">
        <f t="shared" si="1466"/>
        <v>2184.6880750121636</v>
      </c>
      <c r="AW475" s="204">
        <f t="shared" si="1466"/>
        <v>2157.7847081172749</v>
      </c>
      <c r="AX475" s="204">
        <f t="shared" si="1466"/>
        <v>2156.126855172648</v>
      </c>
      <c r="AY475" s="204">
        <f t="shared" si="1466"/>
        <v>2049.3113571077465</v>
      </c>
      <c r="AZ475" s="204">
        <f t="shared" si="1466"/>
        <v>2136.2504078183274</v>
      </c>
      <c r="BA475" s="204">
        <f t="shared" si="1466"/>
        <v>2208.8556736249448</v>
      </c>
      <c r="BB475" s="204">
        <f t="shared" si="1466"/>
        <v>2250</v>
      </c>
      <c r="BC475" s="204">
        <f t="shared" ref="BC475:BF475" si="1467">BC474-BC471</f>
        <v>2250</v>
      </c>
      <c r="BD475" s="204">
        <f t="shared" si="1467"/>
        <v>2250</v>
      </c>
      <c r="BE475" s="204">
        <f t="shared" si="1467"/>
        <v>1967.6709313263618</v>
      </c>
      <c r="BF475" s="204">
        <f t="shared" si="1467"/>
        <v>2084.0120897372799</v>
      </c>
      <c r="BJ475" s="116">
        <f t="shared" si="1453"/>
        <v>466</v>
      </c>
    </row>
    <row r="476" spans="2:62" hidden="1" outlineLevel="2">
      <c r="B476" s="17"/>
      <c r="BJ476" s="116">
        <f t="shared" si="1453"/>
        <v>467</v>
      </c>
    </row>
    <row r="477" spans="2:62" hidden="1" outlineLevel="2">
      <c r="B477" s="17" t="s">
        <v>125</v>
      </c>
      <c r="C477" s="50">
        <f t="shared" ref="C477:M478" si="1468">INDEX($O477:$BG477,1,MATCH(C$4,$O$4:$BG$4,0))</f>
        <v>1379.018</v>
      </c>
      <c r="D477" s="50">
        <f t="shared" si="1468"/>
        <v>275.32600000000002</v>
      </c>
      <c r="E477" s="50">
        <f t="shared" si="1468"/>
        <v>0.36399999999999999</v>
      </c>
      <c r="F477" s="50">
        <f t="shared" si="1468"/>
        <v>10.185</v>
      </c>
      <c r="G477" s="50">
        <f t="shared" si="1468"/>
        <v>6.19</v>
      </c>
      <c r="H477" s="50">
        <f t="shared" si="1468"/>
        <v>6.508</v>
      </c>
      <c r="I477" s="50">
        <f t="shared" si="1468"/>
        <v>0.29699999999999999</v>
      </c>
      <c r="J477" s="50">
        <f t="shared" si="1468"/>
        <v>0.18099999999999999</v>
      </c>
      <c r="K477" s="50">
        <f t="shared" si="1468"/>
        <v>303.48900000000049</v>
      </c>
      <c r="L477" s="50">
        <f t="shared" si="1468"/>
        <v>669.84599999999955</v>
      </c>
      <c r="M477" s="50">
        <f t="shared" si="1468"/>
        <v>0</v>
      </c>
      <c r="O477" s="50"/>
      <c r="P477" s="50">
        <f t="shared" ref="P477" si="1469">P366</f>
        <v>1345.819</v>
      </c>
      <c r="Q477" s="50">
        <f t="shared" ref="Q477:AQ477" si="1470">Q366</f>
        <v>1442.7139999999999</v>
      </c>
      <c r="R477" s="50">
        <f t="shared" si="1470"/>
        <v>1379.018</v>
      </c>
      <c r="S477" s="50">
        <f t="shared" si="1470"/>
        <v>1391.2239999999999</v>
      </c>
      <c r="T477" s="50">
        <f t="shared" si="1470"/>
        <v>0.88100000000000001</v>
      </c>
      <c r="U477" s="50">
        <f t="shared" si="1470"/>
        <v>275.22699999999998</v>
      </c>
      <c r="V477" s="50">
        <f t="shared" si="1470"/>
        <v>275.32600000000002</v>
      </c>
      <c r="W477" s="50">
        <f t="shared" si="1470"/>
        <v>275.61599999999999</v>
      </c>
      <c r="X477" s="50">
        <f t="shared" si="1470"/>
        <v>275.32299999999998</v>
      </c>
      <c r="Y477" s="50">
        <f t="shared" si="1470"/>
        <v>0.38900000000000001</v>
      </c>
      <c r="Z477" s="50">
        <f t="shared" si="1470"/>
        <v>0.36399999999999999</v>
      </c>
      <c r="AA477" s="50">
        <f t="shared" si="1470"/>
        <v>0.435</v>
      </c>
      <c r="AB477" s="50">
        <f t="shared" si="1470"/>
        <v>11.445</v>
      </c>
      <c r="AC477" s="50">
        <f t="shared" si="1470"/>
        <v>11.441000000000001</v>
      </c>
      <c r="AD477" s="50">
        <f t="shared" si="1470"/>
        <v>10.185</v>
      </c>
      <c r="AE477" s="50">
        <f t="shared" si="1470"/>
        <v>5.2960000000000003</v>
      </c>
      <c r="AF477" s="50">
        <f t="shared" si="1470"/>
        <v>0.20699999999999999</v>
      </c>
      <c r="AG477" s="50">
        <f t="shared" si="1470"/>
        <v>0.19600000000000001</v>
      </c>
      <c r="AH477" s="50">
        <f t="shared" si="1470"/>
        <v>6.19</v>
      </c>
      <c r="AI477" s="50">
        <f t="shared" si="1470"/>
        <v>8.7390000000000008</v>
      </c>
      <c r="AJ477" s="50">
        <f t="shared" si="1470"/>
        <v>66.358999999999995</v>
      </c>
      <c r="AK477" s="50">
        <f t="shared" si="1470"/>
        <v>8.9819999999999993</v>
      </c>
      <c r="AL477" s="50">
        <f t="shared" si="1470"/>
        <v>6.508</v>
      </c>
      <c r="AM477" s="50">
        <f t="shared" si="1470"/>
        <v>5.88</v>
      </c>
      <c r="AN477" s="50">
        <f t="shared" si="1470"/>
        <v>0.17499999999999999</v>
      </c>
      <c r="AO477" s="50">
        <f t="shared" si="1470"/>
        <v>0.12</v>
      </c>
      <c r="AP477" s="50">
        <f t="shared" si="1470"/>
        <v>0.29699999999999999</v>
      </c>
      <c r="AQ477" s="50">
        <f t="shared" si="1470"/>
        <v>0.313</v>
      </c>
      <c r="AR477" s="50">
        <f t="shared" ref="AR477:AT477" si="1471">AR366</f>
        <v>0.124</v>
      </c>
      <c r="AS477" s="50">
        <f t="shared" si="1471"/>
        <v>0.19600000000000001</v>
      </c>
      <c r="AT477" s="50">
        <f t="shared" si="1471"/>
        <v>0.18099999999999999</v>
      </c>
      <c r="AU477" s="267">
        <f t="shared" ref="AU477" si="1472">-SUM(AV492:AY492)-AU459</f>
        <v>303.48900000000049</v>
      </c>
      <c r="AV477" s="50">
        <f t="shared" ref="AV477:BB477" si="1473">-SUM(AW492:AZ492)</f>
        <v>303.48900000000049</v>
      </c>
      <c r="AW477" s="50">
        <f t="shared" si="1473"/>
        <v>303.48900000000049</v>
      </c>
      <c r="AX477" s="50">
        <f t="shared" si="1473"/>
        <v>303.48900000000049</v>
      </c>
      <c r="AY477" s="50">
        <f t="shared" si="1473"/>
        <v>0</v>
      </c>
      <c r="AZ477" s="50">
        <f t="shared" si="1473"/>
        <v>0</v>
      </c>
      <c r="BA477" s="50">
        <f t="shared" si="1473"/>
        <v>669.84599999999955</v>
      </c>
      <c r="BB477" s="50">
        <f t="shared" si="1473"/>
        <v>669.84599999999955</v>
      </c>
      <c r="BC477" s="207">
        <v>0</v>
      </c>
      <c r="BD477" s="207">
        <v>0</v>
      </c>
      <c r="BE477" s="207">
        <v>0</v>
      </c>
      <c r="BF477" s="207">
        <v>0</v>
      </c>
      <c r="BJ477" s="116">
        <f t="shared" si="1453"/>
        <v>468</v>
      </c>
    </row>
    <row r="478" spans="2:62" hidden="1" outlineLevel="2">
      <c r="B478" s="17" t="s">
        <v>128</v>
      </c>
      <c r="C478" s="50">
        <f t="shared" si="1468"/>
        <v>3064.1260000000011</v>
      </c>
      <c r="D478" s="50">
        <f t="shared" si="1468"/>
        <v>4348.4899999999989</v>
      </c>
      <c r="E478" s="50">
        <f t="shared" si="1468"/>
        <v>4379.3360000000011</v>
      </c>
      <c r="F478" s="50">
        <f t="shared" si="1468"/>
        <v>3904.1170000000002</v>
      </c>
      <c r="G478" s="50">
        <f t="shared" si="1468"/>
        <v>4348.8590000000004</v>
      </c>
      <c r="H478" s="50">
        <f t="shared" si="1468"/>
        <v>3655.2000000000007</v>
      </c>
      <c r="I478" s="50">
        <f t="shared" si="1468"/>
        <v>3578.3350000000009</v>
      </c>
      <c r="J478" s="50">
        <f t="shared" si="1468"/>
        <v>4027.7660000000001</v>
      </c>
      <c r="K478" s="50">
        <f t="shared" si="1468"/>
        <v>3647.5691448273519</v>
      </c>
      <c r="L478" s="50">
        <f t="shared" si="1468"/>
        <v>2883.8500000000004</v>
      </c>
      <c r="M478" s="50">
        <f t="shared" si="1468"/>
        <v>3049.8379102627205</v>
      </c>
      <c r="O478" s="50"/>
      <c r="P478" s="50">
        <f t="shared" ref="P478" si="1474">P472-P477</f>
        <v>2364.703</v>
      </c>
      <c r="Q478" s="50">
        <f t="shared" ref="Q478" si="1475">Q472-Q477</f>
        <v>3066.7480000000005</v>
      </c>
      <c r="R478" s="50">
        <f t="shared" ref="R478" si="1476">R472-R477</f>
        <v>3064.1260000000011</v>
      </c>
      <c r="S478" s="50">
        <f t="shared" ref="S478" si="1477">S472-S477</f>
        <v>3064.0349999999999</v>
      </c>
      <c r="T478" s="50">
        <f t="shared" ref="T478" si="1478">T472-T477</f>
        <v>4264.5860000000002</v>
      </c>
      <c r="U478" s="50">
        <f t="shared" ref="U478" si="1479">U472-U477</f>
        <v>4088.1330000000007</v>
      </c>
      <c r="V478" s="50">
        <f t="shared" ref="V478" si="1480">V472-V477</f>
        <v>4348.4899999999989</v>
      </c>
      <c r="W478" s="50">
        <f t="shared" ref="W478" si="1481">W472-W477</f>
        <v>4497.7249999999995</v>
      </c>
      <c r="X478" s="50">
        <f t="shared" ref="X478" si="1482">X472-X477</f>
        <v>4398.4519999999993</v>
      </c>
      <c r="Y478" s="50">
        <f t="shared" ref="Y478" si="1483">Y472-Y477</f>
        <v>4678.8959999999997</v>
      </c>
      <c r="Z478" s="50">
        <f t="shared" ref="Z478" si="1484">Z472-Z477</f>
        <v>4379.3360000000011</v>
      </c>
      <c r="AA478" s="50">
        <f t="shared" ref="AA478" si="1485">AA472-AA477</f>
        <v>4379.7579999999989</v>
      </c>
      <c r="AB478" s="50">
        <f t="shared" ref="AB478" si="1486">AB472-AB477</f>
        <v>4071.1910000000003</v>
      </c>
      <c r="AC478" s="50">
        <f t="shared" ref="AC478" si="1487">AC472-AC477</f>
        <v>4036.0270000000005</v>
      </c>
      <c r="AD478" s="50">
        <f t="shared" ref="AD478" si="1488">AD472-AD477</f>
        <v>3904.1170000000002</v>
      </c>
      <c r="AE478" s="50">
        <f t="shared" ref="AE478" si="1489">AE472-AE477</f>
        <v>3812.4760000000001</v>
      </c>
      <c r="AF478" s="50">
        <f t="shared" ref="AF478" si="1490">AF472-AF477</f>
        <v>3956.2900000000004</v>
      </c>
      <c r="AG478" s="50">
        <f t="shared" ref="AG478" si="1491">AG472-AG477</f>
        <v>4255.1360000000004</v>
      </c>
      <c r="AH478" s="50">
        <f t="shared" ref="AH478" si="1492">AH472-AH477</f>
        <v>4348.8590000000004</v>
      </c>
      <c r="AI478" s="50">
        <f t="shared" ref="AI478" si="1493">AI472-AI477</f>
        <v>3816.7170000000001</v>
      </c>
      <c r="AJ478" s="50">
        <f t="shared" ref="AJ478" si="1494">AJ472-AJ477</f>
        <v>3691.357</v>
      </c>
      <c r="AK478" s="50">
        <f t="shared" ref="AK478" si="1495">AK472-AK477</f>
        <v>3737.7729999999997</v>
      </c>
      <c r="AL478" s="50">
        <f t="shared" ref="AL478" si="1496">AL472-AL477</f>
        <v>3655.2000000000007</v>
      </c>
      <c r="AM478" s="50">
        <f t="shared" ref="AM478" si="1497">AM472-AM477</f>
        <v>3584.4019999999996</v>
      </c>
      <c r="AN478" s="50">
        <f t="shared" ref="AN478" si="1498">AN472-AN477</f>
        <v>3503.172</v>
      </c>
      <c r="AO478" s="50">
        <f t="shared" ref="AO478" si="1499">AO472-AO477</f>
        <v>3475.9780000000001</v>
      </c>
      <c r="AP478" s="50">
        <f t="shared" ref="AP478" si="1500">AP472-AP477</f>
        <v>3578.3350000000009</v>
      </c>
      <c r="AQ478" s="50">
        <f t="shared" ref="AQ478:AR478" si="1501">AQ472-AQ477</f>
        <v>3661.665</v>
      </c>
      <c r="AR478" s="50">
        <f t="shared" si="1501"/>
        <v>3740.2480000000005</v>
      </c>
      <c r="AS478" s="50">
        <f t="shared" ref="AS478:AT478" si="1502">AS472-AS477</f>
        <v>3958.6150000000002</v>
      </c>
      <c r="AT478" s="50">
        <f t="shared" si="1502"/>
        <v>4027.7660000000001</v>
      </c>
      <c r="AU478" s="50">
        <f t="shared" ref="AU478:BF478" si="1503">AU472-AU477</f>
        <v>3587.9988151429661</v>
      </c>
      <c r="AV478" s="50">
        <f t="shared" si="1503"/>
        <v>3619.0079249878363</v>
      </c>
      <c r="AW478" s="50">
        <f t="shared" si="1503"/>
        <v>3645.911291882725</v>
      </c>
      <c r="AX478" s="50">
        <f t="shared" si="1503"/>
        <v>3647.5691448273519</v>
      </c>
      <c r="AY478" s="50">
        <f t="shared" si="1503"/>
        <v>3754.3846428922534</v>
      </c>
      <c r="AZ478" s="50">
        <f t="shared" si="1503"/>
        <v>3667.4455921816725</v>
      </c>
      <c r="BA478" s="50">
        <f t="shared" si="1503"/>
        <v>2924.9943263750556</v>
      </c>
      <c r="BB478" s="50">
        <f t="shared" si="1503"/>
        <v>2883.8500000000004</v>
      </c>
      <c r="BC478" s="50">
        <f t="shared" si="1503"/>
        <v>3553.6959999999999</v>
      </c>
      <c r="BD478" s="50">
        <f t="shared" si="1503"/>
        <v>3553.6959999999999</v>
      </c>
      <c r="BE478" s="50">
        <f t="shared" si="1503"/>
        <v>3166.1790686736385</v>
      </c>
      <c r="BF478" s="50">
        <f t="shared" si="1503"/>
        <v>3049.8379102627205</v>
      </c>
      <c r="BJ478" s="116">
        <f t="shared" si="1453"/>
        <v>469</v>
      </c>
    </row>
    <row r="479" spans="2:62" hidden="1" outlineLevel="2">
      <c r="B479" s="47"/>
      <c r="BJ479" s="116">
        <f t="shared" si="1453"/>
        <v>470</v>
      </c>
    </row>
    <row r="480" spans="2:62" hidden="1" outlineLevel="2">
      <c r="B480" s="47" t="s">
        <v>198</v>
      </c>
      <c r="BJ480" s="116">
        <f t="shared" si="1453"/>
        <v>471</v>
      </c>
    </row>
    <row r="481" spans="2:62" hidden="1" outlineLevel="2">
      <c r="B481" s="17" t="s">
        <v>186</v>
      </c>
      <c r="C481" s="50">
        <f t="shared" ref="C481:M494" si="1504">INDEX($O481:$BG481,1,MATCH(C$4,$O$4:$BG$4,0))</f>
        <v>0.30299999999999727</v>
      </c>
      <c r="D481" s="50">
        <f t="shared" si="1504"/>
        <v>0.30399999999997362</v>
      </c>
      <c r="E481" s="50">
        <f t="shared" si="1504"/>
        <v>0.30499999999994998</v>
      </c>
      <c r="F481" s="50">
        <f t="shared" si="1504"/>
        <v>0.30499999999994998</v>
      </c>
      <c r="G481" s="50">
        <f t="shared" si="1504"/>
        <v>-18.206999999999994</v>
      </c>
      <c r="H481" s="50">
        <f t="shared" si="1504"/>
        <v>-10.451999999999998</v>
      </c>
      <c r="I481" s="50">
        <f t="shared" si="1504"/>
        <v>-0.6370000000000573</v>
      </c>
      <c r="J481" s="50">
        <f t="shared" si="1504"/>
        <v>0.22500000000002274</v>
      </c>
      <c r="K481" s="50">
        <f t="shared" si="1504"/>
        <v>0</v>
      </c>
      <c r="L481" s="50">
        <f t="shared" si="1504"/>
        <v>0</v>
      </c>
      <c r="M481" s="50">
        <f t="shared" si="1504"/>
        <v>0</v>
      </c>
      <c r="Q481" s="50">
        <f t="shared" ref="Q481:Q494" si="1505">Q459-P459</f>
        <v>0.30199999999990723</v>
      </c>
      <c r="R481" s="50">
        <f t="shared" ref="R481:BF481" si="1506">R459-Q459</f>
        <v>0.30299999999999727</v>
      </c>
      <c r="S481" s="50">
        <f t="shared" si="1506"/>
        <v>0.30299999999999727</v>
      </c>
      <c r="T481" s="50">
        <f t="shared" si="1506"/>
        <v>0.30400000000008731</v>
      </c>
      <c r="U481" s="50">
        <f t="shared" si="1506"/>
        <v>0.30299999999999727</v>
      </c>
      <c r="V481" s="50">
        <f t="shared" si="1506"/>
        <v>0.30399999999997362</v>
      </c>
      <c r="W481" s="50">
        <f t="shared" si="1506"/>
        <v>0.30399999999997362</v>
      </c>
      <c r="X481" s="50">
        <f t="shared" si="1506"/>
        <v>0.30399999999997362</v>
      </c>
      <c r="Y481" s="50">
        <f t="shared" si="1506"/>
        <v>0.30500000000006366</v>
      </c>
      <c r="Z481" s="50">
        <f t="shared" si="1506"/>
        <v>0.30499999999994998</v>
      </c>
      <c r="AA481" s="50">
        <f t="shared" si="1506"/>
        <v>0.30399999999997362</v>
      </c>
      <c r="AB481" s="50">
        <f t="shared" si="1506"/>
        <v>0.30600000000004002</v>
      </c>
      <c r="AC481" s="50">
        <f t="shared" si="1506"/>
        <v>0.30500000000006366</v>
      </c>
      <c r="AD481" s="50">
        <f t="shared" si="1506"/>
        <v>0.30499999999994998</v>
      </c>
      <c r="AE481" s="50">
        <f t="shared" si="1506"/>
        <v>0.30600000000004002</v>
      </c>
      <c r="AF481" s="50">
        <f t="shared" si="1506"/>
        <v>0.30700000000001637</v>
      </c>
      <c r="AG481" s="50">
        <f t="shared" si="1506"/>
        <v>-21.641000000000076</v>
      </c>
      <c r="AH481" s="50">
        <f t="shared" si="1506"/>
        <v>-18.206999999999994</v>
      </c>
      <c r="AI481" s="50">
        <f t="shared" si="1506"/>
        <v>0.30700000000001637</v>
      </c>
      <c r="AJ481" s="50">
        <f t="shared" si="1506"/>
        <v>0.30700000000001637</v>
      </c>
      <c r="AK481" s="50">
        <f t="shared" si="1506"/>
        <v>0.30700000000001637</v>
      </c>
      <c r="AL481" s="50">
        <f t="shared" si="1506"/>
        <v>-10.451999999999998</v>
      </c>
      <c r="AM481" s="50">
        <f t="shared" si="1506"/>
        <v>-93.600999999999999</v>
      </c>
      <c r="AN481" s="50">
        <f t="shared" si="1506"/>
        <v>0.30700000000001637</v>
      </c>
      <c r="AO481" s="50">
        <f t="shared" si="1506"/>
        <v>0.30799999999999272</v>
      </c>
      <c r="AP481" s="50">
        <f t="shared" si="1506"/>
        <v>-0.6370000000000573</v>
      </c>
      <c r="AQ481" s="50">
        <f t="shared" si="1506"/>
        <v>-162.31700000000001</v>
      </c>
      <c r="AR481" s="50">
        <f t="shared" si="1506"/>
        <v>-200.13899999999995</v>
      </c>
      <c r="AS481" s="50">
        <f t="shared" si="1506"/>
        <v>-4.5460000000000491</v>
      </c>
      <c r="AT481" s="50">
        <f t="shared" si="1506"/>
        <v>0.22500000000002274</v>
      </c>
      <c r="AU481" s="50">
        <f t="shared" si="1506"/>
        <v>-460.762</v>
      </c>
      <c r="AV481" s="50">
        <f t="shared" si="1506"/>
        <v>0</v>
      </c>
      <c r="AW481" s="50">
        <f t="shared" si="1506"/>
        <v>0</v>
      </c>
      <c r="AX481" s="50">
        <f t="shared" si="1506"/>
        <v>0</v>
      </c>
      <c r="AY481" s="50">
        <f t="shared" si="1506"/>
        <v>0</v>
      </c>
      <c r="AZ481" s="50">
        <f t="shared" si="1506"/>
        <v>0</v>
      </c>
      <c r="BA481" s="50">
        <f t="shared" si="1506"/>
        <v>0</v>
      </c>
      <c r="BB481" s="50">
        <f t="shared" si="1506"/>
        <v>0</v>
      </c>
      <c r="BC481" s="50">
        <f t="shared" si="1506"/>
        <v>0</v>
      </c>
      <c r="BD481" s="50">
        <f t="shared" si="1506"/>
        <v>0</v>
      </c>
      <c r="BE481" s="50">
        <f t="shared" si="1506"/>
        <v>0</v>
      </c>
      <c r="BF481" s="50">
        <f t="shared" si="1506"/>
        <v>0</v>
      </c>
      <c r="BJ481" s="116">
        <f t="shared" si="1453"/>
        <v>472</v>
      </c>
    </row>
    <row r="482" spans="2:62" hidden="1" outlineLevel="2">
      <c r="B482" s="17" t="s">
        <v>187</v>
      </c>
      <c r="C482" s="50">
        <f t="shared" si="1504"/>
        <v>0</v>
      </c>
      <c r="D482" s="50">
        <f t="shared" si="1504"/>
        <v>0</v>
      </c>
      <c r="E482" s="50">
        <f t="shared" si="1504"/>
        <v>0</v>
      </c>
      <c r="F482" s="50">
        <f t="shared" si="1504"/>
        <v>0</v>
      </c>
      <c r="G482" s="50">
        <f t="shared" si="1504"/>
        <v>0</v>
      </c>
      <c r="H482" s="50">
        <f t="shared" si="1504"/>
        <v>0</v>
      </c>
      <c r="I482" s="50">
        <f t="shared" si="1504"/>
        <v>0</v>
      </c>
      <c r="J482" s="50">
        <f t="shared" si="1504"/>
        <v>0</v>
      </c>
      <c r="K482" s="50">
        <f t="shared" si="1504"/>
        <v>0</v>
      </c>
      <c r="L482" s="50">
        <f t="shared" si="1504"/>
        <v>0</v>
      </c>
      <c r="M482" s="50">
        <f t="shared" si="1504"/>
        <v>0</v>
      </c>
      <c r="Q482" s="50">
        <f t="shared" si="1505"/>
        <v>0</v>
      </c>
      <c r="R482" s="50">
        <f t="shared" ref="R482:BF482" si="1507">R460-Q460</f>
        <v>0</v>
      </c>
      <c r="S482" s="50">
        <f t="shared" si="1507"/>
        <v>0</v>
      </c>
      <c r="T482" s="50">
        <f t="shared" si="1507"/>
        <v>0</v>
      </c>
      <c r="U482" s="50">
        <f t="shared" si="1507"/>
        <v>0</v>
      </c>
      <c r="V482" s="50">
        <f t="shared" si="1507"/>
        <v>0</v>
      </c>
      <c r="W482" s="50">
        <f t="shared" si="1507"/>
        <v>0</v>
      </c>
      <c r="X482" s="50">
        <f t="shared" si="1507"/>
        <v>0</v>
      </c>
      <c r="Y482" s="50">
        <f t="shared" si="1507"/>
        <v>0</v>
      </c>
      <c r="Z482" s="50">
        <f t="shared" si="1507"/>
        <v>0</v>
      </c>
      <c r="AA482" s="50">
        <f t="shared" si="1507"/>
        <v>0</v>
      </c>
      <c r="AB482" s="50">
        <f t="shared" si="1507"/>
        <v>-14</v>
      </c>
      <c r="AC482" s="50">
        <f t="shared" si="1507"/>
        <v>-771.39300000000003</v>
      </c>
      <c r="AD482" s="50">
        <f t="shared" si="1507"/>
        <v>0</v>
      </c>
      <c r="AE482" s="50">
        <f t="shared" si="1507"/>
        <v>0</v>
      </c>
      <c r="AF482" s="50">
        <f t="shared" si="1507"/>
        <v>0</v>
      </c>
      <c r="AG482" s="50">
        <f t="shared" si="1507"/>
        <v>0</v>
      </c>
      <c r="AH482" s="50">
        <f t="shared" si="1507"/>
        <v>0</v>
      </c>
      <c r="AI482" s="50">
        <f t="shared" si="1507"/>
        <v>0</v>
      </c>
      <c r="AJ482" s="50">
        <f t="shared" si="1507"/>
        <v>0</v>
      </c>
      <c r="AK482" s="50">
        <f t="shared" si="1507"/>
        <v>0</v>
      </c>
      <c r="AL482" s="50">
        <f t="shared" si="1507"/>
        <v>0</v>
      </c>
      <c r="AM482" s="50">
        <f t="shared" si="1507"/>
        <v>-36.118000000000052</v>
      </c>
      <c r="AN482" s="50">
        <f t="shared" si="1507"/>
        <v>0</v>
      </c>
      <c r="AO482" s="50">
        <f t="shared" si="1507"/>
        <v>0</v>
      </c>
      <c r="AP482" s="50">
        <f t="shared" si="1507"/>
        <v>0</v>
      </c>
      <c r="AQ482" s="50">
        <f t="shared" si="1507"/>
        <v>0</v>
      </c>
      <c r="AR482" s="50">
        <f t="shared" si="1507"/>
        <v>0</v>
      </c>
      <c r="AS482" s="50">
        <f t="shared" si="1507"/>
        <v>0</v>
      </c>
      <c r="AT482" s="50">
        <f t="shared" si="1507"/>
        <v>0</v>
      </c>
      <c r="AU482" s="50">
        <f t="shared" si="1507"/>
        <v>0</v>
      </c>
      <c r="AV482" s="50">
        <f t="shared" si="1507"/>
        <v>0</v>
      </c>
      <c r="AW482" s="50">
        <f t="shared" si="1507"/>
        <v>0</v>
      </c>
      <c r="AX482" s="50">
        <f t="shared" si="1507"/>
        <v>0</v>
      </c>
      <c r="AY482" s="50">
        <f t="shared" si="1507"/>
        <v>-303.48899999999998</v>
      </c>
      <c r="AZ482" s="50">
        <f t="shared" si="1507"/>
        <v>0</v>
      </c>
      <c r="BA482" s="50">
        <f t="shared" si="1507"/>
        <v>0</v>
      </c>
      <c r="BB482" s="50">
        <f t="shared" si="1507"/>
        <v>0</v>
      </c>
      <c r="BC482" s="50">
        <f t="shared" si="1507"/>
        <v>0</v>
      </c>
      <c r="BD482" s="50">
        <f t="shared" si="1507"/>
        <v>0</v>
      </c>
      <c r="BE482" s="50">
        <f t="shared" si="1507"/>
        <v>0</v>
      </c>
      <c r="BF482" s="50">
        <f t="shared" si="1507"/>
        <v>0</v>
      </c>
      <c r="BJ482" s="116">
        <f t="shared" si="1453"/>
        <v>473</v>
      </c>
    </row>
    <row r="483" spans="2:62" hidden="1" outlineLevel="2">
      <c r="B483" s="17" t="s">
        <v>188</v>
      </c>
      <c r="C483" s="50">
        <f t="shared" si="1504"/>
        <v>7.6000000000021828E-2</v>
      </c>
      <c r="D483" s="50">
        <f t="shared" si="1504"/>
        <v>7.6999999999998181E-2</v>
      </c>
      <c r="E483" s="50">
        <f t="shared" si="1504"/>
        <v>7.6000000000021828E-2</v>
      </c>
      <c r="F483" s="50">
        <f t="shared" si="1504"/>
        <v>7.6000000000021828E-2</v>
      </c>
      <c r="G483" s="50">
        <f t="shared" si="1504"/>
        <v>7.6000000000021828E-2</v>
      </c>
      <c r="H483" s="50">
        <f t="shared" si="1504"/>
        <v>-14.642999999999915</v>
      </c>
      <c r="I483" s="50">
        <f t="shared" si="1504"/>
        <v>7.6999999999998181E-2</v>
      </c>
      <c r="J483" s="50">
        <f t="shared" si="1504"/>
        <v>7.6999999999998181E-2</v>
      </c>
      <c r="K483" s="50">
        <f t="shared" si="1504"/>
        <v>0</v>
      </c>
      <c r="L483" s="50">
        <f t="shared" si="1504"/>
        <v>0</v>
      </c>
      <c r="M483" s="50">
        <f t="shared" si="1504"/>
        <v>0</v>
      </c>
      <c r="Q483" s="50">
        <f t="shared" si="1505"/>
        <v>696.96100000000001</v>
      </c>
      <c r="R483" s="50">
        <f t="shared" ref="R483:BF483" si="1508">R461-Q461</f>
        <v>7.6000000000021828E-2</v>
      </c>
      <c r="S483" s="50">
        <f t="shared" si="1508"/>
        <v>7.6999999999998181E-2</v>
      </c>
      <c r="T483" s="50">
        <f t="shared" si="1508"/>
        <v>7.6000000000021828E-2</v>
      </c>
      <c r="U483" s="50">
        <f t="shared" si="1508"/>
        <v>7.5999999999908141E-2</v>
      </c>
      <c r="V483" s="50">
        <f t="shared" si="1508"/>
        <v>7.6999999999998181E-2</v>
      </c>
      <c r="W483" s="50">
        <f t="shared" si="1508"/>
        <v>7.6000000000021828E-2</v>
      </c>
      <c r="X483" s="50">
        <f t="shared" si="1508"/>
        <v>7.6000000000021828E-2</v>
      </c>
      <c r="Y483" s="50">
        <f t="shared" si="1508"/>
        <v>7.6999999999998181E-2</v>
      </c>
      <c r="Z483" s="50">
        <f t="shared" si="1508"/>
        <v>7.6000000000021828E-2</v>
      </c>
      <c r="AA483" s="50">
        <f t="shared" si="1508"/>
        <v>7.6000000000021828E-2</v>
      </c>
      <c r="AB483" s="50">
        <f t="shared" si="1508"/>
        <v>7.0999999999912689E-2</v>
      </c>
      <c r="AC483" s="50">
        <f t="shared" si="1508"/>
        <v>7.6000000000021828E-2</v>
      </c>
      <c r="AD483" s="50">
        <f t="shared" si="1508"/>
        <v>7.6000000000021828E-2</v>
      </c>
      <c r="AE483" s="50">
        <f t="shared" si="1508"/>
        <v>0.26099999999996726</v>
      </c>
      <c r="AF483" s="50">
        <f t="shared" si="1508"/>
        <v>-0.10799999999994725</v>
      </c>
      <c r="AG483" s="50">
        <f t="shared" si="1508"/>
        <v>7.6999999999998181E-2</v>
      </c>
      <c r="AH483" s="50">
        <f t="shared" si="1508"/>
        <v>7.6000000000021828E-2</v>
      </c>
      <c r="AI483" s="50">
        <f t="shared" si="1508"/>
        <v>7.5999999999908141E-2</v>
      </c>
      <c r="AJ483" s="50">
        <f t="shared" si="1508"/>
        <v>7.6999999999998181E-2</v>
      </c>
      <c r="AK483" s="50">
        <f t="shared" si="1508"/>
        <v>7.6000000000021828E-2</v>
      </c>
      <c r="AL483" s="50">
        <f t="shared" si="1508"/>
        <v>-14.642999999999915</v>
      </c>
      <c r="AM483" s="50">
        <f t="shared" si="1508"/>
        <v>-14.52900000000011</v>
      </c>
      <c r="AN483" s="50">
        <f t="shared" si="1508"/>
        <v>7.6999999999998181E-2</v>
      </c>
      <c r="AO483" s="50">
        <f t="shared" si="1508"/>
        <v>7.6000000000021828E-2</v>
      </c>
      <c r="AP483" s="50">
        <f t="shared" si="1508"/>
        <v>7.6999999999998181E-2</v>
      </c>
      <c r="AQ483" s="50">
        <f t="shared" si="1508"/>
        <v>7.6000000000021828E-2</v>
      </c>
      <c r="AR483" s="50">
        <f t="shared" si="1508"/>
        <v>7.6999999999998181E-2</v>
      </c>
      <c r="AS483" s="50">
        <f t="shared" si="1508"/>
        <v>7.6000000000021828E-2</v>
      </c>
      <c r="AT483" s="50">
        <f t="shared" si="1508"/>
        <v>7.6999999999998181E-2</v>
      </c>
      <c r="AU483" s="50">
        <f t="shared" si="1508"/>
        <v>0</v>
      </c>
      <c r="AV483" s="50">
        <f t="shared" si="1508"/>
        <v>0</v>
      </c>
      <c r="AW483" s="50">
        <f t="shared" si="1508"/>
        <v>0</v>
      </c>
      <c r="AX483" s="50">
        <f t="shared" si="1508"/>
        <v>0</v>
      </c>
      <c r="AY483" s="50">
        <f t="shared" si="1508"/>
        <v>0</v>
      </c>
      <c r="AZ483" s="50">
        <f t="shared" si="1508"/>
        <v>0</v>
      </c>
      <c r="BA483" s="50">
        <f t="shared" si="1508"/>
        <v>0</v>
      </c>
      <c r="BB483" s="50">
        <f t="shared" si="1508"/>
        <v>0</v>
      </c>
      <c r="BC483" s="50">
        <f t="shared" si="1508"/>
        <v>0</v>
      </c>
      <c r="BD483" s="50">
        <f t="shared" si="1508"/>
        <v>0</v>
      </c>
      <c r="BE483" s="50">
        <f t="shared" si="1508"/>
        <v>-669.846</v>
      </c>
      <c r="BF483" s="50">
        <f t="shared" si="1508"/>
        <v>0</v>
      </c>
      <c r="BJ483" s="116">
        <f t="shared" si="1453"/>
        <v>474</v>
      </c>
    </row>
    <row r="484" spans="2:62" hidden="1" outlineLevel="2">
      <c r="B484" s="17" t="s">
        <v>189</v>
      </c>
      <c r="C484" s="50">
        <f t="shared" si="1504"/>
        <v>0</v>
      </c>
      <c r="D484" s="50">
        <f t="shared" si="1504"/>
        <v>6.0000000000059117E-2</v>
      </c>
      <c r="E484" s="50">
        <f t="shared" si="1504"/>
        <v>6.0000000000059117E-2</v>
      </c>
      <c r="F484" s="50">
        <f t="shared" si="1504"/>
        <v>6.100000000003547E-2</v>
      </c>
      <c r="G484" s="50">
        <f t="shared" si="1504"/>
        <v>6.0000000000059117E-2</v>
      </c>
      <c r="H484" s="50">
        <f t="shared" si="1504"/>
        <v>6.0000000000059117E-2</v>
      </c>
      <c r="I484" s="50">
        <f t="shared" si="1504"/>
        <v>6.0000000000059117E-2</v>
      </c>
      <c r="J484" s="50">
        <f t="shared" si="1504"/>
        <v>5.999999999994543E-2</v>
      </c>
      <c r="K484" s="50">
        <f t="shared" si="1504"/>
        <v>0</v>
      </c>
      <c r="L484" s="50">
        <f t="shared" si="1504"/>
        <v>0</v>
      </c>
      <c r="M484" s="50">
        <f t="shared" si="1504"/>
        <v>0</v>
      </c>
      <c r="Q484" s="50">
        <f t="shared" si="1505"/>
        <v>0</v>
      </c>
      <c r="R484" s="50">
        <f t="shared" ref="R484:BF484" si="1509">R462-Q462</f>
        <v>0</v>
      </c>
      <c r="S484" s="50">
        <f t="shared" si="1509"/>
        <v>0</v>
      </c>
      <c r="T484" s="50">
        <f t="shared" si="1509"/>
        <v>0</v>
      </c>
      <c r="U484" s="50">
        <f t="shared" si="1509"/>
        <v>697.60699999999997</v>
      </c>
      <c r="V484" s="50">
        <f t="shared" si="1509"/>
        <v>6.0000000000059117E-2</v>
      </c>
      <c r="W484" s="50">
        <f t="shared" si="1509"/>
        <v>5.999999999994543E-2</v>
      </c>
      <c r="X484" s="50">
        <f t="shared" si="1509"/>
        <v>6.0000000000059117E-2</v>
      </c>
      <c r="Y484" s="50">
        <f t="shared" si="1509"/>
        <v>5.999999999994543E-2</v>
      </c>
      <c r="Z484" s="50">
        <f t="shared" si="1509"/>
        <v>6.0000000000059117E-2</v>
      </c>
      <c r="AA484" s="50">
        <f t="shared" si="1509"/>
        <v>5.999999999994543E-2</v>
      </c>
      <c r="AB484" s="50">
        <f t="shared" si="1509"/>
        <v>6.0000000000059117E-2</v>
      </c>
      <c r="AC484" s="50">
        <f t="shared" si="1509"/>
        <v>5.999999999994543E-2</v>
      </c>
      <c r="AD484" s="50">
        <f t="shared" si="1509"/>
        <v>6.100000000003547E-2</v>
      </c>
      <c r="AE484" s="50">
        <f t="shared" si="1509"/>
        <v>-0.12400000000002365</v>
      </c>
      <c r="AF484" s="50">
        <f t="shared" si="1509"/>
        <v>0.24400000000002819</v>
      </c>
      <c r="AG484" s="50">
        <f t="shared" si="1509"/>
        <v>5.999999999994543E-2</v>
      </c>
      <c r="AH484" s="50">
        <f t="shared" si="1509"/>
        <v>6.0000000000059117E-2</v>
      </c>
      <c r="AI484" s="50">
        <f t="shared" si="1509"/>
        <v>5.999999999994543E-2</v>
      </c>
      <c r="AJ484" s="50">
        <f t="shared" si="1509"/>
        <v>6.0000000000059117E-2</v>
      </c>
      <c r="AK484" s="50">
        <f t="shared" si="1509"/>
        <v>5.999999999994543E-2</v>
      </c>
      <c r="AL484" s="50">
        <f t="shared" si="1509"/>
        <v>6.0000000000059117E-2</v>
      </c>
      <c r="AM484" s="50">
        <f t="shared" si="1509"/>
        <v>5.999999999994543E-2</v>
      </c>
      <c r="AN484" s="50">
        <f t="shared" si="1509"/>
        <v>6.0000000000059117E-2</v>
      </c>
      <c r="AO484" s="50">
        <f t="shared" si="1509"/>
        <v>-3.9400000000000546</v>
      </c>
      <c r="AP484" s="50">
        <f t="shared" si="1509"/>
        <v>6.0000000000059117E-2</v>
      </c>
      <c r="AQ484" s="50">
        <f t="shared" si="1509"/>
        <v>5.999999999994543E-2</v>
      </c>
      <c r="AR484" s="50">
        <f t="shared" si="1509"/>
        <v>6.0000000000059117E-2</v>
      </c>
      <c r="AS484" s="50">
        <f t="shared" si="1509"/>
        <v>5.999999999994543E-2</v>
      </c>
      <c r="AT484" s="50">
        <f t="shared" si="1509"/>
        <v>5.999999999994543E-2</v>
      </c>
      <c r="AU484" s="50">
        <f t="shared" si="1509"/>
        <v>0</v>
      </c>
      <c r="AV484" s="50">
        <f t="shared" si="1509"/>
        <v>0</v>
      </c>
      <c r="AW484" s="50">
        <f t="shared" si="1509"/>
        <v>0</v>
      </c>
      <c r="AX484" s="50">
        <f t="shared" si="1509"/>
        <v>0</v>
      </c>
      <c r="AY484" s="50">
        <f t="shared" si="1509"/>
        <v>0</v>
      </c>
      <c r="AZ484" s="50">
        <f t="shared" si="1509"/>
        <v>0</v>
      </c>
      <c r="BA484" s="50">
        <f t="shared" si="1509"/>
        <v>0</v>
      </c>
      <c r="BB484" s="50">
        <f t="shared" si="1509"/>
        <v>0</v>
      </c>
      <c r="BC484" s="50">
        <f t="shared" si="1509"/>
        <v>0</v>
      </c>
      <c r="BD484" s="50">
        <f t="shared" si="1509"/>
        <v>0</v>
      </c>
      <c r="BE484" s="50">
        <f t="shared" si="1509"/>
        <v>0</v>
      </c>
      <c r="BF484" s="50">
        <f t="shared" si="1509"/>
        <v>0</v>
      </c>
      <c r="BJ484" s="116">
        <f t="shared" si="1453"/>
        <v>475</v>
      </c>
    </row>
    <row r="485" spans="2:62" hidden="1" outlineLevel="2">
      <c r="B485" s="17" t="s">
        <v>190</v>
      </c>
      <c r="C485" s="50">
        <f t="shared" si="1504"/>
        <v>0</v>
      </c>
      <c r="D485" s="50">
        <f t="shared" si="1504"/>
        <v>0</v>
      </c>
      <c r="E485" s="50">
        <f t="shared" si="1504"/>
        <v>0</v>
      </c>
      <c r="F485" s="50">
        <f t="shared" si="1504"/>
        <v>3.1999999999982265E-2</v>
      </c>
      <c r="G485" s="50">
        <f t="shared" si="1504"/>
        <v>3.1999999999982265E-2</v>
      </c>
      <c r="H485" s="50">
        <f t="shared" si="1504"/>
        <v>3.2000000000039108E-2</v>
      </c>
      <c r="I485" s="50">
        <f t="shared" si="1504"/>
        <v>3.1999999999982265E-2</v>
      </c>
      <c r="J485" s="50">
        <f t="shared" si="1504"/>
        <v>3.2000000000039108E-2</v>
      </c>
      <c r="K485" s="50">
        <f t="shared" si="1504"/>
        <v>0</v>
      </c>
      <c r="L485" s="50">
        <f t="shared" si="1504"/>
        <v>0</v>
      </c>
      <c r="M485" s="50">
        <f t="shared" si="1504"/>
        <v>0</v>
      </c>
      <c r="Q485" s="50">
        <f t="shared" si="1505"/>
        <v>0</v>
      </c>
      <c r="R485" s="50">
        <f t="shared" ref="R485:BF485" si="1510">R463-Q463</f>
        <v>0</v>
      </c>
      <c r="S485" s="50">
        <f t="shared" si="1510"/>
        <v>0</v>
      </c>
      <c r="T485" s="50">
        <f t="shared" si="1510"/>
        <v>0</v>
      </c>
      <c r="U485" s="50">
        <f t="shared" si="1510"/>
        <v>0</v>
      </c>
      <c r="V485" s="50">
        <f t="shared" si="1510"/>
        <v>0</v>
      </c>
      <c r="W485" s="50">
        <f t="shared" si="1510"/>
        <v>0</v>
      </c>
      <c r="X485" s="50">
        <f t="shared" si="1510"/>
        <v>0</v>
      </c>
      <c r="Y485" s="50">
        <f t="shared" si="1510"/>
        <v>0</v>
      </c>
      <c r="Z485" s="50">
        <f t="shared" si="1510"/>
        <v>0</v>
      </c>
      <c r="AA485" s="50">
        <f t="shared" si="1510"/>
        <v>0</v>
      </c>
      <c r="AB485" s="50">
        <f t="shared" si="1510"/>
        <v>0</v>
      </c>
      <c r="AC485" s="50">
        <f t="shared" si="1510"/>
        <v>348.733</v>
      </c>
      <c r="AD485" s="50">
        <f t="shared" si="1510"/>
        <v>3.1999999999982265E-2</v>
      </c>
      <c r="AE485" s="50">
        <f t="shared" si="1510"/>
        <v>3.2000000000039108E-2</v>
      </c>
      <c r="AF485" s="50">
        <f t="shared" si="1510"/>
        <v>3.1999999999982265E-2</v>
      </c>
      <c r="AG485" s="50">
        <f t="shared" si="1510"/>
        <v>3.1999999999982265E-2</v>
      </c>
      <c r="AH485" s="50">
        <f t="shared" si="1510"/>
        <v>3.1999999999982265E-2</v>
      </c>
      <c r="AI485" s="50">
        <f t="shared" si="1510"/>
        <v>3.2000000000039108E-2</v>
      </c>
      <c r="AJ485" s="50">
        <f t="shared" si="1510"/>
        <v>3.1999999999982265E-2</v>
      </c>
      <c r="AK485" s="50">
        <f t="shared" si="1510"/>
        <v>3.1999999999982265E-2</v>
      </c>
      <c r="AL485" s="50">
        <f t="shared" si="1510"/>
        <v>3.2000000000039108E-2</v>
      </c>
      <c r="AM485" s="50">
        <f t="shared" si="1510"/>
        <v>3.1999999999982265E-2</v>
      </c>
      <c r="AN485" s="50">
        <f t="shared" si="1510"/>
        <v>3.1000000000005912E-2</v>
      </c>
      <c r="AO485" s="50">
        <f t="shared" si="1510"/>
        <v>-2.6680000000000064</v>
      </c>
      <c r="AP485" s="50">
        <f t="shared" si="1510"/>
        <v>3.1999999999982265E-2</v>
      </c>
      <c r="AQ485" s="50">
        <f t="shared" si="1510"/>
        <v>3.2000000000039108E-2</v>
      </c>
      <c r="AR485" s="50">
        <f t="shared" si="1510"/>
        <v>3.1999999999982265E-2</v>
      </c>
      <c r="AS485" s="50">
        <f t="shared" si="1510"/>
        <v>3.1999999999982265E-2</v>
      </c>
      <c r="AT485" s="50">
        <f t="shared" si="1510"/>
        <v>3.2000000000039108E-2</v>
      </c>
      <c r="AU485" s="50">
        <f t="shared" si="1510"/>
        <v>0</v>
      </c>
      <c r="AV485" s="50">
        <f t="shared" si="1510"/>
        <v>0</v>
      </c>
      <c r="AW485" s="50">
        <f t="shared" si="1510"/>
        <v>0</v>
      </c>
      <c r="AX485" s="50">
        <f t="shared" si="1510"/>
        <v>0</v>
      </c>
      <c r="AY485" s="50">
        <f t="shared" si="1510"/>
        <v>0</v>
      </c>
      <c r="AZ485" s="50">
        <f t="shared" si="1510"/>
        <v>0</v>
      </c>
      <c r="BA485" s="50">
        <f t="shared" si="1510"/>
        <v>0</v>
      </c>
      <c r="BB485" s="50">
        <f t="shared" si="1510"/>
        <v>0</v>
      </c>
      <c r="BC485" s="50">
        <f t="shared" si="1510"/>
        <v>0</v>
      </c>
      <c r="BD485" s="50">
        <f t="shared" si="1510"/>
        <v>0</v>
      </c>
      <c r="BE485" s="50">
        <f t="shared" si="1510"/>
        <v>0</v>
      </c>
      <c r="BF485" s="50">
        <f t="shared" si="1510"/>
        <v>0</v>
      </c>
      <c r="BJ485" s="116">
        <f t="shared" si="1453"/>
        <v>476</v>
      </c>
    </row>
    <row r="486" spans="2:62" hidden="1" outlineLevel="2">
      <c r="B486" s="17" t="s">
        <v>191</v>
      </c>
      <c r="C486" s="50">
        <f t="shared" si="1504"/>
        <v>0</v>
      </c>
      <c r="D486" s="50">
        <f t="shared" si="1504"/>
        <v>0</v>
      </c>
      <c r="E486" s="50">
        <f t="shared" si="1504"/>
        <v>0</v>
      </c>
      <c r="F486" s="50">
        <f t="shared" si="1504"/>
        <v>0</v>
      </c>
      <c r="G486" s="50">
        <f t="shared" si="1504"/>
        <v>0</v>
      </c>
      <c r="H486" s="50">
        <f t="shared" si="1504"/>
        <v>0</v>
      </c>
      <c r="I486" s="50">
        <f t="shared" si="1504"/>
        <v>600</v>
      </c>
      <c r="J486" s="50">
        <f t="shared" si="1504"/>
        <v>0</v>
      </c>
      <c r="K486" s="50">
        <f t="shared" si="1504"/>
        <v>0</v>
      </c>
      <c r="L486" s="50">
        <f t="shared" si="1504"/>
        <v>0</v>
      </c>
      <c r="M486" s="50">
        <f t="shared" si="1504"/>
        <v>0</v>
      </c>
      <c r="Q486" s="50">
        <f t="shared" si="1505"/>
        <v>0</v>
      </c>
      <c r="R486" s="50">
        <f t="shared" ref="R486:BF486" si="1511">R464-Q464</f>
        <v>0</v>
      </c>
      <c r="S486" s="50">
        <f t="shared" si="1511"/>
        <v>0</v>
      </c>
      <c r="T486" s="50">
        <f t="shared" si="1511"/>
        <v>0</v>
      </c>
      <c r="U486" s="50">
        <f t="shared" si="1511"/>
        <v>0</v>
      </c>
      <c r="V486" s="50">
        <f t="shared" si="1511"/>
        <v>0</v>
      </c>
      <c r="W486" s="50">
        <f t="shared" si="1511"/>
        <v>0</v>
      </c>
      <c r="X486" s="50">
        <f t="shared" si="1511"/>
        <v>0</v>
      </c>
      <c r="Y486" s="50">
        <f t="shared" si="1511"/>
        <v>0</v>
      </c>
      <c r="Z486" s="50">
        <f t="shared" si="1511"/>
        <v>0</v>
      </c>
      <c r="AA486" s="50">
        <f t="shared" si="1511"/>
        <v>0</v>
      </c>
      <c r="AB486" s="50">
        <f t="shared" si="1511"/>
        <v>0</v>
      </c>
      <c r="AC486" s="50">
        <f t="shared" si="1511"/>
        <v>0</v>
      </c>
      <c r="AD486" s="50">
        <f t="shared" si="1511"/>
        <v>0</v>
      </c>
      <c r="AE486" s="50">
        <f t="shared" si="1511"/>
        <v>0</v>
      </c>
      <c r="AF486" s="50">
        <f t="shared" si="1511"/>
        <v>0</v>
      </c>
      <c r="AG486" s="50">
        <f t="shared" si="1511"/>
        <v>0</v>
      </c>
      <c r="AH486" s="50">
        <f t="shared" si="1511"/>
        <v>0</v>
      </c>
      <c r="AI486" s="50">
        <f t="shared" si="1511"/>
        <v>0</v>
      </c>
      <c r="AJ486" s="50">
        <f t="shared" si="1511"/>
        <v>0</v>
      </c>
      <c r="AK486" s="50">
        <f t="shared" si="1511"/>
        <v>0</v>
      </c>
      <c r="AL486" s="50">
        <f t="shared" si="1511"/>
        <v>0</v>
      </c>
      <c r="AM486" s="50">
        <f t="shared" si="1511"/>
        <v>0</v>
      </c>
      <c r="AN486" s="50">
        <f t="shared" si="1511"/>
        <v>0</v>
      </c>
      <c r="AO486" s="50">
        <f t="shared" si="1511"/>
        <v>0</v>
      </c>
      <c r="AP486" s="50">
        <f t="shared" si="1511"/>
        <v>600</v>
      </c>
      <c r="AQ486" s="50">
        <f t="shared" si="1511"/>
        <v>0</v>
      </c>
      <c r="AR486" s="50">
        <f t="shared" si="1511"/>
        <v>0</v>
      </c>
      <c r="AS486" s="50">
        <f t="shared" si="1511"/>
        <v>0</v>
      </c>
      <c r="AT486" s="50">
        <f t="shared" si="1511"/>
        <v>0</v>
      </c>
      <c r="AU486" s="50">
        <f t="shared" si="1511"/>
        <v>0</v>
      </c>
      <c r="AV486" s="50">
        <f t="shared" si="1511"/>
        <v>0</v>
      </c>
      <c r="AW486" s="50">
        <f t="shared" si="1511"/>
        <v>0</v>
      </c>
      <c r="AX486" s="50">
        <f t="shared" si="1511"/>
        <v>0</v>
      </c>
      <c r="AY486" s="50">
        <f t="shared" si="1511"/>
        <v>0</v>
      </c>
      <c r="AZ486" s="50">
        <f t="shared" si="1511"/>
        <v>0</v>
      </c>
      <c r="BA486" s="50">
        <f t="shared" si="1511"/>
        <v>0</v>
      </c>
      <c r="BB486" s="50">
        <f t="shared" si="1511"/>
        <v>0</v>
      </c>
      <c r="BC486" s="50">
        <f t="shared" si="1511"/>
        <v>0</v>
      </c>
      <c r="BD486" s="50">
        <f t="shared" si="1511"/>
        <v>0</v>
      </c>
      <c r="BE486" s="50">
        <f t="shared" si="1511"/>
        <v>0</v>
      </c>
      <c r="BF486" s="50">
        <f t="shared" si="1511"/>
        <v>0</v>
      </c>
      <c r="BJ486" s="116">
        <f t="shared" si="1453"/>
        <v>477</v>
      </c>
    </row>
    <row r="487" spans="2:62" hidden="1" outlineLevel="2">
      <c r="B487" s="17" t="s">
        <v>192</v>
      </c>
      <c r="C487" s="50">
        <f t="shared" si="1504"/>
        <v>0</v>
      </c>
      <c r="D487" s="50">
        <f t="shared" si="1504"/>
        <v>0</v>
      </c>
      <c r="E487" s="50">
        <f t="shared" si="1504"/>
        <v>0</v>
      </c>
      <c r="F487" s="50">
        <f t="shared" si="1504"/>
        <v>0</v>
      </c>
      <c r="G487" s="50">
        <f t="shared" si="1504"/>
        <v>0</v>
      </c>
      <c r="H487" s="50">
        <f t="shared" si="1504"/>
        <v>0</v>
      </c>
      <c r="I487" s="50">
        <f t="shared" si="1504"/>
        <v>0</v>
      </c>
      <c r="J487" s="50">
        <f t="shared" si="1504"/>
        <v>4.9720000000000368</v>
      </c>
      <c r="K487" s="50">
        <f t="shared" si="1504"/>
        <v>0</v>
      </c>
      <c r="L487" s="50">
        <f t="shared" si="1504"/>
        <v>0</v>
      </c>
      <c r="M487" s="50">
        <f t="shared" si="1504"/>
        <v>0</v>
      </c>
      <c r="Q487" s="50">
        <f t="shared" si="1505"/>
        <v>0</v>
      </c>
      <c r="R487" s="50">
        <f t="shared" ref="R487:BF487" si="1512">R465-Q465</f>
        <v>0</v>
      </c>
      <c r="S487" s="50">
        <f t="shared" si="1512"/>
        <v>0</v>
      </c>
      <c r="T487" s="50">
        <f t="shared" si="1512"/>
        <v>0</v>
      </c>
      <c r="U487" s="50">
        <f t="shared" si="1512"/>
        <v>0</v>
      </c>
      <c r="V487" s="50">
        <f t="shared" si="1512"/>
        <v>0</v>
      </c>
      <c r="W487" s="50">
        <f t="shared" si="1512"/>
        <v>0</v>
      </c>
      <c r="X487" s="50">
        <f t="shared" si="1512"/>
        <v>0</v>
      </c>
      <c r="Y487" s="50">
        <f t="shared" si="1512"/>
        <v>0</v>
      </c>
      <c r="Z487" s="50">
        <f t="shared" si="1512"/>
        <v>0</v>
      </c>
      <c r="AA487" s="50">
        <f t="shared" si="1512"/>
        <v>0</v>
      </c>
      <c r="AB487" s="50">
        <f t="shared" si="1512"/>
        <v>0</v>
      </c>
      <c r="AC487" s="50">
        <f t="shared" si="1512"/>
        <v>0</v>
      </c>
      <c r="AD487" s="50">
        <f t="shared" si="1512"/>
        <v>0</v>
      </c>
      <c r="AE487" s="50">
        <f t="shared" si="1512"/>
        <v>0</v>
      </c>
      <c r="AF487" s="50">
        <f t="shared" si="1512"/>
        <v>0</v>
      </c>
      <c r="AG487" s="50">
        <f t="shared" si="1512"/>
        <v>0</v>
      </c>
      <c r="AH487" s="50">
        <f t="shared" si="1512"/>
        <v>0</v>
      </c>
      <c r="AI487" s="50">
        <f t="shared" si="1512"/>
        <v>0</v>
      </c>
      <c r="AJ487" s="50">
        <f t="shared" si="1512"/>
        <v>0</v>
      </c>
      <c r="AK487" s="50">
        <f t="shared" si="1512"/>
        <v>0</v>
      </c>
      <c r="AL487" s="50">
        <f t="shared" si="1512"/>
        <v>0</v>
      </c>
      <c r="AM487" s="50">
        <f t="shared" si="1512"/>
        <v>0</v>
      </c>
      <c r="AN487" s="50">
        <f t="shared" si="1512"/>
        <v>0</v>
      </c>
      <c r="AO487" s="50">
        <f t="shared" si="1512"/>
        <v>0</v>
      </c>
      <c r="AP487" s="50">
        <f t="shared" si="1512"/>
        <v>0</v>
      </c>
      <c r="AQ487" s="50">
        <f t="shared" si="1512"/>
        <v>415.22800000000001</v>
      </c>
      <c r="AR487" s="50">
        <f t="shared" si="1512"/>
        <v>4.83299999999997</v>
      </c>
      <c r="AS487" s="50">
        <f t="shared" si="1512"/>
        <v>4.9490000000000123</v>
      </c>
      <c r="AT487" s="50">
        <f t="shared" si="1512"/>
        <v>4.9720000000000368</v>
      </c>
      <c r="AU487" s="50">
        <f t="shared" si="1512"/>
        <v>0</v>
      </c>
      <c r="AV487" s="50">
        <f t="shared" si="1512"/>
        <v>0</v>
      </c>
      <c r="AW487" s="50">
        <f t="shared" si="1512"/>
        <v>0</v>
      </c>
      <c r="AX487" s="50">
        <f t="shared" si="1512"/>
        <v>0</v>
      </c>
      <c r="AY487" s="50">
        <f t="shared" si="1512"/>
        <v>0</v>
      </c>
      <c r="AZ487" s="50">
        <f t="shared" si="1512"/>
        <v>0</v>
      </c>
      <c r="BA487" s="50">
        <f t="shared" si="1512"/>
        <v>0</v>
      </c>
      <c r="BB487" s="50">
        <f t="shared" si="1512"/>
        <v>0</v>
      </c>
      <c r="BC487" s="50">
        <f t="shared" si="1512"/>
        <v>0</v>
      </c>
      <c r="BD487" s="50">
        <f t="shared" si="1512"/>
        <v>0</v>
      </c>
      <c r="BE487" s="50">
        <f t="shared" si="1512"/>
        <v>0</v>
      </c>
      <c r="BF487" s="50">
        <f t="shared" si="1512"/>
        <v>0</v>
      </c>
      <c r="BJ487" s="116">
        <f t="shared" si="1453"/>
        <v>478</v>
      </c>
    </row>
    <row r="488" spans="2:62" hidden="1" outlineLevel="2">
      <c r="B488" s="17" t="s">
        <v>415</v>
      </c>
      <c r="C488" s="50"/>
      <c r="D488" s="50"/>
      <c r="E488" s="50"/>
      <c r="F488" s="50">
        <f t="shared" si="1504"/>
        <v>0</v>
      </c>
      <c r="G488" s="50">
        <f t="shared" si="1504"/>
        <v>0</v>
      </c>
      <c r="H488" s="50">
        <f t="shared" si="1504"/>
        <v>0</v>
      </c>
      <c r="I488" s="50">
        <f t="shared" si="1504"/>
        <v>0</v>
      </c>
      <c r="J488" s="50">
        <f t="shared" si="1504"/>
        <v>0</v>
      </c>
      <c r="K488" s="50">
        <f t="shared" si="1504"/>
        <v>0</v>
      </c>
      <c r="L488" s="50">
        <f t="shared" si="1504"/>
        <v>0</v>
      </c>
      <c r="M488" s="50">
        <f t="shared" si="1504"/>
        <v>0</v>
      </c>
      <c r="Q488" s="50">
        <f t="shared" si="1505"/>
        <v>0</v>
      </c>
      <c r="R488" s="50">
        <f t="shared" ref="R488" si="1513">R466-Q466</f>
        <v>0</v>
      </c>
      <c r="S488" s="50">
        <f t="shared" ref="S488" si="1514">S466-R466</f>
        <v>0</v>
      </c>
      <c r="T488" s="50">
        <f t="shared" ref="T488" si="1515">T466-S466</f>
        <v>0</v>
      </c>
      <c r="U488" s="50">
        <f t="shared" ref="U488" si="1516">U466-T466</f>
        <v>0</v>
      </c>
      <c r="V488" s="50">
        <f t="shared" ref="V488" si="1517">V466-U466</f>
        <v>0</v>
      </c>
      <c r="W488" s="50">
        <f t="shared" ref="W488" si="1518">W466-V466</f>
        <v>0</v>
      </c>
      <c r="X488" s="50">
        <f t="shared" ref="X488" si="1519">X466-W466</f>
        <v>0</v>
      </c>
      <c r="Y488" s="50">
        <f t="shared" ref="Y488" si="1520">Y466-X466</f>
        <v>0</v>
      </c>
      <c r="Z488" s="50">
        <f t="shared" ref="Z488" si="1521">Z466-Y466</f>
        <v>0</v>
      </c>
      <c r="AA488" s="50">
        <f t="shared" ref="AA488" si="1522">AA466-Z466</f>
        <v>0</v>
      </c>
      <c r="AB488" s="50">
        <f t="shared" ref="AB488" si="1523">AB466-AA466</f>
        <v>0</v>
      </c>
      <c r="AC488" s="50">
        <f t="shared" ref="AC488" si="1524">AC466-AB466</f>
        <v>0</v>
      </c>
      <c r="AD488" s="50">
        <f t="shared" ref="AD488" si="1525">AD466-AC466</f>
        <v>0</v>
      </c>
      <c r="AE488" s="50">
        <f t="shared" ref="AE488" si="1526">AE466-AD466</f>
        <v>0</v>
      </c>
      <c r="AF488" s="50">
        <f t="shared" ref="AF488" si="1527">AF466-AE466</f>
        <v>0</v>
      </c>
      <c r="AG488" s="50">
        <f t="shared" ref="AG488" si="1528">AG466-AF466</f>
        <v>0</v>
      </c>
      <c r="AH488" s="50">
        <f t="shared" ref="AH488" si="1529">AH466-AG466</f>
        <v>0</v>
      </c>
      <c r="AI488" s="50">
        <f t="shared" ref="AI488" si="1530">AI466-AH466</f>
        <v>0</v>
      </c>
      <c r="AJ488" s="50">
        <f t="shared" ref="AJ488" si="1531">AJ466-AI466</f>
        <v>0</v>
      </c>
      <c r="AK488" s="50">
        <f t="shared" ref="AK488" si="1532">AK466-AJ466</f>
        <v>0</v>
      </c>
      <c r="AL488" s="50">
        <f t="shared" ref="AL488" si="1533">AL466-AK466</f>
        <v>0</v>
      </c>
      <c r="AM488" s="50">
        <f t="shared" ref="AM488" si="1534">AM466-AL466</f>
        <v>0</v>
      </c>
      <c r="AN488" s="50">
        <f t="shared" ref="AN488" si="1535">AN466-AM466</f>
        <v>0</v>
      </c>
      <c r="AO488" s="50">
        <f t="shared" ref="AO488" si="1536">AO466-AN466</f>
        <v>0</v>
      </c>
      <c r="AP488" s="50">
        <f t="shared" ref="AP488" si="1537">AP466-AO466</f>
        <v>0</v>
      </c>
      <c r="AQ488" s="50">
        <f t="shared" ref="AQ488" si="1538">AQ466-AP466</f>
        <v>0</v>
      </c>
      <c r="AR488" s="50">
        <f t="shared" ref="AR488" si="1539">AR466-AQ466</f>
        <v>0</v>
      </c>
      <c r="AS488" s="50">
        <f t="shared" ref="AS488" si="1540">AS466-AR466</f>
        <v>0</v>
      </c>
      <c r="AT488" s="50">
        <f t="shared" ref="AT488" si="1541">AT466-AS466</f>
        <v>0</v>
      </c>
      <c r="AU488" s="50">
        <f t="shared" ref="AU488" si="1542">AU466-AT466</f>
        <v>800</v>
      </c>
      <c r="AV488" s="50">
        <f t="shared" ref="AV488" si="1543">AV466-AU466</f>
        <v>0</v>
      </c>
      <c r="AW488" s="50">
        <f t="shared" ref="AW488" si="1544">AW466-AV466</f>
        <v>0</v>
      </c>
      <c r="AX488" s="50">
        <f t="shared" ref="AX488" si="1545">AX466-AW466</f>
        <v>0</v>
      </c>
      <c r="AY488" s="50">
        <f t="shared" ref="AY488" si="1546">AY466-AX466</f>
        <v>0</v>
      </c>
      <c r="AZ488" s="50">
        <f t="shared" ref="AZ488" si="1547">AZ466-AY466</f>
        <v>0</v>
      </c>
      <c r="BA488" s="50">
        <f t="shared" ref="BA488" si="1548">BA466-AZ466</f>
        <v>0</v>
      </c>
      <c r="BB488" s="50">
        <f t="shared" ref="BB488" si="1549">BB466-BA466</f>
        <v>0</v>
      </c>
      <c r="BC488" s="50">
        <f t="shared" ref="BC488" si="1550">BC466-BB466</f>
        <v>0</v>
      </c>
      <c r="BD488" s="50">
        <f t="shared" ref="BD488" si="1551">BD466-BC466</f>
        <v>0</v>
      </c>
      <c r="BE488" s="50">
        <f t="shared" ref="BE488" si="1552">BE466-BD466</f>
        <v>0</v>
      </c>
      <c r="BF488" s="50">
        <f t="shared" ref="BF488" si="1553">BF466-BE466</f>
        <v>0</v>
      </c>
      <c r="BJ488" s="116">
        <f t="shared" si="1453"/>
        <v>479</v>
      </c>
    </row>
    <row r="489" spans="2:62" hidden="1" outlineLevel="2">
      <c r="B489" s="17" t="s">
        <v>193</v>
      </c>
      <c r="C489" s="50">
        <f t="shared" si="1504"/>
        <v>0</v>
      </c>
      <c r="D489" s="50">
        <f t="shared" si="1504"/>
        <v>0</v>
      </c>
      <c r="E489" s="50">
        <f t="shared" si="1504"/>
        <v>0</v>
      </c>
      <c r="F489" s="50">
        <f t="shared" si="1504"/>
        <v>-2.4060000000000059</v>
      </c>
      <c r="G489" s="50">
        <f t="shared" si="1504"/>
        <v>-238.255</v>
      </c>
      <c r="H489" s="50">
        <f t="shared" si="1504"/>
        <v>-362.57499999999999</v>
      </c>
      <c r="I489" s="50">
        <f t="shared" si="1504"/>
        <v>-22.702999999999999</v>
      </c>
      <c r="J489" s="50">
        <f t="shared" si="1504"/>
        <v>-38</v>
      </c>
      <c r="K489" s="50">
        <f t="shared" si="1504"/>
        <v>0</v>
      </c>
      <c r="L489" s="50">
        <f t="shared" si="1504"/>
        <v>0</v>
      </c>
      <c r="M489" s="50">
        <f t="shared" si="1504"/>
        <v>0</v>
      </c>
      <c r="Q489" s="50">
        <f t="shared" si="1505"/>
        <v>0</v>
      </c>
      <c r="R489" s="50">
        <f t="shared" ref="R489:BF489" si="1554">R467-Q467</f>
        <v>0</v>
      </c>
      <c r="S489" s="50">
        <f t="shared" si="1554"/>
        <v>0</v>
      </c>
      <c r="T489" s="50">
        <f t="shared" si="1554"/>
        <v>0</v>
      </c>
      <c r="U489" s="50">
        <f t="shared" si="1554"/>
        <v>0</v>
      </c>
      <c r="V489" s="50">
        <f t="shared" si="1554"/>
        <v>0</v>
      </c>
      <c r="W489" s="50">
        <f t="shared" si="1554"/>
        <v>0</v>
      </c>
      <c r="X489" s="50">
        <f t="shared" si="1554"/>
        <v>0</v>
      </c>
      <c r="Y489" s="50">
        <f t="shared" si="1554"/>
        <v>0</v>
      </c>
      <c r="Z489" s="50">
        <f t="shared" si="1554"/>
        <v>0</v>
      </c>
      <c r="AA489" s="50">
        <f t="shared" si="1554"/>
        <v>0</v>
      </c>
      <c r="AB489" s="50">
        <f t="shared" si="1554"/>
        <v>295</v>
      </c>
      <c r="AC489" s="50">
        <f t="shared" si="1554"/>
        <v>37.25</v>
      </c>
      <c r="AD489" s="50">
        <f t="shared" si="1554"/>
        <v>-2.4060000000000059</v>
      </c>
      <c r="AE489" s="50">
        <f t="shared" si="1554"/>
        <v>-39.593999999999994</v>
      </c>
      <c r="AF489" s="50">
        <f t="shared" si="1554"/>
        <v>150.822</v>
      </c>
      <c r="AG489" s="50">
        <f t="shared" si="1554"/>
        <v>330.30200000000002</v>
      </c>
      <c r="AH489" s="50">
        <f t="shared" si="1554"/>
        <v>-238.255</v>
      </c>
      <c r="AI489" s="50">
        <f t="shared" si="1554"/>
        <v>-282.61500000000001</v>
      </c>
      <c r="AJ489" s="50">
        <f t="shared" si="1554"/>
        <v>74.147999999999996</v>
      </c>
      <c r="AK489" s="50">
        <f t="shared" si="1554"/>
        <v>45.923000000000002</v>
      </c>
      <c r="AL489" s="50">
        <f t="shared" si="1554"/>
        <v>-362.57499999999999</v>
      </c>
      <c r="AM489" s="50">
        <f t="shared" si="1554"/>
        <v>1.3249999999999993</v>
      </c>
      <c r="AN489" s="50">
        <f t="shared" si="1554"/>
        <v>-2.8249999999999993</v>
      </c>
      <c r="AO489" s="50">
        <f t="shared" si="1554"/>
        <v>16.5</v>
      </c>
      <c r="AP489" s="50">
        <f t="shared" si="1554"/>
        <v>-22.702999999999999</v>
      </c>
      <c r="AQ489" s="50">
        <f t="shared" si="1554"/>
        <v>1.6000000000000014E-2</v>
      </c>
      <c r="AR489" s="50">
        <f t="shared" si="1554"/>
        <v>171.67200000000003</v>
      </c>
      <c r="AS489" s="50">
        <f t="shared" si="1554"/>
        <v>-93.985000000000014</v>
      </c>
      <c r="AT489" s="50">
        <f t="shared" si="1554"/>
        <v>-38</v>
      </c>
      <c r="AU489" s="50">
        <f t="shared" si="1554"/>
        <v>0</v>
      </c>
      <c r="AV489" s="50">
        <f t="shared" si="1554"/>
        <v>0</v>
      </c>
      <c r="AW489" s="50">
        <f t="shared" si="1554"/>
        <v>0</v>
      </c>
      <c r="AX489" s="50">
        <f t="shared" si="1554"/>
        <v>0</v>
      </c>
      <c r="AY489" s="50">
        <f t="shared" si="1554"/>
        <v>0</v>
      </c>
      <c r="AZ489" s="50">
        <f t="shared" si="1554"/>
        <v>0</v>
      </c>
      <c r="BA489" s="50">
        <f t="shared" si="1554"/>
        <v>0</v>
      </c>
      <c r="BB489" s="50">
        <f t="shared" si="1554"/>
        <v>0</v>
      </c>
      <c r="BC489" s="50">
        <f t="shared" si="1554"/>
        <v>0</v>
      </c>
      <c r="BD489" s="50">
        <f t="shared" si="1554"/>
        <v>0</v>
      </c>
      <c r="BE489" s="50">
        <f t="shared" si="1554"/>
        <v>0</v>
      </c>
      <c r="BF489" s="50">
        <f t="shared" si="1554"/>
        <v>0</v>
      </c>
      <c r="BJ489" s="116">
        <f t="shared" si="1453"/>
        <v>480</v>
      </c>
    </row>
    <row r="490" spans="2:62" hidden="1" outlineLevel="2">
      <c r="B490" s="17" t="s">
        <v>364</v>
      </c>
      <c r="C490" s="50">
        <f t="shared" si="1504"/>
        <v>16.623000000000275</v>
      </c>
      <c r="D490" s="50">
        <f t="shared" si="1504"/>
        <v>0.15600000000000591</v>
      </c>
      <c r="E490" s="50">
        <f t="shared" si="1504"/>
        <v>0</v>
      </c>
      <c r="F490" s="50">
        <f t="shared" si="1504"/>
        <v>1.6999999999995907E-2</v>
      </c>
      <c r="G490" s="50">
        <f t="shared" si="1504"/>
        <v>1.6999999999995907E-2</v>
      </c>
      <c r="H490" s="50">
        <f t="shared" si="1504"/>
        <v>323.01699999999994</v>
      </c>
      <c r="I490" s="50">
        <f t="shared" si="1504"/>
        <v>-162.5</v>
      </c>
      <c r="J490" s="50">
        <f t="shared" si="1504"/>
        <v>0</v>
      </c>
      <c r="K490" s="50">
        <f t="shared" si="1504"/>
        <v>0</v>
      </c>
      <c r="L490" s="50">
        <f t="shared" si="1504"/>
        <v>0</v>
      </c>
      <c r="M490" s="50">
        <f t="shared" si="1504"/>
        <v>0</v>
      </c>
      <c r="Q490" s="50">
        <f t="shared" si="1505"/>
        <v>16.358999999999924</v>
      </c>
      <c r="R490" s="50">
        <f t="shared" ref="R490:BF490" si="1555">R468-Q468</f>
        <v>16.623000000000275</v>
      </c>
      <c r="S490" s="50">
        <f t="shared" si="1555"/>
        <v>12.30399999999986</v>
      </c>
      <c r="T490" s="50">
        <f t="shared" si="1555"/>
        <v>-1390.1680000000001</v>
      </c>
      <c r="U490" s="50">
        <f t="shared" si="1555"/>
        <v>0.15699999999998226</v>
      </c>
      <c r="V490" s="50">
        <f t="shared" si="1555"/>
        <v>0.15600000000000591</v>
      </c>
      <c r="W490" s="50">
        <f t="shared" si="1555"/>
        <v>0.15700000000003911</v>
      </c>
      <c r="X490" s="50">
        <f t="shared" si="1555"/>
        <v>0.15699999999998226</v>
      </c>
      <c r="Y490" s="50">
        <f t="shared" si="1555"/>
        <v>-274.91800000000001</v>
      </c>
      <c r="Z490" s="50">
        <f t="shared" si="1555"/>
        <v>0</v>
      </c>
      <c r="AA490" s="50">
        <f t="shared" si="1555"/>
        <v>0</v>
      </c>
      <c r="AB490" s="50">
        <f t="shared" si="1555"/>
        <v>0</v>
      </c>
      <c r="AC490" s="50">
        <f t="shared" si="1555"/>
        <v>349.803</v>
      </c>
      <c r="AD490" s="50">
        <f t="shared" si="1555"/>
        <v>1.6999999999995907E-2</v>
      </c>
      <c r="AE490" s="50">
        <f t="shared" si="1555"/>
        <v>1.6000000000019554E-2</v>
      </c>
      <c r="AF490" s="50">
        <f t="shared" si="1555"/>
        <v>1.6999999999995907E-2</v>
      </c>
      <c r="AG490" s="50">
        <f t="shared" si="1555"/>
        <v>1.6999999999995907E-2</v>
      </c>
      <c r="AH490" s="50">
        <f t="shared" si="1555"/>
        <v>1.6999999999995907E-2</v>
      </c>
      <c r="AI490" s="50">
        <f t="shared" si="1555"/>
        <v>1.6999999999995907E-2</v>
      </c>
      <c r="AJ490" s="50">
        <f t="shared" si="1555"/>
        <v>1.6999999999995907E-2</v>
      </c>
      <c r="AK490" s="50">
        <f t="shared" si="1555"/>
        <v>1.6999999999995907E-2</v>
      </c>
      <c r="AL490" s="50">
        <f t="shared" si="1555"/>
        <v>323.01699999999994</v>
      </c>
      <c r="AM490" s="50">
        <f t="shared" si="1555"/>
        <v>-9.4230000000000018</v>
      </c>
      <c r="AN490" s="50">
        <f t="shared" si="1555"/>
        <v>1.7000000000052751E-2</v>
      </c>
      <c r="AO490" s="50">
        <f t="shared" si="1555"/>
        <v>-338.54899999999998</v>
      </c>
      <c r="AP490" s="50">
        <f t="shared" si="1555"/>
        <v>-162.5</v>
      </c>
      <c r="AQ490" s="50">
        <f t="shared" si="1555"/>
        <v>-162.5</v>
      </c>
      <c r="AR490" s="50">
        <f t="shared" si="1555"/>
        <v>0</v>
      </c>
      <c r="AS490" s="50">
        <f t="shared" si="1555"/>
        <v>0</v>
      </c>
      <c r="AT490" s="50">
        <f t="shared" si="1555"/>
        <v>0</v>
      </c>
      <c r="AU490" s="50">
        <f t="shared" si="1555"/>
        <v>0</v>
      </c>
      <c r="AV490" s="50">
        <f t="shared" si="1555"/>
        <v>0</v>
      </c>
      <c r="AW490" s="50">
        <f t="shared" si="1555"/>
        <v>0</v>
      </c>
      <c r="AX490" s="50">
        <f t="shared" si="1555"/>
        <v>0</v>
      </c>
      <c r="AY490" s="50">
        <f t="shared" si="1555"/>
        <v>0</v>
      </c>
      <c r="AZ490" s="50">
        <f t="shared" si="1555"/>
        <v>0</v>
      </c>
      <c r="BA490" s="50">
        <f t="shared" si="1555"/>
        <v>0</v>
      </c>
      <c r="BB490" s="50">
        <f t="shared" si="1555"/>
        <v>0</v>
      </c>
      <c r="BC490" s="50">
        <f t="shared" si="1555"/>
        <v>0</v>
      </c>
      <c r="BD490" s="50">
        <f t="shared" si="1555"/>
        <v>0</v>
      </c>
      <c r="BE490" s="50">
        <f t="shared" si="1555"/>
        <v>0</v>
      </c>
      <c r="BF490" s="50">
        <f t="shared" si="1555"/>
        <v>0</v>
      </c>
      <c r="BJ490" s="116">
        <f t="shared" si="1453"/>
        <v>481</v>
      </c>
    </row>
    <row r="491" spans="2:62" hidden="1" outlineLevel="2">
      <c r="B491" s="17" t="s">
        <v>35</v>
      </c>
      <c r="C491" s="50">
        <f t="shared" si="1504"/>
        <v>-80.319999999999993</v>
      </c>
      <c r="D491" s="50">
        <f t="shared" si="1504"/>
        <v>-0.14100000000000001</v>
      </c>
      <c r="E491" s="50">
        <f t="shared" si="1504"/>
        <v>-2.6000000000000023E-2</v>
      </c>
      <c r="F491" s="50">
        <f t="shared" si="1504"/>
        <v>-1.2509999999999994</v>
      </c>
      <c r="G491" s="50">
        <f t="shared" si="1504"/>
        <v>5.9939999999999998</v>
      </c>
      <c r="H491" s="50">
        <f t="shared" si="1504"/>
        <v>-20.486000000000001</v>
      </c>
      <c r="I491" s="50">
        <f t="shared" si="1504"/>
        <v>-11.794999999999998</v>
      </c>
      <c r="J491" s="50">
        <f t="shared" si="1504"/>
        <v>1.7699999999999996</v>
      </c>
      <c r="K491" s="50">
        <f t="shared" si="1504"/>
        <v>0</v>
      </c>
      <c r="L491" s="50">
        <f t="shared" si="1504"/>
        <v>0</v>
      </c>
      <c r="M491" s="50">
        <f t="shared" si="1504"/>
        <v>0</v>
      </c>
      <c r="Q491" s="50">
        <f t="shared" si="1505"/>
        <v>82.317999999999998</v>
      </c>
      <c r="R491" s="50">
        <f t="shared" ref="R491:BF491" si="1556">R469-Q469</f>
        <v>-80.319999999999993</v>
      </c>
      <c r="S491" s="50">
        <f t="shared" si="1556"/>
        <v>-0.56899999999999995</v>
      </c>
      <c r="T491" s="50">
        <f t="shared" si="1556"/>
        <v>-4.0000000000000036E-3</v>
      </c>
      <c r="U491" s="50">
        <f t="shared" si="1556"/>
        <v>-0.25000000000000022</v>
      </c>
      <c r="V491" s="50">
        <f t="shared" si="1556"/>
        <v>-0.14100000000000001</v>
      </c>
      <c r="W491" s="50">
        <f t="shared" si="1556"/>
        <v>-1.0720000000000001</v>
      </c>
      <c r="X491" s="50">
        <f t="shared" si="1556"/>
        <v>-0.16300000000000003</v>
      </c>
      <c r="Y491" s="50">
        <f t="shared" si="1556"/>
        <v>-1.3999999999999957E-2</v>
      </c>
      <c r="Z491" s="50">
        <f t="shared" si="1556"/>
        <v>-2.6000000000000023E-2</v>
      </c>
      <c r="AA491" s="50">
        <f t="shared" si="1556"/>
        <v>5.2999999999999992E-2</v>
      </c>
      <c r="AB491" s="50">
        <f t="shared" si="1556"/>
        <v>11.006</v>
      </c>
      <c r="AC491" s="50">
        <f t="shared" si="1556"/>
        <v>-2.0000000000006679E-3</v>
      </c>
      <c r="AD491" s="50">
        <f t="shared" si="1556"/>
        <v>-1.2509999999999994</v>
      </c>
      <c r="AE491" s="50">
        <f t="shared" si="1556"/>
        <v>-4.9270000000000005</v>
      </c>
      <c r="AF491" s="50">
        <f t="shared" si="1556"/>
        <v>-5.0889999999999995</v>
      </c>
      <c r="AG491" s="50">
        <f t="shared" si="1556"/>
        <v>-1.2000000000000011E-2</v>
      </c>
      <c r="AH491" s="50">
        <f t="shared" si="1556"/>
        <v>5.9939999999999998</v>
      </c>
      <c r="AI491" s="50">
        <f t="shared" si="1556"/>
        <v>2.5300000000000011</v>
      </c>
      <c r="AJ491" s="50">
        <f t="shared" si="1556"/>
        <v>57.619</v>
      </c>
      <c r="AK491" s="50">
        <f t="shared" si="1556"/>
        <v>-57.376000000000005</v>
      </c>
      <c r="AL491" s="50">
        <f t="shared" si="1556"/>
        <v>-20.486000000000001</v>
      </c>
      <c r="AM491" s="50">
        <f t="shared" si="1556"/>
        <v>0.8279999999999994</v>
      </c>
      <c r="AN491" s="50">
        <f t="shared" si="1556"/>
        <v>-4.6019999999999968</v>
      </c>
      <c r="AO491" s="50">
        <f t="shared" si="1556"/>
        <v>1.0239999999999974</v>
      </c>
      <c r="AP491" s="50">
        <f t="shared" si="1556"/>
        <v>-11.794999999999998</v>
      </c>
      <c r="AQ491" s="50">
        <f t="shared" si="1556"/>
        <v>-7.2490000000000023</v>
      </c>
      <c r="AR491" s="50">
        <f t="shared" si="1556"/>
        <v>1.8590000000000018</v>
      </c>
      <c r="AS491" s="50">
        <f t="shared" si="1556"/>
        <v>1.8530000000000015</v>
      </c>
      <c r="AT491" s="50">
        <f t="shared" si="1556"/>
        <v>1.7699999999999996</v>
      </c>
      <c r="AU491" s="50">
        <f t="shared" si="1556"/>
        <v>0</v>
      </c>
      <c r="AV491" s="50">
        <f t="shared" si="1556"/>
        <v>0</v>
      </c>
      <c r="AW491" s="50">
        <f t="shared" si="1556"/>
        <v>0</v>
      </c>
      <c r="AX491" s="50">
        <f t="shared" si="1556"/>
        <v>0</v>
      </c>
      <c r="AY491" s="50">
        <f t="shared" si="1556"/>
        <v>0</v>
      </c>
      <c r="AZ491" s="50">
        <f t="shared" si="1556"/>
        <v>0</v>
      </c>
      <c r="BA491" s="50">
        <f t="shared" si="1556"/>
        <v>0</v>
      </c>
      <c r="BB491" s="50">
        <f t="shared" si="1556"/>
        <v>0</v>
      </c>
      <c r="BC491" s="50">
        <f t="shared" si="1556"/>
        <v>0</v>
      </c>
      <c r="BD491" s="50">
        <f t="shared" si="1556"/>
        <v>0</v>
      </c>
      <c r="BE491" s="50">
        <f t="shared" si="1556"/>
        <v>0</v>
      </c>
      <c r="BF491" s="50">
        <f t="shared" si="1556"/>
        <v>0</v>
      </c>
      <c r="BJ491" s="116">
        <f t="shared" si="1453"/>
        <v>482</v>
      </c>
    </row>
    <row r="492" spans="2:62" hidden="1" outlineLevel="2">
      <c r="B492" s="17" t="s">
        <v>194</v>
      </c>
      <c r="C492" s="50">
        <f t="shared" si="1504"/>
        <v>-63.317999999999302</v>
      </c>
      <c r="D492" s="50">
        <f t="shared" si="1504"/>
        <v>0.45599999999922147</v>
      </c>
      <c r="E492" s="50">
        <f t="shared" si="1504"/>
        <v>0.41499999999996362</v>
      </c>
      <c r="F492" s="50">
        <f t="shared" si="1504"/>
        <v>-3.1660000000001673</v>
      </c>
      <c r="G492" s="50">
        <f t="shared" si="1504"/>
        <v>-250.28300000000036</v>
      </c>
      <c r="H492" s="50">
        <f t="shared" si="1504"/>
        <v>-85.046999999999116</v>
      </c>
      <c r="I492" s="50">
        <f t="shared" si="1504"/>
        <v>402.53400000000011</v>
      </c>
      <c r="J492" s="50">
        <f t="shared" si="1504"/>
        <v>-30.864000000000033</v>
      </c>
      <c r="K492" s="50">
        <f t="shared" si="1504"/>
        <v>0</v>
      </c>
      <c r="L492" s="50">
        <f t="shared" si="1504"/>
        <v>0</v>
      </c>
      <c r="M492" s="50">
        <f t="shared" si="1504"/>
        <v>0</v>
      </c>
      <c r="Q492" s="50">
        <f t="shared" si="1505"/>
        <v>795.94000000000051</v>
      </c>
      <c r="R492" s="50">
        <f t="shared" ref="R492:BF492" si="1557">R470-Q470</f>
        <v>-63.317999999999302</v>
      </c>
      <c r="S492" s="50">
        <f t="shared" si="1557"/>
        <v>12.114999999998872</v>
      </c>
      <c r="T492" s="50">
        <f t="shared" si="1557"/>
        <v>-1389.7919999999999</v>
      </c>
      <c r="U492" s="50">
        <f t="shared" si="1557"/>
        <v>697.89300000000003</v>
      </c>
      <c r="V492" s="50">
        <f t="shared" si="1557"/>
        <v>0.45599999999922147</v>
      </c>
      <c r="W492" s="50">
        <f t="shared" si="1557"/>
        <v>-0.47499999999990905</v>
      </c>
      <c r="X492" s="50">
        <f t="shared" si="1557"/>
        <v>0.4340000000006512</v>
      </c>
      <c r="Y492" s="50">
        <f t="shared" si="1557"/>
        <v>-274.48999999999978</v>
      </c>
      <c r="Z492" s="50">
        <f t="shared" si="1557"/>
        <v>0.41499999999996362</v>
      </c>
      <c r="AA492" s="50">
        <f t="shared" si="1557"/>
        <v>0.49299999999948341</v>
      </c>
      <c r="AB492" s="50">
        <f t="shared" si="1557"/>
        <v>292.44300000000067</v>
      </c>
      <c r="AC492" s="50">
        <f t="shared" si="1557"/>
        <v>-35.16800000000012</v>
      </c>
      <c r="AD492" s="50">
        <f t="shared" si="1557"/>
        <v>-3.1660000000001673</v>
      </c>
      <c r="AE492" s="50">
        <f t="shared" si="1557"/>
        <v>-44.0300000000002</v>
      </c>
      <c r="AF492" s="50">
        <f t="shared" si="1557"/>
        <v>146.22500000000036</v>
      </c>
      <c r="AG492" s="50">
        <f t="shared" si="1557"/>
        <v>308.83500000000004</v>
      </c>
      <c r="AH492" s="50">
        <f t="shared" si="1557"/>
        <v>-250.28300000000036</v>
      </c>
      <c r="AI492" s="50">
        <f t="shared" si="1557"/>
        <v>-279.59299999999985</v>
      </c>
      <c r="AJ492" s="50">
        <f t="shared" si="1557"/>
        <v>132.25999999999976</v>
      </c>
      <c r="AK492" s="50">
        <f t="shared" si="1557"/>
        <v>-10.96100000000024</v>
      </c>
      <c r="AL492" s="50">
        <f t="shared" si="1557"/>
        <v>-85.046999999999116</v>
      </c>
      <c r="AM492" s="50">
        <f t="shared" si="1557"/>
        <v>-151.42600000000084</v>
      </c>
      <c r="AN492" s="50">
        <f t="shared" si="1557"/>
        <v>-6.9349999999994907</v>
      </c>
      <c r="AO492" s="50">
        <f t="shared" si="1557"/>
        <v>-327.24900000000025</v>
      </c>
      <c r="AP492" s="50">
        <f t="shared" si="1557"/>
        <v>402.53400000000011</v>
      </c>
      <c r="AQ492" s="50">
        <f t="shared" si="1557"/>
        <v>83.346000000000004</v>
      </c>
      <c r="AR492" s="50">
        <f t="shared" si="1557"/>
        <v>-21.605999999999767</v>
      </c>
      <c r="AS492" s="50">
        <f t="shared" si="1557"/>
        <v>-91.561000000000149</v>
      </c>
      <c r="AT492" s="50">
        <f t="shared" si="1557"/>
        <v>-30.864000000000033</v>
      </c>
      <c r="AU492" s="50">
        <f t="shared" si="1557"/>
        <v>339.23800000000028</v>
      </c>
      <c r="AV492" s="50">
        <f t="shared" si="1557"/>
        <v>0</v>
      </c>
      <c r="AW492" s="50">
        <f t="shared" si="1557"/>
        <v>0</v>
      </c>
      <c r="AX492" s="50">
        <f t="shared" si="1557"/>
        <v>0</v>
      </c>
      <c r="AY492" s="50">
        <f t="shared" si="1557"/>
        <v>-303.48900000000049</v>
      </c>
      <c r="AZ492" s="50">
        <f t="shared" si="1557"/>
        <v>0</v>
      </c>
      <c r="BA492" s="50">
        <f t="shared" si="1557"/>
        <v>0</v>
      </c>
      <c r="BB492" s="50">
        <f t="shared" si="1557"/>
        <v>0</v>
      </c>
      <c r="BC492" s="50">
        <f t="shared" si="1557"/>
        <v>0</v>
      </c>
      <c r="BD492" s="50">
        <f t="shared" si="1557"/>
        <v>0</v>
      </c>
      <c r="BE492" s="50">
        <f t="shared" si="1557"/>
        <v>-669.84599999999955</v>
      </c>
      <c r="BF492" s="50">
        <f t="shared" si="1557"/>
        <v>0</v>
      </c>
      <c r="BJ492" s="116">
        <f t="shared" si="1453"/>
        <v>483</v>
      </c>
    </row>
    <row r="493" spans="2:62" hidden="1" outlineLevel="2">
      <c r="B493" s="17" t="s">
        <v>195</v>
      </c>
      <c r="C493" s="50">
        <f t="shared" si="1504"/>
        <v>-3</v>
      </c>
      <c r="D493" s="50">
        <f t="shared" si="1504"/>
        <v>260</v>
      </c>
      <c r="E493" s="50">
        <f t="shared" si="1504"/>
        <v>-300</v>
      </c>
      <c r="F493" s="50">
        <f t="shared" si="1504"/>
        <v>-130</v>
      </c>
      <c r="G493" s="50">
        <f t="shared" si="1504"/>
        <v>350</v>
      </c>
      <c r="H493" s="50">
        <f t="shared" si="1504"/>
        <v>0</v>
      </c>
      <c r="I493" s="50">
        <f t="shared" si="1504"/>
        <v>-299.99999999999909</v>
      </c>
      <c r="J493" s="50">
        <f t="shared" si="1504"/>
        <v>100</v>
      </c>
      <c r="K493" s="50">
        <f t="shared" si="1504"/>
        <v>1.6578529446269386</v>
      </c>
      <c r="L493" s="50">
        <f t="shared" si="1504"/>
        <v>-41.144326375055243</v>
      </c>
      <c r="M493" s="50">
        <f t="shared" si="1504"/>
        <v>-116.34115841091807</v>
      </c>
      <c r="Q493" s="50">
        <f t="shared" si="1505"/>
        <v>3</v>
      </c>
      <c r="R493" s="50">
        <f t="shared" ref="R493:BF493" si="1558">R471-Q471</f>
        <v>-3</v>
      </c>
      <c r="S493" s="50">
        <f t="shared" si="1558"/>
        <v>0</v>
      </c>
      <c r="T493" s="50">
        <f t="shared" si="1558"/>
        <v>1200</v>
      </c>
      <c r="U493" s="50">
        <f t="shared" si="1558"/>
        <v>-600</v>
      </c>
      <c r="V493" s="50">
        <f t="shared" si="1558"/>
        <v>260</v>
      </c>
      <c r="W493" s="50">
        <f t="shared" si="1558"/>
        <v>150</v>
      </c>
      <c r="X493" s="50">
        <f t="shared" si="1558"/>
        <v>-100</v>
      </c>
      <c r="Y493" s="50">
        <f t="shared" si="1558"/>
        <v>280</v>
      </c>
      <c r="Z493" s="50">
        <f t="shared" si="1558"/>
        <v>-300</v>
      </c>
      <c r="AA493" s="50">
        <f t="shared" si="1558"/>
        <v>0</v>
      </c>
      <c r="AB493" s="50">
        <f t="shared" si="1558"/>
        <v>-590</v>
      </c>
      <c r="AC493" s="50">
        <f t="shared" si="1558"/>
        <v>0</v>
      </c>
      <c r="AD493" s="50">
        <f t="shared" si="1558"/>
        <v>-130</v>
      </c>
      <c r="AE493" s="50">
        <f t="shared" si="1558"/>
        <v>-52.5</v>
      </c>
      <c r="AF493" s="50">
        <f t="shared" si="1558"/>
        <v>-7.5</v>
      </c>
      <c r="AG493" s="50">
        <f t="shared" si="1558"/>
        <v>-10</v>
      </c>
      <c r="AH493" s="50">
        <f t="shared" si="1558"/>
        <v>350</v>
      </c>
      <c r="AI493" s="50">
        <f t="shared" si="1558"/>
        <v>-250</v>
      </c>
      <c r="AJ493" s="50">
        <f t="shared" si="1558"/>
        <v>-200</v>
      </c>
      <c r="AK493" s="50">
        <f t="shared" si="1558"/>
        <v>0</v>
      </c>
      <c r="AL493" s="50">
        <f t="shared" si="1558"/>
        <v>0</v>
      </c>
      <c r="AM493" s="50">
        <f t="shared" si="1558"/>
        <v>80</v>
      </c>
      <c r="AN493" s="50">
        <f t="shared" si="1558"/>
        <v>-80</v>
      </c>
      <c r="AO493" s="50">
        <f t="shared" si="1558"/>
        <v>300</v>
      </c>
      <c r="AP493" s="50">
        <f t="shared" si="1558"/>
        <v>-299.99999999999909</v>
      </c>
      <c r="AQ493" s="50">
        <f t="shared" si="1558"/>
        <v>-9.0949470177292824E-13</v>
      </c>
      <c r="AR493" s="50">
        <f t="shared" si="1558"/>
        <v>100</v>
      </c>
      <c r="AS493" s="50">
        <f t="shared" si="1558"/>
        <v>310</v>
      </c>
      <c r="AT493" s="50">
        <f t="shared" si="1558"/>
        <v>100</v>
      </c>
      <c r="AU493" s="50">
        <f t="shared" si="1558"/>
        <v>-475.69718485703379</v>
      </c>
      <c r="AV493" s="50">
        <f t="shared" si="1558"/>
        <v>31.009109844870181</v>
      </c>
      <c r="AW493" s="50">
        <f t="shared" si="1558"/>
        <v>26.903366894888677</v>
      </c>
      <c r="AX493" s="50">
        <f t="shared" si="1558"/>
        <v>1.6578529446269386</v>
      </c>
      <c r="AY493" s="50">
        <f t="shared" si="1558"/>
        <v>106.81549806490148</v>
      </c>
      <c r="AZ493" s="50">
        <f t="shared" si="1558"/>
        <v>-86.939050710580887</v>
      </c>
      <c r="BA493" s="50">
        <f t="shared" si="1558"/>
        <v>-72.605265806617354</v>
      </c>
      <c r="BB493" s="50">
        <f t="shared" si="1558"/>
        <v>-41.144326375055243</v>
      </c>
      <c r="BC493" s="50">
        <f t="shared" si="1558"/>
        <v>0</v>
      </c>
      <c r="BD493" s="50">
        <f t="shared" si="1558"/>
        <v>0</v>
      </c>
      <c r="BE493" s="50">
        <f t="shared" si="1558"/>
        <v>282.32906867363818</v>
      </c>
      <c r="BF493" s="50">
        <f t="shared" si="1558"/>
        <v>-116.34115841091807</v>
      </c>
      <c r="BJ493" s="116">
        <f t="shared" si="1453"/>
        <v>484</v>
      </c>
    </row>
    <row r="494" spans="2:62" hidden="1" outlineLevel="2">
      <c r="B494" s="17" t="s">
        <v>138</v>
      </c>
      <c r="C494" s="50">
        <f t="shared" si="1504"/>
        <v>-66.317999999999302</v>
      </c>
      <c r="D494" s="50">
        <f t="shared" si="1504"/>
        <v>260.45599999999831</v>
      </c>
      <c r="E494" s="50">
        <f t="shared" si="1504"/>
        <v>-299.58499999999913</v>
      </c>
      <c r="F494" s="50">
        <f t="shared" si="1504"/>
        <v>-133.16600000000017</v>
      </c>
      <c r="G494" s="50">
        <f t="shared" si="1504"/>
        <v>99.716999999999643</v>
      </c>
      <c r="H494" s="50">
        <f t="shared" si="1504"/>
        <v>-85.046999999999116</v>
      </c>
      <c r="I494" s="50">
        <f t="shared" si="1504"/>
        <v>102.53400000000101</v>
      </c>
      <c r="J494" s="50">
        <f t="shared" si="1504"/>
        <v>69.135999999999967</v>
      </c>
      <c r="K494" s="50">
        <f t="shared" si="1504"/>
        <v>1.6578529446269386</v>
      </c>
      <c r="L494" s="50">
        <f t="shared" si="1504"/>
        <v>-41.144326375055243</v>
      </c>
      <c r="M494" s="50">
        <f t="shared" si="1504"/>
        <v>-116.34115841091807</v>
      </c>
      <c r="Q494" s="50">
        <f t="shared" si="1505"/>
        <v>798.94000000000051</v>
      </c>
      <c r="R494" s="50">
        <f t="shared" ref="R494:BF494" si="1559">R472-Q472</f>
        <v>-66.317999999999302</v>
      </c>
      <c r="S494" s="50">
        <f t="shared" si="1559"/>
        <v>12.114999999998872</v>
      </c>
      <c r="T494" s="50">
        <f t="shared" si="1559"/>
        <v>-189.79199999999946</v>
      </c>
      <c r="U494" s="50">
        <f t="shared" si="1559"/>
        <v>97.893000000000029</v>
      </c>
      <c r="V494" s="50">
        <f t="shared" si="1559"/>
        <v>260.45599999999831</v>
      </c>
      <c r="W494" s="50">
        <f t="shared" si="1559"/>
        <v>149.52500000000055</v>
      </c>
      <c r="X494" s="50">
        <f t="shared" si="1559"/>
        <v>-99.565999999999804</v>
      </c>
      <c r="Y494" s="50">
        <f t="shared" si="1559"/>
        <v>5.5100000000002183</v>
      </c>
      <c r="Z494" s="50">
        <f t="shared" si="1559"/>
        <v>-299.58499999999913</v>
      </c>
      <c r="AA494" s="50">
        <f t="shared" si="1559"/>
        <v>0.49299999999857391</v>
      </c>
      <c r="AB494" s="50">
        <f t="shared" si="1559"/>
        <v>-297.55699999999888</v>
      </c>
      <c r="AC494" s="50">
        <f t="shared" si="1559"/>
        <v>-35.16800000000012</v>
      </c>
      <c r="AD494" s="50">
        <f t="shared" si="1559"/>
        <v>-133.16600000000017</v>
      </c>
      <c r="AE494" s="50">
        <f t="shared" si="1559"/>
        <v>-96.5300000000002</v>
      </c>
      <c r="AF494" s="50">
        <f t="shared" si="1559"/>
        <v>138.72500000000036</v>
      </c>
      <c r="AG494" s="50">
        <f t="shared" si="1559"/>
        <v>298.83500000000004</v>
      </c>
      <c r="AH494" s="50">
        <f t="shared" si="1559"/>
        <v>99.716999999999643</v>
      </c>
      <c r="AI494" s="50">
        <f t="shared" si="1559"/>
        <v>-529.59299999999985</v>
      </c>
      <c r="AJ494" s="50">
        <f t="shared" si="1559"/>
        <v>-67.740000000000236</v>
      </c>
      <c r="AK494" s="50">
        <f t="shared" si="1559"/>
        <v>-10.96100000000024</v>
      </c>
      <c r="AL494" s="50">
        <f t="shared" si="1559"/>
        <v>-85.046999999999116</v>
      </c>
      <c r="AM494" s="50">
        <f t="shared" si="1559"/>
        <v>-71.42600000000084</v>
      </c>
      <c r="AN494" s="50">
        <f t="shared" si="1559"/>
        <v>-86.934999999999491</v>
      </c>
      <c r="AO494" s="50">
        <f t="shared" si="1559"/>
        <v>-27.249000000000251</v>
      </c>
      <c r="AP494" s="50">
        <f t="shared" si="1559"/>
        <v>102.53400000000101</v>
      </c>
      <c r="AQ494" s="50">
        <f t="shared" si="1559"/>
        <v>83.345999999999094</v>
      </c>
      <c r="AR494" s="50">
        <f t="shared" si="1559"/>
        <v>78.394000000000233</v>
      </c>
      <c r="AS494" s="50">
        <f t="shared" si="1559"/>
        <v>218.43899999999985</v>
      </c>
      <c r="AT494" s="50">
        <f t="shared" si="1559"/>
        <v>69.135999999999967</v>
      </c>
      <c r="AU494" s="50">
        <f t="shared" si="1559"/>
        <v>-136.45918485703351</v>
      </c>
      <c r="AV494" s="50">
        <f t="shared" si="1559"/>
        <v>31.009109844870181</v>
      </c>
      <c r="AW494" s="50">
        <f t="shared" si="1559"/>
        <v>26.903366894888677</v>
      </c>
      <c r="AX494" s="50">
        <f t="shared" si="1559"/>
        <v>1.6578529446269386</v>
      </c>
      <c r="AY494" s="50">
        <f t="shared" si="1559"/>
        <v>-196.67350193509901</v>
      </c>
      <c r="AZ494" s="50">
        <f t="shared" si="1559"/>
        <v>-86.939050710580887</v>
      </c>
      <c r="BA494" s="50">
        <f t="shared" si="1559"/>
        <v>-72.605265806617354</v>
      </c>
      <c r="BB494" s="50">
        <f t="shared" si="1559"/>
        <v>-41.144326375055243</v>
      </c>
      <c r="BC494" s="50">
        <f t="shared" si="1559"/>
        <v>0</v>
      </c>
      <c r="BD494" s="50">
        <f t="shared" si="1559"/>
        <v>0</v>
      </c>
      <c r="BE494" s="50">
        <f t="shared" si="1559"/>
        <v>-387.51693132636137</v>
      </c>
      <c r="BF494" s="50">
        <f t="shared" si="1559"/>
        <v>-116.34115841091807</v>
      </c>
      <c r="BJ494" s="116">
        <f t="shared" si="1453"/>
        <v>485</v>
      </c>
    </row>
    <row r="495" spans="2:62" hidden="1" outlineLevel="2">
      <c r="B495" s="47"/>
      <c r="BJ495" s="116">
        <f t="shared" si="1453"/>
        <v>486</v>
      </c>
    </row>
    <row r="496" spans="2:62" hidden="1" outlineLevel="2">
      <c r="B496" s="47" t="s">
        <v>199</v>
      </c>
      <c r="C496" s="50">
        <f t="shared" ref="C496:M497" si="1560">INDEX($O496:$BG496,1,MATCH(C$4,$O$4:$BG$4,0))</f>
        <v>0</v>
      </c>
      <c r="D496" s="50">
        <f t="shared" si="1560"/>
        <v>0</v>
      </c>
      <c r="E496" s="50">
        <f t="shared" si="1560"/>
        <v>0</v>
      </c>
      <c r="F496" s="50">
        <f t="shared" si="1560"/>
        <v>0</v>
      </c>
      <c r="G496" s="50">
        <f t="shared" si="1560"/>
        <v>1811.1689999999999</v>
      </c>
      <c r="H496" s="50">
        <f t="shared" si="1560"/>
        <v>2524.5890000000004</v>
      </c>
      <c r="I496" s="50">
        <f t="shared" si="1560"/>
        <v>2545.2019999999989</v>
      </c>
      <c r="J496" s="50">
        <f t="shared" si="1560"/>
        <v>2105.366</v>
      </c>
      <c r="K496" s="50">
        <f t="shared" si="1560"/>
        <v>2356.1268551726498</v>
      </c>
      <c r="L496" s="50">
        <f t="shared" si="1560"/>
        <v>2506.7669338057344</v>
      </c>
      <c r="M496" s="50">
        <f t="shared" si="1560"/>
        <v>2284.0120897372831</v>
      </c>
      <c r="AH496" s="50">
        <f t="shared" ref="AH496:BB496" si="1561">AH475+AH351+AH352</f>
        <v>1811.1689999999999</v>
      </c>
      <c r="AI496" s="50">
        <f t="shared" si="1561"/>
        <v>2146.1710000000003</v>
      </c>
      <c r="AJ496" s="50">
        <f t="shared" si="1561"/>
        <v>2719.8970000000004</v>
      </c>
      <c r="AK496" s="50">
        <f t="shared" si="1561"/>
        <v>2526.5619999999999</v>
      </c>
      <c r="AL496" s="50">
        <f t="shared" si="1561"/>
        <v>2524.5890000000004</v>
      </c>
      <c r="AM496" s="50">
        <f t="shared" si="1561"/>
        <v>2391.5010000000002</v>
      </c>
      <c r="AN496" s="50">
        <f t="shared" si="1561"/>
        <v>2505.8559999999998</v>
      </c>
      <c r="AO496" s="50">
        <f t="shared" si="1561"/>
        <v>2150.65</v>
      </c>
      <c r="AP496" s="50">
        <f t="shared" si="1561"/>
        <v>2545.2019999999989</v>
      </c>
      <c r="AQ496" s="50">
        <f t="shared" si="1561"/>
        <v>2478.5950000000003</v>
      </c>
      <c r="AR496" s="50">
        <f t="shared" ref="AR496:AS496" si="1562">AR475+AR351+AR352</f>
        <v>2382.0430000000001</v>
      </c>
      <c r="AS496" s="50">
        <f t="shared" si="1562"/>
        <v>2060.326</v>
      </c>
      <c r="AT496" s="50">
        <f t="shared" si="1561"/>
        <v>2105.366</v>
      </c>
      <c r="AU496" s="50">
        <f t="shared" si="1561"/>
        <v>2415.6971848570333</v>
      </c>
      <c r="AV496" s="50">
        <f t="shared" si="1561"/>
        <v>2384.6880750121636</v>
      </c>
      <c r="AW496" s="50">
        <f t="shared" si="1561"/>
        <v>2357.7847081172763</v>
      </c>
      <c r="AX496" s="50">
        <f t="shared" si="1561"/>
        <v>2356.1268551726498</v>
      </c>
      <c r="AY496" s="50">
        <f t="shared" si="1561"/>
        <v>2249.311357107747</v>
      </c>
      <c r="AZ496" s="50">
        <f t="shared" si="1561"/>
        <v>2336.2504078183283</v>
      </c>
      <c r="BA496" s="50">
        <f t="shared" si="1561"/>
        <v>2408.8556736249461</v>
      </c>
      <c r="BB496" s="50">
        <f t="shared" si="1561"/>
        <v>2506.7669338057344</v>
      </c>
      <c r="BC496" s="50">
        <f t="shared" ref="BC496:BF496" si="1563">BC475+BC351+BC352</f>
        <v>2619.6424243923061</v>
      </c>
      <c r="BD496" s="50">
        <f t="shared" si="1563"/>
        <v>2739.4082928961243</v>
      </c>
      <c r="BE496" s="50">
        <f t="shared" si="1563"/>
        <v>2167.6709313263641</v>
      </c>
      <c r="BF496" s="50">
        <f t="shared" si="1563"/>
        <v>2284.0120897372831</v>
      </c>
      <c r="BJ496" s="116">
        <f t="shared" si="1453"/>
        <v>487</v>
      </c>
    </row>
    <row r="497" spans="1:62" hidden="1" outlineLevel="2">
      <c r="B497" s="47" t="s">
        <v>200</v>
      </c>
      <c r="C497" s="50">
        <f t="shared" si="1560"/>
        <v>0</v>
      </c>
      <c r="D497" s="50">
        <f t="shared" si="1560"/>
        <v>0</v>
      </c>
      <c r="E497" s="50">
        <f t="shared" si="1560"/>
        <v>0</v>
      </c>
      <c r="F497" s="50">
        <f t="shared" si="1560"/>
        <v>0</v>
      </c>
      <c r="G497" s="50">
        <f t="shared" si="1560"/>
        <v>0.43705935759296893</v>
      </c>
      <c r="H497" s="50">
        <f t="shared" si="1560"/>
        <v>0.44097444768491323</v>
      </c>
      <c r="I497" s="50">
        <f t="shared" si="1560"/>
        <v>0.50218981451387812</v>
      </c>
      <c r="J497" s="50">
        <f t="shared" si="1560"/>
        <v>0.55482269243552151</v>
      </c>
      <c r="K497" s="50">
        <f t="shared" si="1560"/>
        <v>0.58548423988988618</v>
      </c>
      <c r="L497" s="50">
        <f t="shared" si="1560"/>
        <v>0.54825641125364599</v>
      </c>
      <c r="M497" s="50">
        <f t="shared" si="1560"/>
        <v>0.49894919938373611</v>
      </c>
      <c r="AH497" s="92">
        <f t="shared" ref="AH497:BB497" si="1564">AH390</f>
        <v>0.43705935759296893</v>
      </c>
      <c r="AI497" s="92">
        <f t="shared" si="1564"/>
        <v>0.39210310464440545</v>
      </c>
      <c r="AJ497" s="92">
        <f t="shared" si="1564"/>
        <v>0.3996282329066263</v>
      </c>
      <c r="AK497" s="92">
        <f t="shared" si="1564"/>
        <v>0.43477454121934583</v>
      </c>
      <c r="AL497" s="92">
        <f t="shared" si="1564"/>
        <v>0.44097444768491323</v>
      </c>
      <c r="AM497" s="92">
        <f t="shared" si="1564"/>
        <v>0.46242843835629982</v>
      </c>
      <c r="AN497" s="92">
        <f t="shared" si="1564"/>
        <v>0.46591146954551743</v>
      </c>
      <c r="AO497" s="92">
        <f t="shared" si="1564"/>
        <v>0.47648826573556374</v>
      </c>
      <c r="AP497" s="92">
        <f t="shared" si="1564"/>
        <v>0.50218981451387812</v>
      </c>
      <c r="AQ497" s="92">
        <f t="shared" si="1564"/>
        <v>0.51865538672979461</v>
      </c>
      <c r="AR497" s="92">
        <f t="shared" si="1564"/>
        <v>0.5330910134115735</v>
      </c>
      <c r="AS497" s="92">
        <f t="shared" ref="AS497" si="1565">AS390</f>
        <v>0.56085356899929273</v>
      </c>
      <c r="AT497" s="92">
        <f t="shared" si="1564"/>
        <v>0.55482269243552151</v>
      </c>
      <c r="AU497" s="92">
        <f t="shared" si="1564"/>
        <v>0.56555241224310138</v>
      </c>
      <c r="AV497" s="92">
        <f t="shared" si="1564"/>
        <v>0.57472627320240099</v>
      </c>
      <c r="AW497" s="92">
        <f t="shared" si="1564"/>
        <v>0.5816522308938703</v>
      </c>
      <c r="AX497" s="92">
        <f t="shared" si="1564"/>
        <v>0.58548423988988618</v>
      </c>
      <c r="AY497" s="92">
        <f t="shared" si="1564"/>
        <v>0.56845674548293723</v>
      </c>
      <c r="AZ497" s="92">
        <f t="shared" si="1564"/>
        <v>0.5636812774752944</v>
      </c>
      <c r="BA497" s="92">
        <f t="shared" si="1564"/>
        <v>0.55751897371884462</v>
      </c>
      <c r="BB497" s="92">
        <f t="shared" si="1564"/>
        <v>0.54825641125364599</v>
      </c>
      <c r="BC497" s="92">
        <f t="shared" ref="BC497:BF497" si="1566">BC390</f>
        <v>0.5368581591208168</v>
      </c>
      <c r="BD497" s="92">
        <f t="shared" si="1566"/>
        <v>0.52477655511700028</v>
      </c>
      <c r="BE497" s="92">
        <f t="shared" si="1566"/>
        <v>0.51309150039132212</v>
      </c>
      <c r="BF497" s="92">
        <f t="shared" si="1566"/>
        <v>0.49894919938373611</v>
      </c>
      <c r="BJ497" s="116">
        <f t="shared" si="1453"/>
        <v>488</v>
      </c>
    </row>
    <row r="498" spans="1:62" hidden="1" outlineLevel="2">
      <c r="B498" s="47"/>
      <c r="BJ498" s="116">
        <f t="shared" si="1453"/>
        <v>489</v>
      </c>
    </row>
    <row r="499" spans="1:62" outlineLevel="1" collapsed="1">
      <c r="A499" s="72" t="s">
        <v>322</v>
      </c>
      <c r="B499" s="45" t="s">
        <v>201</v>
      </c>
      <c r="BJ499" s="116">
        <f t="shared" si="1453"/>
        <v>490</v>
      </c>
    </row>
    <row r="500" spans="1:62" hidden="1" outlineLevel="2">
      <c r="B500" s="44" t="s">
        <v>202</v>
      </c>
      <c r="C500" s="50">
        <f t="shared" ref="C500:M500" si="1567">SUM(C353:C356,C360:C362)-SUM(C367:C368,C371:C372)</f>
        <v>8984.8169999999991</v>
      </c>
      <c r="D500" s="50">
        <f t="shared" si="1567"/>
        <v>9685.5439999999999</v>
      </c>
      <c r="E500" s="50">
        <f t="shared" si="1567"/>
        <v>9558.6129999999994</v>
      </c>
      <c r="F500" s="50">
        <f t="shared" si="1567"/>
        <v>9388.3459999999995</v>
      </c>
      <c r="G500" s="50">
        <f t="shared" si="1567"/>
        <v>8737.6689999999999</v>
      </c>
      <c r="H500" s="50">
        <f t="shared" si="1567"/>
        <v>7680.9870000000001</v>
      </c>
      <c r="I500" s="50">
        <f t="shared" si="1567"/>
        <v>6538.2250000000004</v>
      </c>
      <c r="J500" s="50">
        <f t="shared" si="1567"/>
        <v>6805.351999999999</v>
      </c>
      <c r="K500" s="50">
        <f t="shared" si="1567"/>
        <v>6627.1374263378984</v>
      </c>
      <c r="L500" s="50">
        <f t="shared" si="1567"/>
        <v>6337.1131888524651</v>
      </c>
      <c r="M500" s="50">
        <f t="shared" si="1567"/>
        <v>6064.3634401833406</v>
      </c>
      <c r="O500" s="50">
        <f t="shared" ref="O500" si="1568">SUM(O353:O356,O360:O362)-SUM(O367:O368,O371:O372)</f>
        <v>8053.7749999999996</v>
      </c>
      <c r="P500" s="50">
        <f t="shared" ref="P500:BB500" si="1569">SUM(P353:P356,P360:P362)-SUM(P367:P368,P371:P372)</f>
        <v>8046.0549999999994</v>
      </c>
      <c r="Q500" s="50">
        <f t="shared" si="1569"/>
        <v>8957.5630000000001</v>
      </c>
      <c r="R500" s="50">
        <f t="shared" si="1569"/>
        <v>8984.8169999999991</v>
      </c>
      <c r="S500" s="50">
        <f t="shared" si="1569"/>
        <v>9199.246000000001</v>
      </c>
      <c r="T500" s="50">
        <f t="shared" si="1569"/>
        <v>9260.9000000000015</v>
      </c>
      <c r="U500" s="50">
        <f t="shared" si="1569"/>
        <v>9611.5789999999997</v>
      </c>
      <c r="V500" s="50">
        <f t="shared" si="1569"/>
        <v>9685.5439999999999</v>
      </c>
      <c r="W500" s="50">
        <f t="shared" si="1569"/>
        <v>10102.549000000003</v>
      </c>
      <c r="X500" s="50">
        <f t="shared" si="1569"/>
        <v>9947.4950000000026</v>
      </c>
      <c r="Y500" s="50">
        <f t="shared" si="1569"/>
        <v>9915.8459999999995</v>
      </c>
      <c r="Z500" s="50">
        <f t="shared" si="1569"/>
        <v>9558.6129999999994</v>
      </c>
      <c r="AA500" s="50">
        <f t="shared" si="1569"/>
        <v>9674.398000000001</v>
      </c>
      <c r="AB500" s="50">
        <f t="shared" si="1569"/>
        <v>9407.9609999999993</v>
      </c>
      <c r="AC500" s="50">
        <f t="shared" si="1569"/>
        <v>9393.1229999999996</v>
      </c>
      <c r="AD500" s="50">
        <f t="shared" si="1569"/>
        <v>9388.3459999999995</v>
      </c>
      <c r="AE500" s="50">
        <f t="shared" si="1569"/>
        <v>9364.2740000000013</v>
      </c>
      <c r="AF500" s="50">
        <f t="shared" si="1569"/>
        <v>9552.0750000000007</v>
      </c>
      <c r="AG500" s="50">
        <f t="shared" si="1569"/>
        <v>9663.7479999999996</v>
      </c>
      <c r="AH500" s="50">
        <f t="shared" si="1569"/>
        <v>8737.6689999999999</v>
      </c>
      <c r="AI500" s="50">
        <f t="shared" si="1569"/>
        <v>8172.0469999999996</v>
      </c>
      <c r="AJ500" s="50">
        <f t="shared" si="1569"/>
        <v>8227.1939999999995</v>
      </c>
      <c r="AK500" s="50">
        <f t="shared" si="1569"/>
        <v>7981.5919999999987</v>
      </c>
      <c r="AL500" s="50">
        <f t="shared" si="1569"/>
        <v>7680.9870000000001</v>
      </c>
      <c r="AM500" s="50">
        <f t="shared" si="1569"/>
        <v>7284.9779999999982</v>
      </c>
      <c r="AN500" s="50">
        <f t="shared" si="1569"/>
        <v>6970.1889999999985</v>
      </c>
      <c r="AO500" s="50">
        <f t="shared" si="1569"/>
        <v>6874.1420000000016</v>
      </c>
      <c r="AP500" s="50">
        <f t="shared" si="1569"/>
        <v>6538.2250000000004</v>
      </c>
      <c r="AQ500" s="50">
        <f t="shared" si="1569"/>
        <v>6619.7769999999982</v>
      </c>
      <c r="AR500" s="50">
        <f t="shared" ref="AR500:AS500" si="1570">SUM(AR353:AR356,AR360:AR362)-SUM(AR367:AR368,AR371:AR372)</f>
        <v>6581.1070000000009</v>
      </c>
      <c r="AS500" s="50">
        <f t="shared" si="1570"/>
        <v>6665.7060000000001</v>
      </c>
      <c r="AT500" s="50">
        <f t="shared" ref="AT500" si="1571">SUM(AT353:AT356,AT360:AT362)-SUM(AT367:AT368,AT371:AT372)</f>
        <v>6805.351999999999</v>
      </c>
      <c r="AU500" s="50">
        <f t="shared" si="1569"/>
        <v>6735.6515203979143</v>
      </c>
      <c r="AV500" s="50">
        <f t="shared" si="1569"/>
        <v>6689.1808819602993</v>
      </c>
      <c r="AW500" s="50">
        <f t="shared" si="1569"/>
        <v>6662.3283520905161</v>
      </c>
      <c r="AX500" s="50">
        <f t="shared" si="1569"/>
        <v>6627.1374263378984</v>
      </c>
      <c r="AY500" s="50">
        <f t="shared" si="1569"/>
        <v>6556.6784731540283</v>
      </c>
      <c r="AZ500" s="50">
        <f t="shared" si="1569"/>
        <v>6461.6382427690414</v>
      </c>
      <c r="BA500" s="50">
        <f t="shared" si="1569"/>
        <v>6406.0026762325397</v>
      </c>
      <c r="BB500" s="50">
        <f t="shared" si="1569"/>
        <v>6337.1131888524651</v>
      </c>
      <c r="BC500" s="50">
        <f t="shared" ref="BC500:BF500" si="1572">SUM(BC353:BC356,BC360:BC362)-SUM(BC367:BC368,BC371:BC372)</f>
        <v>6261.4220829586111</v>
      </c>
      <c r="BD500" s="50">
        <f t="shared" si="1572"/>
        <v>6176.8350680498743</v>
      </c>
      <c r="BE500" s="50">
        <f t="shared" si="1572"/>
        <v>6126.0463025909248</v>
      </c>
      <c r="BF500" s="50">
        <f t="shared" si="1572"/>
        <v>6064.3634401833406</v>
      </c>
      <c r="BJ500" s="116">
        <f t="shared" si="1453"/>
        <v>491</v>
      </c>
    </row>
    <row r="501" spans="1:62" hidden="1" outlineLevel="2">
      <c r="B501" s="46" t="s">
        <v>203</v>
      </c>
      <c r="C501" s="50">
        <f>(C379+C380+C370+C366)-(C351+C352)</f>
        <v>8984.8170000000009</v>
      </c>
      <c r="D501" s="50">
        <f t="shared" ref="D501:M501" si="1573">(D379+D380+D370+D366)-(D351+D352)</f>
        <v>9685.5439999999999</v>
      </c>
      <c r="E501" s="50">
        <f t="shared" si="1573"/>
        <v>9558.6130000000012</v>
      </c>
      <c r="F501" s="50">
        <f t="shared" si="1573"/>
        <v>9388.3460000000014</v>
      </c>
      <c r="G501" s="50">
        <f t="shared" si="1573"/>
        <v>8737.6690000000017</v>
      </c>
      <c r="H501" s="50">
        <f t="shared" si="1573"/>
        <v>7680.987000000001</v>
      </c>
      <c r="I501" s="50">
        <f t="shared" si="1573"/>
        <v>6538.2249999999985</v>
      </c>
      <c r="J501" s="50">
        <f t="shared" si="1573"/>
        <v>6601.3539999999994</v>
      </c>
      <c r="K501" s="50">
        <f t="shared" si="1573"/>
        <v>6406.76194039454</v>
      </c>
      <c r="L501" s="50">
        <f t="shared" si="1573"/>
        <v>6013.4801864979372</v>
      </c>
      <c r="M501" s="50">
        <f t="shared" si="1573"/>
        <v>5711.6794931881213</v>
      </c>
      <c r="O501" s="50">
        <f>(O379+O380+O370+O366)-(O351+O352)</f>
        <v>8053.7750000000005</v>
      </c>
      <c r="P501" s="50">
        <f t="shared" ref="P501:BB501" si="1574">(P379+P380+P370+P366)-(P351+P352)</f>
        <v>8046.0550000000003</v>
      </c>
      <c r="Q501" s="50">
        <f t="shared" si="1574"/>
        <v>8957.5630000000019</v>
      </c>
      <c r="R501" s="50">
        <f t="shared" si="1574"/>
        <v>8984.8170000000009</v>
      </c>
      <c r="S501" s="50">
        <f t="shared" si="1574"/>
        <v>9199.246000000001</v>
      </c>
      <c r="T501" s="50">
        <f t="shared" si="1574"/>
        <v>9260.8999999999978</v>
      </c>
      <c r="U501" s="50">
        <f t="shared" si="1574"/>
        <v>9611.5789999999997</v>
      </c>
      <c r="V501" s="50">
        <f t="shared" si="1574"/>
        <v>9685.5439999999999</v>
      </c>
      <c r="W501" s="50">
        <f t="shared" si="1574"/>
        <v>10102.549000000001</v>
      </c>
      <c r="X501" s="50">
        <f t="shared" si="1574"/>
        <v>9947.494999999999</v>
      </c>
      <c r="Y501" s="50">
        <f t="shared" si="1574"/>
        <v>9915.8459999999977</v>
      </c>
      <c r="Z501" s="50">
        <f t="shared" si="1574"/>
        <v>9558.6130000000012</v>
      </c>
      <c r="AA501" s="50">
        <f t="shared" si="1574"/>
        <v>9674.3979999999992</v>
      </c>
      <c r="AB501" s="50">
        <f t="shared" si="1574"/>
        <v>9407.9609999999993</v>
      </c>
      <c r="AC501" s="50">
        <f t="shared" si="1574"/>
        <v>9393.1230000000014</v>
      </c>
      <c r="AD501" s="50">
        <f t="shared" si="1574"/>
        <v>9388.3460000000014</v>
      </c>
      <c r="AE501" s="50">
        <f t="shared" si="1574"/>
        <v>9364.2739999999994</v>
      </c>
      <c r="AF501" s="50">
        <f t="shared" si="1574"/>
        <v>9552.0750000000007</v>
      </c>
      <c r="AG501" s="50">
        <f t="shared" si="1574"/>
        <v>9663.7479999999996</v>
      </c>
      <c r="AH501" s="50">
        <f t="shared" si="1574"/>
        <v>8737.6690000000017</v>
      </c>
      <c r="AI501" s="50">
        <f t="shared" si="1574"/>
        <v>8172.0469999999987</v>
      </c>
      <c r="AJ501" s="50">
        <f t="shared" si="1574"/>
        <v>8227.1939999999995</v>
      </c>
      <c r="AK501" s="50">
        <f t="shared" si="1574"/>
        <v>7981.5920000000006</v>
      </c>
      <c r="AL501" s="50">
        <f t="shared" si="1574"/>
        <v>7680.987000000001</v>
      </c>
      <c r="AM501" s="50">
        <f t="shared" si="1574"/>
        <v>7284.9779999999992</v>
      </c>
      <c r="AN501" s="50">
        <f t="shared" si="1574"/>
        <v>6970.1890000000003</v>
      </c>
      <c r="AO501" s="50">
        <f t="shared" si="1574"/>
        <v>6874.1419999999998</v>
      </c>
      <c r="AP501" s="50">
        <f t="shared" si="1574"/>
        <v>6538.2249999999985</v>
      </c>
      <c r="AQ501" s="50">
        <f t="shared" si="1574"/>
        <v>6619.777</v>
      </c>
      <c r="AR501" s="50">
        <f t="shared" ref="AR501:AS501" si="1575">(AR379+AR380+AR370+AR366)-(AR351+AR352)</f>
        <v>6581.107</v>
      </c>
      <c r="AS501" s="50">
        <f t="shared" si="1575"/>
        <v>6665.7059999999992</v>
      </c>
      <c r="AT501" s="50">
        <f t="shared" ref="AT501" si="1576">(AT379+AT380+AT370+AT366)-(AT351+AT352)</f>
        <v>6601.3539999999994</v>
      </c>
      <c r="AU501" s="50">
        <f t="shared" si="1574"/>
        <v>6527.2249489693431</v>
      </c>
      <c r="AV501" s="50">
        <f t="shared" si="1574"/>
        <v>6476.9910452256054</v>
      </c>
      <c r="AW501" s="50">
        <f t="shared" si="1574"/>
        <v>6446.1203666677748</v>
      </c>
      <c r="AX501" s="50">
        <f t="shared" si="1574"/>
        <v>6406.76194039454</v>
      </c>
      <c r="AY501" s="50">
        <f t="shared" si="1574"/>
        <v>6252.6914688515044</v>
      </c>
      <c r="AZ501" s="50">
        <f t="shared" si="1574"/>
        <v>6151.4294171916072</v>
      </c>
      <c r="BA501" s="50">
        <f t="shared" si="1574"/>
        <v>6089.192451568586</v>
      </c>
      <c r="BB501" s="50">
        <f t="shared" si="1574"/>
        <v>6013.4801864979372</v>
      </c>
      <c r="BC501" s="50">
        <f t="shared" ref="BC501:BF501" si="1577">(BC379+BC380+BC370+BC366)-(BC351+BC352)</f>
        <v>5930.9028306881728</v>
      </c>
      <c r="BD501" s="50">
        <f t="shared" si="1577"/>
        <v>5839.2237176462359</v>
      </c>
      <c r="BE501" s="50">
        <f t="shared" si="1577"/>
        <v>5780.9943575588459</v>
      </c>
      <c r="BF501" s="50">
        <f t="shared" si="1577"/>
        <v>5711.6794931881213</v>
      </c>
      <c r="BJ501" s="116">
        <f t="shared" si="1453"/>
        <v>492</v>
      </c>
    </row>
    <row r="502" spans="1:62" hidden="1" outlineLevel="2">
      <c r="B502" s="46" t="s">
        <v>204</v>
      </c>
      <c r="C502" s="50">
        <f t="shared" ref="C502:M502" si="1578">C33</f>
        <v>650.23599999999999</v>
      </c>
      <c r="D502" s="50">
        <f t="shared" si="1578"/>
        <v>867.02099999999996</v>
      </c>
      <c r="E502" s="50">
        <f t="shared" si="1578"/>
        <v>920.26999999999975</v>
      </c>
      <c r="F502" s="50">
        <f t="shared" si="1578"/>
        <v>523.9190000000001</v>
      </c>
      <c r="G502" s="50">
        <f t="shared" si="1578"/>
        <v>567.99800000000005</v>
      </c>
      <c r="H502" s="50">
        <f t="shared" si="1578"/>
        <v>154.74699999999984</v>
      </c>
      <c r="I502" s="50">
        <f t="shared" si="1578"/>
        <v>-300.91099999999983</v>
      </c>
      <c r="J502" s="50">
        <f t="shared" si="1578"/>
        <v>-298.98</v>
      </c>
      <c r="K502" s="50">
        <f t="shared" si="1578"/>
        <v>-15.264798165471916</v>
      </c>
      <c r="L502" s="50">
        <f t="shared" si="1578"/>
        <v>314.8159807742079</v>
      </c>
      <c r="M502" s="50">
        <f t="shared" si="1578"/>
        <v>493.11950269159502</v>
      </c>
      <c r="O502" s="50">
        <f t="shared" ref="O502:BF502" si="1579">O33</f>
        <v>138.45600000000002</v>
      </c>
      <c r="P502" s="50">
        <f t="shared" si="1579"/>
        <v>124.917</v>
      </c>
      <c r="Q502" s="50">
        <f t="shared" si="1579"/>
        <v>164.41900000000001</v>
      </c>
      <c r="R502" s="50">
        <f t="shared" si="1579"/>
        <v>222.44400000000002</v>
      </c>
      <c r="S502" s="50">
        <f t="shared" si="1579"/>
        <v>191.04900000000004</v>
      </c>
      <c r="T502" s="50">
        <f t="shared" si="1579"/>
        <v>174.84199999999998</v>
      </c>
      <c r="U502" s="50">
        <f t="shared" si="1579"/>
        <v>228.44200000000006</v>
      </c>
      <c r="V502" s="50">
        <f t="shared" si="1579"/>
        <v>272.68799999999993</v>
      </c>
      <c r="W502" s="50">
        <f t="shared" si="1579"/>
        <v>315.53600000000006</v>
      </c>
      <c r="X502" s="50">
        <f t="shared" si="1579"/>
        <v>225.34700000000004</v>
      </c>
      <c r="Y502" s="50">
        <f t="shared" si="1579"/>
        <v>225.83499999999992</v>
      </c>
      <c r="Z502" s="50">
        <f t="shared" si="1579"/>
        <v>153.55199999999996</v>
      </c>
      <c r="AA502" s="50">
        <f t="shared" si="1579"/>
        <v>143.13799999999998</v>
      </c>
      <c r="AB502" s="50">
        <f t="shared" si="1579"/>
        <v>89.603999999999985</v>
      </c>
      <c r="AC502" s="50">
        <f t="shared" si="1579"/>
        <v>131.59300000000002</v>
      </c>
      <c r="AD502" s="50">
        <f t="shared" si="1579"/>
        <v>159.584</v>
      </c>
      <c r="AE502" s="50">
        <f t="shared" si="1579"/>
        <v>109.041</v>
      </c>
      <c r="AF502" s="50">
        <f t="shared" si="1579"/>
        <v>133.45999999999998</v>
      </c>
      <c r="AG502" s="50">
        <f t="shared" si="1579"/>
        <v>173.37700000000001</v>
      </c>
      <c r="AH502" s="50">
        <f t="shared" si="1579"/>
        <v>152.12</v>
      </c>
      <c r="AI502" s="50">
        <f t="shared" si="1579"/>
        <v>92.046999999999969</v>
      </c>
      <c r="AJ502" s="50">
        <f t="shared" si="1579"/>
        <v>64.380999999999943</v>
      </c>
      <c r="AK502" s="50">
        <f t="shared" si="1579"/>
        <v>7.5240000000000009</v>
      </c>
      <c r="AL502" s="50">
        <f t="shared" si="1579"/>
        <v>-9.2050000000000125</v>
      </c>
      <c r="AM502" s="50">
        <f t="shared" si="1579"/>
        <v>-57.265999999999991</v>
      </c>
      <c r="AN502" s="50">
        <f t="shared" si="1579"/>
        <v>-85.305000000000007</v>
      </c>
      <c r="AO502" s="50">
        <f t="shared" si="1579"/>
        <v>-84.174000000000007</v>
      </c>
      <c r="AP502" s="50">
        <f t="shared" si="1579"/>
        <v>-74.165999999999997</v>
      </c>
      <c r="AQ502" s="50">
        <f t="shared" si="1579"/>
        <v>-103.93199999999999</v>
      </c>
      <c r="AR502" s="50">
        <f t="shared" si="1579"/>
        <v>-69.29400000000004</v>
      </c>
      <c r="AS502" s="50">
        <f t="shared" si="1579"/>
        <v>-74.204999999999984</v>
      </c>
      <c r="AT502" s="50">
        <f t="shared" si="1579"/>
        <v>-51.549000000000007</v>
      </c>
      <c r="AU502" s="50">
        <f t="shared" si="1579"/>
        <v>-41.558837372014978</v>
      </c>
      <c r="AV502" s="50">
        <f t="shared" si="1579"/>
        <v>-17.840424580764989</v>
      </c>
      <c r="AW502" s="50">
        <f t="shared" si="1579"/>
        <v>11.55623830814568</v>
      </c>
      <c r="AX502" s="50">
        <f t="shared" si="1579"/>
        <v>32.578225479162342</v>
      </c>
      <c r="AY502" s="50">
        <f t="shared" si="1579"/>
        <v>48.533980405615011</v>
      </c>
      <c r="AZ502" s="50">
        <f t="shared" si="1579"/>
        <v>64.711038333132791</v>
      </c>
      <c r="BA502" s="50">
        <f t="shared" si="1579"/>
        <v>93.981195187744845</v>
      </c>
      <c r="BB502" s="50">
        <f t="shared" si="1579"/>
        <v>107.58976684771511</v>
      </c>
      <c r="BC502" s="50">
        <f t="shared" si="1579"/>
        <v>116.92700669843475</v>
      </c>
      <c r="BD502" s="50">
        <f t="shared" si="1579"/>
        <v>114.48123706717141</v>
      </c>
      <c r="BE502" s="50">
        <f t="shared" si="1579"/>
        <v>129.28735825767191</v>
      </c>
      <c r="BF502" s="50">
        <f t="shared" si="1579"/>
        <v>132.42390066831729</v>
      </c>
      <c r="BJ502" s="116">
        <f t="shared" si="1453"/>
        <v>493</v>
      </c>
    </row>
    <row r="503" spans="1:62" hidden="1" outlineLevel="2">
      <c r="B503" s="46" t="s">
        <v>205</v>
      </c>
      <c r="C503" s="50">
        <f t="shared" ref="C503:M503" si="1580">C502*(1-C576)</f>
        <v>406.39749999999998</v>
      </c>
      <c r="D503" s="50">
        <f t="shared" si="1580"/>
        <v>541.88812499999995</v>
      </c>
      <c r="E503" s="50">
        <f t="shared" si="1580"/>
        <v>575.16874999999982</v>
      </c>
      <c r="F503" s="50">
        <f t="shared" si="1580"/>
        <v>327.44937500000003</v>
      </c>
      <c r="G503" s="50">
        <f t="shared" si="1580"/>
        <v>354.99875000000003</v>
      </c>
      <c r="H503" s="50">
        <f t="shared" si="1580"/>
        <v>96.716874999999902</v>
      </c>
      <c r="I503" s="50">
        <f t="shared" si="1580"/>
        <v>-188.06937499999989</v>
      </c>
      <c r="J503" s="50">
        <f t="shared" si="1580"/>
        <v>-186.86250000000001</v>
      </c>
      <c r="K503" s="50">
        <f t="shared" si="1580"/>
        <v>-11.601246605758657</v>
      </c>
      <c r="L503" s="50">
        <f t="shared" si="1580"/>
        <v>239.260145388398</v>
      </c>
      <c r="M503" s="50">
        <f t="shared" si="1580"/>
        <v>374.77082204561219</v>
      </c>
      <c r="O503" s="50">
        <f t="shared" ref="O503:BF503" si="1581">O502*(1-O576)</f>
        <v>86.535000000000011</v>
      </c>
      <c r="P503" s="50">
        <f t="shared" si="1581"/>
        <v>78.073125000000005</v>
      </c>
      <c r="Q503" s="50">
        <f t="shared" si="1581"/>
        <v>102.761875</v>
      </c>
      <c r="R503" s="50">
        <f t="shared" si="1581"/>
        <v>139.0275</v>
      </c>
      <c r="S503" s="50">
        <f t="shared" si="1581"/>
        <v>119.40562500000001</v>
      </c>
      <c r="T503" s="50">
        <f t="shared" si="1581"/>
        <v>109.27624999999999</v>
      </c>
      <c r="U503" s="50">
        <f t="shared" si="1581"/>
        <v>142.77625000000003</v>
      </c>
      <c r="V503" s="50">
        <f t="shared" si="1581"/>
        <v>170.42999999999995</v>
      </c>
      <c r="W503" s="50">
        <f t="shared" si="1581"/>
        <v>197.21000000000004</v>
      </c>
      <c r="X503" s="50">
        <f t="shared" si="1581"/>
        <v>140.84187500000002</v>
      </c>
      <c r="Y503" s="50">
        <f t="shared" si="1581"/>
        <v>141.14687499999997</v>
      </c>
      <c r="Z503" s="50">
        <f t="shared" si="1581"/>
        <v>95.96999999999997</v>
      </c>
      <c r="AA503" s="50">
        <f t="shared" si="1581"/>
        <v>89.461249999999978</v>
      </c>
      <c r="AB503" s="50">
        <f t="shared" si="1581"/>
        <v>56.002499999999991</v>
      </c>
      <c r="AC503" s="50">
        <f t="shared" si="1581"/>
        <v>82.245625000000018</v>
      </c>
      <c r="AD503" s="50">
        <f t="shared" si="1581"/>
        <v>99.740000000000009</v>
      </c>
      <c r="AE503" s="50">
        <f t="shared" si="1581"/>
        <v>68.150624999999991</v>
      </c>
      <c r="AF503" s="50">
        <f t="shared" si="1581"/>
        <v>83.412499999999994</v>
      </c>
      <c r="AG503" s="50">
        <f t="shared" si="1581"/>
        <v>108.360625</v>
      </c>
      <c r="AH503" s="50">
        <f t="shared" si="1581"/>
        <v>95.075000000000003</v>
      </c>
      <c r="AI503" s="50">
        <f t="shared" si="1581"/>
        <v>57.52937499999998</v>
      </c>
      <c r="AJ503" s="50">
        <f t="shared" si="1581"/>
        <v>40.238124999999968</v>
      </c>
      <c r="AK503" s="50">
        <f t="shared" si="1581"/>
        <v>4.7025000000000006</v>
      </c>
      <c r="AL503" s="50">
        <f t="shared" si="1581"/>
        <v>-5.7531250000000078</v>
      </c>
      <c r="AM503" s="50">
        <f t="shared" si="1581"/>
        <v>-35.791249999999991</v>
      </c>
      <c r="AN503" s="50">
        <f t="shared" si="1581"/>
        <v>-53.315625000000004</v>
      </c>
      <c r="AO503" s="50">
        <f t="shared" si="1581"/>
        <v>-52.608750000000001</v>
      </c>
      <c r="AP503" s="50">
        <f t="shared" si="1581"/>
        <v>-46.353749999999998</v>
      </c>
      <c r="AQ503" s="50">
        <f t="shared" si="1581"/>
        <v>-64.957499999999996</v>
      </c>
      <c r="AR503" s="50">
        <f t="shared" si="1581"/>
        <v>-43.308750000000025</v>
      </c>
      <c r="AS503" s="50">
        <f t="shared" si="1581"/>
        <v>-46.37812499999999</v>
      </c>
      <c r="AT503" s="50">
        <f t="shared" si="1581"/>
        <v>-32.218125000000001</v>
      </c>
      <c r="AU503" s="50">
        <f t="shared" si="1581"/>
        <v>-31.584716402731384</v>
      </c>
      <c r="AV503" s="50">
        <f t="shared" si="1581"/>
        <v>-13.558722681381392</v>
      </c>
      <c r="AW503" s="50">
        <f t="shared" si="1581"/>
        <v>8.782741114190717</v>
      </c>
      <c r="AX503" s="50">
        <f t="shared" si="1581"/>
        <v>24.759451364163379</v>
      </c>
      <c r="AY503" s="50">
        <f t="shared" si="1581"/>
        <v>36.885825108267412</v>
      </c>
      <c r="AZ503" s="50">
        <f t="shared" si="1581"/>
        <v>49.180389133180924</v>
      </c>
      <c r="BA503" s="50">
        <f t="shared" si="1581"/>
        <v>71.425708342686079</v>
      </c>
      <c r="BB503" s="50">
        <f t="shared" si="1581"/>
        <v>81.768222804263488</v>
      </c>
      <c r="BC503" s="50">
        <f t="shared" si="1581"/>
        <v>88.864525090810417</v>
      </c>
      <c r="BD503" s="50">
        <f t="shared" si="1581"/>
        <v>87.005740171050263</v>
      </c>
      <c r="BE503" s="50">
        <f t="shared" si="1581"/>
        <v>98.258392275830658</v>
      </c>
      <c r="BF503" s="50">
        <f t="shared" si="1581"/>
        <v>100.64216450792114</v>
      </c>
      <c r="BJ503" s="116">
        <f t="shared" si="1453"/>
        <v>494</v>
      </c>
    </row>
    <row r="504" spans="1:62" hidden="1" outlineLevel="2">
      <c r="B504" s="46" t="s">
        <v>206</v>
      </c>
      <c r="C504" s="93">
        <f t="shared" ref="C504:M504" si="1582">C503/C20</f>
        <v>9.6188393132712408E-2</v>
      </c>
      <c r="D504" s="93">
        <f t="shared" si="1582"/>
        <v>8.8471111728613841E-2</v>
      </c>
      <c r="E504" s="93">
        <f t="shared" si="1582"/>
        <v>8.2956305382327872E-2</v>
      </c>
      <c r="F504" s="93">
        <f t="shared" si="1582"/>
        <v>5.3531556868048925E-2</v>
      </c>
      <c r="G504" s="93">
        <f t="shared" si="1582"/>
        <v>5.2404550679586083E-2</v>
      </c>
      <c r="H504" s="93">
        <f t="shared" si="1582"/>
        <v>2.5078788628403664E-2</v>
      </c>
      <c r="I504" s="93">
        <f t="shared" si="1582"/>
        <v>-8.703132064347946E-2</v>
      </c>
      <c r="J504" s="93">
        <f t="shared" si="1582"/>
        <v>-7.2871190214816223E-2</v>
      </c>
      <c r="K504" s="93">
        <f t="shared" si="1582"/>
        <v>-3.5586779827971571E-3</v>
      </c>
      <c r="L504" s="93">
        <f t="shared" si="1582"/>
        <v>6.2281497308335161E-2</v>
      </c>
      <c r="M504" s="93">
        <f t="shared" si="1582"/>
        <v>9.2181974892975638E-2</v>
      </c>
      <c r="O504" s="93">
        <f t="shared" ref="O504:BF504" si="1583">O503/O20</f>
        <v>9.5543827494451866E-2</v>
      </c>
      <c r="P504" s="93">
        <f t="shared" si="1583"/>
        <v>8.530008980897566E-2</v>
      </c>
      <c r="Q504" s="93">
        <f t="shared" si="1583"/>
        <v>9.5052807179334439E-2</v>
      </c>
      <c r="R504" s="93">
        <f t="shared" si="1583"/>
        <v>0.10509083267633058</v>
      </c>
      <c r="S504" s="93">
        <f t="shared" si="1583"/>
        <v>8.5439067427138735E-2</v>
      </c>
      <c r="T504" s="93">
        <f t="shared" si="1583"/>
        <v>8.0102102898962899E-2</v>
      </c>
      <c r="U504" s="93">
        <f t="shared" si="1583"/>
        <v>8.7523792592955882E-2</v>
      </c>
      <c r="V504" s="93">
        <f t="shared" si="1583"/>
        <v>9.8401885935106584E-2</v>
      </c>
      <c r="W504" s="93">
        <f t="shared" si="1583"/>
        <v>0.10432040185651277</v>
      </c>
      <c r="X504" s="93">
        <f t="shared" si="1583"/>
        <v>8.0793580999878961E-2</v>
      </c>
      <c r="Y504" s="93">
        <f t="shared" si="1583"/>
        <v>8.1626242998869378E-2</v>
      </c>
      <c r="Z504" s="93">
        <f t="shared" si="1583"/>
        <v>6.1105904166178511E-2</v>
      </c>
      <c r="AA504" s="93">
        <f t="shared" si="1583"/>
        <v>5.8262801551047932E-2</v>
      </c>
      <c r="AB504" s="93">
        <f t="shared" si="1583"/>
        <v>3.8411389566011825E-2</v>
      </c>
      <c r="AC504" s="93">
        <f t="shared" si="1583"/>
        <v>5.4233164899351753E-2</v>
      </c>
      <c r="AD504" s="93">
        <f t="shared" si="1583"/>
        <v>6.2066811120002889E-2</v>
      </c>
      <c r="AE504" s="93">
        <f t="shared" si="1583"/>
        <v>4.2872328446205317E-2</v>
      </c>
      <c r="AF504" s="93">
        <f t="shared" si="1583"/>
        <v>5.1585330934624453E-2</v>
      </c>
      <c r="AG504" s="93">
        <f t="shared" si="1583"/>
        <v>6.0748364972457086E-2</v>
      </c>
      <c r="AH504" s="93">
        <f t="shared" si="1583"/>
        <v>5.3298061032516449E-2</v>
      </c>
      <c r="AI504" s="93">
        <f t="shared" si="1583"/>
        <v>4.0705504890303369E-2</v>
      </c>
      <c r="AJ504" s="93">
        <f t="shared" si="1583"/>
        <v>4.6887253274045658E-2</v>
      </c>
      <c r="AK504" s="93">
        <f t="shared" si="1583"/>
        <v>5.5483255914379401E-3</v>
      </c>
      <c r="AL504" s="93">
        <f t="shared" si="1583"/>
        <v>-7.8011436366397739E-3</v>
      </c>
      <c r="AM504" s="93">
        <f t="shared" si="1583"/>
        <v>-6.0247428337690256E-2</v>
      </c>
      <c r="AN504" s="93">
        <f t="shared" si="1583"/>
        <v>-0.1010931642747032</v>
      </c>
      <c r="AO504" s="93">
        <f t="shared" si="1583"/>
        <v>-0.10365663833987812</v>
      </c>
      <c r="AP504" s="93">
        <f t="shared" si="1583"/>
        <v>-8.7139626429651021E-2</v>
      </c>
      <c r="AQ504" s="93">
        <f t="shared" si="1583"/>
        <v>-0.11546973602346455</v>
      </c>
      <c r="AR504" s="93">
        <f t="shared" si="1583"/>
        <v>-6.8596510679411776E-2</v>
      </c>
      <c r="AS504" s="93">
        <f t="shared" si="1583"/>
        <v>-7.0046692130982621E-2</v>
      </c>
      <c r="AT504" s="93">
        <f t="shared" si="1583"/>
        <v>-4.5488029400926472E-2</v>
      </c>
      <c r="AU504" s="93">
        <f t="shared" si="1583"/>
        <v>-4.1776445245874032E-2</v>
      </c>
      <c r="AV504" s="93">
        <f t="shared" si="1583"/>
        <v>-1.7263745570017055E-2</v>
      </c>
      <c r="AW504" s="93">
        <f t="shared" si="1583"/>
        <v>1.0426648755764868E-2</v>
      </c>
      <c r="AX504" s="93">
        <f t="shared" si="1583"/>
        <v>2.8257006079808474E-2</v>
      </c>
      <c r="AY504" s="93">
        <f t="shared" si="1583"/>
        <v>4.0786280591602497E-2</v>
      </c>
      <c r="AZ504" s="93">
        <f t="shared" si="1583"/>
        <v>5.324679780108061E-2</v>
      </c>
      <c r="BA504" s="93">
        <f t="shared" si="1583"/>
        <v>7.2056245701951308E-2</v>
      </c>
      <c r="BB504" s="93">
        <f t="shared" si="1583"/>
        <v>7.9981127857070664E-2</v>
      </c>
      <c r="BC504" s="93">
        <f t="shared" si="1583"/>
        <v>8.8490370275199279E-2</v>
      </c>
      <c r="BD504" s="93">
        <f t="shared" si="1583"/>
        <v>8.7821680892793991E-2</v>
      </c>
      <c r="BE504" s="93">
        <f t="shared" si="1583"/>
        <v>9.5317827360369145E-2</v>
      </c>
      <c r="BF504" s="93">
        <f t="shared" si="1583"/>
        <v>9.6793011137077195E-2</v>
      </c>
      <c r="BJ504" s="116">
        <f t="shared" si="1453"/>
        <v>495</v>
      </c>
    </row>
    <row r="505" spans="1:62" hidden="1" outlineLevel="2">
      <c r="B505" s="46"/>
      <c r="BJ505" s="116">
        <f t="shared" si="1453"/>
        <v>496</v>
      </c>
    </row>
    <row r="506" spans="1:62" hidden="1" outlineLevel="2">
      <c r="B506" s="46" t="s">
        <v>207</v>
      </c>
      <c r="C506" s="93">
        <f t="shared" ref="C506:M506" si="1584">C20/AVERAGE(B500:C500)</f>
        <v>0.47023951628619703</v>
      </c>
      <c r="D506" s="93">
        <f t="shared" si="1584"/>
        <v>0.65612325332113308</v>
      </c>
      <c r="E506" s="93">
        <f t="shared" si="1584"/>
        <v>0.72057134017353952</v>
      </c>
      <c r="F506" s="93">
        <f t="shared" si="1584"/>
        <v>0.64569105786316427</v>
      </c>
      <c r="G506" s="93">
        <f t="shared" si="1584"/>
        <v>0.74745574247842128</v>
      </c>
      <c r="H506" s="93">
        <f t="shared" si="1584"/>
        <v>0.46977304354266264</v>
      </c>
      <c r="I506" s="93">
        <f t="shared" si="1584"/>
        <v>0.30394637902578575</v>
      </c>
      <c r="J506" s="93">
        <f t="shared" si="1584"/>
        <v>0.38434746545098064</v>
      </c>
      <c r="K506" s="93">
        <f t="shared" si="1584"/>
        <v>0.485388469655397</v>
      </c>
      <c r="L506" s="93">
        <f t="shared" si="1584"/>
        <v>0.5926440044650001</v>
      </c>
      <c r="M506" s="93">
        <f t="shared" si="1584"/>
        <v>0.65565648284930522</v>
      </c>
      <c r="O506" s="93">
        <f t="shared" ref="O506:BF506" si="1585">O20*4/AVERAGE(N500:O500)</f>
        <v>0.44983129029554475</v>
      </c>
      <c r="P506" s="93">
        <f t="shared" si="1585"/>
        <v>0.45480033018982191</v>
      </c>
      <c r="Q506" s="93">
        <f t="shared" si="1585"/>
        <v>0.50864610108272257</v>
      </c>
      <c r="R506" s="93">
        <f t="shared" si="1585"/>
        <v>0.58985574934874874</v>
      </c>
      <c r="S506" s="93">
        <f t="shared" si="1585"/>
        <v>0.61484740786478786</v>
      </c>
      <c r="T506" s="93">
        <f t="shared" si="1585"/>
        <v>0.5912031248290236</v>
      </c>
      <c r="U506" s="93">
        <f t="shared" si="1585"/>
        <v>0.69149792139124922</v>
      </c>
      <c r="V506" s="93">
        <f t="shared" si="1585"/>
        <v>0.71802579068392725</v>
      </c>
      <c r="W506" s="93">
        <f t="shared" si="1585"/>
        <v>0.76426808788497202</v>
      </c>
      <c r="X506" s="93">
        <f t="shared" si="1585"/>
        <v>0.69555198981109456</v>
      </c>
      <c r="Y506" s="93">
        <f t="shared" si="1585"/>
        <v>0.69643268974740957</v>
      </c>
      <c r="Z506" s="93">
        <f t="shared" si="1585"/>
        <v>0.64517407133106996</v>
      </c>
      <c r="AA506" s="93">
        <f t="shared" si="1585"/>
        <v>0.63868439528267318</v>
      </c>
      <c r="AB506" s="93">
        <f t="shared" si="1585"/>
        <v>0.61123092800004442</v>
      </c>
      <c r="AC506" s="93">
        <f t="shared" si="1585"/>
        <v>0.64529002689419401</v>
      </c>
      <c r="AD506" s="93">
        <f t="shared" si="1585"/>
        <v>0.68449512655266753</v>
      </c>
      <c r="AE506" s="93">
        <f t="shared" si="1585"/>
        <v>0.67814225425567176</v>
      </c>
      <c r="AF506" s="93">
        <f t="shared" si="1585"/>
        <v>0.68384485822290553</v>
      </c>
      <c r="AG506" s="93">
        <f t="shared" si="1585"/>
        <v>0.74262216091395095</v>
      </c>
      <c r="AH506" s="93">
        <f t="shared" si="1585"/>
        <v>0.77552114600739697</v>
      </c>
      <c r="AI506" s="93">
        <f t="shared" si="1585"/>
        <v>0.66863665835665131</v>
      </c>
      <c r="AJ506" s="93">
        <f t="shared" si="1585"/>
        <v>0.41864815572867065</v>
      </c>
      <c r="AK506" s="93">
        <f t="shared" si="1585"/>
        <v>0.41831781849670918</v>
      </c>
      <c r="AL506" s="93">
        <f t="shared" si="1585"/>
        <v>0.37667972815971124</v>
      </c>
      <c r="AM506" s="93">
        <f t="shared" si="1585"/>
        <v>0.31755840669144964</v>
      </c>
      <c r="AN506" s="93">
        <f t="shared" si="1585"/>
        <v>0.29597183954421591</v>
      </c>
      <c r="AO506" s="93">
        <f t="shared" si="1585"/>
        <v>0.29327758777220797</v>
      </c>
      <c r="AP506" s="93">
        <f t="shared" si="1585"/>
        <v>0.31728806705035728</v>
      </c>
      <c r="AQ506" s="93">
        <f t="shared" si="1585"/>
        <v>0.34202761179090874</v>
      </c>
      <c r="AR506" s="93">
        <f t="shared" si="1585"/>
        <v>0.38261377041113315</v>
      </c>
      <c r="AS506" s="93">
        <f t="shared" si="1585"/>
        <v>0.39985647868660934</v>
      </c>
      <c r="AT506" s="93">
        <f t="shared" si="1585"/>
        <v>0.4206214537863322</v>
      </c>
      <c r="AU506" s="93">
        <f t="shared" si="1585"/>
        <v>0.44666778870386448</v>
      </c>
      <c r="AV506" s="93">
        <f t="shared" si="1585"/>
        <v>0.4680204886255851</v>
      </c>
      <c r="AW506" s="93">
        <f t="shared" si="1585"/>
        <v>0.50471354992650574</v>
      </c>
      <c r="AX506" s="93">
        <f t="shared" si="1585"/>
        <v>0.5274694799454015</v>
      </c>
      <c r="AY506" s="93">
        <f t="shared" si="1585"/>
        <v>0.54877492266286454</v>
      </c>
      <c r="AZ506" s="93">
        <f t="shared" si="1585"/>
        <v>0.56758854199644204</v>
      </c>
      <c r="BA506" s="93">
        <f t="shared" si="1585"/>
        <v>0.61627418969604553</v>
      </c>
      <c r="BB506" s="93">
        <f t="shared" si="1585"/>
        <v>0.64181725640311305</v>
      </c>
      <c r="BC506" s="93">
        <f t="shared" si="1585"/>
        <v>0.63767933426266021</v>
      </c>
      <c r="BD506" s="93">
        <f t="shared" si="1585"/>
        <v>0.63720124625713392</v>
      </c>
      <c r="BE506" s="93">
        <f t="shared" si="1585"/>
        <v>0.67031458614715045</v>
      </c>
      <c r="BF506" s="93">
        <f t="shared" si="1585"/>
        <v>0.68235071612546627</v>
      </c>
      <c r="BJ506" s="116">
        <f t="shared" si="1453"/>
        <v>497</v>
      </c>
    </row>
    <row r="507" spans="1:62" hidden="1" outlineLevel="2">
      <c r="B507" s="46" t="s">
        <v>208</v>
      </c>
      <c r="C507" s="93">
        <f t="shared" ref="C507:M507" si="1586">C503/AVERAGE(B501:C501)</f>
        <v>4.523158345907323E-2</v>
      </c>
      <c r="D507" s="93">
        <f t="shared" si="1586"/>
        <v>5.8047953652315555E-2</v>
      </c>
      <c r="E507" s="93">
        <f t="shared" si="1586"/>
        <v>5.9775936145189404E-2</v>
      </c>
      <c r="F507" s="93">
        <f t="shared" si="1586"/>
        <v>3.4564847583192636E-2</v>
      </c>
      <c r="G507" s="93">
        <f t="shared" si="1586"/>
        <v>3.9170082337458063E-2</v>
      </c>
      <c r="H507" s="93">
        <f t="shared" si="1586"/>
        <v>1.1781338862328303E-2</v>
      </c>
      <c r="I507" s="93">
        <f t="shared" si="1586"/>
        <v>-2.6452854771417698E-2</v>
      </c>
      <c r="J507" s="93">
        <f t="shared" si="1586"/>
        <v>-2.8442692113651441E-2</v>
      </c>
      <c r="K507" s="93">
        <f t="shared" si="1586"/>
        <v>-1.7836936046569077E-3</v>
      </c>
      <c r="L507" s="93">
        <f t="shared" si="1586"/>
        <v>3.8527452676683116E-2</v>
      </c>
      <c r="M507" s="93">
        <f t="shared" si="1586"/>
        <v>6.3925922082733927E-2</v>
      </c>
      <c r="O507" s="93">
        <f>O503*4/AVERAGE(N501:O501)</f>
        <v>4.2978603201604217E-2</v>
      </c>
      <c r="P507" s="93">
        <f t="shared" ref="P507:BB507" si="1587">P503*4/AVERAGE(O501:P501)</f>
        <v>3.8794509010343585E-2</v>
      </c>
      <c r="Q507" s="93">
        <f t="shared" si="1587"/>
        <v>4.834823976873627E-2</v>
      </c>
      <c r="R507" s="93">
        <f t="shared" si="1587"/>
        <v>6.1988431857980919E-2</v>
      </c>
      <c r="S507" s="93">
        <f t="shared" si="1587"/>
        <v>5.2531989137961081E-2</v>
      </c>
      <c r="T507" s="93">
        <f t="shared" si="1587"/>
        <v>4.7356613539242857E-2</v>
      </c>
      <c r="U507" s="93">
        <f t="shared" si="1587"/>
        <v>6.0522520650307797E-2</v>
      </c>
      <c r="V507" s="93">
        <f t="shared" si="1587"/>
        <v>7.0655091953344532E-2</v>
      </c>
      <c r="W507" s="93">
        <f t="shared" si="1587"/>
        <v>7.9728754054268908E-2</v>
      </c>
      <c r="X507" s="93">
        <f t="shared" si="1587"/>
        <v>5.6196136028429662E-2</v>
      </c>
      <c r="Y507" s="93">
        <f t="shared" si="1587"/>
        <v>5.6847183965678276E-2</v>
      </c>
      <c r="Z507" s="93">
        <f t="shared" si="1587"/>
        <v>3.942394497325958E-2</v>
      </c>
      <c r="AA507" s="93">
        <f t="shared" si="1587"/>
        <v>3.7211542176105443E-2</v>
      </c>
      <c r="AB507" s="93">
        <f t="shared" si="1587"/>
        <v>2.3478229290204634E-2</v>
      </c>
      <c r="AC507" s="93">
        <f t="shared" si="1587"/>
        <v>3.4996120436459943E-2</v>
      </c>
      <c r="AD507" s="93">
        <f t="shared" si="1587"/>
        <v>4.2484429732306872E-2</v>
      </c>
      <c r="AE507" s="93">
        <f t="shared" si="1587"/>
        <v>2.9073537457699236E-2</v>
      </c>
      <c r="AF507" s="93">
        <f t="shared" si="1587"/>
        <v>3.5276363319369917E-2</v>
      </c>
      <c r="AG507" s="93">
        <f t="shared" si="1587"/>
        <v>4.5113082067835451E-2</v>
      </c>
      <c r="AH507" s="93">
        <f t="shared" si="1587"/>
        <v>4.1333773371909348E-2</v>
      </c>
      <c r="AI507" s="93">
        <f t="shared" si="1587"/>
        <v>2.7217192766572772E-2</v>
      </c>
      <c r="AJ507" s="93">
        <f t="shared" si="1587"/>
        <v>1.962926211036229E-2</v>
      </c>
      <c r="AK507" s="93">
        <f t="shared" si="1587"/>
        <v>2.3209634577197828E-3</v>
      </c>
      <c r="AL507" s="93">
        <f t="shared" si="1587"/>
        <v>-2.9385326643843303E-3</v>
      </c>
      <c r="AM507" s="93">
        <f t="shared" si="1587"/>
        <v>-1.9132077350174206E-2</v>
      </c>
      <c r="AN507" s="93">
        <f t="shared" si="1587"/>
        <v>-2.992072979572951E-2</v>
      </c>
      <c r="AO507" s="93">
        <f t="shared" si="1587"/>
        <v>-3.0400168848895622E-2</v>
      </c>
      <c r="AP507" s="93">
        <f t="shared" si="1587"/>
        <v>-2.7648363633354205E-2</v>
      </c>
      <c r="AQ507" s="93">
        <f t="shared" si="1587"/>
        <v>-3.9493838046232251E-2</v>
      </c>
      <c r="AR507" s="93">
        <f t="shared" si="1587"/>
        <v>-2.6245969588097297E-2</v>
      </c>
      <c r="AS507" s="93">
        <f t="shared" si="1587"/>
        <v>-2.8008623659139746E-2</v>
      </c>
      <c r="AT507" s="93">
        <f t="shared" si="1587"/>
        <v>-1.9427439085976852E-2</v>
      </c>
      <c r="AU507" s="93">
        <f t="shared" si="1587"/>
        <v>-1.9246388524150781E-2</v>
      </c>
      <c r="AV507" s="93">
        <f t="shared" si="1587"/>
        <v>-8.341124255354708E-3</v>
      </c>
      <c r="AW507" s="93">
        <f t="shared" si="1587"/>
        <v>5.4369204655205844E-3</v>
      </c>
      <c r="AX507" s="93">
        <f t="shared" si="1587"/>
        <v>1.5410987682075777E-2</v>
      </c>
      <c r="AY507" s="93">
        <f t="shared" si="1587"/>
        <v>2.3309584650046407E-2</v>
      </c>
      <c r="AZ507" s="93">
        <f t="shared" si="1587"/>
        <v>3.171874223735939E-2</v>
      </c>
      <c r="BA507" s="93">
        <f t="shared" si="1587"/>
        <v>4.6681097812505512E-2</v>
      </c>
      <c r="BB507" s="93">
        <f t="shared" si="1587"/>
        <v>5.404969645932782E-2</v>
      </c>
      <c r="BC507" s="93">
        <f t="shared" ref="BC507" si="1588">BC503*4/AVERAGE(BB501:BC501)</f>
        <v>5.9518871732728719E-2</v>
      </c>
      <c r="BD507" s="93">
        <f t="shared" ref="BD507" si="1589">BD503*4/AVERAGE(BC501:BD501)</f>
        <v>5.9136655711395016E-2</v>
      </c>
      <c r="BE507" s="93">
        <f t="shared" ref="BE507" si="1590">BE503*4/AVERAGE(BD501:BE501)</f>
        <v>6.7646504834873528E-2</v>
      </c>
      <c r="BF507" s="93">
        <f t="shared" ref="BF507" si="1591">BF503*4/AVERAGE(BE501:BF501)</f>
        <v>7.0056570517838118E-2</v>
      </c>
      <c r="BJ507" s="116">
        <f t="shared" si="1453"/>
        <v>498</v>
      </c>
    </row>
    <row r="508" spans="1:62" hidden="1" outlineLevel="2">
      <c r="B508" s="46" t="s">
        <v>27</v>
      </c>
      <c r="C508" s="93">
        <f t="shared" ref="C508:M508" si="1592">C41/AVERAGE(B379:C379)</f>
        <v>6.1868041925151669E-2</v>
      </c>
      <c r="D508" s="93">
        <f t="shared" si="1592"/>
        <v>8.0527972896974789E-2</v>
      </c>
      <c r="E508" s="93">
        <f t="shared" si="1592"/>
        <v>0.11115360750225613</v>
      </c>
      <c r="F508" s="93">
        <f t="shared" si="1592"/>
        <v>5.5898950941391301E-2</v>
      </c>
      <c r="G508" s="93">
        <f t="shared" si="1592"/>
        <v>5.7557802863747481E-2</v>
      </c>
      <c r="H508" s="93">
        <f t="shared" si="1592"/>
        <v>-3.1607006995397775E-3</v>
      </c>
      <c r="I508" s="93">
        <f t="shared" si="1592"/>
        <v>-0.10012729531650177</v>
      </c>
      <c r="J508" s="93">
        <f t="shared" si="1592"/>
        <v>-0.15380424985804961</v>
      </c>
      <c r="K508" s="93">
        <f t="shared" si="1592"/>
        <v>-9.0476408015953358E-2</v>
      </c>
      <c r="L508" s="93">
        <f t="shared" si="1592"/>
        <v>7.0389591575507823E-3</v>
      </c>
      <c r="M508" s="93">
        <f t="shared" si="1592"/>
        <v>6.493833680742947E-2</v>
      </c>
      <c r="O508" s="93">
        <f t="shared" ref="O508:BF508" si="1593">O41*4/AVERAGE(N379:O379)</f>
        <v>4.0724907059653231E-2</v>
      </c>
      <c r="P508" s="93">
        <f t="shared" si="1593"/>
        <v>4.7046979358952044E-2</v>
      </c>
      <c r="Q508" s="93">
        <f t="shared" si="1593"/>
        <v>6.4669597100520532E-2</v>
      </c>
      <c r="R508" s="93">
        <f t="shared" si="1593"/>
        <v>9.9057593571020827E-2</v>
      </c>
      <c r="S508" s="93">
        <f t="shared" si="1593"/>
        <v>6.5934963140291972E-2</v>
      </c>
      <c r="T508" s="93">
        <f t="shared" si="1593"/>
        <v>5.1937845921818972E-2</v>
      </c>
      <c r="U508" s="93">
        <f t="shared" si="1593"/>
        <v>8.6227053446541302E-2</v>
      </c>
      <c r="V508" s="93">
        <f t="shared" si="1593"/>
        <v>0.11179273606867675</v>
      </c>
      <c r="W508" s="93">
        <f t="shared" si="1593"/>
        <v>0.14334990417360241</v>
      </c>
      <c r="X508" s="93">
        <f t="shared" si="1593"/>
        <v>0.10238639086030153</v>
      </c>
      <c r="Y508" s="93">
        <f t="shared" si="1593"/>
        <v>0.1168985587595134</v>
      </c>
      <c r="Z508" s="93">
        <f t="shared" si="1593"/>
        <v>8.1572006128863367E-2</v>
      </c>
      <c r="AA508" s="93">
        <f t="shared" si="1593"/>
        <v>8.7887825083567933E-2</v>
      </c>
      <c r="AB508" s="93">
        <f t="shared" si="1593"/>
        <v>1.9178477615495865E-2</v>
      </c>
      <c r="AC508" s="93">
        <f t="shared" si="1593"/>
        <v>2.6601218463508967E-2</v>
      </c>
      <c r="AD508" s="93">
        <f t="shared" si="1593"/>
        <v>9.1199935160361928E-2</v>
      </c>
      <c r="AE508" s="93">
        <f t="shared" si="1593"/>
        <v>3.3103263281824009E-2</v>
      </c>
      <c r="AF508" s="93">
        <f t="shared" si="1593"/>
        <v>4.904298117628187E-2</v>
      </c>
      <c r="AG508" s="93">
        <f t="shared" si="1593"/>
        <v>6.2906417880095017E-2</v>
      </c>
      <c r="AH508" s="93">
        <f t="shared" si="1593"/>
        <v>7.1360216393420772E-2</v>
      </c>
      <c r="AI508" s="93">
        <f t="shared" si="1593"/>
        <v>4.6444505520787958E-2</v>
      </c>
      <c r="AJ508" s="93">
        <f t="shared" si="1593"/>
        <v>-3.6596532950458005E-2</v>
      </c>
      <c r="AK508" s="93">
        <f t="shared" si="1593"/>
        <v>-8.5734385680804256E-3</v>
      </c>
      <c r="AL508" s="93">
        <f t="shared" si="1593"/>
        <v>-1.4984593665833323E-2</v>
      </c>
      <c r="AM508" s="93">
        <f t="shared" si="1593"/>
        <v>-8.1534817876568161E-2</v>
      </c>
      <c r="AN508" s="93">
        <f t="shared" si="1593"/>
        <v>-0.10081664844747559</v>
      </c>
      <c r="AO508" s="93">
        <f t="shared" si="1593"/>
        <v>-0.11842065831492714</v>
      </c>
      <c r="AP508" s="93">
        <f t="shared" si="1593"/>
        <v>-0.10448498410721872</v>
      </c>
      <c r="AQ508" s="93">
        <f t="shared" si="1593"/>
        <v>-0.17524742905534385</v>
      </c>
      <c r="AR508" s="93">
        <f t="shared" si="1593"/>
        <v>-0.14399186277326367</v>
      </c>
      <c r="AS508" s="93">
        <f t="shared" si="1593"/>
        <v>-0.16320664668002099</v>
      </c>
      <c r="AT508" s="93">
        <f t="shared" si="1593"/>
        <v>-0.13679438645116021</v>
      </c>
      <c r="AU508" s="93">
        <f t="shared" si="1593"/>
        <v>-0.13267503275866502</v>
      </c>
      <c r="AV508" s="93">
        <f t="shared" si="1593"/>
        <v>-0.10566701363821755</v>
      </c>
      <c r="AW508" s="93">
        <f t="shared" si="1593"/>
        <v>-7.362135935698691E-2</v>
      </c>
      <c r="AX508" s="93">
        <f t="shared" si="1593"/>
        <v>-4.9684500584608729E-2</v>
      </c>
      <c r="AY508" s="93">
        <f t="shared" si="1593"/>
        <v>-3.6652823818954523E-2</v>
      </c>
      <c r="AZ508" s="93">
        <f t="shared" si="1593"/>
        <v>-9.2364358616672942E-3</v>
      </c>
      <c r="BA508" s="93">
        <f t="shared" si="1593"/>
        <v>2.8030685903198804E-2</v>
      </c>
      <c r="BB508" s="93">
        <f t="shared" si="1593"/>
        <v>4.5647541167210433E-2</v>
      </c>
      <c r="BC508" s="93">
        <f t="shared" si="1593"/>
        <v>5.7289156126350722E-2</v>
      </c>
      <c r="BD508" s="93">
        <f t="shared" si="1593"/>
        <v>5.3457260678123918E-2</v>
      </c>
      <c r="BE508" s="93">
        <f t="shared" si="1593"/>
        <v>7.0006846905143846E-2</v>
      </c>
      <c r="BF508" s="93">
        <f t="shared" si="1593"/>
        <v>7.921870569910637E-2</v>
      </c>
      <c r="BJ508" s="116">
        <f t="shared" si="1453"/>
        <v>499</v>
      </c>
    </row>
    <row r="509" spans="1:62" hidden="1" outlineLevel="2">
      <c r="B509" s="46" t="s">
        <v>209</v>
      </c>
      <c r="C509" s="93">
        <f t="shared" ref="C509:M509" si="1594">C49/AVERAGE(B379:C379)</f>
        <v>1.7772545204143564E-2</v>
      </c>
      <c r="D509" s="93">
        <f t="shared" si="1594"/>
        <v>4.4646301471686869E-2</v>
      </c>
      <c r="E509" s="93">
        <f t="shared" si="1594"/>
        <v>2.842757976765976E-2</v>
      </c>
      <c r="F509" s="93">
        <f t="shared" si="1594"/>
        <v>2.3498711391583785E-2</v>
      </c>
      <c r="G509" s="93">
        <f t="shared" si="1594"/>
        <v>-0.12330891488599843</v>
      </c>
      <c r="H509" s="93">
        <f t="shared" si="1594"/>
        <v>-8.1702004138900927E-2</v>
      </c>
      <c r="I509" s="93">
        <f t="shared" si="1594"/>
        <v>-0.31930552668852213</v>
      </c>
      <c r="J509" s="93">
        <f t="shared" si="1594"/>
        <v>-0.17756944853747647</v>
      </c>
      <c r="K509" s="93">
        <f t="shared" si="1594"/>
        <v>-9.0476408015953358E-2</v>
      </c>
      <c r="L509" s="93">
        <f t="shared" si="1594"/>
        <v>7.0389591575507823E-3</v>
      </c>
      <c r="M509" s="93">
        <f t="shared" si="1594"/>
        <v>6.493833680742947E-2</v>
      </c>
      <c r="O509" s="93">
        <f t="shared" ref="O509:BF509" si="1595">O49*4/AVERAGE(N379:O379)</f>
        <v>3.0657588105770975E-2</v>
      </c>
      <c r="P509" s="93">
        <f t="shared" si="1595"/>
        <v>3.3357871301178565E-2</v>
      </c>
      <c r="Q509" s="93">
        <f t="shared" si="1595"/>
        <v>-3.0396951632492109E-2</v>
      </c>
      <c r="R509" s="93">
        <f t="shared" si="1595"/>
        <v>3.8331045576631424E-2</v>
      </c>
      <c r="S509" s="93">
        <f t="shared" si="1595"/>
        <v>6.1419714949860836E-2</v>
      </c>
      <c r="T509" s="93">
        <f t="shared" si="1595"/>
        <v>0.13850898334015418</v>
      </c>
      <c r="U509" s="93">
        <f t="shared" si="1595"/>
        <v>5.2629695137444601E-2</v>
      </c>
      <c r="V509" s="93">
        <f t="shared" si="1595"/>
        <v>-7.547487986900106E-2</v>
      </c>
      <c r="W509" s="93">
        <f t="shared" si="1595"/>
        <v>9.4108663608199486E-2</v>
      </c>
      <c r="X509" s="93">
        <f t="shared" si="1595"/>
        <v>-5.0508640937021357E-2</v>
      </c>
      <c r="Y509" s="93">
        <f t="shared" si="1595"/>
        <v>5.2348421520137384E-2</v>
      </c>
      <c r="Z509" s="93">
        <f t="shared" si="1595"/>
        <v>1.8300067462285598E-2</v>
      </c>
      <c r="AA509" s="93">
        <f t="shared" si="1595"/>
        <v>6.6531176987371876E-2</v>
      </c>
      <c r="AB509" s="93">
        <f t="shared" si="1595"/>
        <v>-2.9326575645677849E-3</v>
      </c>
      <c r="AC509" s="93">
        <f t="shared" si="1595"/>
        <v>-7.1756515661138207E-2</v>
      </c>
      <c r="AD509" s="93">
        <f t="shared" si="1595"/>
        <v>0.10214481180312011</v>
      </c>
      <c r="AE509" s="93">
        <f t="shared" si="1595"/>
        <v>3.3475850524181325E-2</v>
      </c>
      <c r="AF509" s="93">
        <f t="shared" si="1595"/>
        <v>4.2848778184982499E-2</v>
      </c>
      <c r="AG509" s="93">
        <f t="shared" si="1595"/>
        <v>7.1087878726685164E-2</v>
      </c>
      <c r="AH509" s="93">
        <f t="shared" si="1595"/>
        <v>-0.6617987554556044</v>
      </c>
      <c r="AI509" s="93">
        <f t="shared" si="1595"/>
        <v>0.10023600872040463</v>
      </c>
      <c r="AJ509" s="93">
        <f t="shared" si="1595"/>
        <v>-3.2046837997394176E-2</v>
      </c>
      <c r="AK509" s="93">
        <f t="shared" si="1595"/>
        <v>-0.25085896920727219</v>
      </c>
      <c r="AL509" s="93">
        <f t="shared" si="1595"/>
        <v>-0.14903000253954943</v>
      </c>
      <c r="AM509" s="93">
        <f t="shared" si="1595"/>
        <v>-0.55765766095885805</v>
      </c>
      <c r="AN509" s="93">
        <f t="shared" si="1595"/>
        <v>-0.19385394289103788</v>
      </c>
      <c r="AO509" s="93">
        <f t="shared" si="1595"/>
        <v>-0.12174533466324035</v>
      </c>
      <c r="AP509" s="93">
        <f t="shared" si="1595"/>
        <v>-0.39255944695636202</v>
      </c>
      <c r="AQ509" s="93">
        <f t="shared" si="1595"/>
        <v>-0.18550614920872038</v>
      </c>
      <c r="AR509" s="93">
        <f t="shared" si="1595"/>
        <v>-0.17080082599146365</v>
      </c>
      <c r="AS509" s="93">
        <f t="shared" si="1595"/>
        <v>-0.19968541198929862</v>
      </c>
      <c r="AT509" s="93">
        <f t="shared" si="1595"/>
        <v>-0.1601095158776864</v>
      </c>
      <c r="AU509" s="93">
        <f t="shared" si="1595"/>
        <v>-0.13267503275866502</v>
      </c>
      <c r="AV509" s="93">
        <f t="shared" si="1595"/>
        <v>-0.10566701363821755</v>
      </c>
      <c r="AW509" s="93">
        <f t="shared" si="1595"/>
        <v>-7.362135935698691E-2</v>
      </c>
      <c r="AX509" s="93">
        <f t="shared" si="1595"/>
        <v>-4.9684500584608729E-2</v>
      </c>
      <c r="AY509" s="93">
        <f t="shared" si="1595"/>
        <v>-3.6652823818954523E-2</v>
      </c>
      <c r="AZ509" s="93">
        <f t="shared" si="1595"/>
        <v>-9.2364358616672942E-3</v>
      </c>
      <c r="BA509" s="93">
        <f t="shared" si="1595"/>
        <v>2.8030685903198804E-2</v>
      </c>
      <c r="BB509" s="93">
        <f t="shared" si="1595"/>
        <v>4.5647541167210433E-2</v>
      </c>
      <c r="BC509" s="93">
        <f t="shared" si="1595"/>
        <v>5.7289156126350722E-2</v>
      </c>
      <c r="BD509" s="93">
        <f t="shared" si="1595"/>
        <v>5.3457260678123918E-2</v>
      </c>
      <c r="BE509" s="93">
        <f t="shared" si="1595"/>
        <v>7.0006846905143846E-2</v>
      </c>
      <c r="BF509" s="93">
        <f t="shared" si="1595"/>
        <v>7.921870569910637E-2</v>
      </c>
      <c r="BJ509" s="116">
        <f t="shared" si="1453"/>
        <v>500</v>
      </c>
    </row>
    <row r="510" spans="1:62" hidden="1" outlineLevel="2">
      <c r="B510" s="11"/>
      <c r="BJ510" s="116">
        <f t="shared" si="1453"/>
        <v>501</v>
      </c>
    </row>
    <row r="511" spans="1:62" outlineLevel="1" collapsed="1">
      <c r="A511" s="72" t="s">
        <v>322</v>
      </c>
      <c r="B511" s="2" t="s">
        <v>210</v>
      </c>
      <c r="BJ511" s="116">
        <f t="shared" si="1453"/>
        <v>502</v>
      </c>
    </row>
    <row r="512" spans="1:62" hidden="1" outlineLevel="2">
      <c r="B512" s="11" t="s">
        <v>211</v>
      </c>
      <c r="BJ512" s="116">
        <f t="shared" si="1453"/>
        <v>503</v>
      </c>
    </row>
    <row r="513" spans="2:62" hidden="1" outlineLevel="2">
      <c r="B513" s="10" t="s">
        <v>212</v>
      </c>
      <c r="C513" s="50">
        <f>AVERAGEIFS($O513:$BG513,$O$5:$BG$5,C$5)</f>
        <v>1494.125</v>
      </c>
      <c r="D513" s="50">
        <f t="shared" ref="D513:M513" si="1596">AVERAGEIFS($O513:$BG513,$O$5:$BG$5,D$5)</f>
        <v>1826.3416666666667</v>
      </c>
      <c r="E513" s="50">
        <f t="shared" si="1596"/>
        <v>1854.0666666666666</v>
      </c>
      <c r="F513" s="50">
        <f t="shared" si="1596"/>
        <v>1686.5791666666667</v>
      </c>
      <c r="G513" s="50">
        <f t="shared" si="1596"/>
        <v>1790.8291666666667</v>
      </c>
      <c r="H513" s="50">
        <f t="shared" si="1596"/>
        <v>937.77500000000009</v>
      </c>
      <c r="I513" s="50">
        <f t="shared" si="1596"/>
        <v>484.89166666666665</v>
      </c>
      <c r="J513" s="50">
        <f t="shared" si="1596"/>
        <v>851.9</v>
      </c>
      <c r="K513" s="50">
        <f t="shared" si="1596"/>
        <v>1053.6538461538462</v>
      </c>
      <c r="L513" s="50">
        <f t="shared" si="1596"/>
        <v>1132.5</v>
      </c>
      <c r="M513" s="50">
        <f t="shared" si="1596"/>
        <v>1150</v>
      </c>
      <c r="O513" s="216">
        <v>1283.0500000000002</v>
      </c>
      <c r="P513" s="216">
        <v>1454.9333333333334</v>
      </c>
      <c r="Q513" s="216">
        <v>1590.5166666666669</v>
      </c>
      <c r="R513" s="216">
        <v>1648</v>
      </c>
      <c r="S513" s="216">
        <v>1674.3333333333333</v>
      </c>
      <c r="T513" s="216">
        <v>1780.8999999999999</v>
      </c>
      <c r="U513" s="216">
        <v>1894.1499999999996</v>
      </c>
      <c r="V513" s="216">
        <v>1955.9833333333333</v>
      </c>
      <c r="W513" s="216">
        <v>1930.3</v>
      </c>
      <c r="X513" s="216">
        <v>1903.35</v>
      </c>
      <c r="Y513" s="216">
        <v>1838.3166666666666</v>
      </c>
      <c r="Z513" s="216">
        <v>1744.2999999999997</v>
      </c>
      <c r="AA513" s="216">
        <v>1689.0833333333335</v>
      </c>
      <c r="AB513" s="216">
        <v>1687.6666666666667</v>
      </c>
      <c r="AC513" s="216">
        <v>1688.6833333333332</v>
      </c>
      <c r="AD513" s="216">
        <v>1680.8833333333332</v>
      </c>
      <c r="AE513" s="216">
        <v>1707.4666666666665</v>
      </c>
      <c r="AF513" s="216">
        <v>1782.15</v>
      </c>
      <c r="AG513" s="216">
        <v>1829.8999999999999</v>
      </c>
      <c r="AH513" s="216">
        <v>1843.8</v>
      </c>
      <c r="AI513" s="216">
        <v>1323.7666666666669</v>
      </c>
      <c r="AJ513" s="216">
        <v>874.48333333333335</v>
      </c>
      <c r="AK513" s="216">
        <v>829.58333333333337</v>
      </c>
      <c r="AL513" s="216">
        <v>723.26666666666688</v>
      </c>
      <c r="AM513" s="216">
        <v>526.04999999999995</v>
      </c>
      <c r="AN513" s="216">
        <v>393.73333333333335</v>
      </c>
      <c r="AO513" s="216">
        <v>457.90000000000003</v>
      </c>
      <c r="AP513" s="216">
        <v>561.88333333333321</v>
      </c>
      <c r="AQ513" s="216">
        <v>715.55000000000018</v>
      </c>
      <c r="AR513" s="216">
        <v>867.88333333333321</v>
      </c>
      <c r="AS513" s="216">
        <v>924.49999999999989</v>
      </c>
      <c r="AT513" s="216">
        <v>899.66666666666663</v>
      </c>
      <c r="AU513" s="216">
        <v>984.61538461538464</v>
      </c>
      <c r="AV513" s="216">
        <v>1045</v>
      </c>
      <c r="AW513" s="216">
        <v>1080</v>
      </c>
      <c r="AX513" s="216">
        <v>1105</v>
      </c>
      <c r="AY513" s="216">
        <v>1115</v>
      </c>
      <c r="AZ513" s="216">
        <v>1125</v>
      </c>
      <c r="BA513" s="216">
        <v>1140</v>
      </c>
      <c r="BB513" s="216">
        <v>1150</v>
      </c>
      <c r="BC513" s="216">
        <v>1150</v>
      </c>
      <c r="BD513" s="216">
        <v>1150</v>
      </c>
      <c r="BE513" s="216">
        <v>1150</v>
      </c>
      <c r="BF513" s="216">
        <v>1150</v>
      </c>
      <c r="BJ513" s="116">
        <f t="shared" si="1453"/>
        <v>504</v>
      </c>
    </row>
    <row r="514" spans="2:62" hidden="1" outlineLevel="2">
      <c r="B514" s="25" t="s">
        <v>213</v>
      </c>
      <c r="C514" s="93">
        <f t="shared" ref="C514:M514" si="1597">C148/C513</f>
        <v>0.11675189010840405</v>
      </c>
      <c r="D514" s="93">
        <f t="shared" si="1597"/>
        <v>0.10963634478262149</v>
      </c>
      <c r="E514" s="93">
        <f t="shared" si="1597"/>
        <v>0.10827756560530653</v>
      </c>
      <c r="F514" s="93">
        <f t="shared" si="1597"/>
        <v>0.10491236770601052</v>
      </c>
      <c r="G514" s="93">
        <f t="shared" si="1597"/>
        <v>0.10977848932060533</v>
      </c>
      <c r="H514" s="93">
        <f t="shared" si="1597"/>
        <v>0.11171298428260129</v>
      </c>
      <c r="I514" s="93">
        <f t="shared" si="1597"/>
        <v>0.10934784317493035</v>
      </c>
      <c r="J514" s="93">
        <f t="shared" si="1597"/>
        <v>0.11188849421197099</v>
      </c>
      <c r="K514" s="93">
        <f t="shared" si="1597"/>
        <v>0.10490045428747871</v>
      </c>
      <c r="L514" s="93">
        <f t="shared" si="1597"/>
        <v>0.10841573679276664</v>
      </c>
      <c r="M514" s="93">
        <f t="shared" si="1597"/>
        <v>0.11304347826086956</v>
      </c>
      <c r="O514" s="93">
        <f t="shared" ref="O514:BF514" si="1598">O148/O513</f>
        <v>0.12361170648065155</v>
      </c>
      <c r="P514" s="93">
        <f t="shared" si="1598"/>
        <v>0.11842467008797654</v>
      </c>
      <c r="Q514" s="93">
        <f t="shared" si="1598"/>
        <v>0.11455397093187746</v>
      </c>
      <c r="R514" s="93">
        <f t="shared" si="1598"/>
        <v>0.11183252427184466</v>
      </c>
      <c r="S514" s="93">
        <f t="shared" si="1598"/>
        <v>0.11222377065498707</v>
      </c>
      <c r="T514" s="93">
        <f t="shared" si="1598"/>
        <v>0.10904598798360379</v>
      </c>
      <c r="U514" s="93">
        <f t="shared" si="1598"/>
        <v>0.10653855291291611</v>
      </c>
      <c r="V514" s="93">
        <f t="shared" si="1598"/>
        <v>0.11078826506701658</v>
      </c>
      <c r="W514" s="93">
        <f t="shared" si="1598"/>
        <v>0.11345386727451692</v>
      </c>
      <c r="X514" s="93">
        <f t="shared" si="1598"/>
        <v>0.11448236004938661</v>
      </c>
      <c r="Y514" s="93">
        <f t="shared" si="1598"/>
        <v>0.10542253329585945</v>
      </c>
      <c r="Z514" s="93">
        <f t="shared" si="1598"/>
        <v>9.900819813105545E-2</v>
      </c>
      <c r="AA514" s="93">
        <f t="shared" si="1598"/>
        <v>0.10035028861808673</v>
      </c>
      <c r="AB514" s="93">
        <f t="shared" si="1598"/>
        <v>0.10428599644479557</v>
      </c>
      <c r="AC514" s="93">
        <f t="shared" si="1598"/>
        <v>0.10599974338982049</v>
      </c>
      <c r="AD514" s="93">
        <f t="shared" si="1598"/>
        <v>0.10893082010450855</v>
      </c>
      <c r="AE514" s="93">
        <f t="shared" si="1598"/>
        <v>0.10963610807434016</v>
      </c>
      <c r="AF514" s="93">
        <f t="shared" si="1598"/>
        <v>0.11166287910669696</v>
      </c>
      <c r="AG514" s="93">
        <f t="shared" si="1598"/>
        <v>0.11038854582217608</v>
      </c>
      <c r="AH514" s="93">
        <f t="shared" si="1598"/>
        <v>0.1073869183208591</v>
      </c>
      <c r="AI514" s="93">
        <f t="shared" si="1598"/>
        <v>0.11255760078563692</v>
      </c>
      <c r="AJ514" s="93">
        <f t="shared" si="1598"/>
        <v>0.11892736663553717</v>
      </c>
      <c r="AK514" s="93">
        <f t="shared" si="1598"/>
        <v>0.10728277247614264</v>
      </c>
      <c r="AL514" s="93">
        <f t="shared" si="1598"/>
        <v>0.10784404092543089</v>
      </c>
      <c r="AM514" s="93">
        <f t="shared" si="1598"/>
        <v>0.1026518391787853</v>
      </c>
      <c r="AN514" s="93">
        <f t="shared" si="1598"/>
        <v>0.11175076193701321</v>
      </c>
      <c r="AO514" s="93">
        <f t="shared" si="1598"/>
        <v>0.10919414719371041</v>
      </c>
      <c r="AP514" s="93">
        <f t="shared" si="1598"/>
        <v>0.11390264882982828</v>
      </c>
      <c r="AQ514" s="93">
        <f t="shared" si="1598"/>
        <v>0.11599468939976239</v>
      </c>
      <c r="AR514" s="93">
        <f t="shared" si="1598"/>
        <v>0.10946171720469343</v>
      </c>
      <c r="AS514" s="93">
        <f t="shared" si="1598"/>
        <v>0.11032990805840996</v>
      </c>
      <c r="AT514" s="93">
        <f t="shared" si="1598"/>
        <v>0.11226380140792887</v>
      </c>
      <c r="AU514" s="93">
        <f t="shared" si="1598"/>
        <v>0.10765625</v>
      </c>
      <c r="AV514" s="93">
        <f t="shared" si="1598"/>
        <v>0.10430622009569378</v>
      </c>
      <c r="AW514" s="93">
        <f t="shared" si="1598"/>
        <v>0.1037037037037037</v>
      </c>
      <c r="AX514" s="93">
        <f t="shared" si="1598"/>
        <v>0.10407239819004525</v>
      </c>
      <c r="AY514" s="93">
        <f t="shared" si="1598"/>
        <v>0.10582959641255606</v>
      </c>
      <c r="AZ514" s="93">
        <f t="shared" si="1598"/>
        <v>0.10755555555555556</v>
      </c>
      <c r="BA514" s="93">
        <f t="shared" si="1598"/>
        <v>0.10877192982456141</v>
      </c>
      <c r="BB514" s="93">
        <f t="shared" si="1598"/>
        <v>0.11130434782608696</v>
      </c>
      <c r="BC514" s="93">
        <f t="shared" si="1598"/>
        <v>0.11304347826086956</v>
      </c>
      <c r="BD514" s="93">
        <f t="shared" si="1598"/>
        <v>0.11304347826086956</v>
      </c>
      <c r="BE514" s="93">
        <f t="shared" si="1598"/>
        <v>0.11304347826086956</v>
      </c>
      <c r="BF514" s="93">
        <f t="shared" si="1598"/>
        <v>0.11304347826086956</v>
      </c>
      <c r="BJ514" s="116">
        <f t="shared" si="1453"/>
        <v>505</v>
      </c>
    </row>
    <row r="515" spans="2:62" hidden="1" outlineLevel="2">
      <c r="B515" s="10" t="s">
        <v>214</v>
      </c>
      <c r="C515" s="50">
        <f>AVERAGEIFS($O515:$BG515,$O$5:$BG$5,C$5)</f>
        <v>346.3458333333333</v>
      </c>
      <c r="D515" s="50">
        <f t="shared" ref="D515:M515" si="1599">AVERAGEIFS($O515:$BG515,$O$5:$BG$5,D$5)</f>
        <v>423</v>
      </c>
      <c r="E515" s="50">
        <f t="shared" si="1599"/>
        <v>364.35416666666669</v>
      </c>
      <c r="F515" s="50">
        <f t="shared" si="1599"/>
        <v>354.31666666666661</v>
      </c>
      <c r="G515" s="50">
        <f t="shared" si="1599"/>
        <v>380.03749999999997</v>
      </c>
      <c r="H515" s="50">
        <f t="shared" si="1599"/>
        <v>193.11666666666665</v>
      </c>
      <c r="I515" s="50">
        <f t="shared" si="1599"/>
        <v>128.125</v>
      </c>
      <c r="J515" s="50">
        <f t="shared" si="1599"/>
        <v>206.4666666666667</v>
      </c>
      <c r="K515" s="50">
        <f t="shared" si="1599"/>
        <v>260</v>
      </c>
      <c r="L515" s="50">
        <f t="shared" si="1599"/>
        <v>296.25</v>
      </c>
      <c r="M515" s="50">
        <f t="shared" si="1599"/>
        <v>308.75</v>
      </c>
      <c r="O515" s="216">
        <v>452.7833333333333</v>
      </c>
      <c r="P515" s="216">
        <v>166.29999999999998</v>
      </c>
      <c r="Q515" s="216">
        <v>361.11666666666662</v>
      </c>
      <c r="R515" s="216">
        <v>405.18333333333339</v>
      </c>
      <c r="S515" s="216">
        <v>586.66666666666663</v>
      </c>
      <c r="T515" s="216">
        <v>187.51666666666665</v>
      </c>
      <c r="U515" s="216">
        <v>443.33333333333331</v>
      </c>
      <c r="V515" s="216">
        <v>474.48333333333335</v>
      </c>
      <c r="W515" s="216">
        <v>591.81666666666672</v>
      </c>
      <c r="X515" s="216">
        <v>172.45000000000002</v>
      </c>
      <c r="Y515" s="216">
        <v>325.78333333333336</v>
      </c>
      <c r="Z515" s="216">
        <v>367.36666666666662</v>
      </c>
      <c r="AA515" s="216">
        <v>536.4</v>
      </c>
      <c r="AB515" s="216">
        <v>154.28333333333333</v>
      </c>
      <c r="AC515" s="216">
        <v>348.26666666666665</v>
      </c>
      <c r="AD515" s="216">
        <v>378.31666666666666</v>
      </c>
      <c r="AE515" s="216">
        <v>526.38333333333333</v>
      </c>
      <c r="AF515" s="216">
        <v>201.95000000000002</v>
      </c>
      <c r="AG515" s="216">
        <v>385.01666666666665</v>
      </c>
      <c r="AH515" s="216">
        <v>406.8</v>
      </c>
      <c r="AI515" s="216">
        <v>308.75</v>
      </c>
      <c r="AJ515" s="216">
        <v>99.399999999999991</v>
      </c>
      <c r="AK515" s="216">
        <v>190.41666666666666</v>
      </c>
      <c r="AL515" s="216">
        <v>173.9</v>
      </c>
      <c r="AM515" s="216">
        <v>163.46666666666667</v>
      </c>
      <c r="AN515" s="216">
        <v>48.550000000000004</v>
      </c>
      <c r="AO515" s="216">
        <v>121.31666666666666</v>
      </c>
      <c r="AP515" s="216">
        <v>179.16666666666666</v>
      </c>
      <c r="AQ515" s="216">
        <v>298.90000000000003</v>
      </c>
      <c r="AR515" s="216">
        <v>114.43333333333334</v>
      </c>
      <c r="AS515" s="216">
        <v>208.20000000000002</v>
      </c>
      <c r="AT515" s="216">
        <v>204.33333333333334</v>
      </c>
      <c r="AU515" s="216">
        <v>300</v>
      </c>
      <c r="AV515" s="216">
        <v>140</v>
      </c>
      <c r="AW515" s="216">
        <v>300</v>
      </c>
      <c r="AX515" s="216">
        <v>300</v>
      </c>
      <c r="AY515" s="216">
        <v>325</v>
      </c>
      <c r="AZ515" s="216">
        <v>160</v>
      </c>
      <c r="BA515" s="216">
        <v>350</v>
      </c>
      <c r="BB515" s="216">
        <v>350</v>
      </c>
      <c r="BC515" s="216">
        <v>375</v>
      </c>
      <c r="BD515" s="216">
        <v>160</v>
      </c>
      <c r="BE515" s="216">
        <v>350</v>
      </c>
      <c r="BF515" s="216">
        <v>350</v>
      </c>
      <c r="BJ515" s="116">
        <f t="shared" si="1453"/>
        <v>506</v>
      </c>
    </row>
    <row r="516" spans="2:62" hidden="1" outlineLevel="2">
      <c r="B516" s="25" t="s">
        <v>213</v>
      </c>
      <c r="C516" s="93">
        <f t="shared" ref="C516:M516" si="1600">C227/C515</f>
        <v>8.6130555165072259E-2</v>
      </c>
      <c r="D516" s="93">
        <f t="shared" si="1600"/>
        <v>9.4073642281161954E-2</v>
      </c>
      <c r="E516" s="93">
        <f t="shared" si="1600"/>
        <v>9.5584953164940201E-2</v>
      </c>
      <c r="F516" s="93">
        <f t="shared" si="1600"/>
        <v>8.4541663901251826E-2</v>
      </c>
      <c r="G516" s="93">
        <f t="shared" si="1600"/>
        <v>8.981089194964989E-2</v>
      </c>
      <c r="H516" s="93">
        <f t="shared" si="1600"/>
        <v>8.645352432047726E-2</v>
      </c>
      <c r="I516" s="93">
        <f t="shared" si="1600"/>
        <v>7.5764894042383069E-2</v>
      </c>
      <c r="J516" s="93">
        <f t="shared" si="1600"/>
        <v>7.4819201967436438E-2</v>
      </c>
      <c r="K516" s="93">
        <f t="shared" si="1600"/>
        <v>8.088514225500526E-2</v>
      </c>
      <c r="L516" s="93">
        <f t="shared" si="1600"/>
        <v>7.7646378822033402E-2</v>
      </c>
      <c r="M516" s="93">
        <f t="shared" si="1600"/>
        <v>7.4547023295944786E-2</v>
      </c>
      <c r="O516" s="93">
        <f t="shared" ref="O516:BF516" si="1601">O227/O515</f>
        <v>7.6857952663157508E-2</v>
      </c>
      <c r="P516" s="93">
        <f t="shared" si="1601"/>
        <v>0.1064341551413109</v>
      </c>
      <c r="Q516" s="93">
        <f t="shared" si="1601"/>
        <v>7.6152674574237328E-2</v>
      </c>
      <c r="R516" s="93">
        <f t="shared" si="1601"/>
        <v>9.6993130681584452E-2</v>
      </c>
      <c r="S516" s="93">
        <f t="shared" si="1601"/>
        <v>8.4715909090909106E-2</v>
      </c>
      <c r="T516" s="93">
        <f t="shared" si="1601"/>
        <v>0.11998933428139721</v>
      </c>
      <c r="U516" s="93">
        <f t="shared" si="1601"/>
        <v>9.4285714285714278E-2</v>
      </c>
      <c r="V516" s="93">
        <f t="shared" si="1601"/>
        <v>9.5261512522392774E-2</v>
      </c>
      <c r="W516" s="93">
        <f t="shared" si="1601"/>
        <v>8.2288997155650676E-2</v>
      </c>
      <c r="X516" s="93">
        <f t="shared" si="1601"/>
        <v>0.11771527979124383</v>
      </c>
      <c r="Y516" s="93">
        <f t="shared" si="1601"/>
        <v>0.1043638409986187</v>
      </c>
      <c r="Z516" s="93">
        <f t="shared" si="1601"/>
        <v>9.8811360130659651E-2</v>
      </c>
      <c r="AA516" s="93">
        <f t="shared" si="1601"/>
        <v>7.4571215510812833E-2</v>
      </c>
      <c r="AB516" s="93">
        <f t="shared" si="1601"/>
        <v>0.11277951820244139</v>
      </c>
      <c r="AC516" s="93">
        <f t="shared" si="1601"/>
        <v>8.6140888208269525E-2</v>
      </c>
      <c r="AD516" s="93">
        <f t="shared" si="1601"/>
        <v>8.5906868143971096E-2</v>
      </c>
      <c r="AE516" s="93">
        <f t="shared" si="1601"/>
        <v>8.3209321470411296E-2</v>
      </c>
      <c r="AF516" s="93">
        <f t="shared" si="1601"/>
        <v>0.10695716761574647</v>
      </c>
      <c r="AG516" s="93">
        <f t="shared" si="1601"/>
        <v>8.9087052508549411E-2</v>
      </c>
      <c r="AH516" s="93">
        <f t="shared" si="1601"/>
        <v>9.07079646017699E-2</v>
      </c>
      <c r="AI516" s="93">
        <f t="shared" si="1601"/>
        <v>8.2914979757085019E-2</v>
      </c>
      <c r="AJ516" s="93">
        <f t="shared" si="1601"/>
        <v>9.7585513078470826E-2</v>
      </c>
      <c r="AK516" s="93">
        <f t="shared" si="1601"/>
        <v>9.0328227571115971E-2</v>
      </c>
      <c r="AL516" s="93">
        <f t="shared" si="1601"/>
        <v>8.280621046578493E-2</v>
      </c>
      <c r="AM516" s="93">
        <f t="shared" si="1601"/>
        <v>7.6468189233278958E-2</v>
      </c>
      <c r="AN516" s="93">
        <f t="shared" si="1601"/>
        <v>8.6508753861997939E-2</v>
      </c>
      <c r="AO516" s="93">
        <f t="shared" si="1601"/>
        <v>7.2537436461052346E-2</v>
      </c>
      <c r="AP516" s="93">
        <f t="shared" si="1601"/>
        <v>7.4232558139534888E-2</v>
      </c>
      <c r="AQ516" s="93">
        <f t="shared" si="1601"/>
        <v>7.3603211776513883E-2</v>
      </c>
      <c r="AR516" s="93">
        <f t="shared" si="1601"/>
        <v>0.10836003495484998</v>
      </c>
      <c r="AS516" s="93">
        <f t="shared" si="1601"/>
        <v>6.4841498559077809E-2</v>
      </c>
      <c r="AT516" s="93">
        <f t="shared" si="1601"/>
        <v>6.8515497553017946E-2</v>
      </c>
      <c r="AU516" s="93">
        <f t="shared" si="1601"/>
        <v>6.6666666666666666E-2</v>
      </c>
      <c r="AV516" s="93">
        <f t="shared" si="1601"/>
        <v>8.5714285714285715E-2</v>
      </c>
      <c r="AW516" s="93">
        <f t="shared" si="1601"/>
        <v>8.666666666666667E-2</v>
      </c>
      <c r="AX516" s="93">
        <f t="shared" si="1601"/>
        <v>8.666666666666667E-2</v>
      </c>
      <c r="AY516" s="93">
        <f t="shared" si="1601"/>
        <v>8.615384615384615E-2</v>
      </c>
      <c r="AZ516" s="93">
        <f t="shared" si="1601"/>
        <v>7.4999999999999997E-2</v>
      </c>
      <c r="BA516" s="93">
        <f t="shared" si="1601"/>
        <v>7.4285714285714288E-2</v>
      </c>
      <c r="BB516" s="93">
        <f t="shared" si="1601"/>
        <v>7.4285714285714288E-2</v>
      </c>
      <c r="BC516" s="93">
        <f t="shared" si="1601"/>
        <v>7.4666666666666673E-2</v>
      </c>
      <c r="BD516" s="93">
        <f t="shared" si="1601"/>
        <v>7.4999999999999997E-2</v>
      </c>
      <c r="BE516" s="93">
        <f t="shared" si="1601"/>
        <v>7.4285714285714288E-2</v>
      </c>
      <c r="BF516" s="93">
        <f t="shared" si="1601"/>
        <v>7.4285714285714288E-2</v>
      </c>
      <c r="BJ516" s="116">
        <f t="shared" si="1453"/>
        <v>507</v>
      </c>
    </row>
    <row r="517" spans="2:62" hidden="1" outlineLevel="2">
      <c r="B517" s="10" t="s">
        <v>215</v>
      </c>
      <c r="C517" s="50">
        <f>AVERAGEIFS($O517:$BG517,$O$5:$BG$5,C$5)</f>
        <v>1094.1666666666667</v>
      </c>
      <c r="D517" s="50">
        <f t="shared" ref="D517:M517" si="1602">AVERAGEIFS($O517:$BG517,$O$5:$BG$5,D$5)</f>
        <v>1167</v>
      </c>
      <c r="E517" s="50">
        <f t="shared" si="1602"/>
        <v>1234.4166666666665</v>
      </c>
      <c r="F517" s="50">
        <f t="shared" si="1602"/>
        <v>1296.3333333333335</v>
      </c>
      <c r="G517" s="50">
        <f t="shared" si="1602"/>
        <v>1336.75</v>
      </c>
      <c r="H517" s="50">
        <f t="shared" si="1602"/>
        <v>1166.6666666666667</v>
      </c>
      <c r="I517" s="50">
        <f t="shared" si="1602"/>
        <v>954.91666666666663</v>
      </c>
      <c r="J517" s="50">
        <f t="shared" si="1602"/>
        <v>948.25</v>
      </c>
      <c r="K517" s="50">
        <f t="shared" si="1602"/>
        <v>983</v>
      </c>
      <c r="L517" s="50">
        <f t="shared" si="1602"/>
        <v>1030.5</v>
      </c>
      <c r="M517" s="50">
        <f t="shared" si="1602"/>
        <v>1078.25</v>
      </c>
      <c r="O517" s="216">
        <v>1063</v>
      </c>
      <c r="P517" s="216">
        <v>1087.6666666666665</v>
      </c>
      <c r="Q517" s="216">
        <v>1110.3333333333335</v>
      </c>
      <c r="R517" s="216">
        <v>1115.6666666666667</v>
      </c>
      <c r="S517" s="216">
        <v>1165.6666666666667</v>
      </c>
      <c r="T517" s="216">
        <v>1146</v>
      </c>
      <c r="U517" s="216">
        <v>1169</v>
      </c>
      <c r="V517" s="216">
        <v>1187.3333333333335</v>
      </c>
      <c r="W517" s="216">
        <v>1189</v>
      </c>
      <c r="X517" s="216">
        <v>1229.3333333333335</v>
      </c>
      <c r="Y517" s="216">
        <v>1259.6666666666665</v>
      </c>
      <c r="Z517" s="216">
        <v>1259.6666666666665</v>
      </c>
      <c r="AA517" s="216">
        <v>1274</v>
      </c>
      <c r="AB517" s="216">
        <v>1305.6666666666667</v>
      </c>
      <c r="AC517" s="216">
        <v>1285.3333333333333</v>
      </c>
      <c r="AD517" s="216">
        <v>1320.3333333333335</v>
      </c>
      <c r="AE517" s="216">
        <v>1337</v>
      </c>
      <c r="AF517" s="216">
        <v>1347.6666666666665</v>
      </c>
      <c r="AG517" s="216">
        <v>1348</v>
      </c>
      <c r="AH517" s="216">
        <v>1314.3333333333333</v>
      </c>
      <c r="AI517" s="216">
        <v>1261.3333333333335</v>
      </c>
      <c r="AJ517" s="216">
        <v>1168.6666666666667</v>
      </c>
      <c r="AK517" s="216">
        <v>1131.6666666666667</v>
      </c>
      <c r="AL517" s="216">
        <v>1105</v>
      </c>
      <c r="AM517" s="216">
        <v>1015.9999999999999</v>
      </c>
      <c r="AN517" s="216">
        <v>942.66666666666663</v>
      </c>
      <c r="AO517" s="216">
        <v>936.33333333333326</v>
      </c>
      <c r="AP517" s="216">
        <v>924.66666666666663</v>
      </c>
      <c r="AQ517" s="216">
        <v>939</v>
      </c>
      <c r="AR517" s="216">
        <v>957.66666666666663</v>
      </c>
      <c r="AS517" s="216">
        <v>947.33333333333337</v>
      </c>
      <c r="AT517" s="216">
        <v>949</v>
      </c>
      <c r="AU517" s="216">
        <v>960</v>
      </c>
      <c r="AV517" s="216">
        <v>974.5</v>
      </c>
      <c r="AW517" s="216">
        <v>991</v>
      </c>
      <c r="AX517" s="216">
        <v>1006.5</v>
      </c>
      <c r="AY517" s="216">
        <v>1014.5</v>
      </c>
      <c r="AZ517" s="216">
        <v>1023.5</v>
      </c>
      <c r="BA517" s="216">
        <v>1035.5</v>
      </c>
      <c r="BB517" s="216">
        <v>1048.5</v>
      </c>
      <c r="BC517" s="216">
        <v>1059.5</v>
      </c>
      <c r="BD517" s="216">
        <v>1071.5</v>
      </c>
      <c r="BE517" s="216">
        <v>1084.5</v>
      </c>
      <c r="BF517" s="216">
        <v>1097.5</v>
      </c>
      <c r="BJ517" s="116">
        <f t="shared" si="1453"/>
        <v>508</v>
      </c>
    </row>
    <row r="518" spans="2:62" hidden="1" outlineLevel="2">
      <c r="B518" s="25" t="s">
        <v>213</v>
      </c>
      <c r="C518" s="93">
        <f t="shared" ref="C518:M518" si="1603">C245/C517</f>
        <v>8.9385095306158624E-2</v>
      </c>
      <c r="D518" s="93">
        <f t="shared" si="1603"/>
        <v>9.0199199445950867E-2</v>
      </c>
      <c r="E518" s="93">
        <f t="shared" si="1603"/>
        <v>9.6624475842553015E-2</v>
      </c>
      <c r="F518" s="93">
        <f t="shared" si="1603"/>
        <v>9.5754587050937465E-2</v>
      </c>
      <c r="G518" s="93">
        <f t="shared" si="1603"/>
        <v>9.5069876591918137E-2</v>
      </c>
      <c r="H518" s="93">
        <f t="shared" si="1603"/>
        <v>0.10624978473581212</v>
      </c>
      <c r="I518" s="93">
        <f t="shared" si="1603"/>
        <v>0.10495093698274248</v>
      </c>
      <c r="J518" s="93">
        <f t="shared" si="1603"/>
        <v>9.6101181339814878E-2</v>
      </c>
      <c r="K518" s="93">
        <f t="shared" si="1603"/>
        <v>0.10073161554648198</v>
      </c>
      <c r="L518" s="93">
        <f t="shared" si="1603"/>
        <v>0.10604241856260758</v>
      </c>
      <c r="M518" s="93">
        <f t="shared" si="1603"/>
        <v>0.10665430095061443</v>
      </c>
      <c r="O518" s="93">
        <f t="shared" ref="O518:BF518" si="1604">O245/O517</f>
        <v>8.3066792097836309E-2</v>
      </c>
      <c r="P518" s="93">
        <f t="shared" si="1604"/>
        <v>8.97333741955256E-2</v>
      </c>
      <c r="Q518" s="93">
        <f t="shared" si="1604"/>
        <v>9.2764935454818356E-2</v>
      </c>
      <c r="R518" s="93">
        <f t="shared" si="1604"/>
        <v>9.1514789363609197E-2</v>
      </c>
      <c r="S518" s="93">
        <f t="shared" si="1604"/>
        <v>8.5444666857306256E-2</v>
      </c>
      <c r="T518" s="93">
        <f t="shared" si="1604"/>
        <v>8.9703315881326351E-2</v>
      </c>
      <c r="U518" s="93">
        <f t="shared" si="1604"/>
        <v>9.007698887938409E-2</v>
      </c>
      <c r="V518" s="93">
        <f t="shared" si="1604"/>
        <v>9.5339696799550802E-2</v>
      </c>
      <c r="W518" s="93">
        <f t="shared" si="1604"/>
        <v>9.8990748528174938E-2</v>
      </c>
      <c r="X518" s="93">
        <f t="shared" si="1604"/>
        <v>9.8345986984815614E-2</v>
      </c>
      <c r="Y518" s="93">
        <f t="shared" si="1604"/>
        <v>9.4628208520772708E-2</v>
      </c>
      <c r="Z518" s="93">
        <f t="shared" si="1604"/>
        <v>9.4707594601746506E-2</v>
      </c>
      <c r="AA518" s="93">
        <f t="shared" si="1604"/>
        <v>9.631083202511774E-2</v>
      </c>
      <c r="AB518" s="93">
        <f t="shared" si="1604"/>
        <v>9.5889711513913706E-2</v>
      </c>
      <c r="AC518" s="93">
        <f t="shared" si="1604"/>
        <v>9.6473029045643158E-2</v>
      </c>
      <c r="AD518" s="93">
        <f t="shared" si="1604"/>
        <v>9.4370108558444826E-2</v>
      </c>
      <c r="AE518" s="93">
        <f t="shared" si="1604"/>
        <v>9.7083021690351545E-2</v>
      </c>
      <c r="AF518" s="93">
        <f t="shared" si="1604"/>
        <v>9.4459559732871637E-2</v>
      </c>
      <c r="AG518" s="93">
        <f t="shared" si="1604"/>
        <v>9.6513353115726994E-2</v>
      </c>
      <c r="AH518" s="93">
        <f t="shared" si="1604"/>
        <v>9.2214050215571913E-2</v>
      </c>
      <c r="AI518" s="93">
        <f t="shared" si="1604"/>
        <v>0.10314482029598307</v>
      </c>
      <c r="AJ518" s="93">
        <f t="shared" si="1604"/>
        <v>0.10875641756988019</v>
      </c>
      <c r="AK518" s="93">
        <f t="shared" si="1604"/>
        <v>0.10718703976435934</v>
      </c>
      <c r="AL518" s="93">
        <f t="shared" si="1604"/>
        <v>0.10633484162895927</v>
      </c>
      <c r="AM518" s="93">
        <f t="shared" si="1604"/>
        <v>0.10875984251968505</v>
      </c>
      <c r="AN518" s="93">
        <f t="shared" si="1604"/>
        <v>0.10735502121640736</v>
      </c>
      <c r="AO518" s="93">
        <f t="shared" si="1604"/>
        <v>0.10402278390886438</v>
      </c>
      <c r="AP518" s="93">
        <f t="shared" si="1604"/>
        <v>9.9387166546503258E-2</v>
      </c>
      <c r="AQ518" s="93">
        <f t="shared" si="1604"/>
        <v>9.5633652822151222E-2</v>
      </c>
      <c r="AR518" s="93">
        <f t="shared" si="1604"/>
        <v>9.679777236338323E-2</v>
      </c>
      <c r="AS518" s="93">
        <f t="shared" si="1604"/>
        <v>9.6375791695988727E-2</v>
      </c>
      <c r="AT518" s="93">
        <f t="shared" si="1604"/>
        <v>9.5574288724973658E-2</v>
      </c>
      <c r="AU518" s="93">
        <f t="shared" si="1604"/>
        <v>0.1</v>
      </c>
      <c r="AV518" s="93">
        <f t="shared" si="1604"/>
        <v>0.10056439199589533</v>
      </c>
      <c r="AW518" s="93">
        <f t="shared" si="1604"/>
        <v>0.10090817356205853</v>
      </c>
      <c r="AX518" s="93">
        <f t="shared" si="1604"/>
        <v>0.10134128166915052</v>
      </c>
      <c r="AY518" s="93">
        <f t="shared" si="1604"/>
        <v>0.10349926071956629</v>
      </c>
      <c r="AZ518" s="93">
        <f t="shared" si="1604"/>
        <v>0.10552027357107963</v>
      </c>
      <c r="BA518" s="93">
        <f t="shared" si="1604"/>
        <v>0.10719459198454853</v>
      </c>
      <c r="BB518" s="93">
        <f t="shared" si="1604"/>
        <v>0.10777300906056271</v>
      </c>
      <c r="BC518" s="93">
        <f t="shared" si="1604"/>
        <v>0.10854176498348278</v>
      </c>
      <c r="BD518" s="93">
        <f t="shared" si="1604"/>
        <v>0.10732617825478301</v>
      </c>
      <c r="BE518" s="93">
        <f t="shared" si="1604"/>
        <v>0.10603964960811434</v>
      </c>
      <c r="BF518" s="93">
        <f t="shared" si="1604"/>
        <v>0.10478359908883828</v>
      </c>
      <c r="BJ518" s="116">
        <f t="shared" si="1453"/>
        <v>509</v>
      </c>
    </row>
    <row r="519" spans="2:62" hidden="1" outlineLevel="2">
      <c r="B519" s="25"/>
      <c r="BJ519" s="116">
        <f t="shared" si="1453"/>
        <v>510</v>
      </c>
    </row>
    <row r="520" spans="2:62" hidden="1" outlineLevel="2">
      <c r="B520" s="11" t="s">
        <v>216</v>
      </c>
      <c r="BJ520" s="116">
        <f t="shared" si="1453"/>
        <v>511</v>
      </c>
    </row>
    <row r="521" spans="2:62" hidden="1" outlineLevel="2">
      <c r="B521" s="10" t="s">
        <v>44</v>
      </c>
      <c r="C521" s="102">
        <f t="shared" ref="C521:M527" si="1605">INDEX($O521:$BG521,1,MATCH(C$4,$O$4:$BG$4,0))</f>
        <v>0</v>
      </c>
      <c r="D521" s="102">
        <f t="shared" si="1605"/>
        <v>0</v>
      </c>
      <c r="E521" s="102">
        <f t="shared" si="1605"/>
        <v>155</v>
      </c>
      <c r="F521" s="102">
        <f t="shared" si="1605"/>
        <v>172</v>
      </c>
      <c r="G521" s="102">
        <f t="shared" si="1605"/>
        <v>165</v>
      </c>
      <c r="H521" s="102">
        <f t="shared" si="1605"/>
        <v>172</v>
      </c>
      <c r="I521" s="102">
        <f t="shared" si="1605"/>
        <v>180</v>
      </c>
      <c r="J521" s="102">
        <f t="shared" si="1605"/>
        <v>186</v>
      </c>
      <c r="K521" s="102">
        <f t="shared" si="1605"/>
        <v>0</v>
      </c>
      <c r="L521" s="102">
        <f t="shared" si="1605"/>
        <v>0</v>
      </c>
      <c r="M521" s="102">
        <f t="shared" si="1605"/>
        <v>0</v>
      </c>
      <c r="N521" s="276"/>
      <c r="O521" s="102"/>
      <c r="P521" s="102"/>
      <c r="Q521" s="102"/>
      <c r="R521" s="102"/>
      <c r="S521" s="102"/>
      <c r="T521" s="102"/>
      <c r="U521" s="102"/>
      <c r="V521" s="102"/>
      <c r="W521" s="102"/>
      <c r="X521" s="105">
        <v>152</v>
      </c>
      <c r="Y521" s="105">
        <v>152</v>
      </c>
      <c r="Z521" s="105">
        <v>155</v>
      </c>
      <c r="AA521" s="105">
        <v>157</v>
      </c>
      <c r="AB521" s="105">
        <v>157</v>
      </c>
      <c r="AC521" s="105">
        <v>164</v>
      </c>
      <c r="AD521" s="105">
        <v>172</v>
      </c>
      <c r="AE521" s="105">
        <v>172</v>
      </c>
      <c r="AF521" s="277"/>
      <c r="AG521" s="105">
        <f>103+18+39</f>
        <v>160</v>
      </c>
      <c r="AH521" s="105">
        <v>165</v>
      </c>
      <c r="AI521" s="105">
        <f>114+18+39</f>
        <v>171</v>
      </c>
      <c r="AJ521" s="105">
        <v>172</v>
      </c>
      <c r="AK521" s="105">
        <v>172</v>
      </c>
      <c r="AL521" s="105">
        <v>172</v>
      </c>
      <c r="AM521" s="105">
        <v>175</v>
      </c>
      <c r="AN521" s="105">
        <v>175</v>
      </c>
      <c r="AO521" s="105">
        <v>177</v>
      </c>
      <c r="AP521" s="105">
        <v>180</v>
      </c>
      <c r="AQ521" s="105">
        <v>181</v>
      </c>
      <c r="AR521" s="105">
        <v>183</v>
      </c>
      <c r="AS521" s="105">
        <v>184</v>
      </c>
      <c r="AT521" s="105">
        <v>186</v>
      </c>
      <c r="BJ521" s="116">
        <f t="shared" si="1453"/>
        <v>512</v>
      </c>
    </row>
    <row r="522" spans="2:62" hidden="1" outlineLevel="2">
      <c r="B522" s="10" t="s">
        <v>217</v>
      </c>
      <c r="C522" s="102">
        <f t="shared" si="1605"/>
        <v>0</v>
      </c>
      <c r="D522" s="102">
        <f t="shared" si="1605"/>
        <v>0</v>
      </c>
      <c r="E522" s="102">
        <f t="shared" si="1605"/>
        <v>98</v>
      </c>
      <c r="F522" s="102">
        <f t="shared" si="1605"/>
        <v>88</v>
      </c>
      <c r="G522" s="102">
        <f t="shared" si="1605"/>
        <v>88</v>
      </c>
      <c r="H522" s="102">
        <f t="shared" si="1605"/>
        <v>47</v>
      </c>
      <c r="I522" s="102">
        <f t="shared" si="1605"/>
        <v>24</v>
      </c>
      <c r="J522" s="102">
        <f t="shared" si="1605"/>
        <v>24</v>
      </c>
      <c r="K522" s="102">
        <f t="shared" si="1605"/>
        <v>0</v>
      </c>
      <c r="L522" s="102">
        <f t="shared" si="1605"/>
        <v>0</v>
      </c>
      <c r="M522" s="102">
        <f t="shared" si="1605"/>
        <v>0</v>
      </c>
      <c r="N522" s="276"/>
      <c r="O522" s="102"/>
      <c r="P522" s="102"/>
      <c r="Q522" s="102"/>
      <c r="R522" s="102"/>
      <c r="S522" s="102"/>
      <c r="T522" s="102"/>
      <c r="U522" s="102"/>
      <c r="V522" s="102"/>
      <c r="W522" s="102"/>
      <c r="X522" s="105">
        <v>115</v>
      </c>
      <c r="Y522" s="105">
        <v>115</v>
      </c>
      <c r="Z522" s="105">
        <v>98</v>
      </c>
      <c r="AA522" s="105">
        <v>96</v>
      </c>
      <c r="AB522" s="105">
        <v>96</v>
      </c>
      <c r="AC522" s="105">
        <v>88</v>
      </c>
      <c r="AD522" s="105">
        <v>88</v>
      </c>
      <c r="AE522" s="105">
        <v>88</v>
      </c>
      <c r="AF522" s="277"/>
      <c r="AG522" s="105">
        <f>6+12+70</f>
        <v>88</v>
      </c>
      <c r="AH522" s="105">
        <v>88</v>
      </c>
      <c r="AI522" s="105">
        <f>5+11+69</f>
        <v>85</v>
      </c>
      <c r="AJ522" s="105">
        <f>+AI522</f>
        <v>85</v>
      </c>
      <c r="AK522" s="105">
        <f>+AJ522</f>
        <v>85</v>
      </c>
      <c r="AL522" s="105">
        <v>47</v>
      </c>
      <c r="AM522" s="105">
        <v>47</v>
      </c>
      <c r="AN522" s="105">
        <v>47</v>
      </c>
      <c r="AO522" s="105">
        <v>47</v>
      </c>
      <c r="AP522" s="105">
        <v>24</v>
      </c>
      <c r="AQ522" s="105">
        <v>24</v>
      </c>
      <c r="AR522" s="105">
        <v>24</v>
      </c>
      <c r="AS522" s="105">
        <v>24</v>
      </c>
      <c r="AT522" s="105">
        <v>24</v>
      </c>
      <c r="BJ522" s="116">
        <f t="shared" si="1453"/>
        <v>513</v>
      </c>
    </row>
    <row r="523" spans="2:62" hidden="1" outlineLevel="2">
      <c r="B523" s="10" t="s">
        <v>218</v>
      </c>
      <c r="C523" s="102">
        <f t="shared" si="1605"/>
        <v>0</v>
      </c>
      <c r="D523" s="102">
        <f t="shared" si="1605"/>
        <v>0</v>
      </c>
      <c r="E523" s="102">
        <f t="shared" si="1605"/>
        <v>27</v>
      </c>
      <c r="F523" s="102">
        <f t="shared" si="1605"/>
        <v>26</v>
      </c>
      <c r="G523" s="102">
        <f t="shared" si="1605"/>
        <v>0</v>
      </c>
      <c r="H523" s="102">
        <f t="shared" si="1605"/>
        <v>0</v>
      </c>
      <c r="I523" s="102">
        <f t="shared" si="1605"/>
        <v>0</v>
      </c>
      <c r="J523" s="102">
        <f t="shared" si="1605"/>
        <v>0</v>
      </c>
      <c r="K523" s="102">
        <f t="shared" si="1605"/>
        <v>0</v>
      </c>
      <c r="L523" s="102">
        <f t="shared" si="1605"/>
        <v>0</v>
      </c>
      <c r="M523" s="102">
        <f t="shared" si="1605"/>
        <v>0</v>
      </c>
      <c r="N523" s="276"/>
      <c r="O523" s="102"/>
      <c r="P523" s="102"/>
      <c r="Q523" s="102"/>
      <c r="R523" s="102"/>
      <c r="S523" s="102"/>
      <c r="T523" s="102"/>
      <c r="U523" s="102"/>
      <c r="V523" s="102"/>
      <c r="W523" s="102"/>
      <c r="X523" s="105">
        <v>40</v>
      </c>
      <c r="Y523" s="105">
        <v>40</v>
      </c>
      <c r="Z523" s="105">
        <v>27</v>
      </c>
      <c r="AA523" s="105">
        <v>26</v>
      </c>
      <c r="AB523" s="105">
        <v>26</v>
      </c>
      <c r="AC523" s="105">
        <v>26</v>
      </c>
      <c r="AD523" s="105">
        <v>26</v>
      </c>
      <c r="AE523" s="105">
        <v>26</v>
      </c>
      <c r="AF523" s="277"/>
      <c r="AG523" s="105">
        <v>26</v>
      </c>
      <c r="AH523" s="105">
        <v>0</v>
      </c>
      <c r="AI523" s="105">
        <v>0</v>
      </c>
      <c r="AJ523" s="105">
        <v>0</v>
      </c>
      <c r="AK523" s="105">
        <v>0</v>
      </c>
      <c r="AL523" s="105">
        <v>0</v>
      </c>
      <c r="AM523" s="105">
        <v>0</v>
      </c>
      <c r="AN523" s="105">
        <v>0</v>
      </c>
      <c r="AO523" s="105">
        <v>0</v>
      </c>
      <c r="AP523" s="105">
        <v>0</v>
      </c>
      <c r="AQ523" s="105">
        <v>0</v>
      </c>
      <c r="AR523" s="105">
        <v>0</v>
      </c>
      <c r="AS523" s="105">
        <v>0</v>
      </c>
      <c r="AT523" s="105">
        <v>0</v>
      </c>
      <c r="BJ523" s="116">
        <f t="shared" si="1453"/>
        <v>514</v>
      </c>
    </row>
    <row r="524" spans="2:62" hidden="1" outlineLevel="2">
      <c r="B524" s="10" t="s">
        <v>219</v>
      </c>
      <c r="C524" s="102">
        <f t="shared" si="1605"/>
        <v>0</v>
      </c>
      <c r="D524" s="102">
        <f t="shared" si="1605"/>
        <v>0</v>
      </c>
      <c r="E524" s="102">
        <f t="shared" si="1605"/>
        <v>280</v>
      </c>
      <c r="F524" s="102">
        <f t="shared" si="1605"/>
        <v>286</v>
      </c>
      <c r="G524" s="102">
        <f t="shared" si="1605"/>
        <v>253</v>
      </c>
      <c r="H524" s="102">
        <f t="shared" si="1605"/>
        <v>219</v>
      </c>
      <c r="I524" s="102">
        <f t="shared" si="1605"/>
        <v>204</v>
      </c>
      <c r="J524" s="102">
        <f t="shared" si="1605"/>
        <v>210</v>
      </c>
      <c r="K524" s="102">
        <f t="shared" si="1605"/>
        <v>0</v>
      </c>
      <c r="L524" s="102">
        <f t="shared" si="1605"/>
        <v>0</v>
      </c>
      <c r="M524" s="102">
        <f t="shared" si="1605"/>
        <v>0</v>
      </c>
      <c r="N524" s="276"/>
      <c r="O524" s="102"/>
      <c r="P524" s="102"/>
      <c r="Q524" s="102"/>
      <c r="R524" s="102"/>
      <c r="S524" s="102"/>
      <c r="T524" s="102"/>
      <c r="U524" s="102"/>
      <c r="V524" s="102"/>
      <c r="W524" s="102"/>
      <c r="X524" s="278">
        <f t="shared" ref="X524:AE524" si="1606">SUM(X521:X523)</f>
        <v>307</v>
      </c>
      <c r="Y524" s="278">
        <f t="shared" si="1606"/>
        <v>307</v>
      </c>
      <c r="Z524" s="278">
        <f t="shared" si="1606"/>
        <v>280</v>
      </c>
      <c r="AA524" s="278">
        <f t="shared" si="1606"/>
        <v>279</v>
      </c>
      <c r="AB524" s="278">
        <f t="shared" si="1606"/>
        <v>279</v>
      </c>
      <c r="AC524" s="278">
        <f t="shared" si="1606"/>
        <v>278</v>
      </c>
      <c r="AD524" s="278">
        <f t="shared" si="1606"/>
        <v>286</v>
      </c>
      <c r="AE524" s="278">
        <f t="shared" si="1606"/>
        <v>286</v>
      </c>
      <c r="AF524" s="279"/>
      <c r="AG524" s="278">
        <f t="shared" ref="AG524:AP524" si="1607">SUM(AG521:AG523)</f>
        <v>274</v>
      </c>
      <c r="AH524" s="278">
        <f t="shared" si="1607"/>
        <v>253</v>
      </c>
      <c r="AI524" s="278">
        <f t="shared" si="1607"/>
        <v>256</v>
      </c>
      <c r="AJ524" s="278">
        <f t="shared" si="1607"/>
        <v>257</v>
      </c>
      <c r="AK524" s="278">
        <f t="shared" si="1607"/>
        <v>257</v>
      </c>
      <c r="AL524" s="278">
        <f t="shared" si="1607"/>
        <v>219</v>
      </c>
      <c r="AM524" s="278">
        <f t="shared" si="1607"/>
        <v>222</v>
      </c>
      <c r="AN524" s="278">
        <f t="shared" si="1607"/>
        <v>222</v>
      </c>
      <c r="AO524" s="278">
        <f t="shared" si="1607"/>
        <v>224</v>
      </c>
      <c r="AP524" s="278">
        <f t="shared" si="1607"/>
        <v>204</v>
      </c>
      <c r="AQ524" s="278">
        <f>SUM(AQ521:AQ523)</f>
        <v>205</v>
      </c>
      <c r="AR524" s="278">
        <f>SUM(AR521:AR523)</f>
        <v>207</v>
      </c>
      <c r="AS524" s="278">
        <f>SUM(AS521:AS523)</f>
        <v>208</v>
      </c>
      <c r="AT524" s="278">
        <f>SUM(AT521:AT523)</f>
        <v>210</v>
      </c>
      <c r="BJ524" s="116">
        <f t="shared" ref="BJ524:BJ583" si="1608">BJ523+1</f>
        <v>515</v>
      </c>
    </row>
    <row r="525" spans="2:62" hidden="1" outlineLevel="2">
      <c r="B525" s="10" t="s">
        <v>220</v>
      </c>
      <c r="C525" s="102">
        <f t="shared" si="1605"/>
        <v>0</v>
      </c>
      <c r="D525" s="102">
        <f t="shared" si="1605"/>
        <v>0</v>
      </c>
      <c r="E525" s="102">
        <f t="shared" si="1605"/>
        <v>61</v>
      </c>
      <c r="F525" s="102">
        <f t="shared" si="1605"/>
        <v>0</v>
      </c>
      <c r="G525" s="102">
        <f t="shared" si="1605"/>
        <v>115</v>
      </c>
      <c r="H525" s="102">
        <f t="shared" si="1605"/>
        <v>129</v>
      </c>
      <c r="I525" s="102">
        <f t="shared" si="1605"/>
        <v>132</v>
      </c>
      <c r="J525" s="102">
        <f t="shared" si="1605"/>
        <v>142</v>
      </c>
      <c r="K525" s="102">
        <f t="shared" si="1605"/>
        <v>0</v>
      </c>
      <c r="L525" s="102">
        <f t="shared" si="1605"/>
        <v>0</v>
      </c>
      <c r="M525" s="102">
        <f t="shared" si="1605"/>
        <v>0</v>
      </c>
      <c r="N525" s="276"/>
      <c r="O525" s="102"/>
      <c r="P525" s="102"/>
      <c r="Q525" s="102"/>
      <c r="R525" s="102"/>
      <c r="S525" s="102"/>
      <c r="T525" s="102"/>
      <c r="U525" s="102"/>
      <c r="V525" s="102"/>
      <c r="W525" s="102"/>
      <c r="X525" s="105"/>
      <c r="Y525" s="278"/>
      <c r="Z525" s="105">
        <v>61</v>
      </c>
      <c r="AA525" s="105">
        <v>78</v>
      </c>
      <c r="AB525" s="278"/>
      <c r="AC525" s="278"/>
      <c r="AD525" s="278"/>
      <c r="AE525" s="278"/>
      <c r="AF525" s="279"/>
      <c r="AG525" s="105">
        <v>109</v>
      </c>
      <c r="AH525" s="105">
        <v>115</v>
      </c>
      <c r="AI525" s="105">
        <f>114+5</f>
        <v>119</v>
      </c>
      <c r="AJ525" s="105">
        <f>120+7</f>
        <v>127</v>
      </c>
      <c r="AK525" s="105">
        <v>127</v>
      </c>
      <c r="AL525" s="105">
        <f>122+7</f>
        <v>129</v>
      </c>
      <c r="AM525" s="105">
        <v>131</v>
      </c>
      <c r="AN525" s="105">
        <v>131</v>
      </c>
      <c r="AO525" s="105">
        <v>133</v>
      </c>
      <c r="AP525" s="105">
        <v>132</v>
      </c>
      <c r="AQ525" s="105">
        <v>133</v>
      </c>
      <c r="AR525" s="105">
        <v>138</v>
      </c>
      <c r="AS525" s="105">
        <v>139</v>
      </c>
      <c r="AT525" s="105">
        <v>142</v>
      </c>
      <c r="BJ525" s="116">
        <f t="shared" si="1608"/>
        <v>516</v>
      </c>
    </row>
    <row r="526" spans="2:62" hidden="1" outlineLevel="2">
      <c r="B526" s="10" t="s">
        <v>221</v>
      </c>
      <c r="C526" s="102">
        <f t="shared" si="1605"/>
        <v>0</v>
      </c>
      <c r="D526" s="102">
        <f t="shared" si="1605"/>
        <v>0</v>
      </c>
      <c r="E526" s="102">
        <f t="shared" si="1605"/>
        <v>25</v>
      </c>
      <c r="F526" s="102">
        <f t="shared" si="1605"/>
        <v>0</v>
      </c>
      <c r="G526" s="102">
        <f t="shared" si="1605"/>
        <v>29</v>
      </c>
      <c r="H526" s="102">
        <f t="shared" si="1605"/>
        <v>31</v>
      </c>
      <c r="I526" s="102">
        <f t="shared" si="1605"/>
        <v>27</v>
      </c>
      <c r="J526" s="102">
        <f t="shared" si="1605"/>
        <v>25</v>
      </c>
      <c r="K526" s="102">
        <f t="shared" si="1605"/>
        <v>0</v>
      </c>
      <c r="L526" s="102">
        <f t="shared" si="1605"/>
        <v>0</v>
      </c>
      <c r="M526" s="102">
        <f t="shared" si="1605"/>
        <v>0</v>
      </c>
      <c r="N526" s="276"/>
      <c r="O526" s="102"/>
      <c r="P526" s="102"/>
      <c r="Q526" s="102"/>
      <c r="R526" s="102"/>
      <c r="S526" s="102"/>
      <c r="T526" s="102"/>
      <c r="U526" s="102"/>
      <c r="V526" s="102"/>
      <c r="W526" s="102"/>
      <c r="X526" s="105"/>
      <c r="Y526" s="278"/>
      <c r="Z526" s="105">
        <v>25</v>
      </c>
      <c r="AA526" s="105">
        <v>27</v>
      </c>
      <c r="AB526" s="278"/>
      <c r="AC526" s="278"/>
      <c r="AD526" s="278"/>
      <c r="AE526" s="278"/>
      <c r="AF526" s="279"/>
      <c r="AG526" s="105">
        <v>30</v>
      </c>
      <c r="AH526" s="105">
        <v>29</v>
      </c>
      <c r="AI526" s="105">
        <f>18+11</f>
        <v>29</v>
      </c>
      <c r="AJ526" s="105">
        <v>31</v>
      </c>
      <c r="AK526" s="105">
        <v>31</v>
      </c>
      <c r="AL526" s="105">
        <v>31</v>
      </c>
      <c r="AM526" s="105">
        <v>25</v>
      </c>
      <c r="AN526" s="105">
        <v>25</v>
      </c>
      <c r="AO526" s="105">
        <v>29</v>
      </c>
      <c r="AP526" s="105">
        <v>27</v>
      </c>
      <c r="AQ526" s="105">
        <v>27</v>
      </c>
      <c r="AR526" s="105">
        <v>25</v>
      </c>
      <c r="AS526" s="105">
        <v>25</v>
      </c>
      <c r="AT526" s="105">
        <v>25</v>
      </c>
      <c r="BJ526" s="116">
        <f t="shared" si="1608"/>
        <v>517</v>
      </c>
    </row>
    <row r="527" spans="2:62" hidden="1" outlineLevel="2">
      <c r="B527" s="10" t="s">
        <v>222</v>
      </c>
      <c r="C527" s="102">
        <f t="shared" si="1605"/>
        <v>0</v>
      </c>
      <c r="D527" s="102">
        <f t="shared" si="1605"/>
        <v>0</v>
      </c>
      <c r="E527" s="102">
        <f t="shared" si="1605"/>
        <v>86</v>
      </c>
      <c r="F527" s="102">
        <f t="shared" si="1605"/>
        <v>151</v>
      </c>
      <c r="G527" s="102">
        <f t="shared" si="1605"/>
        <v>144</v>
      </c>
      <c r="H527" s="102">
        <f t="shared" si="1605"/>
        <v>160</v>
      </c>
      <c r="I527" s="102">
        <f t="shared" si="1605"/>
        <v>159</v>
      </c>
      <c r="J527" s="102">
        <f t="shared" si="1605"/>
        <v>167</v>
      </c>
      <c r="K527" s="102">
        <f t="shared" si="1605"/>
        <v>0</v>
      </c>
      <c r="L527" s="102">
        <f t="shared" si="1605"/>
        <v>0</v>
      </c>
      <c r="M527" s="102">
        <f t="shared" si="1605"/>
        <v>0</v>
      </c>
      <c r="N527" s="276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5">
        <v>93</v>
      </c>
      <c r="Z527" s="280">
        <f>SUM(Z525:Z526)</f>
        <v>86</v>
      </c>
      <c r="AA527" s="280">
        <f>SUM(AA525:AA526)</f>
        <v>105</v>
      </c>
      <c r="AB527" s="105">
        <v>143</v>
      </c>
      <c r="AC527" s="105">
        <v>151</v>
      </c>
      <c r="AD527" s="105">
        <v>151</v>
      </c>
      <c r="AE527" s="105">
        <v>151</v>
      </c>
      <c r="AF527" s="277"/>
      <c r="AG527" s="280">
        <f t="shared" ref="AG527:AL527" si="1609">SUM(AG525:AG526)</f>
        <v>139</v>
      </c>
      <c r="AH527" s="280">
        <f t="shared" si="1609"/>
        <v>144</v>
      </c>
      <c r="AI527" s="280">
        <f t="shared" si="1609"/>
        <v>148</v>
      </c>
      <c r="AJ527" s="280">
        <f t="shared" si="1609"/>
        <v>158</v>
      </c>
      <c r="AK527" s="280">
        <f t="shared" si="1609"/>
        <v>158</v>
      </c>
      <c r="AL527" s="280">
        <f t="shared" si="1609"/>
        <v>160</v>
      </c>
      <c r="AM527" s="280">
        <f t="shared" ref="AM527:AS527" si="1610">SUM(AM525:AM526)</f>
        <v>156</v>
      </c>
      <c r="AN527" s="280">
        <f t="shared" si="1610"/>
        <v>156</v>
      </c>
      <c r="AO527" s="280">
        <f t="shared" si="1610"/>
        <v>162</v>
      </c>
      <c r="AP527" s="280">
        <f t="shared" si="1610"/>
        <v>159</v>
      </c>
      <c r="AQ527" s="280">
        <f t="shared" si="1610"/>
        <v>160</v>
      </c>
      <c r="AR527" s="280">
        <f t="shared" si="1610"/>
        <v>163</v>
      </c>
      <c r="AS527" s="280">
        <f t="shared" si="1610"/>
        <v>164</v>
      </c>
      <c r="AT527" s="280">
        <f t="shared" ref="AT527" si="1611">SUM(AT525:AT526)</f>
        <v>167</v>
      </c>
      <c r="BJ527" s="116">
        <f t="shared" si="1608"/>
        <v>518</v>
      </c>
    </row>
    <row r="528" spans="2:62" hidden="1" outlineLevel="2">
      <c r="B528" s="10" t="s">
        <v>223</v>
      </c>
      <c r="C528" s="219">
        <f>IFERROR(+C527/C524,0)</f>
        <v>0</v>
      </c>
      <c r="D528" s="219">
        <f t="shared" ref="D528:M528" si="1612">IFERROR(+D527/D524,0)</f>
        <v>0</v>
      </c>
      <c r="E528" s="219">
        <f t="shared" si="1612"/>
        <v>0.30714285714285716</v>
      </c>
      <c r="F528" s="219">
        <f t="shared" si="1612"/>
        <v>0.52797202797202802</v>
      </c>
      <c r="G528" s="219">
        <f t="shared" si="1612"/>
        <v>0.56916996047430835</v>
      </c>
      <c r="H528" s="219">
        <f t="shared" si="1612"/>
        <v>0.73059360730593603</v>
      </c>
      <c r="I528" s="219">
        <f t="shared" si="1612"/>
        <v>0.77941176470588236</v>
      </c>
      <c r="J528" s="219">
        <f t="shared" si="1612"/>
        <v>0.79523809523809519</v>
      </c>
      <c r="K528" s="219">
        <f t="shared" si="1612"/>
        <v>0</v>
      </c>
      <c r="L528" s="219">
        <f t="shared" si="1612"/>
        <v>0</v>
      </c>
      <c r="M528" s="219">
        <f t="shared" si="1612"/>
        <v>0</v>
      </c>
      <c r="X528" s="219"/>
      <c r="Y528" s="219">
        <f t="shared" ref="Y528:AE528" si="1613">+Y527/Y524</f>
        <v>0.30293159609120524</v>
      </c>
      <c r="Z528" s="219">
        <f t="shared" si="1613"/>
        <v>0.30714285714285716</v>
      </c>
      <c r="AA528" s="219">
        <f t="shared" si="1613"/>
        <v>0.37634408602150538</v>
      </c>
      <c r="AB528" s="219">
        <f t="shared" si="1613"/>
        <v>0.51254480286738346</v>
      </c>
      <c r="AC528" s="219">
        <f t="shared" si="1613"/>
        <v>0.54316546762589923</v>
      </c>
      <c r="AD528" s="219">
        <f t="shared" si="1613"/>
        <v>0.52797202797202802</v>
      </c>
      <c r="AE528" s="219">
        <f t="shared" si="1613"/>
        <v>0.52797202797202802</v>
      </c>
      <c r="AF528" s="220"/>
      <c r="AG528" s="219">
        <f t="shared" ref="AG528:AL528" si="1614">+AG527/AG524</f>
        <v>0.50729927007299269</v>
      </c>
      <c r="AH528" s="219">
        <f t="shared" si="1614"/>
        <v>0.56916996047430835</v>
      </c>
      <c r="AI528" s="219">
        <f t="shared" si="1614"/>
        <v>0.578125</v>
      </c>
      <c r="AJ528" s="219">
        <f t="shared" si="1614"/>
        <v>0.61478599221789887</v>
      </c>
      <c r="AK528" s="219">
        <f t="shared" si="1614"/>
        <v>0.61478599221789887</v>
      </c>
      <c r="AL528" s="219">
        <f t="shared" si="1614"/>
        <v>0.73059360730593603</v>
      </c>
      <c r="AM528" s="219">
        <f t="shared" ref="AM528:AS528" si="1615">+AM527/AM524</f>
        <v>0.70270270270270274</v>
      </c>
      <c r="AN528" s="219">
        <f t="shared" si="1615"/>
        <v>0.70270270270270274</v>
      </c>
      <c r="AO528" s="219">
        <f t="shared" si="1615"/>
        <v>0.7232142857142857</v>
      </c>
      <c r="AP528" s="219">
        <f t="shared" si="1615"/>
        <v>0.77941176470588236</v>
      </c>
      <c r="AQ528" s="219">
        <f t="shared" si="1615"/>
        <v>0.78048780487804881</v>
      </c>
      <c r="AR528" s="219">
        <f t="shared" si="1615"/>
        <v>0.7874396135265701</v>
      </c>
      <c r="AS528" s="219">
        <f t="shared" si="1615"/>
        <v>0.78846153846153844</v>
      </c>
      <c r="AT528" s="219">
        <f t="shared" ref="AT528" si="1616">+AT527/AT524</f>
        <v>0.79523809523809519</v>
      </c>
      <c r="BJ528" s="116">
        <f t="shared" si="1608"/>
        <v>519</v>
      </c>
    </row>
    <row r="529" spans="2:62" hidden="1" outlineLevel="2">
      <c r="B529" s="11"/>
      <c r="X529" s="110"/>
      <c r="Y529" s="110"/>
      <c r="Z529" s="110"/>
      <c r="AA529" s="110"/>
      <c r="AB529" s="110"/>
      <c r="AC529" s="110"/>
      <c r="AD529" s="110"/>
      <c r="AE529" s="110"/>
      <c r="AF529" s="110"/>
      <c r="AG529" s="110"/>
      <c r="AH529" s="110"/>
      <c r="AI529" s="110"/>
      <c r="AJ529" s="110"/>
      <c r="AK529" s="110"/>
      <c r="AL529" s="110"/>
      <c r="AM529" s="110"/>
      <c r="AN529" s="110"/>
      <c r="AO529" s="110"/>
      <c r="AP529" s="110"/>
      <c r="AQ529" s="110"/>
      <c r="AR529" s="110"/>
      <c r="AS529" s="110"/>
      <c r="AT529" s="110"/>
      <c r="BJ529" s="116">
        <f t="shared" si="1608"/>
        <v>520</v>
      </c>
    </row>
    <row r="530" spans="2:62" hidden="1" outlineLevel="2">
      <c r="B530" s="11" t="s">
        <v>224</v>
      </c>
      <c r="X530" s="110"/>
      <c r="Y530" s="110"/>
      <c r="Z530" s="110"/>
      <c r="AA530" s="110"/>
      <c r="AB530" s="110"/>
      <c r="AC530" s="110"/>
      <c r="AD530" s="110"/>
      <c r="AE530" s="110"/>
      <c r="AF530" s="110"/>
      <c r="AG530" s="110"/>
      <c r="AH530" s="110"/>
      <c r="AI530" s="110"/>
      <c r="AJ530" s="110"/>
      <c r="AK530" s="110"/>
      <c r="AL530" s="110"/>
      <c r="AM530" s="110"/>
      <c r="AN530" s="110"/>
      <c r="AO530" s="110"/>
      <c r="AP530" s="110"/>
      <c r="AQ530" s="110"/>
      <c r="AR530" s="110"/>
      <c r="AS530" s="110"/>
      <c r="AT530" s="110"/>
      <c r="BJ530" s="116">
        <f t="shared" si="1608"/>
        <v>521</v>
      </c>
    </row>
    <row r="531" spans="2:62" hidden="1" outlineLevel="2">
      <c r="B531" s="10" t="s">
        <v>44</v>
      </c>
      <c r="C531" s="50">
        <f t="shared" ref="C531:M535" si="1617">INDEX($O531:$BG531,1,MATCH(C$4,$O$4:$BG$4,0))</f>
        <v>0</v>
      </c>
      <c r="D531" s="50">
        <f t="shared" si="1617"/>
        <v>0</v>
      </c>
      <c r="E531" s="50">
        <f t="shared" si="1617"/>
        <v>16</v>
      </c>
      <c r="F531" s="50">
        <f t="shared" si="1617"/>
        <v>17</v>
      </c>
      <c r="G531" s="50">
        <f t="shared" si="1617"/>
        <v>14</v>
      </c>
      <c r="H531" s="50">
        <f t="shared" si="1617"/>
        <v>15</v>
      </c>
      <c r="I531" s="50">
        <f t="shared" si="1617"/>
        <v>13</v>
      </c>
      <c r="J531" s="50">
        <f t="shared" si="1617"/>
        <v>12</v>
      </c>
      <c r="K531" s="50">
        <f t="shared" si="1617"/>
        <v>0</v>
      </c>
      <c r="L531" s="50">
        <f t="shared" si="1617"/>
        <v>0</v>
      </c>
      <c r="M531" s="50">
        <f t="shared" si="1617"/>
        <v>0</v>
      </c>
      <c r="X531" s="99">
        <v>26</v>
      </c>
      <c r="Y531" s="99">
        <v>21</v>
      </c>
      <c r="Z531" s="99">
        <v>16</v>
      </c>
      <c r="AA531" s="99">
        <v>16</v>
      </c>
      <c r="AB531" s="99">
        <v>15</v>
      </c>
      <c r="AC531" s="99">
        <v>17</v>
      </c>
      <c r="AD531" s="99">
        <v>17</v>
      </c>
      <c r="AE531" s="99">
        <v>17</v>
      </c>
      <c r="AF531" s="217"/>
      <c r="AG531" s="99">
        <v>17</v>
      </c>
      <c r="AH531" s="99">
        <v>14</v>
      </c>
      <c r="AI531" s="99">
        <v>14</v>
      </c>
      <c r="AJ531" s="99">
        <v>14</v>
      </c>
      <c r="AK531" s="99">
        <v>15</v>
      </c>
      <c r="AL531" s="99">
        <v>15</v>
      </c>
      <c r="AM531" s="99">
        <v>15</v>
      </c>
      <c r="AN531" s="99">
        <v>15</v>
      </c>
      <c r="AO531" s="99">
        <v>15</v>
      </c>
      <c r="AP531" s="99">
        <v>13</v>
      </c>
      <c r="AQ531" s="99">
        <v>13</v>
      </c>
      <c r="AR531" s="99">
        <v>13</v>
      </c>
      <c r="AS531" s="99">
        <v>13</v>
      </c>
      <c r="AT531" s="99">
        <v>12</v>
      </c>
      <c r="BJ531" s="116">
        <f t="shared" si="1608"/>
        <v>522</v>
      </c>
    </row>
    <row r="532" spans="2:62" hidden="1" outlineLevel="2">
      <c r="B532" s="10" t="s">
        <v>217</v>
      </c>
      <c r="C532" s="50">
        <f t="shared" si="1617"/>
        <v>0</v>
      </c>
      <c r="D532" s="50">
        <f t="shared" si="1617"/>
        <v>0</v>
      </c>
      <c r="E532" s="50">
        <f t="shared" si="1617"/>
        <v>21</v>
      </c>
      <c r="F532" s="50">
        <f t="shared" si="1617"/>
        <v>19</v>
      </c>
      <c r="G532" s="50">
        <f t="shared" si="1617"/>
        <v>18</v>
      </c>
      <c r="H532" s="50">
        <f t="shared" si="1617"/>
        <v>18</v>
      </c>
      <c r="I532" s="50">
        <f t="shared" si="1617"/>
        <v>15</v>
      </c>
      <c r="J532" s="50">
        <f t="shared" si="1617"/>
        <v>14</v>
      </c>
      <c r="K532" s="50">
        <f t="shared" si="1617"/>
        <v>0</v>
      </c>
      <c r="L532" s="50">
        <f t="shared" si="1617"/>
        <v>0</v>
      </c>
      <c r="M532" s="50">
        <f t="shared" si="1617"/>
        <v>0</v>
      </c>
      <c r="X532" s="99">
        <v>21</v>
      </c>
      <c r="Y532" s="99">
        <v>20</v>
      </c>
      <c r="Z532" s="99">
        <v>21</v>
      </c>
      <c r="AA532" s="99">
        <v>21</v>
      </c>
      <c r="AB532" s="99">
        <v>21</v>
      </c>
      <c r="AC532" s="99">
        <v>20</v>
      </c>
      <c r="AD532" s="99">
        <v>19</v>
      </c>
      <c r="AE532" s="99">
        <v>19</v>
      </c>
      <c r="AF532" s="217"/>
      <c r="AG532" s="99">
        <v>19</v>
      </c>
      <c r="AH532" s="99">
        <v>18</v>
      </c>
      <c r="AI532" s="99">
        <v>18</v>
      </c>
      <c r="AJ532" s="99">
        <v>18</v>
      </c>
      <c r="AK532" s="99">
        <v>18</v>
      </c>
      <c r="AL532" s="99">
        <v>18</v>
      </c>
      <c r="AM532" s="99">
        <v>18</v>
      </c>
      <c r="AN532" s="99">
        <v>18</v>
      </c>
      <c r="AO532" s="99">
        <v>18</v>
      </c>
      <c r="AP532" s="99">
        <v>15</v>
      </c>
      <c r="AQ532" s="99">
        <v>15</v>
      </c>
      <c r="AR532" s="99">
        <v>15</v>
      </c>
      <c r="AS532" s="99">
        <v>15</v>
      </c>
      <c r="AT532" s="99">
        <v>14</v>
      </c>
      <c r="BJ532" s="116">
        <f t="shared" si="1608"/>
        <v>523</v>
      </c>
    </row>
    <row r="533" spans="2:62" hidden="1" outlineLevel="2">
      <c r="B533" s="10" t="s">
        <v>218</v>
      </c>
      <c r="C533" s="50">
        <f t="shared" si="1617"/>
        <v>0</v>
      </c>
      <c r="D533" s="50">
        <f t="shared" si="1617"/>
        <v>0</v>
      </c>
      <c r="E533" s="50">
        <f t="shared" si="1617"/>
        <v>29</v>
      </c>
      <c r="F533" s="50">
        <f t="shared" si="1617"/>
        <v>28</v>
      </c>
      <c r="G533" s="50">
        <f t="shared" si="1617"/>
        <v>25</v>
      </c>
      <c r="H533" s="50">
        <f t="shared" si="1617"/>
        <v>25</v>
      </c>
      <c r="I533" s="50">
        <f t="shared" si="1617"/>
        <v>19</v>
      </c>
      <c r="J533" s="50">
        <f t="shared" si="1617"/>
        <v>16</v>
      </c>
      <c r="K533" s="50">
        <f t="shared" si="1617"/>
        <v>0</v>
      </c>
      <c r="L533" s="50">
        <f t="shared" si="1617"/>
        <v>0</v>
      </c>
      <c r="M533" s="50">
        <f t="shared" si="1617"/>
        <v>0</v>
      </c>
      <c r="X533" s="99">
        <v>33</v>
      </c>
      <c r="Y533" s="99">
        <v>33</v>
      </c>
      <c r="Z533" s="99">
        <v>29</v>
      </c>
      <c r="AA533" s="99">
        <v>29</v>
      </c>
      <c r="AB533" s="99">
        <v>29</v>
      </c>
      <c r="AC533" s="99">
        <v>29</v>
      </c>
      <c r="AD533" s="99">
        <v>28</v>
      </c>
      <c r="AE533" s="99">
        <v>28</v>
      </c>
      <c r="AF533" s="217"/>
      <c r="AG533" s="99">
        <v>28</v>
      </c>
      <c r="AH533" s="99">
        <v>25</v>
      </c>
      <c r="AI533" s="99">
        <v>25</v>
      </c>
      <c r="AJ533" s="99">
        <v>25</v>
      </c>
      <c r="AK533" s="99">
        <v>25</v>
      </c>
      <c r="AL533" s="99">
        <v>25</v>
      </c>
      <c r="AM533" s="99">
        <v>21</v>
      </c>
      <c r="AN533" s="99">
        <v>21</v>
      </c>
      <c r="AO533" s="99">
        <v>21</v>
      </c>
      <c r="AP533" s="99">
        <v>19</v>
      </c>
      <c r="AQ533" s="99">
        <v>19</v>
      </c>
      <c r="AR533" s="99">
        <v>19</v>
      </c>
      <c r="AS533" s="99">
        <v>19</v>
      </c>
      <c r="AT533" s="99">
        <v>16</v>
      </c>
      <c r="BJ533" s="116">
        <f t="shared" si="1608"/>
        <v>524</v>
      </c>
    </row>
    <row r="534" spans="2:62" hidden="1" outlineLevel="2">
      <c r="B534" s="10" t="s">
        <v>219</v>
      </c>
      <c r="C534" s="50">
        <f t="shared" si="1617"/>
        <v>0</v>
      </c>
      <c r="D534" s="50">
        <f t="shared" si="1617"/>
        <v>0</v>
      </c>
      <c r="E534" s="50">
        <f t="shared" si="1617"/>
        <v>66</v>
      </c>
      <c r="F534" s="50">
        <f t="shared" si="1617"/>
        <v>64</v>
      </c>
      <c r="G534" s="50">
        <f t="shared" si="1617"/>
        <v>57</v>
      </c>
      <c r="H534" s="50">
        <f t="shared" si="1617"/>
        <v>58</v>
      </c>
      <c r="I534" s="50">
        <f t="shared" si="1617"/>
        <v>47</v>
      </c>
      <c r="J534" s="50">
        <f t="shared" si="1617"/>
        <v>42</v>
      </c>
      <c r="K534" s="50">
        <f t="shared" si="1617"/>
        <v>0</v>
      </c>
      <c r="L534" s="50">
        <f t="shared" si="1617"/>
        <v>0</v>
      </c>
      <c r="M534" s="50">
        <f t="shared" si="1617"/>
        <v>0</v>
      </c>
      <c r="X534" s="98">
        <f t="shared" ref="X534:AE534" si="1618">SUM(X531:X533)</f>
        <v>80</v>
      </c>
      <c r="Y534" s="98">
        <f t="shared" si="1618"/>
        <v>74</v>
      </c>
      <c r="Z534" s="98">
        <f t="shared" si="1618"/>
        <v>66</v>
      </c>
      <c r="AA534" s="98">
        <f t="shared" si="1618"/>
        <v>66</v>
      </c>
      <c r="AB534" s="98">
        <f t="shared" si="1618"/>
        <v>65</v>
      </c>
      <c r="AC534" s="98">
        <f t="shared" si="1618"/>
        <v>66</v>
      </c>
      <c r="AD534" s="98">
        <f t="shared" si="1618"/>
        <v>64</v>
      </c>
      <c r="AE534" s="98">
        <f t="shared" si="1618"/>
        <v>64</v>
      </c>
      <c r="AF534" s="218"/>
      <c r="AG534" s="98">
        <f t="shared" ref="AG534:AM534" si="1619">SUM(AG531:AG533)</f>
        <v>64</v>
      </c>
      <c r="AH534" s="98">
        <f t="shared" si="1619"/>
        <v>57</v>
      </c>
      <c r="AI534" s="98">
        <f t="shared" si="1619"/>
        <v>57</v>
      </c>
      <c r="AJ534" s="98">
        <f t="shared" si="1619"/>
        <v>57</v>
      </c>
      <c r="AK534" s="98">
        <f t="shared" si="1619"/>
        <v>58</v>
      </c>
      <c r="AL534" s="98">
        <f t="shared" si="1619"/>
        <v>58</v>
      </c>
      <c r="AM534" s="98">
        <f t="shared" si="1619"/>
        <v>54</v>
      </c>
      <c r="AN534" s="98">
        <f t="shared" ref="AN534:AT534" si="1620">SUM(AN531:AN533)</f>
        <v>54</v>
      </c>
      <c r="AO534" s="98">
        <f t="shared" si="1620"/>
        <v>54</v>
      </c>
      <c r="AP534" s="98">
        <f t="shared" si="1620"/>
        <v>47</v>
      </c>
      <c r="AQ534" s="98">
        <f t="shared" si="1620"/>
        <v>47</v>
      </c>
      <c r="AR534" s="98">
        <f t="shared" si="1620"/>
        <v>47</v>
      </c>
      <c r="AS534" s="98">
        <f t="shared" si="1620"/>
        <v>47</v>
      </c>
      <c r="AT534" s="98">
        <f t="shared" si="1620"/>
        <v>42</v>
      </c>
      <c r="BJ534" s="116">
        <f t="shared" si="1608"/>
        <v>525</v>
      </c>
    </row>
    <row r="535" spans="2:62" hidden="1" outlineLevel="2">
      <c r="B535" s="10" t="s">
        <v>222</v>
      </c>
      <c r="C535" s="50">
        <f t="shared" si="1617"/>
        <v>0</v>
      </c>
      <c r="D535" s="50">
        <f t="shared" si="1617"/>
        <v>0</v>
      </c>
      <c r="E535" s="50">
        <f t="shared" si="1617"/>
        <v>20</v>
      </c>
      <c r="F535" s="50">
        <f t="shared" si="1617"/>
        <v>20</v>
      </c>
      <c r="G535" s="50">
        <f t="shared" si="1617"/>
        <v>0</v>
      </c>
      <c r="H535" s="50">
        <f t="shared" si="1617"/>
        <v>0</v>
      </c>
      <c r="I535" s="50">
        <f t="shared" si="1617"/>
        <v>0</v>
      </c>
      <c r="J535" s="50">
        <f t="shared" si="1617"/>
        <v>0</v>
      </c>
      <c r="K535" s="50">
        <f t="shared" si="1617"/>
        <v>0</v>
      </c>
      <c r="L535" s="50">
        <f t="shared" si="1617"/>
        <v>0</v>
      </c>
      <c r="M535" s="50">
        <f t="shared" si="1617"/>
        <v>0</v>
      </c>
      <c r="X535" s="98"/>
      <c r="Y535" s="99">
        <v>17</v>
      </c>
      <c r="Z535" s="99">
        <v>20</v>
      </c>
      <c r="AA535" s="99">
        <v>20</v>
      </c>
      <c r="AB535" s="99">
        <v>20</v>
      </c>
      <c r="AC535" s="99">
        <v>20</v>
      </c>
      <c r="AD535" s="99">
        <v>20</v>
      </c>
      <c r="AE535" s="99">
        <v>20</v>
      </c>
      <c r="AF535" s="217"/>
      <c r="AG535" s="217"/>
      <c r="AH535" s="217"/>
      <c r="AI535" s="217"/>
      <c r="AJ535" s="217"/>
      <c r="AK535" s="217"/>
      <c r="AL535" s="217"/>
      <c r="AM535" s="217"/>
      <c r="AN535" s="217"/>
      <c r="AO535" s="217"/>
      <c r="AP535" s="217"/>
      <c r="AQ535" s="217"/>
      <c r="AR535" s="217"/>
      <c r="AS535" s="217"/>
      <c r="AT535" s="217"/>
      <c r="BJ535" s="116">
        <f t="shared" si="1608"/>
        <v>526</v>
      </c>
    </row>
    <row r="536" spans="2:62" hidden="1" outlineLevel="2">
      <c r="B536" s="10" t="s">
        <v>223</v>
      </c>
      <c r="C536" s="219">
        <f>IFERROR(+C535/C534,0)</f>
        <v>0</v>
      </c>
      <c r="D536" s="219">
        <f t="shared" ref="D536:M536" si="1621">IFERROR(+D535/D534,0)</f>
        <v>0</v>
      </c>
      <c r="E536" s="219">
        <f t="shared" si="1621"/>
        <v>0.30303030303030304</v>
      </c>
      <c r="F536" s="219">
        <f t="shared" si="1621"/>
        <v>0.3125</v>
      </c>
      <c r="G536" s="219">
        <f t="shared" si="1621"/>
        <v>0</v>
      </c>
      <c r="H536" s="219">
        <f t="shared" si="1621"/>
        <v>0</v>
      </c>
      <c r="I536" s="219">
        <f t="shared" si="1621"/>
        <v>0</v>
      </c>
      <c r="J536" s="219">
        <f t="shared" si="1621"/>
        <v>0</v>
      </c>
      <c r="K536" s="219">
        <f t="shared" si="1621"/>
        <v>0</v>
      </c>
      <c r="L536" s="219">
        <f t="shared" si="1621"/>
        <v>0</v>
      </c>
      <c r="M536" s="219">
        <f t="shared" si="1621"/>
        <v>0</v>
      </c>
      <c r="X536" s="219">
        <f t="shared" ref="X536:AE536" si="1622">+X535/X534</f>
        <v>0</v>
      </c>
      <c r="Y536" s="219">
        <f t="shared" si="1622"/>
        <v>0.22972972972972974</v>
      </c>
      <c r="Z536" s="219">
        <f t="shared" si="1622"/>
        <v>0.30303030303030304</v>
      </c>
      <c r="AA536" s="219">
        <f t="shared" si="1622"/>
        <v>0.30303030303030304</v>
      </c>
      <c r="AB536" s="219">
        <f t="shared" si="1622"/>
        <v>0.30769230769230771</v>
      </c>
      <c r="AC536" s="219">
        <f t="shared" si="1622"/>
        <v>0.30303030303030304</v>
      </c>
      <c r="AD536" s="219">
        <f t="shared" si="1622"/>
        <v>0.3125</v>
      </c>
      <c r="AE536" s="219">
        <f t="shared" si="1622"/>
        <v>0.3125</v>
      </c>
      <c r="AF536" s="220"/>
      <c r="AG536" s="220"/>
      <c r="AH536" s="220"/>
      <c r="AI536" s="220"/>
      <c r="AJ536" s="220"/>
      <c r="AK536" s="220"/>
      <c r="AL536" s="220"/>
      <c r="AM536" s="220"/>
      <c r="AN536" s="220"/>
      <c r="AO536" s="220"/>
      <c r="AP536" s="220"/>
      <c r="AQ536" s="220"/>
      <c r="AR536" s="220"/>
      <c r="AS536" s="220"/>
      <c r="AT536" s="220"/>
      <c r="BJ536" s="116">
        <f t="shared" si="1608"/>
        <v>527</v>
      </c>
    </row>
    <row r="537" spans="2:62" hidden="1" outlineLevel="2">
      <c r="B537" s="11"/>
      <c r="X537" s="110"/>
      <c r="Y537" s="110"/>
      <c r="Z537" s="110"/>
      <c r="AA537" s="110"/>
      <c r="AB537" s="110"/>
      <c r="AC537" s="110"/>
      <c r="AD537" s="110"/>
      <c r="AE537" s="110"/>
      <c r="AF537" s="110"/>
      <c r="AG537" s="110"/>
      <c r="AH537" s="110"/>
      <c r="AI537" s="110"/>
      <c r="AJ537" s="110"/>
      <c r="AK537" s="110"/>
      <c r="AL537" s="110"/>
      <c r="AM537" s="110"/>
      <c r="AN537" s="110"/>
      <c r="AO537" s="110"/>
      <c r="AP537" s="110"/>
      <c r="AQ537" s="110"/>
      <c r="AR537" s="110"/>
      <c r="AS537" s="110"/>
      <c r="AT537" s="110"/>
      <c r="BJ537" s="116">
        <f t="shared" si="1608"/>
        <v>528</v>
      </c>
    </row>
    <row r="538" spans="2:62" hidden="1" outlineLevel="2">
      <c r="B538" s="11" t="s">
        <v>225</v>
      </c>
      <c r="X538" s="110"/>
      <c r="Y538" s="110"/>
      <c r="Z538" s="110"/>
      <c r="AA538" s="110"/>
      <c r="AB538" s="110"/>
      <c r="AC538" s="110"/>
      <c r="AD538" s="110"/>
      <c r="AE538" s="110"/>
      <c r="AF538" s="110"/>
      <c r="AG538" s="110"/>
      <c r="AH538" s="110"/>
      <c r="AI538" s="110"/>
      <c r="AJ538" s="110"/>
      <c r="AK538" s="110"/>
      <c r="AL538" s="110"/>
      <c r="AM538" s="110"/>
      <c r="AN538" s="110"/>
      <c r="AO538" s="110"/>
      <c r="AP538" s="110"/>
      <c r="AQ538" s="110"/>
      <c r="AR538" s="110"/>
      <c r="AS538" s="110"/>
      <c r="AT538" s="110"/>
      <c r="BJ538" s="116">
        <f t="shared" si="1608"/>
        <v>529</v>
      </c>
    </row>
    <row r="539" spans="2:62" hidden="1" outlineLevel="2">
      <c r="B539" s="10" t="s">
        <v>44</v>
      </c>
      <c r="C539" s="50">
        <f t="shared" ref="C539:M543" si="1623">INDEX($O539:$BG539,1,MATCH(C$4,$O$4:$BG$4,0))</f>
        <v>0</v>
      </c>
      <c r="D539" s="50">
        <f t="shared" si="1623"/>
        <v>0</v>
      </c>
      <c r="E539" s="50">
        <f t="shared" si="1623"/>
        <v>31</v>
      </c>
      <c r="F539" s="50">
        <f t="shared" si="1623"/>
        <v>35</v>
      </c>
      <c r="G539" s="50">
        <f t="shared" si="1623"/>
        <v>0</v>
      </c>
      <c r="H539" s="50">
        <f t="shared" si="1623"/>
        <v>41</v>
      </c>
      <c r="I539" s="50">
        <f t="shared" si="1623"/>
        <v>39</v>
      </c>
      <c r="J539" s="50">
        <f t="shared" si="1623"/>
        <v>42</v>
      </c>
      <c r="K539" s="50">
        <f t="shared" si="1623"/>
        <v>0</v>
      </c>
      <c r="L539" s="50">
        <f t="shared" si="1623"/>
        <v>0</v>
      </c>
      <c r="M539" s="50">
        <f t="shared" si="1623"/>
        <v>0</v>
      </c>
      <c r="X539" s="99">
        <v>34</v>
      </c>
      <c r="Y539" s="99">
        <v>34</v>
      </c>
      <c r="Z539" s="99">
        <v>31</v>
      </c>
      <c r="AA539" s="99">
        <v>31</v>
      </c>
      <c r="AB539" s="99">
        <v>33</v>
      </c>
      <c r="AC539" s="99">
        <v>36</v>
      </c>
      <c r="AD539" s="99">
        <v>35</v>
      </c>
      <c r="AE539" s="99">
        <v>37</v>
      </c>
      <c r="AF539" s="217"/>
      <c r="AG539" s="99">
        <v>40</v>
      </c>
      <c r="AH539" s="217"/>
      <c r="AI539" s="99">
        <v>41</v>
      </c>
      <c r="AJ539" s="99">
        <v>41</v>
      </c>
      <c r="AK539" s="99">
        <v>44</v>
      </c>
      <c r="AL539" s="99">
        <v>41</v>
      </c>
      <c r="AM539" s="99">
        <v>40</v>
      </c>
      <c r="AN539" s="99">
        <v>40</v>
      </c>
      <c r="AO539" s="99">
        <v>40</v>
      </c>
      <c r="AP539" s="99">
        <v>39</v>
      </c>
      <c r="AQ539" s="99">
        <v>39</v>
      </c>
      <c r="AR539" s="99">
        <v>38</v>
      </c>
      <c r="AS539" s="99">
        <v>38</v>
      </c>
      <c r="AT539" s="99">
        <v>42</v>
      </c>
      <c r="BJ539" s="116">
        <f t="shared" si="1608"/>
        <v>530</v>
      </c>
    </row>
    <row r="540" spans="2:62" hidden="1" outlineLevel="2">
      <c r="B540" s="10" t="s">
        <v>217</v>
      </c>
      <c r="C540" s="50">
        <f t="shared" si="1623"/>
        <v>0</v>
      </c>
      <c r="D540" s="50">
        <f t="shared" si="1623"/>
        <v>0</v>
      </c>
      <c r="E540" s="50">
        <f t="shared" si="1623"/>
        <v>64</v>
      </c>
      <c r="F540" s="50">
        <f t="shared" si="1623"/>
        <v>73</v>
      </c>
      <c r="G540" s="50">
        <f t="shared" si="1623"/>
        <v>0</v>
      </c>
      <c r="H540" s="50">
        <f t="shared" si="1623"/>
        <v>70</v>
      </c>
      <c r="I540" s="50">
        <f t="shared" si="1623"/>
        <v>76</v>
      </c>
      <c r="J540" s="50">
        <f t="shared" si="1623"/>
        <v>78</v>
      </c>
      <c r="K540" s="50">
        <f t="shared" si="1623"/>
        <v>0</v>
      </c>
      <c r="L540" s="50">
        <f t="shared" si="1623"/>
        <v>0</v>
      </c>
      <c r="M540" s="50">
        <f t="shared" si="1623"/>
        <v>0</v>
      </c>
      <c r="X540" s="99">
        <v>63</v>
      </c>
      <c r="Y540" s="99">
        <v>63</v>
      </c>
      <c r="Z540" s="99">
        <v>64</v>
      </c>
      <c r="AA540" s="99">
        <v>64</v>
      </c>
      <c r="AB540" s="99">
        <v>65</v>
      </c>
      <c r="AC540" s="99">
        <v>73</v>
      </c>
      <c r="AD540" s="99">
        <v>73</v>
      </c>
      <c r="AE540" s="99">
        <v>71</v>
      </c>
      <c r="AF540" s="217"/>
      <c r="AG540" s="99">
        <v>70</v>
      </c>
      <c r="AH540" s="217"/>
      <c r="AI540" s="99">
        <v>73</v>
      </c>
      <c r="AJ540" s="99">
        <v>73</v>
      </c>
      <c r="AK540" s="99">
        <v>71</v>
      </c>
      <c r="AL540" s="99">
        <v>70</v>
      </c>
      <c r="AM540" s="99">
        <v>75</v>
      </c>
      <c r="AN540" s="99">
        <v>75</v>
      </c>
      <c r="AO540" s="99">
        <v>75</v>
      </c>
      <c r="AP540" s="99">
        <v>76</v>
      </c>
      <c r="AQ540" s="99">
        <v>78</v>
      </c>
      <c r="AR540" s="99">
        <v>79</v>
      </c>
      <c r="AS540" s="99">
        <v>79</v>
      </c>
      <c r="AT540" s="99">
        <v>78</v>
      </c>
      <c r="BJ540" s="116">
        <f t="shared" si="1608"/>
        <v>531</v>
      </c>
    </row>
    <row r="541" spans="2:62" hidden="1" outlineLevel="2">
      <c r="B541" s="10" t="s">
        <v>218</v>
      </c>
      <c r="C541" s="50">
        <f t="shared" si="1623"/>
        <v>0</v>
      </c>
      <c r="D541" s="50">
        <f t="shared" si="1623"/>
        <v>0</v>
      </c>
      <c r="E541" s="50">
        <f t="shared" si="1623"/>
        <v>31</v>
      </c>
      <c r="F541" s="50">
        <f t="shared" si="1623"/>
        <v>26</v>
      </c>
      <c r="G541" s="50">
        <f t="shared" si="1623"/>
        <v>0</v>
      </c>
      <c r="H541" s="50">
        <f t="shared" si="1623"/>
        <v>26</v>
      </c>
      <c r="I541" s="50">
        <f t="shared" si="1623"/>
        <v>20</v>
      </c>
      <c r="J541" s="50">
        <f t="shared" si="1623"/>
        <v>19</v>
      </c>
      <c r="K541" s="50">
        <f t="shared" si="1623"/>
        <v>0</v>
      </c>
      <c r="L541" s="50">
        <f t="shared" si="1623"/>
        <v>0</v>
      </c>
      <c r="M541" s="50">
        <f t="shared" si="1623"/>
        <v>0</v>
      </c>
      <c r="X541" s="99">
        <v>34</v>
      </c>
      <c r="Y541" s="99">
        <v>34</v>
      </c>
      <c r="Z541" s="99">
        <v>31</v>
      </c>
      <c r="AA541" s="99">
        <v>31</v>
      </c>
      <c r="AB541" s="99">
        <v>28</v>
      </c>
      <c r="AC541" s="99">
        <v>28</v>
      </c>
      <c r="AD541" s="99">
        <v>26</v>
      </c>
      <c r="AE541" s="99">
        <v>28</v>
      </c>
      <c r="AF541" s="217"/>
      <c r="AG541" s="99">
        <v>25</v>
      </c>
      <c r="AH541" s="217"/>
      <c r="AI541" s="230">
        <v>26</v>
      </c>
      <c r="AJ541" s="230">
        <v>26</v>
      </c>
      <c r="AK541" s="230">
        <v>26</v>
      </c>
      <c r="AL541" s="99">
        <v>26</v>
      </c>
      <c r="AM541" s="99">
        <v>21</v>
      </c>
      <c r="AN541" s="99">
        <v>21</v>
      </c>
      <c r="AO541" s="99">
        <v>21</v>
      </c>
      <c r="AP541" s="99">
        <v>20</v>
      </c>
      <c r="AQ541" s="99">
        <v>20</v>
      </c>
      <c r="AR541" s="99">
        <v>19</v>
      </c>
      <c r="AS541" s="99">
        <v>19</v>
      </c>
      <c r="AT541" s="99">
        <v>19</v>
      </c>
      <c r="BJ541" s="116">
        <f t="shared" si="1608"/>
        <v>532</v>
      </c>
    </row>
    <row r="542" spans="2:62" hidden="1" outlineLevel="2">
      <c r="B542" s="10" t="s">
        <v>219</v>
      </c>
      <c r="C542" s="50">
        <f t="shared" si="1623"/>
        <v>0</v>
      </c>
      <c r="D542" s="50">
        <f t="shared" si="1623"/>
        <v>0</v>
      </c>
      <c r="E542" s="50">
        <f t="shared" si="1623"/>
        <v>126</v>
      </c>
      <c r="F542" s="50">
        <f t="shared" si="1623"/>
        <v>134</v>
      </c>
      <c r="G542" s="50">
        <f t="shared" si="1623"/>
        <v>0</v>
      </c>
      <c r="H542" s="50">
        <f t="shared" si="1623"/>
        <v>137</v>
      </c>
      <c r="I542" s="50">
        <f t="shared" si="1623"/>
        <v>135</v>
      </c>
      <c r="J542" s="50">
        <f t="shared" si="1623"/>
        <v>139</v>
      </c>
      <c r="K542" s="50">
        <f t="shared" si="1623"/>
        <v>0</v>
      </c>
      <c r="L542" s="50">
        <f t="shared" si="1623"/>
        <v>0</v>
      </c>
      <c r="M542" s="50">
        <f t="shared" si="1623"/>
        <v>0</v>
      </c>
      <c r="X542" s="98">
        <f t="shared" ref="X542:AE542" si="1624">SUM(X539:X541)</f>
        <v>131</v>
      </c>
      <c r="Y542" s="98">
        <f t="shared" si="1624"/>
        <v>131</v>
      </c>
      <c r="Z542" s="98">
        <f t="shared" si="1624"/>
        <v>126</v>
      </c>
      <c r="AA542" s="98">
        <f t="shared" si="1624"/>
        <v>126</v>
      </c>
      <c r="AB542" s="98">
        <f t="shared" si="1624"/>
        <v>126</v>
      </c>
      <c r="AC542" s="98">
        <f t="shared" si="1624"/>
        <v>137</v>
      </c>
      <c r="AD542" s="98">
        <f t="shared" si="1624"/>
        <v>134</v>
      </c>
      <c r="AE542" s="98">
        <f t="shared" si="1624"/>
        <v>136</v>
      </c>
      <c r="AF542" s="218"/>
      <c r="AG542" s="98">
        <f>SUM(AG539:AG541)</f>
        <v>135</v>
      </c>
      <c r="AH542" s="218"/>
      <c r="AI542" s="98">
        <f t="shared" ref="AI542:AR542" si="1625">SUM(AI539:AI541)</f>
        <v>140</v>
      </c>
      <c r="AJ542" s="98">
        <f t="shared" si="1625"/>
        <v>140</v>
      </c>
      <c r="AK542" s="98">
        <f t="shared" si="1625"/>
        <v>141</v>
      </c>
      <c r="AL542" s="98">
        <f t="shared" si="1625"/>
        <v>137</v>
      </c>
      <c r="AM542" s="98">
        <f t="shared" si="1625"/>
        <v>136</v>
      </c>
      <c r="AN542" s="98">
        <f t="shared" si="1625"/>
        <v>136</v>
      </c>
      <c r="AO542" s="98">
        <f t="shared" si="1625"/>
        <v>136</v>
      </c>
      <c r="AP542" s="98">
        <f t="shared" si="1625"/>
        <v>135</v>
      </c>
      <c r="AQ542" s="98">
        <f t="shared" si="1625"/>
        <v>137</v>
      </c>
      <c r="AR542" s="98">
        <f t="shared" si="1625"/>
        <v>136</v>
      </c>
      <c r="AS542" s="98">
        <f t="shared" ref="AS542:AT542" si="1626">SUM(AS539:AS541)</f>
        <v>136</v>
      </c>
      <c r="AT542" s="98">
        <f t="shared" si="1626"/>
        <v>139</v>
      </c>
      <c r="BJ542" s="116">
        <f t="shared" si="1608"/>
        <v>533</v>
      </c>
    </row>
    <row r="543" spans="2:62" hidden="1" outlineLevel="2">
      <c r="B543" s="10" t="s">
        <v>222</v>
      </c>
      <c r="C543" s="50">
        <f t="shared" si="1623"/>
        <v>0</v>
      </c>
      <c r="D543" s="50">
        <f t="shared" si="1623"/>
        <v>0</v>
      </c>
      <c r="E543" s="50">
        <f t="shared" si="1623"/>
        <v>49</v>
      </c>
      <c r="F543" s="50">
        <f t="shared" si="1623"/>
        <v>60</v>
      </c>
      <c r="G543" s="50">
        <f t="shared" si="1623"/>
        <v>0</v>
      </c>
      <c r="H543" s="50">
        <f t="shared" si="1623"/>
        <v>0</v>
      </c>
      <c r="I543" s="50">
        <f t="shared" si="1623"/>
        <v>0</v>
      </c>
      <c r="J543" s="50">
        <f t="shared" si="1623"/>
        <v>0</v>
      </c>
      <c r="K543" s="50">
        <f t="shared" si="1623"/>
        <v>0</v>
      </c>
      <c r="L543" s="50">
        <f t="shared" si="1623"/>
        <v>0</v>
      </c>
      <c r="M543" s="50">
        <f t="shared" si="1623"/>
        <v>0</v>
      </c>
      <c r="X543" s="98"/>
      <c r="Y543" s="99">
        <v>49</v>
      </c>
      <c r="Z543" s="99">
        <v>49</v>
      </c>
      <c r="AA543" s="99">
        <v>49</v>
      </c>
      <c r="AB543" s="99">
        <v>49</v>
      </c>
      <c r="AC543" s="99">
        <v>60</v>
      </c>
      <c r="AD543" s="99">
        <v>60</v>
      </c>
      <c r="AE543" s="99">
        <v>60</v>
      </c>
      <c r="AF543" s="217"/>
      <c r="AG543" s="217"/>
      <c r="AH543" s="217"/>
      <c r="AI543" s="217"/>
      <c r="AJ543" s="217"/>
      <c r="AK543" s="217"/>
      <c r="AL543" s="217"/>
      <c r="AM543" s="217"/>
      <c r="AN543" s="217"/>
      <c r="AO543" s="217"/>
      <c r="AP543" s="217"/>
      <c r="AQ543" s="217"/>
      <c r="AR543" s="217"/>
      <c r="AS543" s="217"/>
      <c r="AT543" s="217"/>
      <c r="BJ543" s="116">
        <f t="shared" si="1608"/>
        <v>534</v>
      </c>
    </row>
    <row r="544" spans="2:62" hidden="1" outlineLevel="2">
      <c r="B544" s="10" t="s">
        <v>223</v>
      </c>
      <c r="C544" s="219">
        <f>IFERROR(+C543/C542,0)</f>
        <v>0</v>
      </c>
      <c r="D544" s="219">
        <f t="shared" ref="D544" si="1627">IFERROR(+D543/D542,0)</f>
        <v>0</v>
      </c>
      <c r="E544" s="219">
        <f t="shared" ref="E544" si="1628">IFERROR(+E543/E542,0)</f>
        <v>0.3888888888888889</v>
      </c>
      <c r="F544" s="219">
        <f t="shared" ref="F544" si="1629">IFERROR(+F543/F542,0)</f>
        <v>0.44776119402985076</v>
      </c>
      <c r="G544" s="219">
        <f t="shared" ref="G544" si="1630">IFERROR(+G543/G542,0)</f>
        <v>0</v>
      </c>
      <c r="H544" s="219">
        <f t="shared" ref="H544" si="1631">IFERROR(+H543/H542,0)</f>
        <v>0</v>
      </c>
      <c r="I544" s="219">
        <f t="shared" ref="I544" si="1632">IFERROR(+I543/I542,0)</f>
        <v>0</v>
      </c>
      <c r="J544" s="219">
        <f t="shared" ref="J544" si="1633">IFERROR(+J543/J542,0)</f>
        <v>0</v>
      </c>
      <c r="K544" s="219">
        <f t="shared" ref="K544" si="1634">IFERROR(+K543/K542,0)</f>
        <v>0</v>
      </c>
      <c r="L544" s="219">
        <f t="shared" ref="L544" si="1635">IFERROR(+L543/L542,0)</f>
        <v>0</v>
      </c>
      <c r="M544" s="219">
        <f t="shared" ref="M544" si="1636">IFERROR(+M543/M542,0)</f>
        <v>0</v>
      </c>
      <c r="X544" s="221">
        <f t="shared" ref="X544:AE544" si="1637">+X543/X542</f>
        <v>0</v>
      </c>
      <c r="Y544" s="219">
        <f t="shared" si="1637"/>
        <v>0.37404580152671757</v>
      </c>
      <c r="Z544" s="219">
        <f t="shared" si="1637"/>
        <v>0.3888888888888889</v>
      </c>
      <c r="AA544" s="219">
        <f t="shared" si="1637"/>
        <v>0.3888888888888889</v>
      </c>
      <c r="AB544" s="219">
        <f t="shared" si="1637"/>
        <v>0.3888888888888889</v>
      </c>
      <c r="AC544" s="219">
        <f t="shared" si="1637"/>
        <v>0.43795620437956206</v>
      </c>
      <c r="AD544" s="219">
        <f t="shared" si="1637"/>
        <v>0.44776119402985076</v>
      </c>
      <c r="AE544" s="219">
        <f t="shared" si="1637"/>
        <v>0.44117647058823528</v>
      </c>
      <c r="AF544" s="220"/>
      <c r="AG544" s="220"/>
      <c r="AH544" s="220"/>
      <c r="AI544" s="220"/>
      <c r="AJ544" s="220"/>
      <c r="AK544" s="220"/>
      <c r="AL544" s="220"/>
      <c r="AM544" s="220"/>
      <c r="AN544" s="220"/>
      <c r="AO544" s="220"/>
      <c r="AP544" s="220"/>
      <c r="AQ544" s="220"/>
      <c r="AR544" s="220"/>
      <c r="AS544" s="220"/>
      <c r="AT544" s="220"/>
      <c r="BJ544" s="116">
        <f t="shared" si="1608"/>
        <v>535</v>
      </c>
    </row>
    <row r="545" spans="2:62" hidden="1" outlineLevel="2">
      <c r="B545" s="11"/>
      <c r="BJ545" s="116">
        <f t="shared" si="1608"/>
        <v>536</v>
      </c>
    </row>
    <row r="546" spans="2:62" hidden="1" outlineLevel="2">
      <c r="B546" s="27" t="s">
        <v>385</v>
      </c>
      <c r="BJ546" s="116">
        <f t="shared" si="1608"/>
        <v>537</v>
      </c>
    </row>
    <row r="547" spans="2:62" hidden="1" outlineLevel="2">
      <c r="B547" s="10" t="s">
        <v>226</v>
      </c>
      <c r="C547" s="102">
        <f t="shared" ref="C547:M570" si="1638">INDEX($O547:$BG547,1,MATCH(C$4,$O$4:$BG$4,0))</f>
        <v>0</v>
      </c>
      <c r="D547" s="102">
        <f t="shared" si="1638"/>
        <v>0</v>
      </c>
      <c r="E547" s="102">
        <f t="shared" si="1638"/>
        <v>32</v>
      </c>
      <c r="F547" s="102">
        <f t="shared" si="1638"/>
        <v>32</v>
      </c>
      <c r="G547" s="102">
        <f t="shared" si="1638"/>
        <v>40</v>
      </c>
      <c r="H547" s="102">
        <f t="shared" si="1638"/>
        <v>44</v>
      </c>
      <c r="I547" s="102">
        <f t="shared" si="1638"/>
        <v>41</v>
      </c>
      <c r="J547" s="102">
        <f t="shared" si="1638"/>
        <v>45</v>
      </c>
      <c r="K547" s="102">
        <f t="shared" si="1638"/>
        <v>0</v>
      </c>
      <c r="L547" s="102">
        <f t="shared" si="1638"/>
        <v>0</v>
      </c>
      <c r="M547" s="102">
        <f t="shared" si="1638"/>
        <v>0</v>
      </c>
      <c r="Y547" s="213">
        <v>32</v>
      </c>
      <c r="Z547" s="213">
        <v>32</v>
      </c>
      <c r="AA547" s="213">
        <v>32</v>
      </c>
      <c r="AB547" s="213">
        <v>32</v>
      </c>
      <c r="AC547" s="213">
        <v>32</v>
      </c>
      <c r="AD547" s="213">
        <v>32</v>
      </c>
      <c r="AE547" s="213">
        <v>32</v>
      </c>
      <c r="AF547" s="213">
        <v>34</v>
      </c>
      <c r="AG547" s="213">
        <v>36</v>
      </c>
      <c r="AH547" s="213">
        <v>40</v>
      </c>
      <c r="AI547" s="213">
        <v>42</v>
      </c>
      <c r="AJ547" s="213">
        <v>41</v>
      </c>
      <c r="AK547" s="213">
        <v>44</v>
      </c>
      <c r="AL547" s="213">
        <v>44</v>
      </c>
      <c r="AM547" s="213">
        <v>42</v>
      </c>
      <c r="AN547" s="213">
        <v>42</v>
      </c>
      <c r="AO547" s="213">
        <v>41</v>
      </c>
      <c r="AP547" s="213">
        <v>41</v>
      </c>
      <c r="AQ547" s="213">
        <v>41</v>
      </c>
      <c r="AR547" s="213">
        <v>41</v>
      </c>
      <c r="AS547" s="213">
        <v>41</v>
      </c>
      <c r="AT547" s="213">
        <v>45</v>
      </c>
      <c r="BJ547" s="116">
        <f t="shared" si="1608"/>
        <v>538</v>
      </c>
    </row>
    <row r="548" spans="2:62" hidden="1" outlineLevel="2">
      <c r="B548" s="10" t="s">
        <v>227</v>
      </c>
      <c r="C548" s="102">
        <f t="shared" si="1638"/>
        <v>0</v>
      </c>
      <c r="D548" s="102">
        <f t="shared" si="1638"/>
        <v>0</v>
      </c>
      <c r="E548" s="102">
        <f t="shared" si="1638"/>
        <v>17</v>
      </c>
      <c r="F548" s="102">
        <f t="shared" si="1638"/>
        <v>16</v>
      </c>
      <c r="G548" s="102">
        <f t="shared" si="1638"/>
        <v>22</v>
      </c>
      <c r="H548" s="102">
        <f t="shared" si="1638"/>
        <v>20</v>
      </c>
      <c r="I548" s="102">
        <f t="shared" si="1638"/>
        <v>19</v>
      </c>
      <c r="J548" s="102">
        <f t="shared" si="1638"/>
        <v>15</v>
      </c>
      <c r="K548" s="102">
        <f t="shared" si="1638"/>
        <v>0</v>
      </c>
      <c r="L548" s="102">
        <f t="shared" si="1638"/>
        <v>0</v>
      </c>
      <c r="M548" s="102">
        <f t="shared" si="1638"/>
        <v>0</v>
      </c>
      <c r="Y548" s="213">
        <v>17</v>
      </c>
      <c r="Z548" s="213">
        <v>17</v>
      </c>
      <c r="AA548" s="213">
        <v>15</v>
      </c>
      <c r="AB548" s="213">
        <v>17</v>
      </c>
      <c r="AC548" s="213">
        <v>16</v>
      </c>
      <c r="AD548" s="213">
        <v>16</v>
      </c>
      <c r="AE548" s="213">
        <v>21</v>
      </c>
      <c r="AF548" s="213">
        <v>22</v>
      </c>
      <c r="AG548" s="213">
        <v>22</v>
      </c>
      <c r="AH548" s="213">
        <v>22</v>
      </c>
      <c r="AI548" s="213">
        <v>23</v>
      </c>
      <c r="AJ548" s="213">
        <v>23</v>
      </c>
      <c r="AK548" s="213">
        <v>20</v>
      </c>
      <c r="AL548" s="213">
        <v>20</v>
      </c>
      <c r="AM548" s="213">
        <v>20</v>
      </c>
      <c r="AN548" s="213">
        <v>20</v>
      </c>
      <c r="AO548" s="213">
        <v>19</v>
      </c>
      <c r="AP548" s="213">
        <v>19</v>
      </c>
      <c r="AQ548" s="213">
        <v>15</v>
      </c>
      <c r="AR548" s="213">
        <v>16</v>
      </c>
      <c r="AS548" s="213">
        <v>15</v>
      </c>
      <c r="AT548" s="213">
        <v>15</v>
      </c>
      <c r="BJ548" s="116">
        <f t="shared" si="1608"/>
        <v>539</v>
      </c>
    </row>
    <row r="549" spans="2:62" hidden="1" outlineLevel="2">
      <c r="B549" s="10" t="s">
        <v>228</v>
      </c>
      <c r="C549" s="102">
        <f t="shared" si="1638"/>
        <v>0</v>
      </c>
      <c r="D549" s="102">
        <f t="shared" si="1638"/>
        <v>0</v>
      </c>
      <c r="E549" s="102">
        <f t="shared" si="1638"/>
        <v>10</v>
      </c>
      <c r="F549" s="102">
        <f t="shared" si="1638"/>
        <v>8</v>
      </c>
      <c r="G549" s="102">
        <f t="shared" si="1638"/>
        <v>8</v>
      </c>
      <c r="H549" s="102">
        <f t="shared" si="1638"/>
        <v>8</v>
      </c>
      <c r="I549" s="102">
        <f t="shared" si="1638"/>
        <v>7</v>
      </c>
      <c r="J549" s="102">
        <f t="shared" si="1638"/>
        <v>8</v>
      </c>
      <c r="K549" s="102">
        <f t="shared" si="1638"/>
        <v>0</v>
      </c>
      <c r="L549" s="102">
        <f t="shared" si="1638"/>
        <v>0</v>
      </c>
      <c r="M549" s="102">
        <f t="shared" si="1638"/>
        <v>0</v>
      </c>
      <c r="Y549" s="213">
        <v>10</v>
      </c>
      <c r="Z549" s="213">
        <v>10</v>
      </c>
      <c r="AA549" s="213">
        <v>8</v>
      </c>
      <c r="AB549" s="213">
        <v>7</v>
      </c>
      <c r="AC549" s="213">
        <v>7</v>
      </c>
      <c r="AD549" s="213">
        <v>8</v>
      </c>
      <c r="AE549" s="213">
        <v>6</v>
      </c>
      <c r="AF549" s="213">
        <v>8</v>
      </c>
      <c r="AG549" s="213">
        <v>8</v>
      </c>
      <c r="AH549" s="213">
        <v>8</v>
      </c>
      <c r="AI549" s="213">
        <v>7</v>
      </c>
      <c r="AJ549" s="213">
        <v>7</v>
      </c>
      <c r="AK549" s="213">
        <v>9</v>
      </c>
      <c r="AL549" s="213">
        <v>8</v>
      </c>
      <c r="AM549" s="213">
        <v>8</v>
      </c>
      <c r="AN549" s="213">
        <v>4</v>
      </c>
      <c r="AO549" s="213">
        <v>4</v>
      </c>
      <c r="AP549" s="213">
        <v>7</v>
      </c>
      <c r="AQ549" s="213">
        <v>8</v>
      </c>
      <c r="AR549" s="213">
        <v>8</v>
      </c>
      <c r="AS549" s="213">
        <v>8</v>
      </c>
      <c r="AT549" s="213">
        <v>8</v>
      </c>
      <c r="BJ549" s="116">
        <f t="shared" si="1608"/>
        <v>540</v>
      </c>
    </row>
    <row r="550" spans="2:62" hidden="1" outlineLevel="2">
      <c r="B550" s="10" t="s">
        <v>229</v>
      </c>
      <c r="C550" s="102">
        <f t="shared" si="1638"/>
        <v>0</v>
      </c>
      <c r="D550" s="102">
        <f t="shared" si="1638"/>
        <v>0</v>
      </c>
      <c r="E550" s="102">
        <f t="shared" si="1638"/>
        <v>5</v>
      </c>
      <c r="F550" s="102">
        <f t="shared" si="1638"/>
        <v>5</v>
      </c>
      <c r="G550" s="102">
        <f t="shared" si="1638"/>
        <v>5</v>
      </c>
      <c r="H550" s="102">
        <f t="shared" si="1638"/>
        <v>5</v>
      </c>
      <c r="I550" s="102">
        <f t="shared" si="1638"/>
        <v>5</v>
      </c>
      <c r="J550" s="102">
        <f t="shared" si="1638"/>
        <v>5</v>
      </c>
      <c r="K550" s="102">
        <f t="shared" si="1638"/>
        <v>0</v>
      </c>
      <c r="L550" s="102">
        <f t="shared" si="1638"/>
        <v>0</v>
      </c>
      <c r="M550" s="102">
        <f t="shared" si="1638"/>
        <v>0</v>
      </c>
      <c r="Y550" s="213">
        <v>5</v>
      </c>
      <c r="Z550" s="213">
        <v>5</v>
      </c>
      <c r="AA550" s="213">
        <v>5</v>
      </c>
      <c r="AB550" s="213">
        <v>5</v>
      </c>
      <c r="AC550" s="213">
        <v>5</v>
      </c>
      <c r="AD550" s="213">
        <v>5</v>
      </c>
      <c r="AE550" s="213">
        <v>5</v>
      </c>
      <c r="AF550" s="213">
        <v>5</v>
      </c>
      <c r="AG550" s="213">
        <v>5</v>
      </c>
      <c r="AH550" s="213">
        <v>5</v>
      </c>
      <c r="AI550" s="213">
        <v>5</v>
      </c>
      <c r="AJ550" s="213">
        <v>5</v>
      </c>
      <c r="AK550" s="213">
        <v>5</v>
      </c>
      <c r="AL550" s="213">
        <v>5</v>
      </c>
      <c r="AM550" s="213">
        <v>5</v>
      </c>
      <c r="AN550" s="213">
        <v>5</v>
      </c>
      <c r="AO550" s="213">
        <v>5</v>
      </c>
      <c r="AP550" s="213">
        <v>5</v>
      </c>
      <c r="AQ550" s="213">
        <v>5</v>
      </c>
      <c r="AR550" s="213">
        <v>5</v>
      </c>
      <c r="AS550" s="213">
        <v>5</v>
      </c>
      <c r="AT550" s="213">
        <v>5</v>
      </c>
      <c r="BJ550" s="116">
        <f t="shared" si="1608"/>
        <v>541</v>
      </c>
    </row>
    <row r="551" spans="2:62" hidden="1" outlineLevel="2">
      <c r="B551" s="10" t="s">
        <v>230</v>
      </c>
      <c r="C551" s="102">
        <f t="shared" si="1638"/>
        <v>0</v>
      </c>
      <c r="D551" s="102">
        <f t="shared" si="1638"/>
        <v>0</v>
      </c>
      <c r="E551" s="102">
        <f t="shared" si="1638"/>
        <v>5</v>
      </c>
      <c r="F551" s="102">
        <f t="shared" si="1638"/>
        <v>4</v>
      </c>
      <c r="G551" s="102">
        <f t="shared" si="1638"/>
        <v>5</v>
      </c>
      <c r="H551" s="102">
        <f t="shared" si="1638"/>
        <v>5</v>
      </c>
      <c r="I551" s="102">
        <f t="shared" si="1638"/>
        <v>4</v>
      </c>
      <c r="J551" s="102">
        <f t="shared" si="1638"/>
        <v>4</v>
      </c>
      <c r="K551" s="102">
        <f t="shared" si="1638"/>
        <v>0</v>
      </c>
      <c r="L551" s="102">
        <f t="shared" si="1638"/>
        <v>0</v>
      </c>
      <c r="M551" s="102">
        <f t="shared" si="1638"/>
        <v>0</v>
      </c>
      <c r="Y551" s="213">
        <v>5</v>
      </c>
      <c r="Z551" s="213">
        <v>5</v>
      </c>
      <c r="AA551" s="213">
        <v>4</v>
      </c>
      <c r="AB551" s="213">
        <v>4</v>
      </c>
      <c r="AC551" s="213">
        <v>4</v>
      </c>
      <c r="AD551" s="213">
        <v>4</v>
      </c>
      <c r="AE551" s="213">
        <v>4</v>
      </c>
      <c r="AF551" s="213">
        <v>4</v>
      </c>
      <c r="AG551" s="213">
        <v>5</v>
      </c>
      <c r="AH551" s="213">
        <v>5</v>
      </c>
      <c r="AI551" s="213">
        <v>4</v>
      </c>
      <c r="AJ551" s="213">
        <v>4</v>
      </c>
      <c r="AK551" s="213">
        <v>4</v>
      </c>
      <c r="AL551" s="213">
        <v>5</v>
      </c>
      <c r="AM551" s="213">
        <v>5</v>
      </c>
      <c r="AN551" s="213">
        <v>5</v>
      </c>
      <c r="AO551" s="213">
        <v>4</v>
      </c>
      <c r="AP551" s="213">
        <v>4</v>
      </c>
      <c r="AQ551" s="213">
        <v>4</v>
      </c>
      <c r="AR551" s="213">
        <v>4</v>
      </c>
      <c r="AS551" s="213">
        <v>4</v>
      </c>
      <c r="AT551" s="213">
        <v>4</v>
      </c>
      <c r="BJ551" s="116">
        <f t="shared" si="1608"/>
        <v>542</v>
      </c>
    </row>
    <row r="552" spans="2:62" hidden="1" outlineLevel="2">
      <c r="B552" s="10" t="s">
        <v>232</v>
      </c>
      <c r="C552" s="102">
        <f t="shared" si="1638"/>
        <v>0</v>
      </c>
      <c r="D552" s="102">
        <f t="shared" si="1638"/>
        <v>0</v>
      </c>
      <c r="E552" s="102">
        <f t="shared" si="1638"/>
        <v>2</v>
      </c>
      <c r="F552" s="102">
        <f t="shared" si="1638"/>
        <v>1</v>
      </c>
      <c r="G552" s="102">
        <f t="shared" si="1638"/>
        <v>2</v>
      </c>
      <c r="H552" s="102">
        <f t="shared" si="1638"/>
        <v>2</v>
      </c>
      <c r="I552" s="102">
        <f t="shared" si="1638"/>
        <v>3</v>
      </c>
      <c r="J552" s="102">
        <f t="shared" si="1638"/>
        <v>3</v>
      </c>
      <c r="K552" s="102">
        <f t="shared" si="1638"/>
        <v>0</v>
      </c>
      <c r="L552" s="102">
        <f t="shared" si="1638"/>
        <v>0</v>
      </c>
      <c r="M552" s="102">
        <f t="shared" si="1638"/>
        <v>0</v>
      </c>
      <c r="Y552" s="213">
        <v>2</v>
      </c>
      <c r="Z552" s="213">
        <v>2</v>
      </c>
      <c r="AA552" s="213">
        <v>1</v>
      </c>
      <c r="AB552" s="213">
        <v>1</v>
      </c>
      <c r="AC552" s="213">
        <v>1</v>
      </c>
      <c r="AD552" s="213">
        <v>1</v>
      </c>
      <c r="AE552" s="213">
        <v>1</v>
      </c>
      <c r="AF552" s="213">
        <v>1</v>
      </c>
      <c r="AG552" s="213">
        <v>2</v>
      </c>
      <c r="AH552" s="213">
        <v>2</v>
      </c>
      <c r="AI552" s="213">
        <v>2</v>
      </c>
      <c r="AJ552" s="213">
        <v>2</v>
      </c>
      <c r="AK552" s="213">
        <v>2</v>
      </c>
      <c r="AL552" s="213">
        <v>2</v>
      </c>
      <c r="AM552" s="213">
        <v>2</v>
      </c>
      <c r="AN552" s="213">
        <v>2</v>
      </c>
      <c r="AO552" s="213">
        <v>2</v>
      </c>
      <c r="AP552" s="213">
        <v>3</v>
      </c>
      <c r="AQ552" s="213">
        <v>4</v>
      </c>
      <c r="AR552" s="213">
        <v>4</v>
      </c>
      <c r="AS552" s="213">
        <v>4</v>
      </c>
      <c r="AT552" s="213">
        <v>3</v>
      </c>
      <c r="BJ552" s="116">
        <f t="shared" si="1608"/>
        <v>543</v>
      </c>
    </row>
    <row r="553" spans="2:62" hidden="1" outlineLevel="2">
      <c r="B553" s="10" t="s">
        <v>231</v>
      </c>
      <c r="C553" s="102">
        <f t="shared" si="1638"/>
        <v>0</v>
      </c>
      <c r="D553" s="102">
        <f t="shared" si="1638"/>
        <v>0</v>
      </c>
      <c r="E553" s="102">
        <f t="shared" si="1638"/>
        <v>5</v>
      </c>
      <c r="F553" s="102">
        <f t="shared" si="1638"/>
        <v>10</v>
      </c>
      <c r="G553" s="102">
        <f t="shared" si="1638"/>
        <v>10</v>
      </c>
      <c r="H553" s="102">
        <f t="shared" si="1638"/>
        <v>10</v>
      </c>
      <c r="I553" s="102">
        <f t="shared" si="1638"/>
        <v>3</v>
      </c>
      <c r="J553" s="102">
        <f t="shared" si="1638"/>
        <v>4</v>
      </c>
      <c r="K553" s="102">
        <f t="shared" si="1638"/>
        <v>0</v>
      </c>
      <c r="L553" s="102">
        <f t="shared" si="1638"/>
        <v>0</v>
      </c>
      <c r="M553" s="102">
        <f t="shared" si="1638"/>
        <v>0</v>
      </c>
      <c r="Y553" s="213">
        <v>6</v>
      </c>
      <c r="Z553" s="213">
        <v>5</v>
      </c>
      <c r="AA553" s="213">
        <v>10</v>
      </c>
      <c r="AB553" s="213">
        <v>10</v>
      </c>
      <c r="AC553" s="213">
        <v>9</v>
      </c>
      <c r="AD553" s="213">
        <v>10</v>
      </c>
      <c r="AE553" s="213">
        <v>10</v>
      </c>
      <c r="AF553" s="213">
        <v>10</v>
      </c>
      <c r="AG553" s="213">
        <v>10</v>
      </c>
      <c r="AH553" s="213">
        <v>10</v>
      </c>
      <c r="AI553" s="213">
        <v>10</v>
      </c>
      <c r="AJ553" s="213">
        <v>10</v>
      </c>
      <c r="AK553" s="213">
        <v>10</v>
      </c>
      <c r="AL553" s="213">
        <v>10</v>
      </c>
      <c r="AM553" s="213">
        <v>10</v>
      </c>
      <c r="AN553" s="213">
        <v>9</v>
      </c>
      <c r="AO553" s="213">
        <v>7</v>
      </c>
      <c r="AP553" s="213">
        <v>3</v>
      </c>
      <c r="AQ553" s="213">
        <v>3</v>
      </c>
      <c r="AR553" s="213">
        <v>4</v>
      </c>
      <c r="AS553" s="213">
        <v>4</v>
      </c>
      <c r="AT553" s="213">
        <v>4</v>
      </c>
      <c r="BJ553" s="116">
        <f t="shared" si="1608"/>
        <v>544</v>
      </c>
    </row>
    <row r="554" spans="2:62" hidden="1" outlineLevel="2">
      <c r="B554" s="10" t="s">
        <v>234</v>
      </c>
      <c r="C554" s="102">
        <f t="shared" ref="C554:M554" si="1639">INDEX($O554:$BG554,1,MATCH(C$4,$O$4:$BG$4,0))</f>
        <v>0</v>
      </c>
      <c r="D554" s="102">
        <f t="shared" si="1639"/>
        <v>0</v>
      </c>
      <c r="E554" s="102">
        <f t="shared" si="1639"/>
        <v>2</v>
      </c>
      <c r="F554" s="102">
        <f t="shared" si="1639"/>
        <v>2</v>
      </c>
      <c r="G554" s="102">
        <f t="shared" si="1639"/>
        <v>2</v>
      </c>
      <c r="H554" s="102">
        <f t="shared" si="1639"/>
        <v>2</v>
      </c>
      <c r="I554" s="102">
        <f t="shared" si="1639"/>
        <v>2</v>
      </c>
      <c r="J554" s="102">
        <f t="shared" si="1639"/>
        <v>3</v>
      </c>
      <c r="K554" s="102">
        <f t="shared" si="1639"/>
        <v>0</v>
      </c>
      <c r="L554" s="102">
        <f t="shared" si="1639"/>
        <v>0</v>
      </c>
      <c r="M554" s="102">
        <f t="shared" si="1639"/>
        <v>0</v>
      </c>
      <c r="Y554" s="213">
        <v>2</v>
      </c>
      <c r="Z554" s="213">
        <v>2</v>
      </c>
      <c r="AA554" s="213">
        <v>2</v>
      </c>
      <c r="AB554" s="213">
        <v>2</v>
      </c>
      <c r="AC554" s="213">
        <v>2</v>
      </c>
      <c r="AD554" s="213">
        <v>2</v>
      </c>
      <c r="AE554" s="213">
        <v>2</v>
      </c>
      <c r="AF554" s="213">
        <v>2</v>
      </c>
      <c r="AG554" s="213">
        <v>2</v>
      </c>
      <c r="AH554" s="213">
        <v>2</v>
      </c>
      <c r="AI554" s="213">
        <v>2</v>
      </c>
      <c r="AJ554" s="213">
        <v>2</v>
      </c>
      <c r="AK554" s="213">
        <v>2</v>
      </c>
      <c r="AL554" s="213">
        <v>2</v>
      </c>
      <c r="AM554" s="213">
        <v>2</v>
      </c>
      <c r="AN554" s="213">
        <v>2</v>
      </c>
      <c r="AO554" s="213">
        <v>1</v>
      </c>
      <c r="AP554" s="213">
        <v>2</v>
      </c>
      <c r="AQ554" s="213">
        <v>2</v>
      </c>
      <c r="AR554" s="213">
        <v>3</v>
      </c>
      <c r="AS554" s="213">
        <v>3</v>
      </c>
      <c r="AT554" s="213">
        <v>3</v>
      </c>
      <c r="BJ554" s="116">
        <f t="shared" si="1608"/>
        <v>545</v>
      </c>
    </row>
    <row r="555" spans="2:62" hidden="1" outlineLevel="2">
      <c r="B555" s="10" t="s">
        <v>235</v>
      </c>
      <c r="C555" s="102">
        <f t="shared" ref="C555:M556" si="1640">INDEX($O555:$BG555,1,MATCH(C$4,$O$4:$BG$4,0))</f>
        <v>0</v>
      </c>
      <c r="D555" s="102">
        <f t="shared" si="1640"/>
        <v>0</v>
      </c>
      <c r="E555" s="102">
        <f t="shared" si="1640"/>
        <v>5</v>
      </c>
      <c r="F555" s="102">
        <f t="shared" si="1640"/>
        <v>5</v>
      </c>
      <c r="G555" s="102">
        <f t="shared" si="1640"/>
        <v>3</v>
      </c>
      <c r="H555" s="102">
        <f t="shared" si="1640"/>
        <v>2</v>
      </c>
      <c r="I555" s="102">
        <f t="shared" si="1640"/>
        <v>2</v>
      </c>
      <c r="J555" s="102">
        <f t="shared" si="1640"/>
        <v>3</v>
      </c>
      <c r="K555" s="102">
        <f t="shared" si="1640"/>
        <v>0</v>
      </c>
      <c r="L555" s="102">
        <f t="shared" si="1640"/>
        <v>0</v>
      </c>
      <c r="M555" s="102">
        <f t="shared" si="1640"/>
        <v>0</v>
      </c>
      <c r="Y555" s="213">
        <v>4</v>
      </c>
      <c r="Z555" s="213">
        <v>5</v>
      </c>
      <c r="AA555" s="213">
        <v>5</v>
      </c>
      <c r="AB555" s="213">
        <v>5</v>
      </c>
      <c r="AC555" s="213">
        <v>5</v>
      </c>
      <c r="AD555" s="213">
        <v>5</v>
      </c>
      <c r="AE555" s="213">
        <v>4</v>
      </c>
      <c r="AF555" s="213">
        <v>3</v>
      </c>
      <c r="AG555" s="213">
        <v>3</v>
      </c>
      <c r="AH555" s="213">
        <v>3</v>
      </c>
      <c r="AI555" s="213">
        <v>2</v>
      </c>
      <c r="AJ555" s="213">
        <v>4</v>
      </c>
      <c r="AK555" s="213">
        <v>3</v>
      </c>
      <c r="AL555" s="213">
        <v>2</v>
      </c>
      <c r="AM555" s="213">
        <v>2</v>
      </c>
      <c r="AN555" s="213">
        <v>3</v>
      </c>
      <c r="AO555" s="213">
        <v>2</v>
      </c>
      <c r="AP555" s="213">
        <v>2</v>
      </c>
      <c r="AQ555" s="213">
        <v>2</v>
      </c>
      <c r="AR555" s="213">
        <v>2</v>
      </c>
      <c r="AS555" s="213">
        <v>2</v>
      </c>
      <c r="AT555" s="213">
        <v>3</v>
      </c>
      <c r="BJ555" s="116">
        <f t="shared" si="1608"/>
        <v>546</v>
      </c>
    </row>
    <row r="556" spans="2:62" hidden="1" outlineLevel="2">
      <c r="B556" s="10" t="s">
        <v>245</v>
      </c>
      <c r="C556" s="102">
        <f t="shared" si="1640"/>
        <v>0</v>
      </c>
      <c r="D556" s="102">
        <f t="shared" si="1640"/>
        <v>0</v>
      </c>
      <c r="E556" s="102">
        <f t="shared" si="1640"/>
        <v>11</v>
      </c>
      <c r="F556" s="102">
        <f t="shared" si="1640"/>
        <v>13</v>
      </c>
      <c r="G556" s="102">
        <f t="shared" si="1640"/>
        <v>7</v>
      </c>
      <c r="H556" s="102">
        <f t="shared" si="1640"/>
        <v>3</v>
      </c>
      <c r="I556" s="102">
        <f t="shared" si="1640"/>
        <v>0</v>
      </c>
      <c r="J556" s="102">
        <f t="shared" si="1640"/>
        <v>2</v>
      </c>
      <c r="K556" s="102">
        <f t="shared" si="1640"/>
        <v>0</v>
      </c>
      <c r="L556" s="102">
        <f t="shared" si="1640"/>
        <v>0</v>
      </c>
      <c r="M556" s="102">
        <f t="shared" si="1640"/>
        <v>0</v>
      </c>
      <c r="Y556" s="213">
        <v>11</v>
      </c>
      <c r="Z556" s="213">
        <v>11</v>
      </c>
      <c r="AA556" s="213">
        <v>14</v>
      </c>
      <c r="AB556" s="213">
        <v>13</v>
      </c>
      <c r="AC556" s="213">
        <v>13</v>
      </c>
      <c r="AD556" s="213">
        <v>13</v>
      </c>
      <c r="AE556" s="213">
        <v>12</v>
      </c>
      <c r="AF556" s="213">
        <v>7</v>
      </c>
      <c r="AG556" s="213">
        <v>8</v>
      </c>
      <c r="AH556" s="213">
        <v>7</v>
      </c>
      <c r="AI556" s="213">
        <v>6</v>
      </c>
      <c r="AJ556" s="213">
        <v>7</v>
      </c>
      <c r="AK556" s="213">
        <v>5</v>
      </c>
      <c r="AL556" s="213">
        <v>3</v>
      </c>
      <c r="AM556" s="213">
        <v>3</v>
      </c>
      <c r="AN556" s="213">
        <v>1</v>
      </c>
      <c r="AO556" s="213">
        <v>0</v>
      </c>
      <c r="AP556" s="213">
        <v>0</v>
      </c>
      <c r="AQ556" s="213">
        <v>0</v>
      </c>
      <c r="AR556" s="213">
        <v>1</v>
      </c>
      <c r="AS556" s="213">
        <v>1</v>
      </c>
      <c r="AT556" s="213">
        <v>2</v>
      </c>
      <c r="BJ556" s="116">
        <f t="shared" si="1608"/>
        <v>547</v>
      </c>
    </row>
    <row r="557" spans="2:62" hidden="1" outlineLevel="2">
      <c r="B557" s="10" t="s">
        <v>233</v>
      </c>
      <c r="C557" s="102">
        <f t="shared" si="1638"/>
        <v>0</v>
      </c>
      <c r="D557" s="102">
        <f t="shared" si="1638"/>
        <v>0</v>
      </c>
      <c r="E557" s="102">
        <f t="shared" si="1638"/>
        <v>6</v>
      </c>
      <c r="F557" s="102">
        <f t="shared" si="1638"/>
        <v>6</v>
      </c>
      <c r="G557" s="102">
        <f t="shared" si="1638"/>
        <v>5</v>
      </c>
      <c r="H557" s="102">
        <f t="shared" si="1638"/>
        <v>0</v>
      </c>
      <c r="I557" s="102">
        <f t="shared" si="1638"/>
        <v>3</v>
      </c>
      <c r="J557" s="102">
        <f t="shared" si="1638"/>
        <v>1</v>
      </c>
      <c r="K557" s="102">
        <f t="shared" si="1638"/>
        <v>0</v>
      </c>
      <c r="L557" s="102">
        <f t="shared" si="1638"/>
        <v>0</v>
      </c>
      <c r="M557" s="102">
        <f t="shared" si="1638"/>
        <v>0</v>
      </c>
      <c r="Y557" s="213">
        <v>6</v>
      </c>
      <c r="Z557" s="213">
        <v>6</v>
      </c>
      <c r="AA557" s="213">
        <v>6</v>
      </c>
      <c r="AB557" s="213">
        <v>6</v>
      </c>
      <c r="AC557" s="213">
        <v>6</v>
      </c>
      <c r="AD557" s="213">
        <v>6</v>
      </c>
      <c r="AE557" s="213">
        <v>6</v>
      </c>
      <c r="AF557" s="213">
        <v>6</v>
      </c>
      <c r="AG557" s="213">
        <v>6</v>
      </c>
      <c r="AH557" s="213">
        <v>5</v>
      </c>
      <c r="AI557" s="213">
        <v>6</v>
      </c>
      <c r="AJ557" s="213">
        <v>5</v>
      </c>
      <c r="AK557" s="213">
        <v>3</v>
      </c>
      <c r="AL557" s="213">
        <v>0</v>
      </c>
      <c r="AM557" s="213">
        <v>1</v>
      </c>
      <c r="AN557" s="213">
        <v>3</v>
      </c>
      <c r="AO557" s="213">
        <v>3</v>
      </c>
      <c r="AP557" s="213">
        <v>3</v>
      </c>
      <c r="AQ557" s="213">
        <v>2</v>
      </c>
      <c r="AR557" s="213">
        <v>2</v>
      </c>
      <c r="AS557" s="213">
        <v>2</v>
      </c>
      <c r="AT557" s="213">
        <v>1</v>
      </c>
      <c r="BJ557" s="116">
        <f t="shared" si="1608"/>
        <v>548</v>
      </c>
    </row>
    <row r="558" spans="2:62" hidden="1" outlineLevel="2">
      <c r="B558" s="10" t="s">
        <v>237</v>
      </c>
      <c r="C558" s="102">
        <f t="shared" ref="C558:M558" si="1641">INDEX($O558:$BG558,1,MATCH(C$4,$O$4:$BG$4,0))</f>
        <v>0</v>
      </c>
      <c r="D558" s="102">
        <f t="shared" si="1641"/>
        <v>0</v>
      </c>
      <c r="E558" s="102">
        <f t="shared" si="1641"/>
        <v>0</v>
      </c>
      <c r="F558" s="102">
        <f t="shared" si="1641"/>
        <v>1</v>
      </c>
      <c r="G558" s="102">
        <f t="shared" si="1641"/>
        <v>1</v>
      </c>
      <c r="H558" s="102">
        <f t="shared" si="1641"/>
        <v>1</v>
      </c>
      <c r="I558" s="102">
        <f t="shared" si="1641"/>
        <v>1</v>
      </c>
      <c r="J558" s="102">
        <f t="shared" si="1641"/>
        <v>1</v>
      </c>
      <c r="K558" s="102">
        <f t="shared" si="1641"/>
        <v>0</v>
      </c>
      <c r="L558" s="102">
        <f t="shared" si="1641"/>
        <v>0</v>
      </c>
      <c r="M558" s="102">
        <f t="shared" si="1641"/>
        <v>0</v>
      </c>
      <c r="Y558" s="213">
        <v>0</v>
      </c>
      <c r="Z558" s="213">
        <v>0</v>
      </c>
      <c r="AA558" s="213">
        <v>1</v>
      </c>
      <c r="AB558" s="213">
        <v>1</v>
      </c>
      <c r="AC558" s="213">
        <v>1</v>
      </c>
      <c r="AD558" s="213">
        <v>1</v>
      </c>
      <c r="AE558" s="213">
        <v>1</v>
      </c>
      <c r="AF558" s="213">
        <v>1</v>
      </c>
      <c r="AG558" s="213">
        <v>1</v>
      </c>
      <c r="AH558" s="213">
        <v>1</v>
      </c>
      <c r="AI558" s="213">
        <v>1</v>
      </c>
      <c r="AJ558" s="213">
        <v>1</v>
      </c>
      <c r="AK558" s="213">
        <v>1</v>
      </c>
      <c r="AL558" s="213">
        <v>1</v>
      </c>
      <c r="AM558" s="213">
        <v>1</v>
      </c>
      <c r="AN558" s="213">
        <v>1</v>
      </c>
      <c r="AO558" s="213">
        <v>1</v>
      </c>
      <c r="AP558" s="213">
        <v>1</v>
      </c>
      <c r="AQ558" s="213">
        <v>1</v>
      </c>
      <c r="AR558" s="213">
        <v>1</v>
      </c>
      <c r="AS558" s="213">
        <v>1</v>
      </c>
      <c r="AT558" s="213">
        <v>1</v>
      </c>
      <c r="BJ558" s="116">
        <f t="shared" si="1608"/>
        <v>549</v>
      </c>
    </row>
    <row r="559" spans="2:62" hidden="1" outlineLevel="2">
      <c r="B559" s="10" t="s">
        <v>365</v>
      </c>
      <c r="C559" s="102">
        <f t="shared" ref="C559:M559" si="1642">INDEX($O559:$BG559,1,MATCH(C$4,$O$4:$BG$4,0))</f>
        <v>0</v>
      </c>
      <c r="D559" s="102">
        <f t="shared" si="1642"/>
        <v>0</v>
      </c>
      <c r="E559" s="102">
        <f t="shared" si="1642"/>
        <v>0</v>
      </c>
      <c r="F559" s="102">
        <f t="shared" si="1642"/>
        <v>1</v>
      </c>
      <c r="G559" s="102">
        <f t="shared" si="1642"/>
        <v>0</v>
      </c>
      <c r="H559" s="102">
        <f t="shared" si="1642"/>
        <v>0</v>
      </c>
      <c r="I559" s="102">
        <f t="shared" si="1642"/>
        <v>0</v>
      </c>
      <c r="J559" s="102">
        <f t="shared" si="1642"/>
        <v>1</v>
      </c>
      <c r="K559" s="102">
        <f t="shared" si="1642"/>
        <v>0</v>
      </c>
      <c r="L559" s="102">
        <f t="shared" si="1642"/>
        <v>0</v>
      </c>
      <c r="M559" s="102">
        <f t="shared" si="1642"/>
        <v>0</v>
      </c>
      <c r="Y559" s="213">
        <v>0</v>
      </c>
      <c r="Z559" s="213">
        <v>0</v>
      </c>
      <c r="AA559" s="213">
        <v>0</v>
      </c>
      <c r="AB559" s="213">
        <v>1</v>
      </c>
      <c r="AC559" s="213">
        <v>1</v>
      </c>
      <c r="AD559" s="213">
        <v>1</v>
      </c>
      <c r="AE559" s="213">
        <v>1</v>
      </c>
      <c r="AF559" s="213">
        <v>0</v>
      </c>
      <c r="AG559" s="213">
        <v>0</v>
      </c>
      <c r="AH559" s="213">
        <v>0</v>
      </c>
      <c r="AI559" s="213">
        <v>0</v>
      </c>
      <c r="AJ559" s="213">
        <v>0</v>
      </c>
      <c r="AK559" s="213">
        <v>0</v>
      </c>
      <c r="AL559" s="213">
        <v>0</v>
      </c>
      <c r="AM559" s="213">
        <v>0</v>
      </c>
      <c r="AN559" s="213">
        <v>0</v>
      </c>
      <c r="AO559" s="213">
        <v>0</v>
      </c>
      <c r="AP559" s="213">
        <v>0</v>
      </c>
      <c r="AQ559" s="213">
        <v>0</v>
      </c>
      <c r="AR559" s="213">
        <v>0</v>
      </c>
      <c r="AS559" s="213">
        <v>0</v>
      </c>
      <c r="AT559" s="213">
        <v>1</v>
      </c>
      <c r="BJ559" s="116">
        <f t="shared" si="1608"/>
        <v>550</v>
      </c>
    </row>
    <row r="560" spans="2:62" hidden="1" outlineLevel="2">
      <c r="B560" s="10" t="s">
        <v>366</v>
      </c>
      <c r="C560" s="102">
        <f t="shared" si="1638"/>
        <v>0</v>
      </c>
      <c r="D560" s="102">
        <f t="shared" si="1638"/>
        <v>0</v>
      </c>
      <c r="E560" s="102">
        <f t="shared" si="1638"/>
        <v>1</v>
      </c>
      <c r="F560" s="102">
        <f t="shared" si="1638"/>
        <v>2</v>
      </c>
      <c r="G560" s="102">
        <f t="shared" si="1638"/>
        <v>2</v>
      </c>
      <c r="H560" s="102">
        <f t="shared" si="1638"/>
        <v>1</v>
      </c>
      <c r="I560" s="102">
        <f t="shared" si="1638"/>
        <v>1</v>
      </c>
      <c r="J560" s="102">
        <f t="shared" si="1638"/>
        <v>0</v>
      </c>
      <c r="K560" s="102">
        <f t="shared" si="1638"/>
        <v>0</v>
      </c>
      <c r="L560" s="102">
        <f t="shared" si="1638"/>
        <v>0</v>
      </c>
      <c r="M560" s="102">
        <f t="shared" si="1638"/>
        <v>0</v>
      </c>
      <c r="Y560" s="213">
        <v>1</v>
      </c>
      <c r="Z560" s="213">
        <v>1</v>
      </c>
      <c r="AA560" s="213">
        <v>2</v>
      </c>
      <c r="AB560" s="213">
        <v>2</v>
      </c>
      <c r="AC560" s="213">
        <v>2</v>
      </c>
      <c r="AD560" s="213">
        <v>2</v>
      </c>
      <c r="AE560" s="213">
        <v>2</v>
      </c>
      <c r="AF560" s="213">
        <v>2</v>
      </c>
      <c r="AG560" s="213">
        <v>2</v>
      </c>
      <c r="AH560" s="213">
        <v>2</v>
      </c>
      <c r="AI560" s="213">
        <v>1</v>
      </c>
      <c r="AJ560" s="213">
        <v>1</v>
      </c>
      <c r="AK560" s="213">
        <v>1</v>
      </c>
      <c r="AL560" s="213">
        <v>1</v>
      </c>
      <c r="AM560" s="213">
        <v>1</v>
      </c>
      <c r="AN560" s="213">
        <v>1</v>
      </c>
      <c r="AO560" s="213">
        <v>1</v>
      </c>
      <c r="AP560" s="213">
        <v>1</v>
      </c>
      <c r="AQ560" s="213">
        <v>1</v>
      </c>
      <c r="AR560" s="213">
        <v>1</v>
      </c>
      <c r="AS560" s="213">
        <v>1</v>
      </c>
      <c r="AT560" s="213">
        <v>0</v>
      </c>
      <c r="BJ560" s="116">
        <f t="shared" si="1608"/>
        <v>551</v>
      </c>
    </row>
    <row r="561" spans="1:62" hidden="1" outlineLevel="2">
      <c r="B561" s="10" t="s">
        <v>236</v>
      </c>
      <c r="C561" s="102">
        <f t="shared" ref="C561:M561" si="1643">INDEX($O561:$BG561,1,MATCH(C$4,$O$4:$BG$4,0))</f>
        <v>0</v>
      </c>
      <c r="D561" s="102">
        <f t="shared" si="1643"/>
        <v>0</v>
      </c>
      <c r="E561" s="102">
        <f t="shared" si="1643"/>
        <v>4</v>
      </c>
      <c r="F561" s="102">
        <f t="shared" si="1643"/>
        <v>5</v>
      </c>
      <c r="G561" s="102">
        <f t="shared" si="1643"/>
        <v>6</v>
      </c>
      <c r="H561" s="102">
        <f t="shared" si="1643"/>
        <v>5</v>
      </c>
      <c r="I561" s="102">
        <f t="shared" si="1643"/>
        <v>1</v>
      </c>
      <c r="J561" s="102">
        <f t="shared" si="1643"/>
        <v>0</v>
      </c>
      <c r="K561" s="102">
        <f t="shared" si="1643"/>
        <v>0</v>
      </c>
      <c r="L561" s="102">
        <f t="shared" si="1643"/>
        <v>0</v>
      </c>
      <c r="M561" s="102">
        <f t="shared" si="1643"/>
        <v>0</v>
      </c>
      <c r="Y561" s="213">
        <v>4</v>
      </c>
      <c r="Z561" s="213">
        <v>4</v>
      </c>
      <c r="AA561" s="213">
        <v>4</v>
      </c>
      <c r="AB561" s="213">
        <v>5</v>
      </c>
      <c r="AC561" s="213">
        <v>5</v>
      </c>
      <c r="AD561" s="213">
        <v>5</v>
      </c>
      <c r="AE561" s="213">
        <v>5</v>
      </c>
      <c r="AF561" s="213">
        <v>6</v>
      </c>
      <c r="AG561" s="213">
        <v>6</v>
      </c>
      <c r="AH561" s="213">
        <v>6</v>
      </c>
      <c r="AI561" s="213">
        <v>5</v>
      </c>
      <c r="AJ561" s="213">
        <v>4</v>
      </c>
      <c r="AK561" s="213">
        <v>5</v>
      </c>
      <c r="AL561" s="213">
        <v>5</v>
      </c>
      <c r="AM561" s="213">
        <v>4</v>
      </c>
      <c r="AN561" s="213">
        <v>3</v>
      </c>
      <c r="AO561" s="213">
        <v>3</v>
      </c>
      <c r="AP561" s="213">
        <v>1</v>
      </c>
      <c r="AQ561" s="213">
        <v>1</v>
      </c>
      <c r="AR561" s="213">
        <v>1</v>
      </c>
      <c r="AS561" s="213">
        <v>0</v>
      </c>
      <c r="AT561" s="213">
        <v>0</v>
      </c>
      <c r="BJ561" s="116">
        <f t="shared" si="1608"/>
        <v>552</v>
      </c>
    </row>
    <row r="562" spans="1:62" hidden="1" outlineLevel="2">
      <c r="B562" s="10" t="s">
        <v>238</v>
      </c>
      <c r="C562" s="102">
        <f t="shared" si="1638"/>
        <v>0</v>
      </c>
      <c r="D562" s="102">
        <f t="shared" si="1638"/>
        <v>0</v>
      </c>
      <c r="E562" s="102">
        <f t="shared" si="1638"/>
        <v>1</v>
      </c>
      <c r="F562" s="102">
        <f t="shared" si="1638"/>
        <v>1</v>
      </c>
      <c r="G562" s="102">
        <f t="shared" si="1638"/>
        <v>1</v>
      </c>
      <c r="H562" s="102">
        <f t="shared" si="1638"/>
        <v>0</v>
      </c>
      <c r="I562" s="102">
        <f t="shared" si="1638"/>
        <v>0</v>
      </c>
      <c r="J562" s="102">
        <f t="shared" si="1638"/>
        <v>0</v>
      </c>
      <c r="K562" s="102">
        <f t="shared" si="1638"/>
        <v>0</v>
      </c>
      <c r="L562" s="102">
        <f t="shared" si="1638"/>
        <v>0</v>
      </c>
      <c r="M562" s="102">
        <f t="shared" si="1638"/>
        <v>0</v>
      </c>
      <c r="Y562" s="213">
        <v>0</v>
      </c>
      <c r="Z562" s="213">
        <v>1</v>
      </c>
      <c r="AA562" s="213">
        <v>1</v>
      </c>
      <c r="AB562" s="213">
        <v>1</v>
      </c>
      <c r="AC562" s="213">
        <v>1</v>
      </c>
      <c r="AD562" s="213">
        <v>1</v>
      </c>
      <c r="AE562" s="213">
        <v>1</v>
      </c>
      <c r="AF562" s="213">
        <v>1</v>
      </c>
      <c r="AG562" s="213">
        <v>1</v>
      </c>
      <c r="AH562" s="213">
        <v>1</v>
      </c>
      <c r="AI562" s="213">
        <v>0</v>
      </c>
      <c r="AJ562" s="213">
        <v>1</v>
      </c>
      <c r="AK562" s="213">
        <v>0</v>
      </c>
      <c r="AL562" s="213">
        <v>0</v>
      </c>
      <c r="AM562" s="213">
        <v>1</v>
      </c>
      <c r="AN562" s="213">
        <v>0</v>
      </c>
      <c r="AO562" s="213">
        <v>0</v>
      </c>
      <c r="AP562" s="213">
        <v>0</v>
      </c>
      <c r="AQ562" s="213">
        <v>0</v>
      </c>
      <c r="AR562" s="213">
        <v>0</v>
      </c>
      <c r="AS562" s="213">
        <v>0</v>
      </c>
      <c r="AT562" s="213">
        <v>0</v>
      </c>
      <c r="BJ562" s="116">
        <f t="shared" si="1608"/>
        <v>553</v>
      </c>
    </row>
    <row r="563" spans="1:62" hidden="1" outlineLevel="2">
      <c r="B563" s="10" t="s">
        <v>239</v>
      </c>
      <c r="C563" s="102">
        <f t="shared" si="1638"/>
        <v>0</v>
      </c>
      <c r="D563" s="102">
        <f t="shared" si="1638"/>
        <v>0</v>
      </c>
      <c r="E563" s="102">
        <f t="shared" si="1638"/>
        <v>0</v>
      </c>
      <c r="F563" s="102">
        <f t="shared" si="1638"/>
        <v>0</v>
      </c>
      <c r="G563" s="102">
        <f t="shared" si="1638"/>
        <v>1</v>
      </c>
      <c r="H563" s="102">
        <f t="shared" si="1638"/>
        <v>0</v>
      </c>
      <c r="I563" s="102">
        <f t="shared" si="1638"/>
        <v>0</v>
      </c>
      <c r="J563" s="102">
        <f t="shared" si="1638"/>
        <v>0</v>
      </c>
      <c r="K563" s="102">
        <f t="shared" si="1638"/>
        <v>0</v>
      </c>
      <c r="L563" s="102">
        <f t="shared" si="1638"/>
        <v>0</v>
      </c>
      <c r="M563" s="102">
        <f t="shared" si="1638"/>
        <v>0</v>
      </c>
      <c r="Y563" s="213">
        <v>0</v>
      </c>
      <c r="Z563" s="213">
        <v>0</v>
      </c>
      <c r="AA563" s="213">
        <v>0</v>
      </c>
      <c r="AB563" s="213">
        <v>0</v>
      </c>
      <c r="AC563" s="213">
        <v>0</v>
      </c>
      <c r="AD563" s="213">
        <v>0</v>
      </c>
      <c r="AE563" s="213">
        <v>0</v>
      </c>
      <c r="AF563" s="213">
        <v>0</v>
      </c>
      <c r="AG563" s="213">
        <v>0</v>
      </c>
      <c r="AH563" s="213">
        <v>1</v>
      </c>
      <c r="AI563" s="213">
        <v>1</v>
      </c>
      <c r="AJ563" s="213">
        <v>0</v>
      </c>
      <c r="AK563" s="213">
        <v>0</v>
      </c>
      <c r="AL563" s="213">
        <v>0</v>
      </c>
      <c r="AM563" s="213">
        <v>1</v>
      </c>
      <c r="AN563" s="213">
        <v>0</v>
      </c>
      <c r="AO563" s="213">
        <v>0</v>
      </c>
      <c r="AP563" s="213">
        <v>0</v>
      </c>
      <c r="AQ563" s="213">
        <v>0</v>
      </c>
      <c r="AR563" s="213">
        <v>0</v>
      </c>
      <c r="AS563" s="213">
        <v>0</v>
      </c>
      <c r="AT563" s="213">
        <v>0</v>
      </c>
      <c r="BJ563" s="116">
        <f t="shared" si="1608"/>
        <v>554</v>
      </c>
    </row>
    <row r="564" spans="1:62" hidden="1" outlineLevel="2">
      <c r="B564" s="10" t="s">
        <v>240</v>
      </c>
      <c r="C564" s="102">
        <f t="shared" si="1638"/>
        <v>0</v>
      </c>
      <c r="D564" s="102">
        <f t="shared" si="1638"/>
        <v>0</v>
      </c>
      <c r="E564" s="102">
        <f t="shared" si="1638"/>
        <v>2</v>
      </c>
      <c r="F564" s="102">
        <f t="shared" si="1638"/>
        <v>1</v>
      </c>
      <c r="G564" s="102">
        <f t="shared" si="1638"/>
        <v>1</v>
      </c>
      <c r="H564" s="102">
        <f t="shared" si="1638"/>
        <v>1</v>
      </c>
      <c r="I564" s="102">
        <f t="shared" si="1638"/>
        <v>0</v>
      </c>
      <c r="J564" s="102">
        <f t="shared" si="1638"/>
        <v>0</v>
      </c>
      <c r="K564" s="102">
        <f t="shared" si="1638"/>
        <v>0</v>
      </c>
      <c r="L564" s="102">
        <f t="shared" si="1638"/>
        <v>0</v>
      </c>
      <c r="M564" s="102">
        <f t="shared" si="1638"/>
        <v>0</v>
      </c>
      <c r="Y564" s="213">
        <v>2</v>
      </c>
      <c r="Z564" s="213">
        <v>2</v>
      </c>
      <c r="AA564" s="213">
        <v>2</v>
      </c>
      <c r="AB564" s="213">
        <v>2</v>
      </c>
      <c r="AC564" s="213">
        <v>2</v>
      </c>
      <c r="AD564" s="213">
        <v>1</v>
      </c>
      <c r="AE564" s="213">
        <v>1</v>
      </c>
      <c r="AF564" s="213">
        <v>1</v>
      </c>
      <c r="AG564" s="213">
        <v>1</v>
      </c>
      <c r="AH564" s="213">
        <v>1</v>
      </c>
      <c r="AI564" s="213">
        <v>1</v>
      </c>
      <c r="AJ564" s="213">
        <v>1</v>
      </c>
      <c r="AK564" s="213">
        <v>1</v>
      </c>
      <c r="AL564" s="213">
        <v>1</v>
      </c>
      <c r="AM564" s="213">
        <v>0</v>
      </c>
      <c r="AN564" s="213">
        <v>0</v>
      </c>
      <c r="AO564" s="213">
        <v>0</v>
      </c>
      <c r="AP564" s="213">
        <v>0</v>
      </c>
      <c r="AQ564" s="213">
        <v>0</v>
      </c>
      <c r="AR564" s="213">
        <v>0</v>
      </c>
      <c r="AS564" s="213">
        <v>0</v>
      </c>
      <c r="AT564" s="213">
        <v>0</v>
      </c>
      <c r="BJ564" s="116">
        <f t="shared" si="1608"/>
        <v>555</v>
      </c>
    </row>
    <row r="565" spans="1:62" hidden="1" outlineLevel="2">
      <c r="B565" s="10" t="s">
        <v>241</v>
      </c>
      <c r="C565" s="102">
        <f t="shared" si="1638"/>
        <v>0</v>
      </c>
      <c r="D565" s="102">
        <f t="shared" si="1638"/>
        <v>0</v>
      </c>
      <c r="E565" s="102">
        <f t="shared" si="1638"/>
        <v>6</v>
      </c>
      <c r="F565" s="102">
        <f t="shared" si="1638"/>
        <v>4</v>
      </c>
      <c r="G565" s="102">
        <f t="shared" si="1638"/>
        <v>1</v>
      </c>
      <c r="H565" s="102">
        <f t="shared" si="1638"/>
        <v>1</v>
      </c>
      <c r="I565" s="102">
        <f t="shared" si="1638"/>
        <v>0</v>
      </c>
      <c r="J565" s="102">
        <f t="shared" si="1638"/>
        <v>0</v>
      </c>
      <c r="K565" s="102">
        <f t="shared" si="1638"/>
        <v>0</v>
      </c>
      <c r="L565" s="102">
        <f t="shared" si="1638"/>
        <v>0</v>
      </c>
      <c r="M565" s="102">
        <f t="shared" si="1638"/>
        <v>0</v>
      </c>
      <c r="Y565" s="213">
        <v>6</v>
      </c>
      <c r="Z565" s="213">
        <v>6</v>
      </c>
      <c r="AA565" s="213">
        <v>5</v>
      </c>
      <c r="AB565" s="213">
        <v>4</v>
      </c>
      <c r="AC565" s="213">
        <v>3</v>
      </c>
      <c r="AD565" s="213">
        <v>4</v>
      </c>
      <c r="AE565" s="213">
        <v>2</v>
      </c>
      <c r="AF565" s="213">
        <v>1</v>
      </c>
      <c r="AG565" s="213">
        <v>1</v>
      </c>
      <c r="AH565" s="213">
        <v>1</v>
      </c>
      <c r="AI565" s="213">
        <v>1</v>
      </c>
      <c r="AJ565" s="213">
        <v>1</v>
      </c>
      <c r="AK565" s="213">
        <v>1</v>
      </c>
      <c r="AL565" s="213">
        <v>1</v>
      </c>
      <c r="AM565" s="213">
        <v>0</v>
      </c>
      <c r="AN565" s="213">
        <v>0</v>
      </c>
      <c r="AO565" s="213">
        <v>0</v>
      </c>
      <c r="AP565" s="213">
        <v>0</v>
      </c>
      <c r="AQ565" s="213">
        <v>0</v>
      </c>
      <c r="AR565" s="213">
        <v>0</v>
      </c>
      <c r="AS565" s="213">
        <v>0</v>
      </c>
      <c r="AT565" s="213">
        <v>0</v>
      </c>
      <c r="BJ565" s="116">
        <f t="shared" si="1608"/>
        <v>556</v>
      </c>
    </row>
    <row r="566" spans="1:62" hidden="1" outlineLevel="2">
      <c r="B566" s="10" t="s">
        <v>242</v>
      </c>
      <c r="C566" s="102">
        <f t="shared" si="1638"/>
        <v>0</v>
      </c>
      <c r="D566" s="102">
        <f t="shared" si="1638"/>
        <v>0</v>
      </c>
      <c r="E566" s="102">
        <f t="shared" si="1638"/>
        <v>1</v>
      </c>
      <c r="F566" s="102">
        <f t="shared" si="1638"/>
        <v>0</v>
      </c>
      <c r="G566" s="102">
        <f t="shared" si="1638"/>
        <v>0</v>
      </c>
      <c r="H566" s="102">
        <f t="shared" si="1638"/>
        <v>0</v>
      </c>
      <c r="I566" s="102">
        <f t="shared" si="1638"/>
        <v>0</v>
      </c>
      <c r="J566" s="102">
        <f t="shared" si="1638"/>
        <v>0</v>
      </c>
      <c r="K566" s="102">
        <f t="shared" si="1638"/>
        <v>0</v>
      </c>
      <c r="L566" s="102">
        <f t="shared" si="1638"/>
        <v>0</v>
      </c>
      <c r="M566" s="102">
        <f t="shared" si="1638"/>
        <v>0</v>
      </c>
      <c r="Y566" s="213">
        <v>1</v>
      </c>
      <c r="Z566" s="213">
        <v>1</v>
      </c>
      <c r="AA566" s="213">
        <v>1</v>
      </c>
      <c r="AB566" s="213">
        <v>1</v>
      </c>
      <c r="AC566" s="213">
        <v>1</v>
      </c>
      <c r="AD566" s="213">
        <v>0</v>
      </c>
      <c r="AE566" s="213">
        <v>0</v>
      </c>
      <c r="AF566" s="213">
        <v>0</v>
      </c>
      <c r="AG566" s="213">
        <v>0</v>
      </c>
      <c r="AH566" s="213">
        <v>0</v>
      </c>
      <c r="AI566" s="213">
        <v>0</v>
      </c>
      <c r="AJ566" s="213">
        <v>0</v>
      </c>
      <c r="AK566" s="213">
        <v>0</v>
      </c>
      <c r="AL566" s="213">
        <v>0</v>
      </c>
      <c r="AM566" s="213">
        <v>0</v>
      </c>
      <c r="AN566" s="213">
        <v>0</v>
      </c>
      <c r="AO566" s="213">
        <v>0</v>
      </c>
      <c r="AP566" s="213">
        <v>0</v>
      </c>
      <c r="AQ566" s="213">
        <v>0</v>
      </c>
      <c r="AR566" s="213">
        <v>0</v>
      </c>
      <c r="AS566" s="213">
        <v>0</v>
      </c>
      <c r="AT566" s="213">
        <v>0</v>
      </c>
      <c r="BJ566" s="116">
        <f t="shared" si="1608"/>
        <v>557</v>
      </c>
    </row>
    <row r="567" spans="1:62" hidden="1" outlineLevel="2">
      <c r="B567" s="10" t="s">
        <v>243</v>
      </c>
      <c r="C567" s="102">
        <f t="shared" si="1638"/>
        <v>0</v>
      </c>
      <c r="D567" s="102">
        <f t="shared" si="1638"/>
        <v>0</v>
      </c>
      <c r="E567" s="102">
        <f t="shared" si="1638"/>
        <v>0</v>
      </c>
      <c r="F567" s="102">
        <f t="shared" si="1638"/>
        <v>2</v>
      </c>
      <c r="G567" s="102">
        <f t="shared" si="1638"/>
        <v>2</v>
      </c>
      <c r="H567" s="102">
        <f t="shared" si="1638"/>
        <v>1</v>
      </c>
      <c r="I567" s="102">
        <f t="shared" si="1638"/>
        <v>0</v>
      </c>
      <c r="J567" s="102">
        <f t="shared" si="1638"/>
        <v>0</v>
      </c>
      <c r="K567" s="102">
        <f t="shared" si="1638"/>
        <v>0</v>
      </c>
      <c r="L567" s="102">
        <f t="shared" si="1638"/>
        <v>0</v>
      </c>
      <c r="M567" s="102">
        <f t="shared" si="1638"/>
        <v>0</v>
      </c>
      <c r="Y567" s="213">
        <v>0</v>
      </c>
      <c r="Z567" s="213">
        <v>0</v>
      </c>
      <c r="AA567" s="213">
        <v>0</v>
      </c>
      <c r="AB567" s="213">
        <v>2</v>
      </c>
      <c r="AC567" s="213">
        <v>2</v>
      </c>
      <c r="AD567" s="213">
        <v>2</v>
      </c>
      <c r="AE567" s="213">
        <v>2</v>
      </c>
      <c r="AF567" s="213">
        <v>2</v>
      </c>
      <c r="AG567" s="213">
        <v>2</v>
      </c>
      <c r="AH567" s="213">
        <v>2</v>
      </c>
      <c r="AI567" s="213">
        <v>2</v>
      </c>
      <c r="AJ567" s="213">
        <v>2</v>
      </c>
      <c r="AK567" s="213">
        <v>2</v>
      </c>
      <c r="AL567" s="213">
        <v>1</v>
      </c>
      <c r="AM567" s="213">
        <v>0</v>
      </c>
      <c r="AN567" s="213">
        <v>0</v>
      </c>
      <c r="AO567" s="213">
        <v>0</v>
      </c>
      <c r="AP567" s="213">
        <v>0</v>
      </c>
      <c r="AQ567" s="213">
        <v>0</v>
      </c>
      <c r="AR567" s="213">
        <v>0</v>
      </c>
      <c r="AS567" s="213">
        <v>0</v>
      </c>
      <c r="AT567" s="213">
        <v>0</v>
      </c>
      <c r="BJ567" s="116">
        <f t="shared" si="1608"/>
        <v>558</v>
      </c>
    </row>
    <row r="568" spans="1:62" hidden="1" outlineLevel="2">
      <c r="B568" s="10" t="s">
        <v>244</v>
      </c>
      <c r="C568" s="102">
        <f t="shared" si="1638"/>
        <v>0</v>
      </c>
      <c r="D568" s="102">
        <f t="shared" si="1638"/>
        <v>0</v>
      </c>
      <c r="E568" s="102">
        <f t="shared" si="1638"/>
        <v>2</v>
      </c>
      <c r="F568" s="102">
        <f t="shared" si="1638"/>
        <v>2</v>
      </c>
      <c r="G568" s="102">
        <f t="shared" si="1638"/>
        <v>1</v>
      </c>
      <c r="H568" s="102">
        <f t="shared" si="1638"/>
        <v>1</v>
      </c>
      <c r="I568" s="102">
        <f t="shared" si="1638"/>
        <v>0</v>
      </c>
      <c r="J568" s="102">
        <f t="shared" si="1638"/>
        <v>0</v>
      </c>
      <c r="K568" s="102">
        <f t="shared" si="1638"/>
        <v>0</v>
      </c>
      <c r="L568" s="102">
        <f t="shared" si="1638"/>
        <v>0</v>
      </c>
      <c r="M568" s="102">
        <f t="shared" si="1638"/>
        <v>0</v>
      </c>
      <c r="Y568" s="213">
        <v>2</v>
      </c>
      <c r="Z568" s="213">
        <v>2</v>
      </c>
      <c r="AA568" s="213">
        <v>2</v>
      </c>
      <c r="AB568" s="213">
        <v>2</v>
      </c>
      <c r="AC568" s="213">
        <v>2</v>
      </c>
      <c r="AD568" s="213">
        <v>2</v>
      </c>
      <c r="AE568" s="213">
        <v>2</v>
      </c>
      <c r="AF568" s="213">
        <v>0</v>
      </c>
      <c r="AG568" s="213">
        <v>0</v>
      </c>
      <c r="AH568" s="213">
        <v>1</v>
      </c>
      <c r="AI568" s="213">
        <v>1</v>
      </c>
      <c r="AJ568" s="213">
        <v>1</v>
      </c>
      <c r="AK568" s="213">
        <v>1</v>
      </c>
      <c r="AL568" s="213">
        <v>1</v>
      </c>
      <c r="AM568" s="213">
        <v>1</v>
      </c>
      <c r="AN568" s="213">
        <v>1</v>
      </c>
      <c r="AO568" s="213">
        <v>0</v>
      </c>
      <c r="AP568" s="213">
        <v>0</v>
      </c>
      <c r="AQ568" s="213">
        <v>0</v>
      </c>
      <c r="AR568" s="213">
        <v>0</v>
      </c>
      <c r="AS568" s="213">
        <v>0</v>
      </c>
      <c r="AT568" s="213">
        <v>0</v>
      </c>
      <c r="BJ568" s="116">
        <f t="shared" si="1608"/>
        <v>559</v>
      </c>
    </row>
    <row r="569" spans="1:62" hidden="1" outlineLevel="2">
      <c r="B569" s="10" t="s">
        <v>246</v>
      </c>
      <c r="C569" s="102">
        <f t="shared" si="1638"/>
        <v>0</v>
      </c>
      <c r="D569" s="102">
        <f t="shared" si="1638"/>
        <v>0</v>
      </c>
      <c r="E569" s="102">
        <f t="shared" si="1638"/>
        <v>1</v>
      </c>
      <c r="F569" s="102">
        <f t="shared" si="1638"/>
        <v>1</v>
      </c>
      <c r="G569" s="102">
        <f t="shared" si="1638"/>
        <v>1</v>
      </c>
      <c r="H569" s="102">
        <f t="shared" si="1638"/>
        <v>0</v>
      </c>
      <c r="I569" s="102">
        <f t="shared" si="1638"/>
        <v>0</v>
      </c>
      <c r="J569" s="102">
        <f t="shared" si="1638"/>
        <v>0</v>
      </c>
      <c r="K569" s="102">
        <f t="shared" si="1638"/>
        <v>0</v>
      </c>
      <c r="L569" s="102">
        <f t="shared" si="1638"/>
        <v>0</v>
      </c>
      <c r="M569" s="102">
        <f t="shared" si="1638"/>
        <v>0</v>
      </c>
      <c r="Y569" s="213">
        <v>1</v>
      </c>
      <c r="Z569" s="213">
        <v>1</v>
      </c>
      <c r="AA569" s="213">
        <v>1</v>
      </c>
      <c r="AB569" s="213">
        <v>1</v>
      </c>
      <c r="AC569" s="213">
        <v>1</v>
      </c>
      <c r="AD569" s="213">
        <v>1</v>
      </c>
      <c r="AE569" s="213">
        <v>1</v>
      </c>
      <c r="AF569" s="213">
        <v>1</v>
      </c>
      <c r="AG569" s="213">
        <v>1</v>
      </c>
      <c r="AH569" s="213">
        <v>1</v>
      </c>
      <c r="AI569" s="213">
        <v>1</v>
      </c>
      <c r="AJ569" s="213">
        <v>1</v>
      </c>
      <c r="AK569" s="213">
        <v>0</v>
      </c>
      <c r="AL569" s="213">
        <v>0</v>
      </c>
      <c r="AM569" s="213">
        <v>0</v>
      </c>
      <c r="AN569" s="213">
        <v>0</v>
      </c>
      <c r="AO569" s="213">
        <v>0</v>
      </c>
      <c r="AP569" s="213">
        <v>0</v>
      </c>
      <c r="AQ569" s="213">
        <v>0</v>
      </c>
      <c r="AR569" s="213">
        <v>0</v>
      </c>
      <c r="AS569" s="213">
        <v>0</v>
      </c>
      <c r="AT569" s="213">
        <v>0</v>
      </c>
      <c r="BJ569" s="116">
        <f t="shared" si="1608"/>
        <v>560</v>
      </c>
    </row>
    <row r="570" spans="1:62" hidden="1" outlineLevel="2">
      <c r="B570" s="10" t="s">
        <v>247</v>
      </c>
      <c r="C570" s="102">
        <f t="shared" si="1638"/>
        <v>0</v>
      </c>
      <c r="D570" s="102">
        <f t="shared" si="1638"/>
        <v>0</v>
      </c>
      <c r="E570" s="102">
        <f t="shared" ref="C570:M572" si="1644">INDEX($O570:$BG570,1,MATCH(E$4,$O$4:$BG$4,0))</f>
        <v>3</v>
      </c>
      <c r="F570" s="102">
        <f t="shared" si="1644"/>
        <v>2</v>
      </c>
      <c r="G570" s="102">
        <f t="shared" si="1644"/>
        <v>2</v>
      </c>
      <c r="H570" s="102">
        <f t="shared" si="1644"/>
        <v>0</v>
      </c>
      <c r="I570" s="102">
        <f t="shared" si="1644"/>
        <v>0</v>
      </c>
      <c r="J570" s="102">
        <f t="shared" si="1644"/>
        <v>0</v>
      </c>
      <c r="K570" s="102">
        <f t="shared" si="1644"/>
        <v>0</v>
      </c>
      <c r="L570" s="102">
        <f t="shared" si="1644"/>
        <v>0</v>
      </c>
      <c r="M570" s="102">
        <f t="shared" si="1644"/>
        <v>0</v>
      </c>
      <c r="Y570" s="213">
        <v>3</v>
      </c>
      <c r="Z570" s="213">
        <v>3</v>
      </c>
      <c r="AA570" s="213">
        <v>3</v>
      </c>
      <c r="AB570" s="213">
        <v>2</v>
      </c>
      <c r="AC570" s="213">
        <v>2</v>
      </c>
      <c r="AD570" s="213">
        <v>2</v>
      </c>
      <c r="AE570" s="213">
        <v>2</v>
      </c>
      <c r="AF570" s="213">
        <v>2</v>
      </c>
      <c r="AG570" s="213">
        <v>2</v>
      </c>
      <c r="AH570" s="213">
        <v>2</v>
      </c>
      <c r="AI570" s="213">
        <v>2</v>
      </c>
      <c r="AJ570" s="213">
        <v>0</v>
      </c>
      <c r="AK570" s="213">
        <v>0</v>
      </c>
      <c r="AL570" s="213">
        <v>0</v>
      </c>
      <c r="AM570" s="213">
        <v>0</v>
      </c>
      <c r="AN570" s="213">
        <v>0</v>
      </c>
      <c r="AO570" s="213">
        <v>0</v>
      </c>
      <c r="AP570" s="213">
        <v>0</v>
      </c>
      <c r="AQ570" s="213">
        <v>0</v>
      </c>
      <c r="AR570" s="213">
        <v>0</v>
      </c>
      <c r="AS570" s="213">
        <v>0</v>
      </c>
      <c r="AT570" s="213">
        <v>0</v>
      </c>
      <c r="BJ570" s="116">
        <f t="shared" si="1608"/>
        <v>561</v>
      </c>
    </row>
    <row r="571" spans="1:62" hidden="1" outlineLevel="2">
      <c r="B571" s="10" t="s">
        <v>248</v>
      </c>
      <c r="C571" s="102">
        <f t="shared" si="1644"/>
        <v>0</v>
      </c>
      <c r="D571" s="102">
        <f t="shared" si="1644"/>
        <v>0</v>
      </c>
      <c r="E571" s="102">
        <f t="shared" si="1644"/>
        <v>0</v>
      </c>
      <c r="F571" s="102">
        <f t="shared" si="1644"/>
        <v>0</v>
      </c>
      <c r="G571" s="102">
        <f t="shared" si="1644"/>
        <v>1</v>
      </c>
      <c r="H571" s="102">
        <f t="shared" si="1644"/>
        <v>0</v>
      </c>
      <c r="I571" s="102">
        <f t="shared" si="1644"/>
        <v>0</v>
      </c>
      <c r="J571" s="102">
        <f t="shared" si="1644"/>
        <v>0</v>
      </c>
      <c r="K571" s="102">
        <f t="shared" si="1644"/>
        <v>0</v>
      </c>
      <c r="L571" s="102">
        <f t="shared" si="1644"/>
        <v>0</v>
      </c>
      <c r="M571" s="102">
        <f t="shared" si="1644"/>
        <v>0</v>
      </c>
      <c r="Y571" s="213">
        <v>0</v>
      </c>
      <c r="Z571" s="213">
        <v>0</v>
      </c>
      <c r="AA571" s="213">
        <v>0</v>
      </c>
      <c r="AB571" s="213">
        <v>0</v>
      </c>
      <c r="AC571" s="213">
        <v>0</v>
      </c>
      <c r="AD571" s="213">
        <v>0</v>
      </c>
      <c r="AE571" s="213">
        <v>0</v>
      </c>
      <c r="AF571" s="213">
        <v>0</v>
      </c>
      <c r="AG571" s="213">
        <v>0</v>
      </c>
      <c r="AH571" s="213">
        <v>1</v>
      </c>
      <c r="AI571" s="213">
        <v>1</v>
      </c>
      <c r="AJ571" s="213">
        <v>1</v>
      </c>
      <c r="AK571" s="213">
        <v>0</v>
      </c>
      <c r="AL571" s="213">
        <v>0</v>
      </c>
      <c r="AM571" s="213">
        <v>0</v>
      </c>
      <c r="AN571" s="213">
        <v>0</v>
      </c>
      <c r="AO571" s="213">
        <v>0</v>
      </c>
      <c r="AP571" s="213">
        <v>0</v>
      </c>
      <c r="AQ571" s="213">
        <v>0</v>
      </c>
      <c r="AR571" s="213">
        <v>0</v>
      </c>
      <c r="AS571" s="213">
        <v>0</v>
      </c>
      <c r="AT571" s="213">
        <v>0</v>
      </c>
      <c r="BJ571" s="116">
        <f t="shared" si="1608"/>
        <v>562</v>
      </c>
    </row>
    <row r="572" spans="1:62" hidden="1" outlineLevel="2">
      <c r="B572" s="10" t="s">
        <v>219</v>
      </c>
      <c r="C572" s="102">
        <f t="shared" si="1644"/>
        <v>0</v>
      </c>
      <c r="D572" s="102">
        <f t="shared" si="1644"/>
        <v>0</v>
      </c>
      <c r="E572" s="102">
        <f t="shared" si="1644"/>
        <v>121</v>
      </c>
      <c r="F572" s="102">
        <f t="shared" si="1644"/>
        <v>124</v>
      </c>
      <c r="G572" s="102">
        <f t="shared" si="1644"/>
        <v>129</v>
      </c>
      <c r="H572" s="102">
        <f t="shared" si="1644"/>
        <v>112</v>
      </c>
      <c r="I572" s="102">
        <f t="shared" si="1644"/>
        <v>92</v>
      </c>
      <c r="J572" s="102">
        <f t="shared" si="1644"/>
        <v>95</v>
      </c>
      <c r="K572" s="102">
        <f t="shared" si="1644"/>
        <v>0</v>
      </c>
      <c r="L572" s="102">
        <f t="shared" si="1644"/>
        <v>0</v>
      </c>
      <c r="M572" s="102">
        <f t="shared" si="1644"/>
        <v>0</v>
      </c>
      <c r="Y572" s="214">
        <f t="shared" ref="Y572:AT572" si="1645">SUM(Y547:Y571)</f>
        <v>120</v>
      </c>
      <c r="Z572" s="214">
        <f t="shared" si="1645"/>
        <v>121</v>
      </c>
      <c r="AA572" s="214">
        <f t="shared" si="1645"/>
        <v>124</v>
      </c>
      <c r="AB572" s="214">
        <f t="shared" si="1645"/>
        <v>126</v>
      </c>
      <c r="AC572" s="214">
        <f t="shared" si="1645"/>
        <v>123</v>
      </c>
      <c r="AD572" s="214">
        <f t="shared" si="1645"/>
        <v>124</v>
      </c>
      <c r="AE572" s="214">
        <f t="shared" si="1645"/>
        <v>123</v>
      </c>
      <c r="AF572" s="214">
        <f t="shared" si="1645"/>
        <v>119</v>
      </c>
      <c r="AG572" s="214">
        <f t="shared" si="1645"/>
        <v>124</v>
      </c>
      <c r="AH572" s="214">
        <f t="shared" si="1645"/>
        <v>129</v>
      </c>
      <c r="AI572" s="214">
        <f t="shared" si="1645"/>
        <v>126</v>
      </c>
      <c r="AJ572" s="214">
        <f t="shared" si="1645"/>
        <v>124</v>
      </c>
      <c r="AK572" s="214">
        <f t="shared" si="1645"/>
        <v>119</v>
      </c>
      <c r="AL572" s="214">
        <f t="shared" si="1645"/>
        <v>112</v>
      </c>
      <c r="AM572" s="214">
        <f t="shared" si="1645"/>
        <v>109</v>
      </c>
      <c r="AN572" s="214">
        <f t="shared" si="1645"/>
        <v>102</v>
      </c>
      <c r="AO572" s="214">
        <f t="shared" si="1645"/>
        <v>93</v>
      </c>
      <c r="AP572" s="214">
        <f t="shared" si="1645"/>
        <v>92</v>
      </c>
      <c r="AQ572" s="214">
        <f t="shared" si="1645"/>
        <v>89</v>
      </c>
      <c r="AR572" s="214">
        <f t="shared" si="1645"/>
        <v>93</v>
      </c>
      <c r="AS572" s="214">
        <f t="shared" si="1645"/>
        <v>91</v>
      </c>
      <c r="AT572" s="214">
        <f t="shared" si="1645"/>
        <v>95</v>
      </c>
      <c r="BJ572" s="116">
        <f t="shared" si="1608"/>
        <v>563</v>
      </c>
    </row>
    <row r="573" spans="1:62" hidden="1" outlineLevel="2">
      <c r="B573" s="11"/>
      <c r="AT573" s="261"/>
      <c r="BJ573" s="116">
        <f t="shared" si="1608"/>
        <v>564</v>
      </c>
    </row>
    <row r="574" spans="1:62" outlineLevel="1" collapsed="1">
      <c r="A574" s="72" t="s">
        <v>322</v>
      </c>
      <c r="B574" s="2" t="s">
        <v>367</v>
      </c>
      <c r="BJ574" s="116">
        <f t="shared" si="1608"/>
        <v>565</v>
      </c>
    </row>
    <row r="575" spans="1:62" hidden="1" outlineLevel="2">
      <c r="B575" s="13" t="s">
        <v>249</v>
      </c>
      <c r="C575" s="50">
        <f t="shared" ref="C575:M575" si="1646">C49-C40</f>
        <v>94.779999999999987</v>
      </c>
      <c r="D575" s="50">
        <f t="shared" si="1646"/>
        <v>244.72399999999999</v>
      </c>
      <c r="E575" s="50">
        <f t="shared" si="1646"/>
        <v>164.54499999999976</v>
      </c>
      <c r="F575" s="50">
        <f t="shared" si="1646"/>
        <v>147.16200000000006</v>
      </c>
      <c r="G575" s="50">
        <f t="shared" si="1646"/>
        <v>-669.24399999999991</v>
      </c>
      <c r="H575" s="50">
        <f t="shared" si="1646"/>
        <v>-375.09400000000016</v>
      </c>
      <c r="I575" s="50">
        <f t="shared" si="1646"/>
        <v>-1202.0079999999998</v>
      </c>
      <c r="J575" s="50">
        <f t="shared" si="1646"/>
        <v>-540.63300000000004</v>
      </c>
      <c r="K575" s="50">
        <f t="shared" si="1646"/>
        <v>-225.90571848945336</v>
      </c>
      <c r="L575" s="50">
        <f t="shared" si="1646"/>
        <v>54.890841147651599</v>
      </c>
      <c r="M575" s="50">
        <f t="shared" si="1646"/>
        <v>215.12740726242214</v>
      </c>
      <c r="O575" s="50">
        <f t="shared" ref="O575:BF575" si="1647">O49-O40</f>
        <v>39.098000000000013</v>
      </c>
      <c r="P575" s="50">
        <f t="shared" si="1647"/>
        <v>43.062000000000012</v>
      </c>
      <c r="Q575" s="50">
        <f t="shared" si="1647"/>
        <v>-39.153999999999982</v>
      </c>
      <c r="R575" s="50">
        <f t="shared" si="1647"/>
        <v>51.773999999999994</v>
      </c>
      <c r="S575" s="50">
        <f t="shared" si="1647"/>
        <v>82.156000000000049</v>
      </c>
      <c r="T575" s="50">
        <f t="shared" si="1647"/>
        <v>192.05399999999997</v>
      </c>
      <c r="U575" s="50">
        <f t="shared" si="1647"/>
        <v>74.96400000000007</v>
      </c>
      <c r="V575" s="50">
        <f t="shared" si="1647"/>
        <v>-104.45000000000007</v>
      </c>
      <c r="W575" s="50">
        <f t="shared" si="1647"/>
        <v>133.82300000000009</v>
      </c>
      <c r="X575" s="50">
        <f t="shared" si="1647"/>
        <v>-73.962999999999994</v>
      </c>
      <c r="Y575" s="50">
        <f t="shared" si="1647"/>
        <v>76.643999999999892</v>
      </c>
      <c r="Z575" s="50">
        <f t="shared" si="1647"/>
        <v>28.040999999999958</v>
      </c>
      <c r="AA575" s="50">
        <f t="shared" si="1647"/>
        <v>99.217999999999975</v>
      </c>
      <c r="AB575" s="50">
        <f t="shared" si="1647"/>
        <v>1.2549999999999741</v>
      </c>
      <c r="AC575" s="50">
        <f t="shared" si="1647"/>
        <v>-104.94</v>
      </c>
      <c r="AD575" s="50">
        <f t="shared" si="1647"/>
        <v>151.62899999999999</v>
      </c>
      <c r="AE575" s="50">
        <f t="shared" si="1647"/>
        <v>50.491999999999997</v>
      </c>
      <c r="AF575" s="50">
        <f t="shared" si="1647"/>
        <v>64.696999999999989</v>
      </c>
      <c r="AG575" s="50">
        <f t="shared" si="1647"/>
        <v>106.435</v>
      </c>
      <c r="AH575" s="50">
        <f t="shared" si="1647"/>
        <v>-890.86799999999994</v>
      </c>
      <c r="AI575" s="50">
        <f t="shared" si="1647"/>
        <v>123.54499999999997</v>
      </c>
      <c r="AJ575" s="50">
        <f t="shared" si="1647"/>
        <v>-39.665000000000049</v>
      </c>
      <c r="AK575" s="50">
        <f t="shared" si="1647"/>
        <v>-296.15399999999994</v>
      </c>
      <c r="AL575" s="50">
        <f t="shared" si="1647"/>
        <v>-162.82000000000002</v>
      </c>
      <c r="AM575" s="50">
        <f t="shared" si="1647"/>
        <v>-569.971</v>
      </c>
      <c r="AN575" s="50">
        <f t="shared" si="1647"/>
        <v>-187.54900000000001</v>
      </c>
      <c r="AO575" s="50">
        <f t="shared" si="1647"/>
        <v>-110.02599999999998</v>
      </c>
      <c r="AP575" s="50">
        <f t="shared" si="1647"/>
        <v>-334.46199999999999</v>
      </c>
      <c r="AQ575" s="50">
        <f t="shared" si="1647"/>
        <v>-148.06699999999998</v>
      </c>
      <c r="AR575" s="50">
        <f t="shared" si="1647"/>
        <v>-130.98000000000005</v>
      </c>
      <c r="AS575" s="50">
        <f t="shared" si="1647"/>
        <v>-146.41899999999998</v>
      </c>
      <c r="AT575" s="50">
        <f t="shared" si="1647"/>
        <v>-115.16699999999999</v>
      </c>
      <c r="AU575" s="50">
        <f t="shared" si="1647"/>
        <v>-88.410794745052272</v>
      </c>
      <c r="AV575" s="50">
        <f t="shared" si="1647"/>
        <v>-67.283248282485772</v>
      </c>
      <c r="AW575" s="50">
        <f t="shared" si="1647"/>
        <v>-43.559396764670936</v>
      </c>
      <c r="AX575" s="50">
        <f t="shared" si="1647"/>
        <v>-26.652278697244398</v>
      </c>
      <c r="AY575" s="50">
        <f t="shared" si="1647"/>
        <v>-13.588951248772123</v>
      </c>
      <c r="AZ575" s="50">
        <f t="shared" si="1647"/>
        <v>2.0953203255941766</v>
      </c>
      <c r="BA575" s="50">
        <f t="shared" si="1647"/>
        <v>27.166199270116199</v>
      </c>
      <c r="BB575" s="50">
        <f t="shared" si="1647"/>
        <v>39.218272800713216</v>
      </c>
      <c r="BC575" s="50">
        <f t="shared" si="1647"/>
        <v>47.380884692716499</v>
      </c>
      <c r="BD575" s="50">
        <f t="shared" si="1647"/>
        <v>45.375353595080554</v>
      </c>
      <c r="BE575" s="50">
        <f t="shared" si="1647"/>
        <v>57.516372971290977</v>
      </c>
      <c r="BF575" s="50">
        <f t="shared" si="1647"/>
        <v>64.854796003334428</v>
      </c>
      <c r="BJ575" s="116">
        <f t="shared" si="1608"/>
        <v>566</v>
      </c>
    </row>
    <row r="576" spans="1:62" hidden="1" outlineLevel="2">
      <c r="B576" s="12" t="s">
        <v>250</v>
      </c>
      <c r="C576" s="93">
        <f>AVERAGEIFS($O576:$BG576,$O$5:$BG$5,C$5)</f>
        <v>0.375</v>
      </c>
      <c r="D576" s="93">
        <f t="shared" ref="D576:M576" si="1648">AVERAGEIFS($O576:$BG576,$O$5:$BG$5,D$5)</f>
        <v>0.375</v>
      </c>
      <c r="E576" s="93">
        <f t="shared" si="1648"/>
        <v>0.375</v>
      </c>
      <c r="F576" s="93">
        <f t="shared" si="1648"/>
        <v>0.375</v>
      </c>
      <c r="G576" s="93">
        <f t="shared" si="1648"/>
        <v>0.375</v>
      </c>
      <c r="H576" s="93">
        <f t="shared" si="1648"/>
        <v>0.375</v>
      </c>
      <c r="I576" s="93">
        <f t="shared" si="1648"/>
        <v>0.375</v>
      </c>
      <c r="J576" s="93">
        <f t="shared" si="1648"/>
        <v>0.375</v>
      </c>
      <c r="K576" s="93">
        <f t="shared" si="1648"/>
        <v>0.24</v>
      </c>
      <c r="L576" s="93">
        <f t="shared" si="1648"/>
        <v>0.24</v>
      </c>
      <c r="M576" s="93">
        <f t="shared" si="1648"/>
        <v>0.24</v>
      </c>
      <c r="O576" s="181">
        <v>0.375</v>
      </c>
      <c r="P576" s="181">
        <v>0.375</v>
      </c>
      <c r="Q576" s="181">
        <v>0.375</v>
      </c>
      <c r="R576" s="181">
        <v>0.375</v>
      </c>
      <c r="S576" s="181">
        <v>0.375</v>
      </c>
      <c r="T576" s="181">
        <v>0.375</v>
      </c>
      <c r="U576" s="181">
        <v>0.375</v>
      </c>
      <c r="V576" s="181">
        <v>0.375</v>
      </c>
      <c r="W576" s="181">
        <v>0.375</v>
      </c>
      <c r="X576" s="181">
        <v>0.375</v>
      </c>
      <c r="Y576" s="181">
        <v>0.375</v>
      </c>
      <c r="Z576" s="181">
        <v>0.375</v>
      </c>
      <c r="AA576" s="181">
        <v>0.375</v>
      </c>
      <c r="AB576" s="181">
        <v>0.375</v>
      </c>
      <c r="AC576" s="181">
        <v>0.375</v>
      </c>
      <c r="AD576" s="181">
        <v>0.375</v>
      </c>
      <c r="AE576" s="181">
        <v>0.375</v>
      </c>
      <c r="AF576" s="181">
        <v>0.375</v>
      </c>
      <c r="AG576" s="181">
        <v>0.375</v>
      </c>
      <c r="AH576" s="181">
        <v>0.375</v>
      </c>
      <c r="AI576" s="181">
        <v>0.375</v>
      </c>
      <c r="AJ576" s="181">
        <v>0.375</v>
      </c>
      <c r="AK576" s="181">
        <v>0.375</v>
      </c>
      <c r="AL576" s="181">
        <v>0.375</v>
      </c>
      <c r="AM576" s="181">
        <v>0.375</v>
      </c>
      <c r="AN576" s="181">
        <v>0.375</v>
      </c>
      <c r="AO576" s="181">
        <v>0.375</v>
      </c>
      <c r="AP576" s="181">
        <v>0.375</v>
      </c>
      <c r="AQ576" s="181">
        <v>0.375</v>
      </c>
      <c r="AR576" s="181">
        <v>0.375</v>
      </c>
      <c r="AS576" s="181">
        <v>0.375</v>
      </c>
      <c r="AT576" s="181">
        <v>0.375</v>
      </c>
      <c r="AU576" s="181">
        <v>0.24</v>
      </c>
      <c r="AV576" s="181">
        <v>0.24</v>
      </c>
      <c r="AW576" s="181">
        <v>0.24</v>
      </c>
      <c r="AX576" s="181">
        <v>0.24</v>
      </c>
      <c r="AY576" s="181">
        <v>0.24</v>
      </c>
      <c r="AZ576" s="181">
        <v>0.24</v>
      </c>
      <c r="BA576" s="181">
        <v>0.24</v>
      </c>
      <c r="BB576" s="181">
        <v>0.24</v>
      </c>
      <c r="BC576" s="181">
        <v>0.24</v>
      </c>
      <c r="BD576" s="181">
        <v>0.24</v>
      </c>
      <c r="BE576" s="181">
        <v>0.24</v>
      </c>
      <c r="BF576" s="181">
        <v>0.24</v>
      </c>
      <c r="BJ576" s="116">
        <f t="shared" si="1608"/>
        <v>567</v>
      </c>
    </row>
    <row r="577" spans="1:62" hidden="1" outlineLevel="2">
      <c r="B577" s="12" t="s">
        <v>251</v>
      </c>
      <c r="C577" s="102">
        <f t="shared" ref="C577:M577" si="1649">INDEX($O577:$BG577,1,MATCH(C$4,$O$4:$BG$4,0))</f>
        <v>0</v>
      </c>
      <c r="D577" s="102">
        <f t="shared" si="1649"/>
        <v>0</v>
      </c>
      <c r="E577" s="102">
        <f t="shared" si="1649"/>
        <v>0</v>
      </c>
      <c r="F577" s="102">
        <f t="shared" si="1649"/>
        <v>0</v>
      </c>
      <c r="G577" s="102">
        <f t="shared" si="1649"/>
        <v>0</v>
      </c>
      <c r="H577" s="102">
        <f t="shared" si="1649"/>
        <v>0</v>
      </c>
      <c r="I577" s="102">
        <f t="shared" si="1649"/>
        <v>0</v>
      </c>
      <c r="J577" s="102">
        <f t="shared" si="1649"/>
        <v>0</v>
      </c>
      <c r="K577" s="102">
        <f t="shared" si="1649"/>
        <v>0</v>
      </c>
      <c r="L577" s="102">
        <f t="shared" si="1649"/>
        <v>0</v>
      </c>
      <c r="M577" s="102">
        <f t="shared" si="1649"/>
        <v>0</v>
      </c>
      <c r="O577" s="50">
        <v>0</v>
      </c>
      <c r="P577" s="50">
        <v>0</v>
      </c>
      <c r="Q577" s="50">
        <v>0</v>
      </c>
      <c r="R577" s="50">
        <v>0</v>
      </c>
      <c r="S577" s="50">
        <v>0</v>
      </c>
      <c r="T577" s="50">
        <v>0</v>
      </c>
      <c r="U577" s="50">
        <v>0</v>
      </c>
      <c r="V577" s="50">
        <v>0</v>
      </c>
      <c r="W577" s="50">
        <v>0</v>
      </c>
      <c r="X577" s="50">
        <v>0</v>
      </c>
      <c r="Y577" s="50">
        <v>0</v>
      </c>
      <c r="Z577" s="50">
        <v>0</v>
      </c>
      <c r="AA577" s="50">
        <v>0</v>
      </c>
      <c r="AB577" s="50">
        <v>0</v>
      </c>
      <c r="AC577" s="50">
        <v>0</v>
      </c>
      <c r="AD577" s="50">
        <v>0</v>
      </c>
      <c r="AE577" s="50">
        <v>0</v>
      </c>
      <c r="AF577" s="50">
        <v>0</v>
      </c>
      <c r="AG577" s="50">
        <v>0</v>
      </c>
      <c r="AH577" s="50">
        <v>0</v>
      </c>
      <c r="AI577" s="50">
        <v>0</v>
      </c>
      <c r="AJ577" s="50">
        <v>0</v>
      </c>
      <c r="AK577" s="50">
        <v>0</v>
      </c>
      <c r="AL577" s="50">
        <v>0</v>
      </c>
      <c r="AM577" s="50">
        <v>0</v>
      </c>
      <c r="AN577" s="50">
        <v>0</v>
      </c>
      <c r="AO577" s="50">
        <v>0</v>
      </c>
      <c r="AP577" s="50">
        <v>0</v>
      </c>
      <c r="AQ577" s="50">
        <v>0</v>
      </c>
      <c r="AR577" s="50">
        <v>0</v>
      </c>
      <c r="AS577" s="50">
        <v>0</v>
      </c>
      <c r="AT577" s="50">
        <v>0</v>
      </c>
      <c r="AU577" s="50">
        <v>0</v>
      </c>
      <c r="AV577" s="50">
        <v>0</v>
      </c>
      <c r="AW577" s="50">
        <v>0</v>
      </c>
      <c r="AX577" s="50">
        <v>0</v>
      </c>
      <c r="AY577" s="50">
        <v>0</v>
      </c>
      <c r="AZ577" s="50">
        <v>0</v>
      </c>
      <c r="BA577" s="50">
        <v>0</v>
      </c>
      <c r="BB577" s="50">
        <v>0</v>
      </c>
      <c r="BC577" s="50">
        <v>0</v>
      </c>
      <c r="BD577" s="50">
        <v>0</v>
      </c>
      <c r="BE577" s="50">
        <v>0</v>
      </c>
      <c r="BF577" s="50">
        <v>0</v>
      </c>
      <c r="BJ577" s="116">
        <f t="shared" si="1608"/>
        <v>568</v>
      </c>
    </row>
    <row r="578" spans="1:62" hidden="1" outlineLevel="2">
      <c r="B578" s="12" t="s">
        <v>372</v>
      </c>
      <c r="C578" s="102">
        <f t="shared" ref="C578:M578" si="1650">+C341</f>
        <v>0</v>
      </c>
      <c r="D578" s="102">
        <f t="shared" si="1650"/>
        <v>0</v>
      </c>
      <c r="E578" s="102">
        <f t="shared" si="1650"/>
        <v>0</v>
      </c>
      <c r="F578" s="102">
        <f t="shared" si="1650"/>
        <v>-47.167999999999999</v>
      </c>
      <c r="G578" s="102">
        <f t="shared" si="1650"/>
        <v>-59.145000000000003</v>
      </c>
      <c r="H578" s="102">
        <f t="shared" si="1650"/>
        <v>-69.363</v>
      </c>
      <c r="I578" s="102">
        <f t="shared" si="1650"/>
        <v>-50.923999999999992</v>
      </c>
      <c r="J578" s="102">
        <f t="shared" si="1650"/>
        <v>-68.503</v>
      </c>
      <c r="K578" s="102">
        <f t="shared" si="1650"/>
        <v>-68.141999999999996</v>
      </c>
      <c r="L578" s="102">
        <f t="shared" si="1650"/>
        <v>-68.141999999999996</v>
      </c>
      <c r="M578" s="102">
        <f t="shared" si="1650"/>
        <v>-68.141999999999996</v>
      </c>
      <c r="O578" s="102">
        <f t="shared" ref="O578:BF578" si="1651">+O341</f>
        <v>0</v>
      </c>
      <c r="P578" s="102">
        <f t="shared" si="1651"/>
        <v>0</v>
      </c>
      <c r="Q578" s="102">
        <f t="shared" si="1651"/>
        <v>0</v>
      </c>
      <c r="R578" s="102">
        <f t="shared" si="1651"/>
        <v>0</v>
      </c>
      <c r="S578" s="102">
        <f t="shared" si="1651"/>
        <v>0</v>
      </c>
      <c r="T578" s="102">
        <f t="shared" si="1651"/>
        <v>0</v>
      </c>
      <c r="U578" s="102">
        <f t="shared" si="1651"/>
        <v>0</v>
      </c>
      <c r="V578" s="102">
        <f t="shared" si="1651"/>
        <v>0</v>
      </c>
      <c r="W578" s="102">
        <f t="shared" si="1651"/>
        <v>0</v>
      </c>
      <c r="X578" s="102">
        <f t="shared" si="1651"/>
        <v>0</v>
      </c>
      <c r="Y578" s="102">
        <f t="shared" si="1651"/>
        <v>0</v>
      </c>
      <c r="Z578" s="102">
        <f t="shared" si="1651"/>
        <v>0</v>
      </c>
      <c r="AA578" s="102">
        <f t="shared" si="1651"/>
        <v>0</v>
      </c>
      <c r="AB578" s="102">
        <f t="shared" si="1651"/>
        <v>-23.552</v>
      </c>
      <c r="AC578" s="102">
        <f t="shared" si="1651"/>
        <v>-11.805</v>
      </c>
      <c r="AD578" s="102">
        <f t="shared" si="1651"/>
        <v>-11.811</v>
      </c>
      <c r="AE578" s="102">
        <f t="shared" si="1651"/>
        <v>-11.893000000000001</v>
      </c>
      <c r="AF578" s="102">
        <f t="shared" si="1651"/>
        <v>-11.899000000000001</v>
      </c>
      <c r="AG578" s="102">
        <f t="shared" si="1651"/>
        <v>-17.988999999999997</v>
      </c>
      <c r="AH578" s="102">
        <f t="shared" si="1651"/>
        <v>-17.364000000000004</v>
      </c>
      <c r="AI578" s="102">
        <f t="shared" si="1651"/>
        <v>-17.47</v>
      </c>
      <c r="AJ578" s="102">
        <f t="shared" si="1651"/>
        <v>-17.509999999999998</v>
      </c>
      <c r="AK578" s="102">
        <f t="shared" si="1651"/>
        <v>-17.509</v>
      </c>
      <c r="AL578" s="102">
        <f t="shared" si="1651"/>
        <v>-16.874000000000002</v>
      </c>
      <c r="AM578" s="102">
        <f t="shared" si="1651"/>
        <v>-16.922000000000001</v>
      </c>
      <c r="AN578" s="102">
        <f t="shared" si="1651"/>
        <v>0</v>
      </c>
      <c r="AO578" s="102">
        <f t="shared" si="1651"/>
        <v>-17.004999999999999</v>
      </c>
      <c r="AP578" s="102">
        <f t="shared" si="1651"/>
        <v>-16.996999999999996</v>
      </c>
      <c r="AQ578" s="102">
        <f t="shared" si="1651"/>
        <v>-17.04</v>
      </c>
      <c r="AR578" s="102">
        <f t="shared" si="1651"/>
        <v>-17.157000000000004</v>
      </c>
      <c r="AS578" s="102">
        <f t="shared" si="1651"/>
        <v>-17.148999999999994</v>
      </c>
      <c r="AT578" s="102">
        <f t="shared" si="1651"/>
        <v>-17.157000000000004</v>
      </c>
      <c r="AU578" s="102">
        <f t="shared" si="1651"/>
        <v>-17.035499999999999</v>
      </c>
      <c r="AV578" s="102">
        <f t="shared" si="1651"/>
        <v>-17.035499999999999</v>
      </c>
      <c r="AW578" s="102">
        <f t="shared" si="1651"/>
        <v>-17.035499999999999</v>
      </c>
      <c r="AX578" s="102">
        <f t="shared" si="1651"/>
        <v>-17.035499999999999</v>
      </c>
      <c r="AY578" s="102">
        <f t="shared" si="1651"/>
        <v>-17.035499999999999</v>
      </c>
      <c r="AZ578" s="102">
        <f t="shared" si="1651"/>
        <v>-17.035499999999999</v>
      </c>
      <c r="BA578" s="102">
        <f t="shared" si="1651"/>
        <v>-17.035499999999999</v>
      </c>
      <c r="BB578" s="102">
        <f t="shared" si="1651"/>
        <v>-17.035499999999999</v>
      </c>
      <c r="BC578" s="102">
        <f t="shared" si="1651"/>
        <v>-17.035499999999999</v>
      </c>
      <c r="BD578" s="102">
        <f t="shared" si="1651"/>
        <v>-17.035499999999999</v>
      </c>
      <c r="BE578" s="102">
        <f t="shared" si="1651"/>
        <v>-17.035499999999999</v>
      </c>
      <c r="BF578" s="102">
        <f t="shared" si="1651"/>
        <v>-17.035499999999999</v>
      </c>
      <c r="BJ578" s="116">
        <f t="shared" si="1608"/>
        <v>569</v>
      </c>
    </row>
    <row r="579" spans="1:62" hidden="1" outlineLevel="2">
      <c r="B579" s="12" t="s">
        <v>373</v>
      </c>
      <c r="C579" s="102">
        <f t="shared" ref="C579:M579" si="1652">+C342+C343</f>
        <v>1.5540000000000003</v>
      </c>
      <c r="D579" s="102">
        <f t="shared" si="1652"/>
        <v>8.979000000000001</v>
      </c>
      <c r="E579" s="102">
        <f t="shared" si="1652"/>
        <v>-5.7850000000000001</v>
      </c>
      <c r="F579" s="102">
        <f t="shared" si="1652"/>
        <v>5.383</v>
      </c>
      <c r="G579" s="102">
        <f t="shared" si="1652"/>
        <v>-290.649</v>
      </c>
      <c r="H579" s="102">
        <f t="shared" si="1652"/>
        <v>-98.301999999999992</v>
      </c>
      <c r="I579" s="102">
        <f t="shared" si="1652"/>
        <v>-0.72</v>
      </c>
      <c r="J579" s="102">
        <f t="shared" si="1652"/>
        <v>-9.7710000000000008</v>
      </c>
      <c r="K579" s="102">
        <f t="shared" si="1652"/>
        <v>0</v>
      </c>
      <c r="L579" s="102">
        <f t="shared" si="1652"/>
        <v>0</v>
      </c>
      <c r="M579" s="102">
        <f t="shared" si="1652"/>
        <v>0</v>
      </c>
      <c r="O579" s="102">
        <f t="shared" ref="O579:BF579" si="1653">+O342+O343</f>
        <v>-1.6590000000000003</v>
      </c>
      <c r="P579" s="102">
        <f t="shared" si="1653"/>
        <v>-0.20700000000000029</v>
      </c>
      <c r="Q579" s="102">
        <f t="shared" si="1653"/>
        <v>0.6410000000000009</v>
      </c>
      <c r="R579" s="102">
        <f t="shared" si="1653"/>
        <v>2.7790000000000004</v>
      </c>
      <c r="S579" s="102">
        <f t="shared" si="1653"/>
        <v>7.07</v>
      </c>
      <c r="T579" s="102">
        <f t="shared" si="1653"/>
        <v>2.0249999999999999</v>
      </c>
      <c r="U579" s="102">
        <f t="shared" si="1653"/>
        <v>0.48900000000000077</v>
      </c>
      <c r="V579" s="102">
        <f t="shared" si="1653"/>
        <v>-0.60499999999999998</v>
      </c>
      <c r="W579" s="102">
        <f t="shared" si="1653"/>
        <v>-7.0890000000000004</v>
      </c>
      <c r="X579" s="102">
        <f t="shared" si="1653"/>
        <v>-4.7999999999999821E-2</v>
      </c>
      <c r="Y579" s="102">
        <f t="shared" si="1653"/>
        <v>1.0590000000000002</v>
      </c>
      <c r="Z579" s="102">
        <f t="shared" si="1653"/>
        <v>0.29299999999999971</v>
      </c>
      <c r="AA579" s="102">
        <f t="shared" si="1653"/>
        <v>1.0269999999999999</v>
      </c>
      <c r="AB579" s="102">
        <f t="shared" si="1653"/>
        <v>2.173</v>
      </c>
      <c r="AC579" s="102">
        <f t="shared" si="1653"/>
        <v>1.1749999999999998</v>
      </c>
      <c r="AD579" s="102">
        <f t="shared" si="1653"/>
        <v>1.0080000000000002</v>
      </c>
      <c r="AE579" s="102">
        <f t="shared" si="1653"/>
        <v>4.931</v>
      </c>
      <c r="AF579" s="102">
        <f t="shared" si="1653"/>
        <v>-46.759</v>
      </c>
      <c r="AG579" s="102">
        <f t="shared" si="1653"/>
        <v>-248.84399999999999</v>
      </c>
      <c r="AH579" s="102">
        <f t="shared" si="1653"/>
        <v>2.3000000000004128E-2</v>
      </c>
      <c r="AI579" s="102">
        <f t="shared" si="1653"/>
        <v>0.182</v>
      </c>
      <c r="AJ579" s="102">
        <f t="shared" si="1653"/>
        <v>1.016</v>
      </c>
      <c r="AK579" s="102">
        <f t="shared" si="1653"/>
        <v>-44.978000000000002</v>
      </c>
      <c r="AL579" s="102">
        <f t="shared" si="1653"/>
        <v>-54.521999999999998</v>
      </c>
      <c r="AM579" s="102">
        <f t="shared" si="1653"/>
        <v>-1.6870000000000001</v>
      </c>
      <c r="AN579" s="102">
        <f t="shared" si="1653"/>
        <v>3.9E-2</v>
      </c>
      <c r="AO579" s="102">
        <f t="shared" si="1653"/>
        <v>0.52300000000000002</v>
      </c>
      <c r="AP579" s="102">
        <f t="shared" si="1653"/>
        <v>0.40499999999999997</v>
      </c>
      <c r="AQ579" s="102">
        <f t="shared" si="1653"/>
        <v>0</v>
      </c>
      <c r="AR579" s="102">
        <f t="shared" si="1653"/>
        <v>8.3000000000000007</v>
      </c>
      <c r="AS579" s="102">
        <f t="shared" si="1653"/>
        <v>0</v>
      </c>
      <c r="AT579" s="102">
        <f t="shared" si="1653"/>
        <v>-18.071000000000002</v>
      </c>
      <c r="AU579" s="102">
        <f t="shared" si="1653"/>
        <v>0</v>
      </c>
      <c r="AV579" s="102">
        <f t="shared" si="1653"/>
        <v>0</v>
      </c>
      <c r="AW579" s="102">
        <f t="shared" si="1653"/>
        <v>0</v>
      </c>
      <c r="AX579" s="102">
        <f t="shared" si="1653"/>
        <v>0</v>
      </c>
      <c r="AY579" s="102">
        <f t="shared" si="1653"/>
        <v>0</v>
      </c>
      <c r="AZ579" s="102">
        <f t="shared" si="1653"/>
        <v>0</v>
      </c>
      <c r="BA579" s="102">
        <f t="shared" si="1653"/>
        <v>0</v>
      </c>
      <c r="BB579" s="102">
        <f t="shared" si="1653"/>
        <v>0</v>
      </c>
      <c r="BC579" s="102">
        <f t="shared" si="1653"/>
        <v>0</v>
      </c>
      <c r="BD579" s="102">
        <f t="shared" si="1653"/>
        <v>0</v>
      </c>
      <c r="BE579" s="102">
        <f t="shared" si="1653"/>
        <v>0</v>
      </c>
      <c r="BF579" s="102">
        <f t="shared" si="1653"/>
        <v>0</v>
      </c>
      <c r="BJ579" s="116">
        <f t="shared" si="1608"/>
        <v>570</v>
      </c>
    </row>
    <row r="580" spans="1:62" hidden="1" outlineLevel="2">
      <c r="B580" s="12" t="s">
        <v>104</v>
      </c>
      <c r="C580" s="102">
        <f t="shared" ref="C580:M580" si="1654">+C326</f>
        <v>13.746</v>
      </c>
      <c r="D580" s="102">
        <f t="shared" si="1654"/>
        <v>21.244</v>
      </c>
      <c r="E580" s="102">
        <f t="shared" si="1654"/>
        <v>18.312000000000001</v>
      </c>
      <c r="F580" s="102">
        <f t="shared" si="1654"/>
        <v>53.255000000000003</v>
      </c>
      <c r="G580" s="102">
        <f t="shared" si="1654"/>
        <v>37.19</v>
      </c>
      <c r="H580" s="102">
        <f t="shared" si="1654"/>
        <v>47.313000000000002</v>
      </c>
      <c r="I580" s="102">
        <f t="shared" si="1654"/>
        <v>32</v>
      </c>
      <c r="J580" s="102">
        <f t="shared" si="1654"/>
        <v>31.896000000000001</v>
      </c>
      <c r="K580" s="102">
        <f t="shared" si="1654"/>
        <v>27.35600000000003</v>
      </c>
      <c r="L580" s="102">
        <f t="shared" si="1654"/>
        <v>27.35600000000003</v>
      </c>
      <c r="M580" s="102">
        <f t="shared" si="1654"/>
        <v>27.35600000000003</v>
      </c>
      <c r="O580" s="102">
        <f t="shared" ref="O580:AQ580" si="1655">+O326</f>
        <v>3.4609999999999999</v>
      </c>
      <c r="P580" s="102">
        <f t="shared" si="1655"/>
        <v>3.5859999999999999</v>
      </c>
      <c r="Q580" s="102">
        <f t="shared" si="1655"/>
        <v>3.5550000000000002</v>
      </c>
      <c r="R580" s="102">
        <f t="shared" si="1655"/>
        <v>3.1439999999999997</v>
      </c>
      <c r="S580" s="102">
        <f t="shared" si="1655"/>
        <v>3.9449999999999998</v>
      </c>
      <c r="T580" s="102">
        <f t="shared" si="1655"/>
        <v>4.161999999999999</v>
      </c>
      <c r="U580" s="102">
        <f t="shared" si="1655"/>
        <v>9.1419999999999995</v>
      </c>
      <c r="V580" s="102">
        <f t="shared" si="1655"/>
        <v>3.995000000000001</v>
      </c>
      <c r="W580" s="102">
        <f t="shared" si="1655"/>
        <v>4.4539999999999997</v>
      </c>
      <c r="X580" s="102">
        <f t="shared" si="1655"/>
        <v>4.330000000000001</v>
      </c>
      <c r="Y580" s="102">
        <f t="shared" si="1655"/>
        <v>4.7569999999999988</v>
      </c>
      <c r="Z580" s="102">
        <f t="shared" si="1655"/>
        <v>4.7709999999999999</v>
      </c>
      <c r="AA580" s="102">
        <f t="shared" si="1655"/>
        <v>32.853000000000002</v>
      </c>
      <c r="AB580" s="102">
        <f t="shared" si="1655"/>
        <v>5.9709999999999965</v>
      </c>
      <c r="AC580" s="102">
        <f t="shared" si="1655"/>
        <v>7.0740000000000052</v>
      </c>
      <c r="AD580" s="102">
        <f t="shared" si="1655"/>
        <v>7.3569999999999993</v>
      </c>
      <c r="AE580" s="102">
        <f t="shared" si="1655"/>
        <v>10.685</v>
      </c>
      <c r="AF580" s="102">
        <f t="shared" si="1655"/>
        <v>8.6159999999999979</v>
      </c>
      <c r="AG580" s="102">
        <f t="shared" si="1655"/>
        <v>8.8399999999999981</v>
      </c>
      <c r="AH580" s="102">
        <f t="shared" si="1655"/>
        <v>9.0490000000000013</v>
      </c>
      <c r="AI580" s="102">
        <f t="shared" si="1655"/>
        <v>13.691000000000001</v>
      </c>
      <c r="AJ580" s="102">
        <f t="shared" si="1655"/>
        <v>16.411000000000001</v>
      </c>
      <c r="AK580" s="102">
        <f t="shared" si="1655"/>
        <v>8.9219999999999988</v>
      </c>
      <c r="AL580" s="102">
        <f t="shared" si="1655"/>
        <v>8.2890000000000033</v>
      </c>
      <c r="AM580" s="102">
        <f t="shared" si="1655"/>
        <v>7.3739999999999997</v>
      </c>
      <c r="AN580" s="102">
        <f t="shared" si="1655"/>
        <v>9.2220000000000013</v>
      </c>
      <c r="AO580" s="102">
        <f t="shared" si="1655"/>
        <v>7.4739999999999993</v>
      </c>
      <c r="AP580" s="102">
        <f t="shared" si="1655"/>
        <v>7.9299999999999988</v>
      </c>
      <c r="AQ580" s="102">
        <f t="shared" si="1655"/>
        <v>10.28</v>
      </c>
      <c r="AR580" s="102">
        <f t="shared" ref="AR580:AS580" si="1656">+AR326</f>
        <v>7.7650000000000023</v>
      </c>
      <c r="AS580" s="102">
        <f t="shared" si="1656"/>
        <v>7.0119999999999951</v>
      </c>
      <c r="AT580" s="102">
        <f t="shared" ref="AT580" si="1657">+AT326</f>
        <v>6.8390000000000075</v>
      </c>
      <c r="AU580" s="102">
        <f t="shared" ref="AU580:BF580" si="1658">+AU326</f>
        <v>6.8390000000000075</v>
      </c>
      <c r="AV580" s="102">
        <f t="shared" si="1658"/>
        <v>6.8390000000000075</v>
      </c>
      <c r="AW580" s="102">
        <f t="shared" si="1658"/>
        <v>6.8390000000000075</v>
      </c>
      <c r="AX580" s="102">
        <f t="shared" si="1658"/>
        <v>6.8390000000000075</v>
      </c>
      <c r="AY580" s="102">
        <f t="shared" si="1658"/>
        <v>6.8390000000000075</v>
      </c>
      <c r="AZ580" s="102">
        <f t="shared" si="1658"/>
        <v>6.8390000000000075</v>
      </c>
      <c r="BA580" s="102">
        <f t="shared" si="1658"/>
        <v>6.8390000000000075</v>
      </c>
      <c r="BB580" s="102">
        <f t="shared" si="1658"/>
        <v>6.8390000000000075</v>
      </c>
      <c r="BC580" s="102">
        <f t="shared" si="1658"/>
        <v>6.8390000000000075</v>
      </c>
      <c r="BD580" s="102">
        <f t="shared" si="1658"/>
        <v>6.8390000000000075</v>
      </c>
      <c r="BE580" s="102">
        <f t="shared" si="1658"/>
        <v>6.8390000000000075</v>
      </c>
      <c r="BF580" s="102">
        <f t="shared" si="1658"/>
        <v>6.8390000000000075</v>
      </c>
      <c r="BJ580" s="116">
        <f t="shared" si="1608"/>
        <v>571</v>
      </c>
    </row>
    <row r="581" spans="1:62" hidden="1" outlineLevel="2">
      <c r="B581" s="1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O581" s="50"/>
      <c r="P581" s="50"/>
      <c r="Q581" s="50"/>
      <c r="R581" s="50"/>
      <c r="S581" s="50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D581" s="50"/>
      <c r="AE581" s="50"/>
      <c r="AF581" s="50"/>
      <c r="AG581" s="50"/>
      <c r="AH581" s="50"/>
      <c r="AI581" s="50"/>
      <c r="AJ581" s="50"/>
      <c r="AK581" s="50"/>
      <c r="AL581" s="50"/>
      <c r="AM581" s="50"/>
      <c r="AN581" s="50"/>
      <c r="AO581" s="50"/>
      <c r="AP581" s="50"/>
      <c r="AQ581" s="50"/>
      <c r="AR581" s="50"/>
      <c r="AS581" s="50"/>
      <c r="AT581" s="50"/>
      <c r="AU581" s="50"/>
      <c r="AV581" s="50"/>
      <c r="AW581" s="50"/>
      <c r="AX581" s="50"/>
      <c r="AY581" s="50"/>
      <c r="AZ581" s="50"/>
      <c r="BA581" s="50"/>
      <c r="BB581" s="50"/>
      <c r="BC581" s="50"/>
      <c r="BD581" s="50"/>
      <c r="BE581" s="50"/>
      <c r="BF581" s="50"/>
      <c r="BJ581" s="116">
        <f t="shared" si="1608"/>
        <v>572</v>
      </c>
    </row>
    <row r="582" spans="1:62" hidden="1" outlineLevel="2">
      <c r="B582" s="1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O582" s="50"/>
      <c r="P582" s="50"/>
      <c r="Q582" s="50"/>
      <c r="R582" s="50"/>
      <c r="S582" s="50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D582" s="50"/>
      <c r="AE582" s="50"/>
      <c r="AF582" s="50"/>
      <c r="AG582" s="50"/>
      <c r="AH582" s="50"/>
      <c r="AI582" s="50"/>
      <c r="AJ582" s="50"/>
      <c r="AK582" s="50"/>
      <c r="AL582" s="50"/>
      <c r="AM582" s="50"/>
      <c r="AN582" s="50"/>
      <c r="AO582" s="50"/>
      <c r="AP582" s="50"/>
      <c r="AQ582" s="50"/>
      <c r="AR582" s="50"/>
      <c r="AS582" s="50"/>
      <c r="AT582" s="50"/>
      <c r="AU582" s="50"/>
      <c r="AV582" s="50"/>
      <c r="AW582" s="50"/>
      <c r="AX582" s="50"/>
      <c r="AY582" s="50"/>
      <c r="AZ582" s="50"/>
      <c r="BA582" s="50"/>
      <c r="BB582" s="50"/>
      <c r="BC582" s="50"/>
      <c r="BD582" s="50"/>
      <c r="BE582" s="50"/>
      <c r="BF582" s="50"/>
      <c r="BJ582" s="116">
        <f t="shared" si="1608"/>
        <v>573</v>
      </c>
    </row>
    <row r="583" spans="1:62" outlineLevel="1" collapsed="1">
      <c r="B583" s="12"/>
      <c r="BJ583" s="116">
        <f t="shared" si="1608"/>
        <v>574</v>
      </c>
    </row>
    <row r="584" spans="1:62">
      <c r="A584"/>
      <c r="N584"/>
    </row>
  </sheetData>
  <sortState ref="A498:BF522">
    <sortCondition descending="1" ref="AQ498:AQ522"/>
  </sortState>
  <conditionalFormatting sqref="B382">
    <cfRule type="cellIs" dxfId="7" priority="9" stopIfTrue="1" operator="equal">
      <formula>0</formula>
    </cfRule>
  </conditionalFormatting>
  <conditionalFormatting sqref="C382:BF382">
    <cfRule type="cellIs" dxfId="6" priority="7" operator="equal">
      <formula>0</formula>
    </cfRule>
  </conditionalFormatting>
  <conditionalFormatting sqref="C2:BF2">
    <cfRule type="cellIs" dxfId="5" priority="4" operator="equal">
      <formula>0</formula>
    </cfRule>
  </conditionalFormatting>
  <conditionalFormatting sqref="B347">
    <cfRule type="cellIs" dxfId="4" priority="6" stopIfTrue="1" operator="equal">
      <formula>0</formula>
    </cfRule>
  </conditionalFormatting>
  <conditionalFormatting sqref="C347:AS347 AU347:BF347">
    <cfRule type="cellIs" dxfId="3" priority="5" operator="equal">
      <formula>0</formula>
    </cfRule>
  </conditionalFormatting>
  <conditionalFormatting sqref="P473:AS473 AU473:BF473">
    <cfRule type="cellIs" dxfId="2" priority="3" operator="equal">
      <formula>0</formula>
    </cfRule>
  </conditionalFormatting>
  <conditionalFormatting sqref="AT347">
    <cfRule type="cellIs" dxfId="1" priority="2" operator="equal">
      <formula>0</formula>
    </cfRule>
  </conditionalFormatting>
  <conditionalFormatting sqref="AT473">
    <cfRule type="cellIs" dxfId="0" priority="1" operator="equal">
      <formula>0</formula>
    </cfRule>
  </conditionalFormatting>
  <pageMargins left="0" right="0" top="0" bottom="0" header="0" footer="0"/>
  <pageSetup paperSize="5" scale="25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3"/>
  <sheetViews>
    <sheetView workbookViewId="0">
      <selection activeCell="B42" sqref="B42"/>
    </sheetView>
  </sheetViews>
  <sheetFormatPr defaultRowHeight="12.75"/>
  <cols>
    <col min="1" max="1" width="34.5" style="243" bestFit="1" customWidth="1"/>
    <col min="2" max="2" width="23.1640625" style="309" customWidth="1"/>
    <col min="3" max="3" width="14" style="243" bestFit="1" customWidth="1"/>
    <col min="4" max="256" width="9.33203125" style="243"/>
    <col min="257" max="257" width="34.5" style="243" bestFit="1" customWidth="1"/>
    <col min="258" max="258" width="23.1640625" style="243" customWidth="1"/>
    <col min="259" max="259" width="14" style="243" bestFit="1" customWidth="1"/>
    <col min="260" max="512" width="9.33203125" style="243"/>
    <col min="513" max="513" width="34.5" style="243" bestFit="1" customWidth="1"/>
    <col min="514" max="514" width="23.1640625" style="243" customWidth="1"/>
    <col min="515" max="515" width="14" style="243" bestFit="1" customWidth="1"/>
    <col min="516" max="768" width="9.33203125" style="243"/>
    <col min="769" max="769" width="34.5" style="243" bestFit="1" customWidth="1"/>
    <col min="770" max="770" width="23.1640625" style="243" customWidth="1"/>
    <col min="771" max="771" width="14" style="243" bestFit="1" customWidth="1"/>
    <col min="772" max="1024" width="9.33203125" style="243"/>
    <col min="1025" max="1025" width="34.5" style="243" bestFit="1" customWidth="1"/>
    <col min="1026" max="1026" width="23.1640625" style="243" customWidth="1"/>
    <col min="1027" max="1027" width="14" style="243" bestFit="1" customWidth="1"/>
    <col min="1028" max="1280" width="9.33203125" style="243"/>
    <col min="1281" max="1281" width="34.5" style="243" bestFit="1" customWidth="1"/>
    <col min="1282" max="1282" width="23.1640625" style="243" customWidth="1"/>
    <col min="1283" max="1283" width="14" style="243" bestFit="1" customWidth="1"/>
    <col min="1284" max="1536" width="9.33203125" style="243"/>
    <col min="1537" max="1537" width="34.5" style="243" bestFit="1" customWidth="1"/>
    <col min="1538" max="1538" width="23.1640625" style="243" customWidth="1"/>
    <col min="1539" max="1539" width="14" style="243" bestFit="1" customWidth="1"/>
    <col min="1540" max="1792" width="9.33203125" style="243"/>
    <col min="1793" max="1793" width="34.5" style="243" bestFit="1" customWidth="1"/>
    <col min="1794" max="1794" width="23.1640625" style="243" customWidth="1"/>
    <col min="1795" max="1795" width="14" style="243" bestFit="1" customWidth="1"/>
    <col min="1796" max="2048" width="9.33203125" style="243"/>
    <col min="2049" max="2049" width="34.5" style="243" bestFit="1" customWidth="1"/>
    <col min="2050" max="2050" width="23.1640625" style="243" customWidth="1"/>
    <col min="2051" max="2051" width="14" style="243" bestFit="1" customWidth="1"/>
    <col min="2052" max="2304" width="9.33203125" style="243"/>
    <col min="2305" max="2305" width="34.5" style="243" bestFit="1" customWidth="1"/>
    <col min="2306" max="2306" width="23.1640625" style="243" customWidth="1"/>
    <col min="2307" max="2307" width="14" style="243" bestFit="1" customWidth="1"/>
    <col min="2308" max="2560" width="9.33203125" style="243"/>
    <col min="2561" max="2561" width="34.5" style="243" bestFit="1" customWidth="1"/>
    <col min="2562" max="2562" width="23.1640625" style="243" customWidth="1"/>
    <col min="2563" max="2563" width="14" style="243" bestFit="1" customWidth="1"/>
    <col min="2564" max="2816" width="9.33203125" style="243"/>
    <col min="2817" max="2817" width="34.5" style="243" bestFit="1" customWidth="1"/>
    <col min="2818" max="2818" width="23.1640625" style="243" customWidth="1"/>
    <col min="2819" max="2819" width="14" style="243" bestFit="1" customWidth="1"/>
    <col min="2820" max="3072" width="9.33203125" style="243"/>
    <col min="3073" max="3073" width="34.5" style="243" bestFit="1" customWidth="1"/>
    <col min="3074" max="3074" width="23.1640625" style="243" customWidth="1"/>
    <col min="3075" max="3075" width="14" style="243" bestFit="1" customWidth="1"/>
    <col min="3076" max="3328" width="9.33203125" style="243"/>
    <col min="3329" max="3329" width="34.5" style="243" bestFit="1" customWidth="1"/>
    <col min="3330" max="3330" width="23.1640625" style="243" customWidth="1"/>
    <col min="3331" max="3331" width="14" style="243" bestFit="1" customWidth="1"/>
    <col min="3332" max="3584" width="9.33203125" style="243"/>
    <col min="3585" max="3585" width="34.5" style="243" bestFit="1" customWidth="1"/>
    <col min="3586" max="3586" width="23.1640625" style="243" customWidth="1"/>
    <col min="3587" max="3587" width="14" style="243" bestFit="1" customWidth="1"/>
    <col min="3588" max="3840" width="9.33203125" style="243"/>
    <col min="3841" max="3841" width="34.5" style="243" bestFit="1" customWidth="1"/>
    <col min="3842" max="3842" width="23.1640625" style="243" customWidth="1"/>
    <col min="3843" max="3843" width="14" style="243" bestFit="1" customWidth="1"/>
    <col min="3844" max="4096" width="9.33203125" style="243"/>
    <col min="4097" max="4097" width="34.5" style="243" bestFit="1" customWidth="1"/>
    <col min="4098" max="4098" width="23.1640625" style="243" customWidth="1"/>
    <col min="4099" max="4099" width="14" style="243" bestFit="1" customWidth="1"/>
    <col min="4100" max="4352" width="9.33203125" style="243"/>
    <col min="4353" max="4353" width="34.5" style="243" bestFit="1" customWidth="1"/>
    <col min="4354" max="4354" width="23.1640625" style="243" customWidth="1"/>
    <col min="4355" max="4355" width="14" style="243" bestFit="1" customWidth="1"/>
    <col min="4356" max="4608" width="9.33203125" style="243"/>
    <col min="4609" max="4609" width="34.5" style="243" bestFit="1" customWidth="1"/>
    <col min="4610" max="4610" width="23.1640625" style="243" customWidth="1"/>
    <col min="4611" max="4611" width="14" style="243" bestFit="1" customWidth="1"/>
    <col min="4612" max="4864" width="9.33203125" style="243"/>
    <col min="4865" max="4865" width="34.5" style="243" bestFit="1" customWidth="1"/>
    <col min="4866" max="4866" width="23.1640625" style="243" customWidth="1"/>
    <col min="4867" max="4867" width="14" style="243" bestFit="1" customWidth="1"/>
    <col min="4868" max="5120" width="9.33203125" style="243"/>
    <col min="5121" max="5121" width="34.5" style="243" bestFit="1" customWidth="1"/>
    <col min="5122" max="5122" width="23.1640625" style="243" customWidth="1"/>
    <col min="5123" max="5123" width="14" style="243" bestFit="1" customWidth="1"/>
    <col min="5124" max="5376" width="9.33203125" style="243"/>
    <col min="5377" max="5377" width="34.5" style="243" bestFit="1" customWidth="1"/>
    <col min="5378" max="5378" width="23.1640625" style="243" customWidth="1"/>
    <col min="5379" max="5379" width="14" style="243" bestFit="1" customWidth="1"/>
    <col min="5380" max="5632" width="9.33203125" style="243"/>
    <col min="5633" max="5633" width="34.5" style="243" bestFit="1" customWidth="1"/>
    <col min="5634" max="5634" width="23.1640625" style="243" customWidth="1"/>
    <col min="5635" max="5635" width="14" style="243" bestFit="1" customWidth="1"/>
    <col min="5636" max="5888" width="9.33203125" style="243"/>
    <col min="5889" max="5889" width="34.5" style="243" bestFit="1" customWidth="1"/>
    <col min="5890" max="5890" width="23.1640625" style="243" customWidth="1"/>
    <col min="5891" max="5891" width="14" style="243" bestFit="1" customWidth="1"/>
    <col min="5892" max="6144" width="9.33203125" style="243"/>
    <col min="6145" max="6145" width="34.5" style="243" bestFit="1" customWidth="1"/>
    <col min="6146" max="6146" width="23.1640625" style="243" customWidth="1"/>
    <col min="6147" max="6147" width="14" style="243" bestFit="1" customWidth="1"/>
    <col min="6148" max="6400" width="9.33203125" style="243"/>
    <col min="6401" max="6401" width="34.5" style="243" bestFit="1" customWidth="1"/>
    <col min="6402" max="6402" width="23.1640625" style="243" customWidth="1"/>
    <col min="6403" max="6403" width="14" style="243" bestFit="1" customWidth="1"/>
    <col min="6404" max="6656" width="9.33203125" style="243"/>
    <col min="6657" max="6657" width="34.5" style="243" bestFit="1" customWidth="1"/>
    <col min="6658" max="6658" width="23.1640625" style="243" customWidth="1"/>
    <col min="6659" max="6659" width="14" style="243" bestFit="1" customWidth="1"/>
    <col min="6660" max="6912" width="9.33203125" style="243"/>
    <col min="6913" max="6913" width="34.5" style="243" bestFit="1" customWidth="1"/>
    <col min="6914" max="6914" width="23.1640625" style="243" customWidth="1"/>
    <col min="6915" max="6915" width="14" style="243" bestFit="1" customWidth="1"/>
    <col min="6916" max="7168" width="9.33203125" style="243"/>
    <col min="7169" max="7169" width="34.5" style="243" bestFit="1" customWidth="1"/>
    <col min="7170" max="7170" width="23.1640625" style="243" customWidth="1"/>
    <col min="7171" max="7171" width="14" style="243" bestFit="1" customWidth="1"/>
    <col min="7172" max="7424" width="9.33203125" style="243"/>
    <col min="7425" max="7425" width="34.5" style="243" bestFit="1" customWidth="1"/>
    <col min="7426" max="7426" width="23.1640625" style="243" customWidth="1"/>
    <col min="7427" max="7427" width="14" style="243" bestFit="1" customWidth="1"/>
    <col min="7428" max="7680" width="9.33203125" style="243"/>
    <col min="7681" max="7681" width="34.5" style="243" bestFit="1" customWidth="1"/>
    <col min="7682" max="7682" width="23.1640625" style="243" customWidth="1"/>
    <col min="7683" max="7683" width="14" style="243" bestFit="1" customWidth="1"/>
    <col min="7684" max="7936" width="9.33203125" style="243"/>
    <col min="7937" max="7937" width="34.5" style="243" bestFit="1" customWidth="1"/>
    <col min="7938" max="7938" width="23.1640625" style="243" customWidth="1"/>
    <col min="7939" max="7939" width="14" style="243" bestFit="1" customWidth="1"/>
    <col min="7940" max="8192" width="9.33203125" style="243"/>
    <col min="8193" max="8193" width="34.5" style="243" bestFit="1" customWidth="1"/>
    <col min="8194" max="8194" width="23.1640625" style="243" customWidth="1"/>
    <col min="8195" max="8195" width="14" style="243" bestFit="1" customWidth="1"/>
    <col min="8196" max="8448" width="9.33203125" style="243"/>
    <col min="8449" max="8449" width="34.5" style="243" bestFit="1" customWidth="1"/>
    <col min="8450" max="8450" width="23.1640625" style="243" customWidth="1"/>
    <col min="8451" max="8451" width="14" style="243" bestFit="1" customWidth="1"/>
    <col min="8452" max="8704" width="9.33203125" style="243"/>
    <col min="8705" max="8705" width="34.5" style="243" bestFit="1" customWidth="1"/>
    <col min="8706" max="8706" width="23.1640625" style="243" customWidth="1"/>
    <col min="8707" max="8707" width="14" style="243" bestFit="1" customWidth="1"/>
    <col min="8708" max="8960" width="9.33203125" style="243"/>
    <col min="8961" max="8961" width="34.5" style="243" bestFit="1" customWidth="1"/>
    <col min="8962" max="8962" width="23.1640625" style="243" customWidth="1"/>
    <col min="8963" max="8963" width="14" style="243" bestFit="1" customWidth="1"/>
    <col min="8964" max="9216" width="9.33203125" style="243"/>
    <col min="9217" max="9217" width="34.5" style="243" bestFit="1" customWidth="1"/>
    <col min="9218" max="9218" width="23.1640625" style="243" customWidth="1"/>
    <col min="9219" max="9219" width="14" style="243" bestFit="1" customWidth="1"/>
    <col min="9220" max="9472" width="9.33203125" style="243"/>
    <col min="9473" max="9473" width="34.5" style="243" bestFit="1" customWidth="1"/>
    <col min="9474" max="9474" width="23.1640625" style="243" customWidth="1"/>
    <col min="9475" max="9475" width="14" style="243" bestFit="1" customWidth="1"/>
    <col min="9476" max="9728" width="9.33203125" style="243"/>
    <col min="9729" max="9729" width="34.5" style="243" bestFit="1" customWidth="1"/>
    <col min="9730" max="9730" width="23.1640625" style="243" customWidth="1"/>
    <col min="9731" max="9731" width="14" style="243" bestFit="1" customWidth="1"/>
    <col min="9732" max="9984" width="9.33203125" style="243"/>
    <col min="9985" max="9985" width="34.5" style="243" bestFit="1" customWidth="1"/>
    <col min="9986" max="9986" width="23.1640625" style="243" customWidth="1"/>
    <col min="9987" max="9987" width="14" style="243" bestFit="1" customWidth="1"/>
    <col min="9988" max="10240" width="9.33203125" style="243"/>
    <col min="10241" max="10241" width="34.5" style="243" bestFit="1" customWidth="1"/>
    <col min="10242" max="10242" width="23.1640625" style="243" customWidth="1"/>
    <col min="10243" max="10243" width="14" style="243" bestFit="1" customWidth="1"/>
    <col min="10244" max="10496" width="9.33203125" style="243"/>
    <col min="10497" max="10497" width="34.5" style="243" bestFit="1" customWidth="1"/>
    <col min="10498" max="10498" width="23.1640625" style="243" customWidth="1"/>
    <col min="10499" max="10499" width="14" style="243" bestFit="1" customWidth="1"/>
    <col min="10500" max="10752" width="9.33203125" style="243"/>
    <col min="10753" max="10753" width="34.5" style="243" bestFit="1" customWidth="1"/>
    <col min="10754" max="10754" width="23.1640625" style="243" customWidth="1"/>
    <col min="10755" max="10755" width="14" style="243" bestFit="1" customWidth="1"/>
    <col min="10756" max="11008" width="9.33203125" style="243"/>
    <col min="11009" max="11009" width="34.5" style="243" bestFit="1" customWidth="1"/>
    <col min="11010" max="11010" width="23.1640625" style="243" customWidth="1"/>
    <col min="11011" max="11011" width="14" style="243" bestFit="1" customWidth="1"/>
    <col min="11012" max="11264" width="9.33203125" style="243"/>
    <col min="11265" max="11265" width="34.5" style="243" bestFit="1" customWidth="1"/>
    <col min="11266" max="11266" width="23.1640625" style="243" customWidth="1"/>
    <col min="11267" max="11267" width="14" style="243" bestFit="1" customWidth="1"/>
    <col min="11268" max="11520" width="9.33203125" style="243"/>
    <col min="11521" max="11521" width="34.5" style="243" bestFit="1" customWidth="1"/>
    <col min="11522" max="11522" width="23.1640625" style="243" customWidth="1"/>
    <col min="11523" max="11523" width="14" style="243" bestFit="1" customWidth="1"/>
    <col min="11524" max="11776" width="9.33203125" style="243"/>
    <col min="11777" max="11777" width="34.5" style="243" bestFit="1" customWidth="1"/>
    <col min="11778" max="11778" width="23.1640625" style="243" customWidth="1"/>
    <col min="11779" max="11779" width="14" style="243" bestFit="1" customWidth="1"/>
    <col min="11780" max="12032" width="9.33203125" style="243"/>
    <col min="12033" max="12033" width="34.5" style="243" bestFit="1" customWidth="1"/>
    <col min="12034" max="12034" width="23.1640625" style="243" customWidth="1"/>
    <col min="12035" max="12035" width="14" style="243" bestFit="1" customWidth="1"/>
    <col min="12036" max="12288" width="9.33203125" style="243"/>
    <col min="12289" max="12289" width="34.5" style="243" bestFit="1" customWidth="1"/>
    <col min="12290" max="12290" width="23.1640625" style="243" customWidth="1"/>
    <col min="12291" max="12291" width="14" style="243" bestFit="1" customWidth="1"/>
    <col min="12292" max="12544" width="9.33203125" style="243"/>
    <col min="12545" max="12545" width="34.5" style="243" bestFit="1" customWidth="1"/>
    <col min="12546" max="12546" width="23.1640625" style="243" customWidth="1"/>
    <col min="12547" max="12547" width="14" style="243" bestFit="1" customWidth="1"/>
    <col min="12548" max="12800" width="9.33203125" style="243"/>
    <col min="12801" max="12801" width="34.5" style="243" bestFit="1" customWidth="1"/>
    <col min="12802" max="12802" width="23.1640625" style="243" customWidth="1"/>
    <col min="12803" max="12803" width="14" style="243" bestFit="1" customWidth="1"/>
    <col min="12804" max="13056" width="9.33203125" style="243"/>
    <col min="13057" max="13057" width="34.5" style="243" bestFit="1" customWidth="1"/>
    <col min="13058" max="13058" width="23.1640625" style="243" customWidth="1"/>
    <col min="13059" max="13059" width="14" style="243" bestFit="1" customWidth="1"/>
    <col min="13060" max="13312" width="9.33203125" style="243"/>
    <col min="13313" max="13313" width="34.5" style="243" bestFit="1" customWidth="1"/>
    <col min="13314" max="13314" width="23.1640625" style="243" customWidth="1"/>
    <col min="13315" max="13315" width="14" style="243" bestFit="1" customWidth="1"/>
    <col min="13316" max="13568" width="9.33203125" style="243"/>
    <col min="13569" max="13569" width="34.5" style="243" bestFit="1" customWidth="1"/>
    <col min="13570" max="13570" width="23.1640625" style="243" customWidth="1"/>
    <col min="13571" max="13571" width="14" style="243" bestFit="1" customWidth="1"/>
    <col min="13572" max="13824" width="9.33203125" style="243"/>
    <col min="13825" max="13825" width="34.5" style="243" bestFit="1" customWidth="1"/>
    <col min="13826" max="13826" width="23.1640625" style="243" customWidth="1"/>
    <col min="13827" max="13827" width="14" style="243" bestFit="1" customWidth="1"/>
    <col min="13828" max="14080" width="9.33203125" style="243"/>
    <col min="14081" max="14081" width="34.5" style="243" bestFit="1" customWidth="1"/>
    <col min="14082" max="14082" width="23.1640625" style="243" customWidth="1"/>
    <col min="14083" max="14083" width="14" style="243" bestFit="1" customWidth="1"/>
    <col min="14084" max="14336" width="9.33203125" style="243"/>
    <col min="14337" max="14337" width="34.5" style="243" bestFit="1" customWidth="1"/>
    <col min="14338" max="14338" width="23.1640625" style="243" customWidth="1"/>
    <col min="14339" max="14339" width="14" style="243" bestFit="1" customWidth="1"/>
    <col min="14340" max="14592" width="9.33203125" style="243"/>
    <col min="14593" max="14593" width="34.5" style="243" bestFit="1" customWidth="1"/>
    <col min="14594" max="14594" width="23.1640625" style="243" customWidth="1"/>
    <col min="14595" max="14595" width="14" style="243" bestFit="1" customWidth="1"/>
    <col min="14596" max="14848" width="9.33203125" style="243"/>
    <col min="14849" max="14849" width="34.5" style="243" bestFit="1" customWidth="1"/>
    <col min="14850" max="14850" width="23.1640625" style="243" customWidth="1"/>
    <col min="14851" max="14851" width="14" style="243" bestFit="1" customWidth="1"/>
    <col min="14852" max="15104" width="9.33203125" style="243"/>
    <col min="15105" max="15105" width="34.5" style="243" bestFit="1" customWidth="1"/>
    <col min="15106" max="15106" width="23.1640625" style="243" customWidth="1"/>
    <col min="15107" max="15107" width="14" style="243" bestFit="1" customWidth="1"/>
    <col min="15108" max="15360" width="9.33203125" style="243"/>
    <col min="15361" max="15361" width="34.5" style="243" bestFit="1" customWidth="1"/>
    <col min="15362" max="15362" width="23.1640625" style="243" customWidth="1"/>
    <col min="15363" max="15363" width="14" style="243" bestFit="1" customWidth="1"/>
    <col min="15364" max="15616" width="9.33203125" style="243"/>
    <col min="15617" max="15617" width="34.5" style="243" bestFit="1" customWidth="1"/>
    <col min="15618" max="15618" width="23.1640625" style="243" customWidth="1"/>
    <col min="15619" max="15619" width="14" style="243" bestFit="1" customWidth="1"/>
    <col min="15620" max="15872" width="9.33203125" style="243"/>
    <col min="15873" max="15873" width="34.5" style="243" bestFit="1" customWidth="1"/>
    <col min="15874" max="15874" width="23.1640625" style="243" customWidth="1"/>
    <col min="15875" max="15875" width="14" style="243" bestFit="1" customWidth="1"/>
    <col min="15876" max="16128" width="9.33203125" style="243"/>
    <col min="16129" max="16129" width="34.5" style="243" bestFit="1" customWidth="1"/>
    <col min="16130" max="16130" width="23.1640625" style="243" customWidth="1"/>
    <col min="16131" max="16131" width="14" style="243" bestFit="1" customWidth="1"/>
    <col min="16132" max="16384" width="9.33203125" style="243"/>
  </cols>
  <sheetData>
    <row r="1" spans="1:2">
      <c r="A1" s="243" t="s">
        <v>722</v>
      </c>
      <c r="B1" s="308">
        <v>6.1</v>
      </c>
    </row>
    <row r="2" spans="1:2">
      <c r="A2" s="243" t="s">
        <v>723</v>
      </c>
      <c r="B2" s="312">
        <v>43201.465902777774</v>
      </c>
    </row>
    <row r="3" spans="1:2">
      <c r="A3" s="243" t="s">
        <v>724</v>
      </c>
      <c r="B3" s="309" t="s">
        <v>420</v>
      </c>
    </row>
    <row r="4" spans="1:2">
      <c r="A4" s="243" t="s">
        <v>725</v>
      </c>
      <c r="B4" s="309" t="s">
        <v>726</v>
      </c>
    </row>
    <row r="5" spans="1:2">
      <c r="A5" s="243" t="s">
        <v>727</v>
      </c>
      <c r="B5" s="309" t="s">
        <v>728</v>
      </c>
    </row>
    <row r="6" spans="1:2">
      <c r="A6" s="243" t="s">
        <v>729</v>
      </c>
    </row>
    <row r="7" spans="1:2">
      <c r="A7" s="243" t="s">
        <v>730</v>
      </c>
      <c r="B7" s="309" t="s">
        <v>371</v>
      </c>
    </row>
    <row r="8" spans="1:2">
      <c r="A8" s="243" t="s">
        <v>731</v>
      </c>
      <c r="B8" s="309" t="s">
        <v>732</v>
      </c>
    </row>
    <row r="9" spans="1:2">
      <c r="A9" s="243" t="s">
        <v>733</v>
      </c>
      <c r="B9" s="309" t="s">
        <v>771</v>
      </c>
    </row>
    <row r="10" spans="1:2">
      <c r="A10" s="243" t="s">
        <v>734</v>
      </c>
    </row>
    <row r="11" spans="1:2">
      <c r="A11" s="243" t="s">
        <v>735</v>
      </c>
    </row>
    <row r="12" spans="1:2">
      <c r="A12" s="243" t="s">
        <v>736</v>
      </c>
    </row>
    <row r="13" spans="1:2">
      <c r="A13" s="243" t="s">
        <v>737</v>
      </c>
    </row>
    <row r="14" spans="1:2">
      <c r="A14" s="243" t="s">
        <v>738</v>
      </c>
    </row>
    <row r="15" spans="1:2">
      <c r="A15" s="243" t="s">
        <v>739</v>
      </c>
    </row>
    <row r="16" spans="1:2">
      <c r="A16" s="243" t="s">
        <v>740</v>
      </c>
    </row>
    <row r="17" spans="1:4">
      <c r="A17" s="243" t="s">
        <v>741</v>
      </c>
      <c r="B17" s="309" t="s">
        <v>772</v>
      </c>
    </row>
    <row r="18" spans="1:4">
      <c r="A18" s="243" t="s">
        <v>742</v>
      </c>
      <c r="B18" s="309" t="s">
        <v>421</v>
      </c>
    </row>
    <row r="19" spans="1:4">
      <c r="A19" s="243" t="s">
        <v>743</v>
      </c>
      <c r="B19" s="309" t="s">
        <v>370</v>
      </c>
    </row>
    <row r="20" spans="1:4">
      <c r="A20" s="243" t="s">
        <v>744</v>
      </c>
      <c r="B20" s="310" t="s">
        <v>775</v>
      </c>
    </row>
    <row r="21" spans="1:4">
      <c r="A21" s="243" t="s">
        <v>745</v>
      </c>
      <c r="B21" s="309" t="s">
        <v>370</v>
      </c>
    </row>
    <row r="22" spans="1:4">
      <c r="A22" s="243" t="s">
        <v>746</v>
      </c>
      <c r="B22" s="310">
        <v>2963372</v>
      </c>
    </row>
    <row r="23" spans="1:4">
      <c r="A23" s="243" t="s">
        <v>375</v>
      </c>
      <c r="B23" s="308">
        <v>7.59</v>
      </c>
    </row>
    <row r="24" spans="1:4">
      <c r="A24" s="243" t="s">
        <v>374</v>
      </c>
      <c r="B24" s="309" t="s">
        <v>369</v>
      </c>
      <c r="D24" s="243" t="s">
        <v>747</v>
      </c>
    </row>
    <row r="25" spans="1:4">
      <c r="A25" s="243" t="s">
        <v>748</v>
      </c>
      <c r="B25" s="309" t="s">
        <v>776</v>
      </c>
    </row>
    <row r="26" spans="1:4">
      <c r="A26" s="243" t="s">
        <v>749</v>
      </c>
      <c r="B26" s="309">
        <v>0</v>
      </c>
    </row>
    <row r="27" spans="1:4">
      <c r="A27" s="243" t="s">
        <v>750</v>
      </c>
      <c r="B27" s="309" t="s">
        <v>751</v>
      </c>
    </row>
    <row r="28" spans="1:4">
      <c r="A28" s="243" t="s">
        <v>752</v>
      </c>
      <c r="B28" s="309" t="s">
        <v>753</v>
      </c>
    </row>
    <row r="29" spans="1:4">
      <c r="A29" s="243" t="s">
        <v>754</v>
      </c>
    </row>
    <row r="30" spans="1:4">
      <c r="A30" s="243" t="s">
        <v>755</v>
      </c>
    </row>
    <row r="31" spans="1:4">
      <c r="A31" s="243" t="s">
        <v>756</v>
      </c>
    </row>
    <row r="32" spans="1:4">
      <c r="A32" s="243" t="s">
        <v>757</v>
      </c>
      <c r="B32" s="308"/>
    </row>
    <row r="33" spans="1:2">
      <c r="A33" s="243" t="s">
        <v>758</v>
      </c>
      <c r="B33" s="308"/>
    </row>
    <row r="34" spans="1:2">
      <c r="A34" s="243" t="s">
        <v>759</v>
      </c>
      <c r="B34" s="308"/>
    </row>
    <row r="35" spans="1:2">
      <c r="A35" s="243" t="s">
        <v>760</v>
      </c>
      <c r="B35" s="309">
        <v>1000000</v>
      </c>
    </row>
    <row r="36" spans="1:2">
      <c r="A36" s="243" t="s">
        <v>761</v>
      </c>
      <c r="B36" s="309" t="s">
        <v>773</v>
      </c>
    </row>
    <row r="37" spans="1:2">
      <c r="A37" s="243" t="s">
        <v>762</v>
      </c>
      <c r="B37" s="309" t="s">
        <v>763</v>
      </c>
    </row>
    <row r="38" spans="1:2">
      <c r="A38" s="243" t="s">
        <v>764</v>
      </c>
      <c r="B38" s="309" t="s">
        <v>765</v>
      </c>
    </row>
    <row r="39" spans="1:2">
      <c r="A39" s="243" t="s">
        <v>766</v>
      </c>
      <c r="B39" s="309" t="s">
        <v>774</v>
      </c>
    </row>
    <row r="40" spans="1:2">
      <c r="A40" s="243" t="s">
        <v>767</v>
      </c>
      <c r="B40" s="309">
        <v>1500000135</v>
      </c>
    </row>
    <row r="41" spans="1:2">
      <c r="A41" s="243" t="s">
        <v>768</v>
      </c>
      <c r="B41" s="309">
        <v>1</v>
      </c>
    </row>
    <row r="42" spans="1:2">
      <c r="A42" s="311" t="s">
        <v>769</v>
      </c>
    </row>
    <row r="43" spans="1:2">
      <c r="A43" s="243" t="s">
        <v>770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3"/>
  <sheetViews>
    <sheetView workbookViewId="0">
      <selection activeCell="E11" sqref="E11"/>
    </sheetView>
  </sheetViews>
  <sheetFormatPr defaultRowHeight="12.75"/>
  <cols>
    <col min="1" max="1" width="33.33203125" style="243" bestFit="1" customWidth="1"/>
    <col min="2" max="256" width="9.33203125" style="243"/>
    <col min="257" max="257" width="33.33203125" style="243" bestFit="1" customWidth="1"/>
    <col min="258" max="512" width="9.33203125" style="243"/>
    <col min="513" max="513" width="33.33203125" style="243" bestFit="1" customWidth="1"/>
    <col min="514" max="768" width="9.33203125" style="243"/>
    <col min="769" max="769" width="33.33203125" style="243" bestFit="1" customWidth="1"/>
    <col min="770" max="1024" width="9.33203125" style="243"/>
    <col min="1025" max="1025" width="33.33203125" style="243" bestFit="1" customWidth="1"/>
    <col min="1026" max="1280" width="9.33203125" style="243"/>
    <col min="1281" max="1281" width="33.33203125" style="243" bestFit="1" customWidth="1"/>
    <col min="1282" max="1536" width="9.33203125" style="243"/>
    <col min="1537" max="1537" width="33.33203125" style="243" bestFit="1" customWidth="1"/>
    <col min="1538" max="1792" width="9.33203125" style="243"/>
    <col min="1793" max="1793" width="33.33203125" style="243" bestFit="1" customWidth="1"/>
    <col min="1794" max="2048" width="9.33203125" style="243"/>
    <col min="2049" max="2049" width="33.33203125" style="243" bestFit="1" customWidth="1"/>
    <col min="2050" max="2304" width="9.33203125" style="243"/>
    <col min="2305" max="2305" width="33.33203125" style="243" bestFit="1" customWidth="1"/>
    <col min="2306" max="2560" width="9.33203125" style="243"/>
    <col min="2561" max="2561" width="33.33203125" style="243" bestFit="1" customWidth="1"/>
    <col min="2562" max="2816" width="9.33203125" style="243"/>
    <col min="2817" max="2817" width="33.33203125" style="243" bestFit="1" customWidth="1"/>
    <col min="2818" max="3072" width="9.33203125" style="243"/>
    <col min="3073" max="3073" width="33.33203125" style="243" bestFit="1" customWidth="1"/>
    <col min="3074" max="3328" width="9.33203125" style="243"/>
    <col min="3329" max="3329" width="33.33203125" style="243" bestFit="1" customWidth="1"/>
    <col min="3330" max="3584" width="9.33203125" style="243"/>
    <col min="3585" max="3585" width="33.33203125" style="243" bestFit="1" customWidth="1"/>
    <col min="3586" max="3840" width="9.33203125" style="243"/>
    <col min="3841" max="3841" width="33.33203125" style="243" bestFit="1" customWidth="1"/>
    <col min="3842" max="4096" width="9.33203125" style="243"/>
    <col min="4097" max="4097" width="33.33203125" style="243" bestFit="1" customWidth="1"/>
    <col min="4098" max="4352" width="9.33203125" style="243"/>
    <col min="4353" max="4353" width="33.33203125" style="243" bestFit="1" customWidth="1"/>
    <col min="4354" max="4608" width="9.33203125" style="243"/>
    <col min="4609" max="4609" width="33.33203125" style="243" bestFit="1" customWidth="1"/>
    <col min="4610" max="4864" width="9.33203125" style="243"/>
    <col min="4865" max="4865" width="33.33203125" style="243" bestFit="1" customWidth="1"/>
    <col min="4866" max="5120" width="9.33203125" style="243"/>
    <col min="5121" max="5121" width="33.33203125" style="243" bestFit="1" customWidth="1"/>
    <col min="5122" max="5376" width="9.33203125" style="243"/>
    <col min="5377" max="5377" width="33.33203125" style="243" bestFit="1" customWidth="1"/>
    <col min="5378" max="5632" width="9.33203125" style="243"/>
    <col min="5633" max="5633" width="33.33203125" style="243" bestFit="1" customWidth="1"/>
    <col min="5634" max="5888" width="9.33203125" style="243"/>
    <col min="5889" max="5889" width="33.33203125" style="243" bestFit="1" customWidth="1"/>
    <col min="5890" max="6144" width="9.33203125" style="243"/>
    <col min="6145" max="6145" width="33.33203125" style="243" bestFit="1" customWidth="1"/>
    <col min="6146" max="6400" width="9.33203125" style="243"/>
    <col min="6401" max="6401" width="33.33203125" style="243" bestFit="1" customWidth="1"/>
    <col min="6402" max="6656" width="9.33203125" style="243"/>
    <col min="6657" max="6657" width="33.33203125" style="243" bestFit="1" customWidth="1"/>
    <col min="6658" max="6912" width="9.33203125" style="243"/>
    <col min="6913" max="6913" width="33.33203125" style="243" bestFit="1" customWidth="1"/>
    <col min="6914" max="7168" width="9.33203125" style="243"/>
    <col min="7169" max="7169" width="33.33203125" style="243" bestFit="1" customWidth="1"/>
    <col min="7170" max="7424" width="9.33203125" style="243"/>
    <col min="7425" max="7425" width="33.33203125" style="243" bestFit="1" customWidth="1"/>
    <col min="7426" max="7680" width="9.33203125" style="243"/>
    <col min="7681" max="7681" width="33.33203125" style="243" bestFit="1" customWidth="1"/>
    <col min="7682" max="7936" width="9.33203125" style="243"/>
    <col min="7937" max="7937" width="33.33203125" style="243" bestFit="1" customWidth="1"/>
    <col min="7938" max="8192" width="9.33203125" style="243"/>
    <col min="8193" max="8193" width="33.33203125" style="243" bestFit="1" customWidth="1"/>
    <col min="8194" max="8448" width="9.33203125" style="243"/>
    <col min="8449" max="8449" width="33.33203125" style="243" bestFit="1" customWidth="1"/>
    <col min="8450" max="8704" width="9.33203125" style="243"/>
    <col min="8705" max="8705" width="33.33203125" style="243" bestFit="1" customWidth="1"/>
    <col min="8706" max="8960" width="9.33203125" style="243"/>
    <col min="8961" max="8961" width="33.33203125" style="243" bestFit="1" customWidth="1"/>
    <col min="8962" max="9216" width="9.33203125" style="243"/>
    <col min="9217" max="9217" width="33.33203125" style="243" bestFit="1" customWidth="1"/>
    <col min="9218" max="9472" width="9.33203125" style="243"/>
    <col min="9473" max="9473" width="33.33203125" style="243" bestFit="1" customWidth="1"/>
    <col min="9474" max="9728" width="9.33203125" style="243"/>
    <col min="9729" max="9729" width="33.33203125" style="243" bestFit="1" customWidth="1"/>
    <col min="9730" max="9984" width="9.33203125" style="243"/>
    <col min="9985" max="9985" width="33.33203125" style="243" bestFit="1" customWidth="1"/>
    <col min="9986" max="10240" width="9.33203125" style="243"/>
    <col min="10241" max="10241" width="33.33203125" style="243" bestFit="1" customWidth="1"/>
    <col min="10242" max="10496" width="9.33203125" style="243"/>
    <col min="10497" max="10497" width="33.33203125" style="243" bestFit="1" customWidth="1"/>
    <col min="10498" max="10752" width="9.33203125" style="243"/>
    <col min="10753" max="10753" width="33.33203125" style="243" bestFit="1" customWidth="1"/>
    <col min="10754" max="11008" width="9.33203125" style="243"/>
    <col min="11009" max="11009" width="33.33203125" style="243" bestFit="1" customWidth="1"/>
    <col min="11010" max="11264" width="9.33203125" style="243"/>
    <col min="11265" max="11265" width="33.33203125" style="243" bestFit="1" customWidth="1"/>
    <col min="11266" max="11520" width="9.33203125" style="243"/>
    <col min="11521" max="11521" width="33.33203125" style="243" bestFit="1" customWidth="1"/>
    <col min="11522" max="11776" width="9.33203125" style="243"/>
    <col min="11777" max="11777" width="33.33203125" style="243" bestFit="1" customWidth="1"/>
    <col min="11778" max="12032" width="9.33203125" style="243"/>
    <col min="12033" max="12033" width="33.33203125" style="243" bestFit="1" customWidth="1"/>
    <col min="12034" max="12288" width="9.33203125" style="243"/>
    <col min="12289" max="12289" width="33.33203125" style="243" bestFit="1" customWidth="1"/>
    <col min="12290" max="12544" width="9.33203125" style="243"/>
    <col min="12545" max="12545" width="33.33203125" style="243" bestFit="1" customWidth="1"/>
    <col min="12546" max="12800" width="9.33203125" style="243"/>
    <col min="12801" max="12801" width="33.33203125" style="243" bestFit="1" customWidth="1"/>
    <col min="12802" max="13056" width="9.33203125" style="243"/>
    <col min="13057" max="13057" width="33.33203125" style="243" bestFit="1" customWidth="1"/>
    <col min="13058" max="13312" width="9.33203125" style="243"/>
    <col min="13313" max="13313" width="33.33203125" style="243" bestFit="1" customWidth="1"/>
    <col min="13314" max="13568" width="9.33203125" style="243"/>
    <col min="13569" max="13569" width="33.33203125" style="243" bestFit="1" customWidth="1"/>
    <col min="13570" max="13824" width="9.33203125" style="243"/>
    <col min="13825" max="13825" width="33.33203125" style="243" bestFit="1" customWidth="1"/>
    <col min="13826" max="14080" width="9.33203125" style="243"/>
    <col min="14081" max="14081" width="33.33203125" style="243" bestFit="1" customWidth="1"/>
    <col min="14082" max="14336" width="9.33203125" style="243"/>
    <col min="14337" max="14337" width="33.33203125" style="243" bestFit="1" customWidth="1"/>
    <col min="14338" max="14592" width="9.33203125" style="243"/>
    <col min="14593" max="14593" width="33.33203125" style="243" bestFit="1" customWidth="1"/>
    <col min="14594" max="14848" width="9.33203125" style="243"/>
    <col min="14849" max="14849" width="33.33203125" style="243" bestFit="1" customWidth="1"/>
    <col min="14850" max="15104" width="9.33203125" style="243"/>
    <col min="15105" max="15105" width="33.33203125" style="243" bestFit="1" customWidth="1"/>
    <col min="15106" max="15360" width="9.33203125" style="243"/>
    <col min="15361" max="15361" width="33.33203125" style="243" bestFit="1" customWidth="1"/>
    <col min="15362" max="15616" width="9.33203125" style="243"/>
    <col min="15617" max="15617" width="33.33203125" style="243" bestFit="1" customWidth="1"/>
    <col min="15618" max="15872" width="9.33203125" style="243"/>
    <col min="15873" max="15873" width="33.33203125" style="243" bestFit="1" customWidth="1"/>
    <col min="15874" max="16128" width="9.33203125" style="243"/>
    <col min="16129" max="16129" width="33.33203125" style="243" bestFit="1" customWidth="1"/>
    <col min="16130" max="16384" width="9.33203125" style="243"/>
  </cols>
  <sheetData>
    <row r="1" spans="1:1">
      <c r="A1" s="313" t="s">
        <v>777</v>
      </c>
    </row>
    <row r="2" spans="1:1">
      <c r="A2" s="313" t="s">
        <v>782</v>
      </c>
    </row>
    <row r="3" spans="1:1">
      <c r="A3" s="313" t="s">
        <v>783</v>
      </c>
    </row>
    <row r="4" spans="1:1">
      <c r="A4" s="313" t="s">
        <v>784</v>
      </c>
    </row>
    <row r="5" spans="1:1">
      <c r="A5" s="313" t="s">
        <v>785</v>
      </c>
    </row>
    <row r="6" spans="1:1">
      <c r="A6" s="313" t="s">
        <v>778</v>
      </c>
    </row>
    <row r="7" spans="1:1">
      <c r="A7" s="313" t="s">
        <v>786</v>
      </c>
    </row>
    <row r="8" spans="1:1">
      <c r="A8" s="313" t="s">
        <v>787</v>
      </c>
    </row>
    <row r="9" spans="1:1">
      <c r="A9" s="313" t="s">
        <v>788</v>
      </c>
    </row>
    <row r="10" spans="1:1">
      <c r="A10" s="313" t="s">
        <v>779</v>
      </c>
    </row>
    <row r="11" spans="1:1">
      <c r="A11" s="313" t="s">
        <v>789</v>
      </c>
    </row>
    <row r="12" spans="1:1">
      <c r="A12" s="313" t="s">
        <v>780</v>
      </c>
    </row>
    <row r="13" spans="1:1">
      <c r="A13" s="313" t="s">
        <v>781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"/>
  <sheetViews>
    <sheetView workbookViewId="0"/>
  </sheetViews>
  <sheetFormatPr defaultRowHeight="11.25"/>
  <sheetData>
    <row r="1" spans="1:6">
      <c r="A1" t="s">
        <v>380</v>
      </c>
    </row>
    <row r="2" spans="1:6">
      <c r="A2" s="234" t="s">
        <v>377</v>
      </c>
      <c r="B2" s="234" t="s">
        <v>383</v>
      </c>
      <c r="C2" s="234" t="s">
        <v>378</v>
      </c>
      <c r="D2" s="234" t="s">
        <v>369</v>
      </c>
      <c r="E2" s="234" t="s">
        <v>379</v>
      </c>
      <c r="F2" s="234" t="s">
        <v>381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78</vt:i4>
      </vt:variant>
    </vt:vector>
  </HeadingPairs>
  <TitlesOfParts>
    <vt:vector size="82" baseType="lpstr">
      <vt:lpstr>ImportantDisclosures</vt:lpstr>
      <vt:lpstr>Model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Linking_10</vt:lpstr>
      <vt:lpstr>Linking_2</vt:lpstr>
      <vt:lpstr>Linking_3</vt:lpstr>
      <vt:lpstr>Linking_4</vt:lpstr>
      <vt:lpstr>Linking_5</vt:lpstr>
      <vt:lpstr>Linking_7</vt:lpstr>
      <vt:lpstr>Linking_8</vt:lpstr>
      <vt:lpstr>Linking_9</vt:lpstr>
      <vt:lpstr>IndexInformation!MacroVersion</vt:lpstr>
      <vt:lpstr>Model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2017-05-02T22:39:37Z</dcterms:created>
  <dc:creator>Lynagh, Connor J (Research)</dc:creator>
  <cp:lastModifiedBy>Ozier, Alex (Research)</cp:lastModifiedBy>
  <cp:lastPrinted>2017-10-25T21:16:59Z</cp:lastPrinted>
  <dcterms:modified xsi:type="dcterms:W3CDTF">2018-04-11T15:10:55Z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ERModPubTicket" pid="2">
    <vt:lpwstr>NA</vt:lpwstr>
  </property>
  <property fmtid="{D5CDD505-2E9C-101B-9397-08002B2CF9AE}" name="ERCompanyUploadState" pid="3">
    <vt:lpwstr>P</vt:lpwstr>
  </property>
  <property fmtid="{D5CDD505-2E9C-101B-9397-08002B2CF9AE}" name="ModelId" pid="4">
    <vt:lpwstr>761001</vt:lpwstr>
  </property>
  <property fmtid="{D5CDD505-2E9C-101B-9397-08002B2CF9AE}" name="ERModPubCompanyName" pid="5">
    <vt:lpwstr>Nabors Industries Inc.</vt:lpwstr>
  </property>
  <property fmtid="{D5CDD505-2E9C-101B-9397-08002B2CF9AE}" name="MSDH34TAG" pid="6">
    <vt:lpwstr>.TEZUF76X5TAHATHESADREYAK-00-INB160+*94600-06=8acb7978/-3d9a/-11e8/-b3f7/-7a79cfe26848,MD=20180411111715/-0400,ZZ=000Z-9996.</vt:lpwstr>
  </property>
</Properties>
</file>